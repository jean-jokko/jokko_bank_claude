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Assumptions" sheetId="4" state="visible" r:id="rId6"/>
    <sheet name="Unit costs" sheetId="5" state="visible" r:id="rId7"/>
    <sheet name="Hiring plan" sheetId="6" state="visible" r:id="rId8"/>
    <sheet name="Staff" sheetId="7" state="visible" r:id="rId9"/>
    <sheet name="Staff (€)" sheetId="8" state="visible" r:id="rId10"/>
    <sheet name="Sales &amp; marketing" sheetId="9" state="visible" r:id="rId11"/>
    <sheet name="Sales &amp; marketing (€)" sheetId="10" state="visible" r:id="rId12"/>
    <sheet name="Clients &amp; revenue" sheetId="11" state="visible" r:id="rId13"/>
    <sheet name="Clients &amp; revenue (€)" sheetId="12" state="visible" r:id="rId14"/>
    <sheet name="Credit" sheetId="13" state="visible" r:id="rId15"/>
    <sheet name="Credit (€)" sheetId="14" state="visible" r:id="rId16"/>
    <sheet name="Costs" sheetId="15" state="visible" r:id="rId17"/>
    <sheet name="Costs (€)" sheetId="16" state="visible" r:id="rId18"/>
    <sheet name="P&amp;L monthly" sheetId="17" state="visible" r:id="rId19"/>
    <sheet name="P&amp;L monthly (€)" sheetId="18" state="visible" r:id="rId20"/>
    <sheet name="P&amp;L annual" sheetId="19" state="visible" r:id="rId21"/>
    <sheet name="Pricing levers" sheetId="20" state="visible" r:id="rId22"/>
    <sheet name="Cash flow" sheetId="21" state="visible" r:id="rId23"/>
    <sheet name="Cash flow (€)" sheetId="22" state="visible" r:id="rId24"/>
    <sheet name="Unit economics" sheetId="23" state="visible" r:id="rId25"/>
    <sheet name="Market" sheetId="24" state="visible" r:id="rId26"/>
    <sheet name="Regulatory path" sheetId="25" state="visible" r:id="rId27"/>
  </sheets>
  <definedNames>
    <definedName function="false" hidden="false" name="Accountant_Ext" vbProcedure="false">Assumptions!$D$268:$H$268</definedName>
    <definedName function="false" hidden="false" name="Agency_Credit" vbProcedure="false">Assumptions!$D$228</definedName>
    <definedName function="false" hidden="false" name="Agency_Dev" vbProcedure="false">Assumptions!$D$227</definedName>
    <definedName function="false" hidden="false" name="Agency_Fee_EUR" vbProcedure="false">Assumptions!$D$226</definedName>
    <definedName function="false" hidden="false" name="Agency_Rep" vbProcedure="false">Assumptions!$D$230</definedName>
    <definedName function="false" hidden="false" name="Agency_Support" vbProcedure="false">Assumptions!$D$229</definedName>
    <definedName function="false" hidden="false" name="AML_Audit" vbProcedure="false">Assumptions!$D$269:$H$269</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Assumptions!$D$267:$H$267</definedName>
    <definedName function="false" hidden="false" name="Audit_Month" vbProcedure="false">Assumptions!$D$32</definedName>
    <definedName function="false" hidden="false" name="Avg_Advance" vbProcedure="false">Assumptions!$D$195</definedName>
    <definedName function="false" hidden="false" name="Avg_Bridge" vbProcedure="false">Assumptions!$D$180</definedName>
    <definedName function="false" hidden="false" name="Avg_Factoring" vbProcedure="false">Assumptions!$D$175</definedName>
    <definedName function="false" hidden="false" name="Avg_Line" vbProcedure="false">Assumptions!$D$185</definedName>
    <definedName function="false" hidden="false" name="Avg_Salary" vbProcedure="false">Assumptions!$D$143</definedName>
    <definedName function="false" hidden="false" name="Avg_Term" vbProcedure="false">Assumptions!$D$190</definedName>
    <definedName function="false" hidden="false" name="Balance_Grande" vbProcedure="false">Assumptions!$D$118</definedName>
    <definedName function="false" hidden="false" name="Balance_Moyenne" vbProcedure="false">Assumptions!$D$117</definedName>
    <definedName function="false" hidden="false" name="Balance_Petite" vbProcedure="false">Assumptions!$D$116</definedName>
    <definedName function="false" hidden="false" name="Bank_Fee" vbProcedure="false">Assumptions!$D$152</definedName>
    <definedName function="false" hidden="false" name="Bank_Min_CI" vbProcedure="false">Assumptions!$D$259:$H$259</definedName>
    <definedName function="false" hidden="false" name="Bank_Min_SN" vbProcedure="false">Assumptions!$D$258:$H$258</definedName>
    <definedName function="false" hidden="false" name="Bank_Payout_Cost" vbProcedure="false">Assumptions!$D$163</definedName>
    <definedName function="false" hidden="false" name="Bank_Setup_CI" vbProcedure="false">Assumptions!$D$256</definedName>
    <definedName function="false" hidden="false" name="Bank_Setup_Month" vbProcedure="false">Assumptions!$D$25</definedName>
    <definedName function="false" hidden="false" name="Bank_Setup_SN" vbProcedure="false">Assumptions!$D$255</definedName>
    <definedName function="false" hidden="false" name="Book_per_Credit" vbProcedure="false">Assumptions!$D$221</definedName>
    <definedName function="false" hidden="false" name="Brand_PR" vbProcedure="false">Assumptions!$D$275:$H$275</definedName>
    <definedName function="false" hidden="false" name="CAC_Digital" vbProcedure="false">Assumptions!$D$42</definedName>
    <definedName function="false" hidden="false" name="Capital_Ratio" vbProcedure="false">Assumptions!$D$202</definedName>
    <definedName function="false" hidden="false" name="Cards_Act_Grande" vbProcedure="false">Assumptions!$D$139</definedName>
    <definedName function="false" hidden="false" name="Cards_Act_Moyenne" vbProcedure="false">Assumptions!$D$138</definedName>
    <definedName function="false" hidden="false" name="Cards_Act_Petite" vbProcedure="false">Assumptions!$D$137</definedName>
    <definedName function="false" hidden="false" name="Cards_New_Grande" vbProcedure="false">Assumptions!$D$136</definedName>
    <definedName function="false" hidden="false" name="Cards_New_Moyenne" vbProcedure="false">Assumptions!$D$135</definedName>
    <definedName function="false" hidden="false" name="Cards_New_Petite" vbProcedure="false">Assumptions!$D$134</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Assumptions!$D$283</definedName>
    <definedName function="false" hidden="false" name="Card_Fee" vbProcedure="false">Assumptions!$D$84</definedName>
    <definedName function="false" hidden="false" name="Card_Proc_Fee" vbProcedure="false">Assumptions!$D$156</definedName>
    <definedName function="false" hidden="false" name="Card_Prod_Cost" vbProcedure="false">Assumptions!$D$157</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Assumptions!$D$235</definedName>
    <definedName function="false" hidden="false" name="Claude_USD" vbProcedure="false">Assumptions!$D$234</definedName>
    <definedName function="false" hidden="false" name="ClickUp_USD" vbProcedure="false">Assumptions!$D$233</definedName>
    <definedName function="false" hidden="false" name="Clients_per_Dev" vbProcedure="false">Assumptions!$D$212</definedName>
    <definedName function="false" hidden="false" name="Clients_per_Rep" vbProcedure="false">Assumptions!$D$217</definedName>
    <definedName function="false" hidden="false" name="Clients_per_Support" vbProcedure="false">Assumptions!$D$208</definedName>
    <definedName function="false" hidden="false" name="Cloud_Start" vbProcedure="false">Assumptions!$D$29</definedName>
    <definedName function="false" hidden="false" name="Cloud_USD" vbProcedure="false">Assumptions!$D$247:$H$247</definedName>
    <definedName function="false" hidden="false" name="CoF" vbProcedure="false">Assumptions!$D$198</definedName>
    <definedName function="false" hidden="false" name="Collateral_Month" vbProcedure="false">Assumptions!$D$24</definedName>
    <definedName function="false" hidden="false" name="Company_Setup_CI" vbProcedure="false">Assumptions!$D$263</definedName>
    <definedName function="false" hidden="false" name="Company_Setup_SN" vbProcedure="false">Assumptions!$D$262</definedName>
    <definedName function="false" hidden="false" name="Contingency_Pct" vbProcedure="false">Assumptions!$D$13</definedName>
    <definedName function="false" hidden="false" name="CoR_Advance" vbProcedure="false">Assumptions!$D$197</definedName>
    <definedName function="false" hidden="false" name="CoR_Bridge" vbProcedure="false">Assumptions!$D$182</definedName>
    <definedName function="false" hidden="false" name="CoR_Factoring" vbProcedure="false">Assumptions!$D$177</definedName>
    <definedName function="false" hidden="false" name="CoR_Line" vbProcedure="false">Assumptions!$D$187</definedName>
    <definedName function="false" hidden="false" name="CoR_Mult" vbProcedure="false">Assumptions!$D$171</definedName>
    <definedName function="false" hidden="false" name="CoR_Term" vbProcedure="false">Assumptions!$D$192</definedName>
    <definedName function="false" hidden="false" name="Credit_Bureau" vbProcedure="false">Assumptions!$D$249:$H$249</definedName>
    <definedName function="false" hidden="false" name="Credit_Lead_Months" vbProcedure="false">Assumptions!$D$220</definedName>
    <definedName function="false" hidden="false" name="Credit_Mult" vbProcedure="false">Assumptions!$D$170</definedName>
    <definedName function="false" hidden="false" name="Credit_Ramp" vbProcedure="false">Assumptions!$D$172</definedName>
    <definedName function="false" hidden="false" name="Data_Protection" vbProcedure="false">Assumptions!$D$270:$H$270</definedName>
    <definedName function="false" hidden="false" name="Deposit_Share" vbProcedure="false">Assumptions!$D$89</definedName>
    <definedName function="false" hidden="false" name="Devs_Min" vbProcedure="false">Assumptions!$D$211</definedName>
    <definedName function="false" hidden="false" name="Digital_CI" vbProcedure="false">Assumptions!$D$274:$H$274</definedName>
    <definedName function="false" hidden="false" name="Digital_SN" vbProcedure="false">Assumptions!$D$273:$H$273</definedName>
    <definedName function="false" hidden="false" name="Domain_USD" vbProcedure="false">Assumptions!$D$237</definedName>
    <definedName function="false" hidden="false" name="EmpAcc_Adoption" vbProcedure="false">Assumptions!$D$149</definedName>
    <definedName function="false" hidden="false" name="EmpAcc_Cost" vbProcedure="false">Assumptions!$D$167</definedName>
    <definedName function="false" hidden="false" name="EmpAcc_per_Support" vbProcedure="false">Assumptions!$D$209</definedName>
    <definedName function="false" hidden="false" name="EmpAcc_Start" vbProcedure="false">Assumptions!$D$21</definedName>
    <definedName function="false" hidden="false" name="Employer_Charges" vbProcedure="false">Assumptions!$D$205</definedName>
    <definedName function="false" hidden="false" name="Emp_Grande" vbProcedure="false">Assumptions!$D$121</definedName>
    <definedName function="false" hidden="false" name="Emp_Moyenne" vbProcedure="false">Assumptions!$D$120</definedName>
    <definedName function="false" hidden="false" name="Emp_Notif" vbProcedure="false">Assumptions!$D$166</definedName>
    <definedName function="false" hidden="false" name="Emp_Petite" vbProcedure="false">Assumptions!$D$119</definedName>
    <definedName function="false" hidden="false" name="Events" vbProcedure="false">Assumptions!$D$276:$H$276</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Assumptions!$D$201</definedName>
    <definedName function="false" hidden="false" name="Foreign_Spend_Factor" vbProcedure="false">Assumptions!$D$87</definedName>
    <definedName function="false" hidden="false" name="Fraud_Rate" vbProcedure="false">Assumptions!$D$159</definedName>
    <definedName function="false" hidden="false" name="Freelance" vbProcedure="false">Assumptions!$D$251:$H$251</definedName>
    <definedName function="false" hidden="false" name="Free_Months" vbProcedure="false">Assumptions!$D$62</definedName>
    <definedName function="false" hidden="false" name="FX_EUR" vbProcedure="false">Assumptions!$D$9</definedName>
    <definedName function="false" hidden="false" name="FX_Fee" vbProcedure="false">Assumptions!$D$85</definedName>
    <definedName function="false" hidden="false" name="FX_Interchange" vbProcedure="false">Assumptions!$D$86</definedName>
    <definedName function="false" hidden="false" name="FX_USD" vbProcedure="false">Assumptions!$D$10</definedName>
    <definedName function="false" hidden="false" name="Gmail_USD" vbProcedure="false">Assumptions!$D$232</definedName>
    <definedName function="false" hidden="false" name="Insurance_USD" vbProcedure="false">Assumptions!$D$271:$H$271</definedName>
    <definedName function="false" hidden="false" name="Interchange_Share" vbProcedure="false">Assumptions!$D$88</definedName>
    <definedName function="false" hidden="false" name="Intl_Cost" vbProcedure="false">Assumptions!$D$105</definedName>
    <definedName function="false" hidden="false" name="Intl_Fee" vbProcedure="false">Assumptions!$D$104</definedName>
    <definedName function="false" hidden="false" name="Intl_Ramp" vbProcedure="false">Assumptions!$D$107</definedName>
    <definedName function="false" hidden="false" name="Intl_Start" vbProcedure="false">Assumptions!$D$103</definedName>
    <definedName function="false" hidden="false" name="Intl_Uptake" vbProcedure="false">Assumptions!$D$106</definedName>
    <definedName function="false" hidden="false" name="Intl_Vol_Grande" vbProcedure="false">Assumptions!$D$133</definedName>
    <definedName function="false" hidden="false" name="Intl_Vol_Moyenne" vbProcedure="false">Assumptions!$D$132</definedName>
    <definedName function="false" hidden="false" name="Intl_Vol_Petite" vbProcedure="false">Assumptions!$D$131</definedName>
    <definedName function="false" hidden="false" name="KYB_Cost" vbProcedure="false">Assumptions!$D$153</definedName>
    <definedName function="false" hidden="false" name="KYC_Cost" vbProcedure="false">Assumptions!$D$154</definedName>
    <definedName function="false" hidden="false" name="KYC_Min_USD" vbProcedure="false">Assumptions!$D$248</definedName>
    <definedName function="false" hidden="false" name="KYC_Persons" vbProcedure="false">Assumptions!$D$155</definedName>
    <definedName function="false" hidden="false" name="Laptop_Dev_USD" vbProcedure="false">Assumptions!$D$225</definedName>
    <definedName function="false" hidden="false" name="Laptop_EUR" vbProcedure="false">Assumptions!$D$224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Assumptions!$D$266:$H$266</definedName>
    <definedName function="false" hidden="false" name="Maak_Equity_Pct" vbProcedure="false">Assumptions!$D$242</definedName>
    <definedName function="false" hidden="false" name="Maak_Lease_EUR" vbProcedure="false">Assumptions!$D$241</definedName>
    <definedName function="false" hidden="false" name="Maak_Option" vbProcedure="false">Assumptions!$D$240</definedName>
    <definedName function="false" hidden="false" name="Misc" vbProcedure="false">Assumptions!$D$279:$H$279</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M_Cost_Cap" vbProcedure="false">Assumptions!$D$161</definedName>
    <definedName function="false" hidden="false" name="MM_Cost_Flat" vbProcedure="false">Assumptions!$D$162</definedName>
    <definedName function="false" hidden="false" name="MM_Cost_Pct" vbProcedure="false">Assumptions!$D$160</definedName>
    <definedName function="false" hidden="false" name="MM_Fee" vbProcedure="false">Assumptions!$D$82</definedName>
    <definedName function="false" hidden="false" name="MM_Fee_Cap" vbProcedure="false">Assumptions!$D$83</definedName>
    <definedName function="false" hidden="false" name="MM_Free_Grande" vbProcedure="false">Assumptions!$D$81</definedName>
    <definedName function="false" hidden="false" name="MM_Free_Moyenne" vbProcedure="false">Assumptions!$D$80</definedName>
    <definedName function="false" hidden="false" name="MM_Free_Petite" vbProcedure="false">Assumptions!$D$79</definedName>
    <definedName function="false" hidden="false" name="MM_Low_Share" vbProcedure="false">Assumptions!$D$147</definedName>
    <definedName function="false" hidden="false" name="MM_Mid_Share" vbProcedure="false">Assumptions!$D$148</definedName>
    <definedName function="false" hidden="false" name="Monitoring_USD" vbProcedure="false">Assumptions!$D$250:$H$250</definedName>
    <definedName function="false" hidden="false" name="Notif_Cost" vbProcedure="false">Assumptions!$D$165</definedName>
    <definedName function="false" hidden="false" name="Office_Start" vbProcedure="false">Assumptions!$D$18</definedName>
    <definedName function="false" hidden="false" name="Opening_Cash" vbProcedure="false">Assumptions!$D$282</definedName>
    <definedName function="false" hidden="false" name="Overage_Fee" vbProcedure="false">Assumptions!$D$90</definedName>
    <definedName function="false" hidden="false" name="Overage_Grande" vbProcedure="false">Assumptions!$D$127</definedName>
    <definedName function="false" hidden="false" name="Overage_Moyenne" vbProcedure="false">Assumptions!$D$126</definedName>
    <definedName function="false" hidden="false" name="Overage_Petite" vbProcedure="false">Assumptions!$D$125</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Assumptions!$D$200</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Assumptions!$D$101</definedName>
    <definedName function="false" hidden="false" name="Payroll_Mod_Start" vbProcedure="false">Assumptions!$D$98</definedName>
    <definedName function="false" hidden="false" name="Payroll_Mod_Uptake" vbProcedure="false">Assumptions!$D$100</definedName>
    <definedName function="false" hidden="false" name="Payslip_Cost" vbProcedure="false">Assumptions!$D$102</definedName>
    <definedName function="false" hidden="false" name="Payslip_Fee" vbProcedure="false">Assumptions!$D$99</definedName>
    <definedName function="false" hidden="false" name="Phone_Cost" vbProcedure="false">Assumptions!$D$231</definedName>
    <definedName function="false" hidden="false" name="PL_Adoption" vbProcedure="false">Assumptions!$D$94</definedName>
    <definedName function="false" hidden="false" name="PL_Coll_Grande" vbProcedure="false">Assumptions!$D$142</definedName>
    <definedName function="false" hidden="false" name="PL_Coll_Moyenne" vbProcedure="false">Assumptions!$D$141</definedName>
    <definedName function="false" hidden="false" name="PL_Coll_Petite" vbProcedure="false">Assumptions!$D$140</definedName>
    <definedName function="false" hidden="false" name="PL_Cost" vbProcedure="false">Assumptions!$D$92</definedName>
    <definedName function="false" hidden="false" name="PL_Fee" vbProcedure="false">Assumptions!$D$91</definedName>
    <definedName function="false" hidden="false" name="PL_Momo_Share" vbProcedure="false">Assumptions!$D$93</definedName>
    <definedName function="false" hidden="false" name="PL_Ramp" vbProcedure="false">Assumptions!$D$95</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Assumptions!$D$252:$H$252</definedName>
    <definedName function="false" hidden="false" name="Proc_Setup_Month" vbProcedure="false">Assumptions!$D$27</definedName>
    <definedName function="false" hidden="false" name="Proc_Setup_USD" vbProcedure="false">Assumptions!$D$253</definedName>
    <definedName function="false" hidden="false" name="Referral_Fee" vbProcedure="false">Assumptions!$D$49</definedName>
    <definedName function="false" hidden="false" name="Regus_EUR" vbProcedure="false">Assumptions!$D$223</definedName>
    <definedName function="false" hidden="false" name="Reps_Min_CI" vbProcedure="false">Assumptions!$D$216</definedName>
    <definedName function="false" hidden="false" name="Reps_Min_SN" vbProcedure="false">Assumptions!$D$215</definedName>
    <definedName function="false" hidden="false" name="Reps_Start" vbProcedure="false">Assumptions!$D$214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Assumptions!$D$222</definedName>
    <definedName function="false" hidden="false" name="Salary_Dev" vbProcedure="false">Assumptions!$D$213</definedName>
    <definedName function="false" hidden="false" name="Salary_Raise" vbProcedure="false">Assumptions!$D$12</definedName>
    <definedName function="false" hidden="false" name="Salary_Rep_CI" vbProcedure="false">Assumptions!$D$219</definedName>
    <definedName function="false" hidden="false" name="Salary_Rep_SN" vbProcedure="false">Assumptions!$D$218</definedName>
    <definedName function="false" hidden="false" name="Salary_Support" vbProcedure="false">Assumptions!$D$210</definedName>
    <definedName function="false" hidden="false" name="Scenario" vbProcedure="false">Assumptions!$D$4</definedName>
    <definedName function="false" hidden="false" name="Scheme_Rate" vbProcedure="false">Assumptions!$D$158</definedName>
    <definedName function="false" hidden="false" name="Seed_Amount" vbProcedure="false">Assumptions!$D$286</definedName>
    <definedName function="false" hidden="false" name="Seed_Month" vbProcedure="false">Assumptions!$D$285</definedName>
    <definedName function="false" hidden="false" name="SeriesA_Amount" vbProcedure="false">Assumptions!$D$288</definedName>
    <definedName function="false" hidden="false" name="SeriesA_Month" vbProcedure="false">Assumptions!$D$287</definedName>
    <definedName function="false" hidden="false" name="SeriesB_Amount" vbProcedure="false">Assumptions!$D$290</definedName>
    <definedName function="false" hidden="false" name="SeriesB_Month" vbProcedure="false">Assumptions!$D$289</definedName>
    <definedName function="false" hidden="false" name="Servicing" vbProcedure="false">Assumptions!$D$199</definedName>
    <definedName function="false" hidden="false" name="SFD_Acquisition" vbProcedure="false">Assumptions!$D$284</definedName>
    <definedName function="false" hidden="false" name="SFD_Acq_Month" vbProcedure="false">Assumptions!$D$22</definedName>
    <definedName function="false" hidden="false" name="SFD_Annual" vbProcedure="false">Assumptions!$D$260:$H$260</definedName>
    <definedName function="false" hidden="false" name="SFD_Project" vbProcedure="false">Assumptions!$D$264:$H$264</definedName>
    <definedName function="false" hidden="false" name="SFD_Running" vbProcedure="false">Assumptions!$D$265:$H$265</definedName>
    <definedName function="false" hidden="false" name="SFD_Setup" vbProcedure="false">Assumptions!$D$257</definedName>
    <definedName function="false" hidden="false" name="SFD_Setup_Month" vbProcedure="false">Assumptions!$D$30</definedName>
    <definedName function="false" hidden="false" name="Spend_Dom_Grande" vbProcedure="false">Assumptions!$D$112</definedName>
    <definedName function="false" hidden="false" name="Spend_Dom_Moyenne" vbProcedure="false">Assumptions!$D$111</definedName>
    <definedName function="false" hidden="false" name="Spend_Dom_Petite" vbProcedure="false">Assumptions!$D$110</definedName>
    <definedName function="false" hidden="false" name="Spend_For_Grande" vbProcedure="false">Assumptions!$D$115</definedName>
    <definedName function="false" hidden="false" name="Spend_For_Moyenne" vbProcedure="false">Assumptions!$D$114</definedName>
    <definedName function="false" hidden="false" name="Spend_For_Petite" vbProcedure="false">Assumptions!$D$113</definedName>
    <definedName function="false" hidden="false" name="Start_Advance" vbProcedure="false">Assumptions!$D$193</definedName>
    <definedName function="false" hidden="false" name="Start_Bridge" vbProcedure="false">Assumptions!$D$178</definedName>
    <definedName function="false" hidden="false" name="Start_Date" vbProcedure="false">Assumptions!$D$8</definedName>
    <definedName function="false" hidden="false" name="Start_Factoring" vbProcedure="false">Assumptions!$D$173</definedName>
    <definedName function="false" hidden="false" name="Start_Line" vbProcedure="false">Assumptions!$D$183</definedName>
    <definedName function="false" hidden="false" name="Start_Term" vbProcedure="false">Assumptions!$D$188</definedName>
    <definedName function="false" hidden="false" name="Supplier_Grande" vbProcedure="false">Assumptions!$D$124</definedName>
    <definedName function="false" hidden="false" name="Supplier_Moyenne" vbProcedure="false">Assumptions!$D$123</definedName>
    <definedName function="false" hidden="false" name="Supplier_Payout_Cost" vbProcedure="false">Assumptions!$D$164</definedName>
    <definedName function="false" hidden="false" name="Supplier_Petite" vbProcedure="false">Assumptions!$D$122</definedName>
    <definedName function="false" hidden="false" name="Support_Min" vbProcedure="false">Assumptions!$D$207</definedName>
    <definedName function="false" hidden="false" name="Support_Start" vbProcedure="false">Assumptions!$D$206</definedName>
    <definedName function="false" hidden="false" name="Sup_Avg_Amount" vbProcedure="false">Assumptions!$D$146</definedName>
    <definedName function="false" hidden="false" name="Sup_Wallet_Share" vbProcedure="false">Assumptions!$D$145</definedName>
    <definedName function="false" hidden="false" name="Tax_Rate" vbProcedure="false">Assumptions!$D$11</definedName>
    <definedName function="false" hidden="false" name="Tech_Audit_USD" vbProcedure="false">Assumptions!$D$243</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Assumptions!$D$278:$H$278</definedName>
    <definedName function="false" hidden="false" name="Uptake_Bridge" vbProcedure="false">Assumptions!$D$179</definedName>
    <definedName function="false" hidden="false" name="Uptake_Factoring" vbProcedure="false">Assumptions!$D$174</definedName>
    <definedName function="false" hidden="false" name="Uptake_Line" vbProcedure="false">Assumptions!$D$184</definedName>
    <definedName function="false" hidden="false" name="Uptake_Term" vbProcedure="false">Assumptions!$D$189</definedName>
    <definedName function="false" hidden="false" name="Usage_Advance" vbProcedure="false">Assumptions!$D$194</definedName>
    <definedName function="false" hidden="false" name="Users_Grande" vbProcedure="false">Assumptions!$D$130</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Assumptions!$D$129</definedName>
    <definedName function="false" hidden="false" name="Users_Petite" vbProcedure="false">Assumptions!$D$128</definedName>
    <definedName function="false" hidden="false" name="Wallet_Share" vbProcedure="false">Assumptions!$D$144</definedName>
    <definedName function="false" hidden="false" name="Website_USD" vbProcedure="false">Assumptions!$D$236</definedName>
    <definedName function="false" hidden="false" name="Yield_Advance" vbProcedure="false">Assumptions!$D$196</definedName>
    <definedName function="false" hidden="false" name="Yield_Bridge" vbProcedure="false">Assumptions!$D$181</definedName>
    <definedName function="false" hidden="false" name="Yield_Factoring" vbProcedure="false">Assumptions!$D$176</definedName>
    <definedName function="false" hidden="false" name="Yield_Line" vbProcedure="false">Assumptions!$D$186</definedName>
    <definedName function="false" hidden="false" name="Yield_Term" vbProcedure="false">Assumptions!$D$191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<sst xmlns="http://schemas.openxmlformats.org/spreadsheetml/2006/main" count="3284" uniqueCount="1497">
  <si>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</si>
  <si>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</si>
  <si>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</si>
  <si>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</si>
  <si>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</si>
  <si>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</si>
  <si>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</si>
  <si>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</si>
  <si>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</si>
  <si>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</si>
  <si>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</si>
  <si>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</si>
  <si>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</si>
  <si>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</si>
  <si>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</si>
  <si>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</si>
  <si>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</si>
  <si>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</si>
  <si>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</si>
  <si>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</si>
  <si>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</si>
  <si>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</si>
  <si>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</si>
  <si>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</si>
  <si>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</si>
  <si>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</si>
  <si>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</si>
  <si>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</si>
  <si>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</si>
  <si>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</si>
  <si>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</si>
  <si>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</si>
  <si>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</si>
  <si>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</si>
  <si>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</si>
  <si>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</si>
  <si>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</si>
  <si>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</si>
  <si>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</si>
  <si>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</si>
  <si>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</si>
  <si>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</si>
  <si>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</si>
  <si>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</si>
  <si>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</si>
  <si>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</si>
  <si>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</si>
  <si>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</si>
  <si>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</si>
  <si>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</si>
  <si>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</si>
  <si>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</si>
  <si>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</si>
  <si>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</si>
  <si>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</si>
  <si>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</si>
  <si>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</si>
  <si>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Every cost line was checked against published prices and proxies in the cost research (Oct 2026, research/costs). Partner bank fees, card processing, Visa/Mastercard fees, PI-SPI business pricing (transfers to wallets) and FX costs have no public price: prudent uses public prices, base the researched value, ambitious negotiated targets. Replace them with term sheets.</t>
  </si>
  <si>
    <t xml:space="preserve">Partner income</t>
  </si>
  <si>
    <t xml:space="preserve">Interchange and a share of bank income on balances go to the partner bank. No partner has agreed to share them, so the plan counts zero; Pricing levers shows what they would add.</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</si>
  <si>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</si>
  <si>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</si>
  <si>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</si>
  <si>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</si>
  <si>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</si>
  <si>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</si>
  <si>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</si>
  <si>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</si>
  <si>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</si>
  <si>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</si>
  <si>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</si>
  <si>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</si>
  <si>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</si>
  <si>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</si>
  <si>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</si>
  <si>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</si>
  <si>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</si>
  <si>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</si>
  <si>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</si>
  <si>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</si>
  <si>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</si>
  <si>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</si>
  <si>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</si>
  <si>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</si>
  <si>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</si>
  <si>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</si>
  <si>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</si>
  <si>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</si>
  <si>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</si>
  <si>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</si>
  <si>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</si>
  <si>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</si>
  <si>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</si>
  <si>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</si>
  <si>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</si>
  <si>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</si>
  <si>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</si>
  <si>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</si>
  <si>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</si>
  <si>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</si>
  <si>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</si>
  <si>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</si>
  <si>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</si>
  <si>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</si>
  <si>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</si>
  <si>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</si>
  <si>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</si>
  <si>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</si>
  <si>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</si>
  <si>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</si>
  <si>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</si>
  <si>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</si>
  <si>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</si>
  <si>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</si>
  <si>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</si>
  <si>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</si>
  <si>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</si>
  <si>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</si>
  <si>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Two simple limits: a number of transfers to bank accounts (salaries never count) and an amount sent to mobile money (salaries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</si>
  <si>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</si>
  <si>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</si>
  <si>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</si>
  <si>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</si>
  <si>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</si>
  <si>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</si>
  <si>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</si>
  <si>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</si>
  <si>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</si>
  <si>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</si>
  <si>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</si>
  <si>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</si>
  <si>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</si>
  <si>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</si>
  <si>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</si>
  <si>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Bank transfers a month</t>
  </si>
  <si>
    <t xml:space="preserve">Payments to suppliers and others by bank transfer. Salaries and transfers to wallets never count. Above it: fee per extra transfer. Incoming transfers are free and unlimited.</t>
  </si>
  <si>
    <t xml:space="preserve">Mobile money free up to</t>
  </si>
  <si>
    <t xml:space="preserve">FCFA a month sent to wallets (Wave, Orange Money, Mixx…), salaries included. Above it: the mobile money fee below. Fair use: no splitting into many tiny transfers.</t>
  </si>
  <si>
    <t xml:space="preserve">Salaries to bank accounts free up to</t>
  </si>
  <si>
    <t xml:space="preserve">FCFA of salaries a month. Above it: fee per extra transfer for each salary.</t>
  </si>
  <si>
    <t xml:space="preserve">Physical cards</t>
  </si>
  <si>
    <t xml:space="preserve">Visa cards for staff. More cards: add-on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</si>
  <si>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</si>
  <si>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</si>
  <si>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</si>
  <si>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</si>
  <si>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</si>
  <si>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</si>
  <si>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</si>
  <si>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</si>
  <si>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</si>
  <si>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</si>
  <si>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</si>
  <si>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</si>
  <si>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</si>
  <si>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</si>
  <si>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</si>
  <si>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</si>
  <si>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</si>
  <si>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Commission on mobile-money collections: see commissions.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</si>
  <si>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</si>
  <si>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</si>
  <si>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</si>
  <si>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</si>
  <si>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</si>
  <si>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</si>
  <si>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</si>
  <si>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</si>
  <si>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</si>
  <si>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</si>
  <si>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</si>
  <si>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</si>
  <si>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</si>
  <si>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</si>
  <si>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</si>
  <si>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</si>
  <si>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</si>
  <si>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</si>
  <si>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</si>
  <si>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</si>
  <si>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</si>
  <si>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</si>
  <si>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</si>
  <si>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</si>
  <si>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</si>
  <si>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</si>
  <si>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</si>
  <si>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Each physical card beyond the plan.</t>
  </si>
  <si>
    <t xml:space="preserve">Extra physical card, printing and delivery</t>
  </si>
  <si>
    <t xml:space="preserve">FCFA, one-off</t>
  </si>
  <si>
    <t xml:space="preserve">When the extra card is ordered.</t>
  </si>
  <si>
    <t xml:space="preserve">Bank transfer above the plan allowance</t>
  </si>
  <si>
    <t xml:space="preserve">FCFA / transfer</t>
  </si>
  <si>
    <t xml:space="preserve">Each bank transfer beyond the monthly number, and each salary to a bank account above the free amount. Not charged on transfers to wallets. Banks charge 3,000–5,000.</t>
  </si>
  <si>
    <t xml:space="preserve">Mobile money above the free amount</t>
  </si>
  <si>
    <t xml:space="preserve">% of amount</t>
  </si>
  <si>
    <t xml:space="preserve">Only the part sent to wallets above the plan's free amount. 1.15% while Kelen pays the operators 1%; 1% once the partner bank gives a capped or flat price. Wave charges 1%.</t>
  </si>
  <si>
    <t xml:space="preserve">Mobile money fee: cap per transfer</t>
  </si>
  <si>
    <t xml:space="preserve">The fee above never exceeds this on a single transfer (reached at 850,000 FCFA at 1%).</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</si>
  <si>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</si>
  <si>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</si>
  <si>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</si>
  <si>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</si>
  <si>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</si>
  <si>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</si>
  <si>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</si>
  <si>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</si>
  <si>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</si>
  <si>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</si>
  <si>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</si>
  <si>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Card spending in FCFA is free.</t>
  </si>
  <si>
    <t xml:space="preserve">Paying suppliers abroad (China, Turkey, Dubai, France). The 0.6% tax on transfers out of the zone is added at cost.</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</si>
  <si>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</si>
  <si>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</si>
  <si>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</si>
  <si>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</si>
  <si>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</si>
  <si>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</si>
  <si>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 up to the plan's free amount</t>
  </si>
  <si>
    <t xml:space="preserve">Any number of employees.</t>
  </si>
  <si>
    <t xml:space="preserve">Mobile money up to the plan's free amount</t>
  </si>
  <si>
    <t xml:space="preserve">Salaries and other payments to wallets.</t>
  </si>
  <si>
    <t xml:space="preserve">Incoming transfers</t>
  </si>
  <si>
    <t xml:space="preserve">From any bank or wallet in the WAEMU.</t>
  </si>
  <si>
    <t xml:space="preserve">Card spending in FCFA</t>
  </si>
  <si>
    <t xml:space="preserve">Virtual cards up to the plan limit</t>
  </si>
  <si>
    <t xml:space="preserve">Possible income from partners (not in the plan)</t>
  </si>
  <si>
    <t xml:space="preserve">This income goes to the partner bank, which owns the accounts and cards. Nothing obliges it to share; the plan counts zero. Items to ask for in the negotiation; what they would add is on Pricing levers.</t>
  </si>
  <si>
    <t xml:space="preserve">Possible rate</t>
  </si>
  <si>
    <t xml:space="preserve">What it is</t>
  </si>
  <si>
    <t xml:space="preserve">Interchange share on card spending in FCFA</t>
  </si>
  <si>
    <t xml:space="preserve">about 0.3%</t>
  </si>
  <si>
    <t xml:space="preserve">% of spending</t>
  </si>
  <si>
    <t xml:space="preserve">Part of the fee shops pay on every card payment. The BCEAO gives it to the bank that issues the card.</t>
  </si>
  <si>
    <t xml:space="preserve">Share of bank income on client balances</t>
  </si>
  <si>
    <t xml:space="preserve">about 1.25%</t>
  </si>
  <si>
    <t xml:space="preserve">% a year</t>
  </si>
  <si>
    <t xml:space="preserve">Part of what the partner bank earns on the money clients keep in their accounts.</t>
  </si>
  <si>
    <t xml:space="preserve">Interchange on card spending abroad</t>
  </si>
  <si>
    <t xml:space="preserve">about 0.8%</t>
  </si>
  <si>
    <t xml:space="preserve">Paid by Visa / Mastercard to the bank that issues the card, on foreign payments.</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</si>
  <si>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</si>
  <si>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</si>
  <si>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</si>
  <si>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</si>
  <si>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</si>
  <si>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</si>
  <si>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</si>
  <si>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</si>
  <si>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</si>
  <si>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</si>
  <si>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</si>
  <si>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</si>
  <si>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</si>
  <si>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</si>
  <si>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</si>
  <si>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</si>
  <si>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</si>
  <si>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</si>
  <si>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</si>
  <si>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</si>
  <si>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</si>
  <si>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</si>
  <si>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</si>
  <si>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</si>
  <si>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</si>
  <si>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</si>
  <si>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</si>
  <si>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</si>
  <si>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</si>
  <si>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</si>
  <si>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</si>
  <si>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</si>
  <si>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</si>
  <si>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</si>
  <si>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</si>
  <si>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</si>
  <si>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</si>
  <si>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</si>
  <si>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</si>
  <si>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</si>
  <si>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</si>
  <si>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</si>
  <si>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</si>
  <si>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</si>
  <si>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</si>
  <si>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</si>
  <si>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</si>
  <si>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</si>
  <si>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</si>
  <si>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</si>
  <si>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</si>
  <si>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</si>
  <si>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</si>
  <si>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</si>
  <si>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</si>
  <si>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</si>
  <si>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</si>
  <si>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</si>
  <si>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</si>
  <si>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</si>
  <si>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</si>
  <si>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</si>
  <si>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</si>
  <si>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</si>
  <si>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</si>
  <si>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</si>
  <si>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</si>
  <si>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</si>
  <si>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</si>
  <si>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</si>
  <si>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</si>
  <si>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</si>
  <si>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</si>
  <si>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</si>
  <si>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</si>
  <si>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</si>
  <si>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</si>
  <si>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</si>
  <si>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</si>
  <si>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</si>
  <si>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</si>
  <si>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</si>
  <si>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</si>
  <si>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</si>
  <si>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</si>
  <si>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</si>
  <si>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</si>
  <si>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</si>
  <si>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</si>
  <si>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</si>
  <si>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</si>
  <si>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</si>
  <si>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</si>
  <si>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</si>
  <si>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</si>
  <si>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</si>
  <si>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</si>
  <si>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</si>
  <si>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</si>
  <si>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</si>
  <si>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</si>
  <si>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</si>
  <si>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</si>
  <si>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</si>
  <si>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</si>
  <si>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</si>
  <si>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</si>
  <si>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</si>
  <si>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</si>
  <si>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</si>
  <si>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</si>
  <si>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</si>
  <si>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Decision (Oct 2026): package P3. 1 user + 1 invited free, 30 transfers, 1 physical and 2 virtual cards, salaries free up to 3M FCFA a month. Below a bank's micro-business account fee (10,000).</t>
  </si>
  <si>
    <t xml:space="preserve">Pro plan</t>
  </si>
  <si>
    <t xml:space="preserve">Decision (Oct 2026): 19,500 (was 29,900; option C keeps the old price for comparison). 3 users, 150 transfers, 3 physical and 10 virtual cards, approvals, accounting module, salaries free up to 15M FCFA a month.</t>
  </si>
  <si>
    <t xml:space="preserve">Business plan</t>
  </si>
  <si>
    <t xml:space="preserve">Decision (Oct 2026): 69,500 (was 89,900). 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</si>
  <si>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</si>
  <si>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</si>
  <si>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</si>
  <si>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</si>
  <si>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</si>
  <si>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</si>
  <si>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</si>
  <si>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</si>
  <si>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</si>
  <si>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</si>
  <si>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</si>
  <si>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</si>
  <si>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</si>
  <si>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</si>
  <si>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Decision (Oct 2026): transfers to bank accounts only. Salaries never count; transfers to wallets fall under the mobile money allowance.</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</si>
  <si>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</si>
  <si>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</si>
  <si>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</si>
  <si>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</si>
  <si>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</si>
  <si>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</si>
  <si>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</si>
  <si>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to bank accounts free up to, Essentiel</t>
  </si>
  <si>
    <t xml:space="preserve">Decision (Oct 2026). Above it, each salary to a bank account costs the fee per transfer above the allowance. Average clients stay far below. Salaries to wallets count in the mobile money allowance.</t>
  </si>
  <si>
    <t xml:space="preserve">Salaries to bank accounts free up to, Pro</t>
  </si>
  <si>
    <t xml:space="preserve">Salaries to bank accounts free up to, Business</t>
  </si>
  <si>
    <t xml:space="preserve">Extra user beyond the plan</t>
  </si>
  <si>
    <t xml:space="preserve">Extra physical card beyond the plan</t>
  </si>
  <si>
    <t xml:space="preserve">Plus the one-off card fee below.</t>
  </si>
  <si>
    <t xml:space="preserve">Mobile money free up to, Essentiel</t>
  </si>
  <si>
    <t xml:space="preserve">Decision (Oct 2026): every transfer to a wallet (Wave, Orange Money…), salaries included. Fair use: the allowance cannot be split into many tiny transfers.</t>
  </si>
  <si>
    <t xml:space="preserve">Mobile money free up to, Pro</t>
  </si>
  <si>
    <t xml:space="preserve">Mobile money free up to, Business</t>
  </si>
  <si>
    <t xml:space="preserve">Fee on mobile money above the free amount</t>
  </si>
  <si>
    <t xml:space="preserve">Decision (Oct 2026): 1.15% while Kelen pays the operators' 1% (no deal, prudent); 1% once the partner bank gives a capped or flat price (base and ambitious). Wave charges 1%.</t>
  </si>
  <si>
    <t xml:space="preserve">Decision (Oct 2026). Wave Business reportedly caps its 1% at 5,000 FCFA (secondary source, to verify). The cap starts at 850,000 FCFA per transfer; average transfers (150,000–200,000) stay below it, so it does not change the totals. In prudent (cost 1%, no cap) Kelen loses on transfers above 850,000.</t>
  </si>
  <si>
    <t xml:space="preserve">Physical card fee beyond the plan (one-off)</t>
  </si>
  <si>
    <t xml:space="preserve">Printing and delivery of an extra card.</t>
  </si>
  <si>
    <t xml:space="preserve">Fee on card spending in foreign currencies</t>
  </si>
  <si>
    <t xml:space="preserve">Decision (Oct 2026): 2.5%. Cost research (Oct 2026): networks charge the issuer about 1.2%; banks charge clients 2–3% (NSIA 2.5%, UBA 2.5–3%, Coris 2% + 500 F), Djamo 3–4% + 200 F. Card spending in FCFA is free.</t>
  </si>
  <si>
    <t xml:space="preserve">Interchange earned on card spending in foreign currencies</t>
  </si>
  <si>
    <t xml:space="preserve">% of foreign spending</t>
  </si>
  <si>
    <t xml:space="preserve">Not in the plan: no partner has agreed to share it. Possible upside if negotiated: see Pricing levers. Card networks pay the issuer (the partner bank) about 0.4–1.2%.</t>
  </si>
  <si>
    <t xml:space="preserve">Card spending in foreign currencies allowed by the FX rules</t>
  </si>
  <si>
    <t xml:space="preserve">Règlement 06/2024/CM/UEMOA, Art. 47, limits residents' card use abroad to usual travel and personal expenses. Prudent assumes 40% of SME foreign card spending (ads, software) is blocked.</t>
  </si>
  <si>
    <t xml:space="preserve">Interchange share received on FCFA card spending</t>
  </si>
  <si>
    <t xml:space="preserve">Not in the plan: no partner has agreed to share it. Possible upside if negotiated: see Pricing levers. The BCEAO gives the issuer (the partner bank) 20% of the merchant fee, about 0.4–0.7%.</t>
  </si>
  <si>
    <t xml:space="preserve">Not in the plan: no partner has agreed to share it. Possible upside if negotiated: see Pricing levers. The partner bank earns about 3–5% a year on client balances.</t>
  </si>
  <si>
    <t xml:space="preserve">Fee per transfer above the plan allowance</t>
  </si>
  <si>
    <t xml:space="preserve">Decision (Oct 2026). Allowance: 30 / 150 / 500 transfers to bank accounts a month; salaries and transfers to wallets never count. Also charged on each salary to a bank account above the free amount. Banks charge 3,000–5,000 per interbank transfer.</t>
  </si>
  <si>
    <t xml:space="preserve">Payment links: fee on mobile money collections</t>
  </si>
  <si>
    <t xml:space="preserve">Decision (Oct 2026): 1.2%. Cost research (Oct 2026): gateways charge 1.5–3% (PayTech 1.5–2%, PayDunya 2.25%, Flutterwave 2%); Wave and Orange merchant 1%. Card and transfer payments are free.</t>
  </si>
  <si>
    <t xml:space="preserve">Payment links: operator and aggregator cost</t>
  </si>
  <si>
    <t xml:space="preserve">Cost research (Oct 2026): Wave and Orange merchant pricing 1%; gateways 1.5–3%; receiving through PI-SPI is free. Ambitious = direct operator deal or PI-SPI routing.</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</si>
  <si>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</si>
  <si>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</si>
  <si>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</si>
  <si>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</si>
  <si>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</si>
  <si>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</si>
  <si>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</si>
  <si>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</si>
  <si>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Decision (Oct 2026): 900. Still about 2×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</si>
  <si>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</si>
  <si>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</si>
  <si>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</si>
  <si>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</si>
  <si>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Cost research (Oct 2026): WhatsApp utility message about 2.3 FCFA (Meta, Rest of Africa); Orange SMS 4–10 FCFA; plus computing.</t>
  </si>
  <si>
    <t xml:space="preserve">International supplier payments go live</t>
  </si>
  <si>
    <t xml:space="preserve">Through the partner bank's foreign-exchange set-up, under the 2024 WAEMU foreign-exchange rules.</t>
  </si>
  <si>
    <t xml:space="preserve">International payments: fee charged (FX margin)</t>
  </si>
  <si>
    <t xml:space="preserve">Decision (Oct 2026): 2%. The 0.6% tax on transfers out of the zone is passed on to the client at cost. Banks charge business clients 0.85–2% plus 25–60k FCFA fixed fees and an FX margin; informal channels 3–8%.</t>
  </si>
  <si>
    <t xml:space="preserve">International payments: cost to Kelen</t>
  </si>
  <si>
    <t xml:space="preserve">Cost research (Oct 2026): EUR about 0.5%; USD, CNY, AED and TRY about 1.2% (BCEAO buy/sell spread ±0.6% on USD, ±1% on CNY, plus correspondent fees). Quote needed from the partner bank.</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</si>
  <si>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</si>
  <si>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</si>
  <si>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</si>
  <si>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</si>
  <si>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</si>
  <si>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</si>
  <si>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</si>
  <si>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</si>
  <si>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</si>
  <si>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</si>
  <si>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</si>
  <si>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</si>
  <si>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</si>
  <si>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</si>
  <si>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</si>
  <si>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</si>
  <si>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</si>
  <si>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</si>
  <si>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</si>
  <si>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</si>
  <si>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</si>
  <si>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</si>
  <si>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</si>
  <si>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All transfers out above the allowance; the model keeps only the share going to bank accounts (1 − share sent to wallets). Most clients stay inside;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</si>
  <si>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</si>
  <si>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</si>
  <si>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</si>
  <si>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</si>
  <si>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</si>
  <si>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</si>
  <si>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</si>
  <si>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</si>
  <si>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</si>
  <si>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</si>
  <si>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</si>
  <si>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</si>
  <si>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</si>
  <si>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</si>
  <si>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</si>
  <si>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</si>
  <si>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</si>
  <si>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</si>
  <si>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</si>
  <si>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</si>
  <si>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</si>
  <si>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</si>
  <si>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</si>
  <si>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Share of other transfers sent to wallets</t>
  </si>
  <si>
    <t xml:space="preserve">Assumption: suppliers, drivers, small contractors paid on Wave or Orange Money. To check with clients.</t>
  </si>
  <si>
    <t xml:space="preserve">Average transfer to a wallet (non-salary)</t>
  </si>
  <si>
    <t xml:space="preserve">Assumption. To check with clients.</t>
  </si>
  <si>
    <t xml:space="preserve">Clients sending half the plan's average to wallets</t>
  </si>
  <si>
    <t xml:space="preserve">Clients are not all average: half send about half the average, 30% the average, the rest 2.25 times the average. Used for the fee above the free amount.</t>
  </si>
  <si>
    <t xml:space="preserve">Clients sending the plan's average to wallets</t>
  </si>
  <si>
    <t xml:space="preserve">Employees who open a Kelen salary account</t>
  </si>
  <si>
    <t xml:space="preserve">6. Cost to serve (variable costs)</t>
  </si>
  <si>
    <t xml:space="preserve">Partner bank fee per business account</t>
  </si>
  <si>
    <t xml:space="preserve">Cost research (Oct 2026): no WAEMU bank–fintech deal publishes its terms; UBA CI charges SMEs at least 5,000 retail.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</si>
  <si>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</si>
  <si>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</si>
  <si>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</si>
  <si>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</si>
  <si>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</si>
  <si>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</si>
  <si>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</si>
  <si>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</si>
  <si>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Cost research (Oct 2026): processors (Paymentology, HPS, Visa DPS, GIM-UEMOA) quote privately; proxy: Sudo Nigeria ₦50 per card plus per-authorisation fees. Quote needed.</t>
  </si>
  <si>
    <t xml:space="preserve">Physical card printed and delivered</t>
  </si>
  <si>
    <t xml:space="preserve">3,000–6,000 FCFA.</t>
  </si>
  <si>
    <t xml:space="preserve">Visa / Mastercard cross-border fees</t>
  </si>
  <si>
    <t xml:space="preserve">Cost research (Oct 2026): cross-border assessment about 0.9–1% plus a fixed fee per transaction (about $0.43, proxy); 0.8–2% range.</t>
  </si>
  <si>
    <t xml:space="preserve">Fraud and chargebacks</t>
  </si>
  <si>
    <t xml:space="preserve">% of card spending</t>
  </si>
  <si>
    <t xml:space="preserve">0.1–0.3%.</t>
  </si>
  <si>
    <t xml:space="preserve">Cost of a transfer to a wallet: % of amount</t>
  </si>
  <si>
    <t xml:space="preserve">Cost research (Oct 2026): Wave Business and Orange Money charge 1% (Orange 1.5% to other wallets); aggregators 1.5–2%. Prudent: no deal, 1%. Base: bank route at 1% capped at 500 FCFA (BOA and Wave's bank bridge). Ambitious: flat price on PI-SPI through the partner bank.</t>
  </si>
  <si>
    <t xml:space="preserve">Cost of a transfer to a wallet: cap (0 = no cap)</t>
  </si>
  <si>
    <t xml:space="preserve">Cost of a transfer to a wallet: flat part</t>
  </si>
  <si>
    <t xml:space="preserve">PI-SPI business pricing is set freely by each bank: 200 FCFA is a negotiation target, not a quote.</t>
  </si>
  <si>
    <t xml:space="preserve">Cost of a salary paid to a bank account</t>
  </si>
  <si>
    <t xml:space="preserve">FCFA / payout</t>
  </si>
  <si>
    <t xml:space="preserve">Cost research (Oct 2026): online transfers 150–2,000 FCFA in bank tariffs; same-bank transfers free.</t>
  </si>
  <si>
    <t xml:space="preserve">Cost of a transfer to a bank account</t>
  </si>
  <si>
    <t xml:space="preserve">Cost research (Oct 2026): 150 FCFA (SG Sénégal, unconfirmed) to 750 (UBA CI) and 2,000 (BOA Sénégal) per online transfer; above 50M FCFA the RTGS costs 15,000+.</t>
  </si>
  <si>
    <t xml:space="preserve">SMS, WhatsApp and support tools per client</t>
  </si>
  <si>
    <t xml:space="preserve">Cost research (Oct 2026): WhatsApp utility/authentication about 2.3 FCFA a message, Orange SMS 4–10 FCFA; plus support software seats.</t>
  </si>
  <si>
    <t xml:space="preserve">Messages per employee account</t>
  </si>
  <si>
    <t xml:space="preserve">Cost research (Oct 2026).</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</si>
  <si>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</si>
  <si>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</si>
  <si>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</si>
  <si>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</si>
  <si>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</si>
  <si>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</si>
  <si>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</si>
  <si>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</si>
  <si>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</si>
  <si>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</si>
  <si>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</si>
  <si>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</si>
  <si>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</si>
  <si>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</si>
  <si>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</si>
  <si>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</si>
  <si>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</si>
  <si>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</si>
  <si>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</si>
  <si>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</si>
  <si>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</si>
  <si>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</si>
  <si>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</si>
  <si>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</si>
  <si>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</si>
  <si>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</si>
  <si>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</si>
  <si>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</si>
  <si>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</si>
  <si>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Cost research (Oct 2026): large WAEMU microfinance institutions 4.3% net bad loans (2025); Advans CI PAR30 4.64%.</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</si>
  <si>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</si>
  <si>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</si>
  <si>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</si>
  <si>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</si>
  <si>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</si>
  <si>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</si>
  <si>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</si>
  <si>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Cost research (Oct 2026): same benchmarks.</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</si>
  <si>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</si>
  <si>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</si>
  <si>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</si>
  <si>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</si>
  <si>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</si>
  <si>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</si>
  <si>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</si>
  <si>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</si>
  <si>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</si>
  <si>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</si>
  <si>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</si>
  <si>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</si>
  <si>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</si>
  <si>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</si>
  <si>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</si>
  <si>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</si>
  <si>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</si>
  <si>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</si>
  <si>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</si>
  <si>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</si>
  <si>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</si>
  <si>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</si>
  <si>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</si>
  <si>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</si>
  <si>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</si>
  <si>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</si>
  <si>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</si>
  <si>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</si>
  <si>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</si>
  <si>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</si>
  <si>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</si>
  <si>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</si>
  <si>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</si>
  <si>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</si>
  <si>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</si>
  <si>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</si>
  <si>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</si>
  <si>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</si>
  <si>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</si>
  <si>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</si>
  <si>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</si>
  <si>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</si>
  <si>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</si>
  <si>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</si>
  <si>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</si>
  <si>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</si>
  <si>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</si>
  <si>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</si>
  <si>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</si>
  <si>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</si>
  <si>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</si>
  <si>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</si>
  <si>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</si>
  <si>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</si>
  <si>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</si>
  <si>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</si>
  <si>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</si>
  <si>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</si>
  <si>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</si>
  <si>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</si>
  <si>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</si>
  <si>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</si>
  <si>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</si>
  <si>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</si>
  <si>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</si>
  <si>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</si>
  <si>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</si>
  <si>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</si>
  <si>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</si>
  <si>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</si>
  <si>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</si>
  <si>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</si>
  <si>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</si>
  <si>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</si>
  <si>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</si>
  <si>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</si>
  <si>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</si>
  <si>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</si>
  <si>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</si>
  <si>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</si>
  <si>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</si>
  <si>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</si>
  <si>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</si>
  <si>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</si>
  <si>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</si>
  <si>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</si>
  <si>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</si>
  <si>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</si>
  <si>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</si>
  <si>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</si>
  <si>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</si>
  <si>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</si>
  <si>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</si>
  <si>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</si>
  <si>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</si>
  <si>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</si>
  <si>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</si>
  <si>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</si>
  <si>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</si>
  <si>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</si>
  <si>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</si>
  <si>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</si>
  <si>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</si>
  <si>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</si>
  <si>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</si>
  <si>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</si>
  <si>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</si>
  <si>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</si>
  <si>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</si>
  <si>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</si>
  <si>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</si>
  <si>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</si>
  <si>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</si>
  <si>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</si>
  <si>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</si>
  <si>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Identity-check vendor monthly minimum</t>
  </si>
  <si>
    <t xml:space="preserve">Cost research (Oct 2026): Sumsub-type vendors charge $149–299 a month minimum; the usage fees below count towards it.</t>
  </si>
  <si>
    <t xml:space="preserve">Credit bureau membership and reports</t>
  </si>
  <si>
    <t xml:space="preserve">FCFA / year</t>
  </si>
  <si>
    <t xml:space="preserve">Cost research (Oct 2026): BIC UEMOA (Creditinfo VoLo) 3.8M FCFA a year for banks and financial institutions (1.8M for large SFDs) plus 400–1,000 FCFA per report. From the first loans.</t>
  </si>
  <si>
    <t xml:space="preserve">Transaction monitoring and sanctions screening</t>
  </si>
  <si>
    <t xml:space="preserve">Cost research (Oct 2026): screening starter plans $99–319 a month exclude monitoring; usage-based monitoring about $0.02 per transaction.</t>
  </si>
  <si>
    <t xml:space="preserve">Freelance QA testing and DevOps on-call</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</si>
  <si>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</si>
  <si>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</si>
  <si>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</si>
  <si>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</si>
  <si>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</si>
  <si>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</si>
  <si>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</si>
  <si>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</si>
  <si>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</si>
  <si>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</si>
  <si>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</si>
  <si>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</si>
  <si>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</si>
  <si>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</si>
  <si>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</si>
  <si>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</si>
  <si>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</si>
  <si>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</si>
  <si>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</si>
  <si>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</si>
  <si>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</si>
  <si>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</si>
  <si>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</si>
  <si>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</si>
  <si>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</si>
  <si>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</si>
  <si>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</si>
  <si>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</si>
  <si>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</si>
  <si>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</si>
  <si>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</si>
  <si>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</si>
  <si>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</si>
  <si>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</si>
  <si>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</si>
  <si>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</si>
  <si>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</si>
  <si>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</si>
  <si>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</si>
  <si>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</si>
  <si>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</si>
  <si>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</si>
  <si>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</si>
  <si>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</si>
  <si>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</si>
  <si>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</si>
  <si>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</si>
  <si>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</si>
  <si>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</si>
  <si>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</si>
  <si>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</si>
  <si>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</si>
  <si>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</si>
  <si>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</si>
  <si>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</si>
  <si>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</si>
  <si>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</si>
  <si>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</si>
  <si>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</si>
  <si>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</si>
  <si>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</si>
  <si>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</si>
  <si>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</si>
  <si>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</si>
  <si>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</si>
  <si>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</si>
  <si>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</si>
  <si>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</si>
  <si>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</si>
  <si>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</si>
  <si>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</si>
  <si>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</si>
  <si>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</si>
  <si>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</si>
  <si>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</si>
  <si>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</si>
  <si>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</si>
  <si>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</si>
  <si>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</si>
  <si>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</si>
  <si>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</si>
  <si>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</si>
  <si>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</si>
  <si>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</si>
  <si>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</si>
  <si>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</si>
  <si>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</si>
  <si>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</si>
  <si>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</si>
  <si>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</si>
  <si>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</si>
  <si>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</si>
  <si>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Bank transfers above the plan allowance</t>
  </si>
  <si>
    <t xml:space="preserve">Paid bank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</si>
  <si>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</si>
  <si>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</si>
  <si>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</si>
  <si>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</si>
  <si>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</si>
  <si>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</si>
  <si>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Mobile money above the free amount (average client)</t>
  </si>
  <si>
    <t xml:space="preserve">Amount sent to wallets above the plan's free amount × fee (clients spread around the average)</t>
  </si>
  <si>
    <t xml:space="preserve">Payroll module (average client)</t>
  </si>
  <si>
    <t xml:space="preserve">Employees × uptake × price per payslip</t>
  </si>
  <si>
    <t xml:space="preserve">International payments (average client)</t>
  </si>
  <si>
    <t xml:space="preserve">Monthly volume × uptake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</si>
  <si>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</si>
  <si>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</si>
  <si>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</si>
  <si>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</si>
  <si>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</si>
  <si>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</si>
  <si>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</si>
  <si>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Transfers to wallets (salaries and others)</t>
  </si>
  <si>
    <t xml:space="preserve">Transfers to wallets × cost per transfer</t>
  </si>
  <si>
    <t xml:space="preserve">Salaries paid to bank accounts</t>
  </si>
  <si>
    <t xml:space="preserve">Employees × share to banks × cost per transfer</t>
  </si>
  <si>
    <t xml:space="preserve">Transfers to bank accounts</t>
  </si>
  <si>
    <t xml:space="preserve">Transfers to banks × cost per transfer</t>
  </si>
  <si>
    <t xml:space="preserve">International payments</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</si>
  <si>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</si>
  <si>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</si>
  <si>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</si>
  <si>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</si>
  <si>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</si>
  <si>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</si>
  <si>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</si>
  <si>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</si>
  <si>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</si>
  <si>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</si>
  <si>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</si>
  <si>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</si>
  <si>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</si>
  <si>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</si>
  <si>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</si>
  <si>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</si>
  <si>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</si>
  <si>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</si>
  <si>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</si>
  <si>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</si>
  <si>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</si>
  <si>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</si>
  <si>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</si>
  <si>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</si>
  <si>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</si>
  <si>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</si>
  <si>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</si>
  <si>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</si>
  <si>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</si>
  <si>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</si>
  <si>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</si>
  <si>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</si>
  <si>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</si>
  <si>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</si>
  <si>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</si>
  <si>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</si>
  <si>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</si>
  <si>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</si>
  <si>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</si>
  <si>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</si>
  <si>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</si>
  <si>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</si>
  <si>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</si>
  <si>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</si>
  <si>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</si>
  <si>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</si>
  <si>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</si>
  <si>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International payment</t>
  </si>
  <si>
    <t xml:space="preserve">Fee on foreign-currency card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</si>
  <si>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</si>
  <si>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</si>
  <si>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</si>
  <si>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</si>
  <si>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</si>
  <si>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</si>
  <si>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</si>
  <si>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</si>
  <si>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</si>
  <si>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</si>
  <si>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</si>
  <si>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</si>
  <si>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</si>
  <si>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</si>
  <si>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</si>
  <si>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</si>
  <si>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</si>
  <si>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</si>
  <si>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</si>
  <si>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</si>
  <si>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</si>
  <si>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</si>
  <si>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</si>
  <si>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</si>
  <si>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</si>
  <si>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</si>
  <si>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</si>
  <si>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</si>
  <si>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</si>
  <si>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</si>
  <si>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</si>
  <si>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</si>
  <si>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</si>
  <si>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</si>
  <si>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</si>
  <si>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</si>
  <si>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</si>
  <si>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</si>
  <si>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</si>
  <si>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</si>
  <si>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</si>
  <si>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</si>
  <si>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</si>
  <si>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</si>
  <si>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</si>
  <si>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</si>
  <si>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</si>
  <si>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</si>
  <si>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</si>
  <si>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</si>
  <si>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</si>
  <si>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</si>
  <si>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</si>
  <si>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</si>
  <si>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</si>
  <si>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</si>
  <si>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</si>
  <si>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</si>
  <si>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</si>
  <si>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</si>
  <si>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</si>
  <si>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</si>
  <si>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</si>
  <si>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</si>
  <si>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</si>
  <si>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</si>
  <si>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</si>
  <si>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</si>
  <si>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</si>
  <si>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</si>
  <si>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</si>
  <si>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</si>
  <si>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</si>
  <si>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</si>
  <si>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</si>
  <si>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</si>
  <si>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</si>
  <si>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</si>
  <si>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</si>
  <si>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</si>
  <si>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</si>
  <si>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</si>
  <si>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</si>
  <si>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</si>
  <si>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</si>
  <si>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</si>
  <si>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</si>
  <si>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</si>
  <si>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</si>
  <si>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</si>
  <si>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</si>
  <si>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</si>
  <si>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</si>
  <si>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</si>
  <si>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</si>
  <si>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</si>
  <si>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</si>
  <si>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</si>
  <si>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</si>
  <si>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</si>
  <si>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</si>
  <si>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</si>
  <si>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</si>
  <si>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</si>
  <si>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</si>
  <si>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</si>
  <si>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</si>
  <si>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</si>
  <si>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</si>
  <si>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</si>
  <si>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</si>
  <si>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</si>
  <si>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</si>
  <si>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</si>
  <si>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</si>
  <si>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</si>
  <si>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</si>
  <si>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</si>
  <si>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</si>
  <si>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</si>
  <si>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</si>
  <si>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</si>
  <si>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</si>
  <si>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</si>
  <si>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</si>
  <si>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</si>
  <si>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</si>
  <si>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</si>
  <si>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</si>
  <si>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</si>
  <si>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</si>
  <si>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</si>
  <si>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</si>
  <si>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</si>
  <si>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</si>
  <si>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</si>
  <si>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</si>
  <si>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</si>
  <si>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</si>
  <si>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</si>
  <si>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</si>
  <si>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</si>
  <si>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</si>
  <si>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</si>
  <si>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</si>
  <si>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</si>
  <si>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</si>
  <si>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</si>
  <si>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</si>
  <si>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</si>
  <si>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</si>
  <si>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</si>
  <si>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</si>
  <si>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</si>
  <si>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</si>
  <si>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</si>
  <si>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</si>
  <si>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</si>
  <si>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</si>
  <si>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</si>
  <si>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</si>
  <si>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</si>
  <si>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</si>
  <si>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</si>
  <si>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</si>
  <si>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</si>
  <si>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</si>
  <si>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Amount sent to wallets (salaries and others)</t>
  </si>
  <si>
    <t xml:space="preserve">Extra users beyond the plans</t>
  </si>
  <si>
    <t xml:space="preserve">Extra physical cards beyond the plans (in use)</t>
  </si>
  <si>
    <t xml:space="preserve">Mobile money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</si>
  <si>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</si>
  <si>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</si>
  <si>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</si>
  <si>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</si>
  <si>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</si>
  <si>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</si>
  <si>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</si>
  <si>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</si>
  <si>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</si>
  <si>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</si>
  <si>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</si>
  <si>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 (not in the plan)</t>
  </si>
  <si>
    <t xml:space="preserve">Share of bank income on client balances (not in the plan)</t>
  </si>
  <si>
    <t xml:space="preserve">Physical card fees (one-off, cards beyond the plan)</t>
  </si>
  <si>
    <t xml:space="preserve">Transfers above the plan allowance</t>
  </si>
  <si>
    <t xml:space="preserve">Payment link fees</t>
  </si>
  <si>
    <t xml:space="preserve">Interchange on card spending abroad (not in the plan)</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</si>
  <si>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</si>
  <si>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</si>
  <si>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</si>
  <si>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</si>
  <si>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</si>
  <si>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</si>
  <si>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</si>
  <si>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</si>
  <si>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</si>
  <si>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</si>
  <si>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</si>
  <si>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</si>
  <si>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</si>
  <si>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</si>
  <si>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</si>
  <si>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</si>
  <si>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</si>
  <si>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</si>
  <si>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</si>
  <si>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</si>
  <si>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</si>
  <si>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</si>
  <si>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</si>
  <si>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</si>
  <si>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Transfers to bank accounts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</si>
  <si>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</si>
  <si>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</si>
  <si>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</si>
  <si>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</si>
  <si>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</si>
  <si>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</si>
  <si>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</si>
  <si>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</si>
  <si>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</si>
  <si>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</si>
  <si>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</si>
  <si>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</si>
  <si>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Identity-check vendor minimum (above usage)</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</si>
  <si>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</si>
  <si>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</si>
  <si>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</si>
  <si>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</si>
  <si>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</si>
  <si>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</si>
  <si>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</si>
  <si>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</si>
  <si>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</si>
  <si>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</si>
  <si>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</si>
  <si>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</si>
  <si>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</si>
  <si>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</si>
  <si>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</si>
  <si>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</si>
  <si>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</si>
  <si>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</si>
  <si>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</si>
  <si>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</si>
  <si>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</si>
  <si>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</si>
  <si>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</si>
  <si>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</si>
  <si>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Interchange share (not in the plan)</t>
  </si>
  <si>
    <t xml:space="preserve">Share of bank income on balances (not in the plan)</t>
  </si>
  <si>
    <t xml:space="preserve">Physical card fees</t>
  </si>
  <si>
    <t xml:space="preserve">Interchange abroad (not in the plan)</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</si>
  <si>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</si>
  <si>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</si>
  <si>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</si>
  <si>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</si>
  <si>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</si>
  <si>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</si>
  <si>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</si>
  <si>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</si>
  <si>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</si>
  <si>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</si>
  <si>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</si>
  <si>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</si>
  <si>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</si>
  <si>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</si>
  <si>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</si>
  <si>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</si>
  <si>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</si>
  <si>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</si>
  <si>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</si>
  <si>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</si>
  <si>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</si>
  <si>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</si>
  <si>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</si>
  <si>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</si>
  <si>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</si>
  <si>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</si>
  <si>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</si>
  <si>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</si>
  <si>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</si>
  <si>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</si>
  <si>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</si>
  <si>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</si>
  <si>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</si>
  <si>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</si>
  <si>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</si>
  <si>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</si>
  <si>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</si>
  <si>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</si>
  <si>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</si>
  <si>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</si>
  <si>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</si>
  <si>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</si>
  <si>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</si>
  <si>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</si>
  <si>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</si>
  <si>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</si>
  <si>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</si>
  <si>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</si>
  <si>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</si>
  <si>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</si>
  <si>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</si>
  <si>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</si>
  <si>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</si>
  <si>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</si>
  <si>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</si>
  <si>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</si>
  <si>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</si>
  <si>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</si>
  <si>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bank transfers above the allowance</t>
  </si>
  <si>
    <t xml:space="preserve">Average extra bank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</si>
  <si>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</si>
  <si>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</si>
  <si>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</si>
  <si>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</si>
  <si>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</si>
  <si>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</si>
  <si>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</si>
  <si>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</si>
  <si>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</si>
  <si>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</si>
  <si>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 of the amount sent to wallets above each plan's free amount.</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</si>
  <si>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</si>
  <si>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</si>
  <si>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</si>
  <si>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</si>
  <si>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</si>
  <si>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</si>
  <si>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</si>
  <si>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</si>
  <si>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</si>
  <si>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</si>
  <si>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</si>
  <si>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Foreign card spending allowed (FX rules)</t>
  </si>
  <si>
    <t xml:space="preserve">Share of SME foreign card spending the 2024 FX rules allow (1 = all). E.g. -0.4 if ads and software by card are blocked.</t>
  </si>
  <si>
    <t xml:space="preserve">Payment links: fee</t>
  </si>
  <si>
    <t xml:space="preserve">Fee on mobile-money collections through payment links.</t>
  </si>
  <si>
    <t xml:space="preserve">Goes to the partner bank, which owns the accounts and cards; nothing obliges it to share. Kept at zero in the P&amp;L. What each would add if negotiated.</t>
  </si>
  <si>
    <t xml:space="preserve">Interchange share on FCFA card spending</t>
  </si>
  <si>
    <t xml:space="preserve">Part of the fee shops pay on card payments, if the bank shares it.</t>
  </si>
  <si>
    <t xml:space="preserve">Paid by Visa / Mastercard to the issuing bank, if shared.</t>
  </si>
  <si>
    <t xml:space="preserve">Share of bank income on balances</t>
  </si>
  <si>
    <t xml:space="preserve">Part of what the bank earns on client balances, per year, if shared.</t>
  </si>
  <si>
    <t xml:space="preserve">Costs to negotiate</t>
  </si>
  <si>
    <t xml:space="preserve">Lower costs raise EBITDA without changing what clients pay. Type a negative change for a lower cost.</t>
  </si>
  <si>
    <t xml:space="preserve">Transfers to wallets: average cost per transfer</t>
  </si>
  <si>
    <t xml:space="preserve">FCFA per transfer to a wallet (salaries and others). E.g. -200 for a cheaper PI-SPI price.</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</si>
  <si>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</si>
  <si>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</si>
  <si>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</si>
  <si>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</si>
  <si>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</si>
  <si>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</si>
  <si>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</si>
  <si>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</si>
  <si>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</si>
  <si>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</si>
  <si>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</si>
  <si>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</si>
  <si>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</si>
  <si>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</si>
  <si>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</si>
  <si>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</si>
  <si>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</si>
  <si>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</si>
  <si>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</si>
  <si>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</si>
  <si>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</si>
  <si>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 the interchange earned abroad comes on top.</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</si>
  <si>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</si>
  <si>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</si>
  <si>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</si>
  <si>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</si>
  <si>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</si>
  <si>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</si>
  <si>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</si>
  <si>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</si>
  <si>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</si>
  <si>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</si>
  <si>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</si>
  <si>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</si>
  <si>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</si>
  <si>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</si>
  <si>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</si>
  <si>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</si>
  <si>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</si>
  <si>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</si>
  <si>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</si>
  <si>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</si>
  <si>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</si>
  <si>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</si>
  <si>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</si>
  <si>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</si>
  <si>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</si>
  <si>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</si>
  <si>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</si>
  <si>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</si>
  <si>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</si>
  <si>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</si>
  <si>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</si>
  <si>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</si>
  <si>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</si>
  <si>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</si>
  <si>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</si>
  <si>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</si>
  <si>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</si>
  <si>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</si>
  <si>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</si>
  <si>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</si>
  <si>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</si>
  <si>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</si>
  <si>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</si>
  <si>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</si>
  <si>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</si>
  <si>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</si>
  <si>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</si>
  <si>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</si>
  <si>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</si>
  <si>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</si>
  <si>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</si>
  <si>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</si>
  <si>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</si>
  <si>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</si>
  <si>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</si>
  <si>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</si>
  <si>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</si>
  <si>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</si>
  <si>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</si>
  <si>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</si>
  <si>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</si>
  <si>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</si>
  <si>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</si>
  <si>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</si>
  <si>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Mobile money fees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</si>
  <si>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</si>
  <si>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</si>
  <si>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</si>
  <si>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</si>
  <si>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</si>
  <si>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</si>
  <si>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</si>
  <si>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</si>
  <si>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</si>
  <si>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</si>
  <si>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</si>
  <si>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</si>
  <si>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</si>
  <si>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</si>
  <si>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</si>
  <si>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</si>
  <si>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</si>
  <si>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</si>
  <si>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</si>
  <si>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</si>
  <si>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</si>
  <si>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</si>
  <si>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</si>
  <si>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</si>
  <si>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</si>
  <si>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</si>
  <si>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</si>
  <si>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</si>
  <si>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</si>
  <si>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</si>
  <si>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</si>
  <si>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</si>
  <si>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</si>
  <si>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</si>
  <si>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</si>
  <si>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</si>
  <si>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</si>
  <si>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</si>
  <si>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</si>
  <si>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</si>
  <si>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</si>
  <si>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</si>
  <si>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</si>
  <si>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</si>
  <si>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</si>
  <si>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</si>
  <si>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</si>
  <si>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</si>
  <si>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</si>
  <si>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</si>
  <si>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</si>
  <si>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</si>
  <si>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</si>
  <si>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</si>
  <si>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</si>
  <si>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</si>
  <si>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</si>
  <si>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</si>
  <si>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</si>
  <si>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</si>
  <si>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</si>
  <si>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</si>
  <si>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</si>
  <si>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</si>
  <si>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</si>
  <si>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</si>
  <si>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</si>
  <si>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</si>
  <si>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</si>
  <si>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</si>
  <si>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</si>
  <si>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</si>
  <si>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</si>
  <si>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</si>
  <si>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</si>
  <si>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</si>
  <si>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</si>
  <si>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</si>
  <si>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</si>
  <si>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</si>
  <si>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</si>
  <si>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</si>
  <si>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</si>
  <si>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</si>
  <si>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</si>
  <si>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</si>
  <si>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</si>
  <si>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</si>
  <si>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</si>
  <si>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</si>
  <si>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</si>
  <si>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</si>
  <si>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</si>
  <si>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</si>
  <si>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</si>
  <si>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</si>
  <si>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</si>
  <si>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</si>
  <si>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</si>
  <si>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None in the plan: balance income stays with the partner bank unless it agrees to share it</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</si>
  <si>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</si>
  <si>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</si>
  <si>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</si>
  <si>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</si>
  <si>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</si>
  <si>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Règlement 06/2024 card payments abroad go through the partner bank. Art. 47 limits residents' card use abroad to usual travel and personal expenses, and Art. 12 makes banks check card use against import-payment rules. SME spending on foreign ads and software by card may be restricted: confirm with the partner bank. Visa / Mastercard charge the issuer about 1.2% on foreign spending and pay interchange back.</t>
  </si>
  <si>
    <t xml:space="preserve">Règlement n°06/2024/CM/UEMOA, Arts 12, 47; BCEAO instructions 001–015-07-2025/RFE</t>
  </si>
  <si>
    <t xml:space="preserve">Fee on foreign card spending 2.5%, network costs; prudent scenario cuts foreign card spending by 40%</t>
  </si>
  <si>
    <t xml:space="preserve">To confirm</t>
  </si>
  <si>
    <t xml:space="preserve">Instant payments</t>
  </si>
  <si>
    <t xml:space="preserve">Payouts to wallets and bank accounts run through the partner's connection to PI-SPI. From 2 November 2026 every interoperable transfer must go through PI-SPI (175 participants, Wave included). The BCEAO communiqué of 2 October 2026 prices only transfers between individuals: free up to 8,000 FCFA a day per user and institution, then 0–0.8%; receiving free. Business, bulk and merchant payments are priced freely by each institution, so Kelen's cost depends on the partner bank. The earlier '30 free receipts then up to 1%' rule was the launch regime, now replaced. Ecobank has certified PI-SPI business APIs in all 8 countries.</t>
  </si>
  <si>
    <t xml:space="preserve">BCEAO communiqué of 2 Oct 2026; BCEAO PI-SPI participant list, 30 Sept 2026</t>
  </si>
  <si>
    <t xml:space="preserve">Cost of transfers to wallets: 1% (prudent), 1% capped at 500 FCFA (base), 200 FCFA flat (ambitious); fee above the free amount 1.15% / 1% / 1%</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</si>
  <si>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</si>
  <si>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</si>
  <si>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</si>
  <si>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</si>
  <si>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Transfers out of the zone</t>
  </si>
  <si>
    <t xml:space="preserve">Every transfer out of the WAEMU pays a 0.6% tax, on top of bank commissions (0.85–2% for business clients) and fixed fees. Importers must domiciliate import payments with a bank.</t>
  </si>
  <si>
    <t xml:space="preserve">Cost research, Oct 2026 (bank tariffs, BCEAO FX rules)</t>
  </si>
  <si>
    <t xml:space="preserve">International payments: tax passed on to clients at cost; Kelen keeps its 2% fee minus about 1% cost</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</si>
  <si>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</si>
  <si>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</si>
  <si>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</si>
  <si>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</si>
  <si>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</si>
  <si>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</si>
  <si>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</si>
  <si>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</si>
  <si>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</si>
  <si>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</si>
  <si>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</si>
  <si>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</si>
  <si>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</si>
  <si>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</si>
  <si>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Lenders must report to and consult the regional credit bureau (BIC UEMOA, run by Creditinfo VoLo). Membership costs 3.8M FCFA a year for banks and financial institutions (1.8M for large microfinance institutions) plus 400–1,000 FCFA per report.</t>
  </si>
  <si>
    <t xml:space="preserve">BCEAO uniform law on credit information bureaus; Creditinfo VoLo tariffs (via cost research, Oct 2026)</t>
  </si>
  <si>
    <t xml:space="preserve">Credit bureau line (Costs, legal and regulatory)</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</si>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</sst>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annual'!$D$23:$H$23</c:f>
              <c:numCache>
                <c:formatCode>#,##0;\(#,##0\);\-</c:formatCode>
                <c:ptCount val="5"/>
                <c:pt idx="0">
                  <c:v>117350604.73816</c:v>
                </c:pt>
                <c:pt idx="1">
                  <c:v>895407566.617667</c:v>
                </c:pt>
                <c:pt idx="2">
                  <c:v>2891743201.94266</c:v>
                </c:pt>
                <c:pt idx="3">
                  <c:v>5812469356.2339</c:v>
                </c:pt>
                <c:pt idx="4">
                  <c:v>9777573734.79566</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446239165.875119</c:v>
                </c:pt>
                <c:pt idx="1">
                  <c:v>690615546.403204</c:v>
                </c:pt>
                <c:pt idx="2">
                  <c:v>999981060.400578</c:v>
                </c:pt>
                <c:pt idx="3">
                  <c:v>1277289252.19084</c:v>
                </c:pt>
                <c:pt idx="4">
                  <c:v>1642869037.20637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annual'!$D$45:$H$45</c:f>
              <c:numCache>
                <c:formatCode>#,##0;\(#,##0\);\-</c:formatCode>
                <c:ptCount val="5"/>
                <c:pt idx="0">
                  <c:v>-408106197.546165</c:v>
                </c:pt>
                <c:pt idx="1">
                  <c:v>-309366896.242274</c:v>
                </c:pt>
                <c:pt idx="2">
                  <c:v>305150304.163022</c:v>
                </c:pt>
                <c:pt idx="3">
                  <c:v>1403585424.94658</c:v>
                </c:pt>
                <c:pt idx="4">
                  <c:v>2893884571.23291</c:v>
                </c:pt>
              </c:numCache>
            </c:numRef>
          </c:val>
        </c:ser>
        <c:gapWidth val="150"/>
        <c:overlap val="0"/>
        <c:axId val="68847093"/>
        <c:axId val="54836967"/>
      </c:barChart>
      <c:catAx>
        <c:axId val="6884709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36967"/>
        <c:crosses val="autoZero"/>
        <c:auto val="1"/>
        <c:lblAlgn val="ctr"/>
        <c:lblOffset val="100"/>
        <c:noMultiLvlLbl val="0"/>
      </c:catAx>
      <c:valAx>
        <c:axId val="548369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8470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91188601"/>
        <c:axId val="23449468"/>
      </c:lineChart>
      <c:catAx>
        <c:axId val="9118860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449468"/>
        <c:crosses val="autoZero"/>
        <c:auto val="1"/>
        <c:lblAlgn val="ctr"/>
        <c:lblOffset val="100"/>
        <c:noMultiLvlLbl val="0"/>
      </c:catAx>
      <c:valAx>
        <c:axId val="2344946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1886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867809060.73</c:v>
                </c:pt>
                <c:pt idx="1">
                  <c:v>827212891.83</c:v>
                </c:pt>
                <c:pt idx="2">
                  <c:v>771916722.93</c:v>
                </c:pt>
                <c:pt idx="3">
                  <c:v>674892624.63</c:v>
                </c:pt>
                <c:pt idx="4">
                  <c:v>638531699.575</c:v>
                </c:pt>
                <c:pt idx="5">
                  <c:v>604118362.856667</c:v>
                </c:pt>
                <c:pt idx="6">
                  <c:v>571303986.69275</c:v>
                </c:pt>
                <c:pt idx="7">
                  <c:v>540085295.422933</c:v>
                </c:pt>
                <c:pt idx="8">
                  <c:v>510460029.236116</c:v>
                </c:pt>
                <c:pt idx="9">
                  <c:v>482426988.066174</c:v>
                </c:pt>
                <c:pt idx="10">
                  <c:v>456215871.189162</c:v>
                </c:pt>
                <c:pt idx="11">
                  <c:v>431893802.453835</c:v>
                </c:pt>
                <c:pt idx="12">
                  <c:v>394693327.748883</c:v>
                </c:pt>
                <c:pt idx="13">
                  <c:v>361291904.85828</c:v>
                </c:pt>
                <c:pt idx="14">
                  <c:v>1525687762.0982</c:v>
                </c:pt>
                <c:pt idx="15">
                  <c:v>1471486384.3965</c:v>
                </c:pt>
                <c:pt idx="16">
                  <c:v>1446196118.13623</c:v>
                </c:pt>
                <c:pt idx="17">
                  <c:v>1413327338.01218</c:v>
                </c:pt>
                <c:pt idx="18">
                  <c:v>1381886678.61168</c:v>
                </c:pt>
                <c:pt idx="19">
                  <c:v>1353640032.89242</c:v>
                </c:pt>
                <c:pt idx="20">
                  <c:v>1328384481.59421</c:v>
                </c:pt>
                <c:pt idx="21">
                  <c:v>1308574121.7036</c:v>
                </c:pt>
                <c:pt idx="22">
                  <c:v>1293286623.02188</c:v>
                </c:pt>
                <c:pt idx="23">
                  <c:v>1826278142.30608</c:v>
                </c:pt>
                <c:pt idx="24">
                  <c:v>1780178014.66567</c:v>
                </c:pt>
                <c:pt idx="25">
                  <c:v>1758130725.80681</c:v>
                </c:pt>
                <c:pt idx="26">
                  <c:v>1737334522.31067</c:v>
                </c:pt>
                <c:pt idx="27">
                  <c:v>1711232326.31544</c:v>
                </c:pt>
                <c:pt idx="28">
                  <c:v>1684117388.33286</c:v>
                </c:pt>
                <c:pt idx="29">
                  <c:v>1683526171.69495</c:v>
                </c:pt>
                <c:pt idx="30">
                  <c:v>1688091563.29883</c:v>
                </c:pt>
                <c:pt idx="31">
                  <c:v>1699896467.1909</c:v>
                </c:pt>
                <c:pt idx="32">
                  <c:v>1721485919.15844</c:v>
                </c:pt>
                <c:pt idx="33">
                  <c:v>1747441228.94918</c:v>
                </c:pt>
                <c:pt idx="34">
                  <c:v>1780197550.70034</c:v>
                </c:pt>
                <c:pt idx="35">
                  <c:v>1819750370.16607</c:v>
                </c:pt>
                <c:pt idx="36">
                  <c:v>1855574008.5454</c:v>
                </c:pt>
                <c:pt idx="37">
                  <c:v>1900158164.64293</c:v>
                </c:pt>
                <c:pt idx="38">
                  <c:v>1959850227.07216</c:v>
                </c:pt>
                <c:pt idx="39">
                  <c:v>2018589934.07992</c:v>
                </c:pt>
                <c:pt idx="40">
                  <c:v>2095063291.98866</c:v>
                </c:pt>
                <c:pt idx="41">
                  <c:v>2149295485.30032</c:v>
                </c:pt>
                <c:pt idx="42">
                  <c:v>2208145983.7283</c:v>
                </c:pt>
                <c:pt idx="43">
                  <c:v>2273681114.29423</c:v>
                </c:pt>
                <c:pt idx="44">
                  <c:v>2344563323.1576</c:v>
                </c:pt>
                <c:pt idx="45">
                  <c:v>2423639971.59078</c:v>
                </c:pt>
                <c:pt idx="46">
                  <c:v>2511208230.3038</c:v>
                </c:pt>
                <c:pt idx="47">
                  <c:v>2606033308.42866</c:v>
                </c:pt>
                <c:pt idx="48">
                  <c:v>2697062330.62148</c:v>
                </c:pt>
                <c:pt idx="49">
                  <c:v>2796346928.67791</c:v>
                </c:pt>
                <c:pt idx="50">
                  <c:v>2904902006.12626</c:v>
                </c:pt>
                <c:pt idx="51">
                  <c:v>3017788252.10759</c:v>
                </c:pt>
                <c:pt idx="52">
                  <c:v>3143890418.42484</c:v>
                </c:pt>
                <c:pt idx="53">
                  <c:v>3277252513.50086</c:v>
                </c:pt>
                <c:pt idx="54">
                  <c:v>3420237510.48119</c:v>
                </c:pt>
                <c:pt idx="55">
                  <c:v>3568604574.16485</c:v>
                </c:pt>
                <c:pt idx="56">
                  <c:v>3727062463.02627</c:v>
                </c:pt>
                <c:pt idx="57">
                  <c:v>3893618054.90407</c:v>
                </c:pt>
                <c:pt idx="58">
                  <c:v>4070570220.94293</c:v>
                </c:pt>
                <c:pt idx="59">
                  <c:v>4256625648.99519</c:v>
                </c:pt>
              </c:numCache>
            </c:numRef>
          </c:val>
          <c:smooth val="0"/>
        </c:ser>
        <c:hiLowLines>
          <c:spPr>
            <a:ln w="0">
              <a:noFill/>
            </a:ln>
          </c:spPr>
        </c:hiLowLines>
        <c:marker val="0"/>
        <c:axId val="12772561"/>
        <c:axId val="1812954"/>
      </c:lineChart>
      <c:catAx>
        <c:axId val="1277256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12954"/>
        <c:crosses val="autoZero"/>
        <c:auto val="1"/>
        <c:lblAlgn val="ctr"/>
        <c:lblOffset val="100"/>
        <c:noMultiLvlLbl val="0"/>
      </c:catAx>
      <c:valAx>
        <c:axId val="181295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7725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23.85" hidden="false" customHeight="false" outlineLevel="0" collapsed="false">
      <c r="B39" s="5" t="s">
        <v>60</v>
      </c>
      <c r="C39" s="4" t="s">
        <v>61</v>
      </c>
    </row>
    <row r="40" customFormat="false" ht="15" hidden="false" customHeight="false" outlineLevel="0" collapsed="false">
      <c r="B40" s="5" t="s">
        <v>62</v>
      </c>
      <c r="C40" s="4" t="s">
        <v>63</v>
      </c>
    </row>
    <row r="41" customFormat="false" ht="35.05" hidden="false" customHeight="false" outlineLevel="0" collapsed="false">
      <c r="B41" s="5" t="s">
        <v>28</v>
      </c>
      <c r="C41" s="4" t="s">
        <v>64</v>
      </c>
    </row>
    <row r="42" customFormat="false" ht="15" hidden="false" customHeight="false" outlineLevel="0" collapsed="false">
      <c r="B42" s="5" t="s">
        <v>65</v>
      </c>
      <c r="C42" s="4" t="s">
        <v>66</v>
      </c>
    </row>
    <row r="43" customFormat="false" ht="23.85" hidden="false" customHeight="false" outlineLevel="0" collapsed="false">
      <c r="B43" s="5" t="s">
        <v>67</v>
      </c>
      <c r="C43" s="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69</v>
      </c>
    </row>
    <row r="2" customFormat="false" ht="15" hidden="false" customHeight="false" outlineLevel="0" collapsed="false">
      <c r="A2" s="2" t="s">
        <v>70</v>
      </c>
    </row>
    <row r="4" customFormat="false" ht="15" hidden="false" customHeight="false" outlineLevel="0" collapsed="false">
      <c r="A4" s="8" t="s">
        <v>71</v>
      </c>
      <c r="B4" s="9" t="str">
        <f aca="false">Assumptions!E4</f>
        <v>Base</v>
      </c>
    </row>
    <row r="6" customFormat="false" ht="15" hidden="false" customHeight="false" outlineLevel="0" collapsed="false">
      <c r="A6" s="10" t="s">
        <v>72</v>
      </c>
      <c r="B6" s="11"/>
      <c r="C6" s="11"/>
      <c r="D6" s="11"/>
      <c r="E6" s="11"/>
      <c r="F6" s="11"/>
      <c r="G6" s="11"/>
      <c r="H6" s="11"/>
      <c r="I6" s="11"/>
    </row>
    <row r="7" customFormat="false" ht="15" hidden="false" customHeight="false" outlineLevel="0" collapsed="false">
      <c r="A7" s="12" t="s">
        <v>73</v>
      </c>
      <c r="B7" s="13" t="n">
        <f aca="false">IF(MIN('P&amp;L monthly'!E52:BL52)=999,"not reached",MIN('P&amp;L monthly'!E52:BL52))</f>
        <v>27</v>
      </c>
      <c r="C7" s="14" t="s">
        <v>74</v>
      </c>
    </row>
    <row r="8" customFormat="false" ht="15" hidden="false" customHeight="false" outlineLevel="0" collapsed="false">
      <c r="A8" s="12" t="s">
        <v>75</v>
      </c>
      <c r="B8" s="15" t="n">
        <f aca="false">IF(ISNUMBER(B7),DATE(YEAR(Start_Date),MONTH(Start_Date)+B7-1,1),"-")</f>
        <v>47178</v>
      </c>
      <c r="C8" s="14"/>
    </row>
    <row r="9" customFormat="false" ht="15" hidden="false" customHeight="false" outlineLevel="0" collapsed="false">
      <c r="A9" s="12" t="s">
        <v>76</v>
      </c>
      <c r="B9" s="16" t="n">
        <f aca="false">-MIN(0,MIN('Cash flow'!E16:BL16))</f>
        <v>1616473828.30505</v>
      </c>
      <c r="C9" s="14" t="s">
        <v>77</v>
      </c>
    </row>
    <row r="10" customFormat="false" ht="15" hidden="false" customHeight="false" outlineLevel="0" collapsed="false">
      <c r="A10" s="12" t="s">
        <v>78</v>
      </c>
      <c r="B10" s="17" t="n">
        <f aca="false">B9/FX_EUR</f>
        <v>2464298.46515099</v>
      </c>
      <c r="C10" s="14" t="s">
        <v>79</v>
      </c>
    </row>
    <row r="11" customFormat="false" ht="15" hidden="false" customHeight="false" outlineLevel="0" collapsed="false">
      <c r="A11" s="12" t="s">
        <v>80</v>
      </c>
      <c r="B11" s="16" t="n">
        <f aca="false">SUM('Cash flow'!E19:BL19)</f>
        <v>3300000000</v>
      </c>
      <c r="C11" s="14" t="s">
        <v>77</v>
      </c>
    </row>
    <row r="12" customFormat="false" ht="15" hidden="false" customHeight="false" outlineLevel="0" collapsed="false">
      <c r="A12" s="12" t="s">
        <v>78</v>
      </c>
      <c r="B12" s="17" t="n">
        <f aca="false">B11/FX_EUR</f>
        <v>5030817.56883454</v>
      </c>
      <c r="C12" s="14" t="s">
        <v>79</v>
      </c>
    </row>
    <row r="13" customFormat="false" ht="15" hidden="false" customHeight="false" outlineLevel="0" collapsed="false">
      <c r="A13" s="12" t="s">
        <v>81</v>
      </c>
      <c r="B13" s="16" t="n">
        <f aca="false">MIN('Cash flow'!E24:BL24)</f>
        <v>361291904.85828</v>
      </c>
      <c r="C13" s="14" t="s">
        <v>77</v>
      </c>
      <c r="D13" s="17" t="n">
        <f aca="false">B13/FX_EUR</f>
        <v>550785.958314768</v>
      </c>
      <c r="E13" s="18" t="str">
        <f aca="false">IF(B13&lt;0,"Cash goes negative: raise more or earlier (Assumptions, section 11)","OK: cash stays positive")</f>
        <v>OK: cash stays positive</v>
      </c>
    </row>
    <row r="14" customFormat="false" ht="15" hidden="false" customHeight="false" outlineLevel="0" collapsed="false">
      <c r="A14" s="12" t="s">
        <v>82</v>
      </c>
      <c r="B14" s="13" t="n">
        <f aca="false">MATCH(B13,'Cash flow'!E24:BL24,0)</f>
        <v>14</v>
      </c>
      <c r="C14" s="14" t="s">
        <v>74</v>
      </c>
    </row>
    <row r="15" customFormat="false" ht="15" hidden="false" customHeight="false" outlineLevel="0" collapsed="false">
      <c r="A15" s="12" t="s">
        <v>83</v>
      </c>
      <c r="B15" s="16" t="n">
        <f aca="false">'Cash flow'!BL24</f>
        <v>4256625648.99519</v>
      </c>
      <c r="C15" s="14" t="s">
        <v>77</v>
      </c>
      <c r="D15" s="17" t="n">
        <f aca="false">B15/FX_EUR</f>
        <v>6489183.96936871</v>
      </c>
    </row>
    <row r="16" customFormat="false" ht="15" hidden="false" customHeight="false" outlineLevel="0" collapsed="false">
      <c r="A16" s="12" t="s">
        <v>84</v>
      </c>
      <c r="B16" s="8" t="str">
        <f aca="false">IF(Maak_Option=1,"Lease (option 1)","Equity stake (option 2)")</f>
        <v>Lease (option 1)</v>
      </c>
    </row>
    <row r="17" customFormat="false" ht="15" hidden="false" customHeight="false" outlineLevel="0" collapsed="false">
      <c r="A17" s="12" t="s">
        <v>85</v>
      </c>
      <c r="B17" s="19" t="n">
        <f aca="false">IF(Maak_Option=2,Maak_Equity_Pct,0)</f>
        <v>0</v>
      </c>
    </row>
    <row r="18" customFormat="false" ht="15" hidden="false" customHeight="false" outlineLevel="0" collapsed="false">
      <c r="A18" s="10" t="s">
        <v>86</v>
      </c>
      <c r="B18" s="11"/>
      <c r="C18" s="11"/>
      <c r="D18" s="11"/>
      <c r="E18" s="11"/>
      <c r="F18" s="11"/>
      <c r="G18" s="11"/>
      <c r="H18" s="11"/>
      <c r="I18" s="11"/>
    </row>
    <row r="19" customFormat="false" ht="15" hidden="false" customHeight="false" outlineLevel="0" collapsed="false">
      <c r="A19" s="0" t="s">
        <v>87</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88</v>
      </c>
      <c r="B20" s="14" t="s">
        <v>89</v>
      </c>
      <c r="D20" s="22" t="n">
        <f aca="false">'P&amp;L annual'!D56</f>
        <v>388.382964930819</v>
      </c>
      <c r="E20" s="22" t="n">
        <f aca="false">'P&amp;L annual'!E56</f>
        <v>1419.39940374893</v>
      </c>
      <c r="F20" s="22" t="n">
        <f aca="false">'P&amp;L annual'!F56</f>
        <v>3304.46645441948</v>
      </c>
      <c r="G20" s="22" t="n">
        <f aca="false">'P&amp;L annual'!G56</f>
        <v>5992.06696901879</v>
      </c>
      <c r="H20" s="22" t="n">
        <f aca="false">'P&amp;L annual'!H56</f>
        <v>9412.61027096753</v>
      </c>
    </row>
    <row r="21" customFormat="false" ht="15" hidden="false" customHeight="false" outlineLevel="0" collapsed="false">
      <c r="A21" s="12" t="s">
        <v>90</v>
      </c>
      <c r="B21" s="14" t="s">
        <v>89</v>
      </c>
      <c r="D21" s="23" t="n">
        <f aca="false">'P&amp;L annual'!D59</f>
        <v>410.913076604112</v>
      </c>
      <c r="E21" s="23" t="n">
        <f aca="false">'P&amp;L annual'!E59</f>
        <v>1187.3568975832</v>
      </c>
      <c r="F21" s="23" t="n">
        <f aca="false">'P&amp;L annual'!F59</f>
        <v>2326.81549868868</v>
      </c>
      <c r="G21" s="23" t="n">
        <f aca="false">'P&amp;L annual'!G59</f>
        <v>3562.29270269879</v>
      </c>
      <c r="H21" s="23" t="n">
        <f aca="false">'P&amp;L annual'!H59</f>
        <v>4883.02267642127</v>
      </c>
    </row>
    <row r="22" customFormat="false" ht="15" hidden="false" customHeight="false" outlineLevel="0" collapsed="false">
      <c r="A22" s="12" t="s">
        <v>91</v>
      </c>
      <c r="B22" s="14" t="s">
        <v>92</v>
      </c>
      <c r="D22" s="23" t="n">
        <f aca="false">'P&amp;L annual'!D60</f>
        <v>11</v>
      </c>
      <c r="E22" s="23" t="n">
        <f aca="false">'P&amp;L annual'!E60</f>
        <v>19</v>
      </c>
      <c r="F22" s="23" t="n">
        <f aca="false">'P&amp;L annual'!F60</f>
        <v>33</v>
      </c>
      <c r="G22" s="23" t="n">
        <f aca="false">'P&amp;L annual'!G60</f>
        <v>51</v>
      </c>
      <c r="H22" s="23" t="n">
        <f aca="false">'P&amp;L annual'!H60</f>
        <v>75</v>
      </c>
    </row>
    <row r="23" customFormat="false" ht="15" hidden="false" customHeight="false" outlineLevel="0" collapsed="false">
      <c r="A23" s="8" t="s">
        <v>93</v>
      </c>
      <c r="B23" s="14" t="s">
        <v>77</v>
      </c>
      <c r="D23" s="22" t="n">
        <f aca="false">'P&amp;L annual'!D23</f>
        <v>117350604.73816</v>
      </c>
      <c r="E23" s="22" t="n">
        <f aca="false">'P&amp;L annual'!E23</f>
        <v>895407566.617667</v>
      </c>
      <c r="F23" s="22" t="n">
        <f aca="false">'P&amp;L annual'!F23</f>
        <v>2891743201.94266</v>
      </c>
      <c r="G23" s="22" t="n">
        <f aca="false">'P&amp;L annual'!G23</f>
        <v>5812469356.2339</v>
      </c>
      <c r="H23" s="22" t="n">
        <f aca="false">'P&amp;L annual'!H23</f>
        <v>9777573734.79566</v>
      </c>
      <c r="J23" s="17" t="n">
        <f aca="false">D23/FX_EUR</f>
        <v>178899.843645483</v>
      </c>
      <c r="K23" s="17" t="n">
        <f aca="false">E23/FX_EUR</f>
        <v>1365040.03557804</v>
      </c>
      <c r="L23" s="17" t="n">
        <f aca="false">F23/FX_EUR</f>
        <v>4408434.09239121</v>
      </c>
      <c r="M23" s="17" t="n">
        <f aca="false">G23/FX_EUR</f>
        <v>8861052.41080422</v>
      </c>
      <c r="N23" s="17" t="n">
        <f aca="false">H23/FX_EUR</f>
        <v>14905815.0683591</v>
      </c>
    </row>
    <row r="24" customFormat="false" ht="15" hidden="false" customHeight="false" outlineLevel="0" collapsed="false">
      <c r="A24" s="12" t="s">
        <v>94</v>
      </c>
      <c r="B24" s="14" t="s">
        <v>77</v>
      </c>
      <c r="D24" s="23" t="n">
        <f aca="false">'P&amp;L annual'!D32</f>
        <v>38132968.3289546</v>
      </c>
      <c r="E24" s="23" t="n">
        <f aca="false">'P&amp;L annual'!E32</f>
        <v>381248650.16093</v>
      </c>
      <c r="F24" s="23" t="n">
        <f aca="false">'P&amp;L annual'!F32</f>
        <v>1305131364.5636</v>
      </c>
      <c r="G24" s="23" t="n">
        <f aca="false">'P&amp;L annual'!G32</f>
        <v>2680874677.13743</v>
      </c>
      <c r="H24" s="23" t="n">
        <f aca="false">'P&amp;L annual'!H32</f>
        <v>4536753608.43928</v>
      </c>
      <c r="J24" s="24" t="n">
        <f aca="false">D24/FX_EUR</f>
        <v>58133.3354609442</v>
      </c>
      <c r="K24" s="24" t="n">
        <f aca="false">E24/FX_EUR</f>
        <v>581209.82040123</v>
      </c>
      <c r="L24" s="24" t="n">
        <f aca="false">F24/FX_EUR</f>
        <v>1989659.93893441</v>
      </c>
      <c r="M24" s="24" t="n">
        <f aca="false">G24/FX_EUR</f>
        <v>4086967.09866261</v>
      </c>
      <c r="N24" s="24" t="n">
        <f aca="false">H24/FX_EUR</f>
        <v>6916236.29054843</v>
      </c>
    </row>
    <row r="25" customFormat="false" ht="15" hidden="false" customHeight="false" outlineLevel="0" collapsed="false">
      <c r="A25" s="12" t="s">
        <v>95</v>
      </c>
      <c r="B25" s="14" t="s">
        <v>96</v>
      </c>
      <c r="D25" s="25" t="n">
        <f aca="false">'P&amp;L annual'!D33</f>
        <v>0.324949056837322</v>
      </c>
      <c r="E25" s="25" t="n">
        <f aca="false">'P&amp;L annual'!E33</f>
        <v>0.42578225198729</v>
      </c>
      <c r="F25" s="25" t="n">
        <f aca="false">'P&amp;L annual'!F33</f>
        <v>0.451330313039836</v>
      </c>
      <c r="G25" s="25" t="n">
        <f aca="false">'P&amp;L annual'!G33</f>
        <v>0.461228182521457</v>
      </c>
      <c r="H25" s="25" t="n">
        <f aca="false">'P&amp;L annual'!H33</f>
        <v>0.46399584717978</v>
      </c>
    </row>
    <row r="26" customFormat="false" ht="15" hidden="false" customHeight="false" outlineLevel="0" collapsed="false">
      <c r="A26" s="12" t="s">
        <v>97</v>
      </c>
      <c r="B26" s="14" t="s">
        <v>77</v>
      </c>
      <c r="D26" s="23" t="n">
        <f aca="false">'P&amp;L annual'!D44</f>
        <v>446239165.875119</v>
      </c>
      <c r="E26" s="23" t="n">
        <f aca="false">'P&amp;L annual'!E44</f>
        <v>690615546.403204</v>
      </c>
      <c r="F26" s="23" t="n">
        <f aca="false">'P&amp;L annual'!F44</f>
        <v>999981060.400578</v>
      </c>
      <c r="G26" s="23" t="n">
        <f aca="false">'P&amp;L annual'!G44</f>
        <v>1277289252.19084</v>
      </c>
      <c r="H26" s="23" t="n">
        <f aca="false">'P&amp;L annual'!H44</f>
        <v>1642869037.20637</v>
      </c>
      <c r="J26" s="24" t="n">
        <f aca="false">D26/FX_EUR</f>
        <v>680287.222905037</v>
      </c>
      <c r="K26" s="24" t="n">
        <f aca="false">E26/FX_EUR</f>
        <v>1052836.61338046</v>
      </c>
      <c r="L26" s="24" t="n">
        <f aca="false">F26/FX_EUR</f>
        <v>1524461.29914092</v>
      </c>
      <c r="M26" s="24" t="n">
        <f aca="false">G26/FX_EUR</f>
        <v>1947214.91224401</v>
      </c>
      <c r="N26" s="24" t="n">
        <f aca="false">H26/FX_EUR</f>
        <v>2504537.70171882</v>
      </c>
    </row>
    <row r="27" customFormat="false" ht="15" hidden="false" customHeight="false" outlineLevel="0" collapsed="false">
      <c r="A27" s="8" t="s">
        <v>98</v>
      </c>
      <c r="B27" s="14" t="s">
        <v>77</v>
      </c>
      <c r="D27" s="22" t="n">
        <f aca="false">'P&amp;L annual'!D45</f>
        <v>-408106197.546165</v>
      </c>
      <c r="E27" s="22" t="n">
        <f aca="false">'P&amp;L annual'!E45</f>
        <v>-309366896.242274</v>
      </c>
      <c r="F27" s="22" t="n">
        <f aca="false">'P&amp;L annual'!F45</f>
        <v>305150304.163022</v>
      </c>
      <c r="G27" s="22" t="n">
        <f aca="false">'P&amp;L annual'!G45</f>
        <v>1403585424.94658</v>
      </c>
      <c r="H27" s="22" t="n">
        <f aca="false">'P&amp;L annual'!H45</f>
        <v>2893884571.23291</v>
      </c>
      <c r="J27" s="17" t="n">
        <f aca="false">D27/FX_EUR</f>
        <v>-622153.887444093</v>
      </c>
      <c r="K27" s="17" t="n">
        <f aca="false">E27/FX_EUR</f>
        <v>-471626.792979225</v>
      </c>
      <c r="L27" s="17" t="n">
        <f aca="false">F27/FX_EUR</f>
        <v>465198.639793496</v>
      </c>
      <c r="M27" s="17" t="n">
        <f aca="false">G27/FX_EUR</f>
        <v>2139752.1864186</v>
      </c>
      <c r="N27" s="17" t="n">
        <f aca="false">H27/FX_EUR</f>
        <v>4411698.58882962</v>
      </c>
    </row>
    <row r="28" customFormat="false" ht="15" hidden="false" customHeight="false" outlineLevel="0" collapsed="false">
      <c r="A28" s="12" t="s">
        <v>99</v>
      </c>
      <c r="B28" s="14" t="s">
        <v>96</v>
      </c>
      <c r="D28" s="25" t="n">
        <f aca="false">'P&amp;L annual'!D46</f>
        <v>-3.47766590940674</v>
      </c>
      <c r="E28" s="25" t="n">
        <f aca="false">'P&amp;L annual'!E46</f>
        <v>-0.345504000385973</v>
      </c>
      <c r="F28" s="25" t="n">
        <f aca="false">'P&amp;L annual'!F46</f>
        <v>0.105524689729718</v>
      </c>
      <c r="G28" s="25" t="n">
        <f aca="false">'P&amp;L annual'!G46</f>
        <v>0.241478335441241</v>
      </c>
      <c r="H28" s="25" t="n">
        <f aca="false">'P&amp;L annual'!H46</f>
        <v>0.295971643858269</v>
      </c>
    </row>
    <row r="29" customFormat="false" ht="15" hidden="false" customHeight="false" outlineLevel="0" collapsed="false">
      <c r="A29" s="12" t="s">
        <v>100</v>
      </c>
      <c r="B29" s="14" t="s">
        <v>77</v>
      </c>
      <c r="D29" s="23" t="n">
        <f aca="false">'P&amp;L annual'!D48</f>
        <v>-408106197.546165</v>
      </c>
      <c r="E29" s="23" t="n">
        <f aca="false">'P&amp;L annual'!E48</f>
        <v>-309366896.242274</v>
      </c>
      <c r="F29" s="23" t="n">
        <f aca="false">'P&amp;L annual'!F48</f>
        <v>305150304.163022</v>
      </c>
      <c r="G29" s="23" t="n">
        <f aca="false">'P&amp;L annual'!G48</f>
        <v>1106206634.35023</v>
      </c>
      <c r="H29" s="23" t="n">
        <f aca="false">'P&amp;L annual'!H48</f>
        <v>2025719199.86304</v>
      </c>
      <c r="J29" s="24" t="n">
        <f aca="false">D29/FX_EUR</f>
        <v>-622153.887444093</v>
      </c>
      <c r="K29" s="24" t="n">
        <f aca="false">E29/FX_EUR</f>
        <v>-471626.792979225</v>
      </c>
      <c r="L29" s="24" t="n">
        <f aca="false">F29/FX_EUR</f>
        <v>465198.639793496</v>
      </c>
      <c r="M29" s="24" t="n">
        <f aca="false">G29/FX_EUR</f>
        <v>1686401.14268196</v>
      </c>
      <c r="N29" s="24" t="n">
        <f aca="false">H29/FX_EUR</f>
        <v>3088189.01218073</v>
      </c>
    </row>
    <row r="30" customFormat="false" ht="15" hidden="false" customHeight="false" outlineLevel="0" collapsed="false">
      <c r="A30" s="12" t="s">
        <v>101</v>
      </c>
      <c r="B30" s="14" t="s">
        <v>77</v>
      </c>
      <c r="D30" s="23" t="n">
        <f aca="false">'P&amp;L annual'!D53</f>
        <v>431893802.453835</v>
      </c>
      <c r="E30" s="23" t="n">
        <f aca="false">'P&amp;L annual'!E53</f>
        <v>1826278142.30608</v>
      </c>
      <c r="F30" s="23" t="n">
        <f aca="false">'P&amp;L annual'!F53</f>
        <v>1819750370.16607</v>
      </c>
      <c r="G30" s="23" t="n">
        <f aca="false">'P&amp;L annual'!G53</f>
        <v>2606033308.42866</v>
      </c>
      <c r="H30" s="23" t="n">
        <f aca="false">'P&amp;L annual'!H53</f>
        <v>4256625648.99519</v>
      </c>
      <c r="J30" s="24" t="n">
        <f aca="false">D30/FX_EUR</f>
        <v>658417.857350155</v>
      </c>
      <c r="K30" s="24" t="n">
        <f aca="false">E30/FX_EUR</f>
        <v>2784143.07996725</v>
      </c>
      <c r="L30" s="24" t="n">
        <f aca="false">F30/FX_EUR</f>
        <v>2774191.55549232</v>
      </c>
      <c r="M30" s="24" t="n">
        <f aca="false">G30/FX_EUR</f>
        <v>3972872.16757906</v>
      </c>
      <c r="N30" s="24" t="n">
        <f aca="false">H30/FX_EUR</f>
        <v>6489183.96936871</v>
      </c>
    </row>
    <row r="31" customFormat="false" ht="15" hidden="false" customHeight="false" outlineLevel="0" collapsed="false">
      <c r="A31" s="12" t="s">
        <v>102</v>
      </c>
      <c r="B31" s="14" t="s">
        <v>77</v>
      </c>
      <c r="D31" s="23" t="n">
        <f aca="false">'P&amp;L annual'!D61</f>
        <v>0</v>
      </c>
      <c r="E31" s="23" t="n">
        <f aca="false">'P&amp;L annual'!E61</f>
        <v>462487639.054858</v>
      </c>
      <c r="F31" s="23" t="n">
        <f aca="false">'P&amp;L annual'!F61</f>
        <v>2612419116.03863</v>
      </c>
      <c r="G31" s="23" t="n">
        <f aca="false">'P&amp;L annual'!G61</f>
        <v>4998758956.29875</v>
      </c>
      <c r="H31" s="23" t="n">
        <f aca="false">'P&amp;L annual'!H61</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103</v>
      </c>
      <c r="B32" s="14" t="s">
        <v>104</v>
      </c>
      <c r="D32" s="23" t="n">
        <f aca="false">'Unit economics'!D13</f>
        <v>66784.1582599429</v>
      </c>
      <c r="E32" s="23" t="n">
        <f aca="false">'Unit economics'!E13</f>
        <v>84691.9253986663</v>
      </c>
      <c r="F32" s="23" t="n">
        <f aca="false">'Unit economics'!F13</f>
        <v>99900.3216361085</v>
      </c>
      <c r="G32" s="23" t="n">
        <f aca="false">'Unit economics'!G13</f>
        <v>102915.298978569</v>
      </c>
      <c r="H32" s="23" t="n">
        <f aca="false">'Unit economics'!H13</f>
        <v>104367.966143933</v>
      </c>
      <c r="J32" s="24" t="n">
        <f aca="false">D32/FX_EUR</f>
        <v>101.81179293756</v>
      </c>
      <c r="K32" s="24" t="n">
        <f aca="false">E32/FX_EUR</f>
        <v>129.112007949707</v>
      </c>
      <c r="L32" s="24" t="n">
        <f aca="false">F32/FX_EUR</f>
        <v>152.297058551259</v>
      </c>
      <c r="M32" s="24" t="n">
        <f aca="false">G32/FX_EUR</f>
        <v>156.893361879771</v>
      </c>
      <c r="N32" s="24" t="n">
        <f aca="false">H32/FX_EUR</f>
        <v>159.107938697099</v>
      </c>
    </row>
    <row r="33" customFormat="false" ht="15" hidden="false" customHeight="false" outlineLevel="0" collapsed="false">
      <c r="A33" s="12" t="s">
        <v>105</v>
      </c>
      <c r="B33" s="14" t="s">
        <v>106</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107</v>
      </c>
      <c r="B34" s="14" t="s">
        <v>108</v>
      </c>
      <c r="D34" s="26" t="n">
        <f aca="false">'Unit economics'!D21</f>
        <v>9.38832019663673</v>
      </c>
      <c r="E34" s="26" t="n">
        <f aca="false">'Unit economics'!E21</f>
        <v>3.27403049467542</v>
      </c>
      <c r="F34" s="26" t="n">
        <f aca="false">'Unit economics'!F21</f>
        <v>2.17364086205805</v>
      </c>
      <c r="G34" s="26" t="n">
        <f aca="false">'Unit economics'!G21</f>
        <v>1.85634113447359</v>
      </c>
      <c r="H34" s="26" t="n">
        <f aca="false">'Unit economics'!H21</f>
        <v>1.77744644314017</v>
      </c>
    </row>
    <row r="36" customFormat="false" ht="15" hidden="false" customHeight="false" outlineLevel="0" collapsed="false">
      <c r="A36" s="10" t="s">
        <v>109</v>
      </c>
      <c r="B36" s="11"/>
      <c r="C36" s="11"/>
      <c r="D36" s="11"/>
      <c r="E36" s="11"/>
      <c r="F36" s="11"/>
      <c r="G36" s="11"/>
      <c r="H36" s="11"/>
      <c r="I36" s="11"/>
    </row>
    <row r="37" customFormat="false" ht="15" hidden="false" customHeight="false" outlineLevel="0" collapsed="false">
      <c r="A37" s="12" t="s">
        <v>110</v>
      </c>
      <c r="B37" s="8" t="str">
        <f aca="false">IF(ABS(Mix_Petite+Mix_Moyenne+Mix_Grande-1)&lt;0.0001,"OK","ERROR")</f>
        <v>OK</v>
      </c>
    </row>
    <row r="38" customFormat="false" ht="15" hidden="false" customHeight="false" outlineLevel="0" collapsed="false">
      <c r="A38" s="12" t="s">
        <v>111</v>
      </c>
      <c r="B38" s="8" t="str">
        <f aca="false">IF(ABS(SUM('P&amp;L monthly'!E30:BL30)-SUM(Costs!E23:BL23))&lt;1,"OK","ERROR")</f>
        <v>OK</v>
      </c>
    </row>
    <row r="39" customFormat="false" ht="15" hidden="false" customHeight="false" outlineLevel="0" collapsed="false">
      <c r="A39" s="12" t="s">
        <v>112</v>
      </c>
      <c r="B39" s="8" t="str">
        <f aca="false">IF(ABS(SUM('P&amp;L monthly'!E43:BL43)-SUM(Costs!E95:BL95))&lt;1,"OK","ERROR")</f>
        <v>OK</v>
      </c>
    </row>
    <row r="40" customFormat="false" ht="15" hidden="false" customHeight="false" outlineLevel="0" collapsed="false">
      <c r="A40" s="12" t="s">
        <v>113</v>
      </c>
      <c r="B40" s="8" t="str">
        <f aca="false">IF(ABS('P&amp;L annual'!I23-SUM('P&amp;L monthly'!E23:BL23))&lt;1,"OK","ERROR")</f>
        <v>OK</v>
      </c>
    </row>
    <row r="41" customFormat="false" ht="15" hidden="false" customHeight="false" outlineLevel="0" collapsed="false">
      <c r="A41" s="12" t="s">
        <v>114</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115</v>
      </c>
    </row>
    <row r="2" customFormat="false" ht="15" hidden="false" customHeight="false" outlineLevel="0" collapsed="false">
      <c r="A2" s="2" t="s">
        <v>116</v>
      </c>
    </row>
    <row r="5" customFormat="false" ht="15" hidden="false" customHeight="false" outlineLevel="0" collapsed="false">
      <c r="A5" s="27" t="s">
        <v>117</v>
      </c>
    </row>
    <row r="6" customFormat="false" ht="15" hidden="false" customHeight="false" outlineLevel="0" collapsed="false">
      <c r="A6" s="2" t="s">
        <v>118</v>
      </c>
    </row>
    <row r="7" customFormat="false" ht="15" hidden="false" customHeight="false" outlineLevel="0" collapsed="false">
      <c r="A7" s="28" t="s">
        <v>119</v>
      </c>
      <c r="B7" s="28" t="s">
        <v>120</v>
      </c>
      <c r="C7" s="28" t="s">
        <v>121</v>
      </c>
      <c r="D7" s="28" t="s">
        <v>122</v>
      </c>
      <c r="E7" s="28" t="s">
        <v>123</v>
      </c>
    </row>
    <row r="8" customFormat="false" ht="15" hidden="false" customHeight="false" outlineLevel="0" collapsed="false">
      <c r="A8" s="10" t="s">
        <v>124</v>
      </c>
      <c r="B8" s="11"/>
      <c r="C8" s="11"/>
      <c r="D8" s="11"/>
      <c r="E8" s="11"/>
    </row>
    <row r="9" customFormat="false" ht="15" hidden="false" customHeight="false" outlineLevel="0" collapsed="false">
      <c r="A9" s="29" t="s">
        <v>125</v>
      </c>
      <c r="B9" s="16" t="n">
        <f aca="false">Price_Petite</f>
        <v>9900</v>
      </c>
      <c r="C9" s="16" t="n">
        <f aca="false">Price_Moyenne</f>
        <v>19500</v>
      </c>
      <c r="D9" s="16" t="n">
        <f aca="false">Price_Grande</f>
        <v>69500</v>
      </c>
      <c r="E9" s="30" t="s">
        <v>126</v>
      </c>
    </row>
    <row r="10" customFormat="false" ht="15" hidden="false" customHeight="false" outlineLevel="0" collapsed="false">
      <c r="A10" s="2" t="s">
        <v>127</v>
      </c>
      <c r="B10" s="31" t="n">
        <f aca="false">IF(ISNUMBER(B9),B9/FX_EUR,"")</f>
        <v>15.0924527065036</v>
      </c>
      <c r="C10" s="31" t="n">
        <f aca="false">IF(ISNUMBER(C9),C9/FX_EUR,"")</f>
        <v>29.727558361295</v>
      </c>
      <c r="D10" s="31" t="n">
        <f aca="false">IF(ISNUMBER(D9),D9/FX_EUR,"")</f>
        <v>105.95206698</v>
      </c>
    </row>
    <row r="11" customFormat="false" ht="15" hidden="false" customHeight="false" outlineLevel="0" collapsed="false">
      <c r="A11" s="4" t="s">
        <v>128</v>
      </c>
      <c r="B11" s="32" t="n">
        <f aca="false">Price_Petite*(12-Annual_Free)</f>
        <v>99000</v>
      </c>
      <c r="C11" s="32" t="n">
        <f aca="false">Price_Moyenne*(12-Annual_Free)</f>
        <v>195000</v>
      </c>
      <c r="D11" s="32" t="n">
        <f aca="false">Price_Grande*(12-Annual_Free)</f>
        <v>695000</v>
      </c>
      <c r="E11" s="32" t="str">
        <f aca="false">"Pay yearly and get "&amp;Annual_Free&amp;" months free."</f>
        <v>Pay yearly and get 2 months free.</v>
      </c>
    </row>
    <row r="12" customFormat="false" ht="15" hidden="false" customHeight="false" outlineLevel="0" collapsed="false">
      <c r="A12" s="2" t="s">
        <v>127</v>
      </c>
      <c r="B12" s="31" t="n">
        <f aca="false">IF(ISNUMBER(B11),B11/FX_EUR,"")</f>
        <v>150.924527065036</v>
      </c>
      <c r="C12" s="31" t="n">
        <f aca="false">IF(ISNUMBER(C11),C11/FX_EUR,"")</f>
        <v>297.27558361295</v>
      </c>
      <c r="D12" s="31" t="n">
        <f aca="false">IF(ISNUMBER(D11),D11/FX_EUR,"")</f>
        <v>1059.5206698</v>
      </c>
    </row>
    <row r="13" customFormat="false" ht="15" hidden="false" customHeight="false" outlineLevel="0" collapsed="false">
      <c r="A13" s="4" t="s">
        <v>129</v>
      </c>
      <c r="B13" s="12" t="str">
        <f aca="false">Free_Months&amp;" month free"</f>
        <v>1 month free</v>
      </c>
      <c r="C13" s="12" t="str">
        <f aca="false">Free_Months&amp;" month free"</f>
        <v>1 month free</v>
      </c>
      <c r="D13" s="12" t="str">
        <f aca="false">Free_Months&amp;" month free"</f>
        <v>1 month free</v>
      </c>
      <c r="E13" s="30" t="s">
        <v>130</v>
      </c>
    </row>
    <row r="14" customFormat="false" ht="15" hidden="false" customHeight="false" outlineLevel="0" collapsed="false">
      <c r="A14" s="10" t="s">
        <v>131</v>
      </c>
      <c r="B14" s="11"/>
      <c r="C14" s="11"/>
      <c r="D14" s="11"/>
      <c r="E14" s="11"/>
    </row>
    <row r="15" customFormat="false" ht="15" hidden="false" customHeight="false" outlineLevel="0" collapsed="false">
      <c r="A15" s="4" t="s">
        <v>132</v>
      </c>
      <c r="B15" s="32" t="n">
        <f aca="false">Users_Incl_Petite</f>
        <v>2</v>
      </c>
      <c r="C15" s="32" t="n">
        <f aca="false">Users_Incl_Moyenne</f>
        <v>3</v>
      </c>
      <c r="D15" s="32" t="n">
        <f aca="false">Users_Incl_Grande</f>
        <v>10</v>
      </c>
      <c r="E15" s="30" t="s">
        <v>133</v>
      </c>
    </row>
    <row r="16" customFormat="false" ht="23.85" hidden="false" customHeight="false" outlineLevel="0" collapsed="false">
      <c r="A16" s="4" t="s">
        <v>134</v>
      </c>
      <c r="B16" s="32" t="n">
        <f aca="false">Transfers_Incl_Petite</f>
        <v>30</v>
      </c>
      <c r="C16" s="32" t="n">
        <f aca="false">Transfers_Incl_Moyenne</f>
        <v>150</v>
      </c>
      <c r="D16" s="32" t="n">
        <f aca="false">Transfers_Incl_Grande</f>
        <v>500</v>
      </c>
      <c r="E16" s="30" t="s">
        <v>135</v>
      </c>
    </row>
    <row r="17" customFormat="false" ht="23.85" hidden="false" customHeight="false" outlineLevel="0" collapsed="false">
      <c r="A17" s="4" t="s">
        <v>136</v>
      </c>
      <c r="B17" s="32" t="n">
        <f aca="false">MM_Free_Petite</f>
        <v>500000</v>
      </c>
      <c r="C17" s="32" t="n">
        <f aca="false">MM_Free_Moyenne</f>
        <v>2000000</v>
      </c>
      <c r="D17" s="32" t="n">
        <f aca="false">MM_Free_Grande</f>
        <v>10000000</v>
      </c>
      <c r="E17" s="30" t="s">
        <v>137</v>
      </c>
    </row>
    <row r="18" customFormat="false" ht="15" hidden="false" customHeight="false" outlineLevel="0" collapsed="false">
      <c r="A18" s="2" t="s">
        <v>127</v>
      </c>
      <c r="B18" s="31" t="n">
        <f aca="false">IF(ISNUMBER(B17),B17/FX_EUR,"")</f>
        <v>762.245086187052</v>
      </c>
      <c r="C18" s="31" t="n">
        <f aca="false">IF(ISNUMBER(C17),C17/FX_EUR,"")</f>
        <v>3048.98034474821</v>
      </c>
      <c r="D18" s="31" t="n">
        <f aca="false">IF(ISNUMBER(D17),D17/FX_EUR,"")</f>
        <v>15244.901723741</v>
      </c>
    </row>
    <row r="19" customFormat="false" ht="15" hidden="false" customHeight="false" outlineLevel="0" collapsed="false">
      <c r="A19" s="4" t="s">
        <v>138</v>
      </c>
      <c r="B19" s="32" t="n">
        <f aca="false">Payroll_Free_Petite</f>
        <v>3000000</v>
      </c>
      <c r="C19" s="32" t="n">
        <f aca="false">Payroll_Free_Moyenne</f>
        <v>15000000</v>
      </c>
      <c r="D19" s="32" t="n">
        <f aca="false">Payroll_Free_Grande</f>
        <v>60000000</v>
      </c>
      <c r="E19" s="30" t="s">
        <v>139</v>
      </c>
    </row>
    <row r="20" customFormat="false" ht="15" hidden="false" customHeight="false" outlineLevel="0" collapsed="false">
      <c r="A20" s="2" t="s">
        <v>127</v>
      </c>
      <c r="B20" s="31" t="n">
        <f aca="false">IF(ISNUMBER(B19),B19/FX_EUR,"")</f>
        <v>4573.47051712231</v>
      </c>
      <c r="C20" s="31" t="n">
        <f aca="false">IF(ISNUMBER(C19),C19/FX_EUR,"")</f>
        <v>22867.3525856116</v>
      </c>
      <c r="D20" s="31" t="n">
        <f aca="false">IF(ISNUMBER(D19),D19/FX_EUR,"")</f>
        <v>91469.4103424462</v>
      </c>
    </row>
    <row r="21" customFormat="false" ht="15" hidden="false" customHeight="false" outlineLevel="0" collapsed="false">
      <c r="A21" s="4" t="s">
        <v>140</v>
      </c>
      <c r="B21" s="32" t="n">
        <f aca="false">Cards_Phys_Incl_Petite</f>
        <v>1</v>
      </c>
      <c r="C21" s="32" t="n">
        <f aca="false">Cards_Phys_Incl_Moyenne</f>
        <v>3</v>
      </c>
      <c r="D21" s="32" t="n">
        <f aca="false">Cards_Phys_Incl_Grande</f>
        <v>10</v>
      </c>
      <c r="E21" s="30" t="s">
        <v>141</v>
      </c>
    </row>
    <row r="22" customFormat="false" ht="15" hidden="false" customHeight="false" outlineLevel="0" collapsed="false">
      <c r="A22" s="4" t="s">
        <v>142</v>
      </c>
      <c r="B22" s="4" t="s">
        <v>143</v>
      </c>
      <c r="C22" s="4" t="s">
        <v>144</v>
      </c>
      <c r="D22" s="4" t="s">
        <v>145</v>
      </c>
      <c r="E22" s="30" t="s">
        <v>146</v>
      </c>
    </row>
    <row r="23" customFormat="false" ht="15" hidden="false" customHeight="false" outlineLevel="0" collapsed="false">
      <c r="A23" s="4" t="s">
        <v>147</v>
      </c>
      <c r="B23" s="4" t="s">
        <v>148</v>
      </c>
      <c r="C23" s="4" t="s">
        <v>149</v>
      </c>
      <c r="D23" s="4" t="s">
        <v>145</v>
      </c>
      <c r="E23" s="30" t="s">
        <v>150</v>
      </c>
    </row>
    <row r="24" customFormat="false" ht="15" hidden="false" customHeight="false" outlineLevel="0" collapsed="false">
      <c r="A24" s="10" t="s">
        <v>151</v>
      </c>
      <c r="B24" s="11"/>
      <c r="C24" s="11"/>
      <c r="D24" s="11"/>
      <c r="E24" s="11"/>
    </row>
    <row r="25" customFormat="false" ht="15" hidden="false" customHeight="false" outlineLevel="0" collapsed="false">
      <c r="A25" s="4" t="s">
        <v>152</v>
      </c>
      <c r="B25" s="4" t="s">
        <v>153</v>
      </c>
      <c r="C25" s="4" t="s">
        <v>153</v>
      </c>
      <c r="D25" s="4" t="s">
        <v>153</v>
      </c>
      <c r="E25" s="30" t="s">
        <v>154</v>
      </c>
    </row>
    <row r="26" customFormat="false" ht="15" hidden="false" customHeight="false" outlineLevel="0" collapsed="false">
      <c r="A26" s="4" t="s">
        <v>155</v>
      </c>
      <c r="B26" s="4" t="s">
        <v>153</v>
      </c>
      <c r="C26" s="4" t="s">
        <v>153</v>
      </c>
      <c r="D26" s="4" t="s">
        <v>153</v>
      </c>
      <c r="E26" s="30" t="s">
        <v>156</v>
      </c>
    </row>
    <row r="27" customFormat="false" ht="15" hidden="false" customHeight="false" outlineLevel="0" collapsed="false">
      <c r="A27" s="4" t="s">
        <v>157</v>
      </c>
      <c r="B27" s="4" t="s">
        <v>153</v>
      </c>
      <c r="C27" s="4" t="s">
        <v>153</v>
      </c>
      <c r="D27" s="4" t="s">
        <v>153</v>
      </c>
      <c r="E27" s="30"/>
    </row>
    <row r="28" customFormat="false" ht="23.85" hidden="false" customHeight="false" outlineLevel="0" collapsed="false">
      <c r="A28" s="4" t="s">
        <v>158</v>
      </c>
      <c r="B28" s="4" t="s">
        <v>153</v>
      </c>
      <c r="C28" s="4" t="s">
        <v>153</v>
      </c>
      <c r="D28" s="4" t="s">
        <v>153</v>
      </c>
      <c r="E28" s="30" t="s">
        <v>159</v>
      </c>
    </row>
    <row r="29" customFormat="false" ht="23.85" hidden="false" customHeight="false" outlineLevel="0" collapsed="false">
      <c r="A29" s="4" t="s">
        <v>160</v>
      </c>
      <c r="B29" s="4" t="s">
        <v>161</v>
      </c>
      <c r="C29" s="4" t="s">
        <v>153</v>
      </c>
      <c r="D29" s="4" t="s">
        <v>162</v>
      </c>
      <c r="E29" s="30" t="s">
        <v>163</v>
      </c>
    </row>
    <row r="30" customFormat="false" ht="23.85" hidden="false" customHeight="false" outlineLevel="0" collapsed="false">
      <c r="A30" s="4" t="s">
        <v>164</v>
      </c>
      <c r="B30" s="4" t="s">
        <v>161</v>
      </c>
      <c r="C30" s="4" t="s">
        <v>153</v>
      </c>
      <c r="D30" s="4" t="s">
        <v>153</v>
      </c>
      <c r="E30" s="30" t="s">
        <v>165</v>
      </c>
    </row>
    <row r="31" customFormat="false" ht="15" hidden="false" customHeight="false" outlineLevel="0" collapsed="false">
      <c r="A31" s="4" t="s">
        <v>166</v>
      </c>
      <c r="B31" s="4" t="s">
        <v>161</v>
      </c>
      <c r="C31" s="4" t="s">
        <v>167</v>
      </c>
      <c r="D31" s="4" t="s">
        <v>168</v>
      </c>
      <c r="E31" s="30"/>
    </row>
    <row r="32" customFormat="false" ht="15" hidden="false" customHeight="false" outlineLevel="0" collapsed="false">
      <c r="A32" s="4" t="s">
        <v>169</v>
      </c>
      <c r="B32" s="4" t="s">
        <v>161</v>
      </c>
      <c r="C32" s="4" t="s">
        <v>161</v>
      </c>
      <c r="D32" s="4" t="s">
        <v>153</v>
      </c>
      <c r="E32" s="30"/>
    </row>
    <row r="33" customFormat="false" ht="15" hidden="false" customHeight="false" outlineLevel="0" collapsed="false">
      <c r="A33" s="4" t="s">
        <v>170</v>
      </c>
      <c r="B33" s="4" t="s">
        <v>171</v>
      </c>
      <c r="C33" s="4" t="s">
        <v>172</v>
      </c>
      <c r="D33" s="4" t="s">
        <v>173</v>
      </c>
      <c r="E33" s="30"/>
    </row>
    <row r="34" customFormat="false" ht="15" hidden="false" customHeight="false" outlineLevel="0" collapsed="false">
      <c r="A34" s="4" t="s">
        <v>174</v>
      </c>
      <c r="B34" s="4" t="s">
        <v>175</v>
      </c>
      <c r="C34" s="4" t="s">
        <v>175</v>
      </c>
      <c r="D34" s="4" t="s">
        <v>175</v>
      </c>
      <c r="E34" s="30" t="s">
        <v>176</v>
      </c>
    </row>
    <row r="35" customFormat="false" ht="15" hidden="false" customHeight="false" outlineLevel="0" collapsed="false">
      <c r="A35" s="4" t="s">
        <v>177</v>
      </c>
      <c r="B35" s="4" t="s">
        <v>153</v>
      </c>
      <c r="C35" s="4" t="s">
        <v>153</v>
      </c>
      <c r="D35" s="4" t="s">
        <v>153</v>
      </c>
      <c r="E35" s="30" t="s">
        <v>178</v>
      </c>
    </row>
    <row r="37" customFormat="false" ht="15" hidden="false" customHeight="false" outlineLevel="0" collapsed="false">
      <c r="A37" s="27" t="s">
        <v>179</v>
      </c>
    </row>
    <row r="38" customFormat="false" ht="15" hidden="false" customHeight="false" outlineLevel="0" collapsed="false">
      <c r="A38" s="2" t="s">
        <v>180</v>
      </c>
    </row>
    <row r="39" customFormat="false" ht="15" hidden="false" customHeight="false" outlineLevel="0" collapsed="false">
      <c r="A39" s="28" t="s">
        <v>181</v>
      </c>
      <c r="B39" s="28" t="s">
        <v>124</v>
      </c>
      <c r="C39" s="28" t="s">
        <v>182</v>
      </c>
      <c r="D39" s="28"/>
      <c r="E39" s="28" t="s">
        <v>183</v>
      </c>
    </row>
    <row r="40" customFormat="false" ht="15" hidden="false" customHeight="false" outlineLevel="0" collapsed="false">
      <c r="A40" s="4" t="s">
        <v>184</v>
      </c>
      <c r="B40" s="32" t="n">
        <f aca="false">Extra_User_Fee</f>
        <v>2500</v>
      </c>
      <c r="C40" s="4" t="s">
        <v>104</v>
      </c>
      <c r="E40" s="30" t="s">
        <v>185</v>
      </c>
    </row>
    <row r="41" customFormat="false" ht="15" hidden="false" customHeight="false" outlineLevel="0" collapsed="false">
      <c r="A41" s="2" t="s">
        <v>127</v>
      </c>
      <c r="B41" s="31" t="n">
        <f aca="false">IF(ISNUMBER(B40),B40/FX_EUR,"")</f>
        <v>3.81122543093526</v>
      </c>
    </row>
    <row r="42" customFormat="false" ht="15" hidden="false" customHeight="false" outlineLevel="0" collapsed="false">
      <c r="A42" s="4" t="s">
        <v>186</v>
      </c>
      <c r="B42" s="32" t="n">
        <f aca="false">Extra_Card_Fee</f>
        <v>2000</v>
      </c>
      <c r="C42" s="4" t="s">
        <v>104</v>
      </c>
      <c r="E42" s="30" t="s">
        <v>187</v>
      </c>
    </row>
    <row r="43" customFormat="false" ht="15" hidden="false" customHeight="false" outlineLevel="0" collapsed="false">
      <c r="A43" s="2" t="s">
        <v>127</v>
      </c>
      <c r="B43" s="31" t="n">
        <f aca="false">IF(ISNUMBER(B42),B42/FX_EUR,"")</f>
        <v>3.04898034474821</v>
      </c>
    </row>
    <row r="44" customFormat="false" ht="15" hidden="false" customHeight="false" outlineLevel="0" collapsed="false">
      <c r="A44" s="4" t="s">
        <v>188</v>
      </c>
      <c r="B44" s="32" t="n">
        <f aca="false">Card_Fee</f>
        <v>5000</v>
      </c>
      <c r="C44" s="4" t="s">
        <v>189</v>
      </c>
      <c r="E44" s="30" t="s">
        <v>190</v>
      </c>
    </row>
    <row r="45" customFormat="false" ht="15" hidden="false" customHeight="false" outlineLevel="0" collapsed="false">
      <c r="A45" s="2" t="s">
        <v>127</v>
      </c>
      <c r="B45" s="31" t="n">
        <f aca="false">IF(ISNUMBER(B44),B44/FX_EUR,"")</f>
        <v>7.62245086187052</v>
      </c>
    </row>
    <row r="46" customFormat="false" ht="35.05" hidden="false" customHeight="false" outlineLevel="0" collapsed="false">
      <c r="A46" s="4" t="s">
        <v>191</v>
      </c>
      <c r="B46" s="32" t="n">
        <f aca="false">Overage_Fee</f>
        <v>450</v>
      </c>
      <c r="C46" s="4" t="s">
        <v>192</v>
      </c>
      <c r="E46" s="30" t="s">
        <v>193</v>
      </c>
    </row>
    <row r="47" customFormat="false" ht="15" hidden="false" customHeight="false" outlineLevel="0" collapsed="false">
      <c r="A47" s="2" t="s">
        <v>127</v>
      </c>
      <c r="B47" s="31" t="n">
        <f aca="false">IF(ISNUMBER(B46),B46/FX_EUR,"")</f>
        <v>0.686020577568347</v>
      </c>
    </row>
    <row r="48" customFormat="false" ht="35.05" hidden="false" customHeight="false" outlineLevel="0" collapsed="false">
      <c r="A48" s="4" t="s">
        <v>194</v>
      </c>
      <c r="B48" s="33" t="n">
        <f aca="false">MM_Fee</f>
        <v>0.01</v>
      </c>
      <c r="C48" s="4" t="s">
        <v>195</v>
      </c>
      <c r="E48" s="30" t="s">
        <v>196</v>
      </c>
    </row>
    <row r="49" customFormat="false" ht="23.85" hidden="false" customHeight="false" outlineLevel="0" collapsed="false">
      <c r="A49" s="4" t="s">
        <v>197</v>
      </c>
      <c r="B49" s="32" t="n">
        <f aca="false">MM_Fee_Cap</f>
        <v>8500</v>
      </c>
      <c r="C49" s="4" t="s">
        <v>192</v>
      </c>
      <c r="E49" s="30" t="s">
        <v>198</v>
      </c>
    </row>
    <row r="50" customFormat="false" ht="15" hidden="false" customHeight="false" outlineLevel="0" collapsed="false">
      <c r="A50" s="2" t="s">
        <v>127</v>
      </c>
      <c r="B50" s="31" t="n">
        <f aca="false">IF(ISNUMBER(B49),B49/FX_EUR,"")</f>
        <v>12.9581664651799</v>
      </c>
    </row>
    <row r="51" customFormat="false" ht="23.85" hidden="false" customHeight="false" outlineLevel="0" collapsed="false">
      <c r="A51" s="4" t="s">
        <v>199</v>
      </c>
      <c r="B51" s="32" t="n">
        <f aca="false">Payslip_Fee</f>
        <v>900</v>
      </c>
      <c r="C51" s="4" t="s">
        <v>200</v>
      </c>
      <c r="E51" s="30" t="s">
        <v>201</v>
      </c>
    </row>
    <row r="52" customFormat="false" ht="15" hidden="false" customHeight="false" outlineLevel="0" collapsed="false">
      <c r="A52" s="2" t="s">
        <v>127</v>
      </c>
      <c r="B52" s="31" t="n">
        <f aca="false">IF(ISNUMBER(B51),B51/FX_EUR,"")</f>
        <v>1.37204115513669</v>
      </c>
    </row>
    <row r="54" customFormat="false" ht="15" hidden="false" customHeight="false" outlineLevel="0" collapsed="false">
      <c r="A54" s="27" t="s">
        <v>202</v>
      </c>
    </row>
    <row r="55" customFormat="false" ht="15" hidden="false" customHeight="false" outlineLevel="0" collapsed="false">
      <c r="A55" s="2" t="s">
        <v>203</v>
      </c>
    </row>
    <row r="56" customFormat="false" ht="15" hidden="false" customHeight="false" outlineLevel="0" collapsed="false">
      <c r="A56" s="28" t="s">
        <v>204</v>
      </c>
      <c r="B56" s="28" t="s">
        <v>205</v>
      </c>
      <c r="C56" s="28" t="s">
        <v>182</v>
      </c>
      <c r="D56" s="28"/>
      <c r="E56" s="28" t="s">
        <v>206</v>
      </c>
    </row>
    <row r="57" customFormat="false" ht="23.85" hidden="false" customHeight="false" outlineLevel="0" collapsed="false">
      <c r="A57" s="4" t="s">
        <v>207</v>
      </c>
      <c r="B57" s="33" t="n">
        <f aca="false">PL_Fee</f>
        <v>0.012</v>
      </c>
      <c r="C57" s="4" t="s">
        <v>195</v>
      </c>
      <c r="E57" s="30" t="s">
        <v>208</v>
      </c>
    </row>
    <row r="58" customFormat="false" ht="15" hidden="false" customHeight="false" outlineLevel="0" collapsed="false">
      <c r="A58" s="4" t="s">
        <v>209</v>
      </c>
      <c r="B58" s="33" t="n">
        <f aca="false">FX_Fee</f>
        <v>0.025</v>
      </c>
      <c r="C58" s="4" t="s">
        <v>195</v>
      </c>
      <c r="E58" s="30" t="s">
        <v>210</v>
      </c>
    </row>
    <row r="59" customFormat="false" ht="23.85" hidden="false" customHeight="false" outlineLevel="0" collapsed="false">
      <c r="A59" s="4" t="s">
        <v>177</v>
      </c>
      <c r="B59" s="33" t="n">
        <f aca="false">Intl_Fee</f>
        <v>0.02</v>
      </c>
      <c r="C59" s="4" t="s">
        <v>195</v>
      </c>
      <c r="E59" s="30" t="s">
        <v>211</v>
      </c>
    </row>
    <row r="61" customFormat="false" ht="15" hidden="false" customHeight="false" outlineLevel="0" collapsed="false">
      <c r="A61" s="27" t="s">
        <v>212</v>
      </c>
    </row>
    <row r="62" customFormat="false" ht="15" hidden="false" customHeight="false" outlineLevel="0" collapsed="false">
      <c r="A62" s="2" t="s">
        <v>213</v>
      </c>
    </row>
    <row r="63" customFormat="false" ht="15" hidden="false" customHeight="false" outlineLevel="0" collapsed="false">
      <c r="A63" s="28" t="s">
        <v>214</v>
      </c>
      <c r="B63" s="28" t="s">
        <v>215</v>
      </c>
    </row>
    <row r="64" customFormat="false" ht="15" hidden="false" customHeight="false" outlineLevel="0" collapsed="false">
      <c r="A64" s="4" t="s">
        <v>216</v>
      </c>
      <c r="B64" s="4" t="s">
        <v>217</v>
      </c>
    </row>
    <row r="65" customFormat="false" ht="23.85" hidden="false" customHeight="false" outlineLevel="0" collapsed="false">
      <c r="A65" s="4" t="s">
        <v>218</v>
      </c>
      <c r="B65" s="4" t="s">
        <v>219</v>
      </c>
    </row>
    <row r="66" customFormat="false" ht="23.85" hidden="false" customHeight="false" outlineLevel="0" collapsed="false">
      <c r="A66" s="4" t="s">
        <v>220</v>
      </c>
      <c r="B66" s="4" t="s">
        <v>221</v>
      </c>
    </row>
    <row r="67" customFormat="false" ht="23.85" hidden="false" customHeight="false" outlineLevel="0" collapsed="false">
      <c r="A67" s="4" t="s">
        <v>222</v>
      </c>
      <c r="B67" s="4" t="s">
        <v>223</v>
      </c>
    </row>
    <row r="68" customFormat="false" ht="15" hidden="false" customHeight="false" outlineLevel="0" collapsed="false">
      <c r="A68" s="4" t="s">
        <v>224</v>
      </c>
      <c r="B68" s="4"/>
    </row>
    <row r="69" customFormat="false" ht="15" hidden="false" customHeight="false" outlineLevel="0" collapsed="false">
      <c r="A69" s="4" t="s">
        <v>225</v>
      </c>
      <c r="B69" s="4"/>
    </row>
    <row r="71" customFormat="false" ht="15" hidden="false" customHeight="false" outlineLevel="0" collapsed="false">
      <c r="A71" s="27" t="s">
        <v>226</v>
      </c>
    </row>
    <row r="72" customFormat="false" ht="15" hidden="false" customHeight="false" outlineLevel="0" collapsed="false">
      <c r="A72" s="2" t="s">
        <v>227</v>
      </c>
    </row>
    <row r="73" customFormat="false" ht="15" hidden="false" customHeight="false" outlineLevel="0" collapsed="false">
      <c r="A73" s="28" t="s">
        <v>214</v>
      </c>
      <c r="B73" s="28" t="s">
        <v>228</v>
      </c>
      <c r="C73" s="28" t="s">
        <v>182</v>
      </c>
      <c r="D73" s="28"/>
      <c r="E73" s="28" t="s">
        <v>229</v>
      </c>
    </row>
    <row r="74" customFormat="false" ht="23.85" hidden="false" customHeight="false" outlineLevel="0" collapsed="false">
      <c r="A74" s="4" t="s">
        <v>230</v>
      </c>
      <c r="B74" s="4" t="s">
        <v>231</v>
      </c>
      <c r="C74" s="4" t="s">
        <v>232</v>
      </c>
      <c r="E74" s="30" t="s">
        <v>233</v>
      </c>
    </row>
    <row r="75" customFormat="false" ht="15" hidden="false" customHeight="false" outlineLevel="0" collapsed="false">
      <c r="A75" s="4" t="s">
        <v>234</v>
      </c>
      <c r="B75" s="4" t="s">
        <v>235</v>
      </c>
      <c r="C75" s="4" t="s">
        <v>236</v>
      </c>
      <c r="E75" s="30" t="s">
        <v>237</v>
      </c>
    </row>
    <row r="76" customFormat="false" ht="15" hidden="false" customHeight="false" outlineLevel="0" collapsed="false">
      <c r="A76" s="4" t="s">
        <v>238</v>
      </c>
      <c r="B76" s="4" t="s">
        <v>239</v>
      </c>
      <c r="C76" s="4" t="s">
        <v>232</v>
      </c>
      <c r="E76" s="30" t="s">
        <v>240</v>
      </c>
    </row>
    <row r="78" customFormat="false" ht="15" hidden="false" customHeight="false" outlineLevel="0" collapsed="false">
      <c r="A78" s="27" t="s">
        <v>241</v>
      </c>
    </row>
    <row r="79" customFormat="false" ht="15" hidden="false" customHeight="false" outlineLevel="0" collapsed="false">
      <c r="A79" s="2" t="s">
        <v>242</v>
      </c>
    </row>
    <row r="80" customFormat="false" ht="15" hidden="false" customHeight="false" outlineLevel="0" collapsed="false">
      <c r="A80" s="28" t="s">
        <v>243</v>
      </c>
      <c r="B80" s="28" t="s">
        <v>205</v>
      </c>
      <c r="C80" s="28" t="s">
        <v>182</v>
      </c>
      <c r="D80" s="28"/>
      <c r="E80" s="28" t="s">
        <v>229</v>
      </c>
    </row>
    <row r="81" customFormat="false" ht="15" hidden="false" customHeight="false" outlineLevel="0" collapsed="false">
      <c r="A81" s="4" t="s">
        <v>244</v>
      </c>
      <c r="B81" s="34" t="n">
        <f aca="false">Yield_Factoring</f>
        <v>0.23</v>
      </c>
      <c r="C81" s="4" t="s">
        <v>236</v>
      </c>
      <c r="E81" s="30" t="s">
        <v>245</v>
      </c>
    </row>
    <row r="82" customFormat="false" ht="15" hidden="false" customHeight="false" outlineLevel="0" collapsed="false">
      <c r="A82" s="4" t="s">
        <v>246</v>
      </c>
      <c r="B82" s="34" t="n">
        <f aca="false">Yield_Bridge</f>
        <v>0.23</v>
      </c>
      <c r="C82" s="4" t="s">
        <v>236</v>
      </c>
      <c r="E82" s="30" t="s">
        <v>247</v>
      </c>
    </row>
    <row r="83" customFormat="false" ht="15" hidden="false" customHeight="false" outlineLevel="0" collapsed="false">
      <c r="A83" s="4" t="s">
        <v>248</v>
      </c>
      <c r="B83" s="34" t="n">
        <f aca="false">Yield_Line</f>
        <v>0.23</v>
      </c>
      <c r="C83" s="4" t="s">
        <v>236</v>
      </c>
      <c r="E83" s="30" t="s">
        <v>249</v>
      </c>
    </row>
    <row r="84" customFormat="false" ht="15" hidden="false" customHeight="false" outlineLevel="0" collapsed="false">
      <c r="A84" s="4" t="s">
        <v>250</v>
      </c>
      <c r="B84" s="34" t="n">
        <f aca="false">Yield_Term</f>
        <v>0.22</v>
      </c>
      <c r="C84" s="4" t="s">
        <v>236</v>
      </c>
      <c r="E84" s="30" t="s">
        <v>251</v>
      </c>
    </row>
    <row r="85" customFormat="false" ht="15" hidden="false" customHeight="false" outlineLevel="0" collapsed="false">
      <c r="A85" s="4" t="s">
        <v>252</v>
      </c>
      <c r="B85" s="34" t="n">
        <f aca="false">Yield_Advance</f>
        <v>0.23</v>
      </c>
      <c r="C85" s="4" t="s">
        <v>236</v>
      </c>
      <c r="E85" s="30" t="s">
        <v>253</v>
      </c>
    </row>
    <row r="87" customFormat="false" ht="15" hidden="false" customHeight="false" outlineLevel="0" collapsed="false">
      <c r="A87" s="27" t="s">
        <v>254</v>
      </c>
    </row>
    <row r="88" customFormat="false" ht="15" hidden="false" customHeight="false" outlineLevel="0" collapsed="false">
      <c r="A88" s="2" t="s">
        <v>255</v>
      </c>
    </row>
    <row r="89" customFormat="false" ht="15" hidden="false" customHeight="false" outlineLevel="0" collapsed="false">
      <c r="A89" s="28" t="s">
        <v>256</v>
      </c>
      <c r="B89" s="28" t="s">
        <v>257</v>
      </c>
      <c r="C89" s="28" t="s">
        <v>258</v>
      </c>
      <c r="D89" s="28" t="s">
        <v>259</v>
      </c>
      <c r="E89" s="28" t="s">
        <v>215</v>
      </c>
    </row>
    <row r="90" customFormat="false" ht="15" hidden="false" customHeight="false" outlineLevel="0" collapsed="false">
      <c r="A90" s="4" t="s">
        <v>120</v>
      </c>
      <c r="B90" s="32" t="n">
        <f aca="true">OFFSET(Price_Petite,0,1)</f>
        <v>7500</v>
      </c>
      <c r="C90" s="32" t="n">
        <f aca="true">OFFSET(Price_Petite,0,2)</f>
        <v>9900</v>
      </c>
      <c r="D90" s="32" t="n">
        <f aca="true">OFFSET(Price_Petite,0,3)</f>
        <v>9900</v>
      </c>
      <c r="E90" s="30" t="s">
        <v>260</v>
      </c>
    </row>
    <row r="91" customFormat="false" ht="15" hidden="false" customHeight="false" outlineLevel="0" collapsed="false">
      <c r="A91" s="2" t="s">
        <v>127</v>
      </c>
      <c r="B91" s="31" t="n">
        <f aca="false">IF(ISNUMBER(B90),B90/FX_EUR,"")</f>
        <v>11.4336762928058</v>
      </c>
      <c r="C91" s="31" t="n">
        <f aca="false">IF(ISNUMBER(C90),C90/FX_EUR,"")</f>
        <v>15.0924527065036</v>
      </c>
      <c r="D91" s="31" t="n">
        <f aca="false">IF(ISNUMBER(D90),D90/FX_EUR,"")</f>
        <v>15.0924527065036</v>
      </c>
    </row>
    <row r="92" customFormat="false" ht="15" hidden="false" customHeight="false" outlineLevel="0" collapsed="false">
      <c r="A92" s="4" t="s">
        <v>121</v>
      </c>
      <c r="B92" s="32" t="n">
        <f aca="true">OFFSET(Price_Moyenne,0,1)</f>
        <v>17500</v>
      </c>
      <c r="C92" s="32" t="n">
        <f aca="true">OFFSET(Price_Moyenne,0,2)</f>
        <v>19500</v>
      </c>
      <c r="D92" s="32" t="n">
        <f aca="true">OFFSET(Price_Moyenne,0,3)</f>
        <v>29900</v>
      </c>
      <c r="E92" s="30" t="s">
        <v>260</v>
      </c>
    </row>
    <row r="93" customFormat="false" ht="15" hidden="false" customHeight="false" outlineLevel="0" collapsed="false">
      <c r="A93" s="2" t="s">
        <v>127</v>
      </c>
      <c r="B93" s="31" t="n">
        <f aca="false">IF(ISNUMBER(B92),B92/FX_EUR,"")</f>
        <v>26.6785780165468</v>
      </c>
      <c r="C93" s="31" t="n">
        <f aca="false">IF(ISNUMBER(C92),C92/FX_EUR,"")</f>
        <v>29.727558361295</v>
      </c>
      <c r="D93" s="31" t="n">
        <f aca="false">IF(ISNUMBER(D92),D92/FX_EUR,"")</f>
        <v>45.5822561539857</v>
      </c>
    </row>
    <row r="94" customFormat="false" ht="15" hidden="false" customHeight="false" outlineLevel="0" collapsed="false">
      <c r="A94" s="4" t="s">
        <v>122</v>
      </c>
      <c r="B94" s="32" t="n">
        <f aca="true">OFFSET(Price_Grande,0,1)</f>
        <v>59500</v>
      </c>
      <c r="C94" s="32" t="n">
        <f aca="true">OFFSET(Price_Grande,0,2)</f>
        <v>69500</v>
      </c>
      <c r="D94" s="32" t="n">
        <f aca="true">OFFSET(Price_Grande,0,3)</f>
        <v>89900</v>
      </c>
      <c r="E94" s="30" t="s">
        <v>260</v>
      </c>
    </row>
    <row r="95" customFormat="false" ht="15" hidden="false" customHeight="false" outlineLevel="0" collapsed="false">
      <c r="A95" s="2" t="s">
        <v>127</v>
      </c>
      <c r="B95" s="31" t="n">
        <f aca="false">IF(ISNUMBER(B94),B94/FX_EUR,"")</f>
        <v>90.7071652562592</v>
      </c>
      <c r="C95" s="31" t="n">
        <f aca="false">IF(ISNUMBER(C94),C94/FX_EUR,"")</f>
        <v>105.95206698</v>
      </c>
      <c r="D95" s="31" t="n">
        <f aca="false">IF(ISNUMBER(D94),D94/FX_EUR,"")</f>
        <v>137.051666496432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261</v>
      </c>
    </row>
    <row r="2" customFormat="false" ht="15" hidden="false" customHeight="false" outlineLevel="0" collapsed="false">
      <c r="A2" s="2" t="s">
        <v>262</v>
      </c>
    </row>
    <row r="4" customFormat="false" ht="15" hidden="false" customHeight="false" outlineLevel="0" collapsed="false">
      <c r="B4" s="8" t="s">
        <v>263</v>
      </c>
      <c r="D4" s="35" t="n">
        <v>2</v>
      </c>
      <c r="E4" s="8" t="str">
        <f aca="false">CHOOSE(Scenario,"Prudent","Base","Ambitious")</f>
        <v>Base</v>
      </c>
      <c r="I4" s="2" t="s">
        <v>264</v>
      </c>
    </row>
    <row r="7" customFormat="false" ht="15" hidden="false" customHeight="false" outlineLevel="0" collapsed="false">
      <c r="B7" s="36" t="s">
        <v>265</v>
      </c>
      <c r="C7" s="36" t="s">
        <v>182</v>
      </c>
      <c r="D7" s="36" t="s">
        <v>266</v>
      </c>
      <c r="E7" s="36" t="s">
        <v>267</v>
      </c>
      <c r="F7" s="36" t="s">
        <v>268</v>
      </c>
      <c r="G7" s="36" t="s">
        <v>269</v>
      </c>
      <c r="H7" s="36" t="s">
        <v>270</v>
      </c>
      <c r="I7" s="36" t="s">
        <v>271</v>
      </c>
    </row>
    <row r="8" customFormat="false" ht="15" hidden="false" customHeight="false" outlineLevel="0" collapsed="false">
      <c r="B8" s="12" t="s">
        <v>272</v>
      </c>
      <c r="C8" s="14" t="s">
        <v>273</v>
      </c>
      <c r="D8" s="37" t="n">
        <v>46388</v>
      </c>
      <c r="I8" s="14" t="s">
        <v>274</v>
      </c>
    </row>
    <row r="9" customFormat="false" ht="15" hidden="false" customHeight="false" outlineLevel="0" collapsed="false">
      <c r="B9" s="12" t="s">
        <v>275</v>
      </c>
      <c r="C9" s="14" t="s">
        <v>77</v>
      </c>
      <c r="D9" s="38" t="n">
        <v>655.957</v>
      </c>
      <c r="I9" s="14" t="s">
        <v>276</v>
      </c>
    </row>
    <row r="10" customFormat="false" ht="15" hidden="false" customHeight="false" outlineLevel="0" collapsed="false">
      <c r="B10" s="12" t="s">
        <v>277</v>
      </c>
      <c r="C10" s="14" t="s">
        <v>77</v>
      </c>
      <c r="D10" s="39" t="n">
        <v>580</v>
      </c>
      <c r="I10" s="14" t="s">
        <v>278</v>
      </c>
    </row>
    <row r="11" customFormat="false" ht="15" hidden="false" customHeight="false" outlineLevel="0" collapsed="false">
      <c r="B11" s="12" t="s">
        <v>279</v>
      </c>
      <c r="C11" s="14" t="s">
        <v>96</v>
      </c>
      <c r="D11" s="40" t="n">
        <v>0.3</v>
      </c>
      <c r="I11" s="14" t="s">
        <v>280</v>
      </c>
    </row>
    <row r="12" customFormat="false" ht="15" hidden="false" customHeight="false" outlineLevel="0" collapsed="false">
      <c r="B12" s="12" t="s">
        <v>281</v>
      </c>
      <c r="C12" s="14" t="s">
        <v>282</v>
      </c>
      <c r="D12" s="40" t="n">
        <v>0.05</v>
      </c>
      <c r="I12" s="14" t="s">
        <v>283</v>
      </c>
    </row>
    <row r="13" customFormat="false" ht="15" hidden="false" customHeight="false" outlineLevel="0" collapsed="false">
      <c r="B13" s="12" t="s">
        <v>284</v>
      </c>
      <c r="C13" s="14" t="s">
        <v>96</v>
      </c>
      <c r="D13" s="40" t="n">
        <v>0.05</v>
      </c>
      <c r="I13" s="14" t="s">
        <v>285</v>
      </c>
    </row>
    <row r="15" customFormat="false" ht="15" hidden="false" customHeight="false" outlineLevel="0" collapsed="false">
      <c r="B15" s="36" t="s">
        <v>286</v>
      </c>
      <c r="C15" s="36" t="s">
        <v>182</v>
      </c>
      <c r="D15" s="36" t="s">
        <v>266</v>
      </c>
      <c r="E15" s="36" t="s">
        <v>267</v>
      </c>
      <c r="F15" s="36" t="s">
        <v>268</v>
      </c>
      <c r="G15" s="36" t="s">
        <v>269</v>
      </c>
      <c r="H15" s="36" t="s">
        <v>270</v>
      </c>
      <c r="I15" s="36" t="s">
        <v>271</v>
      </c>
    </row>
    <row r="16" customFormat="false" ht="15" hidden="false" customHeight="false" outlineLevel="0" collapsed="false">
      <c r="B16" s="12" t="s">
        <v>287</v>
      </c>
      <c r="C16" s="14" t="s">
        <v>74</v>
      </c>
      <c r="D16" s="41" t="n">
        <v>5</v>
      </c>
      <c r="I16" s="14" t="s">
        <v>288</v>
      </c>
    </row>
    <row r="17" customFormat="false" ht="15" hidden="false" customHeight="false" outlineLevel="0" collapsed="false">
      <c r="B17" s="12" t="s">
        <v>289</v>
      </c>
      <c r="C17" s="14" t="s">
        <v>74</v>
      </c>
      <c r="D17" s="41" t="n">
        <v>19</v>
      </c>
      <c r="I17" s="14" t="s">
        <v>290</v>
      </c>
    </row>
    <row r="18" customFormat="false" ht="15" hidden="false" customHeight="false" outlineLevel="0" collapsed="false">
      <c r="B18" s="12" t="s">
        <v>291</v>
      </c>
      <c r="C18" s="14" t="s">
        <v>74</v>
      </c>
      <c r="D18" s="41" t="n">
        <v>1</v>
      </c>
      <c r="I18" s="14" t="s">
        <v>292</v>
      </c>
    </row>
    <row r="19" customFormat="false" ht="15" hidden="false" customHeight="false" outlineLevel="0" collapsed="false">
      <c r="B19" s="12" t="s">
        <v>293</v>
      </c>
      <c r="C19" s="14" t="s">
        <v>74</v>
      </c>
      <c r="D19" s="41" t="n">
        <v>18</v>
      </c>
      <c r="I19" s="14" t="s">
        <v>294</v>
      </c>
    </row>
    <row r="20" customFormat="false" ht="15" hidden="false" customHeight="false" outlineLevel="0" collapsed="false">
      <c r="B20" s="12" t="s">
        <v>295</v>
      </c>
      <c r="C20" s="14" t="s">
        <v>74</v>
      </c>
      <c r="D20" s="41" t="n">
        <v>18</v>
      </c>
      <c r="I20" s="14" t="s">
        <v>296</v>
      </c>
    </row>
    <row r="21" customFormat="false" ht="15" hidden="false" customHeight="false" outlineLevel="0" collapsed="false">
      <c r="B21" s="12" t="s">
        <v>297</v>
      </c>
      <c r="C21" s="14" t="s">
        <v>74</v>
      </c>
      <c r="D21" s="41" t="n">
        <v>29</v>
      </c>
      <c r="I21" s="14" t="s">
        <v>298</v>
      </c>
    </row>
    <row r="22" customFormat="false" ht="15" hidden="false" customHeight="false" outlineLevel="0" collapsed="false">
      <c r="B22" s="12" t="s">
        <v>299</v>
      </c>
      <c r="C22" s="14" t="s">
        <v>74</v>
      </c>
      <c r="D22" s="41" t="n">
        <v>24</v>
      </c>
      <c r="I22" s="14" t="s">
        <v>300</v>
      </c>
    </row>
    <row r="23" customFormat="false" ht="15" hidden="false" customHeight="false" outlineLevel="0" collapsed="false">
      <c r="B23" s="12" t="s">
        <v>301</v>
      </c>
      <c r="C23" s="14" t="s">
        <v>74</v>
      </c>
      <c r="D23" s="41" t="n">
        <v>25</v>
      </c>
      <c r="I23" s="14" t="s">
        <v>302</v>
      </c>
    </row>
    <row r="24" customFormat="false" ht="15" hidden="false" customHeight="false" outlineLevel="0" collapsed="false">
      <c r="B24" s="12" t="s">
        <v>303</v>
      </c>
      <c r="C24" s="14" t="s">
        <v>74</v>
      </c>
      <c r="D24" s="41" t="n">
        <v>4</v>
      </c>
      <c r="I24" s="14"/>
    </row>
    <row r="25" customFormat="false" ht="15" hidden="false" customHeight="false" outlineLevel="0" collapsed="false">
      <c r="B25" s="12" t="s">
        <v>304</v>
      </c>
      <c r="C25" s="14" t="s">
        <v>74</v>
      </c>
      <c r="D25" s="41" t="n">
        <v>2</v>
      </c>
      <c r="I25" s="14"/>
    </row>
    <row r="26" customFormat="false" ht="15" hidden="false" customHeight="false" outlineLevel="0" collapsed="false">
      <c r="B26" s="12" t="s">
        <v>305</v>
      </c>
      <c r="C26" s="14" t="s">
        <v>74</v>
      </c>
      <c r="D26" s="41" t="n">
        <v>16</v>
      </c>
      <c r="I26" s="14"/>
    </row>
    <row r="27" customFormat="false" ht="15" hidden="false" customHeight="false" outlineLevel="0" collapsed="false">
      <c r="B27" s="12" t="s">
        <v>306</v>
      </c>
      <c r="C27" s="14" t="s">
        <v>74</v>
      </c>
      <c r="D27" s="41" t="n">
        <v>3</v>
      </c>
      <c r="I27" s="14"/>
    </row>
    <row r="28" customFormat="false" ht="15" hidden="false" customHeight="false" outlineLevel="0" collapsed="false">
      <c r="B28" s="12" t="s">
        <v>307</v>
      </c>
      <c r="C28" s="14" t="s">
        <v>74</v>
      </c>
      <c r="D28" s="41" t="n">
        <v>5</v>
      </c>
      <c r="I28" s="14"/>
    </row>
    <row r="29" customFormat="false" ht="15" hidden="false" customHeight="false" outlineLevel="0" collapsed="false">
      <c r="B29" s="12" t="s">
        <v>308</v>
      </c>
      <c r="C29" s="14" t="s">
        <v>74</v>
      </c>
      <c r="D29" s="41" t="n">
        <v>2</v>
      </c>
      <c r="I29" s="14"/>
    </row>
    <row r="30" customFormat="false" ht="15" hidden="false" customHeight="false" outlineLevel="0" collapsed="false">
      <c r="B30" s="12" t="s">
        <v>309</v>
      </c>
      <c r="C30" s="14" t="s">
        <v>74</v>
      </c>
      <c r="D30" s="41" t="n">
        <v>15</v>
      </c>
      <c r="I30" s="14" t="s">
        <v>310</v>
      </c>
    </row>
    <row r="31" customFormat="false" ht="15" hidden="false" customHeight="false" outlineLevel="0" collapsed="false">
      <c r="B31" s="12" t="s">
        <v>311</v>
      </c>
      <c r="C31" s="14" t="s">
        <v>74</v>
      </c>
      <c r="D31" s="41" t="n">
        <v>16</v>
      </c>
      <c r="I31" s="14" t="s">
        <v>312</v>
      </c>
    </row>
    <row r="32" customFormat="false" ht="15" hidden="false" customHeight="false" outlineLevel="0" collapsed="false">
      <c r="B32" s="12" t="s">
        <v>313</v>
      </c>
      <c r="C32" s="14" t="s">
        <v>74</v>
      </c>
      <c r="D32" s="41" t="n">
        <v>4</v>
      </c>
      <c r="I32" s="14" t="s">
        <v>314</v>
      </c>
    </row>
    <row r="34" customFormat="false" ht="15" hidden="false" customHeight="false" outlineLevel="0" collapsed="false">
      <c r="B34" s="36" t="s">
        <v>315</v>
      </c>
      <c r="C34" s="36" t="s">
        <v>182</v>
      </c>
      <c r="D34" s="36" t="s">
        <v>266</v>
      </c>
      <c r="E34" s="36" t="s">
        <v>267</v>
      </c>
      <c r="F34" s="36" t="s">
        <v>268</v>
      </c>
      <c r="G34" s="36" t="s">
        <v>269</v>
      </c>
      <c r="H34" s="36" t="s">
        <v>270</v>
      </c>
      <c r="I34" s="36" t="s">
        <v>271</v>
      </c>
    </row>
    <row r="35" customFormat="false" ht="15" hidden="false" customHeight="false" outlineLevel="0" collapsed="false">
      <c r="B35" s="12" t="s">
        <v>316</v>
      </c>
      <c r="C35" s="14" t="s">
        <v>89</v>
      </c>
      <c r="D35" s="42" t="n">
        <f aca="false">CHOOSE(Scenario,E35,F35,G35)</f>
        <v>8</v>
      </c>
      <c r="E35" s="43" t="n">
        <v>7</v>
      </c>
      <c r="F35" s="43" t="n">
        <v>8</v>
      </c>
      <c r="G35" s="43" t="n">
        <v>13</v>
      </c>
      <c r="I35" s="14" t="s">
        <v>317</v>
      </c>
    </row>
    <row r="36" customFormat="false" ht="15" hidden="false" customHeight="false" outlineLevel="0" collapsed="false">
      <c r="B36" s="12" t="s">
        <v>318</v>
      </c>
      <c r="C36" s="14" t="s">
        <v>319</v>
      </c>
      <c r="D36" s="44" t="n">
        <v>0.9</v>
      </c>
      <c r="I36" s="14" t="s">
        <v>320</v>
      </c>
    </row>
    <row r="37" customFormat="false" ht="15" hidden="false" customHeight="false" outlineLevel="0" collapsed="false">
      <c r="B37" s="12" t="s">
        <v>321</v>
      </c>
      <c r="C37" s="14" t="s">
        <v>89</v>
      </c>
      <c r="D37" s="42" t="n">
        <f aca="false">CHOOSE(Scenario,E37,F37,G37)</f>
        <v>8</v>
      </c>
      <c r="E37" s="43" t="n">
        <v>6</v>
      </c>
      <c r="F37" s="43" t="n">
        <v>8</v>
      </c>
      <c r="G37" s="43" t="n">
        <v>14</v>
      </c>
      <c r="I37" s="14" t="s">
        <v>322</v>
      </c>
    </row>
    <row r="38" customFormat="false" ht="15" hidden="false" customHeight="false" outlineLevel="0" collapsed="false">
      <c r="B38" s="12" t="s">
        <v>323</v>
      </c>
      <c r="C38" s="14" t="s">
        <v>89</v>
      </c>
      <c r="D38" s="42" t="n">
        <f aca="false">CHOOSE(Scenario,E38,F38,G38)</f>
        <v>6</v>
      </c>
      <c r="E38" s="43" t="n">
        <v>4</v>
      </c>
      <c r="F38" s="43" t="n">
        <v>6</v>
      </c>
      <c r="G38" s="43" t="n">
        <v>9</v>
      </c>
      <c r="I38" s="14"/>
    </row>
    <row r="39" customFormat="false" ht="15" hidden="false" customHeight="false" outlineLevel="0" collapsed="false">
      <c r="B39" s="12" t="s">
        <v>324</v>
      </c>
      <c r="C39" s="14" t="s">
        <v>325</v>
      </c>
      <c r="D39" s="40" t="n">
        <v>0.06</v>
      </c>
      <c r="I39" s="14"/>
    </row>
    <row r="40" customFormat="false" ht="15" hidden="false" customHeight="false" outlineLevel="0" collapsed="false">
      <c r="B40" s="12" t="s">
        <v>326</v>
      </c>
      <c r="C40" s="14" t="s">
        <v>327</v>
      </c>
      <c r="D40" s="39" t="n">
        <v>80</v>
      </c>
      <c r="I40" s="14"/>
    </row>
    <row r="41" customFormat="false" ht="15" hidden="false" customHeight="false" outlineLevel="0" collapsed="false">
      <c r="B41" s="12" t="s">
        <v>328</v>
      </c>
      <c r="C41" s="14" t="s">
        <v>327</v>
      </c>
      <c r="D41" s="39" t="n">
        <v>60</v>
      </c>
      <c r="I41" s="14"/>
    </row>
    <row r="42" customFormat="false" ht="15" hidden="false" customHeight="false" outlineLevel="0" collapsed="false">
      <c r="B42" s="12" t="s">
        <v>329</v>
      </c>
      <c r="C42" s="14" t="s">
        <v>77</v>
      </c>
      <c r="D42" s="32" t="n">
        <f aca="false">CHOOSE(Scenario,E42,F42,G42)</f>
        <v>75000</v>
      </c>
      <c r="E42" s="39" t="n">
        <v>100000</v>
      </c>
      <c r="F42" s="39" t="n">
        <v>75000</v>
      </c>
      <c r="G42" s="39" t="n">
        <v>55000</v>
      </c>
      <c r="H42" s="45" t="n">
        <f aca="false">D42/FX_EUR</f>
        <v>114.336762928058</v>
      </c>
      <c r="I42" s="14" t="s">
        <v>330</v>
      </c>
    </row>
    <row r="43" customFormat="false" ht="15" hidden="false" customHeight="false" outlineLevel="0" collapsed="false">
      <c r="B43" s="12" t="s">
        <v>331</v>
      </c>
      <c r="C43" s="14" t="s">
        <v>96</v>
      </c>
      <c r="D43" s="40" t="n">
        <v>0.6</v>
      </c>
      <c r="I43" s="14" t="s">
        <v>332</v>
      </c>
    </row>
    <row r="44" customFormat="false" ht="15" hidden="false" customHeight="false" outlineLevel="0" collapsed="false">
      <c r="B44" s="12" t="s">
        <v>333</v>
      </c>
      <c r="C44" s="14" t="s">
        <v>96</v>
      </c>
      <c r="D44" s="40" t="n">
        <v>0.3</v>
      </c>
      <c r="I44" s="14" t="s">
        <v>334</v>
      </c>
    </row>
    <row r="45" customFormat="false" ht="15" hidden="false" customHeight="false" outlineLevel="0" collapsed="false">
      <c r="B45" s="12" t="s">
        <v>335</v>
      </c>
      <c r="C45" s="14" t="s">
        <v>96</v>
      </c>
      <c r="D45" s="40" t="n">
        <v>0.1</v>
      </c>
      <c r="I45" s="14"/>
    </row>
    <row r="46" customFormat="false" ht="15" hidden="false" customHeight="false" outlineLevel="0" collapsed="false">
      <c r="B46" s="12" t="s">
        <v>336</v>
      </c>
      <c r="C46" s="14" t="s">
        <v>325</v>
      </c>
      <c r="D46" s="33" t="n">
        <f aca="false">CHOOSE(Scenario,E46,F46,G46)</f>
        <v>0.02</v>
      </c>
      <c r="E46" s="46" t="n">
        <v>0.03</v>
      </c>
      <c r="F46" s="46" t="n">
        <v>0.02</v>
      </c>
      <c r="G46" s="46" t="n">
        <v>0.015</v>
      </c>
      <c r="I46" s="14" t="s">
        <v>337</v>
      </c>
    </row>
    <row r="47" customFormat="false" ht="15" hidden="false" customHeight="false" outlineLevel="0" collapsed="false">
      <c r="B47" s="12" t="s">
        <v>338</v>
      </c>
      <c r="C47" s="14" t="s">
        <v>325</v>
      </c>
      <c r="D47" s="33" t="n">
        <f aca="false">CHOOSE(Scenario,E47,F47,G47)</f>
        <v>0.0125</v>
      </c>
      <c r="E47" s="46" t="n">
        <v>0.02</v>
      </c>
      <c r="F47" s="46" t="n">
        <v>0.0125</v>
      </c>
      <c r="G47" s="46" t="n">
        <v>0.01</v>
      </c>
      <c r="I47" s="14"/>
    </row>
    <row r="48" customFormat="false" ht="15" hidden="false" customHeight="false" outlineLevel="0" collapsed="false">
      <c r="B48" s="12" t="s">
        <v>339</v>
      </c>
      <c r="C48" s="14" t="s">
        <v>325</v>
      </c>
      <c r="D48" s="33" t="n">
        <f aca="false">CHOOSE(Scenario,E48,F48,G48)</f>
        <v>0.0075</v>
      </c>
      <c r="E48" s="46" t="n">
        <v>0.015</v>
      </c>
      <c r="F48" s="46" t="n">
        <v>0.0075</v>
      </c>
      <c r="G48" s="46" t="n">
        <v>0.005</v>
      </c>
      <c r="I48" s="14"/>
    </row>
    <row r="49" customFormat="false" ht="15" hidden="false" customHeight="false" outlineLevel="0" collapsed="false">
      <c r="B49" s="12" t="s">
        <v>340</v>
      </c>
      <c r="C49" s="14" t="s">
        <v>77</v>
      </c>
      <c r="D49" s="39" t="n">
        <v>25000</v>
      </c>
      <c r="H49" s="45" t="n">
        <f aca="false">D49/FX_EUR</f>
        <v>38.1122543093526</v>
      </c>
      <c r="I49" s="14" t="s">
        <v>341</v>
      </c>
    </row>
    <row r="50" customFormat="false" ht="15" hidden="false" customHeight="false" outlineLevel="0" collapsed="false">
      <c r="B50" s="12" t="s">
        <v>342</v>
      </c>
      <c r="C50" s="14" t="s">
        <v>104</v>
      </c>
      <c r="D50" s="39" t="n">
        <v>75000</v>
      </c>
      <c r="H50" s="45" t="n">
        <f aca="false">D50/FX_EUR</f>
        <v>114.336762928058</v>
      </c>
      <c r="I50" s="14" t="s">
        <v>343</v>
      </c>
    </row>
    <row r="52" customFormat="false" ht="15" hidden="false" customHeight="false" outlineLevel="0" collapsed="false">
      <c r="B52" s="36" t="s">
        <v>344</v>
      </c>
      <c r="C52" s="36" t="s">
        <v>182</v>
      </c>
      <c r="D52" s="36" t="s">
        <v>266</v>
      </c>
      <c r="E52" s="36" t="s">
        <v>267</v>
      </c>
      <c r="F52" s="36" t="s">
        <v>268</v>
      </c>
      <c r="G52" s="36" t="s">
        <v>269</v>
      </c>
      <c r="H52" s="36" t="s">
        <v>270</v>
      </c>
      <c r="I52" s="36" t="s">
        <v>271</v>
      </c>
    </row>
    <row r="53" customFormat="false" ht="15" hidden="false" customHeight="false" outlineLevel="0" collapsed="false">
      <c r="B53" s="12" t="s">
        <v>345</v>
      </c>
      <c r="C53" s="14" t="s">
        <v>346</v>
      </c>
      <c r="D53" s="41" t="n">
        <v>2</v>
      </c>
      <c r="I53" s="14" t="s">
        <v>347</v>
      </c>
    </row>
    <row r="55" customFormat="false" ht="15" hidden="false" customHeight="false" outlineLevel="0" collapsed="false">
      <c r="B55" s="36" t="s">
        <v>348</v>
      </c>
      <c r="C55" s="36" t="s">
        <v>182</v>
      </c>
      <c r="D55" s="36" t="s">
        <v>266</v>
      </c>
      <c r="E55" s="36" t="s">
        <v>349</v>
      </c>
      <c r="F55" s="36" t="s">
        <v>350</v>
      </c>
      <c r="G55" s="36" t="s">
        <v>351</v>
      </c>
      <c r="H55" s="36" t="s">
        <v>270</v>
      </c>
      <c r="I55" s="36" t="s">
        <v>271</v>
      </c>
    </row>
    <row r="56" customFormat="false" ht="15" hidden="false" customHeight="false" outlineLevel="0" collapsed="false">
      <c r="B56" s="12" t="s">
        <v>352</v>
      </c>
      <c r="C56" s="14" t="s">
        <v>104</v>
      </c>
      <c r="D56" s="32" t="n">
        <f aca="false">CHOOSE(Pricing_Option,E56,F56,G56)</f>
        <v>9900</v>
      </c>
      <c r="E56" s="39" t="n">
        <v>7500</v>
      </c>
      <c r="F56" s="39" t="n">
        <v>9900</v>
      </c>
      <c r="G56" s="39" t="n">
        <v>9900</v>
      </c>
      <c r="H56" s="45" t="n">
        <f aca="false">D56/FX_EUR</f>
        <v>15.0924527065036</v>
      </c>
      <c r="I56" s="14" t="s">
        <v>353</v>
      </c>
    </row>
    <row r="57" customFormat="false" ht="15" hidden="false" customHeight="false" outlineLevel="0" collapsed="false">
      <c r="B57" s="12" t="s">
        <v>354</v>
      </c>
      <c r="C57" s="14" t="s">
        <v>104</v>
      </c>
      <c r="D57" s="32" t="n">
        <f aca="false">CHOOSE(Pricing_Option,E57,F57,G57)</f>
        <v>19500</v>
      </c>
      <c r="E57" s="39" t="n">
        <v>17500</v>
      </c>
      <c r="F57" s="39" t="n">
        <v>19500</v>
      </c>
      <c r="G57" s="39" t="n">
        <v>29900</v>
      </c>
      <c r="H57" s="45" t="n">
        <f aca="false">D57/FX_EUR</f>
        <v>29.727558361295</v>
      </c>
      <c r="I57" s="14" t="s">
        <v>355</v>
      </c>
    </row>
    <row r="58" customFormat="false" ht="15" hidden="false" customHeight="false" outlineLevel="0" collapsed="false">
      <c r="B58" s="12" t="s">
        <v>356</v>
      </c>
      <c r="C58" s="14" t="s">
        <v>104</v>
      </c>
      <c r="D58" s="32" t="n">
        <f aca="false">CHOOSE(Pricing_Option,E58,F58,G58)</f>
        <v>69500</v>
      </c>
      <c r="E58" s="39" t="n">
        <v>59500</v>
      </c>
      <c r="F58" s="39" t="n">
        <v>69500</v>
      </c>
      <c r="G58" s="39" t="n">
        <v>89900</v>
      </c>
      <c r="H58" s="45" t="n">
        <f aca="false">D58/FX_EUR</f>
        <v>105.95206698</v>
      </c>
      <c r="I58" s="14" t="s">
        <v>357</v>
      </c>
    </row>
    <row r="60" customFormat="false" ht="15" hidden="false" customHeight="false" outlineLevel="0" collapsed="false">
      <c r="B60" s="36" t="s">
        <v>358</v>
      </c>
      <c r="C60" s="36" t="s">
        <v>182</v>
      </c>
      <c r="D60" s="36" t="s">
        <v>266</v>
      </c>
      <c r="E60" s="36" t="s">
        <v>267</v>
      </c>
      <c r="F60" s="36" t="s">
        <v>268</v>
      </c>
      <c r="G60" s="36" t="s">
        <v>269</v>
      </c>
      <c r="H60" s="36" t="s">
        <v>270</v>
      </c>
      <c r="I60" s="36" t="s">
        <v>271</v>
      </c>
    </row>
    <row r="61" customFormat="false" ht="15" hidden="false" customHeight="false" outlineLevel="0" collapsed="false">
      <c r="B61" s="12" t="s">
        <v>359</v>
      </c>
      <c r="C61" s="14" t="s">
        <v>282</v>
      </c>
      <c r="D61" s="40" t="n">
        <v>0</v>
      </c>
      <c r="I61" s="14"/>
    </row>
    <row r="62" customFormat="false" ht="15" hidden="false" customHeight="false" outlineLevel="0" collapsed="false">
      <c r="B62" s="12" t="s">
        <v>360</v>
      </c>
      <c r="C62" s="14" t="s">
        <v>108</v>
      </c>
      <c r="D62" s="41" t="n">
        <v>1</v>
      </c>
      <c r="I62" s="14" t="s">
        <v>361</v>
      </c>
    </row>
    <row r="63" customFormat="false" ht="15" hidden="false" customHeight="false" outlineLevel="0" collapsed="false">
      <c r="B63" s="12" t="s">
        <v>362</v>
      </c>
      <c r="C63" s="14" t="s">
        <v>96</v>
      </c>
      <c r="D63" s="40" t="n">
        <v>0.3</v>
      </c>
      <c r="I63" s="14"/>
    </row>
    <row r="64" customFormat="false" ht="15" hidden="false" customHeight="false" outlineLevel="0" collapsed="false">
      <c r="B64" s="12" t="s">
        <v>363</v>
      </c>
      <c r="C64" s="14" t="s">
        <v>108</v>
      </c>
      <c r="D64" s="41" t="n">
        <v>2</v>
      </c>
      <c r="I64" s="14" t="s">
        <v>364</v>
      </c>
    </row>
    <row r="65" customFormat="false" ht="15" hidden="false" customHeight="false" outlineLevel="0" collapsed="false">
      <c r="B65" s="12" t="s">
        <v>365</v>
      </c>
      <c r="C65" s="14" t="s">
        <v>366</v>
      </c>
      <c r="D65" s="39" t="n">
        <v>2</v>
      </c>
      <c r="I65" s="14" t="s">
        <v>367</v>
      </c>
    </row>
    <row r="66" customFormat="false" ht="15" hidden="false" customHeight="false" outlineLevel="0" collapsed="false">
      <c r="B66" s="12" t="s">
        <v>368</v>
      </c>
      <c r="C66" s="14" t="s">
        <v>366</v>
      </c>
      <c r="D66" s="39" t="n">
        <v>3</v>
      </c>
      <c r="I66" s="14"/>
    </row>
    <row r="67" customFormat="false" ht="15" hidden="false" customHeight="false" outlineLevel="0" collapsed="false">
      <c r="B67" s="12" t="s">
        <v>369</v>
      </c>
      <c r="C67" s="14" t="s">
        <v>366</v>
      </c>
      <c r="D67" s="39" t="n">
        <v>10</v>
      </c>
      <c r="I67" s="14"/>
    </row>
    <row r="68" customFormat="false" ht="15" hidden="false" customHeight="false" outlineLevel="0" collapsed="false">
      <c r="B68" s="12" t="s">
        <v>370</v>
      </c>
      <c r="C68" s="14" t="s">
        <v>371</v>
      </c>
      <c r="D68" s="39" t="n">
        <v>30</v>
      </c>
      <c r="I68" s="14" t="s">
        <v>372</v>
      </c>
    </row>
    <row r="69" customFormat="false" ht="15" hidden="false" customHeight="false" outlineLevel="0" collapsed="false">
      <c r="B69" s="12" t="s">
        <v>373</v>
      </c>
      <c r="C69" s="14" t="s">
        <v>371</v>
      </c>
      <c r="D69" s="39" t="n">
        <v>150</v>
      </c>
      <c r="I69" s="14"/>
    </row>
    <row r="70" customFormat="false" ht="15" hidden="false" customHeight="false" outlineLevel="0" collapsed="false">
      <c r="B70" s="12" t="s">
        <v>374</v>
      </c>
      <c r="C70" s="14" t="s">
        <v>371</v>
      </c>
      <c r="D70" s="39" t="n">
        <v>500</v>
      </c>
      <c r="I70" s="14"/>
    </row>
    <row r="71" customFormat="false" ht="15" hidden="false" customHeight="false" outlineLevel="0" collapsed="false">
      <c r="B71" s="12" t="s">
        <v>375</v>
      </c>
      <c r="C71" s="14" t="s">
        <v>376</v>
      </c>
      <c r="D71" s="39" t="n">
        <v>1</v>
      </c>
      <c r="I71" s="14" t="s">
        <v>377</v>
      </c>
    </row>
    <row r="72" customFormat="false" ht="15" hidden="false" customHeight="false" outlineLevel="0" collapsed="false">
      <c r="B72" s="12" t="s">
        <v>378</v>
      </c>
      <c r="C72" s="14" t="s">
        <v>376</v>
      </c>
      <c r="D72" s="39" t="n">
        <v>3</v>
      </c>
      <c r="I72" s="14"/>
    </row>
    <row r="73" customFormat="false" ht="15" hidden="false" customHeight="false" outlineLevel="0" collapsed="false">
      <c r="B73" s="12" t="s">
        <v>379</v>
      </c>
      <c r="C73" s="14" t="s">
        <v>376</v>
      </c>
      <c r="D73" s="39" t="n">
        <v>10</v>
      </c>
      <c r="I73" s="14"/>
    </row>
    <row r="74" customFormat="false" ht="15" hidden="false" customHeight="false" outlineLevel="0" collapsed="false">
      <c r="B74" s="12" t="s">
        <v>380</v>
      </c>
      <c r="C74" s="14" t="s">
        <v>104</v>
      </c>
      <c r="D74" s="39" t="n">
        <v>3000000</v>
      </c>
      <c r="H74" s="45" t="n">
        <f aca="false">D74/FX_EUR</f>
        <v>4573.47051712231</v>
      </c>
      <c r="I74" s="14" t="s">
        <v>381</v>
      </c>
    </row>
    <row r="75" customFormat="false" ht="15" hidden="false" customHeight="false" outlineLevel="0" collapsed="false">
      <c r="B75" s="12" t="s">
        <v>382</v>
      </c>
      <c r="C75" s="14" t="s">
        <v>104</v>
      </c>
      <c r="D75" s="39" t="n">
        <v>15000000</v>
      </c>
      <c r="H75" s="45" t="n">
        <f aca="false">D75/FX_EUR</f>
        <v>22867.3525856116</v>
      </c>
      <c r="I75" s="14"/>
    </row>
    <row r="76" customFormat="false" ht="15" hidden="false" customHeight="false" outlineLevel="0" collapsed="false">
      <c r="B76" s="12" t="s">
        <v>383</v>
      </c>
      <c r="C76" s="14" t="s">
        <v>104</v>
      </c>
      <c r="D76" s="39" t="n">
        <v>60000000</v>
      </c>
      <c r="H76" s="45" t="n">
        <f aca="false">D76/FX_EUR</f>
        <v>91469.4103424462</v>
      </c>
      <c r="I76" s="14"/>
    </row>
    <row r="77" customFormat="false" ht="15" hidden="false" customHeight="false" outlineLevel="0" collapsed="false">
      <c r="B77" s="12" t="s">
        <v>384</v>
      </c>
      <c r="C77" s="14" t="s">
        <v>104</v>
      </c>
      <c r="D77" s="39" t="n">
        <v>2500</v>
      </c>
      <c r="H77" s="45" t="n">
        <f aca="false">D77/FX_EUR</f>
        <v>3.81122543093526</v>
      </c>
      <c r="I77" s="14"/>
    </row>
    <row r="78" customFormat="false" ht="15" hidden="false" customHeight="false" outlineLevel="0" collapsed="false">
      <c r="B78" s="12" t="s">
        <v>385</v>
      </c>
      <c r="C78" s="14" t="s">
        <v>104</v>
      </c>
      <c r="D78" s="39" t="n">
        <v>2000</v>
      </c>
      <c r="H78" s="45" t="n">
        <f aca="false">D78/FX_EUR</f>
        <v>3.04898034474821</v>
      </c>
      <c r="I78" s="14" t="s">
        <v>386</v>
      </c>
    </row>
    <row r="79" customFormat="false" ht="15" hidden="false" customHeight="false" outlineLevel="0" collapsed="false">
      <c r="B79" s="12" t="s">
        <v>387</v>
      </c>
      <c r="C79" s="14" t="s">
        <v>104</v>
      </c>
      <c r="D79" s="39" t="n">
        <v>500000</v>
      </c>
      <c r="H79" s="45" t="n">
        <f aca="false">D79/FX_EUR</f>
        <v>762.245086187052</v>
      </c>
      <c r="I79" s="14" t="s">
        <v>388</v>
      </c>
    </row>
    <row r="80" customFormat="false" ht="15" hidden="false" customHeight="false" outlineLevel="0" collapsed="false">
      <c r="B80" s="12" t="s">
        <v>389</v>
      </c>
      <c r="C80" s="14" t="s">
        <v>104</v>
      </c>
      <c r="D80" s="39" t="n">
        <v>2000000</v>
      </c>
      <c r="H80" s="45" t="n">
        <f aca="false">D80/FX_EUR</f>
        <v>3048.98034474821</v>
      </c>
      <c r="I80" s="14"/>
    </row>
    <row r="81" customFormat="false" ht="15" hidden="false" customHeight="false" outlineLevel="0" collapsed="false">
      <c r="B81" s="12" t="s">
        <v>390</v>
      </c>
      <c r="C81" s="14" t="s">
        <v>104</v>
      </c>
      <c r="D81" s="39" t="n">
        <v>10000000</v>
      </c>
      <c r="H81" s="45" t="n">
        <f aca="false">D81/FX_EUR</f>
        <v>15244.901723741</v>
      </c>
      <c r="I81" s="14"/>
    </row>
    <row r="82" customFormat="false" ht="15" hidden="false" customHeight="false" outlineLevel="0" collapsed="false">
      <c r="B82" s="12" t="s">
        <v>391</v>
      </c>
      <c r="C82" s="14" t="s">
        <v>195</v>
      </c>
      <c r="D82" s="33" t="n">
        <f aca="false">CHOOSE(Scenario,E82,F82,G82)</f>
        <v>0.01</v>
      </c>
      <c r="E82" s="46" t="n">
        <v>0.0115</v>
      </c>
      <c r="F82" s="46" t="n">
        <v>0.01</v>
      </c>
      <c r="G82" s="46" t="n">
        <v>0.01</v>
      </c>
      <c r="I82" s="14" t="s">
        <v>392</v>
      </c>
    </row>
    <row r="83" customFormat="false" ht="15" hidden="false" customHeight="false" outlineLevel="0" collapsed="false">
      <c r="B83" s="12" t="s">
        <v>197</v>
      </c>
      <c r="C83" s="14" t="s">
        <v>192</v>
      </c>
      <c r="D83" s="39" t="n">
        <v>8500</v>
      </c>
      <c r="H83" s="45" t="n">
        <f aca="false">D83/FX_EUR</f>
        <v>12.9581664651799</v>
      </c>
      <c r="I83" s="14" t="s">
        <v>393</v>
      </c>
    </row>
    <row r="84" customFormat="false" ht="15" hidden="false" customHeight="false" outlineLevel="0" collapsed="false">
      <c r="B84" s="12" t="s">
        <v>394</v>
      </c>
      <c r="C84" s="14" t="s">
        <v>77</v>
      </c>
      <c r="D84" s="39" t="n">
        <v>5000</v>
      </c>
      <c r="H84" s="45" t="n">
        <f aca="false">D84/FX_EUR</f>
        <v>7.62245086187052</v>
      </c>
      <c r="I84" s="14" t="s">
        <v>395</v>
      </c>
    </row>
    <row r="85" customFormat="false" ht="15" hidden="false" customHeight="false" outlineLevel="0" collapsed="false">
      <c r="B85" s="12" t="s">
        <v>396</v>
      </c>
      <c r="C85" s="14" t="s">
        <v>96</v>
      </c>
      <c r="D85" s="46" t="n">
        <v>0.025</v>
      </c>
      <c r="I85" s="14" t="s">
        <v>397</v>
      </c>
    </row>
    <row r="86" customFormat="false" ht="15" hidden="false" customHeight="false" outlineLevel="0" collapsed="false">
      <c r="B86" s="12" t="s">
        <v>398</v>
      </c>
      <c r="C86" s="14" t="s">
        <v>399</v>
      </c>
      <c r="D86" s="46" t="n">
        <v>0</v>
      </c>
      <c r="I86" s="14" t="s">
        <v>400</v>
      </c>
    </row>
    <row r="87" customFormat="false" ht="15" hidden="false" customHeight="false" outlineLevel="0" collapsed="false">
      <c r="B87" s="12" t="s">
        <v>401</v>
      </c>
      <c r="C87" s="14" t="s">
        <v>319</v>
      </c>
      <c r="D87" s="47" t="n">
        <f aca="false">CHOOSE(Scenario,E87,F87,G87)</f>
        <v>1</v>
      </c>
      <c r="E87" s="44" t="n">
        <v>0.6</v>
      </c>
      <c r="F87" s="44" t="n">
        <v>1</v>
      </c>
      <c r="G87" s="44" t="n">
        <v>1</v>
      </c>
      <c r="I87" s="14" t="s">
        <v>402</v>
      </c>
    </row>
    <row r="88" customFormat="false" ht="15" hidden="false" customHeight="false" outlineLevel="0" collapsed="false">
      <c r="B88" s="12" t="s">
        <v>403</v>
      </c>
      <c r="C88" s="14" t="s">
        <v>96</v>
      </c>
      <c r="D88" s="46" t="n">
        <v>0</v>
      </c>
      <c r="I88" s="14" t="s">
        <v>404</v>
      </c>
    </row>
    <row r="89" customFormat="false" ht="15" hidden="false" customHeight="false" outlineLevel="0" collapsed="false">
      <c r="B89" s="12" t="s">
        <v>234</v>
      </c>
      <c r="C89" s="14" t="s">
        <v>282</v>
      </c>
      <c r="D89" s="46" t="n">
        <v>0</v>
      </c>
      <c r="I89" s="14" t="s">
        <v>405</v>
      </c>
    </row>
    <row r="90" customFormat="false" ht="15" hidden="false" customHeight="false" outlineLevel="0" collapsed="false">
      <c r="B90" s="12" t="s">
        <v>406</v>
      </c>
      <c r="C90" s="14" t="s">
        <v>77</v>
      </c>
      <c r="D90" s="39" t="n">
        <v>450</v>
      </c>
      <c r="H90" s="45" t="n">
        <f aca="false">D90/FX_EUR</f>
        <v>0.686020577568347</v>
      </c>
      <c r="I90" s="14" t="s">
        <v>407</v>
      </c>
    </row>
    <row r="91" customFormat="false" ht="15" hidden="false" customHeight="false" outlineLevel="0" collapsed="false">
      <c r="B91" s="12" t="s">
        <v>408</v>
      </c>
      <c r="C91" s="14" t="s">
        <v>96</v>
      </c>
      <c r="D91" s="46" t="n">
        <v>0.012</v>
      </c>
      <c r="I91" s="14" t="s">
        <v>409</v>
      </c>
    </row>
    <row r="92" customFormat="false" ht="15" hidden="false" customHeight="false" outlineLevel="0" collapsed="false">
      <c r="B92" s="12" t="s">
        <v>410</v>
      </c>
      <c r="C92" s="14" t="s">
        <v>96</v>
      </c>
      <c r="D92" s="33" t="n">
        <f aca="false">CHOOSE(Scenario,E92,F92,G92)</f>
        <v>0.01</v>
      </c>
      <c r="E92" s="46" t="n">
        <v>0.012</v>
      </c>
      <c r="F92" s="46" t="n">
        <v>0.01</v>
      </c>
      <c r="G92" s="46" t="n">
        <v>0.005</v>
      </c>
      <c r="I92" s="14" t="s">
        <v>411</v>
      </c>
    </row>
    <row r="93" customFormat="false" ht="15" hidden="false" customHeight="false" outlineLevel="0" collapsed="false">
      <c r="B93" s="12" t="s">
        <v>412</v>
      </c>
      <c r="C93" s="14" t="s">
        <v>96</v>
      </c>
      <c r="D93" s="40" t="n">
        <v>0.7</v>
      </c>
      <c r="I93" s="14" t="s">
        <v>413</v>
      </c>
    </row>
    <row r="94" customFormat="false" ht="15" hidden="false" customHeight="false" outlineLevel="0" collapsed="false">
      <c r="B94" s="12" t="s">
        <v>414</v>
      </c>
      <c r="C94" s="14" t="s">
        <v>96</v>
      </c>
      <c r="D94" s="40" t="n">
        <v>0.25</v>
      </c>
      <c r="I94" s="14"/>
    </row>
    <row r="95" customFormat="false" ht="15" hidden="false" customHeight="false" outlineLevel="0" collapsed="false">
      <c r="B95" s="12" t="s">
        <v>415</v>
      </c>
      <c r="C95" s="14" t="s">
        <v>108</v>
      </c>
      <c r="D95" s="41" t="n">
        <v>12</v>
      </c>
      <c r="I95" s="14"/>
    </row>
    <row r="97" customFormat="false" ht="15" hidden="false" customHeight="false" outlineLevel="0" collapsed="false">
      <c r="B97" s="36" t="s">
        <v>416</v>
      </c>
      <c r="C97" s="36" t="s">
        <v>182</v>
      </c>
      <c r="D97" s="36" t="s">
        <v>266</v>
      </c>
      <c r="E97" s="36" t="s">
        <v>267</v>
      </c>
      <c r="F97" s="36" t="s">
        <v>268</v>
      </c>
      <c r="G97" s="36" t="s">
        <v>269</v>
      </c>
      <c r="H97" s="36" t="s">
        <v>270</v>
      </c>
      <c r="I97" s="36" t="s">
        <v>271</v>
      </c>
    </row>
    <row r="98" customFormat="false" ht="15" hidden="false" customHeight="false" outlineLevel="0" collapsed="false">
      <c r="B98" s="12" t="s">
        <v>417</v>
      </c>
      <c r="C98" s="14" t="s">
        <v>74</v>
      </c>
      <c r="D98" s="41" t="n">
        <v>11</v>
      </c>
      <c r="I98" s="14" t="s">
        <v>418</v>
      </c>
    </row>
    <row r="99" customFormat="false" ht="15" hidden="false" customHeight="false" outlineLevel="0" collapsed="false">
      <c r="B99" s="12" t="s">
        <v>419</v>
      </c>
      <c r="C99" s="14" t="s">
        <v>200</v>
      </c>
      <c r="D99" s="39" t="n">
        <v>900</v>
      </c>
      <c r="H99" s="45" t="n">
        <f aca="false">D99/FX_EUR</f>
        <v>1.37204115513669</v>
      </c>
      <c r="I99" s="14" t="s">
        <v>420</v>
      </c>
    </row>
    <row r="100" customFormat="false" ht="15" hidden="false" customHeight="false" outlineLevel="0" collapsed="false">
      <c r="B100" s="12" t="s">
        <v>421</v>
      </c>
      <c r="C100" s="14" t="s">
        <v>96</v>
      </c>
      <c r="D100" s="40" t="n">
        <v>0.4</v>
      </c>
      <c r="I100" s="14" t="s">
        <v>422</v>
      </c>
    </row>
    <row r="101" customFormat="false" ht="15" hidden="false" customHeight="false" outlineLevel="0" collapsed="false">
      <c r="B101" s="12" t="s">
        <v>423</v>
      </c>
      <c r="C101" s="14" t="s">
        <v>108</v>
      </c>
      <c r="D101" s="41" t="n">
        <v>12</v>
      </c>
      <c r="I101" s="14"/>
    </row>
    <row r="102" customFormat="false" ht="15" hidden="false" customHeight="false" outlineLevel="0" collapsed="false">
      <c r="B102" s="12" t="s">
        <v>424</v>
      </c>
      <c r="C102" s="14" t="s">
        <v>200</v>
      </c>
      <c r="D102" s="39" t="n">
        <v>15</v>
      </c>
      <c r="H102" s="45" t="n">
        <f aca="false">D102/FX_EUR</f>
        <v>0.0228673525856116</v>
      </c>
      <c r="I102" s="14" t="s">
        <v>425</v>
      </c>
    </row>
    <row r="103" customFormat="false" ht="15" hidden="false" customHeight="false" outlineLevel="0" collapsed="false">
      <c r="B103" s="12" t="s">
        <v>426</v>
      </c>
      <c r="C103" s="14" t="s">
        <v>74</v>
      </c>
      <c r="D103" s="41" t="n">
        <v>13</v>
      </c>
      <c r="I103" s="14" t="s">
        <v>427</v>
      </c>
    </row>
    <row r="104" customFormat="false" ht="15" hidden="false" customHeight="false" outlineLevel="0" collapsed="false">
      <c r="B104" s="12" t="s">
        <v>428</v>
      </c>
      <c r="C104" s="14" t="s">
        <v>195</v>
      </c>
      <c r="D104" s="46" t="n">
        <v>0.02</v>
      </c>
      <c r="I104" s="14" t="s">
        <v>429</v>
      </c>
    </row>
    <row r="105" customFormat="false" ht="15" hidden="false" customHeight="false" outlineLevel="0" collapsed="false">
      <c r="B105" s="12" t="s">
        <v>430</v>
      </c>
      <c r="C105" s="14" t="s">
        <v>195</v>
      </c>
      <c r="D105" s="33" t="n">
        <f aca="false">CHOOSE(Scenario,E105,F105,G105)</f>
        <v>0.01</v>
      </c>
      <c r="E105" s="46" t="n">
        <v>0.013</v>
      </c>
      <c r="F105" s="46" t="n">
        <v>0.01</v>
      </c>
      <c r="G105" s="46" t="n">
        <v>0.006</v>
      </c>
      <c r="I105" s="14" t="s">
        <v>431</v>
      </c>
    </row>
    <row r="106" customFormat="false" ht="15" hidden="false" customHeight="false" outlineLevel="0" collapsed="false">
      <c r="B106" s="12" t="s">
        <v>432</v>
      </c>
      <c r="C106" s="14" t="s">
        <v>96</v>
      </c>
      <c r="D106" s="40" t="n">
        <v>0.2</v>
      </c>
      <c r="I106" s="14" t="s">
        <v>433</v>
      </c>
    </row>
    <row r="107" customFormat="false" ht="15" hidden="false" customHeight="false" outlineLevel="0" collapsed="false">
      <c r="B107" s="12" t="s">
        <v>434</v>
      </c>
      <c r="C107" s="14" t="s">
        <v>108</v>
      </c>
      <c r="D107" s="41" t="n">
        <v>12</v>
      </c>
      <c r="I107" s="14"/>
    </row>
    <row r="109" customFormat="false" ht="15" hidden="false" customHeight="false" outlineLevel="0" collapsed="false">
      <c r="B109" s="36" t="s">
        <v>435</v>
      </c>
      <c r="C109" s="36" t="s">
        <v>182</v>
      </c>
      <c r="D109" s="36" t="s">
        <v>266</v>
      </c>
      <c r="E109" s="36" t="s">
        <v>267</v>
      </c>
      <c r="F109" s="36" t="s">
        <v>268</v>
      </c>
      <c r="G109" s="36" t="s">
        <v>269</v>
      </c>
      <c r="H109" s="36" t="s">
        <v>270</v>
      </c>
      <c r="I109" s="36" t="s">
        <v>271</v>
      </c>
    </row>
    <row r="110" customFormat="false" ht="15" hidden="false" customHeight="false" outlineLevel="0" collapsed="false">
      <c r="B110" s="12" t="s">
        <v>436</v>
      </c>
      <c r="C110" s="14" t="s">
        <v>104</v>
      </c>
      <c r="D110" s="39" t="n">
        <v>300000</v>
      </c>
      <c r="H110" s="45" t="n">
        <f aca="false">D110/FX_EUR</f>
        <v>457.347051712231</v>
      </c>
      <c r="I110" s="14" t="s">
        <v>437</v>
      </c>
    </row>
    <row r="111" customFormat="false" ht="15" hidden="false" customHeight="false" outlineLevel="0" collapsed="false">
      <c r="B111" s="12" t="s">
        <v>438</v>
      </c>
      <c r="C111" s="14" t="s">
        <v>104</v>
      </c>
      <c r="D111" s="39" t="n">
        <v>800000</v>
      </c>
      <c r="H111" s="45" t="n">
        <f aca="false">D111/FX_EUR</f>
        <v>1219.59213789928</v>
      </c>
      <c r="I111" s="14"/>
    </row>
    <row r="112" customFormat="false" ht="15" hidden="false" customHeight="false" outlineLevel="0" collapsed="false">
      <c r="B112" s="12" t="s">
        <v>439</v>
      </c>
      <c r="C112" s="14" t="s">
        <v>104</v>
      </c>
      <c r="D112" s="39" t="n">
        <v>2500000</v>
      </c>
      <c r="H112" s="45" t="n">
        <f aca="false">D112/FX_EUR</f>
        <v>3811.22543093526</v>
      </c>
      <c r="I112" s="14"/>
    </row>
    <row r="113" customFormat="false" ht="15" hidden="false" customHeight="false" outlineLevel="0" collapsed="false">
      <c r="B113" s="12" t="s">
        <v>440</v>
      </c>
      <c r="C113" s="14" t="s">
        <v>104</v>
      </c>
      <c r="D113" s="39" t="n">
        <v>300000</v>
      </c>
      <c r="H113" s="45" t="n">
        <f aca="false">D113/FX_EUR</f>
        <v>457.347051712231</v>
      </c>
      <c r="I113" s="14" t="s">
        <v>441</v>
      </c>
    </row>
    <row r="114" customFormat="false" ht="15" hidden="false" customHeight="false" outlineLevel="0" collapsed="false">
      <c r="B114" s="12" t="s">
        <v>442</v>
      </c>
      <c r="C114" s="14" t="s">
        <v>104</v>
      </c>
      <c r="D114" s="39" t="n">
        <v>1200000</v>
      </c>
      <c r="H114" s="45" t="n">
        <f aca="false">D114/FX_EUR</f>
        <v>1829.38820684892</v>
      </c>
      <c r="I114" s="14"/>
    </row>
    <row r="115" customFormat="false" ht="15" hidden="false" customHeight="false" outlineLevel="0" collapsed="false">
      <c r="B115" s="12" t="s">
        <v>443</v>
      </c>
      <c r="C115" s="14" t="s">
        <v>104</v>
      </c>
      <c r="D115" s="39" t="n">
        <v>3500000</v>
      </c>
      <c r="H115" s="45" t="n">
        <f aca="false">D115/FX_EUR</f>
        <v>5335.71560330936</v>
      </c>
      <c r="I115" s="14"/>
    </row>
    <row r="116" customFormat="false" ht="15" hidden="false" customHeight="false" outlineLevel="0" collapsed="false">
      <c r="B116" s="12" t="s">
        <v>444</v>
      </c>
      <c r="C116" s="14" t="s">
        <v>77</v>
      </c>
      <c r="D116" s="39" t="n">
        <v>3000000</v>
      </c>
      <c r="H116" s="45" t="n">
        <f aca="false">D116/FX_EUR</f>
        <v>4573.47051712231</v>
      </c>
      <c r="I116" s="14"/>
    </row>
    <row r="117" customFormat="false" ht="15" hidden="false" customHeight="false" outlineLevel="0" collapsed="false">
      <c r="B117" s="12" t="s">
        <v>445</v>
      </c>
      <c r="C117" s="14" t="s">
        <v>77</v>
      </c>
      <c r="D117" s="39" t="n">
        <v>10000000</v>
      </c>
      <c r="H117" s="45" t="n">
        <f aca="false">D117/FX_EUR</f>
        <v>15244.901723741</v>
      </c>
      <c r="I117" s="14"/>
    </row>
    <row r="118" customFormat="false" ht="15" hidden="false" customHeight="false" outlineLevel="0" collapsed="false">
      <c r="B118" s="12" t="s">
        <v>446</v>
      </c>
      <c r="C118" s="14" t="s">
        <v>77</v>
      </c>
      <c r="D118" s="39" t="n">
        <v>40000000</v>
      </c>
      <c r="H118" s="45" t="n">
        <f aca="false">D118/FX_EUR</f>
        <v>60979.6068949642</v>
      </c>
      <c r="I118" s="14"/>
    </row>
    <row r="119" customFormat="false" ht="15" hidden="false" customHeight="false" outlineLevel="0" collapsed="false">
      <c r="B119" s="12" t="s">
        <v>447</v>
      </c>
      <c r="C119" s="14" t="s">
        <v>92</v>
      </c>
      <c r="D119" s="39" t="n">
        <v>5</v>
      </c>
      <c r="I119" s="14"/>
    </row>
    <row r="120" customFormat="false" ht="15" hidden="false" customHeight="false" outlineLevel="0" collapsed="false">
      <c r="B120" s="12" t="s">
        <v>448</v>
      </c>
      <c r="C120" s="14" t="s">
        <v>92</v>
      </c>
      <c r="D120" s="39" t="n">
        <v>25</v>
      </c>
      <c r="I120" s="14"/>
    </row>
    <row r="121" customFormat="false" ht="15" hidden="false" customHeight="false" outlineLevel="0" collapsed="false">
      <c r="B121" s="12" t="s">
        <v>449</v>
      </c>
      <c r="C121" s="14" t="s">
        <v>92</v>
      </c>
      <c r="D121" s="39" t="n">
        <v>120</v>
      </c>
      <c r="I121" s="14"/>
    </row>
    <row r="122" customFormat="false" ht="15" hidden="false" customHeight="false" outlineLevel="0" collapsed="false">
      <c r="B122" s="12" t="s">
        <v>450</v>
      </c>
      <c r="C122" s="14" t="s">
        <v>451</v>
      </c>
      <c r="D122" s="39" t="n">
        <v>10</v>
      </c>
      <c r="I122" s="14"/>
    </row>
    <row r="123" customFormat="false" ht="15" hidden="false" customHeight="false" outlineLevel="0" collapsed="false">
      <c r="B123" s="12" t="s">
        <v>452</v>
      </c>
      <c r="C123" s="14" t="s">
        <v>451</v>
      </c>
      <c r="D123" s="39" t="n">
        <v>40</v>
      </c>
      <c r="I123" s="14"/>
    </row>
    <row r="124" customFormat="false" ht="15" hidden="false" customHeight="false" outlineLevel="0" collapsed="false">
      <c r="B124" s="12" t="s">
        <v>453</v>
      </c>
      <c r="C124" s="14" t="s">
        <v>451</v>
      </c>
      <c r="D124" s="39" t="n">
        <v>150</v>
      </c>
      <c r="I124" s="14"/>
    </row>
    <row r="125" customFormat="false" ht="15" hidden="false" customHeight="false" outlineLevel="0" collapsed="false">
      <c r="B125" s="12" t="s">
        <v>454</v>
      </c>
      <c r="C125" s="14" t="s">
        <v>371</v>
      </c>
      <c r="D125" s="39" t="n">
        <v>1</v>
      </c>
      <c r="I125" s="14" t="s">
        <v>455</v>
      </c>
    </row>
    <row r="126" customFormat="false" ht="15" hidden="false" customHeight="false" outlineLevel="0" collapsed="false">
      <c r="B126" s="12" t="s">
        <v>456</v>
      </c>
      <c r="C126" s="14" t="s">
        <v>371</v>
      </c>
      <c r="D126" s="39" t="n">
        <v>3</v>
      </c>
      <c r="I126" s="14"/>
    </row>
    <row r="127" customFormat="false" ht="15" hidden="false" customHeight="false" outlineLevel="0" collapsed="false">
      <c r="B127" s="12" t="s">
        <v>457</v>
      </c>
      <c r="C127" s="14" t="s">
        <v>371</v>
      </c>
      <c r="D127" s="39" t="n">
        <v>10</v>
      </c>
      <c r="I127" s="14"/>
    </row>
    <row r="128" customFormat="false" ht="15" hidden="false" customHeight="false" outlineLevel="0" collapsed="false">
      <c r="B128" s="12" t="s">
        <v>458</v>
      </c>
      <c r="C128" s="14" t="s">
        <v>366</v>
      </c>
      <c r="D128" s="39" t="n">
        <v>2</v>
      </c>
      <c r="I128" s="14"/>
    </row>
    <row r="129" customFormat="false" ht="15" hidden="false" customHeight="false" outlineLevel="0" collapsed="false">
      <c r="B129" s="12" t="s">
        <v>459</v>
      </c>
      <c r="C129" s="14" t="s">
        <v>366</v>
      </c>
      <c r="D129" s="39" t="n">
        <v>4</v>
      </c>
      <c r="I129" s="14" t="s">
        <v>460</v>
      </c>
    </row>
    <row r="130" customFormat="false" ht="15" hidden="false" customHeight="false" outlineLevel="0" collapsed="false">
      <c r="B130" s="12" t="s">
        <v>461</v>
      </c>
      <c r="C130" s="14" t="s">
        <v>366</v>
      </c>
      <c r="D130" s="39" t="n">
        <v>12</v>
      </c>
      <c r="I130" s="14"/>
    </row>
    <row r="131" customFormat="false" ht="15" hidden="false" customHeight="false" outlineLevel="0" collapsed="false">
      <c r="B131" s="12" t="s">
        <v>462</v>
      </c>
      <c r="C131" s="14" t="s">
        <v>104</v>
      </c>
      <c r="D131" s="39" t="n">
        <v>1000000</v>
      </c>
      <c r="H131" s="45" t="n">
        <f aca="false">D131/FX_EUR</f>
        <v>1524.4901723741</v>
      </c>
      <c r="I131" s="14" t="s">
        <v>463</v>
      </c>
    </row>
    <row r="132" customFormat="false" ht="15" hidden="false" customHeight="false" outlineLevel="0" collapsed="false">
      <c r="B132" s="12" t="s">
        <v>464</v>
      </c>
      <c r="C132" s="14" t="s">
        <v>104</v>
      </c>
      <c r="D132" s="39" t="n">
        <v>3000000</v>
      </c>
      <c r="H132" s="45" t="n">
        <f aca="false">D132/FX_EUR</f>
        <v>4573.47051712231</v>
      </c>
      <c r="I132" s="14"/>
    </row>
    <row r="133" customFormat="false" ht="15" hidden="false" customHeight="false" outlineLevel="0" collapsed="false">
      <c r="B133" s="12" t="s">
        <v>465</v>
      </c>
      <c r="C133" s="14" t="s">
        <v>104</v>
      </c>
      <c r="D133" s="39" t="n">
        <v>10000000</v>
      </c>
      <c r="H133" s="45" t="n">
        <f aca="false">D133/FX_EUR</f>
        <v>15244.901723741</v>
      </c>
      <c r="I133" s="14"/>
    </row>
    <row r="134" customFormat="false" ht="15" hidden="false" customHeight="false" outlineLevel="0" collapsed="false">
      <c r="B134" s="12" t="s">
        <v>466</v>
      </c>
      <c r="C134" s="14" t="s">
        <v>376</v>
      </c>
      <c r="D134" s="39" t="n">
        <v>1</v>
      </c>
      <c r="I134" s="14"/>
    </row>
    <row r="135" customFormat="false" ht="15" hidden="false" customHeight="false" outlineLevel="0" collapsed="false">
      <c r="B135" s="12" t="s">
        <v>467</v>
      </c>
      <c r="C135" s="14" t="s">
        <v>376</v>
      </c>
      <c r="D135" s="39" t="n">
        <v>3</v>
      </c>
      <c r="I135" s="14"/>
    </row>
    <row r="136" customFormat="false" ht="15" hidden="false" customHeight="false" outlineLevel="0" collapsed="false">
      <c r="B136" s="12" t="s">
        <v>468</v>
      </c>
      <c r="C136" s="14" t="s">
        <v>376</v>
      </c>
      <c r="D136" s="39" t="n">
        <v>8</v>
      </c>
      <c r="I136" s="14"/>
    </row>
    <row r="137" customFormat="false" ht="15" hidden="false" customHeight="false" outlineLevel="0" collapsed="false">
      <c r="B137" s="12" t="s">
        <v>469</v>
      </c>
      <c r="C137" s="14" t="s">
        <v>376</v>
      </c>
      <c r="D137" s="39" t="n">
        <v>2</v>
      </c>
      <c r="I137" s="14"/>
    </row>
    <row r="138" customFormat="false" ht="15" hidden="false" customHeight="false" outlineLevel="0" collapsed="false">
      <c r="B138" s="12" t="s">
        <v>470</v>
      </c>
      <c r="C138" s="14" t="s">
        <v>376</v>
      </c>
      <c r="D138" s="39" t="n">
        <v>6</v>
      </c>
      <c r="I138" s="14"/>
    </row>
    <row r="139" customFormat="false" ht="15" hidden="false" customHeight="false" outlineLevel="0" collapsed="false">
      <c r="B139" s="12" t="s">
        <v>471</v>
      </c>
      <c r="C139" s="14" t="s">
        <v>376</v>
      </c>
      <c r="D139" s="39" t="n">
        <v>15</v>
      </c>
      <c r="I139" s="14"/>
    </row>
    <row r="140" customFormat="false" ht="15" hidden="false" customHeight="false" outlineLevel="0" collapsed="false">
      <c r="B140" s="12" t="s">
        <v>472</v>
      </c>
      <c r="C140" s="14" t="s">
        <v>104</v>
      </c>
      <c r="D140" s="39" t="n">
        <v>800000</v>
      </c>
      <c r="H140" s="45" t="n">
        <f aca="false">D140/FX_EUR</f>
        <v>1219.59213789928</v>
      </c>
      <c r="I140" s="14"/>
    </row>
    <row r="141" customFormat="false" ht="15" hidden="false" customHeight="false" outlineLevel="0" collapsed="false">
      <c r="B141" s="12" t="s">
        <v>473</v>
      </c>
      <c r="C141" s="14" t="s">
        <v>104</v>
      </c>
      <c r="D141" s="39" t="n">
        <v>3000000</v>
      </c>
      <c r="H141" s="45" t="n">
        <f aca="false">D141/FX_EUR</f>
        <v>4573.47051712231</v>
      </c>
      <c r="I141" s="14"/>
    </row>
    <row r="142" customFormat="false" ht="15" hidden="false" customHeight="false" outlineLevel="0" collapsed="false">
      <c r="B142" s="12" t="s">
        <v>474</v>
      </c>
      <c r="C142" s="14" t="s">
        <v>104</v>
      </c>
      <c r="D142" s="39" t="n">
        <v>10000000</v>
      </c>
      <c r="H142" s="45" t="n">
        <f aca="false">D142/FX_EUR</f>
        <v>15244.901723741</v>
      </c>
      <c r="I142" s="14"/>
    </row>
    <row r="143" customFormat="false" ht="15" hidden="false" customHeight="false" outlineLevel="0" collapsed="false">
      <c r="B143" s="12" t="s">
        <v>475</v>
      </c>
      <c r="C143" s="14" t="s">
        <v>77</v>
      </c>
      <c r="D143" s="39" t="n">
        <v>200000</v>
      </c>
      <c r="H143" s="45" t="n">
        <f aca="false">D143/FX_EUR</f>
        <v>304.898034474821</v>
      </c>
      <c r="I143" s="14" t="s">
        <v>476</v>
      </c>
    </row>
    <row r="144" customFormat="false" ht="15" hidden="false" customHeight="false" outlineLevel="0" collapsed="false">
      <c r="B144" s="12" t="s">
        <v>477</v>
      </c>
      <c r="C144" s="14" t="s">
        <v>96</v>
      </c>
      <c r="D144" s="40" t="n">
        <v>0.6</v>
      </c>
      <c r="I144" s="14" t="s">
        <v>478</v>
      </c>
    </row>
    <row r="145" customFormat="false" ht="15" hidden="false" customHeight="false" outlineLevel="0" collapsed="false">
      <c r="B145" s="12" t="s">
        <v>479</v>
      </c>
      <c r="C145" s="14" t="s">
        <v>96</v>
      </c>
      <c r="D145" s="40" t="n">
        <v>0.4</v>
      </c>
      <c r="I145" s="14" t="s">
        <v>480</v>
      </c>
    </row>
    <row r="146" customFormat="false" ht="15" hidden="false" customHeight="false" outlineLevel="0" collapsed="false">
      <c r="B146" s="12" t="s">
        <v>481</v>
      </c>
      <c r="C146" s="14" t="s">
        <v>77</v>
      </c>
      <c r="D146" s="39" t="n">
        <v>150000</v>
      </c>
      <c r="H146" s="45" t="n">
        <f aca="false">D146/FX_EUR</f>
        <v>228.673525856116</v>
      </c>
      <c r="I146" s="14" t="s">
        <v>482</v>
      </c>
    </row>
    <row r="147" customFormat="false" ht="15" hidden="false" customHeight="false" outlineLevel="0" collapsed="false">
      <c r="B147" s="12" t="s">
        <v>483</v>
      </c>
      <c r="C147" s="14" t="s">
        <v>96</v>
      </c>
      <c r="D147" s="40" t="n">
        <v>0.5</v>
      </c>
      <c r="I147" s="14" t="s">
        <v>484</v>
      </c>
    </row>
    <row r="148" customFormat="false" ht="15" hidden="false" customHeight="false" outlineLevel="0" collapsed="false">
      <c r="B148" s="12" t="s">
        <v>485</v>
      </c>
      <c r="C148" s="14" t="s">
        <v>96</v>
      </c>
      <c r="D148" s="40" t="n">
        <v>0.3</v>
      </c>
      <c r="I148" s="14"/>
    </row>
    <row r="149" customFormat="false" ht="15" hidden="false" customHeight="false" outlineLevel="0" collapsed="false">
      <c r="B149" s="12" t="s">
        <v>486</v>
      </c>
      <c r="C149" s="14" t="s">
        <v>96</v>
      </c>
      <c r="D149" s="40" t="n">
        <v>0.2</v>
      </c>
      <c r="I149" s="14"/>
    </row>
    <row r="151" customFormat="false" ht="15" hidden="false" customHeight="false" outlineLevel="0" collapsed="false">
      <c r="B151" s="36" t="s">
        <v>487</v>
      </c>
      <c r="C151" s="36" t="s">
        <v>182</v>
      </c>
      <c r="D151" s="36" t="s">
        <v>266</v>
      </c>
      <c r="E151" s="36" t="s">
        <v>267</v>
      </c>
      <c r="F151" s="36" t="s">
        <v>268</v>
      </c>
      <c r="G151" s="36" t="s">
        <v>269</v>
      </c>
      <c r="H151" s="36" t="s">
        <v>270</v>
      </c>
      <c r="I151" s="36" t="s">
        <v>271</v>
      </c>
    </row>
    <row r="152" customFormat="false" ht="15" hidden="false" customHeight="false" outlineLevel="0" collapsed="false">
      <c r="B152" s="12" t="s">
        <v>488</v>
      </c>
      <c r="C152" s="14" t="s">
        <v>104</v>
      </c>
      <c r="D152" s="32" t="n">
        <f aca="false">CHOOSE(Scenario,E152,F152,G152)</f>
        <v>2500</v>
      </c>
      <c r="E152" s="39" t="n">
        <v>4000</v>
      </c>
      <c r="F152" s="39" t="n">
        <v>2500</v>
      </c>
      <c r="G152" s="39" t="n">
        <v>1500</v>
      </c>
      <c r="H152" s="45" t="n">
        <f aca="false">D152/FX_EUR</f>
        <v>3.81122543093526</v>
      </c>
      <c r="I152" s="14" t="s">
        <v>489</v>
      </c>
    </row>
    <row r="153" customFormat="false" ht="15" hidden="false" customHeight="false" outlineLevel="0" collapsed="false">
      <c r="B153" s="12" t="s">
        <v>490</v>
      </c>
      <c r="C153" s="14" t="s">
        <v>491</v>
      </c>
      <c r="D153" s="39" t="n">
        <v>1500</v>
      </c>
      <c r="H153" s="45" t="n">
        <f aca="false">D153/FX_EUR</f>
        <v>2.28673525856116</v>
      </c>
      <c r="I153" s="14" t="s">
        <v>492</v>
      </c>
    </row>
    <row r="154" customFormat="false" ht="15" hidden="false" customHeight="false" outlineLevel="0" collapsed="false">
      <c r="B154" s="12" t="s">
        <v>493</v>
      </c>
      <c r="C154" s="14" t="s">
        <v>77</v>
      </c>
      <c r="D154" s="39" t="n">
        <v>900</v>
      </c>
      <c r="H154" s="45" t="n">
        <f aca="false">D154/FX_EUR</f>
        <v>1.37204115513669</v>
      </c>
      <c r="I154" s="14" t="s">
        <v>494</v>
      </c>
    </row>
    <row r="155" customFormat="false" ht="15" hidden="false" customHeight="false" outlineLevel="0" collapsed="false">
      <c r="B155" s="12" t="s">
        <v>495</v>
      </c>
      <c r="C155" s="14" t="s">
        <v>92</v>
      </c>
      <c r="D155" s="39" t="n">
        <v>2</v>
      </c>
      <c r="I155" s="14" t="s">
        <v>496</v>
      </c>
    </row>
    <row r="156" customFormat="false" ht="15" hidden="false" customHeight="false" outlineLevel="0" collapsed="false">
      <c r="B156" s="12" t="s">
        <v>497</v>
      </c>
      <c r="C156" s="14" t="s">
        <v>104</v>
      </c>
      <c r="D156" s="32" t="n">
        <f aca="false">CHOOSE(Scenario,E156,F156,G156)</f>
        <v>1000</v>
      </c>
      <c r="E156" s="39" t="n">
        <v>1500</v>
      </c>
      <c r="F156" s="39" t="n">
        <v>1000</v>
      </c>
      <c r="G156" s="39" t="n">
        <v>600</v>
      </c>
      <c r="H156" s="45" t="n">
        <f aca="false">D156/FX_EUR</f>
        <v>1.5244901723741</v>
      </c>
      <c r="I156" s="14" t="s">
        <v>498</v>
      </c>
    </row>
    <row r="157" customFormat="false" ht="15" hidden="false" customHeight="false" outlineLevel="0" collapsed="false">
      <c r="B157" s="12" t="s">
        <v>499</v>
      </c>
      <c r="C157" s="14" t="s">
        <v>77</v>
      </c>
      <c r="D157" s="39" t="n">
        <v>4500</v>
      </c>
      <c r="H157" s="45" t="n">
        <f aca="false">D157/FX_EUR</f>
        <v>6.86020577568347</v>
      </c>
      <c r="I157" s="14" t="s">
        <v>500</v>
      </c>
    </row>
    <row r="158" customFormat="false" ht="15" hidden="false" customHeight="false" outlineLevel="0" collapsed="false">
      <c r="B158" s="12" t="s">
        <v>501</v>
      </c>
      <c r="C158" s="14" t="s">
        <v>399</v>
      </c>
      <c r="D158" s="33" t="n">
        <f aca="false">CHOOSE(Scenario,E158,F158,G158)</f>
        <v>0.012</v>
      </c>
      <c r="E158" s="46" t="n">
        <v>0.015</v>
      </c>
      <c r="F158" s="46" t="n">
        <v>0.012</v>
      </c>
      <c r="G158" s="46" t="n">
        <v>0.009</v>
      </c>
      <c r="I158" s="14" t="s">
        <v>502</v>
      </c>
    </row>
    <row r="159" customFormat="false" ht="15" hidden="false" customHeight="false" outlineLevel="0" collapsed="false">
      <c r="B159" s="12" t="s">
        <v>503</v>
      </c>
      <c r="C159" s="14" t="s">
        <v>504</v>
      </c>
      <c r="D159" s="46" t="n">
        <v>0.0015</v>
      </c>
      <c r="I159" s="14" t="s">
        <v>505</v>
      </c>
    </row>
    <row r="160" customFormat="false" ht="15" hidden="false" customHeight="false" outlineLevel="0" collapsed="false">
      <c r="B160" s="12" t="s">
        <v>506</v>
      </c>
      <c r="C160" s="14" t="s">
        <v>195</v>
      </c>
      <c r="D160" s="33" t="n">
        <f aca="false">CHOOSE(Scenario,E160,F160,G160)</f>
        <v>0.01</v>
      </c>
      <c r="E160" s="46" t="n">
        <v>0.01</v>
      </c>
      <c r="F160" s="46" t="n">
        <v>0.01</v>
      </c>
      <c r="G160" s="46" t="n">
        <v>0</v>
      </c>
      <c r="I160" s="14" t="s">
        <v>507</v>
      </c>
    </row>
    <row r="161" customFormat="false" ht="15" hidden="false" customHeight="false" outlineLevel="0" collapsed="false">
      <c r="B161" s="12" t="s">
        <v>508</v>
      </c>
      <c r="C161" s="14" t="s">
        <v>192</v>
      </c>
      <c r="D161" s="32" t="n">
        <f aca="false">CHOOSE(Scenario,E161,F161,G161)</f>
        <v>500</v>
      </c>
      <c r="E161" s="39" t="n">
        <v>0</v>
      </c>
      <c r="F161" s="39" t="n">
        <v>500</v>
      </c>
      <c r="G161" s="39" t="n">
        <v>0</v>
      </c>
      <c r="H161" s="45" t="n">
        <f aca="false">D161/FX_EUR</f>
        <v>0.762245086187052</v>
      </c>
      <c r="I161" s="14"/>
    </row>
    <row r="162" customFormat="false" ht="15" hidden="false" customHeight="false" outlineLevel="0" collapsed="false">
      <c r="B162" s="12" t="s">
        <v>509</v>
      </c>
      <c r="C162" s="14" t="s">
        <v>192</v>
      </c>
      <c r="D162" s="32" t="n">
        <f aca="false">CHOOSE(Scenario,E162,F162,G162)</f>
        <v>0</v>
      </c>
      <c r="E162" s="39" t="n">
        <v>0</v>
      </c>
      <c r="F162" s="39" t="n">
        <v>0</v>
      </c>
      <c r="G162" s="39" t="n">
        <v>200</v>
      </c>
      <c r="H162" s="45" t="n">
        <f aca="false">D162/FX_EUR</f>
        <v>0</v>
      </c>
      <c r="I162" s="14" t="s">
        <v>510</v>
      </c>
    </row>
    <row r="163" customFormat="false" ht="15" hidden="false" customHeight="false" outlineLevel="0" collapsed="false">
      <c r="B163" s="12" t="s">
        <v>511</v>
      </c>
      <c r="C163" s="14" t="s">
        <v>512</v>
      </c>
      <c r="D163" s="32" t="n">
        <f aca="false">CHOOSE(Scenario,E163,F163,G163)</f>
        <v>200</v>
      </c>
      <c r="E163" s="39" t="n">
        <v>400</v>
      </c>
      <c r="F163" s="39" t="n">
        <v>200</v>
      </c>
      <c r="G163" s="39" t="n">
        <v>75</v>
      </c>
      <c r="H163" s="45" t="n">
        <f aca="false">D163/FX_EUR</f>
        <v>0.304898034474821</v>
      </c>
      <c r="I163" s="14" t="s">
        <v>513</v>
      </c>
    </row>
    <row r="164" customFormat="false" ht="15" hidden="false" customHeight="false" outlineLevel="0" collapsed="false">
      <c r="B164" s="12" t="s">
        <v>514</v>
      </c>
      <c r="C164" s="14" t="s">
        <v>192</v>
      </c>
      <c r="D164" s="32" t="n">
        <f aca="false">CHOOSE(Scenario,E164,F164,G164)</f>
        <v>300</v>
      </c>
      <c r="E164" s="39" t="n">
        <v>500</v>
      </c>
      <c r="F164" s="39" t="n">
        <v>300</v>
      </c>
      <c r="G164" s="39" t="n">
        <v>150</v>
      </c>
      <c r="H164" s="45" t="n">
        <f aca="false">D164/FX_EUR</f>
        <v>0.457347051712231</v>
      </c>
      <c r="I164" s="14" t="s">
        <v>515</v>
      </c>
    </row>
    <row r="165" customFormat="false" ht="15" hidden="false" customHeight="false" outlineLevel="0" collapsed="false">
      <c r="B165" s="12" t="s">
        <v>516</v>
      </c>
      <c r="C165" s="14" t="s">
        <v>104</v>
      </c>
      <c r="D165" s="39" t="n">
        <v>350</v>
      </c>
      <c r="H165" s="45" t="n">
        <f aca="false">D165/FX_EUR</f>
        <v>0.533571560330936</v>
      </c>
      <c r="I165" s="14" t="s">
        <v>517</v>
      </c>
    </row>
    <row r="166" customFormat="false" ht="15" hidden="false" customHeight="false" outlineLevel="0" collapsed="false">
      <c r="B166" s="12" t="s">
        <v>518</v>
      </c>
      <c r="C166" s="14" t="s">
        <v>104</v>
      </c>
      <c r="D166" s="39" t="n">
        <v>30</v>
      </c>
      <c r="H166" s="45" t="n">
        <f aca="false">D166/FX_EUR</f>
        <v>0.0457347051712231</v>
      </c>
      <c r="I166" s="14" t="s">
        <v>519</v>
      </c>
    </row>
    <row r="167" customFormat="false" ht="15" hidden="false" customHeight="false" outlineLevel="0" collapsed="false">
      <c r="B167" s="12" t="s">
        <v>520</v>
      </c>
      <c r="C167" s="14" t="s">
        <v>104</v>
      </c>
      <c r="D167" s="39" t="n">
        <v>150</v>
      </c>
      <c r="H167" s="45" t="n">
        <f aca="false">D167/FX_EUR</f>
        <v>0.228673525856116</v>
      </c>
      <c r="I167" s="14" t="s">
        <v>521</v>
      </c>
    </row>
    <row r="169" customFormat="false" ht="15" hidden="false" customHeight="false" outlineLevel="0" collapsed="false">
      <c r="B169" s="36" t="s">
        <v>522</v>
      </c>
      <c r="C169" s="36" t="s">
        <v>182</v>
      </c>
      <c r="D169" s="36" t="s">
        <v>266</v>
      </c>
      <c r="E169" s="36" t="s">
        <v>267</v>
      </c>
      <c r="F169" s="36" t="s">
        <v>268</v>
      </c>
      <c r="G169" s="36" t="s">
        <v>269</v>
      </c>
      <c r="H169" s="36" t="s">
        <v>270</v>
      </c>
      <c r="I169" s="36" t="s">
        <v>271</v>
      </c>
    </row>
    <row r="170" customFormat="false" ht="15" hidden="false" customHeight="false" outlineLevel="0" collapsed="false">
      <c r="B170" s="12" t="s">
        <v>523</v>
      </c>
      <c r="C170" s="14" t="s">
        <v>319</v>
      </c>
      <c r="D170" s="47" t="n">
        <f aca="false">CHOOSE(Scenario,E170,F170,G170)</f>
        <v>1</v>
      </c>
      <c r="E170" s="44" t="n">
        <v>0.6</v>
      </c>
      <c r="F170" s="44" t="n">
        <v>1</v>
      </c>
      <c r="G170" s="44" t="n">
        <v>1.4</v>
      </c>
      <c r="I170" s="14" t="s">
        <v>524</v>
      </c>
    </row>
    <row r="171" customFormat="false" ht="15" hidden="false" customHeight="false" outlineLevel="0" collapsed="false">
      <c r="B171" s="12" t="s">
        <v>525</v>
      </c>
      <c r="C171" s="14" t="s">
        <v>319</v>
      </c>
      <c r="D171" s="47" t="n">
        <f aca="false">CHOOSE(Scenario,E171,F171,G171)</f>
        <v>1</v>
      </c>
      <c r="E171" s="44" t="n">
        <v>1.5</v>
      </c>
      <c r="F171" s="44" t="n">
        <v>1</v>
      </c>
      <c r="G171" s="44" t="n">
        <v>0.8</v>
      </c>
      <c r="I171" s="14" t="s">
        <v>526</v>
      </c>
    </row>
    <row r="172" customFormat="false" ht="15" hidden="false" customHeight="false" outlineLevel="0" collapsed="false">
      <c r="B172" s="12" t="s">
        <v>527</v>
      </c>
      <c r="C172" s="14" t="s">
        <v>108</v>
      </c>
      <c r="D172" s="41" t="n">
        <v>12</v>
      </c>
      <c r="I172" s="14"/>
    </row>
    <row r="173" customFormat="false" ht="15" hidden="false" customHeight="false" outlineLevel="0" collapsed="false">
      <c r="B173" s="12" t="s">
        <v>528</v>
      </c>
      <c r="C173" s="14" t="s">
        <v>74</v>
      </c>
      <c r="D173" s="41" t="n">
        <v>18</v>
      </c>
      <c r="I173" s="14" t="s">
        <v>529</v>
      </c>
    </row>
    <row r="174" customFormat="false" ht="15" hidden="false" customHeight="false" outlineLevel="0" collapsed="false">
      <c r="B174" s="12" t="s">
        <v>530</v>
      </c>
      <c r="C174" s="14" t="s">
        <v>96</v>
      </c>
      <c r="D174" s="40" t="n">
        <v>0.05</v>
      </c>
      <c r="I174" s="14"/>
    </row>
    <row r="175" customFormat="false" ht="15" hidden="false" customHeight="false" outlineLevel="0" collapsed="false">
      <c r="B175" s="12" t="s">
        <v>531</v>
      </c>
      <c r="C175" s="14" t="s">
        <v>77</v>
      </c>
      <c r="D175" s="39" t="n">
        <v>8000000</v>
      </c>
      <c r="H175" s="45" t="n">
        <f aca="false">D175/FX_EUR</f>
        <v>12195.9213789928</v>
      </c>
      <c r="I175" s="14" t="s">
        <v>532</v>
      </c>
    </row>
    <row r="176" customFormat="false" ht="15" hidden="false" customHeight="false" outlineLevel="0" collapsed="false">
      <c r="B176" s="12" t="s">
        <v>533</v>
      </c>
      <c r="C176" s="14" t="s">
        <v>282</v>
      </c>
      <c r="D176" s="40" t="n">
        <v>0.23</v>
      </c>
      <c r="I176" s="14" t="s">
        <v>534</v>
      </c>
    </row>
    <row r="177" customFormat="false" ht="15" hidden="false" customHeight="false" outlineLevel="0" collapsed="false">
      <c r="B177" s="12" t="s">
        <v>535</v>
      </c>
      <c r="C177" s="14" t="s">
        <v>282</v>
      </c>
      <c r="D177" s="46" t="n">
        <v>0.015</v>
      </c>
      <c r="I177" s="14"/>
    </row>
    <row r="178" customFormat="false" ht="15" hidden="false" customHeight="false" outlineLevel="0" collapsed="false">
      <c r="B178" s="12" t="s">
        <v>536</v>
      </c>
      <c r="C178" s="14" t="s">
        <v>74</v>
      </c>
      <c r="D178" s="41" t="n">
        <v>18</v>
      </c>
      <c r="I178" s="14"/>
    </row>
    <row r="179" customFormat="false" ht="15" hidden="false" customHeight="false" outlineLevel="0" collapsed="false">
      <c r="B179" s="12" t="s">
        <v>537</v>
      </c>
      <c r="C179" s="14" t="s">
        <v>96</v>
      </c>
      <c r="D179" s="40" t="n">
        <v>0.03</v>
      </c>
      <c r="I179" s="14"/>
    </row>
    <row r="180" customFormat="false" ht="15" hidden="false" customHeight="false" outlineLevel="0" collapsed="false">
      <c r="B180" s="12" t="s">
        <v>538</v>
      </c>
      <c r="C180" s="14" t="s">
        <v>77</v>
      </c>
      <c r="D180" s="39" t="n">
        <v>3000000</v>
      </c>
      <c r="H180" s="45" t="n">
        <f aca="false">D180/FX_EUR</f>
        <v>4573.47051712231</v>
      </c>
      <c r="I180" s="14" t="s">
        <v>539</v>
      </c>
    </row>
    <row r="181" customFormat="false" ht="15" hidden="false" customHeight="false" outlineLevel="0" collapsed="false">
      <c r="B181" s="12" t="s">
        <v>540</v>
      </c>
      <c r="C181" s="14" t="s">
        <v>282</v>
      </c>
      <c r="D181" s="40" t="n">
        <v>0.23</v>
      </c>
      <c r="I181" s="14"/>
    </row>
    <row r="182" customFormat="false" ht="15" hidden="false" customHeight="false" outlineLevel="0" collapsed="false">
      <c r="B182" s="12" t="s">
        <v>541</v>
      </c>
      <c r="C182" s="14" t="s">
        <v>282</v>
      </c>
      <c r="D182" s="46" t="n">
        <v>0.02</v>
      </c>
      <c r="I182" s="14"/>
    </row>
    <row r="183" customFormat="false" ht="15" hidden="false" customHeight="false" outlineLevel="0" collapsed="false">
      <c r="B183" s="12" t="s">
        <v>542</v>
      </c>
      <c r="C183" s="14" t="s">
        <v>74</v>
      </c>
      <c r="D183" s="41" t="n">
        <v>21</v>
      </c>
      <c r="I183" s="14" t="s">
        <v>543</v>
      </c>
    </row>
    <row r="184" customFormat="false" ht="15" hidden="false" customHeight="false" outlineLevel="0" collapsed="false">
      <c r="B184" s="12" t="s">
        <v>544</v>
      </c>
      <c r="C184" s="14" t="s">
        <v>96</v>
      </c>
      <c r="D184" s="40" t="n">
        <v>0.08</v>
      </c>
      <c r="I184" s="14"/>
    </row>
    <row r="185" customFormat="false" ht="15" hidden="false" customHeight="false" outlineLevel="0" collapsed="false">
      <c r="B185" s="12" t="s">
        <v>545</v>
      </c>
      <c r="C185" s="14" t="s">
        <v>77</v>
      </c>
      <c r="D185" s="39" t="n">
        <v>1500000</v>
      </c>
      <c r="H185" s="45" t="n">
        <f aca="false">D185/FX_EUR</f>
        <v>2286.73525856116</v>
      </c>
      <c r="I185" s="14" t="s">
        <v>546</v>
      </c>
    </row>
    <row r="186" customFormat="false" ht="15" hidden="false" customHeight="false" outlineLevel="0" collapsed="false">
      <c r="B186" s="12" t="s">
        <v>547</v>
      </c>
      <c r="C186" s="14" t="s">
        <v>282</v>
      </c>
      <c r="D186" s="40" t="n">
        <v>0.23</v>
      </c>
      <c r="I186" s="14"/>
    </row>
    <row r="187" customFormat="false" ht="15" hidden="false" customHeight="false" outlineLevel="0" collapsed="false">
      <c r="B187" s="12" t="s">
        <v>548</v>
      </c>
      <c r="C187" s="14" t="s">
        <v>282</v>
      </c>
      <c r="D187" s="46" t="n">
        <v>0.045</v>
      </c>
      <c r="I187" s="14" t="s">
        <v>549</v>
      </c>
    </row>
    <row r="188" customFormat="false" ht="15" hidden="false" customHeight="false" outlineLevel="0" collapsed="false">
      <c r="B188" s="12" t="s">
        <v>550</v>
      </c>
      <c r="C188" s="14" t="s">
        <v>74</v>
      </c>
      <c r="D188" s="41" t="n">
        <v>27</v>
      </c>
      <c r="I188" s="14" t="s">
        <v>551</v>
      </c>
    </row>
    <row r="189" customFormat="false" ht="15" hidden="false" customHeight="false" outlineLevel="0" collapsed="false">
      <c r="B189" s="12" t="s">
        <v>552</v>
      </c>
      <c r="C189" s="14" t="s">
        <v>96</v>
      </c>
      <c r="D189" s="40" t="n">
        <v>0.02</v>
      </c>
      <c r="I189" s="14"/>
    </row>
    <row r="190" customFormat="false" ht="15" hidden="false" customHeight="false" outlineLevel="0" collapsed="false">
      <c r="B190" s="12" t="s">
        <v>553</v>
      </c>
      <c r="C190" s="14" t="s">
        <v>77</v>
      </c>
      <c r="D190" s="39" t="n">
        <v>10000000</v>
      </c>
      <c r="H190" s="45" t="n">
        <f aca="false">D190/FX_EUR</f>
        <v>15244.901723741</v>
      </c>
      <c r="I190" s="14" t="s">
        <v>554</v>
      </c>
    </row>
    <row r="191" customFormat="false" ht="15" hidden="false" customHeight="false" outlineLevel="0" collapsed="false">
      <c r="B191" s="12" t="s">
        <v>555</v>
      </c>
      <c r="C191" s="14" t="s">
        <v>282</v>
      </c>
      <c r="D191" s="40" t="n">
        <v>0.22</v>
      </c>
      <c r="I191" s="14"/>
    </row>
    <row r="192" customFormat="false" ht="15" hidden="false" customHeight="false" outlineLevel="0" collapsed="false">
      <c r="B192" s="12" t="s">
        <v>556</v>
      </c>
      <c r="C192" s="14" t="s">
        <v>282</v>
      </c>
      <c r="D192" s="46" t="n">
        <v>0.04</v>
      </c>
      <c r="I192" s="14" t="s">
        <v>557</v>
      </c>
    </row>
    <row r="193" customFormat="false" ht="15" hidden="false" customHeight="false" outlineLevel="0" collapsed="false">
      <c r="B193" s="12" t="s">
        <v>558</v>
      </c>
      <c r="C193" s="14" t="s">
        <v>74</v>
      </c>
      <c r="D193" s="41" t="n">
        <v>30</v>
      </c>
      <c r="I193" s="14" t="s">
        <v>559</v>
      </c>
    </row>
    <row r="194" customFormat="false" ht="15" hidden="false" customHeight="false" outlineLevel="0" collapsed="false">
      <c r="B194" s="12" t="s">
        <v>560</v>
      </c>
      <c r="C194" s="14" t="s">
        <v>96</v>
      </c>
      <c r="D194" s="40" t="n">
        <v>0.1</v>
      </c>
      <c r="I194" s="14"/>
    </row>
    <row r="195" customFormat="false" ht="15" hidden="false" customHeight="false" outlineLevel="0" collapsed="false">
      <c r="B195" s="12" t="s">
        <v>561</v>
      </c>
      <c r="C195" s="14" t="s">
        <v>77</v>
      </c>
      <c r="D195" s="39" t="n">
        <v>50000</v>
      </c>
      <c r="H195" s="45" t="n">
        <f aca="false">D195/FX_EUR</f>
        <v>76.2245086187052</v>
      </c>
      <c r="I195" s="14" t="s">
        <v>562</v>
      </c>
    </row>
    <row r="196" customFormat="false" ht="15" hidden="false" customHeight="false" outlineLevel="0" collapsed="false">
      <c r="B196" s="12" t="s">
        <v>563</v>
      </c>
      <c r="C196" s="14" t="s">
        <v>282</v>
      </c>
      <c r="D196" s="40" t="n">
        <v>0.23</v>
      </c>
      <c r="I196" s="14"/>
    </row>
    <row r="197" customFormat="false" ht="15" hidden="false" customHeight="false" outlineLevel="0" collapsed="false">
      <c r="B197" s="12" t="s">
        <v>564</v>
      </c>
      <c r="C197" s="14" t="s">
        <v>282</v>
      </c>
      <c r="D197" s="46" t="n">
        <v>0.015</v>
      </c>
      <c r="I197" s="14"/>
    </row>
    <row r="198" customFormat="false" ht="15" hidden="false" customHeight="false" outlineLevel="0" collapsed="false">
      <c r="B198" s="12" t="s">
        <v>565</v>
      </c>
      <c r="C198" s="14" t="s">
        <v>282</v>
      </c>
      <c r="D198" s="40" t="n">
        <v>0.09</v>
      </c>
      <c r="I198" s="14" t="s">
        <v>566</v>
      </c>
    </row>
    <row r="199" customFormat="false" ht="15" hidden="false" customHeight="false" outlineLevel="0" collapsed="false">
      <c r="B199" s="12" t="s">
        <v>567</v>
      </c>
      <c r="C199" s="14" t="s">
        <v>282</v>
      </c>
      <c r="D199" s="40" t="n">
        <v>0.01</v>
      </c>
      <c r="I199" s="14" t="s">
        <v>568</v>
      </c>
    </row>
    <row r="200" customFormat="false" ht="15" hidden="false" customHeight="false" outlineLevel="0" collapsed="false">
      <c r="B200" s="12" t="s">
        <v>569</v>
      </c>
      <c r="C200" s="14" t="s">
        <v>96</v>
      </c>
      <c r="D200" s="40" t="n">
        <v>0.5</v>
      </c>
      <c r="I200" s="14" t="s">
        <v>570</v>
      </c>
    </row>
    <row r="201" customFormat="false" ht="15" hidden="false" customHeight="false" outlineLevel="0" collapsed="false">
      <c r="B201" s="12" t="s">
        <v>571</v>
      </c>
      <c r="C201" s="14" t="s">
        <v>572</v>
      </c>
      <c r="D201" s="40" t="n">
        <v>0.1</v>
      </c>
      <c r="I201" s="14"/>
    </row>
    <row r="202" customFormat="false" ht="15" hidden="false" customHeight="false" outlineLevel="0" collapsed="false">
      <c r="B202" s="12" t="s">
        <v>573</v>
      </c>
      <c r="C202" s="14" t="s">
        <v>572</v>
      </c>
      <c r="D202" s="40" t="n">
        <v>0.15</v>
      </c>
      <c r="I202" s="14" t="s">
        <v>574</v>
      </c>
    </row>
    <row r="204" customFormat="false" ht="15" hidden="false" customHeight="false" outlineLevel="0" collapsed="false">
      <c r="B204" s="36" t="s">
        <v>575</v>
      </c>
      <c r="C204" s="36" t="s">
        <v>182</v>
      </c>
      <c r="D204" s="36" t="s">
        <v>266</v>
      </c>
      <c r="E204" s="36" t="s">
        <v>267</v>
      </c>
      <c r="F204" s="36" t="s">
        <v>268</v>
      </c>
      <c r="G204" s="36" t="s">
        <v>269</v>
      </c>
      <c r="H204" s="36" t="s">
        <v>270</v>
      </c>
      <c r="I204" s="36" t="s">
        <v>271</v>
      </c>
    </row>
    <row r="205" customFormat="false" ht="15" hidden="false" customHeight="false" outlineLevel="0" collapsed="false">
      <c r="B205" s="12" t="s">
        <v>576</v>
      </c>
      <c r="C205" s="14" t="s">
        <v>577</v>
      </c>
      <c r="D205" s="40" t="n">
        <v>0.3</v>
      </c>
      <c r="I205" s="14" t="s">
        <v>578</v>
      </c>
    </row>
    <row r="206" customFormat="false" ht="15" hidden="false" customHeight="false" outlineLevel="0" collapsed="false">
      <c r="B206" s="12" t="s">
        <v>579</v>
      </c>
      <c r="C206" s="14" t="s">
        <v>74</v>
      </c>
      <c r="D206" s="41" t="n">
        <v>4</v>
      </c>
      <c r="I206" s="14" t="s">
        <v>580</v>
      </c>
    </row>
    <row r="207" customFormat="false" ht="15" hidden="false" customHeight="false" outlineLevel="0" collapsed="false">
      <c r="B207" s="12" t="s">
        <v>581</v>
      </c>
      <c r="C207" s="14" t="s">
        <v>92</v>
      </c>
      <c r="D207" s="39" t="n">
        <v>2</v>
      </c>
      <c r="I207" s="14" t="s">
        <v>582</v>
      </c>
    </row>
    <row r="208" customFormat="false" ht="15" hidden="false" customHeight="false" outlineLevel="0" collapsed="false">
      <c r="B208" s="12" t="s">
        <v>583</v>
      </c>
      <c r="C208" s="14" t="s">
        <v>89</v>
      </c>
      <c r="D208" s="39" t="n">
        <v>500</v>
      </c>
      <c r="I208" s="14" t="s">
        <v>584</v>
      </c>
    </row>
    <row r="209" customFormat="false" ht="15" hidden="false" customHeight="false" outlineLevel="0" collapsed="false">
      <c r="B209" s="12" t="s">
        <v>585</v>
      </c>
      <c r="C209" s="14" t="s">
        <v>586</v>
      </c>
      <c r="D209" s="39" t="n">
        <v>5000</v>
      </c>
      <c r="I209" s="14" t="s">
        <v>587</v>
      </c>
    </row>
    <row r="210" customFormat="false" ht="15" hidden="false" customHeight="false" outlineLevel="0" collapsed="false">
      <c r="B210" s="12" t="s">
        <v>588</v>
      </c>
      <c r="C210" s="14" t="s">
        <v>104</v>
      </c>
      <c r="D210" s="39" t="n">
        <v>250000</v>
      </c>
      <c r="H210" s="45" t="n">
        <f aca="false">D210/FX_EUR</f>
        <v>381.122543093526</v>
      </c>
      <c r="I210" s="14" t="s">
        <v>589</v>
      </c>
    </row>
    <row r="211" customFormat="false" ht="15" hidden="false" customHeight="false" outlineLevel="0" collapsed="false">
      <c r="B211" s="12" t="s">
        <v>590</v>
      </c>
      <c r="C211" s="14" t="s">
        <v>92</v>
      </c>
      <c r="D211" s="39" t="n">
        <v>2</v>
      </c>
      <c r="I211" s="14" t="s">
        <v>591</v>
      </c>
    </row>
    <row r="212" customFormat="false" ht="15" hidden="false" customHeight="false" outlineLevel="0" collapsed="false">
      <c r="B212" s="12" t="s">
        <v>592</v>
      </c>
      <c r="C212" s="14" t="s">
        <v>89</v>
      </c>
      <c r="D212" s="39" t="n">
        <v>2000</v>
      </c>
      <c r="I212" s="14" t="s">
        <v>593</v>
      </c>
    </row>
    <row r="213" customFormat="false" ht="15" hidden="false" customHeight="false" outlineLevel="0" collapsed="false">
      <c r="B213" s="12" t="s">
        <v>594</v>
      </c>
      <c r="C213" s="14" t="s">
        <v>104</v>
      </c>
      <c r="D213" s="39" t="n">
        <v>1200000</v>
      </c>
      <c r="H213" s="45" t="n">
        <f aca="false">D213/FX_EUR</f>
        <v>1829.38820684892</v>
      </c>
      <c r="I213" s="14" t="s">
        <v>595</v>
      </c>
    </row>
    <row r="214" customFormat="false" ht="15" hidden="false" customHeight="false" outlineLevel="0" collapsed="false">
      <c r="B214" s="12" t="s">
        <v>596</v>
      </c>
      <c r="C214" s="14" t="s">
        <v>74</v>
      </c>
      <c r="D214" s="41" t="n">
        <v>4</v>
      </c>
      <c r="I214" s="14" t="s">
        <v>580</v>
      </c>
    </row>
    <row r="215" customFormat="false" ht="15" hidden="false" customHeight="false" outlineLevel="0" collapsed="false">
      <c r="B215" s="12" t="s">
        <v>597</v>
      </c>
      <c r="C215" s="14" t="s">
        <v>92</v>
      </c>
      <c r="D215" s="39" t="n">
        <v>2</v>
      </c>
      <c r="I215" s="14" t="s">
        <v>598</v>
      </c>
    </row>
    <row r="216" customFormat="false" ht="15" hidden="false" customHeight="false" outlineLevel="0" collapsed="false">
      <c r="B216" s="12" t="s">
        <v>599</v>
      </c>
      <c r="C216" s="14" t="s">
        <v>92</v>
      </c>
      <c r="D216" s="39" t="n">
        <v>2</v>
      </c>
      <c r="I216" s="14" t="s">
        <v>600</v>
      </c>
    </row>
    <row r="217" customFormat="false" ht="15" hidden="false" customHeight="false" outlineLevel="0" collapsed="false">
      <c r="B217" s="12" t="s">
        <v>601</v>
      </c>
      <c r="C217" s="14" t="s">
        <v>89</v>
      </c>
      <c r="D217" s="39" t="n">
        <v>400</v>
      </c>
      <c r="I217" s="14" t="s">
        <v>602</v>
      </c>
    </row>
    <row r="218" customFormat="false" ht="15" hidden="false" customHeight="false" outlineLevel="0" collapsed="false">
      <c r="B218" s="12" t="s">
        <v>603</v>
      </c>
      <c r="C218" s="14" t="s">
        <v>104</v>
      </c>
      <c r="D218" s="39" t="n">
        <v>400000</v>
      </c>
      <c r="H218" s="45" t="n">
        <f aca="false">D218/FX_EUR</f>
        <v>609.796068949642</v>
      </c>
      <c r="I218" s="14" t="s">
        <v>604</v>
      </c>
    </row>
    <row r="219" customFormat="false" ht="15" hidden="false" customHeight="false" outlineLevel="0" collapsed="false">
      <c r="B219" s="12" t="s">
        <v>605</v>
      </c>
      <c r="C219" s="14" t="s">
        <v>104</v>
      </c>
      <c r="D219" s="39" t="n">
        <v>450000</v>
      </c>
      <c r="H219" s="45" t="n">
        <f aca="false">D219/FX_EUR</f>
        <v>686.020577568347</v>
      </c>
      <c r="I219" s="14"/>
    </row>
    <row r="220" customFormat="false" ht="15" hidden="false" customHeight="false" outlineLevel="0" collapsed="false">
      <c r="B220" s="12" t="s">
        <v>606</v>
      </c>
      <c r="C220" s="14" t="s">
        <v>108</v>
      </c>
      <c r="D220" s="41" t="n">
        <v>2</v>
      </c>
      <c r="I220" s="14" t="s">
        <v>607</v>
      </c>
    </row>
    <row r="221" customFormat="false" ht="15" hidden="false" customHeight="false" outlineLevel="0" collapsed="false">
      <c r="B221" s="12" t="s">
        <v>608</v>
      </c>
      <c r="C221" s="14" t="s">
        <v>77</v>
      </c>
      <c r="D221" s="39" t="n">
        <v>1000000000</v>
      </c>
      <c r="H221" s="45" t="n">
        <f aca="false">D221/FX_EUR</f>
        <v>1524490.1723741</v>
      </c>
      <c r="I221" s="14" t="s">
        <v>609</v>
      </c>
    </row>
    <row r="222" customFormat="false" ht="15" hidden="false" customHeight="false" outlineLevel="0" collapsed="false">
      <c r="B222" s="12" t="s">
        <v>610</v>
      </c>
      <c r="C222" s="14" t="s">
        <v>104</v>
      </c>
      <c r="D222" s="39" t="n">
        <v>600000</v>
      </c>
      <c r="H222" s="45" t="n">
        <f aca="false">D222/FX_EUR</f>
        <v>914.694103424462</v>
      </c>
      <c r="I222" s="14"/>
    </row>
    <row r="223" customFormat="false" ht="15" hidden="false" customHeight="false" outlineLevel="0" collapsed="false">
      <c r="B223" s="12" t="s">
        <v>611</v>
      </c>
      <c r="C223" s="14" t="s">
        <v>612</v>
      </c>
      <c r="D223" s="39" t="n">
        <v>300</v>
      </c>
      <c r="H223" s="48" t="n">
        <f aca="false">D223*FX_EUR</f>
        <v>196787.1</v>
      </c>
      <c r="I223" s="14" t="s">
        <v>613</v>
      </c>
    </row>
    <row r="224" customFormat="false" ht="15" hidden="false" customHeight="false" outlineLevel="0" collapsed="false">
      <c r="B224" s="12" t="s">
        <v>614</v>
      </c>
      <c r="C224" s="14" t="s">
        <v>615</v>
      </c>
      <c r="D224" s="39" t="n">
        <v>500</v>
      </c>
      <c r="H224" s="48" t="n">
        <f aca="false">D224*FX_EUR</f>
        <v>327978.5</v>
      </c>
      <c r="I224" s="14" t="s">
        <v>616</v>
      </c>
    </row>
    <row r="225" customFormat="false" ht="15" hidden="false" customHeight="false" outlineLevel="0" collapsed="false">
      <c r="B225" s="12" t="s">
        <v>617</v>
      </c>
      <c r="C225" s="14" t="s">
        <v>618</v>
      </c>
      <c r="D225" s="39" t="n">
        <v>2000</v>
      </c>
      <c r="H225" s="45" t="n">
        <f aca="false">D225*FX_USD/FX_EUR</f>
        <v>1768.40859995396</v>
      </c>
      <c r="I225" s="14" t="s">
        <v>619</v>
      </c>
    </row>
    <row r="226" customFormat="false" ht="15" hidden="false" customHeight="false" outlineLevel="0" collapsed="false">
      <c r="B226" s="12" t="s">
        <v>620</v>
      </c>
      <c r="C226" s="14" t="s">
        <v>615</v>
      </c>
      <c r="D226" s="39" t="n">
        <v>800</v>
      </c>
      <c r="H226" s="48" t="n">
        <f aca="false">D226*FX_EUR</f>
        <v>524765.6</v>
      </c>
      <c r="I226" s="14" t="s">
        <v>621</v>
      </c>
    </row>
    <row r="227" customFormat="false" ht="15" hidden="false" customHeight="false" outlineLevel="0" collapsed="false">
      <c r="B227" s="12" t="s">
        <v>622</v>
      </c>
      <c r="C227" s="14" t="s">
        <v>623</v>
      </c>
      <c r="D227" s="41" t="n">
        <v>1</v>
      </c>
      <c r="I227" s="14"/>
    </row>
    <row r="228" customFormat="false" ht="15" hidden="false" customHeight="false" outlineLevel="0" collapsed="false">
      <c r="B228" s="12" t="s">
        <v>624</v>
      </c>
      <c r="C228" s="14" t="s">
        <v>623</v>
      </c>
      <c r="D228" s="41" t="n">
        <v>1</v>
      </c>
      <c r="I228" s="14"/>
    </row>
    <row r="229" customFormat="false" ht="15" hidden="false" customHeight="false" outlineLevel="0" collapsed="false">
      <c r="B229" s="12" t="s">
        <v>625</v>
      </c>
      <c r="C229" s="14" t="s">
        <v>623</v>
      </c>
      <c r="D229" s="41" t="n">
        <v>0</v>
      </c>
      <c r="I229" s="14" t="s">
        <v>626</v>
      </c>
    </row>
    <row r="230" customFormat="false" ht="15" hidden="false" customHeight="false" outlineLevel="0" collapsed="false">
      <c r="B230" s="12" t="s">
        <v>627</v>
      </c>
      <c r="C230" s="14" t="s">
        <v>623</v>
      </c>
      <c r="D230" s="41" t="n">
        <v>0</v>
      </c>
      <c r="I230" s="14" t="s">
        <v>628</v>
      </c>
    </row>
    <row r="231" customFormat="false" ht="15" hidden="false" customHeight="false" outlineLevel="0" collapsed="false">
      <c r="B231" s="12" t="s">
        <v>629</v>
      </c>
      <c r="C231" s="14" t="s">
        <v>104</v>
      </c>
      <c r="D231" s="39" t="n">
        <v>5000</v>
      </c>
      <c r="H231" s="45" t="n">
        <f aca="false">D231/FX_EUR</f>
        <v>7.62245086187052</v>
      </c>
      <c r="I231" s="14" t="s">
        <v>630</v>
      </c>
    </row>
    <row r="232" customFormat="false" ht="15" hidden="false" customHeight="false" outlineLevel="0" collapsed="false">
      <c r="B232" s="12" t="s">
        <v>631</v>
      </c>
      <c r="C232" s="14" t="s">
        <v>632</v>
      </c>
      <c r="D232" s="39" t="n">
        <v>9</v>
      </c>
      <c r="H232" s="45" t="n">
        <f aca="false">D232*FX_USD/FX_EUR</f>
        <v>7.95783869979282</v>
      </c>
      <c r="I232" s="14" t="s">
        <v>633</v>
      </c>
    </row>
    <row r="233" customFormat="false" ht="15" hidden="false" customHeight="false" outlineLevel="0" collapsed="false">
      <c r="B233" s="12" t="s">
        <v>634</v>
      </c>
      <c r="C233" s="14" t="s">
        <v>632</v>
      </c>
      <c r="D233" s="39" t="n">
        <v>9</v>
      </c>
      <c r="H233" s="45" t="n">
        <f aca="false">D233*FX_USD/FX_EUR</f>
        <v>7.95783869979282</v>
      </c>
      <c r="I233" s="14" t="s">
        <v>635</v>
      </c>
    </row>
    <row r="234" customFormat="false" ht="15" hidden="false" customHeight="false" outlineLevel="0" collapsed="false">
      <c r="B234" s="12" t="s">
        <v>636</v>
      </c>
      <c r="C234" s="14" t="s">
        <v>637</v>
      </c>
      <c r="D234" s="39" t="n">
        <v>25</v>
      </c>
      <c r="H234" s="45" t="n">
        <f aca="false">D234*FX_USD/FX_EUR</f>
        <v>22.1051074994245</v>
      </c>
      <c r="I234" s="14" t="s">
        <v>638</v>
      </c>
    </row>
    <row r="235" customFormat="false" ht="15" hidden="false" customHeight="false" outlineLevel="0" collapsed="false">
      <c r="B235" s="12" t="s">
        <v>639</v>
      </c>
      <c r="C235" s="14" t="s">
        <v>640</v>
      </c>
      <c r="D235" s="39" t="n">
        <v>2</v>
      </c>
      <c r="I235" s="14" t="s">
        <v>641</v>
      </c>
    </row>
    <row r="236" customFormat="false" ht="15" hidden="false" customHeight="false" outlineLevel="0" collapsed="false">
      <c r="B236" s="12" t="s">
        <v>642</v>
      </c>
      <c r="C236" s="14" t="s">
        <v>643</v>
      </c>
      <c r="D236" s="39" t="n">
        <v>25</v>
      </c>
      <c r="H236" s="45" t="n">
        <f aca="false">D236*FX_USD/FX_EUR</f>
        <v>22.1051074994245</v>
      </c>
      <c r="I236" s="14" t="s">
        <v>644</v>
      </c>
    </row>
    <row r="237" customFormat="false" ht="15" hidden="false" customHeight="false" outlineLevel="0" collapsed="false">
      <c r="B237" s="12" t="s">
        <v>645</v>
      </c>
      <c r="C237" s="14" t="s">
        <v>646</v>
      </c>
      <c r="D237" s="39" t="n">
        <v>20</v>
      </c>
      <c r="H237" s="45" t="n">
        <f aca="false">D237*FX_USD/FX_EUR</f>
        <v>17.6840859995396</v>
      </c>
      <c r="I237" s="14"/>
    </row>
    <row r="239" customFormat="false" ht="15" hidden="false" customHeight="false" outlineLevel="0" collapsed="false">
      <c r="B239" s="36" t="s">
        <v>647</v>
      </c>
      <c r="C239" s="36" t="s">
        <v>182</v>
      </c>
      <c r="D239" s="36" t="s">
        <v>266</v>
      </c>
      <c r="E239" s="36" t="s">
        <v>267</v>
      </c>
      <c r="F239" s="36" t="s">
        <v>268</v>
      </c>
      <c r="G239" s="36" t="s">
        <v>269</v>
      </c>
      <c r="H239" s="36" t="s">
        <v>270</v>
      </c>
      <c r="I239" s="36" t="s">
        <v>271</v>
      </c>
    </row>
    <row r="240" customFormat="false" ht="15" hidden="false" customHeight="false" outlineLevel="0" collapsed="false">
      <c r="B240" s="12" t="s">
        <v>648</v>
      </c>
      <c r="C240" s="14" t="s">
        <v>346</v>
      </c>
      <c r="D240" s="41" t="n">
        <v>1</v>
      </c>
      <c r="I240" s="14" t="s">
        <v>649</v>
      </c>
    </row>
    <row r="241" customFormat="false" ht="15" hidden="false" customHeight="false" outlineLevel="0" collapsed="false">
      <c r="B241" s="12" t="s">
        <v>650</v>
      </c>
      <c r="C241" s="14" t="s">
        <v>651</v>
      </c>
      <c r="D241" s="39" t="n">
        <v>70000</v>
      </c>
      <c r="H241" s="48" t="n">
        <f aca="false">D241*FX_EUR</f>
        <v>45916990</v>
      </c>
      <c r="I241" s="14" t="s">
        <v>652</v>
      </c>
    </row>
    <row r="242" customFormat="false" ht="15" hidden="false" customHeight="false" outlineLevel="0" collapsed="false">
      <c r="B242" s="12" t="s">
        <v>653</v>
      </c>
      <c r="C242" s="14" t="s">
        <v>654</v>
      </c>
      <c r="D242" s="40" t="n">
        <v>0.05</v>
      </c>
      <c r="I242" s="14" t="s">
        <v>655</v>
      </c>
    </row>
    <row r="243" customFormat="false" ht="15" hidden="false" customHeight="false" outlineLevel="0" collapsed="false">
      <c r="B243" s="12" t="s">
        <v>656</v>
      </c>
      <c r="C243" s="14" t="s">
        <v>657</v>
      </c>
      <c r="D243" s="39" t="n">
        <v>10000</v>
      </c>
      <c r="H243" s="45" t="n">
        <f aca="false">D243*FX_USD/FX_EUR</f>
        <v>8842.0429997698</v>
      </c>
      <c r="I243" s="14" t="s">
        <v>658</v>
      </c>
    </row>
    <row r="245" customFormat="false" ht="15" hidden="false" customHeight="false" outlineLevel="0" collapsed="false">
      <c r="B245" s="36" t="s">
        <v>659</v>
      </c>
      <c r="C245" s="36" t="s">
        <v>182</v>
      </c>
      <c r="D245" s="36" t="s">
        <v>660</v>
      </c>
      <c r="E245" s="36" t="s">
        <v>661</v>
      </c>
      <c r="F245" s="36" t="s">
        <v>662</v>
      </c>
      <c r="G245" s="36" t="s">
        <v>663</v>
      </c>
      <c r="H245" s="36" t="s">
        <v>664</v>
      </c>
      <c r="I245" s="36" t="s">
        <v>271</v>
      </c>
      <c r="K245" s="36" t="s">
        <v>665</v>
      </c>
      <c r="L245" s="36" t="s">
        <v>666</v>
      </c>
      <c r="M245" s="36" t="s">
        <v>667</v>
      </c>
      <c r="N245" s="36" t="s">
        <v>668</v>
      </c>
      <c r="O245" s="36" t="s">
        <v>669</v>
      </c>
    </row>
    <row r="246" customFormat="false" ht="15" hidden="false" customHeight="false" outlineLevel="0" collapsed="false">
      <c r="B246" s="8" t="s">
        <v>670</v>
      </c>
    </row>
    <row r="247" customFormat="false" ht="15" hidden="false" customHeight="false" outlineLevel="0" collapsed="false">
      <c r="B247" s="12" t="s">
        <v>671</v>
      </c>
      <c r="C247" s="14" t="s">
        <v>643</v>
      </c>
      <c r="D247" s="39" t="n">
        <v>3000</v>
      </c>
      <c r="E247" s="39" t="n">
        <v>5000</v>
      </c>
      <c r="F247" s="39" t="n">
        <v>8000</v>
      </c>
      <c r="G247" s="39" t="n">
        <v>10000</v>
      </c>
      <c r="H247" s="39" t="n">
        <v>12000</v>
      </c>
      <c r="I247" s="14" t="s">
        <v>672</v>
      </c>
      <c r="K247" s="45" t="n">
        <f aca="false">D247*FX_USD/FX_EUR</f>
        <v>2652.61289993094</v>
      </c>
      <c r="L247" s="45" t="n">
        <f aca="false">E247*FX_USD/FX_EUR</f>
        <v>4421.0214998849</v>
      </c>
      <c r="M247" s="45" t="n">
        <f aca="false">F247*FX_USD/FX_EUR</f>
        <v>7073.63439981584</v>
      </c>
      <c r="N247" s="45" t="n">
        <f aca="false">G247*FX_USD/FX_EUR</f>
        <v>8842.0429997698</v>
      </c>
      <c r="O247" s="45" t="n">
        <f aca="false">H247*FX_USD/FX_EUR</f>
        <v>10610.4515997238</v>
      </c>
    </row>
    <row r="248" customFormat="false" ht="15" hidden="false" customHeight="false" outlineLevel="0" collapsed="false">
      <c r="B248" s="12" t="s">
        <v>673</v>
      </c>
      <c r="C248" s="14" t="s">
        <v>643</v>
      </c>
      <c r="D248" s="39" t="n">
        <v>150</v>
      </c>
      <c r="H248" s="45" t="n">
        <f aca="false">D248*FX_USD/FX_EUR</f>
        <v>132.630644996547</v>
      </c>
      <c r="I248" s="14" t="s">
        <v>674</v>
      </c>
    </row>
    <row r="249" customFormat="false" ht="15" hidden="false" customHeight="false" outlineLevel="0" collapsed="false">
      <c r="B249" s="12" t="s">
        <v>675</v>
      </c>
      <c r="C249" s="14" t="s">
        <v>676</v>
      </c>
      <c r="D249" s="39" t="n">
        <v>0</v>
      </c>
      <c r="E249" s="39" t="n">
        <v>4500000</v>
      </c>
      <c r="F249" s="39" t="n">
        <v>6000000</v>
      </c>
      <c r="G249" s="39" t="n">
        <v>8000000</v>
      </c>
      <c r="H249" s="39" t="n">
        <v>10000000</v>
      </c>
      <c r="I249" s="14" t="s">
        <v>677</v>
      </c>
      <c r="K249" s="45" t="n">
        <f aca="false">D249/FX_EUR</f>
        <v>0</v>
      </c>
      <c r="L249" s="45" t="n">
        <f aca="false">E249/FX_EUR</f>
        <v>6860.20577568347</v>
      </c>
      <c r="M249" s="45" t="n">
        <f aca="false">F249/FX_EUR</f>
        <v>9146.94103424462</v>
      </c>
      <c r="N249" s="45" t="n">
        <f aca="false">G249/FX_EUR</f>
        <v>12195.9213789928</v>
      </c>
      <c r="O249" s="45" t="n">
        <f aca="false">H249/FX_EUR</f>
        <v>15244.901723741</v>
      </c>
    </row>
    <row r="250" customFormat="false" ht="15" hidden="false" customHeight="false" outlineLevel="0" collapsed="false">
      <c r="B250" s="12" t="s">
        <v>678</v>
      </c>
      <c r="C250" s="14" t="s">
        <v>646</v>
      </c>
      <c r="D250" s="39" t="n">
        <v>9000</v>
      </c>
      <c r="E250" s="39" t="n">
        <v>20000</v>
      </c>
      <c r="F250" s="39" t="n">
        <v>30000</v>
      </c>
      <c r="G250" s="39" t="n">
        <v>40000</v>
      </c>
      <c r="H250" s="39" t="n">
        <v>50000</v>
      </c>
      <c r="I250" s="14" t="s">
        <v>679</v>
      </c>
      <c r="K250" s="45" t="n">
        <f aca="false">D250*FX_USD/FX_EUR</f>
        <v>7957.83869979282</v>
      </c>
      <c r="L250" s="45" t="n">
        <f aca="false">E250*FX_USD/FX_EUR</f>
        <v>17684.0859995396</v>
      </c>
      <c r="M250" s="45" t="n">
        <f aca="false">F250*FX_USD/FX_EUR</f>
        <v>26526.1289993094</v>
      </c>
      <c r="N250" s="45" t="n">
        <f aca="false">G250*FX_USD/FX_EUR</f>
        <v>35368.1719990792</v>
      </c>
      <c r="O250" s="45" t="n">
        <f aca="false">H250*FX_USD/FX_EUR</f>
        <v>44210.214998849</v>
      </c>
    </row>
    <row r="251" customFormat="false" ht="15" hidden="false" customHeight="false" outlineLevel="0" collapsed="false">
      <c r="B251" s="12" t="s">
        <v>680</v>
      </c>
      <c r="C251" s="14" t="s">
        <v>676</v>
      </c>
      <c r="D251" s="39" t="n">
        <v>7900000</v>
      </c>
      <c r="E251" s="39" t="n">
        <v>9800000</v>
      </c>
      <c r="F251" s="39" t="n">
        <v>5900000</v>
      </c>
      <c r="G251" s="39" t="n">
        <v>5900000</v>
      </c>
      <c r="H251" s="39" t="n">
        <v>5900000</v>
      </c>
      <c r="I251" s="14" t="s">
        <v>681</v>
      </c>
      <c r="K251" s="45" t="n">
        <f aca="false">D251/FX_EUR</f>
        <v>12043.4723617554</v>
      </c>
      <c r="L251" s="45" t="n">
        <f aca="false">E251/FX_EUR</f>
        <v>14940.0036892662</v>
      </c>
      <c r="M251" s="45" t="n">
        <f aca="false">F251/FX_EUR</f>
        <v>8994.49201700721</v>
      </c>
      <c r="N251" s="45" t="n">
        <f aca="false">G251/FX_EUR</f>
        <v>8994.49201700721</v>
      </c>
      <c r="O251" s="45" t="n">
        <f aca="false">H251/FX_EUR</f>
        <v>8994.49201700721</v>
      </c>
    </row>
    <row r="252" customFormat="false" ht="15" hidden="false" customHeight="false" outlineLevel="0" collapsed="false">
      <c r="B252" s="12" t="s">
        <v>682</v>
      </c>
      <c r="C252" s="14" t="s">
        <v>643</v>
      </c>
      <c r="D252" s="39" t="n">
        <v>5000</v>
      </c>
      <c r="E252" s="39" t="n">
        <v>5000</v>
      </c>
      <c r="F252" s="39" t="n">
        <v>7500</v>
      </c>
      <c r="G252" s="39" t="n">
        <v>10000</v>
      </c>
      <c r="H252" s="39" t="n">
        <v>12000</v>
      </c>
      <c r="I252" s="14" t="s">
        <v>683</v>
      </c>
      <c r="K252" s="45" t="n">
        <f aca="false">D252*FX_USD/FX_EUR</f>
        <v>4421.0214998849</v>
      </c>
      <c r="L252" s="45" t="n">
        <f aca="false">E252*FX_USD/FX_EUR</f>
        <v>4421.0214998849</v>
      </c>
      <c r="M252" s="45" t="n">
        <f aca="false">F252*FX_USD/FX_EUR</f>
        <v>6631.53224982735</v>
      </c>
      <c r="N252" s="45" t="n">
        <f aca="false">G252*FX_USD/FX_EUR</f>
        <v>8842.0429997698</v>
      </c>
      <c r="O252" s="45" t="n">
        <f aca="false">H252*FX_USD/FX_EUR</f>
        <v>10610.4515997238</v>
      </c>
    </row>
    <row r="253" customFormat="false" ht="15" hidden="false" customHeight="false" outlineLevel="0" collapsed="false">
      <c r="B253" s="12" t="s">
        <v>684</v>
      </c>
      <c r="C253" s="14" t="s">
        <v>657</v>
      </c>
      <c r="D253" s="39" t="n">
        <v>50000</v>
      </c>
      <c r="I253" s="14" t="s">
        <v>685</v>
      </c>
      <c r="K253" s="45" t="n">
        <f aca="false">D253*FX_USD/FX_EUR</f>
        <v>44210.214998849</v>
      </c>
    </row>
    <row r="254" customFormat="false" ht="15" hidden="false" customHeight="false" outlineLevel="0" collapsed="false">
      <c r="B254" s="8" t="s">
        <v>686</v>
      </c>
    </row>
    <row r="255" customFormat="false" ht="15" hidden="false" customHeight="false" outlineLevel="0" collapsed="false">
      <c r="B255" s="12" t="s">
        <v>687</v>
      </c>
      <c r="C255" s="14" t="s">
        <v>77</v>
      </c>
      <c r="D255" s="39" t="n">
        <v>15000000</v>
      </c>
      <c r="I255" s="14" t="s">
        <v>688</v>
      </c>
      <c r="K255" s="45" t="n">
        <f aca="false">D255/FX_EUR</f>
        <v>22867.3525856116</v>
      </c>
    </row>
    <row r="256" customFormat="false" ht="15" hidden="false" customHeight="false" outlineLevel="0" collapsed="false">
      <c r="B256" s="12" t="s">
        <v>689</v>
      </c>
      <c r="C256" s="14" t="s">
        <v>77</v>
      </c>
      <c r="D256" s="39" t="n">
        <v>15000000</v>
      </c>
      <c r="I256" s="14"/>
      <c r="K256" s="45" t="n">
        <f aca="false">D256/FX_EUR</f>
        <v>22867.3525856116</v>
      </c>
    </row>
    <row r="257" customFormat="false" ht="15" hidden="false" customHeight="false" outlineLevel="0" collapsed="false">
      <c r="B257" s="12" t="s">
        <v>690</v>
      </c>
      <c r="C257" s="14" t="s">
        <v>77</v>
      </c>
      <c r="D257" s="39" t="n">
        <v>5000000</v>
      </c>
      <c r="I257" s="14"/>
      <c r="K257" s="45" t="n">
        <f aca="false">D257/FX_EUR</f>
        <v>7622.45086187052</v>
      </c>
    </row>
    <row r="258" customFormat="false" ht="15" hidden="false" customHeight="false" outlineLevel="0" collapsed="false">
      <c r="B258" s="12" t="s">
        <v>691</v>
      </c>
      <c r="C258" s="14" t="s">
        <v>104</v>
      </c>
      <c r="D258" s="39" t="n">
        <v>1500000</v>
      </c>
      <c r="E258" s="39" t="n">
        <v>1500000</v>
      </c>
      <c r="F258" s="39" t="n">
        <v>2000000</v>
      </c>
      <c r="G258" s="39" t="n">
        <v>2000000</v>
      </c>
      <c r="H258" s="39" t="n">
        <v>2000000</v>
      </c>
      <c r="I258" s="14" t="s">
        <v>692</v>
      </c>
      <c r="K258" s="45" t="n">
        <f aca="false">D258/FX_EUR</f>
        <v>2286.73525856116</v>
      </c>
      <c r="L258" s="45" t="n">
        <f aca="false">E258/FX_EUR</f>
        <v>2286.73525856116</v>
      </c>
      <c r="M258" s="45" t="n">
        <f aca="false">F258/FX_EUR</f>
        <v>3048.98034474821</v>
      </c>
      <c r="N258" s="45" t="n">
        <f aca="false">G258/FX_EUR</f>
        <v>3048.98034474821</v>
      </c>
      <c r="O258" s="45" t="n">
        <f aca="false">H258/FX_EUR</f>
        <v>3048.98034474821</v>
      </c>
    </row>
    <row r="259" customFormat="false" ht="15" hidden="false" customHeight="false" outlineLevel="0" collapsed="false">
      <c r="B259" s="12" t="s">
        <v>693</v>
      </c>
      <c r="C259" s="14" t="s">
        <v>104</v>
      </c>
      <c r="D259" s="39" t="n">
        <v>0</v>
      </c>
      <c r="E259" s="39" t="n">
        <v>1500000</v>
      </c>
      <c r="F259" s="39" t="n">
        <v>2000000</v>
      </c>
      <c r="G259" s="39" t="n">
        <v>2000000</v>
      </c>
      <c r="H259" s="39" t="n">
        <v>2000000</v>
      </c>
      <c r="I259" s="14" t="s">
        <v>694</v>
      </c>
      <c r="K259" s="45" t="n">
        <f aca="false">D259/FX_EUR</f>
        <v>0</v>
      </c>
      <c r="L259" s="45" t="n">
        <f aca="false">E259/FX_EUR</f>
        <v>2286.73525856116</v>
      </c>
      <c r="M259" s="45" t="n">
        <f aca="false">F259/FX_EUR</f>
        <v>3048.98034474821</v>
      </c>
      <c r="N259" s="45" t="n">
        <f aca="false">G259/FX_EUR</f>
        <v>3048.98034474821</v>
      </c>
      <c r="O259" s="45" t="n">
        <f aca="false">H259/FX_EUR</f>
        <v>3048.98034474821</v>
      </c>
    </row>
    <row r="260" customFormat="false" ht="15" hidden="false" customHeight="false" outlineLevel="0" collapsed="false">
      <c r="B260" s="12" t="s">
        <v>695</v>
      </c>
      <c r="C260" s="14" t="s">
        <v>676</v>
      </c>
      <c r="D260" s="39" t="n">
        <v>0</v>
      </c>
      <c r="E260" s="39" t="n">
        <v>3000000</v>
      </c>
      <c r="F260" s="39" t="n">
        <v>3000000</v>
      </c>
      <c r="G260" s="39" t="n">
        <v>3000000</v>
      </c>
      <c r="H260" s="39" t="n">
        <v>3000000</v>
      </c>
      <c r="I260" s="14" t="s">
        <v>696</v>
      </c>
      <c r="K260" s="45" t="n">
        <f aca="false">D260/FX_EUR</f>
        <v>0</v>
      </c>
      <c r="L260" s="45" t="n">
        <f aca="false">E260/FX_EUR</f>
        <v>4573.47051712231</v>
      </c>
      <c r="M260" s="45" t="n">
        <f aca="false">F260/FX_EUR</f>
        <v>4573.47051712231</v>
      </c>
      <c r="N260" s="45" t="n">
        <f aca="false">G260/FX_EUR</f>
        <v>4573.47051712231</v>
      </c>
      <c r="O260" s="45" t="n">
        <f aca="false">H260/FX_EUR</f>
        <v>4573.47051712231</v>
      </c>
    </row>
    <row r="261" customFormat="false" ht="15" hidden="false" customHeight="false" outlineLevel="0" collapsed="false">
      <c r="B261" s="8" t="s">
        <v>697</v>
      </c>
    </row>
    <row r="262" customFormat="false" ht="15" hidden="false" customHeight="false" outlineLevel="0" collapsed="false">
      <c r="B262" s="12" t="s">
        <v>698</v>
      </c>
      <c r="C262" s="14" t="s">
        <v>77</v>
      </c>
      <c r="D262" s="39" t="n">
        <v>2500000</v>
      </c>
      <c r="I262" s="14" t="s">
        <v>699</v>
      </c>
      <c r="K262" s="45" t="n">
        <f aca="false">D262/FX_EUR</f>
        <v>3811.22543093526</v>
      </c>
    </row>
    <row r="263" customFormat="false" ht="15" hidden="false" customHeight="false" outlineLevel="0" collapsed="false">
      <c r="B263" s="12" t="s">
        <v>700</v>
      </c>
      <c r="C263" s="14" t="s">
        <v>77</v>
      </c>
      <c r="D263" s="39" t="n">
        <v>3000000</v>
      </c>
      <c r="I263" s="14"/>
      <c r="K263" s="45" t="n">
        <f aca="false">D263/FX_EUR</f>
        <v>4573.47051712231</v>
      </c>
    </row>
    <row r="264" customFormat="false" ht="15" hidden="false" customHeight="false" outlineLevel="0" collapsed="false">
      <c r="B264" s="12" t="s">
        <v>701</v>
      </c>
      <c r="C264" s="14" t="s">
        <v>676</v>
      </c>
      <c r="D264" s="39" t="n">
        <v>0</v>
      </c>
      <c r="E264" s="39" t="n">
        <v>40000000</v>
      </c>
      <c r="F264" s="39" t="n">
        <v>10000000</v>
      </c>
      <c r="G264" s="39" t="n">
        <v>0</v>
      </c>
      <c r="H264" s="39" t="n">
        <v>0</v>
      </c>
      <c r="I264" s="14" t="s">
        <v>702</v>
      </c>
      <c r="K264" s="45" t="n">
        <f aca="false">D264/FX_EUR</f>
        <v>0</v>
      </c>
      <c r="L264" s="45" t="n">
        <f aca="false">E264/FX_EUR</f>
        <v>60979.6068949642</v>
      </c>
      <c r="M264" s="45" t="n">
        <f aca="false">F264/FX_EUR</f>
        <v>15244.901723741</v>
      </c>
      <c r="N264" s="45" t="n">
        <f aca="false">G264/FX_EUR</f>
        <v>0</v>
      </c>
      <c r="O264" s="45" t="n">
        <f aca="false">H264/FX_EUR</f>
        <v>0</v>
      </c>
    </row>
    <row r="265" customFormat="false" ht="15" hidden="false" customHeight="false" outlineLevel="0" collapsed="false">
      <c r="B265" s="12" t="s">
        <v>703</v>
      </c>
      <c r="C265" s="14" t="s">
        <v>676</v>
      </c>
      <c r="D265" s="39" t="n">
        <v>36000000</v>
      </c>
      <c r="E265" s="39" t="n">
        <v>36000000</v>
      </c>
      <c r="F265" s="39" t="n">
        <v>42000000</v>
      </c>
      <c r="G265" s="39" t="n">
        <v>48000000</v>
      </c>
      <c r="H265" s="39" t="n">
        <v>54000000</v>
      </c>
      <c r="I265" s="14" t="s">
        <v>704</v>
      </c>
      <c r="K265" s="45" t="n">
        <f aca="false">D265/FX_EUR</f>
        <v>54881.6462054677</v>
      </c>
      <c r="L265" s="45" t="n">
        <f aca="false">E265/FX_EUR</f>
        <v>54881.6462054677</v>
      </c>
      <c r="M265" s="45" t="n">
        <f aca="false">F265/FX_EUR</f>
        <v>64028.5872397124</v>
      </c>
      <c r="N265" s="45" t="n">
        <f aca="false">G265/FX_EUR</f>
        <v>73175.528273957</v>
      </c>
      <c r="O265" s="45" t="n">
        <f aca="false">H265/FX_EUR</f>
        <v>82322.4693082016</v>
      </c>
    </row>
    <row r="266" customFormat="false" ht="15" hidden="false" customHeight="false" outlineLevel="0" collapsed="false">
      <c r="B266" s="12" t="s">
        <v>705</v>
      </c>
      <c r="C266" s="14" t="s">
        <v>104</v>
      </c>
      <c r="D266" s="39" t="n">
        <v>1000000</v>
      </c>
      <c r="E266" s="39" t="n">
        <v>1500000</v>
      </c>
      <c r="F266" s="39" t="n">
        <v>2000000</v>
      </c>
      <c r="G266" s="39" t="n">
        <v>2500000</v>
      </c>
      <c r="H266" s="39" t="n">
        <v>3000000</v>
      </c>
      <c r="I266" s="14"/>
      <c r="K266" s="45" t="n">
        <f aca="false">D266/FX_EUR</f>
        <v>1524.4901723741</v>
      </c>
      <c r="L266" s="45" t="n">
        <f aca="false">E266/FX_EUR</f>
        <v>2286.73525856116</v>
      </c>
      <c r="M266" s="45" t="n">
        <f aca="false">F266/FX_EUR</f>
        <v>3048.98034474821</v>
      </c>
      <c r="N266" s="45" t="n">
        <f aca="false">G266/FX_EUR</f>
        <v>3811.22543093526</v>
      </c>
      <c r="O266" s="45" t="n">
        <f aca="false">H266/FX_EUR</f>
        <v>4573.47051712231</v>
      </c>
    </row>
    <row r="267" customFormat="false" ht="15" hidden="false" customHeight="false" outlineLevel="0" collapsed="false">
      <c r="B267" s="12" t="s">
        <v>706</v>
      </c>
      <c r="C267" s="14" t="s">
        <v>676</v>
      </c>
      <c r="D267" s="39" t="n">
        <v>5000000</v>
      </c>
      <c r="E267" s="39" t="n">
        <v>10000000</v>
      </c>
      <c r="F267" s="39" t="n">
        <v>25000000</v>
      </c>
      <c r="G267" s="39" t="n">
        <v>30000000</v>
      </c>
      <c r="H267" s="39" t="n">
        <v>35000000</v>
      </c>
      <c r="I267" s="14" t="s">
        <v>707</v>
      </c>
      <c r="K267" s="45" t="n">
        <f aca="false">D267/FX_EUR</f>
        <v>7622.45086187052</v>
      </c>
      <c r="L267" s="45" t="n">
        <f aca="false">E267/FX_EUR</f>
        <v>15244.901723741</v>
      </c>
      <c r="M267" s="45" t="n">
        <f aca="false">F267/FX_EUR</f>
        <v>38112.2543093526</v>
      </c>
      <c r="N267" s="45" t="n">
        <f aca="false">G267/FX_EUR</f>
        <v>45734.7051712231</v>
      </c>
      <c r="O267" s="45" t="n">
        <f aca="false">H267/FX_EUR</f>
        <v>53357.1560330936</v>
      </c>
    </row>
    <row r="268" customFormat="false" ht="15" hidden="false" customHeight="false" outlineLevel="0" collapsed="false">
      <c r="B268" s="12" t="s">
        <v>708</v>
      </c>
      <c r="C268" s="14" t="s">
        <v>104</v>
      </c>
      <c r="D268" s="39" t="n">
        <v>300000</v>
      </c>
      <c r="E268" s="39" t="n">
        <v>600000</v>
      </c>
      <c r="F268" s="39" t="n">
        <v>800000</v>
      </c>
      <c r="G268" s="39" t="n">
        <v>900000</v>
      </c>
      <c r="H268" s="39" t="n">
        <v>1000000</v>
      </c>
      <c r="I268" s="14"/>
      <c r="K268" s="45" t="n">
        <f aca="false">D268/FX_EUR</f>
        <v>457.347051712231</v>
      </c>
      <c r="L268" s="45" t="n">
        <f aca="false">E268/FX_EUR</f>
        <v>914.694103424462</v>
      </c>
      <c r="M268" s="45" t="n">
        <f aca="false">F268/FX_EUR</f>
        <v>1219.59213789928</v>
      </c>
      <c r="N268" s="45" t="n">
        <f aca="false">G268/FX_EUR</f>
        <v>1372.04115513669</v>
      </c>
      <c r="O268" s="45" t="n">
        <f aca="false">H268/FX_EUR</f>
        <v>1524.4901723741</v>
      </c>
    </row>
    <row r="269" customFormat="false" ht="15" hidden="false" customHeight="false" outlineLevel="0" collapsed="false">
      <c r="B269" s="12" t="s">
        <v>709</v>
      </c>
      <c r="C269" s="14" t="s">
        <v>676</v>
      </c>
      <c r="D269" s="39" t="n">
        <v>0</v>
      </c>
      <c r="E269" s="39" t="n">
        <v>0</v>
      </c>
      <c r="F269" s="39" t="n">
        <v>12000000</v>
      </c>
      <c r="G269" s="39" t="n">
        <v>14000000</v>
      </c>
      <c r="H269" s="39" t="n">
        <v>16000000</v>
      </c>
      <c r="I269" s="14" t="s">
        <v>710</v>
      </c>
      <c r="K269" s="45" t="n">
        <f aca="false">D269/FX_EUR</f>
        <v>0</v>
      </c>
      <c r="L269" s="45" t="n">
        <f aca="false">E269/FX_EUR</f>
        <v>0</v>
      </c>
      <c r="M269" s="45" t="n">
        <f aca="false">F269/FX_EUR</f>
        <v>18293.8820684892</v>
      </c>
      <c r="N269" s="45" t="n">
        <f aca="false">G269/FX_EUR</f>
        <v>21342.8624132375</v>
      </c>
      <c r="O269" s="45" t="n">
        <f aca="false">H269/FX_EUR</f>
        <v>24391.8427579857</v>
      </c>
    </row>
    <row r="270" customFormat="false" ht="15" hidden="false" customHeight="false" outlineLevel="0" collapsed="false">
      <c r="B270" s="12" t="s">
        <v>711</v>
      </c>
      <c r="C270" s="14" t="s">
        <v>676</v>
      </c>
      <c r="D270" s="39" t="n">
        <v>3500000</v>
      </c>
      <c r="E270" s="39" t="n">
        <v>3000000</v>
      </c>
      <c r="F270" s="39" t="n">
        <v>1500000</v>
      </c>
      <c r="G270" s="39" t="n">
        <v>1500000</v>
      </c>
      <c r="H270" s="39" t="n">
        <v>1500000</v>
      </c>
      <c r="I270" s="14"/>
      <c r="K270" s="45" t="n">
        <f aca="false">D270/FX_EUR</f>
        <v>5335.71560330936</v>
      </c>
      <c r="L270" s="45" t="n">
        <f aca="false">E270/FX_EUR</f>
        <v>4573.47051712231</v>
      </c>
      <c r="M270" s="45" t="n">
        <f aca="false">F270/FX_EUR</f>
        <v>2286.73525856116</v>
      </c>
      <c r="N270" s="45" t="n">
        <f aca="false">G270/FX_EUR</f>
        <v>2286.73525856116</v>
      </c>
      <c r="O270" s="45" t="n">
        <f aca="false">H270/FX_EUR</f>
        <v>2286.73525856116</v>
      </c>
    </row>
    <row r="271" customFormat="false" ht="15" hidden="false" customHeight="false" outlineLevel="0" collapsed="false">
      <c r="B271" s="12" t="s">
        <v>712</v>
      </c>
      <c r="C271" s="14" t="s">
        <v>646</v>
      </c>
      <c r="D271" s="39" t="n">
        <v>20000</v>
      </c>
      <c r="E271" s="39" t="n">
        <v>25000</v>
      </c>
      <c r="F271" s="39" t="n">
        <v>35000</v>
      </c>
      <c r="G271" s="39" t="n">
        <v>45000</v>
      </c>
      <c r="H271" s="39" t="n">
        <v>55000</v>
      </c>
      <c r="I271" s="14"/>
      <c r="K271" s="45" t="n">
        <f aca="false">D271*FX_USD/FX_EUR</f>
        <v>17684.0859995396</v>
      </c>
      <c r="L271" s="45" t="n">
        <f aca="false">E271*FX_USD/FX_EUR</f>
        <v>22105.1074994245</v>
      </c>
      <c r="M271" s="45" t="n">
        <f aca="false">F271*FX_USD/FX_EUR</f>
        <v>30947.1504991943</v>
      </c>
      <c r="N271" s="45" t="n">
        <f aca="false">G271*FX_USD/FX_EUR</f>
        <v>39789.1934989641</v>
      </c>
      <c r="O271" s="45" t="n">
        <f aca="false">H271*FX_USD/FX_EUR</f>
        <v>48631.2364987339</v>
      </c>
    </row>
    <row r="272" customFormat="false" ht="15" hidden="false" customHeight="false" outlineLevel="0" collapsed="false">
      <c r="B272" s="8" t="s">
        <v>713</v>
      </c>
    </row>
    <row r="273" customFormat="false" ht="15" hidden="false" customHeight="false" outlineLevel="0" collapsed="false">
      <c r="B273" s="12" t="s">
        <v>714</v>
      </c>
      <c r="C273" s="14" t="s">
        <v>104</v>
      </c>
      <c r="D273" s="39" t="n">
        <v>1310000</v>
      </c>
      <c r="E273" s="39" t="n">
        <v>2620000</v>
      </c>
      <c r="F273" s="39" t="n">
        <v>3940000</v>
      </c>
      <c r="G273" s="39" t="n">
        <v>4590000</v>
      </c>
      <c r="H273" s="39" t="n">
        <v>5250000</v>
      </c>
      <c r="I273" s="14" t="s">
        <v>715</v>
      </c>
      <c r="K273" s="45" t="n">
        <f aca="false">D273/FX_EUR</f>
        <v>1997.08212581008</v>
      </c>
      <c r="L273" s="45" t="n">
        <f aca="false">E273/FX_EUR</f>
        <v>3994.16425162015</v>
      </c>
      <c r="M273" s="45" t="n">
        <f aca="false">F273/FX_EUR</f>
        <v>6006.49127915397</v>
      </c>
      <c r="N273" s="45" t="n">
        <f aca="false">G273/FX_EUR</f>
        <v>6997.40989119714</v>
      </c>
      <c r="O273" s="45" t="n">
        <f aca="false">H273/FX_EUR</f>
        <v>8003.57340496405</v>
      </c>
    </row>
    <row r="274" customFormat="false" ht="15" hidden="false" customHeight="false" outlineLevel="0" collapsed="false">
      <c r="B274" s="12" t="s">
        <v>716</v>
      </c>
      <c r="C274" s="14" t="s">
        <v>104</v>
      </c>
      <c r="D274" s="39" t="n">
        <v>0</v>
      </c>
      <c r="E274" s="39" t="n">
        <v>1310000</v>
      </c>
      <c r="F274" s="39" t="n">
        <v>2620000</v>
      </c>
      <c r="G274" s="39" t="n">
        <v>3280000</v>
      </c>
      <c r="H274" s="39" t="n">
        <v>3940000</v>
      </c>
      <c r="I274" s="14" t="s">
        <v>694</v>
      </c>
      <c r="K274" s="45" t="n">
        <f aca="false">D274/FX_EUR</f>
        <v>0</v>
      </c>
      <c r="L274" s="45" t="n">
        <f aca="false">E274/FX_EUR</f>
        <v>1997.08212581008</v>
      </c>
      <c r="M274" s="45" t="n">
        <f aca="false">F274/FX_EUR</f>
        <v>3994.16425162015</v>
      </c>
      <c r="N274" s="45" t="n">
        <f aca="false">G274/FX_EUR</f>
        <v>5000.32776538706</v>
      </c>
      <c r="O274" s="45" t="n">
        <f aca="false">H274/FX_EUR</f>
        <v>6006.49127915397</v>
      </c>
    </row>
    <row r="275" customFormat="false" ht="15" hidden="false" customHeight="false" outlineLevel="0" collapsed="false">
      <c r="B275" s="12" t="s">
        <v>717</v>
      </c>
      <c r="C275" s="14" t="s">
        <v>676</v>
      </c>
      <c r="D275" s="39" t="n">
        <v>16400000</v>
      </c>
      <c r="E275" s="39" t="n">
        <v>5250000</v>
      </c>
      <c r="F275" s="39" t="n">
        <v>6560000</v>
      </c>
      <c r="G275" s="39" t="n">
        <v>6560000</v>
      </c>
      <c r="H275" s="39" t="n">
        <v>6560000</v>
      </c>
      <c r="I275" s="14" t="s">
        <v>718</v>
      </c>
      <c r="K275" s="45" t="n">
        <f aca="false">D275/FX_EUR</f>
        <v>25001.6388269353</v>
      </c>
      <c r="L275" s="45" t="n">
        <f aca="false">E275/FX_EUR</f>
        <v>8003.57340496405</v>
      </c>
      <c r="M275" s="45" t="n">
        <f aca="false">F275/FX_EUR</f>
        <v>10000.6555307741</v>
      </c>
      <c r="N275" s="45" t="n">
        <f aca="false">G275/FX_EUR</f>
        <v>10000.6555307741</v>
      </c>
      <c r="O275" s="45" t="n">
        <f aca="false">H275/FX_EUR</f>
        <v>10000.6555307741</v>
      </c>
    </row>
    <row r="276" customFormat="false" ht="15" hidden="false" customHeight="false" outlineLevel="0" collapsed="false">
      <c r="B276" s="12" t="s">
        <v>719</v>
      </c>
      <c r="C276" s="14" t="s">
        <v>676</v>
      </c>
      <c r="D276" s="39" t="n">
        <v>9840000</v>
      </c>
      <c r="E276" s="39" t="n">
        <v>19700000</v>
      </c>
      <c r="F276" s="39" t="n">
        <v>29500000</v>
      </c>
      <c r="G276" s="39" t="n">
        <v>36100000</v>
      </c>
      <c r="H276" s="39" t="n">
        <v>42600000</v>
      </c>
      <c r="I276" s="14"/>
      <c r="K276" s="45" t="n">
        <f aca="false">D276/FX_EUR</f>
        <v>15000.9832961612</v>
      </c>
      <c r="L276" s="45" t="n">
        <f aca="false">E276/FX_EUR</f>
        <v>30032.4563957698</v>
      </c>
      <c r="M276" s="45" t="n">
        <f aca="false">F276/FX_EUR</f>
        <v>44972.4600850361</v>
      </c>
      <c r="N276" s="45" t="n">
        <f aca="false">G276/FX_EUR</f>
        <v>55034.0952227051</v>
      </c>
      <c r="O276" s="45" t="n">
        <f aca="false">H276/FX_EUR</f>
        <v>64943.2813431368</v>
      </c>
    </row>
    <row r="277" customFormat="false" ht="15" hidden="false" customHeight="false" outlineLevel="0" collapsed="false">
      <c r="B277" s="8" t="s">
        <v>720</v>
      </c>
    </row>
    <row r="278" customFormat="false" ht="15" hidden="false" customHeight="false" outlineLevel="0" collapsed="false">
      <c r="B278" s="12" t="s">
        <v>721</v>
      </c>
      <c r="C278" s="14" t="s">
        <v>676</v>
      </c>
      <c r="D278" s="39" t="n">
        <v>5250000</v>
      </c>
      <c r="E278" s="39" t="n">
        <v>13100000</v>
      </c>
      <c r="F278" s="39" t="n">
        <v>16400000</v>
      </c>
      <c r="G278" s="39" t="n">
        <v>19700000</v>
      </c>
      <c r="H278" s="39" t="n">
        <v>23000000</v>
      </c>
      <c r="I278" s="14"/>
      <c r="K278" s="45" t="n">
        <f aca="false">D278/FX_EUR</f>
        <v>8003.57340496405</v>
      </c>
      <c r="L278" s="45" t="n">
        <f aca="false">E278/FX_EUR</f>
        <v>19970.8212581008</v>
      </c>
      <c r="M278" s="45" t="n">
        <f aca="false">F278/FX_EUR</f>
        <v>25001.6388269353</v>
      </c>
      <c r="N278" s="45" t="n">
        <f aca="false">G278/FX_EUR</f>
        <v>30032.4563957698</v>
      </c>
      <c r="O278" s="45" t="n">
        <f aca="false">H278/FX_EUR</f>
        <v>35063.2739646044</v>
      </c>
    </row>
    <row r="279" customFormat="false" ht="15" hidden="false" customHeight="false" outlineLevel="0" collapsed="false">
      <c r="B279" s="12" t="s">
        <v>722</v>
      </c>
      <c r="C279" s="14" t="s">
        <v>104</v>
      </c>
      <c r="D279" s="39" t="n">
        <v>300000</v>
      </c>
      <c r="E279" s="39" t="n">
        <v>450000</v>
      </c>
      <c r="F279" s="39" t="n">
        <v>600000</v>
      </c>
      <c r="G279" s="39" t="n">
        <v>700000</v>
      </c>
      <c r="H279" s="39" t="n">
        <v>800000</v>
      </c>
      <c r="I279" s="14"/>
      <c r="K279" s="45" t="n">
        <f aca="false">D279/FX_EUR</f>
        <v>457.347051712231</v>
      </c>
      <c r="L279" s="45" t="n">
        <f aca="false">E279/FX_EUR</f>
        <v>686.020577568347</v>
      </c>
      <c r="M279" s="45" t="n">
        <f aca="false">F279/FX_EUR</f>
        <v>914.694103424462</v>
      </c>
      <c r="N279" s="45" t="n">
        <f aca="false">G279/FX_EUR</f>
        <v>1067.14312066187</v>
      </c>
      <c r="O279" s="45" t="n">
        <f aca="false">H279/FX_EUR</f>
        <v>1219.59213789928</v>
      </c>
    </row>
    <row r="281" customFormat="false" ht="15" hidden="false" customHeight="false" outlineLevel="0" collapsed="false">
      <c r="B281" s="36" t="s">
        <v>723</v>
      </c>
      <c r="C281" s="36" t="s">
        <v>182</v>
      </c>
      <c r="D281" s="36" t="s">
        <v>266</v>
      </c>
      <c r="E281" s="36" t="s">
        <v>267</v>
      </c>
      <c r="F281" s="36" t="s">
        <v>268</v>
      </c>
      <c r="G281" s="36" t="s">
        <v>269</v>
      </c>
      <c r="H281" s="36" t="s">
        <v>270</v>
      </c>
      <c r="I281" s="36" t="s">
        <v>271</v>
      </c>
    </row>
    <row r="282" customFormat="false" ht="15" hidden="false" customHeight="false" outlineLevel="0" collapsed="false">
      <c r="B282" s="12" t="s">
        <v>724</v>
      </c>
      <c r="C282" s="14" t="s">
        <v>77</v>
      </c>
      <c r="D282" s="39" t="n">
        <v>0</v>
      </c>
      <c r="H282" s="45" t="n">
        <f aca="false">D282/FX_EUR</f>
        <v>0</v>
      </c>
      <c r="I282" s="14"/>
    </row>
    <row r="283" customFormat="false" ht="15" hidden="false" customHeight="false" outlineLevel="0" collapsed="false">
      <c r="B283" s="12" t="s">
        <v>725</v>
      </c>
      <c r="C283" s="14" t="s">
        <v>77</v>
      </c>
      <c r="D283" s="39" t="n">
        <v>60000000</v>
      </c>
      <c r="H283" s="45" t="n">
        <f aca="false">D283/FX_EUR</f>
        <v>91469.4103424462</v>
      </c>
      <c r="I283" s="14" t="s">
        <v>726</v>
      </c>
    </row>
    <row r="284" customFormat="false" ht="15" hidden="false" customHeight="false" outlineLevel="0" collapsed="false">
      <c r="B284" s="12" t="s">
        <v>727</v>
      </c>
      <c r="C284" s="14" t="s">
        <v>77</v>
      </c>
      <c r="D284" s="39" t="n">
        <v>650000000</v>
      </c>
      <c r="H284" s="45" t="n">
        <f aca="false">D284/FX_EUR</f>
        <v>990918.612043168</v>
      </c>
      <c r="I284" s="14" t="s">
        <v>728</v>
      </c>
    </row>
    <row r="285" customFormat="false" ht="15" hidden="false" customHeight="false" outlineLevel="0" collapsed="false">
      <c r="B285" s="12" t="s">
        <v>729</v>
      </c>
      <c r="C285" s="14" t="s">
        <v>74</v>
      </c>
      <c r="D285" s="41" t="n">
        <v>1</v>
      </c>
      <c r="I285" s="14"/>
    </row>
    <row r="286" customFormat="false" ht="15" hidden="false" customHeight="false" outlineLevel="0" collapsed="false">
      <c r="B286" s="12" t="s">
        <v>730</v>
      </c>
      <c r="C286" s="14" t="s">
        <v>77</v>
      </c>
      <c r="D286" s="39" t="n">
        <v>900000000</v>
      </c>
      <c r="H286" s="45" t="n">
        <f aca="false">D286/FX_EUR</f>
        <v>1372041.15513669</v>
      </c>
      <c r="I286" s="14" t="s">
        <v>731</v>
      </c>
    </row>
    <row r="287" customFormat="false" ht="15" hidden="false" customHeight="false" outlineLevel="0" collapsed="false">
      <c r="B287" s="12" t="s">
        <v>732</v>
      </c>
      <c r="C287" s="14" t="s">
        <v>74</v>
      </c>
      <c r="D287" s="41" t="n">
        <v>15</v>
      </c>
      <c r="I287" s="14"/>
    </row>
    <row r="288" customFormat="false" ht="15" hidden="false" customHeight="false" outlineLevel="0" collapsed="false">
      <c r="B288" s="12" t="s">
        <v>733</v>
      </c>
      <c r="C288" s="14" t="s">
        <v>77</v>
      </c>
      <c r="D288" s="39" t="n">
        <v>1200000000</v>
      </c>
      <c r="H288" s="45" t="n">
        <f aca="false">D288/FX_EUR</f>
        <v>1829388.20684892</v>
      </c>
      <c r="I288" s="14"/>
    </row>
    <row r="289" customFormat="false" ht="15" hidden="false" customHeight="false" outlineLevel="0" collapsed="false">
      <c r="B289" s="12" t="s">
        <v>734</v>
      </c>
      <c r="C289" s="14" t="s">
        <v>74</v>
      </c>
      <c r="D289" s="41" t="n">
        <v>24</v>
      </c>
      <c r="I289" s="14" t="s">
        <v>735</v>
      </c>
    </row>
    <row r="290" customFormat="false" ht="15" hidden="false" customHeight="false" outlineLevel="0" collapsed="false">
      <c r="B290" s="12" t="s">
        <v>736</v>
      </c>
      <c r="C290" s="14" t="s">
        <v>77</v>
      </c>
      <c r="D290" s="39" t="n">
        <v>1200000000</v>
      </c>
      <c r="H290" s="45" t="n">
        <f aca="false">D290/FX_EUR</f>
        <v>1829388.20684892</v>
      </c>
      <c r="I290"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737</v>
      </c>
    </row>
    <row r="2" customFormat="false" ht="15" hidden="false" customHeight="false" outlineLevel="0" collapsed="false">
      <c r="A2" s="2" t="s">
        <v>738</v>
      </c>
    </row>
    <row r="5" customFormat="false" ht="15" hidden="false" customHeight="false" outlineLevel="0" collapsed="false">
      <c r="A5" s="27" t="s">
        <v>739</v>
      </c>
    </row>
    <row r="6" customFormat="false" ht="15" hidden="false" customHeight="false" outlineLevel="0" collapsed="false">
      <c r="A6" s="2" t="s">
        <v>740</v>
      </c>
    </row>
    <row r="7" customFormat="false" ht="30" hidden="false" customHeight="true" outlineLevel="0" collapsed="false">
      <c r="A7" s="28" t="s">
        <v>741</v>
      </c>
      <c r="B7" s="28" t="s">
        <v>742</v>
      </c>
      <c r="C7" s="28" t="s">
        <v>743</v>
      </c>
      <c r="D7" s="28" t="s">
        <v>744</v>
      </c>
      <c r="E7" s="28" t="s">
        <v>745</v>
      </c>
      <c r="F7" s="28" t="s">
        <v>746</v>
      </c>
      <c r="G7" s="28" t="s">
        <v>747</v>
      </c>
      <c r="H7" s="28" t="s">
        <v>748</v>
      </c>
      <c r="I7" s="28" t="s">
        <v>749</v>
      </c>
      <c r="J7" s="28" t="s">
        <v>750</v>
      </c>
      <c r="K7" s="28" t="s">
        <v>751</v>
      </c>
      <c r="L7" s="28" t="s">
        <v>752</v>
      </c>
    </row>
    <row r="8" customFormat="false" ht="15" hidden="false" customHeight="false" outlineLevel="0" collapsed="false">
      <c r="A8" s="49" t="str">
        <f aca="false">'Hiring plan'!C5</f>
        <v>CEO (full salary from year 2)</v>
      </c>
      <c r="B8" s="30" t="str">
        <f aca="false">'Hiring plan'!D5</f>
        <v>SN</v>
      </c>
      <c r="C8" s="12" t="str">
        <f aca="false">'Hiring plan'!J5</f>
        <v>Y</v>
      </c>
      <c r="D8" s="32" t="n">
        <f aca="false">'Hiring plan'!I5</f>
        <v>2500000</v>
      </c>
      <c r="E8" s="32" t="n">
        <f aca="false">D8*Employer_Charges</f>
        <v>750000</v>
      </c>
      <c r="F8" s="32" t="n">
        <f aca="false">D8+E8</f>
        <v>3250000</v>
      </c>
      <c r="G8" s="32" t="n">
        <f aca="false">Regus_EUR*FX_EUR</f>
        <v>196787.1</v>
      </c>
      <c r="H8" s="32" t="n">
        <f aca="false">Phone_Cost</f>
        <v>5000</v>
      </c>
      <c r="I8" s="32" t="n">
        <f aca="false">(Gmail_USD+ClickUp_USD)*FX_USD</f>
        <v>10440</v>
      </c>
      <c r="J8" s="32" t="n">
        <f aca="false">IF('Hiring plan'!B5="Engineering &amp; product",Claude_USD*FX_USD,0)</f>
        <v>0</v>
      </c>
      <c r="K8" s="32" t="n">
        <f aca="false">SUM(F8:J8)</f>
        <v>3462227.1</v>
      </c>
      <c r="L8" s="32" t="n">
        <f aca="false">IF('Hiring plan'!B5="Engineering &amp; product",Laptop_Dev_USD*FX_USD,Laptop_EUR*FX_EUR)+IF(C8="Y",Agency_Fee_EUR*FX_EUR,0)</f>
        <v>852744.1</v>
      </c>
    </row>
    <row r="9" customFormat="false" ht="15" hidden="false" customHeight="false" outlineLevel="0" collapsed="false">
      <c r="A9" s="2" t="s">
        <v>127</v>
      </c>
      <c r="D9" s="31" t="n">
        <f aca="false">IF(ISNUMBER(D8),D8/FX_EUR,"")</f>
        <v>3811.22543093526</v>
      </c>
      <c r="E9" s="31" t="n">
        <f aca="false">IF(ISNUMBER(E8),E8/FX_EUR,"")</f>
        <v>1143.36762928058</v>
      </c>
      <c r="F9" s="31" t="n">
        <f aca="false">IF(ISNUMBER(F8),F8/FX_EUR,"")</f>
        <v>4954.59306021584</v>
      </c>
      <c r="G9" s="31" t="n">
        <f aca="false">IF(ISNUMBER(G8),G8/FX_EUR,"")</f>
        <v>300</v>
      </c>
      <c r="H9" s="31" t="n">
        <f aca="false">IF(ISNUMBER(H8),H8/FX_EUR,"")</f>
        <v>7.62245086187052</v>
      </c>
      <c r="I9" s="31" t="n">
        <f aca="false">IF(ISNUMBER(I8),I8/FX_EUR,"")</f>
        <v>15.9156773995856</v>
      </c>
      <c r="J9" s="31" t="n">
        <f aca="false">IF(ISNUMBER(J8),J8/FX_EUR,"")</f>
        <v>0</v>
      </c>
      <c r="K9" s="31" t="n">
        <f aca="false">IF(ISNUMBER(K8),K8/FX_EUR,"")</f>
        <v>5278.13118847729</v>
      </c>
      <c r="L9" s="31" t="n">
        <f aca="false">IF(ISNUMBER(L8),L8/FX_EUR,"")</f>
        <v>1300</v>
      </c>
    </row>
    <row r="10" customFormat="false" ht="15" hidden="false" customHeight="false" outlineLevel="0" collapsed="false">
      <c r="A10" s="49" t="str">
        <f aca="false">'Hiring plan'!C6</f>
        <v>CTO (also codes)</v>
      </c>
      <c r="B10" s="30" t="str">
        <f aca="false">'Hiring plan'!D6</f>
        <v>SN</v>
      </c>
      <c r="C10" s="12" t="str">
        <f aca="false">'Hiring plan'!J6</f>
        <v>Y</v>
      </c>
      <c r="D10" s="32" t="n">
        <f aca="false">'Hiring plan'!I6</f>
        <v>2500000</v>
      </c>
      <c r="E10" s="32" t="n">
        <f aca="false">D10*Employer_Charges</f>
        <v>750000</v>
      </c>
      <c r="F10" s="32" t="n">
        <f aca="false">D10+E10</f>
        <v>3250000</v>
      </c>
      <c r="G10" s="32" t="n">
        <f aca="false">Regus_EUR*FX_EUR</f>
        <v>196787.1</v>
      </c>
      <c r="H10" s="32" t="n">
        <f aca="false">Phone_Cost</f>
        <v>5000</v>
      </c>
      <c r="I10" s="32" t="n">
        <f aca="false">(Gmail_USD+ClickUp_USD)*FX_USD</f>
        <v>10440</v>
      </c>
      <c r="J10" s="32" t="n">
        <f aca="false">IF('Hiring plan'!B6="Engineering &amp; product",Claude_USD*FX_USD,0)</f>
        <v>14500</v>
      </c>
      <c r="K10" s="32" t="n">
        <f aca="false">SUM(F10:J10)</f>
        <v>3476727.1</v>
      </c>
      <c r="L10" s="32" t="n">
        <f aca="false">IF('Hiring plan'!B6="Engineering &amp; product",Laptop_Dev_USD*FX_USD,Laptop_EUR*FX_EUR)+IF(C10="Y",Agency_Fee_EUR*FX_EUR,0)</f>
        <v>1684765.6</v>
      </c>
    </row>
    <row r="11" customFormat="false" ht="15" hidden="false" customHeight="false" outlineLevel="0" collapsed="false">
      <c r="A11" s="2" t="s">
        <v>127</v>
      </c>
      <c r="D11" s="31" t="n">
        <f aca="false">IF(ISNUMBER(D10),D10/FX_EUR,"")</f>
        <v>3811.22543093526</v>
      </c>
      <c r="E11" s="31" t="n">
        <f aca="false">IF(ISNUMBER(E10),E10/FX_EUR,"")</f>
        <v>1143.36762928058</v>
      </c>
      <c r="F11" s="31" t="n">
        <f aca="false">IF(ISNUMBER(F10),F10/FX_EUR,"")</f>
        <v>4954.59306021584</v>
      </c>
      <c r="G11" s="31" t="n">
        <f aca="false">IF(ISNUMBER(G10),G10/FX_EUR,"")</f>
        <v>300</v>
      </c>
      <c r="H11" s="31" t="n">
        <f aca="false">IF(ISNUMBER(H10),H10/FX_EUR,"")</f>
        <v>7.62245086187052</v>
      </c>
      <c r="I11" s="31" t="n">
        <f aca="false">IF(ISNUMBER(I10),I10/FX_EUR,"")</f>
        <v>15.9156773995856</v>
      </c>
      <c r="J11" s="31" t="n">
        <f aca="false">IF(ISNUMBER(J10),J10/FX_EUR,"")</f>
        <v>22.1051074994245</v>
      </c>
      <c r="K11" s="31" t="n">
        <f aca="false">IF(ISNUMBER(K10),K10/FX_EUR,"")</f>
        <v>5300.23629597672</v>
      </c>
      <c r="L11" s="31" t="n">
        <f aca="false">IF(ISNUMBER(L10),L10/FX_EUR,"")</f>
        <v>2568.40859995396</v>
      </c>
    </row>
    <row r="12" customFormat="false" ht="15" hidden="false" customHeight="false" outlineLevel="0" collapsed="false">
      <c r="A12" s="49" t="str">
        <f aca="false">'Hiring plan'!C7</f>
        <v>Financial expert (finance, partners, credit lead)</v>
      </c>
      <c r="B12" s="30" t="str">
        <f aca="false">'Hiring plan'!D7</f>
        <v>SN</v>
      </c>
      <c r="C12" s="12" t="str">
        <f aca="false">'Hiring plan'!J7</f>
        <v>Y</v>
      </c>
      <c r="D12" s="32" t="n">
        <f aca="false">'Hiring plan'!I7</f>
        <v>1500000</v>
      </c>
      <c r="E12" s="32" t="n">
        <f aca="false">D12*Employer_Charges</f>
        <v>450000</v>
      </c>
      <c r="F12" s="32" t="n">
        <f aca="false">D12+E12</f>
        <v>1950000</v>
      </c>
      <c r="G12" s="32" t="n">
        <f aca="false">Regus_EUR*FX_EUR</f>
        <v>196787.1</v>
      </c>
      <c r="H12" s="32" t="n">
        <f aca="false">Phone_Cost</f>
        <v>5000</v>
      </c>
      <c r="I12" s="32" t="n">
        <f aca="false">(Gmail_USD+ClickUp_USD)*FX_USD</f>
        <v>10440</v>
      </c>
      <c r="J12" s="32" t="n">
        <f aca="false">IF('Hiring plan'!B7="Engineering &amp; product",Claude_USD*FX_USD,0)</f>
        <v>0</v>
      </c>
      <c r="K12" s="32" t="n">
        <f aca="false">SUM(F12:J12)</f>
        <v>2162227.1</v>
      </c>
      <c r="L12" s="32" t="n">
        <f aca="false">IF('Hiring plan'!B7="Engineering &amp; product",Laptop_Dev_USD*FX_USD,Laptop_EUR*FX_EUR)+IF(C12="Y",Agency_Fee_EUR*FX_EUR,0)</f>
        <v>852744.1</v>
      </c>
    </row>
    <row r="13" customFormat="false" ht="15" hidden="false" customHeight="false" outlineLevel="0" collapsed="false">
      <c r="A13" s="2" t="s">
        <v>127</v>
      </c>
      <c r="D13" s="31" t="n">
        <f aca="false">IF(ISNUMBER(D12),D12/FX_EUR,"")</f>
        <v>2286.73525856116</v>
      </c>
      <c r="E13" s="31" t="n">
        <f aca="false">IF(ISNUMBER(E12),E12/FX_EUR,"")</f>
        <v>686.020577568347</v>
      </c>
      <c r="F13" s="31" t="n">
        <f aca="false">IF(ISNUMBER(F12),F12/FX_EUR,"")</f>
        <v>2972.7558361295</v>
      </c>
      <c r="G13" s="31" t="n">
        <f aca="false">IF(ISNUMBER(G12),G12/FX_EUR,"")</f>
        <v>300</v>
      </c>
      <c r="H13" s="31" t="n">
        <f aca="false">IF(ISNUMBER(H12),H12/FX_EUR,"")</f>
        <v>7.62245086187052</v>
      </c>
      <c r="I13" s="31" t="n">
        <f aca="false">IF(ISNUMBER(I12),I12/FX_EUR,"")</f>
        <v>15.9156773995856</v>
      </c>
      <c r="J13" s="31" t="n">
        <f aca="false">IF(ISNUMBER(J12),J12/FX_EUR,"")</f>
        <v>0</v>
      </c>
      <c r="K13" s="31" t="n">
        <f aca="false">IF(ISNUMBER(K12),K12/FX_EUR,"")</f>
        <v>3296.29396439096</v>
      </c>
      <c r="L13" s="31" t="n">
        <f aca="false">IF(ISNUMBER(L12),L12/FX_EUR,"")</f>
        <v>1300</v>
      </c>
    </row>
    <row r="14" customFormat="false" ht="15" hidden="false" customHeight="false" outlineLevel="0" collapsed="false">
      <c r="A14" s="49" t="str">
        <f aca="false">'Hiring plan'!C8</f>
        <v>Sales lead (also sells; incl. bonus)</v>
      </c>
      <c r="B14" s="30" t="str">
        <f aca="false">'Hiring plan'!D8</f>
        <v>SN</v>
      </c>
      <c r="C14" s="12" t="str">
        <f aca="false">'Hiring plan'!J8</f>
        <v>N</v>
      </c>
      <c r="D14" s="32" t="n">
        <f aca="false">'Hiring plan'!I8</f>
        <v>1200000</v>
      </c>
      <c r="E14" s="32" t="n">
        <f aca="false">D14*Employer_Charges</f>
        <v>360000</v>
      </c>
      <c r="F14" s="32" t="n">
        <f aca="false">D14+E14</f>
        <v>1560000</v>
      </c>
      <c r="G14" s="32" t="n">
        <f aca="false">Regus_EUR*FX_EUR</f>
        <v>196787.1</v>
      </c>
      <c r="H14" s="32" t="n">
        <f aca="false">Phone_Cost</f>
        <v>5000</v>
      </c>
      <c r="I14" s="32" t="n">
        <f aca="false">(Gmail_USD+ClickUp_USD)*FX_USD</f>
        <v>10440</v>
      </c>
      <c r="J14" s="32" t="n">
        <f aca="false">IF('Hiring plan'!B8="Engineering &amp; product",Claude_USD*FX_USD,0)</f>
        <v>0</v>
      </c>
      <c r="K14" s="32" t="n">
        <f aca="false">SUM(F14:J14)</f>
        <v>1772227.1</v>
      </c>
      <c r="L14" s="32" t="n">
        <f aca="false">IF('Hiring plan'!B8="Engineering &amp; product",Laptop_Dev_USD*FX_USD,Laptop_EUR*FX_EUR)+IF(C14="Y",Agency_Fee_EUR*FX_EUR,0)</f>
        <v>327978.5</v>
      </c>
    </row>
    <row r="15" customFormat="false" ht="15" hidden="false" customHeight="false" outlineLevel="0" collapsed="false">
      <c r="A15" s="2" t="s">
        <v>127</v>
      </c>
      <c r="D15" s="31" t="n">
        <f aca="false">IF(ISNUMBER(D14),D14/FX_EUR,"")</f>
        <v>1829.38820684892</v>
      </c>
      <c r="E15" s="31" t="n">
        <f aca="false">IF(ISNUMBER(E14),E14/FX_EUR,"")</f>
        <v>548.816462054677</v>
      </c>
      <c r="F15" s="31" t="n">
        <f aca="false">IF(ISNUMBER(F14),F14/FX_EUR,"")</f>
        <v>2378.2046689036</v>
      </c>
      <c r="G15" s="31" t="n">
        <f aca="false">IF(ISNUMBER(G14),G14/FX_EUR,"")</f>
        <v>300</v>
      </c>
      <c r="H15" s="31" t="n">
        <f aca="false">IF(ISNUMBER(H14),H14/FX_EUR,"")</f>
        <v>7.62245086187052</v>
      </c>
      <c r="I15" s="31" t="n">
        <f aca="false">IF(ISNUMBER(I14),I14/FX_EUR,"")</f>
        <v>15.9156773995856</v>
      </c>
      <c r="J15" s="31" t="n">
        <f aca="false">IF(ISNUMBER(J14),J14/FX_EUR,"")</f>
        <v>0</v>
      </c>
      <c r="K15" s="31" t="n">
        <f aca="false">IF(ISNUMBER(K14),K14/FX_EUR,"")</f>
        <v>2701.74279716506</v>
      </c>
      <c r="L15" s="31" t="n">
        <f aca="false">IF(ISNUMBER(L14),L14/FX_EUR,"")</f>
        <v>500</v>
      </c>
    </row>
    <row r="16" customFormat="false" ht="15" hidden="false" customHeight="false" outlineLevel="0" collapsed="false">
      <c r="A16" s="49" t="str">
        <f aca="false">'Hiring plan'!C9</f>
        <v>Marketing manager (senior)</v>
      </c>
      <c r="B16" s="30" t="str">
        <f aca="false">'Hiring plan'!D9</f>
        <v>SN</v>
      </c>
      <c r="C16" s="12" t="str">
        <f aca="false">'Hiring plan'!J9</f>
        <v>N</v>
      </c>
      <c r="D16" s="32" t="n">
        <f aca="false">'Hiring plan'!I9</f>
        <v>900000</v>
      </c>
      <c r="E16" s="32" t="n">
        <f aca="false">D16*Employer_Charges</f>
        <v>270000</v>
      </c>
      <c r="F16" s="32" t="n">
        <f aca="false">D16+E16</f>
        <v>1170000</v>
      </c>
      <c r="G16" s="32" t="n">
        <f aca="false">Regus_EUR*FX_EUR</f>
        <v>196787.1</v>
      </c>
      <c r="H16" s="32" t="n">
        <f aca="false">Phone_Cost</f>
        <v>5000</v>
      </c>
      <c r="I16" s="32" t="n">
        <f aca="false">(Gmail_USD+ClickUp_USD)*FX_USD</f>
        <v>10440</v>
      </c>
      <c r="J16" s="32" t="n">
        <f aca="false">IF('Hiring plan'!B9="Engineering &amp; product",Claude_USD*FX_USD,0)</f>
        <v>0</v>
      </c>
      <c r="K16" s="32" t="n">
        <f aca="false">SUM(F16:J16)</f>
        <v>1382227.1</v>
      </c>
      <c r="L16" s="32" t="n">
        <f aca="false">IF('Hiring plan'!B9="Engineering &amp; product",Laptop_Dev_USD*FX_USD,Laptop_EUR*FX_EUR)+IF(C16="Y",Agency_Fee_EUR*FX_EUR,0)</f>
        <v>327978.5</v>
      </c>
    </row>
    <row r="17" customFormat="false" ht="15" hidden="false" customHeight="false" outlineLevel="0" collapsed="false">
      <c r="A17" s="2" t="s">
        <v>127</v>
      </c>
      <c r="D17" s="31" t="n">
        <f aca="false">IF(ISNUMBER(D16),D16/FX_EUR,"")</f>
        <v>1372.04115513669</v>
      </c>
      <c r="E17" s="31" t="n">
        <f aca="false">IF(ISNUMBER(E16),E16/FX_EUR,"")</f>
        <v>411.612346541008</v>
      </c>
      <c r="F17" s="31" t="n">
        <f aca="false">IF(ISNUMBER(F16),F16/FX_EUR,"")</f>
        <v>1783.6535016777</v>
      </c>
      <c r="G17" s="31" t="n">
        <f aca="false">IF(ISNUMBER(G16),G16/FX_EUR,"")</f>
        <v>300</v>
      </c>
      <c r="H17" s="31" t="n">
        <f aca="false">IF(ISNUMBER(H16),H16/FX_EUR,"")</f>
        <v>7.62245086187052</v>
      </c>
      <c r="I17" s="31" t="n">
        <f aca="false">IF(ISNUMBER(I16),I16/FX_EUR,"")</f>
        <v>15.9156773995856</v>
      </c>
      <c r="J17" s="31" t="n">
        <f aca="false">IF(ISNUMBER(J16),J16/FX_EUR,"")</f>
        <v>0</v>
      </c>
      <c r="K17" s="31" t="n">
        <f aca="false">IF(ISNUMBER(K16),K16/FX_EUR,"")</f>
        <v>2107.19162993916</v>
      </c>
      <c r="L17" s="31" t="n">
        <f aca="false">IF(ISNUMBER(L16),L16/FX_EUR,"")</f>
        <v>500</v>
      </c>
    </row>
    <row r="18" customFormat="false" ht="15" hidden="false" customHeight="false" outlineLevel="0" collapsed="false">
      <c r="A18" s="49" t="str">
        <f aca="false">'Hiring plan'!C10</f>
        <v>Marketing officer (junior)</v>
      </c>
      <c r="B18" s="30" t="str">
        <f aca="false">'Hiring plan'!D10</f>
        <v>SN</v>
      </c>
      <c r="C18" s="12" t="str">
        <f aca="false">'Hiring plan'!J10</f>
        <v>N</v>
      </c>
      <c r="D18" s="32" t="n">
        <f aca="false">'Hiring plan'!I10</f>
        <v>400000</v>
      </c>
      <c r="E18" s="32" t="n">
        <f aca="false">D18*Employer_Charges</f>
        <v>120000</v>
      </c>
      <c r="F18" s="32" t="n">
        <f aca="false">D18+E18</f>
        <v>520000</v>
      </c>
      <c r="G18" s="32" t="n">
        <f aca="false">Regus_EUR*FX_EUR</f>
        <v>196787.1</v>
      </c>
      <c r="H18" s="32" t="n">
        <f aca="false">Phone_Cost</f>
        <v>5000</v>
      </c>
      <c r="I18" s="32" t="n">
        <f aca="false">(Gmail_USD+ClickUp_USD)*FX_USD</f>
        <v>10440</v>
      </c>
      <c r="J18" s="32" t="n">
        <f aca="false">IF('Hiring plan'!B10="Engineering &amp; product",Claude_USD*FX_USD,0)</f>
        <v>0</v>
      </c>
      <c r="K18" s="32" t="n">
        <f aca="false">SUM(F18:J18)</f>
        <v>732227.1</v>
      </c>
      <c r="L18" s="32" t="n">
        <f aca="false">IF('Hiring plan'!B10="Engineering &amp; product",Laptop_Dev_USD*FX_USD,Laptop_EUR*FX_EUR)+IF(C18="Y",Agency_Fee_EUR*FX_EUR,0)</f>
        <v>327978.5</v>
      </c>
    </row>
    <row r="19" customFormat="false" ht="15" hidden="false" customHeight="false" outlineLevel="0" collapsed="false">
      <c r="A19" s="2" t="s">
        <v>127</v>
      </c>
      <c r="D19" s="31" t="n">
        <f aca="false">IF(ISNUMBER(D18),D18/FX_EUR,"")</f>
        <v>609.796068949642</v>
      </c>
      <c r="E19" s="31" t="n">
        <f aca="false">IF(ISNUMBER(E18),E18/FX_EUR,"")</f>
        <v>182.938820684892</v>
      </c>
      <c r="F19" s="31" t="n">
        <f aca="false">IF(ISNUMBER(F18),F18/FX_EUR,"")</f>
        <v>792.734889634534</v>
      </c>
      <c r="G19" s="31" t="n">
        <f aca="false">IF(ISNUMBER(G18),G18/FX_EUR,"")</f>
        <v>300</v>
      </c>
      <c r="H19" s="31" t="n">
        <f aca="false">IF(ISNUMBER(H18),H18/FX_EUR,"")</f>
        <v>7.62245086187052</v>
      </c>
      <c r="I19" s="31" t="n">
        <f aca="false">IF(ISNUMBER(I18),I18/FX_EUR,"")</f>
        <v>15.9156773995856</v>
      </c>
      <c r="J19" s="31" t="n">
        <f aca="false">IF(ISNUMBER(J18),J18/FX_EUR,"")</f>
        <v>0</v>
      </c>
      <c r="K19" s="31" t="n">
        <f aca="false">IF(ISNUMBER(K18),K18/FX_EUR,"")</f>
        <v>1116.27301789599</v>
      </c>
      <c r="L19" s="31" t="n">
        <f aca="false">IF(ISNUMBER(L18),L18/FX_EUR,"")</f>
        <v>500</v>
      </c>
    </row>
    <row r="20" customFormat="false" ht="15" hidden="false" customHeight="false" outlineLevel="0" collapsed="false">
      <c r="A20" s="49" t="str">
        <f aca="false">'Hiring plan'!C11</f>
        <v>Country manager, Abidjan</v>
      </c>
      <c r="B20" s="30" t="str">
        <f aca="false">'Hiring plan'!D11</f>
        <v>CI</v>
      </c>
      <c r="C20" s="12" t="str">
        <f aca="false">'Hiring plan'!J11</f>
        <v>Y</v>
      </c>
      <c r="D20" s="32" t="n">
        <f aca="false">'Hiring plan'!I11</f>
        <v>2800000</v>
      </c>
      <c r="E20" s="32" t="n">
        <f aca="false">D20*Employer_Charges</f>
        <v>840000</v>
      </c>
      <c r="F20" s="32" t="n">
        <f aca="false">D20+E20</f>
        <v>3640000</v>
      </c>
      <c r="G20" s="32" t="n">
        <f aca="false">Regus_EUR*FX_EUR</f>
        <v>196787.1</v>
      </c>
      <c r="H20" s="32" t="n">
        <f aca="false">Phone_Cost</f>
        <v>5000</v>
      </c>
      <c r="I20" s="32" t="n">
        <f aca="false">(Gmail_USD+ClickUp_USD)*FX_USD</f>
        <v>10440</v>
      </c>
      <c r="J20" s="32" t="n">
        <f aca="false">IF('Hiring plan'!B11="Engineering &amp; product",Claude_USD*FX_USD,0)</f>
        <v>0</v>
      </c>
      <c r="K20" s="32" t="n">
        <f aca="false">SUM(F20:J20)</f>
        <v>3852227.1</v>
      </c>
      <c r="L20" s="32" t="n">
        <f aca="false">IF('Hiring plan'!B11="Engineering &amp; product",Laptop_Dev_USD*FX_USD,Laptop_EUR*FX_EUR)+IF(C20="Y",Agency_Fee_EUR*FX_EUR,0)</f>
        <v>852744.1</v>
      </c>
    </row>
    <row r="21" customFormat="false" ht="15" hidden="false" customHeight="false" outlineLevel="0" collapsed="false">
      <c r="A21" s="2" t="s">
        <v>127</v>
      </c>
      <c r="D21" s="31" t="n">
        <f aca="false">IF(ISNUMBER(D20),D20/FX_EUR,"")</f>
        <v>4268.57248264749</v>
      </c>
      <c r="E21" s="31" t="n">
        <f aca="false">IF(ISNUMBER(E20),E20/FX_EUR,"")</f>
        <v>1280.57174479425</v>
      </c>
      <c r="F21" s="31" t="n">
        <f aca="false">IF(ISNUMBER(F20),F20/FX_EUR,"")</f>
        <v>5549.14422744174</v>
      </c>
      <c r="G21" s="31" t="n">
        <f aca="false">IF(ISNUMBER(G20),G20/FX_EUR,"")</f>
        <v>300</v>
      </c>
      <c r="H21" s="31" t="n">
        <f aca="false">IF(ISNUMBER(H20),H20/FX_EUR,"")</f>
        <v>7.62245086187052</v>
      </c>
      <c r="I21" s="31" t="n">
        <f aca="false">IF(ISNUMBER(I20),I20/FX_EUR,"")</f>
        <v>15.9156773995856</v>
      </c>
      <c r="J21" s="31" t="n">
        <f aca="false">IF(ISNUMBER(J20),J20/FX_EUR,"")</f>
        <v>0</v>
      </c>
      <c r="K21" s="31" t="n">
        <f aca="false">IF(ISNUMBER(K20),K20/FX_EUR,"")</f>
        <v>5872.68235570319</v>
      </c>
      <c r="L21" s="31" t="n">
        <f aca="false">IF(ISNUMBER(L20),L20/FX_EUR,"")</f>
        <v>1300</v>
      </c>
    </row>
    <row r="22" customFormat="false" ht="15" hidden="false" customHeight="false" outlineLevel="0" collapsed="false">
      <c r="A22" s="49" t="str">
        <f aca="false">'Hiring plan'!C12</f>
        <v>Compliance officer (AML/CFT)</v>
      </c>
      <c r="B22" s="30" t="str">
        <f aca="false">'Hiring plan'!D12</f>
        <v>SN</v>
      </c>
      <c r="C22" s="12" t="str">
        <f aca="false">'Hiring plan'!J12</f>
        <v>Y</v>
      </c>
      <c r="D22" s="32" t="n">
        <f aca="false">'Hiring plan'!I12</f>
        <v>1500000</v>
      </c>
      <c r="E22" s="32" t="n">
        <f aca="false">D22*Employer_Charges</f>
        <v>450000</v>
      </c>
      <c r="F22" s="32" t="n">
        <f aca="false">D22+E22</f>
        <v>1950000</v>
      </c>
      <c r="G22" s="32" t="n">
        <f aca="false">Regus_EUR*FX_EUR</f>
        <v>196787.1</v>
      </c>
      <c r="H22" s="32" t="n">
        <f aca="false">Phone_Cost</f>
        <v>5000</v>
      </c>
      <c r="I22" s="32" t="n">
        <f aca="false">(Gmail_USD+ClickUp_USD)*FX_USD</f>
        <v>10440</v>
      </c>
      <c r="J22" s="32" t="n">
        <f aca="false">IF('Hiring plan'!B12="Engineering &amp; product",Claude_USD*FX_USD,0)</f>
        <v>0</v>
      </c>
      <c r="K22" s="32" t="n">
        <f aca="false">SUM(F22:J22)</f>
        <v>2162227.1</v>
      </c>
      <c r="L22" s="32" t="n">
        <f aca="false">IF('Hiring plan'!B12="Engineering &amp; product",Laptop_Dev_USD*FX_USD,Laptop_EUR*FX_EUR)+IF(C22="Y",Agency_Fee_EUR*FX_EUR,0)</f>
        <v>852744.1</v>
      </c>
    </row>
    <row r="23" customFormat="false" ht="15" hidden="false" customHeight="false" outlineLevel="0" collapsed="false">
      <c r="A23" s="2" t="s">
        <v>127</v>
      </c>
      <c r="D23" s="31" t="n">
        <f aca="false">IF(ISNUMBER(D22),D22/FX_EUR,"")</f>
        <v>2286.73525856116</v>
      </c>
      <c r="E23" s="31" t="n">
        <f aca="false">IF(ISNUMBER(E22),E22/FX_EUR,"")</f>
        <v>686.020577568347</v>
      </c>
      <c r="F23" s="31" t="n">
        <f aca="false">IF(ISNUMBER(F22),F22/FX_EUR,"")</f>
        <v>2972.7558361295</v>
      </c>
      <c r="G23" s="31" t="n">
        <f aca="false">IF(ISNUMBER(G22),G22/FX_EUR,"")</f>
        <v>300</v>
      </c>
      <c r="H23" s="31" t="n">
        <f aca="false">IF(ISNUMBER(H22),H22/FX_EUR,"")</f>
        <v>7.62245086187052</v>
      </c>
      <c r="I23" s="31" t="n">
        <f aca="false">IF(ISNUMBER(I22),I22/FX_EUR,"")</f>
        <v>15.9156773995856</v>
      </c>
      <c r="J23" s="31" t="n">
        <f aca="false">IF(ISNUMBER(J22),J22/FX_EUR,"")</f>
        <v>0</v>
      </c>
      <c r="K23" s="31" t="n">
        <f aca="false">IF(ISNUMBER(K22),K22/FX_EUR,"")</f>
        <v>3296.29396439096</v>
      </c>
      <c r="L23" s="31" t="n">
        <f aca="false">IF(ISNUMBER(L22),L22/FX_EUR,"")</f>
        <v>1300</v>
      </c>
    </row>
    <row r="24" customFormat="false" ht="15" hidden="false" customHeight="false" outlineLevel="0" collapsed="false">
      <c r="A24" s="12" t="s">
        <v>753</v>
      </c>
      <c r="B24" s="30" t="s">
        <v>754</v>
      </c>
      <c r="C24" s="12" t="str">
        <f aca="false">IF(Agency_Support=1,"Y","N")</f>
        <v>N</v>
      </c>
      <c r="D24" s="32" t="n">
        <f aca="false">Salary_Support</f>
        <v>250000</v>
      </c>
      <c r="E24" s="32" t="n">
        <f aca="false">D24*Employer_Charges</f>
        <v>75000</v>
      </c>
      <c r="F24" s="32" t="n">
        <f aca="false">D24+E24</f>
        <v>325000</v>
      </c>
      <c r="G24" s="32" t="n">
        <f aca="false">Regus_EUR*FX_EUR</f>
        <v>196787.1</v>
      </c>
      <c r="H24" s="32" t="n">
        <f aca="false">Phone_Cost</f>
        <v>5000</v>
      </c>
      <c r="I24" s="32" t="n">
        <f aca="false">(Gmail_USD+ClickUp_USD)*FX_USD</f>
        <v>10440</v>
      </c>
      <c r="J24" s="32" t="n">
        <f aca="false">0</f>
        <v>0</v>
      </c>
      <c r="K24" s="32" t="n">
        <f aca="false">SUM(F24:J24)</f>
        <v>537227.1</v>
      </c>
      <c r="L24" s="32" t="n">
        <f aca="false">IF(FALSE(),Laptop_Dev_USD*FX_USD,Laptop_EUR*FX_EUR)+IF(C24="Y",Agency_Fee_EUR*FX_EUR,0)</f>
        <v>327978.5</v>
      </c>
    </row>
    <row r="25" customFormat="false" ht="15" hidden="false" customHeight="false" outlineLevel="0" collapsed="false">
      <c r="A25" s="2" t="s">
        <v>127</v>
      </c>
      <c r="D25" s="31" t="n">
        <f aca="false">IF(ISNUMBER(D24),D24/FX_EUR,"")</f>
        <v>381.122543093526</v>
      </c>
      <c r="E25" s="31" t="n">
        <f aca="false">IF(ISNUMBER(E24),E24/FX_EUR,"")</f>
        <v>114.336762928058</v>
      </c>
      <c r="F25" s="31" t="n">
        <f aca="false">IF(ISNUMBER(F24),F24/FX_EUR,"")</f>
        <v>495.459306021584</v>
      </c>
      <c r="G25" s="31" t="n">
        <f aca="false">IF(ISNUMBER(G24),G24/FX_EUR,"")</f>
        <v>300</v>
      </c>
      <c r="H25" s="31" t="n">
        <f aca="false">IF(ISNUMBER(H24),H24/FX_EUR,"")</f>
        <v>7.62245086187052</v>
      </c>
      <c r="I25" s="31" t="n">
        <f aca="false">IF(ISNUMBER(I24),I24/FX_EUR,"")</f>
        <v>15.9156773995856</v>
      </c>
      <c r="J25" s="31" t="n">
        <f aca="false">IF(ISNUMBER(J24),J24/FX_EUR,"")</f>
        <v>0</v>
      </c>
      <c r="K25" s="31" t="n">
        <f aca="false">IF(ISNUMBER(K24),K24/FX_EUR,"")</f>
        <v>818.99743428304</v>
      </c>
      <c r="L25" s="31" t="n">
        <f aca="false">IF(ISNUMBER(L24),L24/FX_EUR,"")</f>
        <v>500</v>
      </c>
    </row>
    <row r="26" customFormat="false" ht="15" hidden="false" customHeight="false" outlineLevel="0" collapsed="false">
      <c r="A26" s="12" t="s">
        <v>755</v>
      </c>
      <c r="B26" s="30" t="s">
        <v>754</v>
      </c>
      <c r="C26" s="12" t="str">
        <f aca="false">IF(Agency_Dev=1,"Y","N")</f>
        <v>Y</v>
      </c>
      <c r="D26" s="32" t="n">
        <f aca="false">Salary_Dev</f>
        <v>1200000</v>
      </c>
      <c r="E26" s="32" t="n">
        <f aca="false">D26*Employer_Charges</f>
        <v>360000</v>
      </c>
      <c r="F26" s="32" t="n">
        <f aca="false">D26+E26</f>
        <v>1560000</v>
      </c>
      <c r="G26" s="32" t="n">
        <f aca="false">Regus_EUR*FX_EUR</f>
        <v>196787.1</v>
      </c>
      <c r="H26" s="32" t="n">
        <f aca="false">Phone_Cost</f>
        <v>5000</v>
      </c>
      <c r="I26" s="32" t="n">
        <f aca="false">(Gmail_USD+ClickUp_USD)*FX_USD</f>
        <v>10440</v>
      </c>
      <c r="J26" s="32" t="n">
        <f aca="false">Claude_USD*FX_USD</f>
        <v>14500</v>
      </c>
      <c r="K26" s="32" t="n">
        <f aca="false">SUM(F26:J26)</f>
        <v>1786727.1</v>
      </c>
      <c r="L26" s="32" t="n">
        <f aca="false">IF(TRUE(),Laptop_Dev_USD*FX_USD,Laptop_EUR*FX_EUR)+IF(C26="Y",Agency_Fee_EUR*FX_EUR,0)</f>
        <v>1684765.6</v>
      </c>
    </row>
    <row r="27" customFormat="false" ht="15" hidden="false" customHeight="false" outlineLevel="0" collapsed="false">
      <c r="A27" s="2" t="s">
        <v>127</v>
      </c>
      <c r="D27" s="31" t="n">
        <f aca="false">IF(ISNUMBER(D26),D26/FX_EUR,"")</f>
        <v>1829.38820684892</v>
      </c>
      <c r="E27" s="31" t="n">
        <f aca="false">IF(ISNUMBER(E26),E26/FX_EUR,"")</f>
        <v>548.816462054677</v>
      </c>
      <c r="F27" s="31" t="n">
        <f aca="false">IF(ISNUMBER(F26),F26/FX_EUR,"")</f>
        <v>2378.2046689036</v>
      </c>
      <c r="G27" s="31" t="n">
        <f aca="false">IF(ISNUMBER(G26),G26/FX_EUR,"")</f>
        <v>300</v>
      </c>
      <c r="H27" s="31" t="n">
        <f aca="false">IF(ISNUMBER(H26),H26/FX_EUR,"")</f>
        <v>7.62245086187052</v>
      </c>
      <c r="I27" s="31" t="n">
        <f aca="false">IF(ISNUMBER(I26),I26/FX_EUR,"")</f>
        <v>15.9156773995856</v>
      </c>
      <c r="J27" s="31" t="n">
        <f aca="false">IF(ISNUMBER(J26),J26/FX_EUR,"")</f>
        <v>22.1051074994245</v>
      </c>
      <c r="K27" s="31" t="n">
        <f aca="false">IF(ISNUMBER(K26),K26/FX_EUR,"")</f>
        <v>2723.84790466448</v>
      </c>
      <c r="L27" s="31" t="n">
        <f aca="false">IF(ISNUMBER(L26),L26/FX_EUR,"")</f>
        <v>2568.40859995396</v>
      </c>
    </row>
    <row r="28" customFormat="false" ht="15" hidden="false" customHeight="false" outlineLevel="0" collapsed="false">
      <c r="A28" s="12" t="s">
        <v>756</v>
      </c>
      <c r="B28" s="30" t="s">
        <v>754</v>
      </c>
      <c r="C28" s="12" t="str">
        <f aca="false">IF(Agency_Rep=1,"Y","N")</f>
        <v>N</v>
      </c>
      <c r="D28" s="32" t="n">
        <f aca="false">Salary_Rep_SN</f>
        <v>400000</v>
      </c>
      <c r="E28" s="32" t="n">
        <f aca="false">D28*Employer_Charges</f>
        <v>120000</v>
      </c>
      <c r="F28" s="32" t="n">
        <f aca="false">D28+E28</f>
        <v>520000</v>
      </c>
      <c r="G28" s="32" t="n">
        <f aca="false">Regus_EUR*FX_EUR</f>
        <v>196787.1</v>
      </c>
      <c r="H28" s="32" t="n">
        <f aca="false">Phone_Cost</f>
        <v>5000</v>
      </c>
      <c r="I28" s="32" t="n">
        <f aca="false">(Gmail_USD+ClickUp_USD)*FX_USD</f>
        <v>10440</v>
      </c>
      <c r="J28" s="32" t="n">
        <f aca="false">0</f>
        <v>0</v>
      </c>
      <c r="K28" s="32" t="n">
        <f aca="false">SUM(F28:J28)</f>
        <v>732227.1</v>
      </c>
      <c r="L28" s="32" t="n">
        <f aca="false">IF(FALSE(),Laptop_Dev_USD*FX_USD,Laptop_EUR*FX_EUR)+IF(C28="Y",Agency_Fee_EUR*FX_EUR,0)</f>
        <v>327978.5</v>
      </c>
    </row>
    <row r="29" customFormat="false" ht="15" hidden="false" customHeight="false" outlineLevel="0" collapsed="false">
      <c r="A29" s="2" t="s">
        <v>127</v>
      </c>
      <c r="D29" s="31" t="n">
        <f aca="false">IF(ISNUMBER(D28),D28/FX_EUR,"")</f>
        <v>609.796068949642</v>
      </c>
      <c r="E29" s="31" t="n">
        <f aca="false">IF(ISNUMBER(E28),E28/FX_EUR,"")</f>
        <v>182.938820684892</v>
      </c>
      <c r="F29" s="31" t="n">
        <f aca="false">IF(ISNUMBER(F28),F28/FX_EUR,"")</f>
        <v>792.734889634534</v>
      </c>
      <c r="G29" s="31" t="n">
        <f aca="false">IF(ISNUMBER(G28),G28/FX_EUR,"")</f>
        <v>300</v>
      </c>
      <c r="H29" s="31" t="n">
        <f aca="false">IF(ISNUMBER(H28),H28/FX_EUR,"")</f>
        <v>7.62245086187052</v>
      </c>
      <c r="I29" s="31" t="n">
        <f aca="false">IF(ISNUMBER(I28),I28/FX_EUR,"")</f>
        <v>15.9156773995856</v>
      </c>
      <c r="J29" s="31" t="n">
        <f aca="false">IF(ISNUMBER(J28),J28/FX_EUR,"")</f>
        <v>0</v>
      </c>
      <c r="K29" s="31" t="n">
        <f aca="false">IF(ISNUMBER(K28),K28/FX_EUR,"")</f>
        <v>1116.27301789599</v>
      </c>
      <c r="L29" s="31" t="n">
        <f aca="false">IF(ISNUMBER(L28),L28/FX_EUR,"")</f>
        <v>500</v>
      </c>
    </row>
    <row r="30" customFormat="false" ht="15" hidden="false" customHeight="false" outlineLevel="0" collapsed="false">
      <c r="A30" s="12" t="s">
        <v>757</v>
      </c>
      <c r="B30" s="30" t="s">
        <v>758</v>
      </c>
      <c r="C30" s="12" t="str">
        <f aca="false">IF(Agency_Rep=1,"Y","N")</f>
        <v>N</v>
      </c>
      <c r="D30" s="32" t="n">
        <f aca="false">Salary_Rep_CI</f>
        <v>450000</v>
      </c>
      <c r="E30" s="32" t="n">
        <f aca="false">D30*Employer_Charges</f>
        <v>135000</v>
      </c>
      <c r="F30" s="32" t="n">
        <f aca="false">D30+E30</f>
        <v>585000</v>
      </c>
      <c r="G30" s="32" t="n">
        <f aca="false">Regus_EUR*FX_EUR</f>
        <v>196787.1</v>
      </c>
      <c r="H30" s="32" t="n">
        <f aca="false">Phone_Cost</f>
        <v>5000</v>
      </c>
      <c r="I30" s="32" t="n">
        <f aca="false">(Gmail_USD+ClickUp_USD)*FX_USD</f>
        <v>10440</v>
      </c>
      <c r="J30" s="32" t="n">
        <f aca="false">0</f>
        <v>0</v>
      </c>
      <c r="K30" s="32" t="n">
        <f aca="false">SUM(F30:J30)</f>
        <v>797227.1</v>
      </c>
      <c r="L30" s="32" t="n">
        <f aca="false">IF(FALSE(),Laptop_Dev_USD*FX_USD,Laptop_EUR*FX_EUR)+IF(C30="Y",Agency_Fee_EUR*FX_EUR,0)</f>
        <v>327978.5</v>
      </c>
    </row>
    <row r="31" customFormat="false" ht="15" hidden="false" customHeight="false" outlineLevel="0" collapsed="false">
      <c r="A31" s="2" t="s">
        <v>127</v>
      </c>
      <c r="D31" s="31" t="n">
        <f aca="false">IF(ISNUMBER(D30),D30/FX_EUR,"")</f>
        <v>686.020577568347</v>
      </c>
      <c r="E31" s="31" t="n">
        <f aca="false">IF(ISNUMBER(E30),E30/FX_EUR,"")</f>
        <v>205.806173270504</v>
      </c>
      <c r="F31" s="31" t="n">
        <f aca="false">IF(ISNUMBER(F30),F30/FX_EUR,"")</f>
        <v>891.826750838851</v>
      </c>
      <c r="G31" s="31" t="n">
        <f aca="false">IF(ISNUMBER(G30),G30/FX_EUR,"")</f>
        <v>300</v>
      </c>
      <c r="H31" s="31" t="n">
        <f aca="false">IF(ISNUMBER(H30),H30/FX_EUR,"")</f>
        <v>7.62245086187052</v>
      </c>
      <c r="I31" s="31" t="n">
        <f aca="false">IF(ISNUMBER(I30),I30/FX_EUR,"")</f>
        <v>15.9156773995856</v>
      </c>
      <c r="J31" s="31" t="n">
        <f aca="false">IF(ISNUMBER(J30),J30/FX_EUR,"")</f>
        <v>0</v>
      </c>
      <c r="K31" s="31" t="n">
        <f aca="false">IF(ISNUMBER(K30),K30/FX_EUR,"")</f>
        <v>1215.36487910031</v>
      </c>
      <c r="L31" s="31" t="n">
        <f aca="false">IF(ISNUMBER(L30),L30/FX_EUR,"")</f>
        <v>500</v>
      </c>
    </row>
    <row r="32" customFormat="false" ht="15" hidden="false" customHeight="false" outlineLevel="0" collapsed="false">
      <c r="A32" s="12" t="s">
        <v>759</v>
      </c>
      <c r="B32" s="30" t="s">
        <v>754</v>
      </c>
      <c r="C32" s="12" t="str">
        <f aca="false">IF(Agency_Credit=1,"Y","N")</f>
        <v>Y</v>
      </c>
      <c r="D32" s="32" t="n">
        <f aca="false">Salary_Credit</f>
        <v>600000</v>
      </c>
      <c r="E32" s="32" t="n">
        <f aca="false">D32*Employer_Charges</f>
        <v>180000</v>
      </c>
      <c r="F32" s="32" t="n">
        <f aca="false">D32+E32</f>
        <v>780000</v>
      </c>
      <c r="G32" s="32" t="n">
        <f aca="false">Regus_EUR*FX_EUR</f>
        <v>196787.1</v>
      </c>
      <c r="H32" s="32" t="n">
        <f aca="false">Phone_Cost</f>
        <v>5000</v>
      </c>
      <c r="I32" s="32" t="n">
        <f aca="false">(Gmail_USD+ClickUp_USD)*FX_USD</f>
        <v>10440</v>
      </c>
      <c r="J32" s="32" t="n">
        <f aca="false">0</f>
        <v>0</v>
      </c>
      <c r="K32" s="32" t="n">
        <f aca="false">SUM(F32:J32)</f>
        <v>992227.1</v>
      </c>
      <c r="L32" s="32" t="n">
        <f aca="false">IF(FALSE(),Laptop_Dev_USD*FX_USD,Laptop_EUR*FX_EUR)+IF(C32="Y",Agency_Fee_EUR*FX_EUR,0)</f>
        <v>852744.1</v>
      </c>
    </row>
    <row r="33" customFormat="false" ht="15" hidden="false" customHeight="false" outlineLevel="0" collapsed="false">
      <c r="A33" s="2" t="s">
        <v>127</v>
      </c>
      <c r="D33" s="31" t="n">
        <f aca="false">IF(ISNUMBER(D32),D32/FX_EUR,"")</f>
        <v>914.694103424462</v>
      </c>
      <c r="E33" s="31" t="n">
        <f aca="false">IF(ISNUMBER(E32),E32/FX_EUR,"")</f>
        <v>274.408231027339</v>
      </c>
      <c r="F33" s="31" t="n">
        <f aca="false">IF(ISNUMBER(F32),F32/FX_EUR,"")</f>
        <v>1189.1023344518</v>
      </c>
      <c r="G33" s="31" t="n">
        <f aca="false">IF(ISNUMBER(G32),G32/FX_EUR,"")</f>
        <v>300</v>
      </c>
      <c r="H33" s="31" t="n">
        <f aca="false">IF(ISNUMBER(H32),H32/FX_EUR,"")</f>
        <v>7.62245086187052</v>
      </c>
      <c r="I33" s="31" t="n">
        <f aca="false">IF(ISNUMBER(I32),I32/FX_EUR,"")</f>
        <v>15.9156773995856</v>
      </c>
      <c r="J33" s="31" t="n">
        <f aca="false">IF(ISNUMBER(J32),J32/FX_EUR,"")</f>
        <v>0</v>
      </c>
      <c r="K33" s="31" t="n">
        <f aca="false">IF(ISNUMBER(K32),K32/FX_EUR,"")</f>
        <v>1512.64046271326</v>
      </c>
      <c r="L33" s="31" t="n">
        <f aca="false">IF(ISNUMBER(L32),L32/FX_EUR,"")</f>
        <v>1300</v>
      </c>
    </row>
    <row r="34" customFormat="false" ht="15" hidden="false" customHeight="false" outlineLevel="0" collapsed="false">
      <c r="A34" s="2" t="s">
        <v>760</v>
      </c>
    </row>
    <row r="36" customFormat="false" ht="15" hidden="false" customHeight="false" outlineLevel="0" collapsed="false">
      <c r="A36" s="27" t="s">
        <v>761</v>
      </c>
    </row>
    <row r="37" customFormat="false" ht="15" hidden="false" customHeight="false" outlineLevel="0" collapsed="false">
      <c r="A37" s="2" t="s">
        <v>762</v>
      </c>
    </row>
    <row r="38" customFormat="false" ht="30" hidden="false" customHeight="true" outlineLevel="0" collapsed="false">
      <c r="A38" s="28" t="s">
        <v>763</v>
      </c>
      <c r="B38" s="28" t="s">
        <v>764</v>
      </c>
      <c r="C38" s="28"/>
      <c r="D38" s="28" t="s">
        <v>765</v>
      </c>
      <c r="E38" s="28" t="s">
        <v>766</v>
      </c>
      <c r="F38" s="28" t="s">
        <v>767</v>
      </c>
    </row>
    <row r="39" customFormat="false" ht="15" hidden="false" customHeight="false" outlineLevel="0" collapsed="false">
      <c r="A39" s="10" t="s">
        <v>768</v>
      </c>
      <c r="B39" s="11"/>
      <c r="C39" s="11"/>
      <c r="D39" s="11"/>
      <c r="E39" s="11"/>
      <c r="F39" s="11"/>
      <c r="G39" s="11"/>
      <c r="H39" s="11"/>
      <c r="I39" s="11"/>
      <c r="J39" s="11"/>
      <c r="K39" s="11"/>
      <c r="L39" s="11"/>
      <c r="M39" s="11"/>
      <c r="N39" s="11"/>
    </row>
    <row r="40" customFormat="false" ht="23.85" hidden="false" customHeight="false" outlineLevel="0" collapsed="false">
      <c r="A40" s="12" t="s">
        <v>769</v>
      </c>
      <c r="B40" s="30" t="s">
        <v>770</v>
      </c>
      <c r="D40" s="32" t="n">
        <f aca="false">Price_Petite*(1-Annual_Share*Annual_Free/12)</f>
        <v>9405</v>
      </c>
      <c r="E40" s="32" t="n">
        <f aca="false">Price_Moyenne*(1-Annual_Share*Annual_Free/12)</f>
        <v>18525</v>
      </c>
      <c r="F40" s="32" t="n">
        <f aca="false">Price_Grande*(1-Annual_Share*Annual_Free/12)</f>
        <v>66025</v>
      </c>
    </row>
    <row r="41" customFormat="false" ht="15" hidden="false" customHeight="false" outlineLevel="0" collapsed="false">
      <c r="A41" s="2" t="s">
        <v>127</v>
      </c>
      <c r="D41" s="31" t="n">
        <f aca="false">IF(ISNUMBER(D40),D40/FX_EUR,"")</f>
        <v>14.3378300711784</v>
      </c>
      <c r="E41" s="31" t="n">
        <f aca="false">IF(ISNUMBER(E40),E40/FX_EUR,"")</f>
        <v>28.2411804432303</v>
      </c>
      <c r="F41" s="31" t="n">
        <f aca="false">IF(ISNUMBER(F40),F40/FX_EUR,"")</f>
        <v>100.654463631</v>
      </c>
    </row>
    <row r="42" customFormat="false" ht="23.85" hidden="false" customHeight="false" outlineLevel="0" collapsed="false">
      <c r="A42" s="12" t="s">
        <v>771</v>
      </c>
      <c r="B42" s="30" t="s">
        <v>772</v>
      </c>
      <c r="D42" s="32" t="n">
        <f aca="false">Spend_For_Petite*Foreign_Spend_Factor*FX_Fee</f>
        <v>7500</v>
      </c>
      <c r="E42" s="32" t="n">
        <f aca="false">Spend_For_Moyenne*Foreign_Spend_Factor*FX_Fee</f>
        <v>30000</v>
      </c>
      <c r="F42" s="32" t="n">
        <f aca="false">Spend_For_Grande*Foreign_Spend_Factor*FX_Fee</f>
        <v>87500</v>
      </c>
    </row>
    <row r="43" customFormat="false" ht="15" hidden="false" customHeight="false" outlineLevel="0" collapsed="false">
      <c r="A43" s="2" t="s">
        <v>127</v>
      </c>
      <c r="D43" s="31" t="n">
        <f aca="false">IF(ISNUMBER(D42),D42/FX_EUR,"")</f>
        <v>11.4336762928058</v>
      </c>
      <c r="E43" s="31" t="n">
        <f aca="false">IF(ISNUMBER(E42),E42/FX_EUR,"")</f>
        <v>45.7347051712231</v>
      </c>
      <c r="F43" s="31" t="n">
        <f aca="false">IF(ISNUMBER(F42),F42/FX_EUR,"")</f>
        <v>133.392890082734</v>
      </c>
    </row>
    <row r="44" customFormat="false" ht="23.85" hidden="false" customHeight="false" outlineLevel="0" collapsed="false">
      <c r="A44" s="12" t="s">
        <v>773</v>
      </c>
      <c r="B44" s="30" t="s">
        <v>774</v>
      </c>
      <c r="D44" s="32" t="n">
        <f aca="false">Overage_Petite*(1-Sup_Wallet_Share)*Overage_Fee</f>
        <v>270</v>
      </c>
      <c r="E44" s="32" t="n">
        <f aca="false">Overage_Moyenne*(1-Sup_Wallet_Share)*Overage_Fee</f>
        <v>810</v>
      </c>
      <c r="F44" s="32" t="n">
        <f aca="false">Overage_Grande*(1-Sup_Wallet_Share)*Overage_Fee</f>
        <v>2700</v>
      </c>
    </row>
    <row r="45" customFormat="false" ht="15" hidden="false" customHeight="false" outlineLevel="0" collapsed="false">
      <c r="A45" s="2" t="s">
        <v>127</v>
      </c>
      <c r="D45" s="31" t="n">
        <f aca="false">IF(ISNUMBER(D44),D44/FX_EUR,"")</f>
        <v>0.411612346541008</v>
      </c>
      <c r="E45" s="31" t="n">
        <f aca="false">IF(ISNUMBER(E44),E44/FX_EUR,"")</f>
        <v>1.23483703962302</v>
      </c>
      <c r="F45" s="31" t="n">
        <f aca="false">IF(ISNUMBER(F44),F44/FX_EUR,"")</f>
        <v>4.11612346541008</v>
      </c>
    </row>
    <row r="46" customFormat="false" ht="23.85" hidden="false" customHeight="false" outlineLevel="0" collapsed="false">
      <c r="A46" s="12" t="s">
        <v>775</v>
      </c>
      <c r="B46" s="30" t="s">
        <v>776</v>
      </c>
      <c r="D46" s="32" t="n">
        <f aca="false">PL_Coll_Petite*PL_Adoption*PL_Momo_Share*PL_Fee</f>
        <v>1680</v>
      </c>
      <c r="E46" s="32" t="n">
        <f aca="false">PL_Coll_Moyenne*PL_Adoption*PL_Momo_Share*PL_Fee</f>
        <v>6300</v>
      </c>
      <c r="F46" s="32" t="n">
        <f aca="false">PL_Coll_Grande*PL_Adoption*PL_Momo_Share*PL_Fee</f>
        <v>21000</v>
      </c>
    </row>
    <row r="47" customFormat="false" ht="15" hidden="false" customHeight="false" outlineLevel="0" collapsed="false">
      <c r="A47" s="2" t="s">
        <v>127</v>
      </c>
      <c r="D47" s="31" t="n">
        <f aca="false">IF(ISNUMBER(D46),D46/FX_EUR,"")</f>
        <v>2.56114348958849</v>
      </c>
      <c r="E47" s="31" t="n">
        <f aca="false">IF(ISNUMBER(E46),E46/FX_EUR,"")</f>
        <v>9.60428808595685</v>
      </c>
      <c r="F47" s="31" t="n">
        <f aca="false">IF(ISNUMBER(F46),F46/FX_EUR,"")</f>
        <v>32.0142936198562</v>
      </c>
    </row>
    <row r="48" customFormat="false" ht="23.85" hidden="false" customHeight="false" outlineLevel="0" collapsed="false">
      <c r="A48" s="12" t="s">
        <v>777</v>
      </c>
      <c r="B48" s="30" t="s">
        <v>778</v>
      </c>
      <c r="D48" s="32" t="n">
        <f aca="false">MAX(0,Users_Petite-Users_Incl_Petite)*Extra_User_Fee</f>
        <v>0</v>
      </c>
      <c r="E48" s="32" t="n">
        <f aca="false">MAX(0,Users_Moyenne-Users_Incl_Moyenne)*Extra_User_Fee</f>
        <v>2500</v>
      </c>
      <c r="F48" s="32" t="n">
        <f aca="false">MAX(0,Users_Grande-Users_Incl_Grande)*Extra_User_Fee</f>
        <v>5000</v>
      </c>
    </row>
    <row r="49" customFormat="false" ht="15" hidden="false" customHeight="false" outlineLevel="0" collapsed="false">
      <c r="A49" s="2" t="s">
        <v>127</v>
      </c>
      <c r="D49" s="31" t="n">
        <f aca="false">IF(ISNUMBER(D48),D48/FX_EUR,"")</f>
        <v>0</v>
      </c>
      <c r="E49" s="31" t="n">
        <f aca="false">IF(ISNUMBER(E48),E48/FX_EUR,"")</f>
        <v>3.81122543093526</v>
      </c>
      <c r="F49" s="31" t="n">
        <f aca="false">IF(ISNUMBER(F48),F48/FX_EUR,"")</f>
        <v>7.62245086187052</v>
      </c>
    </row>
    <row r="50" customFormat="false" ht="23.85" hidden="false" customHeight="false" outlineLevel="0" collapsed="false">
      <c r="A50" s="12" t="s">
        <v>779</v>
      </c>
      <c r="B50" s="30" t="s">
        <v>780</v>
      </c>
      <c r="D50" s="32" t="n">
        <f aca="false">MAX(0,Cards_New_Petite-Cards_Phys_Incl_Petite)*Extra_Card_Fee</f>
        <v>0</v>
      </c>
      <c r="E50" s="32" t="n">
        <f aca="false">MAX(0,Cards_New_Moyenne-Cards_Phys_Incl_Moyenne)*Extra_Card_Fee</f>
        <v>0</v>
      </c>
      <c r="F50" s="32" t="n">
        <f aca="false">MAX(0,Cards_New_Grande-Cards_Phys_Incl_Grande)*Extra_Card_Fee</f>
        <v>0</v>
      </c>
    </row>
    <row r="51" customFormat="false" ht="15" hidden="false" customHeight="false" outlineLevel="0" collapsed="false">
      <c r="A51" s="2" t="s">
        <v>127</v>
      </c>
      <c r="D51" s="31" t="n">
        <f aca="false">IF(ISNUMBER(D50),D50/FX_EUR,"")</f>
        <v>0</v>
      </c>
      <c r="E51" s="31" t="n">
        <f aca="false">IF(ISNUMBER(E50),E50/FX_EUR,"")</f>
        <v>0</v>
      </c>
      <c r="F51" s="31" t="n">
        <f aca="false">IF(ISNUMBER(F50),F50/FX_EUR,"")</f>
        <v>0</v>
      </c>
    </row>
    <row r="52" customFormat="false" ht="35.05" hidden="false" customHeight="false" outlineLevel="0" collapsed="false">
      <c r="A52" s="12" t="s">
        <v>781</v>
      </c>
      <c r="B52" s="30" t="s">
        <v>782</v>
      </c>
      <c r="D52" s="32" t="n">
        <f aca="false">(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M_Fee</f>
        <v>7000</v>
      </c>
      <c r="E52" s="32" t="n">
        <f aca="false">(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M_Fee</f>
        <v>34000</v>
      </c>
      <c r="F52" s="32" t="n">
        <f aca="false">(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MM_Fee</f>
        <v>134000</v>
      </c>
    </row>
    <row r="53" customFormat="false" ht="15" hidden="false" customHeight="false" outlineLevel="0" collapsed="false">
      <c r="A53" s="2" t="s">
        <v>127</v>
      </c>
      <c r="D53" s="31" t="n">
        <f aca="false">IF(ISNUMBER(D52),D52/FX_EUR,"")</f>
        <v>10.6714312066187</v>
      </c>
      <c r="E53" s="31" t="n">
        <f aca="false">IF(ISNUMBER(E52),E52/FX_EUR,"")</f>
        <v>51.8326658607195</v>
      </c>
      <c r="F53" s="31" t="n">
        <f aca="false">IF(ISNUMBER(F52),F52/FX_EUR,"")</f>
        <v>204.28168309813</v>
      </c>
    </row>
    <row r="54" customFormat="false" ht="23.85" hidden="false" customHeight="false" outlineLevel="0" collapsed="false">
      <c r="A54" s="12" t="s">
        <v>783</v>
      </c>
      <c r="B54" s="30" t="s">
        <v>784</v>
      </c>
      <c r="D54" s="32" t="n">
        <f aca="false">Emp_Petite*Payroll_Mod_Uptake*Payslip_Fee</f>
        <v>1800</v>
      </c>
      <c r="E54" s="32" t="n">
        <f aca="false">Emp_Moyenne*Payroll_Mod_Uptake*Payslip_Fee</f>
        <v>9000</v>
      </c>
      <c r="F54" s="32" t="n">
        <f aca="false">Emp_Grande*Payroll_Mod_Uptake*Payslip_Fee</f>
        <v>43200</v>
      </c>
    </row>
    <row r="55" customFormat="false" ht="15" hidden="false" customHeight="false" outlineLevel="0" collapsed="false">
      <c r="A55" s="2" t="s">
        <v>127</v>
      </c>
      <c r="D55" s="31" t="n">
        <f aca="false">IF(ISNUMBER(D54),D54/FX_EUR,"")</f>
        <v>2.74408231027339</v>
      </c>
      <c r="E55" s="31" t="n">
        <f aca="false">IF(ISNUMBER(E54),E54/FX_EUR,"")</f>
        <v>13.7204115513669</v>
      </c>
      <c r="F55" s="31" t="n">
        <f aca="false">IF(ISNUMBER(F54),F54/FX_EUR,"")</f>
        <v>65.8579754465613</v>
      </c>
    </row>
    <row r="56" customFormat="false" ht="15" hidden="false" customHeight="false" outlineLevel="0" collapsed="false">
      <c r="A56" s="12" t="s">
        <v>785</v>
      </c>
      <c r="B56" s="30" t="s">
        <v>786</v>
      </c>
      <c r="D56" s="32" t="n">
        <f aca="false">Intl_Vol_Petite*Intl_Uptake*Intl_Fee</f>
        <v>4000</v>
      </c>
      <c r="E56" s="32" t="n">
        <f aca="false">Intl_Vol_Moyenne*Intl_Uptake*Intl_Fee</f>
        <v>12000</v>
      </c>
      <c r="F56" s="32" t="n">
        <f aca="false">Intl_Vol_Grande*Intl_Uptake*Intl_Fee</f>
        <v>40000</v>
      </c>
    </row>
    <row r="57" customFormat="false" ht="15" hidden="false" customHeight="false" outlineLevel="0" collapsed="false">
      <c r="A57" s="2" t="s">
        <v>127</v>
      </c>
      <c r="D57" s="31" t="n">
        <f aca="false">IF(ISNUMBER(D56),D56/FX_EUR,"")</f>
        <v>6.09796068949642</v>
      </c>
      <c r="E57" s="31" t="n">
        <f aca="false">IF(ISNUMBER(E56),E56/FX_EUR,"")</f>
        <v>18.2938820684892</v>
      </c>
      <c r="F57" s="31" t="n">
        <f aca="false">IF(ISNUMBER(F56),F56/FX_EUR,"")</f>
        <v>60.9796068949642</v>
      </c>
    </row>
    <row r="58" customFormat="false" ht="15" hidden="false" customHeight="false" outlineLevel="0" collapsed="false">
      <c r="A58" s="8" t="s">
        <v>787</v>
      </c>
      <c r="D58" s="16" t="n">
        <f aca="false">D40+D42+D44+D46+D48+D50+D52+D54+D56</f>
        <v>31655</v>
      </c>
      <c r="E58" s="16" t="n">
        <f aca="false">E40+E42+E44+E46+E48+E50+E52+E54+E56</f>
        <v>113135</v>
      </c>
      <c r="F58" s="16" t="n">
        <f aca="false">F40+F42+F44+F46+F48+F50+F52+F54+F56</f>
        <v>399425</v>
      </c>
    </row>
    <row r="59" customFormat="false" ht="15" hidden="false" customHeight="false" outlineLevel="0" collapsed="false">
      <c r="A59" s="2" t="s">
        <v>127</v>
      </c>
      <c r="D59" s="31" t="n">
        <f aca="false">IF(ISNUMBER(D58),D58/FX_EUR,"")</f>
        <v>48.2577364065023</v>
      </c>
      <c r="E59" s="31" t="n">
        <f aca="false">IF(ISNUMBER(E58),E58/FX_EUR,"")</f>
        <v>172.473195651544</v>
      </c>
      <c r="F59" s="31" t="n">
        <f aca="false">IF(ISNUMBER(F58),F58/FX_EUR,"")</f>
        <v>608.919487100527</v>
      </c>
    </row>
    <row r="60" customFormat="false" ht="15" hidden="false" customHeight="false" outlineLevel="0" collapsed="false">
      <c r="A60" s="10" t="s">
        <v>788</v>
      </c>
      <c r="B60" s="11"/>
      <c r="C60" s="11"/>
      <c r="D60" s="11"/>
      <c r="E60" s="11"/>
      <c r="F60" s="11"/>
      <c r="G60" s="11"/>
      <c r="H60" s="11"/>
      <c r="I60" s="11"/>
      <c r="J60" s="11"/>
      <c r="K60" s="11"/>
      <c r="L60" s="11"/>
      <c r="M60" s="11"/>
      <c r="N60" s="11"/>
    </row>
    <row r="61" customFormat="false" ht="15" hidden="false" customHeight="false" outlineLevel="0" collapsed="false">
      <c r="A61" s="12" t="s">
        <v>488</v>
      </c>
      <c r="B61" s="30" t="s">
        <v>789</v>
      </c>
      <c r="D61" s="32" t="n">
        <f aca="false">Bank_Fee</f>
        <v>2500</v>
      </c>
      <c r="E61" s="32" t="n">
        <f aca="false">Bank_Fee</f>
        <v>2500</v>
      </c>
      <c r="F61" s="32" t="n">
        <f aca="false">Bank_Fee</f>
        <v>2500</v>
      </c>
    </row>
    <row r="62" customFormat="false" ht="15" hidden="false" customHeight="false" outlineLevel="0" collapsed="false">
      <c r="A62" s="2" t="s">
        <v>127</v>
      </c>
      <c r="D62" s="31" t="n">
        <f aca="false">IF(ISNUMBER(D61),D61/FX_EUR,"")</f>
        <v>3.81122543093526</v>
      </c>
      <c r="E62" s="31" t="n">
        <f aca="false">IF(ISNUMBER(E61),E61/FX_EUR,"")</f>
        <v>3.81122543093526</v>
      </c>
      <c r="F62" s="31" t="n">
        <f aca="false">IF(ISNUMBER(F61),F61/FX_EUR,"")</f>
        <v>3.81122543093526</v>
      </c>
    </row>
    <row r="63" customFormat="false" ht="23.85" hidden="false" customHeight="false" outlineLevel="0" collapsed="false">
      <c r="A63" s="12" t="s">
        <v>790</v>
      </c>
      <c r="B63" s="30" t="s">
        <v>791</v>
      </c>
      <c r="D63" s="32" t="n">
        <f aca="false">Cards_Act_Petite*Card_Proc_Fee</f>
        <v>2000</v>
      </c>
      <c r="E63" s="32" t="n">
        <f aca="false">Cards_Act_Moyenne*Card_Proc_Fee</f>
        <v>6000</v>
      </c>
      <c r="F63" s="32" t="n">
        <f aca="false">Cards_Act_Grande*Card_Proc_Fee</f>
        <v>15000</v>
      </c>
    </row>
    <row r="64" customFormat="false" ht="15" hidden="false" customHeight="false" outlineLevel="0" collapsed="false">
      <c r="A64" s="2" t="s">
        <v>127</v>
      </c>
      <c r="D64" s="31" t="n">
        <f aca="false">IF(ISNUMBER(D63),D63/FX_EUR,"")</f>
        <v>3.04898034474821</v>
      </c>
      <c r="E64" s="31" t="n">
        <f aca="false">IF(ISNUMBER(E63),E63/FX_EUR,"")</f>
        <v>9.14694103424462</v>
      </c>
      <c r="F64" s="31" t="n">
        <f aca="false">IF(ISNUMBER(F63),F63/FX_EUR,"")</f>
        <v>22.8673525856116</v>
      </c>
    </row>
    <row r="65" customFormat="false" ht="23.85" hidden="false" customHeight="false" outlineLevel="0" collapsed="false">
      <c r="A65" s="12" t="s">
        <v>501</v>
      </c>
      <c r="B65" s="30" t="s">
        <v>792</v>
      </c>
      <c r="D65" s="32" t="n">
        <f aca="false">Spend_For_Petite*Foreign_Spend_Factor*Scheme_Rate</f>
        <v>3600</v>
      </c>
      <c r="E65" s="32" t="n">
        <f aca="false">Spend_For_Moyenne*Foreign_Spend_Factor*Scheme_Rate</f>
        <v>14400</v>
      </c>
      <c r="F65" s="32" t="n">
        <f aca="false">Spend_For_Grande*Foreign_Spend_Factor*Scheme_Rate</f>
        <v>42000</v>
      </c>
    </row>
    <row r="66" customFormat="false" ht="15" hidden="false" customHeight="false" outlineLevel="0" collapsed="false">
      <c r="A66" s="2" t="s">
        <v>127</v>
      </c>
      <c r="D66" s="31" t="n">
        <f aca="false">IF(ISNUMBER(D65),D65/FX_EUR,"")</f>
        <v>5.48816462054677</v>
      </c>
      <c r="E66" s="31" t="n">
        <f aca="false">IF(ISNUMBER(E65),E65/FX_EUR,"")</f>
        <v>21.9526584821871</v>
      </c>
      <c r="F66" s="31" t="n">
        <f aca="false">IF(ISNUMBER(F65),F65/FX_EUR,"")</f>
        <v>64.0285872397124</v>
      </c>
    </row>
    <row r="67" customFormat="false" ht="15" hidden="false" customHeight="false" outlineLevel="0" collapsed="false">
      <c r="A67" s="12" t="s">
        <v>503</v>
      </c>
      <c r="B67" s="30" t="s">
        <v>793</v>
      </c>
      <c r="D67" s="32" t="n">
        <f aca="false">(Spend_Dom_Petite+Spend_For_Petite*Foreign_Spend_Factor)*Fraud_Rate</f>
        <v>900</v>
      </c>
      <c r="E67" s="32" t="n">
        <f aca="false">(Spend_Dom_Moyenne+Spend_For_Moyenne*Foreign_Spend_Factor)*Fraud_Rate</f>
        <v>3000</v>
      </c>
      <c r="F67" s="32" t="n">
        <f aca="false">(Spend_Dom_Grande+Spend_For_Grande*Foreign_Spend_Factor)*Fraud_Rate</f>
        <v>9000</v>
      </c>
    </row>
    <row r="68" customFormat="false" ht="15" hidden="false" customHeight="false" outlineLevel="0" collapsed="false">
      <c r="A68" s="2" t="s">
        <v>127</v>
      </c>
      <c r="D68" s="31" t="n">
        <f aca="false">IF(ISNUMBER(D67),D67/FX_EUR,"")</f>
        <v>1.37204115513669</v>
      </c>
      <c r="E68" s="31" t="n">
        <f aca="false">IF(ISNUMBER(E67),E67/FX_EUR,"")</f>
        <v>4.57347051712231</v>
      </c>
      <c r="F68" s="31" t="n">
        <f aca="false">IF(ISNUMBER(F67),F67/FX_EUR,"")</f>
        <v>13.7204115513669</v>
      </c>
    </row>
    <row r="69" customFormat="false" ht="23.85" hidden="false" customHeight="false" outlineLevel="0" collapsed="false">
      <c r="A69" s="12" t="s">
        <v>794</v>
      </c>
      <c r="B69" s="30" t="s">
        <v>795</v>
      </c>
      <c r="D69" s="32" t="n">
        <f aca="false">Emp_Petite*Wallet_Share*(IF(MM_Cost_Cap&gt;0,MIN(MM_Cost_Pct*Avg_Salary,MM_Cost_Cap),MM_Cost_Pct*Avg_Salary)+MM_Cost_Flat)+Supplier_Petite*Sup_Wallet_Share*(IF(MM_Cost_Cap&gt;0,MIN(MM_Cost_Pct*Sup_Avg_Amount,MM_Cost_Cap),MM_Cost_Pct*Sup_Avg_Amount)+MM_Cost_Flat)</f>
        <v>3500</v>
      </c>
      <c r="E69" s="32" t="n">
        <f aca="false">Emp_Moyenne*Wallet_Share*(IF(MM_Cost_Cap&gt;0,MIN(MM_Cost_Pct*Avg_Salary,MM_Cost_Cap),MM_Cost_Pct*Avg_Salary)+MM_Cost_Flat)+Supplier_Moyenne*Sup_Wallet_Share*(IF(MM_Cost_Cap&gt;0,MIN(MM_Cost_Pct*Sup_Avg_Amount,MM_Cost_Cap),MM_Cost_Pct*Sup_Avg_Amount)+MM_Cost_Flat)</f>
        <v>15500</v>
      </c>
      <c r="F69" s="32" t="n">
        <f aca="false">Emp_Grande*Wallet_Share*(IF(MM_Cost_Cap&gt;0,MIN(MM_Cost_Pct*Avg_Salary,MM_Cost_Cap),MM_Cost_Pct*Avg_Salary)+MM_Cost_Flat)+Supplier_Grande*Sup_Wallet_Share*(IF(MM_Cost_Cap&gt;0,MIN(MM_Cost_Pct*Sup_Avg_Amount,MM_Cost_Cap),MM_Cost_Pct*Sup_Avg_Amount)+MM_Cost_Flat)</f>
        <v>66000</v>
      </c>
    </row>
    <row r="70" customFormat="false" ht="15" hidden="false" customHeight="false" outlineLevel="0" collapsed="false">
      <c r="A70" s="2" t="s">
        <v>127</v>
      </c>
      <c r="D70" s="31" t="n">
        <f aca="false">IF(ISNUMBER(D69),D69/FX_EUR,"")</f>
        <v>5.33571560330936</v>
      </c>
      <c r="E70" s="31" t="n">
        <f aca="false">IF(ISNUMBER(E69),E69/FX_EUR,"")</f>
        <v>23.6295976717986</v>
      </c>
      <c r="F70" s="31" t="n">
        <f aca="false">IF(ISNUMBER(F69),F69/FX_EUR,"")</f>
        <v>100.616351376691</v>
      </c>
    </row>
    <row r="71" customFormat="false" ht="23.85" hidden="false" customHeight="false" outlineLevel="0" collapsed="false">
      <c r="A71" s="12" t="s">
        <v>796</v>
      </c>
      <c r="B71" s="30" t="s">
        <v>797</v>
      </c>
      <c r="D71" s="32" t="n">
        <f aca="false">Emp_Petite*(1-Wallet_Share)*Bank_Payout_Cost</f>
        <v>400</v>
      </c>
      <c r="E71" s="32" t="n">
        <f aca="false">Emp_Moyenne*(1-Wallet_Share)*Bank_Payout_Cost</f>
        <v>2000</v>
      </c>
      <c r="F71" s="32" t="n">
        <f aca="false">Emp_Grande*(1-Wallet_Share)*Bank_Payout_Cost</f>
        <v>9600</v>
      </c>
    </row>
    <row r="72" customFormat="false" ht="15" hidden="false" customHeight="false" outlineLevel="0" collapsed="false">
      <c r="A72" s="2" t="s">
        <v>127</v>
      </c>
      <c r="D72" s="31" t="n">
        <f aca="false">IF(ISNUMBER(D71),D71/FX_EUR,"")</f>
        <v>0.609796068949642</v>
      </c>
      <c r="E72" s="31" t="n">
        <f aca="false">IF(ISNUMBER(E71),E71/FX_EUR,"")</f>
        <v>3.04898034474821</v>
      </c>
      <c r="F72" s="31" t="n">
        <f aca="false">IF(ISNUMBER(F71),F71/FX_EUR,"")</f>
        <v>14.6351056547914</v>
      </c>
    </row>
    <row r="73" customFormat="false" ht="23.85" hidden="false" customHeight="false" outlineLevel="0" collapsed="false">
      <c r="A73" s="12" t="s">
        <v>798</v>
      </c>
      <c r="B73" s="30" t="s">
        <v>799</v>
      </c>
      <c r="D73" s="32" t="n">
        <f aca="false">Supplier_Petite*(1-Sup_Wallet_Share)*Supplier_Payout_Cost</f>
        <v>1800</v>
      </c>
      <c r="E73" s="32" t="n">
        <f aca="false">Supplier_Moyenne*(1-Sup_Wallet_Share)*Supplier_Payout_Cost</f>
        <v>7200</v>
      </c>
      <c r="F73" s="32" t="n">
        <f aca="false">Supplier_Grande*(1-Sup_Wallet_Share)*Supplier_Payout_Cost</f>
        <v>27000</v>
      </c>
    </row>
    <row r="74" customFormat="false" ht="15" hidden="false" customHeight="false" outlineLevel="0" collapsed="false">
      <c r="A74" s="2" t="s">
        <v>127</v>
      </c>
      <c r="D74" s="31" t="n">
        <f aca="false">IF(ISNUMBER(D73),D73/FX_EUR,"")</f>
        <v>2.74408231027339</v>
      </c>
      <c r="E74" s="31" t="n">
        <f aca="false">IF(ISNUMBER(E73),E73/FX_EUR,"")</f>
        <v>10.9763292410935</v>
      </c>
      <c r="F74" s="31" t="n">
        <f aca="false">IF(ISNUMBER(F73),F73/FX_EUR,"")</f>
        <v>41.1612346541008</v>
      </c>
    </row>
    <row r="75" customFormat="false" ht="15" hidden="false" customHeight="false" outlineLevel="0" collapsed="false">
      <c r="A75" s="12" t="s">
        <v>800</v>
      </c>
      <c r="B75" s="30" t="s">
        <v>801</v>
      </c>
      <c r="D75" s="32" t="n">
        <f aca="false">Intl_Vol_Petite*Intl_Uptake*Intl_Cost</f>
        <v>2000</v>
      </c>
      <c r="E75" s="32" t="n">
        <f aca="false">Intl_Vol_Moyenne*Intl_Uptake*Intl_Cost</f>
        <v>6000</v>
      </c>
      <c r="F75" s="32" t="n">
        <f aca="false">Intl_Vol_Grande*Intl_Uptake*Intl_Cost</f>
        <v>20000</v>
      </c>
    </row>
    <row r="76" customFormat="false" ht="15" hidden="false" customHeight="false" outlineLevel="0" collapsed="false">
      <c r="A76" s="2" t="s">
        <v>127</v>
      </c>
      <c r="D76" s="31" t="n">
        <f aca="false">IF(ISNUMBER(D75),D75/FX_EUR,"")</f>
        <v>3.04898034474821</v>
      </c>
      <c r="E76" s="31" t="n">
        <f aca="false">IF(ISNUMBER(E75),E75/FX_EUR,"")</f>
        <v>9.14694103424462</v>
      </c>
      <c r="F76" s="31" t="n">
        <f aca="false">IF(ISNUMBER(F75),F75/FX_EUR,"")</f>
        <v>30.4898034474821</v>
      </c>
    </row>
    <row r="77" customFormat="false" ht="23.85" hidden="false" customHeight="false" outlineLevel="0" collapsed="false">
      <c r="A77" s="12" t="s">
        <v>199</v>
      </c>
      <c r="B77" s="30" t="s">
        <v>802</v>
      </c>
      <c r="D77" s="32" t="n">
        <f aca="false">Emp_Petite*Payroll_Mod_Uptake*Payslip_Cost</f>
        <v>30</v>
      </c>
      <c r="E77" s="32" t="n">
        <f aca="false">Emp_Moyenne*Payroll_Mod_Uptake*Payslip_Cost</f>
        <v>150</v>
      </c>
      <c r="F77" s="32" t="n">
        <f aca="false">Emp_Grande*Payroll_Mod_Uptake*Payslip_Cost</f>
        <v>720</v>
      </c>
    </row>
    <row r="78" customFormat="false" ht="15" hidden="false" customHeight="false" outlineLevel="0" collapsed="false">
      <c r="A78" s="2" t="s">
        <v>127</v>
      </c>
      <c r="D78" s="31" t="n">
        <f aca="false">IF(ISNUMBER(D77),D77/FX_EUR,"")</f>
        <v>0.0457347051712231</v>
      </c>
      <c r="E78" s="31" t="n">
        <f aca="false">IF(ISNUMBER(E77),E77/FX_EUR,"")</f>
        <v>0.228673525856116</v>
      </c>
      <c r="F78" s="31" t="n">
        <f aca="false">IF(ISNUMBER(F77),F77/FX_EUR,"")</f>
        <v>1.09763292410935</v>
      </c>
    </row>
    <row r="79" customFormat="false" ht="23.85" hidden="false" customHeight="false" outlineLevel="0" collapsed="false">
      <c r="A79" s="12" t="s">
        <v>803</v>
      </c>
      <c r="B79" s="30" t="s">
        <v>804</v>
      </c>
      <c r="D79" s="32" t="n">
        <f aca="false">PL_Coll_Petite*PL_Adoption*PL_Momo_Share*PL_Cost</f>
        <v>1400</v>
      </c>
      <c r="E79" s="32" t="n">
        <f aca="false">PL_Coll_Moyenne*PL_Adoption*PL_Momo_Share*PL_Cost</f>
        <v>5250</v>
      </c>
      <c r="F79" s="32" t="n">
        <f aca="false">PL_Coll_Grande*PL_Adoption*PL_Momo_Share*PL_Cost</f>
        <v>17500</v>
      </c>
    </row>
    <row r="80" customFormat="false" ht="15" hidden="false" customHeight="false" outlineLevel="0" collapsed="false">
      <c r="A80" s="2" t="s">
        <v>127</v>
      </c>
      <c r="D80" s="31" t="n">
        <f aca="false">IF(ISNUMBER(D79),D79/FX_EUR,"")</f>
        <v>2.13428624132375</v>
      </c>
      <c r="E80" s="31" t="n">
        <f aca="false">IF(ISNUMBER(E79),E79/FX_EUR,"")</f>
        <v>8.00357340496405</v>
      </c>
      <c r="F80" s="31" t="n">
        <f aca="false">IF(ISNUMBER(F79),F79/FX_EUR,"")</f>
        <v>26.6785780165468</v>
      </c>
    </row>
    <row r="81" customFormat="false" ht="15" hidden="false" customHeight="false" outlineLevel="0" collapsed="false">
      <c r="A81" s="12" t="s">
        <v>805</v>
      </c>
      <c r="B81" s="30" t="s">
        <v>806</v>
      </c>
      <c r="D81" s="32" t="n">
        <f aca="false">Notif_Cost</f>
        <v>350</v>
      </c>
      <c r="E81" s="32" t="n">
        <f aca="false">Notif_Cost</f>
        <v>350</v>
      </c>
      <c r="F81" s="32" t="n">
        <f aca="false">Notif_Cost</f>
        <v>350</v>
      </c>
    </row>
    <row r="82" customFormat="false" ht="15" hidden="false" customHeight="false" outlineLevel="0" collapsed="false">
      <c r="A82" s="2" t="s">
        <v>127</v>
      </c>
      <c r="D82" s="31" t="n">
        <f aca="false">IF(ISNUMBER(D81),D81/FX_EUR,"")</f>
        <v>0.533571560330936</v>
      </c>
      <c r="E82" s="31" t="n">
        <f aca="false">IF(ISNUMBER(E81),E81/FX_EUR,"")</f>
        <v>0.533571560330936</v>
      </c>
      <c r="F82" s="31" t="n">
        <f aca="false">IF(ISNUMBER(F81),F81/FX_EUR,"")</f>
        <v>0.533571560330936</v>
      </c>
    </row>
    <row r="83" customFormat="false" ht="15" hidden="false" customHeight="false" outlineLevel="0" collapsed="false">
      <c r="A83" s="8" t="s">
        <v>807</v>
      </c>
      <c r="D83" s="16" t="n">
        <f aca="false">D61+D63+D65+D67+D69+D71+D73+D75+D77+D79+D81</f>
        <v>18480</v>
      </c>
      <c r="E83" s="16" t="n">
        <f aca="false">E61+E63+E65+E67+E69+E71+E73+E75+E77+E79+E81</f>
        <v>62350</v>
      </c>
      <c r="F83" s="16" t="n">
        <f aca="false">F61+F63+F65+F67+F69+F71+F73+F75+F77+F79+F81</f>
        <v>209670</v>
      </c>
    </row>
    <row r="84" customFormat="false" ht="15" hidden="false" customHeight="false" outlineLevel="0" collapsed="false">
      <c r="A84" s="2" t="s">
        <v>127</v>
      </c>
      <c r="D84" s="31" t="n">
        <f aca="false">IF(ISNUMBER(D83),D83/FX_EUR,"")</f>
        <v>28.1725783854734</v>
      </c>
      <c r="E84" s="31" t="n">
        <f aca="false">IF(ISNUMBER(E83),E83/FX_EUR,"")</f>
        <v>95.0519622475254</v>
      </c>
      <c r="F84" s="31" t="n">
        <f aca="false">IF(ISNUMBER(F83),F83/FX_EUR,"")</f>
        <v>319.639854441678</v>
      </c>
    </row>
    <row r="85" customFormat="false" ht="15" hidden="false" customHeight="false" outlineLevel="0" collapsed="false">
      <c r="A85" s="8" t="s">
        <v>808</v>
      </c>
      <c r="B85" s="30" t="s">
        <v>809</v>
      </c>
      <c r="D85" s="16" t="n">
        <f aca="false">D58-D83</f>
        <v>13175</v>
      </c>
      <c r="E85" s="16" t="n">
        <f aca="false">E58-E83</f>
        <v>50785</v>
      </c>
      <c r="F85" s="16" t="n">
        <f aca="false">F58-F83</f>
        <v>189755</v>
      </c>
    </row>
    <row r="86" customFormat="false" ht="15" hidden="false" customHeight="false" outlineLevel="0" collapsed="false">
      <c r="A86" s="2" t="s">
        <v>127</v>
      </c>
      <c r="D86" s="31" t="n">
        <f aca="false">IF(ISNUMBER(D85),D85/FX_EUR,"")</f>
        <v>20.0851580210288</v>
      </c>
      <c r="E86" s="31" t="n">
        <f aca="false">IF(ISNUMBER(E85),E85/FX_EUR,"")</f>
        <v>77.4212334040189</v>
      </c>
      <c r="F86" s="31" t="n">
        <f aca="false">IF(ISNUMBER(F85),F85/FX_EUR,"")</f>
        <v>289.279632658848</v>
      </c>
    </row>
    <row r="87" customFormat="false" ht="15" hidden="false" customHeight="false" outlineLevel="0" collapsed="false">
      <c r="A87" s="12" t="s">
        <v>810</v>
      </c>
      <c r="D87" s="34" t="n">
        <f aca="false">IFERROR(D85/D58,0)</f>
        <v>0.416205970620755</v>
      </c>
      <c r="E87" s="34" t="n">
        <f aca="false">IFERROR(E85/E58,0)</f>
        <v>0.448888496044549</v>
      </c>
      <c r="F87" s="34" t="n">
        <f aca="false">IFERROR(F85/F58,0)</f>
        <v>0.475070413719722</v>
      </c>
    </row>
    <row r="88" customFormat="false" ht="15" hidden="false" customHeight="false" outlineLevel="0" collapsed="false">
      <c r="A88" s="10" t="s">
        <v>811</v>
      </c>
      <c r="B88" s="11"/>
      <c r="C88" s="11"/>
      <c r="D88" s="11"/>
      <c r="E88" s="11"/>
      <c r="F88" s="11"/>
      <c r="G88" s="11"/>
      <c r="H88" s="11"/>
      <c r="I88" s="11"/>
      <c r="J88" s="11"/>
      <c r="K88" s="11"/>
      <c r="L88" s="11"/>
      <c r="M88" s="11"/>
      <c r="N88" s="11"/>
    </row>
    <row r="89" customFormat="false" ht="35.05" hidden="false" customHeight="false" outlineLevel="0" collapsed="false">
      <c r="A89" s="12" t="s">
        <v>812</v>
      </c>
      <c r="B89" s="30" t="s">
        <v>813</v>
      </c>
      <c r="D89" s="32" t="n">
        <f aca="false">KYB_Cost+KYC_Cost*KYC_Persons</f>
        <v>3300</v>
      </c>
      <c r="E89" s="32" t="n">
        <f aca="false">KYB_Cost+KYC_Cost*KYC_Persons</f>
        <v>3300</v>
      </c>
      <c r="F89" s="32" t="n">
        <f aca="false">KYB_Cost+KYC_Cost*KYC_Persons</f>
        <v>3300</v>
      </c>
    </row>
    <row r="90" customFormat="false" ht="15" hidden="false" customHeight="false" outlineLevel="0" collapsed="false">
      <c r="A90" s="2" t="s">
        <v>127</v>
      </c>
      <c r="D90" s="31" t="n">
        <f aca="false">IF(ISNUMBER(D89),D89/FX_EUR,"")</f>
        <v>5.03081756883454</v>
      </c>
      <c r="E90" s="31" t="n">
        <f aca="false">IF(ISNUMBER(E89),E89/FX_EUR,"")</f>
        <v>5.03081756883454</v>
      </c>
      <c r="F90" s="31" t="n">
        <f aca="false">IF(ISNUMBER(F89),F89/FX_EUR,"")</f>
        <v>5.03081756883454</v>
      </c>
    </row>
    <row r="91" customFormat="false" ht="23.85" hidden="false" customHeight="false" outlineLevel="0" collapsed="false">
      <c r="A91" s="12" t="s">
        <v>814</v>
      </c>
      <c r="B91" s="30" t="s">
        <v>815</v>
      </c>
      <c r="D91" s="32" t="n">
        <f aca="false">Cards_New_Petite*Card_Prod_Cost</f>
        <v>4500</v>
      </c>
      <c r="E91" s="32" t="n">
        <f aca="false">Cards_New_Moyenne*Card_Prod_Cost</f>
        <v>13500</v>
      </c>
      <c r="F91" s="32" t="n">
        <f aca="false">Cards_New_Grande*Card_Prod_Cost</f>
        <v>36000</v>
      </c>
    </row>
    <row r="92" customFormat="false" ht="15" hidden="false" customHeight="false" outlineLevel="0" collapsed="false">
      <c r="A92" s="2" t="s">
        <v>127</v>
      </c>
      <c r="D92" s="31" t="n">
        <f aca="false">IF(ISNUMBER(D91),D91/FX_EUR,"")</f>
        <v>6.86020577568347</v>
      </c>
      <c r="E92" s="31" t="n">
        <f aca="false">IF(ISNUMBER(E91),E91/FX_EUR,"")</f>
        <v>20.5806173270504</v>
      </c>
      <c r="F92" s="31" t="n">
        <f aca="false">IF(ISNUMBER(F91),F91/FX_EUR,"")</f>
        <v>54.8816462054677</v>
      </c>
    </row>
    <row r="93" customFormat="false" ht="23.85" hidden="false" customHeight="false" outlineLevel="0" collapsed="false">
      <c r="A93" s="12" t="s">
        <v>816</v>
      </c>
      <c r="B93" s="30" t="s">
        <v>817</v>
      </c>
      <c r="D93" s="32" t="n">
        <f aca="false">MAX(0,Cards_New_Petite-Cards_Phys_Incl_Petite)*Card_Fee</f>
        <v>0</v>
      </c>
      <c r="E93" s="32" t="n">
        <f aca="false">MAX(0,Cards_New_Moyenne-Cards_Phys_Incl_Moyenne)*Card_Fee</f>
        <v>0</v>
      </c>
      <c r="F93" s="32" t="n">
        <f aca="false">MAX(0,Cards_New_Grande-Cards_Phys_Incl_Grande)*Card_Fee</f>
        <v>0</v>
      </c>
    </row>
    <row r="94" customFormat="false" ht="15" hidden="false" customHeight="false" outlineLevel="0" collapsed="false">
      <c r="A94" s="2" t="s">
        <v>127</v>
      </c>
      <c r="D94" s="31" t="n">
        <f aca="false">IF(ISNUMBER(D93),D93/FX_EUR,"")</f>
        <v>0</v>
      </c>
      <c r="E94" s="31" t="n">
        <f aca="false">IF(ISNUMBER(E93),E93/FX_EUR,"")</f>
        <v>0</v>
      </c>
      <c r="F94" s="31" t="n">
        <f aca="false">IF(ISNUMBER(F93),F93/FX_EUR,"")</f>
        <v>0</v>
      </c>
    </row>
    <row r="95" customFormat="false" ht="23.85" hidden="false" customHeight="false" outlineLevel="0" collapsed="false">
      <c r="A95" s="12" t="s">
        <v>818</v>
      </c>
      <c r="B95" s="30" t="s">
        <v>819</v>
      </c>
      <c r="D95" s="32" t="n">
        <f aca="false">Referral_Fee</f>
        <v>25000</v>
      </c>
      <c r="E95" s="32" t="n">
        <f aca="false">Referral_Fee</f>
        <v>25000</v>
      </c>
      <c r="F95" s="32" t="n">
        <f aca="false">Referral_Fee</f>
        <v>25000</v>
      </c>
    </row>
    <row r="96" customFormat="false" ht="15" hidden="false" customHeight="false" outlineLevel="0" collapsed="false">
      <c r="A96" s="2" t="s">
        <v>127</v>
      </c>
      <c r="D96" s="31" t="n">
        <f aca="false">IF(ISNUMBER(D95),D95/FX_EUR,"")</f>
        <v>38.1122543093526</v>
      </c>
      <c r="E96" s="31" t="n">
        <f aca="false">IF(ISNUMBER(E95),E95/FX_EUR,"")</f>
        <v>38.1122543093526</v>
      </c>
      <c r="F96" s="31" t="n">
        <f aca="false">IF(ISNUMBER(F95),F95/FX_EUR,"")</f>
        <v>38.1122543093526</v>
      </c>
    </row>
    <row r="97" customFormat="false" ht="15" hidden="false" customHeight="false" outlineLevel="0" collapsed="false">
      <c r="A97" s="12" t="s">
        <v>820</v>
      </c>
      <c r="B97" s="30" t="s">
        <v>821</v>
      </c>
      <c r="D97" s="32" t="n">
        <f aca="false">Free_Months*Price_Petite</f>
        <v>9900</v>
      </c>
      <c r="E97" s="32" t="n">
        <f aca="false">Free_Months*Price_Moyenne</f>
        <v>19500</v>
      </c>
      <c r="F97" s="32" t="n">
        <f aca="false">Free_Months*Price_Grande</f>
        <v>69500</v>
      </c>
    </row>
    <row r="98" customFormat="false" ht="15" hidden="false" customHeight="false" outlineLevel="0" collapsed="false">
      <c r="A98" s="2" t="s">
        <v>127</v>
      </c>
      <c r="D98" s="31" t="n">
        <f aca="false">IF(ISNUMBER(D97),D97/FX_EUR,"")</f>
        <v>15.0924527065036</v>
      </c>
      <c r="E98" s="31" t="n">
        <f aca="false">IF(ISNUMBER(E97),E97/FX_EUR,"")</f>
        <v>29.727558361295</v>
      </c>
      <c r="F98" s="31" t="n">
        <f aca="false">IF(ISNUMBER(F97),F97/FX_EUR,"")</f>
        <v>105.95206698</v>
      </c>
    </row>
    <row r="100" customFormat="false" ht="15" hidden="false" customHeight="false" outlineLevel="0" collapsed="false">
      <c r="A100" s="27" t="s">
        <v>822</v>
      </c>
    </row>
    <row r="101" customFormat="false" ht="15" hidden="false" customHeight="false" outlineLevel="0" collapsed="false">
      <c r="A101" s="2" t="s">
        <v>823</v>
      </c>
    </row>
    <row r="102" customFormat="false" ht="30" hidden="false" customHeight="true" outlineLevel="0" collapsed="false">
      <c r="A102" s="28" t="s">
        <v>243</v>
      </c>
      <c r="B102" s="28" t="s">
        <v>824</v>
      </c>
      <c r="C102" s="28" t="s">
        <v>565</v>
      </c>
      <c r="D102" s="28" t="s">
        <v>825</v>
      </c>
      <c r="E102" s="28" t="s">
        <v>826</v>
      </c>
      <c r="F102" s="28" t="s">
        <v>827</v>
      </c>
      <c r="G102" s="28" t="s">
        <v>828</v>
      </c>
      <c r="H102" s="28" t="s">
        <v>829</v>
      </c>
      <c r="I102" s="28" t="s">
        <v>830</v>
      </c>
      <c r="J102" s="28" t="s">
        <v>831</v>
      </c>
      <c r="K102" s="28" t="s">
        <v>832</v>
      </c>
    </row>
    <row r="103" customFormat="false" ht="15" hidden="false" customHeight="false" outlineLevel="0" collapsed="false">
      <c r="A103" s="12" t="s">
        <v>833</v>
      </c>
      <c r="B103" s="34" t="n">
        <f aca="false">Yield_Factoring</f>
        <v>0.23</v>
      </c>
      <c r="C103" s="34" t="n">
        <f aca="false">CoF</f>
        <v>0.09</v>
      </c>
      <c r="D103" s="33" t="n">
        <f aca="false">CoR_Factoring*CoR_Mult</f>
        <v>0.015</v>
      </c>
      <c r="E103" s="34" t="n">
        <f aca="false">Servicing</f>
        <v>0.01</v>
      </c>
      <c r="F103" s="33" t="n">
        <f aca="false">B103-C103-D103-E103</f>
        <v>0.115</v>
      </c>
      <c r="G103" s="32" t="n">
        <f aca="false">F103*1000000</f>
        <v>115000</v>
      </c>
      <c r="H103" s="32" t="n">
        <f aca="false">G103*Partner_Share</f>
        <v>57500</v>
      </c>
      <c r="I103" s="32" t="n">
        <f aca="false">G103</f>
        <v>115000</v>
      </c>
      <c r="J103" s="32" t="n">
        <f aca="false">1000000*First_Loss</f>
        <v>100000</v>
      </c>
      <c r="K103" s="32" t="n">
        <f aca="false">1000000*Capital_Ratio</f>
        <v>150000</v>
      </c>
    </row>
    <row r="104" customFormat="false" ht="15" hidden="false" customHeight="false" outlineLevel="0" collapsed="false">
      <c r="A104" s="2" t="s">
        <v>127</v>
      </c>
      <c r="G104" s="31" t="n">
        <f aca="false">IF(ISNUMBER(G103),G103/FX_EUR,"")</f>
        <v>175.316369823022</v>
      </c>
      <c r="H104" s="31" t="n">
        <f aca="false">IF(ISNUMBER(H103),H103/FX_EUR,"")</f>
        <v>87.658184911511</v>
      </c>
      <c r="I104" s="31" t="n">
        <f aca="false">IF(ISNUMBER(I103),I103/FX_EUR,"")</f>
        <v>175.316369823022</v>
      </c>
      <c r="J104" s="31" t="n">
        <f aca="false">IF(ISNUMBER(J103),J103/FX_EUR,"")</f>
        <v>152.44901723741</v>
      </c>
      <c r="K104" s="31" t="n">
        <f aca="false">IF(ISNUMBER(K103),K103/FX_EUR,"")</f>
        <v>228.673525856116</v>
      </c>
    </row>
    <row r="105" customFormat="false" ht="15" hidden="false" customHeight="false" outlineLevel="0" collapsed="false">
      <c r="A105" s="12" t="s">
        <v>246</v>
      </c>
      <c r="B105" s="34" t="n">
        <f aca="false">Yield_Bridge</f>
        <v>0.23</v>
      </c>
      <c r="C105" s="34" t="n">
        <f aca="false">CoF</f>
        <v>0.09</v>
      </c>
      <c r="D105" s="33" t="n">
        <f aca="false">CoR_Bridge*CoR_Mult</f>
        <v>0.02</v>
      </c>
      <c r="E105" s="34" t="n">
        <f aca="false">Servicing</f>
        <v>0.01</v>
      </c>
      <c r="F105" s="33" t="n">
        <f aca="false">B105-C105-D105-E105</f>
        <v>0.11</v>
      </c>
      <c r="G105" s="32" t="n">
        <f aca="false">F105*1000000</f>
        <v>110000</v>
      </c>
      <c r="H105" s="32" t="n">
        <f aca="false">G105*Partner_Share</f>
        <v>55000</v>
      </c>
      <c r="I105" s="32" t="n">
        <f aca="false">G105</f>
        <v>110000</v>
      </c>
      <c r="J105" s="32" t="n">
        <f aca="false">1000000*First_Loss</f>
        <v>100000</v>
      </c>
      <c r="K105" s="32" t="n">
        <f aca="false">1000000*Capital_Ratio</f>
        <v>150000</v>
      </c>
    </row>
    <row r="106" customFormat="false" ht="15" hidden="false" customHeight="false" outlineLevel="0" collapsed="false">
      <c r="A106" s="2" t="s">
        <v>127</v>
      </c>
      <c r="G106" s="31" t="n">
        <f aca="false">IF(ISNUMBER(G105),G105/FX_EUR,"")</f>
        <v>167.693918961151</v>
      </c>
      <c r="H106" s="31" t="n">
        <f aca="false">IF(ISNUMBER(H105),H105/FX_EUR,"")</f>
        <v>83.8469594805757</v>
      </c>
      <c r="I106" s="31" t="n">
        <f aca="false">IF(ISNUMBER(I105),I105/FX_EUR,"")</f>
        <v>167.693918961151</v>
      </c>
      <c r="J106" s="31" t="n">
        <f aca="false">IF(ISNUMBER(J105),J105/FX_EUR,"")</f>
        <v>152.44901723741</v>
      </c>
      <c r="K106" s="31" t="n">
        <f aca="false">IF(ISNUMBER(K105),K105/FX_EUR,"")</f>
        <v>228.673525856116</v>
      </c>
    </row>
    <row r="107" customFormat="false" ht="15" hidden="false" customHeight="false" outlineLevel="0" collapsed="false">
      <c r="A107" s="12" t="s">
        <v>248</v>
      </c>
      <c r="B107" s="34" t="n">
        <f aca="false">Yield_Line</f>
        <v>0.23</v>
      </c>
      <c r="C107" s="34" t="n">
        <f aca="false">CoF</f>
        <v>0.09</v>
      </c>
      <c r="D107" s="33" t="n">
        <f aca="false">CoR_Line*CoR_Mult</f>
        <v>0.045</v>
      </c>
      <c r="E107" s="34" t="n">
        <f aca="false">Servicing</f>
        <v>0.01</v>
      </c>
      <c r="F107" s="33" t="n">
        <f aca="false">B107-C107-D107-E107</f>
        <v>0.085</v>
      </c>
      <c r="G107" s="32" t="n">
        <f aca="false">F107*1000000</f>
        <v>85000</v>
      </c>
      <c r="H107" s="32" t="n">
        <f aca="false">G107*Partner_Share</f>
        <v>42500</v>
      </c>
      <c r="I107" s="32" t="n">
        <f aca="false">G107</f>
        <v>85000</v>
      </c>
      <c r="J107" s="32" t="n">
        <f aca="false">1000000*First_Loss</f>
        <v>100000</v>
      </c>
      <c r="K107" s="32" t="n">
        <f aca="false">1000000*Capital_Ratio</f>
        <v>150000</v>
      </c>
    </row>
    <row r="108" customFormat="false" ht="15" hidden="false" customHeight="false" outlineLevel="0" collapsed="false">
      <c r="A108" s="2" t="s">
        <v>127</v>
      </c>
      <c r="G108" s="31" t="n">
        <f aca="false">IF(ISNUMBER(G107),G107/FX_EUR,"")</f>
        <v>129.581664651799</v>
      </c>
      <c r="H108" s="31" t="n">
        <f aca="false">IF(ISNUMBER(H107),H107/FX_EUR,"")</f>
        <v>64.7908323258994</v>
      </c>
      <c r="I108" s="31" t="n">
        <f aca="false">IF(ISNUMBER(I107),I107/FX_EUR,"")</f>
        <v>129.581664651799</v>
      </c>
      <c r="J108" s="31" t="n">
        <f aca="false">IF(ISNUMBER(J107),J107/FX_EUR,"")</f>
        <v>152.44901723741</v>
      </c>
      <c r="K108" s="31" t="n">
        <f aca="false">IF(ISNUMBER(K107),K107/FX_EUR,"")</f>
        <v>228.673525856116</v>
      </c>
    </row>
    <row r="109" customFormat="false" ht="15" hidden="false" customHeight="false" outlineLevel="0" collapsed="false">
      <c r="A109" s="12" t="s">
        <v>834</v>
      </c>
      <c r="B109" s="34" t="n">
        <f aca="false">Yield_Term</f>
        <v>0.22</v>
      </c>
      <c r="C109" s="34" t="n">
        <f aca="false">CoF</f>
        <v>0.09</v>
      </c>
      <c r="D109" s="33" t="n">
        <f aca="false">CoR_Term*CoR_Mult</f>
        <v>0.04</v>
      </c>
      <c r="E109" s="34" t="n">
        <f aca="false">Servicing</f>
        <v>0.01</v>
      </c>
      <c r="F109" s="33" t="n">
        <f aca="false">B109-C109-D109-E109</f>
        <v>0.08</v>
      </c>
      <c r="G109" s="32" t="n">
        <f aca="false">F109*1000000</f>
        <v>80000</v>
      </c>
      <c r="H109" s="32" t="n">
        <f aca="false">G109*Partner_Share</f>
        <v>40000</v>
      </c>
      <c r="I109" s="32" t="n">
        <f aca="false">G109</f>
        <v>80000</v>
      </c>
      <c r="J109" s="32" t="n">
        <f aca="false">1000000*First_Loss</f>
        <v>100000</v>
      </c>
      <c r="K109" s="32" t="n">
        <f aca="false">1000000*Capital_Ratio</f>
        <v>150000</v>
      </c>
    </row>
    <row r="110" customFormat="false" ht="15" hidden="false" customHeight="false" outlineLevel="0" collapsed="false">
      <c r="A110" s="2" t="s">
        <v>127</v>
      </c>
      <c r="G110" s="31" t="n">
        <f aca="false">IF(ISNUMBER(G109),G109/FX_EUR,"")</f>
        <v>121.959213789928</v>
      </c>
      <c r="H110" s="31" t="n">
        <f aca="false">IF(ISNUMBER(H109),H109/FX_EUR,"")</f>
        <v>60.9796068949642</v>
      </c>
      <c r="I110" s="31" t="n">
        <f aca="false">IF(ISNUMBER(I109),I109/FX_EUR,"")</f>
        <v>121.959213789928</v>
      </c>
      <c r="J110" s="31" t="n">
        <f aca="false">IF(ISNUMBER(J109),J109/FX_EUR,"")</f>
        <v>152.44901723741</v>
      </c>
      <c r="K110" s="31" t="n">
        <f aca="false">IF(ISNUMBER(K109),K109/FX_EUR,"")</f>
        <v>228.673525856116</v>
      </c>
    </row>
    <row r="111" customFormat="false" ht="15" hidden="false" customHeight="false" outlineLevel="0" collapsed="false">
      <c r="A111" s="12" t="s">
        <v>835</v>
      </c>
      <c r="B111" s="34" t="n">
        <f aca="false">Yield_Advance</f>
        <v>0.23</v>
      </c>
      <c r="C111" s="34" t="n">
        <f aca="false">CoF</f>
        <v>0.09</v>
      </c>
      <c r="D111" s="33" t="n">
        <f aca="false">CoR_Advance*CoR_Mult</f>
        <v>0.015</v>
      </c>
      <c r="E111" s="34" t="n">
        <f aca="false">Servicing</f>
        <v>0.01</v>
      </c>
      <c r="F111" s="33" t="n">
        <f aca="false">B111-C111-D111-E111</f>
        <v>0.115</v>
      </c>
      <c r="G111" s="32" t="n">
        <f aca="false">F111*1000000</f>
        <v>115000</v>
      </c>
      <c r="H111" s="32" t="n">
        <f aca="false">G111*Partner_Share</f>
        <v>57500</v>
      </c>
      <c r="I111" s="32" t="n">
        <f aca="false">G111</f>
        <v>115000</v>
      </c>
      <c r="J111" s="32" t="n">
        <f aca="false">1000000*First_Loss</f>
        <v>100000</v>
      </c>
      <c r="K111" s="32" t="n">
        <f aca="false">1000000*Capital_Ratio</f>
        <v>150000</v>
      </c>
    </row>
    <row r="112" customFormat="false" ht="15" hidden="false" customHeight="false" outlineLevel="0" collapsed="false">
      <c r="A112" s="2" t="s">
        <v>127</v>
      </c>
      <c r="G112" s="31" t="n">
        <f aca="false">IF(ISNUMBER(G111),G111/FX_EUR,"")</f>
        <v>175.316369823022</v>
      </c>
      <c r="H112" s="31" t="n">
        <f aca="false">IF(ISNUMBER(H111),H111/FX_EUR,"")</f>
        <v>87.658184911511</v>
      </c>
      <c r="I112" s="31" t="n">
        <f aca="false">IF(ISNUMBER(I111),I111/FX_EUR,"")</f>
        <v>175.316369823022</v>
      </c>
      <c r="J112" s="31" t="n">
        <f aca="false">IF(ISNUMBER(J111),J111/FX_EUR,"")</f>
        <v>152.44901723741</v>
      </c>
      <c r="K112" s="31" t="n">
        <f aca="false">IF(ISNUMBER(K111),K111/FX_EUR,"")</f>
        <v>228.673525856116</v>
      </c>
    </row>
    <row r="113" customFormat="false" ht="15" hidden="false" customHeight="false" outlineLevel="0" collapsed="false">
      <c r="A113" s="2" t="s">
        <v>836</v>
      </c>
    </row>
    <row r="115" customFormat="false" ht="15" hidden="false" customHeight="false" outlineLevel="0" collapsed="false">
      <c r="A115" s="27" t="s">
        <v>837</v>
      </c>
    </row>
    <row r="116" customFormat="false" ht="15" hidden="false" customHeight="false" outlineLevel="0" collapsed="false">
      <c r="A116" s="2" t="s">
        <v>838</v>
      </c>
    </row>
    <row r="117" customFormat="false" ht="30" hidden="false" customHeight="true" outlineLevel="0" collapsed="false">
      <c r="A117" s="28" t="s">
        <v>214</v>
      </c>
      <c r="B117" s="28" t="s">
        <v>182</v>
      </c>
      <c r="C117" s="28" t="s">
        <v>124</v>
      </c>
      <c r="D117" s="28" t="s">
        <v>839</v>
      </c>
    </row>
    <row r="118" customFormat="false" ht="15" hidden="false" customHeight="false" outlineLevel="0" collapsed="false">
      <c r="A118" s="10" t="s">
        <v>840</v>
      </c>
      <c r="B118" s="11"/>
      <c r="C118" s="11"/>
      <c r="D118" s="11"/>
      <c r="E118" s="11"/>
      <c r="F118" s="11"/>
      <c r="G118" s="11"/>
      <c r="H118" s="11"/>
      <c r="I118" s="11"/>
      <c r="J118" s="11"/>
      <c r="K118" s="11"/>
      <c r="L118" s="11"/>
      <c r="M118" s="11"/>
      <c r="N118" s="11"/>
    </row>
    <row r="119" customFormat="false" ht="15" hidden="false" customHeight="false" outlineLevel="0" collapsed="false">
      <c r="A119" s="12" t="s">
        <v>841</v>
      </c>
      <c r="B119" s="30" t="s">
        <v>104</v>
      </c>
      <c r="C119" s="32" t="n">
        <f aca="false">Price_Petite</f>
        <v>9900</v>
      </c>
      <c r="D119" s="32" t="n">
        <f aca="false">C119</f>
        <v>9900</v>
      </c>
    </row>
    <row r="120" customFormat="false" ht="15" hidden="false" customHeight="false" outlineLevel="0" collapsed="false">
      <c r="A120" s="2" t="s">
        <v>127</v>
      </c>
      <c r="D120" s="31" t="n">
        <f aca="false">IF(ISNUMBER(D119),D119/FX_EUR,"")</f>
        <v>15.0924527065036</v>
      </c>
    </row>
    <row r="121" customFormat="false" ht="15" hidden="false" customHeight="false" outlineLevel="0" collapsed="false">
      <c r="A121" s="12" t="s">
        <v>842</v>
      </c>
      <c r="B121" s="30" t="s">
        <v>104</v>
      </c>
      <c r="C121" s="32" t="n">
        <f aca="false">Price_Moyenne</f>
        <v>19500</v>
      </c>
      <c r="D121" s="32" t="n">
        <f aca="false">C121</f>
        <v>19500</v>
      </c>
    </row>
    <row r="122" customFormat="false" ht="15" hidden="false" customHeight="false" outlineLevel="0" collapsed="false">
      <c r="A122" s="2" t="s">
        <v>127</v>
      </c>
      <c r="D122" s="31" t="n">
        <f aca="false">IF(ISNUMBER(D121),D121/FX_EUR,"")</f>
        <v>29.727558361295</v>
      </c>
    </row>
    <row r="123" customFormat="false" ht="15" hidden="false" customHeight="false" outlineLevel="0" collapsed="false">
      <c r="A123" s="12" t="s">
        <v>843</v>
      </c>
      <c r="B123" s="30" t="s">
        <v>104</v>
      </c>
      <c r="C123" s="32" t="n">
        <f aca="false">Price_Grande</f>
        <v>69500</v>
      </c>
      <c r="D123" s="32" t="n">
        <f aca="false">C123</f>
        <v>69500</v>
      </c>
    </row>
    <row r="124" customFormat="false" ht="15" hidden="false" customHeight="false" outlineLevel="0" collapsed="false">
      <c r="A124" s="2" t="s">
        <v>127</v>
      </c>
      <c r="D124" s="31" t="n">
        <f aca="false">IF(ISNUMBER(D123),D123/FX_EUR,"")</f>
        <v>105.95206698</v>
      </c>
    </row>
    <row r="125" customFormat="false" ht="15" hidden="false" customHeight="false" outlineLevel="0" collapsed="false">
      <c r="A125" s="12" t="s">
        <v>184</v>
      </c>
      <c r="B125" s="30" t="s">
        <v>104</v>
      </c>
      <c r="C125" s="32" t="n">
        <f aca="false">Extra_User_Fee</f>
        <v>2500</v>
      </c>
      <c r="D125" s="32" t="n">
        <f aca="false">C125</f>
        <v>2500</v>
      </c>
    </row>
    <row r="126" customFormat="false" ht="15" hidden="false" customHeight="false" outlineLevel="0" collapsed="false">
      <c r="A126" s="2" t="s">
        <v>127</v>
      </c>
      <c r="D126" s="31" t="n">
        <f aca="false">IF(ISNUMBER(D125),D125/FX_EUR,"")</f>
        <v>3.81122543093526</v>
      </c>
    </row>
    <row r="127" customFormat="false" ht="15" hidden="false" customHeight="false" outlineLevel="0" collapsed="false">
      <c r="A127" s="12" t="s">
        <v>844</v>
      </c>
      <c r="B127" s="30" t="s">
        <v>104</v>
      </c>
      <c r="C127" s="32" t="n">
        <f aca="false">Extra_Card_Fee</f>
        <v>2000</v>
      </c>
      <c r="D127" s="32" t="n">
        <f aca="false">C127</f>
        <v>2000</v>
      </c>
    </row>
    <row r="128" customFormat="false" ht="15" hidden="false" customHeight="false" outlineLevel="0" collapsed="false">
      <c r="A128" s="2" t="s">
        <v>127</v>
      </c>
      <c r="D128" s="31" t="n">
        <f aca="false">IF(ISNUMBER(D127),D127/FX_EUR,"")</f>
        <v>3.04898034474821</v>
      </c>
    </row>
    <row r="129" customFormat="false" ht="15" hidden="false" customHeight="false" outlineLevel="0" collapsed="false">
      <c r="A129" s="12" t="s">
        <v>845</v>
      </c>
      <c r="B129" s="30" t="s">
        <v>846</v>
      </c>
      <c r="C129" s="32" t="n">
        <f aca="false">Card_Fee</f>
        <v>5000</v>
      </c>
      <c r="D129" s="32" t="n">
        <f aca="false">C129</f>
        <v>5000</v>
      </c>
    </row>
    <row r="130" customFormat="false" ht="15" hidden="false" customHeight="false" outlineLevel="0" collapsed="false">
      <c r="A130" s="2" t="s">
        <v>127</v>
      </c>
      <c r="D130" s="31" t="n">
        <f aca="false">IF(ISNUMBER(D129),D129/FX_EUR,"")</f>
        <v>7.62245086187052</v>
      </c>
    </row>
    <row r="131" customFormat="false" ht="15" hidden="false" customHeight="false" outlineLevel="0" collapsed="false">
      <c r="A131" s="12" t="s">
        <v>191</v>
      </c>
      <c r="B131" s="30" t="s">
        <v>192</v>
      </c>
      <c r="C131" s="32" t="n">
        <f aca="false">Overage_Fee</f>
        <v>450</v>
      </c>
      <c r="D131" s="32" t="n">
        <f aca="false">C131</f>
        <v>450</v>
      </c>
    </row>
    <row r="132" customFormat="false" ht="15" hidden="false" customHeight="false" outlineLevel="0" collapsed="false">
      <c r="A132" s="2" t="s">
        <v>127</v>
      </c>
      <c r="D132" s="31" t="n">
        <f aca="false">IF(ISNUMBER(D131),D131/FX_EUR,"")</f>
        <v>0.686020577568347</v>
      </c>
    </row>
    <row r="133" customFormat="false" ht="15" hidden="false" customHeight="false" outlineLevel="0" collapsed="false">
      <c r="A133" s="12" t="s">
        <v>194</v>
      </c>
      <c r="B133" s="30" t="s">
        <v>195</v>
      </c>
      <c r="C133" s="33" t="n">
        <f aca="false">MM_Fee</f>
        <v>0.01</v>
      </c>
    </row>
    <row r="134" customFormat="false" ht="15" hidden="false" customHeight="false" outlineLevel="0" collapsed="false">
      <c r="A134" s="12" t="s">
        <v>197</v>
      </c>
      <c r="B134" s="30" t="s">
        <v>192</v>
      </c>
      <c r="C134" s="32" t="n">
        <f aca="false">MM_Fee_Cap</f>
        <v>8500</v>
      </c>
      <c r="D134" s="32" t="n">
        <f aca="false">C134</f>
        <v>8500</v>
      </c>
    </row>
    <row r="135" customFormat="false" ht="15" hidden="false" customHeight="false" outlineLevel="0" collapsed="false">
      <c r="A135" s="2" t="s">
        <v>127</v>
      </c>
      <c r="D135" s="31" t="n">
        <f aca="false">IF(ISNUMBER(D134),D134/FX_EUR,"")</f>
        <v>12.9581664651799</v>
      </c>
    </row>
    <row r="136" customFormat="false" ht="15" hidden="false" customHeight="false" outlineLevel="0" collapsed="false">
      <c r="A136" s="12" t="s">
        <v>847</v>
      </c>
      <c r="B136" s="30" t="s">
        <v>200</v>
      </c>
      <c r="C136" s="32" t="n">
        <f aca="false">Payslip_Fee</f>
        <v>900</v>
      </c>
      <c r="D136" s="32" t="n">
        <f aca="false">C136</f>
        <v>900</v>
      </c>
    </row>
    <row r="137" customFormat="false" ht="15" hidden="false" customHeight="false" outlineLevel="0" collapsed="false">
      <c r="A137" s="2" t="s">
        <v>127</v>
      </c>
      <c r="D137" s="31" t="n">
        <f aca="false">IF(ISNUMBER(D136),D136/FX_EUR,"")</f>
        <v>1.37204115513669</v>
      </c>
    </row>
    <row r="138" customFormat="false" ht="15" hidden="false" customHeight="false" outlineLevel="0" collapsed="false">
      <c r="A138" s="12" t="s">
        <v>848</v>
      </c>
      <c r="B138" s="30" t="s">
        <v>195</v>
      </c>
      <c r="C138" s="33" t="n">
        <f aca="false">Intl_Fee</f>
        <v>0.02</v>
      </c>
    </row>
    <row r="139" customFormat="false" ht="15" hidden="false" customHeight="false" outlineLevel="0" collapsed="false">
      <c r="A139" s="12" t="s">
        <v>849</v>
      </c>
      <c r="B139" s="30" t="s">
        <v>232</v>
      </c>
      <c r="C139" s="33" t="n">
        <f aca="false">FX_Fee</f>
        <v>0.025</v>
      </c>
    </row>
    <row r="140" customFormat="false" ht="15" hidden="false" customHeight="false" outlineLevel="0" collapsed="false">
      <c r="A140" s="12" t="s">
        <v>850</v>
      </c>
      <c r="B140" s="30" t="s">
        <v>195</v>
      </c>
      <c r="C140" s="33" t="n">
        <f aca="false">PL_Fee</f>
        <v>0.012</v>
      </c>
    </row>
    <row r="141" customFormat="false" ht="15" hidden="false" customHeight="false" outlineLevel="0" collapsed="false">
      <c r="A141" s="12" t="s">
        <v>851</v>
      </c>
      <c r="B141" s="30" t="s">
        <v>282</v>
      </c>
      <c r="C141" s="34" t="n">
        <f aca="false">Yield_Line</f>
        <v>0.23</v>
      </c>
    </row>
    <row r="142" customFormat="false" ht="15" hidden="false" customHeight="false" outlineLevel="0" collapsed="false">
      <c r="A142" s="10" t="s">
        <v>670</v>
      </c>
      <c r="B142" s="11"/>
      <c r="C142" s="11"/>
      <c r="D142" s="11"/>
      <c r="E142" s="11"/>
      <c r="F142" s="11"/>
      <c r="G142" s="11"/>
      <c r="H142" s="11"/>
      <c r="I142" s="11"/>
      <c r="J142" s="11"/>
      <c r="K142" s="11"/>
      <c r="L142" s="11"/>
      <c r="M142" s="11"/>
      <c r="N142" s="11"/>
    </row>
    <row r="143" customFormat="false" ht="15" hidden="false" customHeight="false" outlineLevel="0" collapsed="false">
      <c r="A143" s="12" t="s">
        <v>852</v>
      </c>
      <c r="B143" s="30" t="s">
        <v>651</v>
      </c>
      <c r="C143" s="32" t="n">
        <f aca="false">IF(Maak_Option=1,Maak_Lease_EUR,0)</f>
        <v>70000</v>
      </c>
      <c r="D143" s="32" t="n">
        <f aca="false">C143*FX_EUR</f>
        <v>45916990</v>
      </c>
    </row>
    <row r="144" customFormat="false" ht="15" hidden="false" customHeight="false" outlineLevel="0" collapsed="false">
      <c r="A144" s="2" t="s">
        <v>127</v>
      </c>
      <c r="D144" s="31" t="n">
        <f aca="false">IF(ISNUMBER(D143),D143/FX_EUR,"")</f>
        <v>70000</v>
      </c>
    </row>
    <row r="145" customFormat="false" ht="15" hidden="false" customHeight="false" outlineLevel="0" collapsed="false">
      <c r="A145" s="12" t="s">
        <v>671</v>
      </c>
      <c r="B145" s="30" t="s">
        <v>643</v>
      </c>
      <c r="C145" s="32" t="n">
        <f aca="false">INDEX(Cloud_USD,1,1)</f>
        <v>3000</v>
      </c>
      <c r="D145" s="32" t="n">
        <f aca="false">C145*FX_USD</f>
        <v>1740000</v>
      </c>
    </row>
    <row r="146" customFormat="false" ht="15" hidden="false" customHeight="false" outlineLevel="0" collapsed="false">
      <c r="A146" s="2" t="s">
        <v>127</v>
      </c>
      <c r="D146" s="31" t="n">
        <f aca="false">IF(ISNUMBER(D145),D145/FX_EUR,"")</f>
        <v>2652.61289993094</v>
      </c>
    </row>
    <row r="147" customFormat="false" ht="15" hidden="false" customHeight="false" outlineLevel="0" collapsed="false">
      <c r="A147" s="12" t="s">
        <v>678</v>
      </c>
      <c r="B147" s="30" t="s">
        <v>646</v>
      </c>
      <c r="C147" s="32" t="n">
        <f aca="false">INDEX(Monitoring_USD,1,1)</f>
        <v>9000</v>
      </c>
      <c r="D147" s="32" t="n">
        <f aca="false">C147*FX_USD</f>
        <v>5220000</v>
      </c>
    </row>
    <row r="148" customFormat="false" ht="15" hidden="false" customHeight="false" outlineLevel="0" collapsed="false">
      <c r="A148" s="2" t="s">
        <v>127</v>
      </c>
      <c r="D148" s="31" t="n">
        <f aca="false">IF(ISNUMBER(D147),D147/FX_EUR,"")</f>
        <v>7957.83869979282</v>
      </c>
    </row>
    <row r="149" customFormat="false" ht="15" hidden="false" customHeight="false" outlineLevel="0" collapsed="false">
      <c r="A149" s="12" t="s">
        <v>680</v>
      </c>
      <c r="B149" s="30" t="s">
        <v>676</v>
      </c>
      <c r="C149" s="32" t="n">
        <f aca="false">INDEX(Freelance,1,1)</f>
        <v>7900000</v>
      </c>
      <c r="D149" s="32" t="n">
        <f aca="false">C149</f>
        <v>7900000</v>
      </c>
    </row>
    <row r="150" customFormat="false" ht="15" hidden="false" customHeight="false" outlineLevel="0" collapsed="false">
      <c r="A150" s="2" t="s">
        <v>127</v>
      </c>
      <c r="D150" s="31" t="n">
        <f aca="false">IF(ISNUMBER(D149),D149/FX_EUR,"")</f>
        <v>12043.4723617554</v>
      </c>
    </row>
    <row r="151" customFormat="false" ht="15" hidden="false" customHeight="false" outlineLevel="0" collapsed="false">
      <c r="A151" s="12" t="s">
        <v>853</v>
      </c>
      <c r="B151" s="30" t="s">
        <v>615</v>
      </c>
      <c r="C151" s="32" t="n">
        <f aca="false">Laptop_EUR</f>
        <v>500</v>
      </c>
      <c r="D151" s="32" t="n">
        <f aca="false">C151*FX_EUR</f>
        <v>327978.5</v>
      </c>
    </row>
    <row r="152" customFormat="false" ht="15" hidden="false" customHeight="false" outlineLevel="0" collapsed="false">
      <c r="A152" s="2" t="s">
        <v>127</v>
      </c>
      <c r="D152" s="31" t="n">
        <f aca="false">IF(ISNUMBER(D151),D151/FX_EUR,"")</f>
        <v>500</v>
      </c>
    </row>
    <row r="153" customFormat="false" ht="15" hidden="false" customHeight="false" outlineLevel="0" collapsed="false">
      <c r="A153" s="12" t="s">
        <v>854</v>
      </c>
      <c r="B153" s="30" t="s">
        <v>618</v>
      </c>
      <c r="C153" s="32" t="n">
        <f aca="false">Laptop_Dev_USD</f>
        <v>2000</v>
      </c>
      <c r="D153" s="32" t="n">
        <f aca="false">C153*FX_USD</f>
        <v>1160000</v>
      </c>
    </row>
    <row r="154" customFormat="false" ht="15" hidden="false" customHeight="false" outlineLevel="0" collapsed="false">
      <c r="A154" s="2" t="s">
        <v>127</v>
      </c>
      <c r="D154" s="31" t="n">
        <f aca="false">IF(ISNUMBER(D153),D153/FX_EUR,"")</f>
        <v>1768.40859995396</v>
      </c>
    </row>
    <row r="155" customFormat="false" ht="15" hidden="false" customHeight="false" outlineLevel="0" collapsed="false">
      <c r="A155" s="12" t="s">
        <v>855</v>
      </c>
      <c r="B155" s="30" t="s">
        <v>856</v>
      </c>
      <c r="C155" s="32" t="n">
        <f aca="false">Phone_Cost</f>
        <v>5000</v>
      </c>
      <c r="D155" s="32" t="n">
        <f aca="false">C155</f>
        <v>5000</v>
      </c>
    </row>
    <row r="156" customFormat="false" ht="15" hidden="false" customHeight="false" outlineLevel="0" collapsed="false">
      <c r="A156" s="2" t="s">
        <v>127</v>
      </c>
      <c r="D156" s="31" t="n">
        <f aca="false">IF(ISNUMBER(D155),D155/FX_EUR,"")</f>
        <v>7.62245086187052</v>
      </c>
    </row>
    <row r="157" customFormat="false" ht="15" hidden="false" customHeight="false" outlineLevel="0" collapsed="false">
      <c r="A157" s="12" t="s">
        <v>656</v>
      </c>
      <c r="B157" s="30" t="s">
        <v>646</v>
      </c>
      <c r="C157" s="32" t="n">
        <f aca="false">Tech_Audit_USD</f>
        <v>10000</v>
      </c>
      <c r="D157" s="32" t="n">
        <f aca="false">C157*FX_USD</f>
        <v>5800000</v>
      </c>
    </row>
    <row r="158" customFormat="false" ht="15" hidden="false" customHeight="false" outlineLevel="0" collapsed="false">
      <c r="A158" s="2" t="s">
        <v>127</v>
      </c>
      <c r="D158" s="31" t="n">
        <f aca="false">IF(ISNUMBER(D157),D157/FX_EUR,"")</f>
        <v>8842.0429997698</v>
      </c>
    </row>
    <row r="159" customFormat="false" ht="15" hidden="false" customHeight="false" outlineLevel="0" collapsed="false">
      <c r="A159" s="12" t="s">
        <v>857</v>
      </c>
      <c r="B159" s="30" t="s">
        <v>643</v>
      </c>
      <c r="C159" s="32" t="n">
        <f aca="false">Website_USD</f>
        <v>25</v>
      </c>
      <c r="D159" s="32" t="n">
        <f aca="false">C159*FX_USD</f>
        <v>14500</v>
      </c>
    </row>
    <row r="160" customFormat="false" ht="15" hidden="false" customHeight="false" outlineLevel="0" collapsed="false">
      <c r="A160" s="2" t="s">
        <v>127</v>
      </c>
      <c r="D160" s="31" t="n">
        <f aca="false">IF(ISNUMBER(D159),D159/FX_EUR,"")</f>
        <v>22.1051074994245</v>
      </c>
    </row>
    <row r="161" customFormat="false" ht="15" hidden="false" customHeight="false" outlineLevel="0" collapsed="false">
      <c r="A161" s="12" t="s">
        <v>645</v>
      </c>
      <c r="B161" s="30" t="s">
        <v>646</v>
      </c>
      <c r="C161" s="32" t="n">
        <f aca="false">Domain_USD</f>
        <v>20</v>
      </c>
      <c r="D161" s="32" t="n">
        <f aca="false">C161*FX_USD</f>
        <v>11600</v>
      </c>
    </row>
    <row r="162" customFormat="false" ht="15" hidden="false" customHeight="false" outlineLevel="0" collapsed="false">
      <c r="A162" s="2" t="s">
        <v>127</v>
      </c>
      <c r="D162" s="31" t="n">
        <f aca="false">IF(ISNUMBER(D161),D161/FX_EUR,"")</f>
        <v>17.6840859995396</v>
      </c>
    </row>
    <row r="163" customFormat="false" ht="15" hidden="false" customHeight="false" outlineLevel="0" collapsed="false">
      <c r="A163" s="12" t="s">
        <v>636</v>
      </c>
      <c r="B163" s="30" t="s">
        <v>637</v>
      </c>
      <c r="C163" s="32" t="n">
        <f aca="false">Claude_USD</f>
        <v>25</v>
      </c>
      <c r="D163" s="32" t="n">
        <f aca="false">C163*FX_USD</f>
        <v>14500</v>
      </c>
    </row>
    <row r="164" customFormat="false" ht="15" hidden="false" customHeight="false" outlineLevel="0" collapsed="false">
      <c r="A164" s="2" t="s">
        <v>127</v>
      </c>
      <c r="D164" s="31" t="n">
        <f aca="false">IF(ISNUMBER(D163),D163/FX_EUR,"")</f>
        <v>22.1051074994245</v>
      </c>
    </row>
    <row r="165" customFormat="false" ht="15" hidden="false" customHeight="false" outlineLevel="0" collapsed="false">
      <c r="A165" s="12" t="s">
        <v>858</v>
      </c>
      <c r="B165" s="30" t="s">
        <v>657</v>
      </c>
      <c r="C165" s="32" t="n">
        <f aca="false">Proc_Setup_USD</f>
        <v>50000</v>
      </c>
      <c r="D165" s="32" t="n">
        <f aca="false">C165*FX_USD</f>
        <v>29000000</v>
      </c>
    </row>
    <row r="166" customFormat="false" ht="15" hidden="false" customHeight="false" outlineLevel="0" collapsed="false">
      <c r="A166" s="2" t="s">
        <v>127</v>
      </c>
      <c r="D166" s="31" t="n">
        <f aca="false">IF(ISNUMBER(D165),D165/FX_EUR,"")</f>
        <v>44210.214998849</v>
      </c>
    </row>
    <row r="167" customFormat="false" ht="15" hidden="false" customHeight="false" outlineLevel="0" collapsed="false">
      <c r="A167" s="12" t="s">
        <v>682</v>
      </c>
      <c r="B167" s="30" t="s">
        <v>643</v>
      </c>
      <c r="C167" s="32" t="n">
        <f aca="false">INDEX(Proc_Min_USD,1,1)</f>
        <v>5000</v>
      </c>
      <c r="D167" s="32" t="n">
        <f aca="false">C167*FX_USD</f>
        <v>2900000</v>
      </c>
    </row>
    <row r="168" customFormat="false" ht="15" hidden="false" customHeight="false" outlineLevel="0" collapsed="false">
      <c r="A168" s="2" t="s">
        <v>127</v>
      </c>
      <c r="D168" s="31" t="n">
        <f aca="false">IF(ISNUMBER(D167),D167/FX_EUR,"")</f>
        <v>4421.0214998849</v>
      </c>
    </row>
    <row r="169" customFormat="false" ht="15" hidden="false" customHeight="false" outlineLevel="0" collapsed="false">
      <c r="A169" s="10" t="s">
        <v>859</v>
      </c>
      <c r="B169" s="11"/>
      <c r="C169" s="11"/>
      <c r="D169" s="11"/>
      <c r="E169" s="11"/>
      <c r="F169" s="11"/>
      <c r="G169" s="11"/>
      <c r="H169" s="11"/>
      <c r="I169" s="11"/>
      <c r="J169" s="11"/>
      <c r="K169" s="11"/>
      <c r="L169" s="11"/>
      <c r="M169" s="11"/>
      <c r="N169" s="11"/>
    </row>
    <row r="170" customFormat="false" ht="15" hidden="false" customHeight="false" outlineLevel="0" collapsed="false">
      <c r="A170" s="12" t="s">
        <v>860</v>
      </c>
      <c r="B170" s="30" t="s">
        <v>77</v>
      </c>
      <c r="C170" s="32" t="n">
        <f aca="false">Bank_Setup_SN</f>
        <v>15000000</v>
      </c>
      <c r="D170" s="32" t="n">
        <f aca="false">C170</f>
        <v>15000000</v>
      </c>
    </row>
    <row r="171" customFormat="false" ht="15" hidden="false" customHeight="false" outlineLevel="0" collapsed="false">
      <c r="A171" s="2" t="s">
        <v>127</v>
      </c>
      <c r="D171" s="31" t="n">
        <f aca="false">IF(ISNUMBER(D170),D170/FX_EUR,"")</f>
        <v>22867.3525856116</v>
      </c>
    </row>
    <row r="172" customFormat="false" ht="15" hidden="false" customHeight="false" outlineLevel="0" collapsed="false">
      <c r="A172" s="12" t="s">
        <v>691</v>
      </c>
      <c r="B172" s="30" t="s">
        <v>104</v>
      </c>
      <c r="C172" s="32" t="n">
        <f aca="false">INDEX(Bank_Min_SN,1,1)</f>
        <v>1500000</v>
      </c>
      <c r="D172" s="32" t="n">
        <f aca="false">C172</f>
        <v>1500000</v>
      </c>
    </row>
    <row r="173" customFormat="false" ht="15" hidden="false" customHeight="false" outlineLevel="0" collapsed="false">
      <c r="A173" s="2" t="s">
        <v>127</v>
      </c>
      <c r="D173" s="31" t="n">
        <f aca="false">IF(ISNUMBER(D172),D172/FX_EUR,"")</f>
        <v>2286.73525856116</v>
      </c>
    </row>
    <row r="174" customFormat="false" ht="15" hidden="false" customHeight="false" outlineLevel="0" collapsed="false">
      <c r="A174" s="12" t="s">
        <v>861</v>
      </c>
      <c r="B174" s="30" t="s">
        <v>77</v>
      </c>
      <c r="C174" s="32" t="n">
        <f aca="false">Bank_Setup_CI</f>
        <v>15000000</v>
      </c>
      <c r="D174" s="32" t="n">
        <f aca="false">C174</f>
        <v>15000000</v>
      </c>
    </row>
    <row r="175" customFormat="false" ht="15" hidden="false" customHeight="false" outlineLevel="0" collapsed="false">
      <c r="A175" s="2" t="s">
        <v>127</v>
      </c>
      <c r="D175" s="31" t="n">
        <f aca="false">IF(ISNUMBER(D174),D174/FX_EUR,"")</f>
        <v>22867.3525856116</v>
      </c>
    </row>
    <row r="176" customFormat="false" ht="15" hidden="false" customHeight="false" outlineLevel="0" collapsed="false">
      <c r="A176" s="12" t="s">
        <v>862</v>
      </c>
      <c r="B176" s="30" t="s">
        <v>104</v>
      </c>
      <c r="C176" s="32" t="n">
        <f aca="false">INDEX(Bank_Min_CI,1,2)</f>
        <v>1500000</v>
      </c>
      <c r="D176" s="32" t="n">
        <f aca="false">C176</f>
        <v>1500000</v>
      </c>
    </row>
    <row r="177" customFormat="false" ht="15" hidden="false" customHeight="false" outlineLevel="0" collapsed="false">
      <c r="A177" s="2" t="s">
        <v>127</v>
      </c>
      <c r="D177" s="31" t="n">
        <f aca="false">IF(ISNUMBER(D176),D176/FX_EUR,"")</f>
        <v>2286.73525856116</v>
      </c>
    </row>
    <row r="178" customFormat="false" ht="15" hidden="false" customHeight="false" outlineLevel="0" collapsed="false">
      <c r="A178" s="12" t="s">
        <v>863</v>
      </c>
      <c r="B178" s="30" t="s">
        <v>77</v>
      </c>
      <c r="C178" s="32" t="n">
        <f aca="false">SFD_Setup</f>
        <v>5000000</v>
      </c>
      <c r="D178" s="32" t="n">
        <f aca="false">C178</f>
        <v>5000000</v>
      </c>
    </row>
    <row r="179" customFormat="false" ht="15" hidden="false" customHeight="false" outlineLevel="0" collapsed="false">
      <c r="A179" s="2" t="s">
        <v>127</v>
      </c>
      <c r="D179" s="31" t="n">
        <f aca="false">IF(ISNUMBER(D178),D178/FX_EUR,"")</f>
        <v>7622.45086187052</v>
      </c>
    </row>
    <row r="180" customFormat="false" ht="15" hidden="false" customHeight="false" outlineLevel="0" collapsed="false">
      <c r="A180" s="12" t="s">
        <v>864</v>
      </c>
      <c r="B180" s="30" t="s">
        <v>676</v>
      </c>
      <c r="C180" s="32" t="n">
        <f aca="false">INDEX(SFD_Annual,1,2)</f>
        <v>3000000</v>
      </c>
      <c r="D180" s="32" t="n">
        <f aca="false">C180</f>
        <v>3000000</v>
      </c>
    </row>
    <row r="181" customFormat="false" ht="15" hidden="false" customHeight="false" outlineLevel="0" collapsed="false">
      <c r="A181" s="2" t="s">
        <v>127</v>
      </c>
      <c r="D181" s="31" t="n">
        <f aca="false">IF(ISNUMBER(D180),D180/FX_EUR,"")</f>
        <v>4573.47051712231</v>
      </c>
    </row>
    <row r="182" customFormat="false" ht="15" hidden="false" customHeight="false" outlineLevel="0" collapsed="false">
      <c r="A182" s="12" t="s">
        <v>865</v>
      </c>
      <c r="B182" s="30" t="s">
        <v>77</v>
      </c>
      <c r="C182" s="32" t="n">
        <f aca="false">Card_Collateral</f>
        <v>60000000</v>
      </c>
      <c r="D182" s="32" t="n">
        <f aca="false">C182</f>
        <v>60000000</v>
      </c>
    </row>
    <row r="183" customFormat="false" ht="15" hidden="false" customHeight="false" outlineLevel="0" collapsed="false">
      <c r="A183" s="2" t="s">
        <v>127</v>
      </c>
      <c r="D183" s="31" t="n">
        <f aca="false">IF(ISNUMBER(D182),D182/FX_EUR,"")</f>
        <v>91469.4103424462</v>
      </c>
    </row>
    <row r="184" customFormat="false" ht="15" hidden="false" customHeight="false" outlineLevel="0" collapsed="false">
      <c r="A184" s="10" t="s">
        <v>866</v>
      </c>
      <c r="B184" s="11"/>
      <c r="C184" s="11"/>
      <c r="D184" s="11"/>
      <c r="E184" s="11"/>
      <c r="F184" s="11"/>
      <c r="G184" s="11"/>
      <c r="H184" s="11"/>
      <c r="I184" s="11"/>
      <c r="J184" s="11"/>
      <c r="K184" s="11"/>
      <c r="L184" s="11"/>
      <c r="M184" s="11"/>
      <c r="N184" s="11"/>
    </row>
    <row r="185" customFormat="false" ht="15" hidden="false" customHeight="false" outlineLevel="0" collapsed="false">
      <c r="A185" s="12" t="s">
        <v>867</v>
      </c>
      <c r="B185" s="30" t="s">
        <v>77</v>
      </c>
      <c r="C185" s="32" t="n">
        <f aca="false">Company_Setup_SN</f>
        <v>2500000</v>
      </c>
      <c r="D185" s="32" t="n">
        <f aca="false">C185</f>
        <v>2500000</v>
      </c>
    </row>
    <row r="186" customFormat="false" ht="15" hidden="false" customHeight="false" outlineLevel="0" collapsed="false">
      <c r="A186" s="2" t="s">
        <v>127</v>
      </c>
      <c r="D186" s="31" t="n">
        <f aca="false">IF(ISNUMBER(D185),D185/FX_EUR,"")</f>
        <v>3811.22543093526</v>
      </c>
    </row>
    <row r="187" customFormat="false" ht="15" hidden="false" customHeight="false" outlineLevel="0" collapsed="false">
      <c r="A187" s="12" t="s">
        <v>705</v>
      </c>
      <c r="B187" s="30" t="s">
        <v>104</v>
      </c>
      <c r="C187" s="32" t="n">
        <f aca="false">INDEX(Legal_Counsel,1,1)</f>
        <v>1000000</v>
      </c>
      <c r="D187" s="32" t="n">
        <f aca="false">C187</f>
        <v>1000000</v>
      </c>
    </row>
    <row r="188" customFormat="false" ht="15" hidden="false" customHeight="false" outlineLevel="0" collapsed="false">
      <c r="A188" s="2" t="s">
        <v>127</v>
      </c>
      <c r="D188" s="31" t="n">
        <f aca="false">IF(ISNUMBER(D187),D187/FX_EUR,"")</f>
        <v>1524.4901723741</v>
      </c>
    </row>
    <row r="189" customFormat="false" ht="15" hidden="false" customHeight="false" outlineLevel="0" collapsed="false">
      <c r="A189" s="12" t="s">
        <v>868</v>
      </c>
      <c r="B189" s="30" t="s">
        <v>104</v>
      </c>
      <c r="C189" s="32" t="n">
        <f aca="false">INDEX(Accountant_Ext,1,1)</f>
        <v>300000</v>
      </c>
      <c r="D189" s="32" t="n">
        <f aca="false">C189</f>
        <v>300000</v>
      </c>
    </row>
    <row r="190" customFormat="false" ht="15" hidden="false" customHeight="false" outlineLevel="0" collapsed="false">
      <c r="A190" s="2" t="s">
        <v>127</v>
      </c>
      <c r="D190" s="31" t="n">
        <f aca="false">IF(ISNUMBER(D189),D189/FX_EUR,"")</f>
        <v>457.347051712231</v>
      </c>
    </row>
    <row r="191" customFormat="false" ht="15" hidden="false" customHeight="false" outlineLevel="0" collapsed="false">
      <c r="A191" s="12" t="s">
        <v>706</v>
      </c>
      <c r="B191" s="30" t="s">
        <v>676</v>
      </c>
      <c r="C191" s="32" t="n">
        <f aca="false">INDEX(Auditor,1,1)</f>
        <v>5000000</v>
      </c>
      <c r="D191" s="32" t="n">
        <f aca="false">C191</f>
        <v>5000000</v>
      </c>
    </row>
    <row r="192" customFormat="false" ht="15" hidden="false" customHeight="false" outlineLevel="0" collapsed="false">
      <c r="A192" s="2" t="s">
        <v>127</v>
      </c>
      <c r="D192" s="31" t="n">
        <f aca="false">IF(ISNUMBER(D191),D191/FX_EUR,"")</f>
        <v>7622.45086187052</v>
      </c>
    </row>
    <row r="193" customFormat="false" ht="15" hidden="false" customHeight="false" outlineLevel="0" collapsed="false">
      <c r="A193" s="12" t="s">
        <v>869</v>
      </c>
      <c r="B193" s="30" t="s">
        <v>676</v>
      </c>
      <c r="C193" s="32" t="n">
        <f aca="false">INDEX(Data_Protection,1,1)</f>
        <v>3500000</v>
      </c>
      <c r="D193" s="32" t="n">
        <f aca="false">C193</f>
        <v>3500000</v>
      </c>
    </row>
    <row r="194" customFormat="false" ht="15" hidden="false" customHeight="false" outlineLevel="0" collapsed="false">
      <c r="A194" s="2" t="s">
        <v>127</v>
      </c>
      <c r="D194" s="31" t="n">
        <f aca="false">IF(ISNUMBER(D193),D193/FX_EUR,"")</f>
        <v>5335.71560330936</v>
      </c>
    </row>
    <row r="195" customFormat="false" ht="15" hidden="false" customHeight="false" outlineLevel="0" collapsed="false">
      <c r="A195" s="12" t="s">
        <v>870</v>
      </c>
      <c r="B195" s="30" t="s">
        <v>646</v>
      </c>
      <c r="C195" s="32" t="n">
        <f aca="false">INDEX(Insurance_USD,1,1)</f>
        <v>20000</v>
      </c>
      <c r="D195" s="32" t="n">
        <f aca="false">C195*FX_USD</f>
        <v>11600000</v>
      </c>
    </row>
    <row r="196" customFormat="false" ht="15" hidden="false" customHeight="false" outlineLevel="0" collapsed="false">
      <c r="A196" s="2" t="s">
        <v>127</v>
      </c>
      <c r="D196" s="31" t="n">
        <f aca="false">IF(ISNUMBER(D195),D195/FX_EUR,"")</f>
        <v>17684.0859995396</v>
      </c>
    </row>
    <row r="197" customFormat="false" ht="15" hidden="false" customHeight="false" outlineLevel="0" collapsed="false">
      <c r="A197" s="10" t="s">
        <v>871</v>
      </c>
      <c r="B197" s="11"/>
      <c r="C197" s="11"/>
      <c r="D197" s="11"/>
      <c r="E197" s="11"/>
      <c r="F197" s="11"/>
      <c r="G197" s="11"/>
      <c r="H197" s="11"/>
      <c r="I197" s="11"/>
      <c r="J197" s="11"/>
      <c r="K197" s="11"/>
      <c r="L197" s="11"/>
      <c r="M197" s="11"/>
      <c r="N197" s="11"/>
    </row>
    <row r="198" customFormat="false" ht="15" hidden="false" customHeight="false" outlineLevel="0" collapsed="false">
      <c r="A198" s="12" t="s">
        <v>714</v>
      </c>
      <c r="B198" s="30" t="s">
        <v>104</v>
      </c>
      <c r="C198" s="32" t="n">
        <f aca="false">INDEX(Digital_SN,1,1)</f>
        <v>1310000</v>
      </c>
      <c r="D198" s="32" t="n">
        <f aca="false">C198</f>
        <v>1310000</v>
      </c>
    </row>
    <row r="199" customFormat="false" ht="15" hidden="false" customHeight="false" outlineLevel="0" collapsed="false">
      <c r="A199" s="2" t="s">
        <v>127</v>
      </c>
      <c r="D199" s="31" t="n">
        <f aca="false">IF(ISNUMBER(D198),D198/FX_EUR,"")</f>
        <v>1997.08212581008</v>
      </c>
    </row>
    <row r="200" customFormat="false" ht="15" hidden="false" customHeight="false" outlineLevel="0" collapsed="false">
      <c r="A200" s="12" t="s">
        <v>872</v>
      </c>
      <c r="B200" s="30" t="s">
        <v>106</v>
      </c>
      <c r="C200" s="32" t="n">
        <f aca="false">CAC_Digital</f>
        <v>75000</v>
      </c>
      <c r="D200" s="32" t="n">
        <f aca="false">C200</f>
        <v>75000</v>
      </c>
    </row>
    <row r="201" customFormat="false" ht="15" hidden="false" customHeight="false" outlineLevel="0" collapsed="false">
      <c r="A201" s="2" t="s">
        <v>127</v>
      </c>
      <c r="D201" s="31" t="n">
        <f aca="false">IF(ISNUMBER(D200),D200/FX_EUR,"")</f>
        <v>114.336762928058</v>
      </c>
    </row>
    <row r="202" customFormat="false" ht="15" hidden="false" customHeight="false" outlineLevel="0" collapsed="false">
      <c r="A202" s="12" t="s">
        <v>873</v>
      </c>
      <c r="B202" s="30" t="s">
        <v>106</v>
      </c>
      <c r="C202" s="32" t="n">
        <f aca="false">Referral_Fee</f>
        <v>25000</v>
      </c>
      <c r="D202" s="32" t="n">
        <f aca="false">C202</f>
        <v>25000</v>
      </c>
    </row>
    <row r="203" customFormat="false" ht="15" hidden="false" customHeight="false" outlineLevel="0" collapsed="false">
      <c r="A203" s="2" t="s">
        <v>127</v>
      </c>
      <c r="D203" s="31" t="n">
        <f aca="false">IF(ISNUMBER(D202),D202/FX_EUR,"")</f>
        <v>38.1122543093526</v>
      </c>
    </row>
    <row r="204" customFormat="false" ht="15" hidden="false" customHeight="false" outlineLevel="0" collapsed="false">
      <c r="A204" s="12" t="s">
        <v>874</v>
      </c>
      <c r="B204" s="30" t="s">
        <v>875</v>
      </c>
      <c r="C204" s="32" t="n">
        <f aca="false">Rep_Transport</f>
        <v>75000</v>
      </c>
      <c r="D204" s="32" t="n">
        <f aca="false">C204</f>
        <v>75000</v>
      </c>
    </row>
    <row r="205" customFormat="false" ht="15" hidden="false" customHeight="false" outlineLevel="0" collapsed="false">
      <c r="A205" s="2" t="s">
        <v>127</v>
      </c>
      <c r="D205" s="31" t="n">
        <f aca="false">IF(ISNUMBER(D204),D204/FX_EUR,"")</f>
        <v>114.336762928058</v>
      </c>
    </row>
    <row r="206" customFormat="false" ht="15" hidden="false" customHeight="false" outlineLevel="0" collapsed="false">
      <c r="A206" s="12" t="s">
        <v>717</v>
      </c>
      <c r="B206" s="30" t="s">
        <v>676</v>
      </c>
      <c r="C206" s="32" t="n">
        <f aca="false">INDEX(Brand_PR,1,1)</f>
        <v>16400000</v>
      </c>
      <c r="D206" s="32" t="n">
        <f aca="false">C206</f>
        <v>16400000</v>
      </c>
    </row>
    <row r="207" customFormat="false" ht="15" hidden="false" customHeight="false" outlineLevel="0" collapsed="false">
      <c r="A207" s="2" t="s">
        <v>127</v>
      </c>
      <c r="D207" s="31" t="n">
        <f aca="false">IF(ISNUMBER(D206),D206/FX_EUR,"")</f>
        <v>25001.6388269353</v>
      </c>
    </row>
    <row r="208" customFormat="false" ht="15" hidden="false" customHeight="false" outlineLevel="0" collapsed="false">
      <c r="A208" s="12" t="s">
        <v>719</v>
      </c>
      <c r="B208" s="30" t="s">
        <v>676</v>
      </c>
      <c r="C208" s="32" t="n">
        <f aca="false">INDEX(Events,1,1)</f>
        <v>9840000</v>
      </c>
      <c r="D208" s="32" t="n">
        <f aca="false">C208</f>
        <v>9840000</v>
      </c>
    </row>
    <row r="209" customFormat="false" ht="15" hidden="false" customHeight="false" outlineLevel="0" collapsed="false">
      <c r="A209" s="2" t="s">
        <v>127</v>
      </c>
      <c r="D209" s="31" t="n">
        <f aca="false">IF(ISNUMBER(D208),D208/FX_EUR,"")</f>
        <v>15000.9832961612</v>
      </c>
    </row>
    <row r="210" customFormat="false" ht="15" hidden="false" customHeight="false" outlineLevel="0" collapsed="false">
      <c r="A210" s="12" t="s">
        <v>876</v>
      </c>
      <c r="B210" s="30" t="s">
        <v>676</v>
      </c>
      <c r="C210" s="32" t="n">
        <f aca="false">INDEX(Travel,1,1)</f>
        <v>5250000</v>
      </c>
      <c r="D210" s="32" t="n">
        <f aca="false">C210</f>
        <v>5250000</v>
      </c>
    </row>
    <row r="211" customFormat="false" ht="15" hidden="false" customHeight="false" outlineLevel="0" collapsed="false">
      <c r="A211" s="2" t="s">
        <v>127</v>
      </c>
      <c r="D211" s="31" t="n">
        <f aca="false">IF(ISNUMBER(D210),D210/FX_EUR,"")</f>
        <v>8003.57340496405</v>
      </c>
    </row>
    <row r="212" customFormat="false" ht="15" hidden="false" customHeight="false" outlineLevel="0" collapsed="false">
      <c r="A212" s="12" t="s">
        <v>722</v>
      </c>
      <c r="B212" s="30" t="s">
        <v>104</v>
      </c>
      <c r="C212" s="32" t="n">
        <f aca="false">INDEX(Misc,1,1)</f>
        <v>300000</v>
      </c>
      <c r="D212" s="32" t="n">
        <f aca="false">C212</f>
        <v>300000</v>
      </c>
    </row>
    <row r="213" customFormat="false" ht="15" hidden="false" customHeight="false" outlineLevel="0" collapsed="false">
      <c r="A213" s="2" t="s">
        <v>127</v>
      </c>
      <c r="D213" s="31" t="n">
        <f aca="false">IF(ISNUMBER(D212),D212/FX_EUR,"")</f>
        <v>457.347051712231</v>
      </c>
    </row>
    <row r="214" customFormat="false" ht="15" hidden="false" customHeight="false" outlineLevel="0" collapsed="false">
      <c r="A214" s="12" t="s">
        <v>877</v>
      </c>
      <c r="B214" s="30" t="s">
        <v>615</v>
      </c>
      <c r="C214" s="32" t="n">
        <f aca="false">Agency_Fee_EUR</f>
        <v>800</v>
      </c>
      <c r="D214" s="32" t="n">
        <f aca="false">C214*FX_EUR</f>
        <v>524765.6</v>
      </c>
    </row>
    <row r="215" customFormat="false" ht="15" hidden="false" customHeight="false" outlineLevel="0" collapsed="false">
      <c r="A215" s="2" t="s">
        <v>127</v>
      </c>
      <c r="D215" s="31" t="n">
        <f aca="false">IF(ISNUMBER(D214),D214/FX_EUR,"")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878</v>
      </c>
    </row>
    <row r="4" customFormat="false" ht="42" hidden="false" customHeight="true" outlineLevel="0" collapsed="false">
      <c r="A4" s="28" t="s">
        <v>879</v>
      </c>
      <c r="B4" s="28" t="s">
        <v>880</v>
      </c>
      <c r="C4" s="28" t="s">
        <v>741</v>
      </c>
      <c r="D4" s="28" t="s">
        <v>742</v>
      </c>
      <c r="E4" s="28" t="s">
        <v>881</v>
      </c>
      <c r="F4" s="28" t="s">
        <v>882</v>
      </c>
      <c r="G4" s="28" t="s">
        <v>883</v>
      </c>
      <c r="H4" s="28" t="s">
        <v>884</v>
      </c>
      <c r="I4" s="28" t="s">
        <v>885</v>
      </c>
      <c r="J4" s="28" t="s">
        <v>886</v>
      </c>
      <c r="K4" s="28" t="s">
        <v>887</v>
      </c>
      <c r="L4" s="28" t="s">
        <v>215</v>
      </c>
      <c r="M4" s="28" t="s">
        <v>888</v>
      </c>
      <c r="N4" s="28" t="s">
        <v>889</v>
      </c>
    </row>
    <row r="5" customFormat="false" ht="15" hidden="false" customHeight="false" outlineLevel="0" collapsed="false">
      <c r="A5" s="14" t="n">
        <v>1</v>
      </c>
      <c r="B5" s="50" t="s">
        <v>890</v>
      </c>
      <c r="C5" s="50" t="s">
        <v>891</v>
      </c>
      <c r="D5" s="50" t="s">
        <v>754</v>
      </c>
      <c r="E5" s="50"/>
      <c r="F5" s="39" t="n">
        <v>1</v>
      </c>
      <c r="G5" s="41" t="n">
        <v>13</v>
      </c>
      <c r="H5" s="41"/>
      <c r="I5" s="39" t="n">
        <v>2500000</v>
      </c>
      <c r="J5" s="50" t="s">
        <v>892</v>
      </c>
      <c r="K5" s="32" t="n">
        <f aca="false">IF(I5="",0,I5*(1+Employer_Charges))</f>
        <v>3250000</v>
      </c>
      <c r="L5" s="14" t="s">
        <v>893</v>
      </c>
      <c r="M5" s="51" t="n">
        <f aca="false">IF(N(I5)=0,0,I5/FX_EUR)</f>
        <v>3811.22543093526</v>
      </c>
      <c r="N5" s="51" t="n">
        <f aca="false">IF(N(K5)=0,0,K5/FX_EUR)</f>
        <v>4954.59306021584</v>
      </c>
    </row>
    <row r="6" customFormat="false" ht="15" hidden="false" customHeight="false" outlineLevel="0" collapsed="false">
      <c r="A6" s="14" t="n">
        <v>2</v>
      </c>
      <c r="B6" s="50" t="s">
        <v>894</v>
      </c>
      <c r="C6" s="50" t="s">
        <v>895</v>
      </c>
      <c r="D6" s="50" t="s">
        <v>754</v>
      </c>
      <c r="E6" s="50"/>
      <c r="F6" s="39" t="n">
        <v>1</v>
      </c>
      <c r="G6" s="41" t="n">
        <v>1</v>
      </c>
      <c r="H6" s="41"/>
      <c r="I6" s="39" t="n">
        <v>2500000</v>
      </c>
      <c r="J6" s="50" t="s">
        <v>892</v>
      </c>
      <c r="K6" s="32" t="n">
        <f aca="false">IF(I6="",0,I6*(1+Employer_Charges))</f>
        <v>3250000</v>
      </c>
      <c r="L6" s="14" t="s">
        <v>896</v>
      </c>
      <c r="M6" s="51" t="n">
        <f aca="false">IF(N(I6)=0,0,I6/FX_EUR)</f>
        <v>3811.22543093526</v>
      </c>
      <c r="N6" s="51" t="n">
        <f aca="false">IF(N(K6)=0,0,K6/FX_EUR)</f>
        <v>4954.59306021584</v>
      </c>
    </row>
    <row r="7" customFormat="false" ht="15" hidden="false" customHeight="false" outlineLevel="0" collapsed="false">
      <c r="A7" s="14" t="n">
        <v>3</v>
      </c>
      <c r="B7" s="50" t="s">
        <v>897</v>
      </c>
      <c r="C7" s="50" t="s">
        <v>898</v>
      </c>
      <c r="D7" s="50" t="s">
        <v>754</v>
      </c>
      <c r="E7" s="50"/>
      <c r="F7" s="39" t="n">
        <v>1</v>
      </c>
      <c r="G7" s="41" t="n">
        <v>1</v>
      </c>
      <c r="H7" s="41"/>
      <c r="I7" s="39" t="n">
        <v>1500000</v>
      </c>
      <c r="J7" s="50" t="s">
        <v>892</v>
      </c>
      <c r="K7" s="32" t="n">
        <f aca="false">IF(I7="",0,I7*(1+Employer_Charges))</f>
        <v>1950000</v>
      </c>
      <c r="L7" s="14" t="s">
        <v>899</v>
      </c>
      <c r="M7" s="51" t="n">
        <f aca="false">IF(N(I7)=0,0,I7/FX_EUR)</f>
        <v>2286.73525856116</v>
      </c>
      <c r="N7" s="51" t="n">
        <f aca="false">IF(N(K7)=0,0,K7/FX_EUR)</f>
        <v>2972.7558361295</v>
      </c>
    </row>
    <row r="8" customFormat="false" ht="15" hidden="false" customHeight="false" outlineLevel="0" collapsed="false">
      <c r="A8" s="14" t="n">
        <v>4</v>
      </c>
      <c r="B8" s="50" t="s">
        <v>900</v>
      </c>
      <c r="C8" s="50" t="s">
        <v>901</v>
      </c>
      <c r="D8" s="50" t="s">
        <v>754</v>
      </c>
      <c r="E8" s="50" t="s">
        <v>902</v>
      </c>
      <c r="F8" s="39" t="n">
        <v>1</v>
      </c>
      <c r="G8" s="41" t="n">
        <v>1</v>
      </c>
      <c r="H8" s="41"/>
      <c r="I8" s="39" t="n">
        <v>1200000</v>
      </c>
      <c r="J8" s="50" t="s">
        <v>903</v>
      </c>
      <c r="K8" s="32" t="n">
        <f aca="false">IF(I8="",0,I8*(1+Employer_Charges))</f>
        <v>1560000</v>
      </c>
      <c r="L8" s="14" t="s">
        <v>904</v>
      </c>
      <c r="M8" s="51" t="n">
        <f aca="false">IF(N(I8)=0,0,I8/FX_EUR)</f>
        <v>1829.38820684892</v>
      </c>
      <c r="N8" s="51" t="n">
        <f aca="false">IF(N(K8)=0,0,K8/FX_EUR)</f>
        <v>2378.2046689036</v>
      </c>
    </row>
    <row r="9" customFormat="false" ht="15" hidden="false" customHeight="false" outlineLevel="0" collapsed="false">
      <c r="A9" s="14" t="n">
        <v>5</v>
      </c>
      <c r="B9" s="50" t="s">
        <v>905</v>
      </c>
      <c r="C9" s="50" t="s">
        <v>906</v>
      </c>
      <c r="D9" s="50" t="s">
        <v>754</v>
      </c>
      <c r="E9" s="50"/>
      <c r="F9" s="39" t="n">
        <v>1</v>
      </c>
      <c r="G9" s="41" t="n">
        <v>4</v>
      </c>
      <c r="H9" s="41"/>
      <c r="I9" s="39" t="n">
        <v>900000</v>
      </c>
      <c r="J9" s="50" t="s">
        <v>903</v>
      </c>
      <c r="K9" s="32" t="n">
        <f aca="false">IF(I9="",0,I9*(1+Employer_Charges))</f>
        <v>1170000</v>
      </c>
      <c r="L9" s="14" t="s">
        <v>907</v>
      </c>
      <c r="M9" s="51" t="n">
        <f aca="false">IF(N(I9)=0,0,I9/FX_EUR)</f>
        <v>1372.04115513669</v>
      </c>
      <c r="N9" s="51" t="n">
        <f aca="false">IF(N(K9)=0,0,K9/FX_EUR)</f>
        <v>1783.6535016777</v>
      </c>
    </row>
    <row r="10" customFormat="false" ht="15" hidden="false" customHeight="false" outlineLevel="0" collapsed="false">
      <c r="A10" s="14" t="n">
        <v>6</v>
      </c>
      <c r="B10" s="50" t="s">
        <v>905</v>
      </c>
      <c r="C10" s="50" t="s">
        <v>908</v>
      </c>
      <c r="D10" s="50" t="s">
        <v>754</v>
      </c>
      <c r="E10" s="50"/>
      <c r="F10" s="39" t="n">
        <v>1</v>
      </c>
      <c r="G10" s="41" t="n">
        <v>5</v>
      </c>
      <c r="H10" s="41"/>
      <c r="I10" s="39" t="n">
        <v>400000</v>
      </c>
      <c r="J10" s="50" t="s">
        <v>903</v>
      </c>
      <c r="K10" s="32" t="n">
        <f aca="false">IF(I10="",0,I10*(1+Employer_Charges))</f>
        <v>520000</v>
      </c>
      <c r="L10" s="14" t="s">
        <v>909</v>
      </c>
      <c r="M10" s="51" t="n">
        <f aca="false">IF(N(I10)=0,0,I10/FX_EUR)</f>
        <v>609.796068949642</v>
      </c>
      <c r="N10" s="51" t="n">
        <f aca="false">IF(N(K10)=0,0,K10/FX_EUR)</f>
        <v>792.734889634534</v>
      </c>
    </row>
    <row r="11" customFormat="false" ht="15" hidden="false" customHeight="false" outlineLevel="0" collapsed="false">
      <c r="A11" s="14" t="n">
        <v>7</v>
      </c>
      <c r="B11" s="50" t="s">
        <v>890</v>
      </c>
      <c r="C11" s="50" t="s">
        <v>910</v>
      </c>
      <c r="D11" s="50" t="s">
        <v>758</v>
      </c>
      <c r="E11" s="50"/>
      <c r="F11" s="39" t="n">
        <v>1</v>
      </c>
      <c r="G11" s="52" t="n">
        <f aca="false">CI_Office_Start</f>
        <v>18</v>
      </c>
      <c r="H11" s="41"/>
      <c r="I11" s="39" t="n">
        <v>2800000</v>
      </c>
      <c r="J11" s="50" t="s">
        <v>892</v>
      </c>
      <c r="K11" s="32" t="n">
        <f aca="false">IF(I11="",0,I11*(1+Employer_Charges))</f>
        <v>3640000</v>
      </c>
      <c r="L11" s="14" t="s">
        <v>911</v>
      </c>
      <c r="M11" s="51" t="n">
        <f aca="false">IF(N(I11)=0,0,I11/FX_EUR)</f>
        <v>4268.57248264749</v>
      </c>
      <c r="N11" s="51" t="n">
        <f aca="false">IF(N(K11)=0,0,K11/FX_EUR)</f>
        <v>5549.14422744174</v>
      </c>
    </row>
    <row r="12" customFormat="false" ht="15" hidden="false" customHeight="false" outlineLevel="0" collapsed="false">
      <c r="A12" s="14" t="n">
        <v>8</v>
      </c>
      <c r="B12" s="50" t="s">
        <v>912</v>
      </c>
      <c r="C12" s="50" t="s">
        <v>913</v>
      </c>
      <c r="D12" s="50" t="s">
        <v>754</v>
      </c>
      <c r="E12" s="50"/>
      <c r="F12" s="39" t="n">
        <v>1</v>
      </c>
      <c r="G12" s="52" t="n">
        <f aca="false">SFD_Acq_Month</f>
        <v>24</v>
      </c>
      <c r="H12" s="41"/>
      <c r="I12" s="39" t="n">
        <v>1500000</v>
      </c>
      <c r="J12" s="50" t="s">
        <v>892</v>
      </c>
      <c r="K12" s="32" t="n">
        <f aca="false">IF(I12="",0,I12*(1+Employer_Charges))</f>
        <v>1950000</v>
      </c>
      <c r="L12" s="14" t="s">
        <v>914</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915</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916</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920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92</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92</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92</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92</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92</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92</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92</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92</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92</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92</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92</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92</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92</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92</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92</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92</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92</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92</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92</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92</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92</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92</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92</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92</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92</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92</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92</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92</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921</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77</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77</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77</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77</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77</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77</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77</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77</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77</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77</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77</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77</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77</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77</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77</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77</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77</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77</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77</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77</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77</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77</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77</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77</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77</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77</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77</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77</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922</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923</v>
      </c>
      <c r="B69" s="14" t="s">
        <v>92</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924</v>
      </c>
      <c r="B70" s="14" t="s">
        <v>92</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925</v>
      </c>
      <c r="B71" s="14" t="s">
        <v>92</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926</v>
      </c>
      <c r="B72" s="14" t="s">
        <v>92</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927</v>
      </c>
      <c r="B73" s="14" t="s">
        <v>92</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928</v>
      </c>
      <c r="B74" s="14" t="s">
        <v>77</v>
      </c>
      <c r="D74" s="55" t="n">
        <f aca="false">SUM(E74:BL74)</f>
        <v>223930334.0625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650000</v>
      </c>
      <c r="I74" s="32" t="n">
        <f aca="false">I69*Salary_Support*(1+Employer_Charges)*(1+Salary_Raise)^(I$5-1)</f>
        <v>650000</v>
      </c>
      <c r="J74" s="32" t="n">
        <f aca="false">J69*Salary_Support*(1+Employer_Charges)*(1+Salary_Raise)^(J$5-1)</f>
        <v>650000</v>
      </c>
      <c r="K74" s="32" t="n">
        <f aca="false">K69*Salary_Support*(1+Employer_Charges)*(1+Salary_Raise)^(K$5-1)</f>
        <v>650000</v>
      </c>
      <c r="L74" s="32" t="n">
        <f aca="false">L69*Salary_Support*(1+Employer_Charges)*(1+Salary_Raise)^(L$5-1)</f>
        <v>650000</v>
      </c>
      <c r="M74" s="32" t="n">
        <f aca="false">M69*Salary_Support*(1+Employer_Charges)*(1+Salary_Raise)^(M$5-1)</f>
        <v>650000</v>
      </c>
      <c r="N74" s="32" t="n">
        <f aca="false">N69*Salary_Support*(1+Employer_Charges)*(1+Salary_Raise)^(N$5-1)</f>
        <v>650000</v>
      </c>
      <c r="O74" s="32" t="n">
        <f aca="false">O69*Salary_Support*(1+Employer_Charges)*(1+Salary_Raise)^(O$5-1)</f>
        <v>650000</v>
      </c>
      <c r="P74" s="32" t="n">
        <f aca="false">P69*Salary_Support*(1+Employer_Charges)*(1+Salary_Raise)^(P$5-1)</f>
        <v>650000</v>
      </c>
      <c r="Q74" s="32" t="n">
        <f aca="false">Q69*Salary_Support*(1+Employer_Charges)*(1+Salary_Raise)^(Q$5-1)</f>
        <v>682500</v>
      </c>
      <c r="R74" s="32" t="n">
        <f aca="false">R69*Salary_Support*(1+Employer_Charges)*(1+Salary_Raise)^(R$5-1)</f>
        <v>682500</v>
      </c>
      <c r="S74" s="32" t="n">
        <f aca="false">S69*Salary_Support*(1+Employer_Charges)*(1+Salary_Raise)^(S$5-1)</f>
        <v>682500</v>
      </c>
      <c r="T74" s="32" t="n">
        <f aca="false">T69*Salary_Support*(1+Employer_Charges)*(1+Salary_Raise)^(T$5-1)</f>
        <v>682500</v>
      </c>
      <c r="U74" s="32" t="n">
        <f aca="false">U69*Salary_Support*(1+Employer_Charges)*(1+Salary_Raise)^(U$5-1)</f>
        <v>682500</v>
      </c>
      <c r="V74" s="32" t="n">
        <f aca="false">V69*Salary_Support*(1+Employer_Charges)*(1+Salary_Raise)^(V$5-1)</f>
        <v>682500</v>
      </c>
      <c r="W74" s="32" t="n">
        <f aca="false">W69*Salary_Support*(1+Employer_Charges)*(1+Salary_Raise)^(W$5-1)</f>
        <v>682500</v>
      </c>
      <c r="X74" s="32" t="n">
        <f aca="false">X69*Salary_Support*(1+Employer_Charges)*(1+Salary_Raise)^(X$5-1)</f>
        <v>682500</v>
      </c>
      <c r="Y74" s="32" t="n">
        <f aca="false">Y69*Salary_Support*(1+Employer_Charges)*(1+Salary_Raise)^(Y$5-1)</f>
        <v>1023750</v>
      </c>
      <c r="Z74" s="32" t="n">
        <f aca="false">Z69*Salary_Support*(1+Employer_Charges)*(1+Salary_Raise)^(Z$5-1)</f>
        <v>1023750</v>
      </c>
      <c r="AA74" s="32" t="n">
        <f aca="false">AA69*Salary_Support*(1+Employer_Charges)*(1+Salary_Raise)^(AA$5-1)</f>
        <v>1023750</v>
      </c>
      <c r="AB74" s="32" t="n">
        <f aca="false">AB69*Salary_Support*(1+Employer_Charges)*(1+Salary_Raise)^(AB$5-1)</f>
        <v>1023750</v>
      </c>
      <c r="AC74" s="32" t="n">
        <f aca="false">AC69*Salary_Support*(1+Employer_Charges)*(1+Salary_Raise)^(AC$5-1)</f>
        <v>1433250</v>
      </c>
      <c r="AD74" s="32" t="n">
        <f aca="false">AD69*Salary_Support*(1+Employer_Charges)*(1+Salary_Raise)^(AD$5-1)</f>
        <v>1433250</v>
      </c>
      <c r="AE74" s="32" t="n">
        <f aca="false">AE69*Salary_Support*(1+Employer_Charges)*(1+Salary_Raise)^(AE$5-1)</f>
        <v>1433250</v>
      </c>
      <c r="AF74" s="32" t="n">
        <f aca="false">AF69*Salary_Support*(1+Employer_Charges)*(1+Salary_Raise)^(AF$5-1)</f>
        <v>1791562.5</v>
      </c>
      <c r="AG74" s="32" t="n">
        <f aca="false">AG69*Salary_Support*(1+Employer_Charges)*(1+Salary_Raise)^(AG$5-1)</f>
        <v>2508187.5</v>
      </c>
      <c r="AH74" s="32" t="n">
        <f aca="false">AH69*Salary_Support*(1+Employer_Charges)*(1+Salary_Raise)^(AH$5-1)</f>
        <v>2508187.5</v>
      </c>
      <c r="AI74" s="32" t="n">
        <f aca="false">AI69*Salary_Support*(1+Employer_Charges)*(1+Salary_Raise)^(AI$5-1)</f>
        <v>2866500</v>
      </c>
      <c r="AJ74" s="32" t="n">
        <f aca="false">AJ69*Salary_Support*(1+Employer_Charges)*(1+Salary_Raise)^(AJ$5-1)</f>
        <v>2866500</v>
      </c>
      <c r="AK74" s="32" t="n">
        <f aca="false">AK69*Salary_Support*(1+Employer_Charges)*(1+Salary_Raise)^(AK$5-1)</f>
        <v>3224812.5</v>
      </c>
      <c r="AL74" s="32" t="n">
        <f aca="false">AL69*Salary_Support*(1+Employer_Charges)*(1+Salary_Raise)^(AL$5-1)</f>
        <v>3224812.5</v>
      </c>
      <c r="AM74" s="32" t="n">
        <f aca="false">AM69*Salary_Support*(1+Employer_Charges)*(1+Salary_Raise)^(AM$5-1)</f>
        <v>3583125</v>
      </c>
      <c r="AN74" s="32" t="n">
        <f aca="false">AN69*Salary_Support*(1+Employer_Charges)*(1+Salary_Raise)^(AN$5-1)</f>
        <v>3583125</v>
      </c>
      <c r="AO74" s="32" t="n">
        <f aca="false">AO69*Salary_Support*(1+Employer_Charges)*(1+Salary_Raise)^(AO$5-1)</f>
        <v>4138509.375</v>
      </c>
      <c r="AP74" s="32" t="n">
        <f aca="false">AP69*Salary_Support*(1+Employer_Charges)*(1+Salary_Raise)^(AP$5-1)</f>
        <v>4138509.375</v>
      </c>
      <c r="AQ74" s="32" t="n">
        <f aca="false">AQ69*Salary_Support*(1+Employer_Charges)*(1+Salary_Raise)^(AQ$5-1)</f>
        <v>4514737.5</v>
      </c>
      <c r="AR74" s="32" t="n">
        <f aca="false">AR69*Salary_Support*(1+Employer_Charges)*(1+Salary_Raise)^(AR$5-1)</f>
        <v>4890965.625</v>
      </c>
      <c r="AS74" s="32" t="n">
        <f aca="false">AS69*Salary_Support*(1+Employer_Charges)*(1+Salary_Raise)^(AS$5-1)</f>
        <v>4890965.625</v>
      </c>
      <c r="AT74" s="32" t="n">
        <f aca="false">AT69*Salary_Support*(1+Employer_Charges)*(1+Salary_Raise)^(AT$5-1)</f>
        <v>5267193.75</v>
      </c>
      <c r="AU74" s="32" t="n">
        <f aca="false">AU69*Salary_Support*(1+Employer_Charges)*(1+Salary_Raise)^(AU$5-1)</f>
        <v>5643421.875</v>
      </c>
      <c r="AV74" s="32" t="n">
        <f aca="false">AV69*Salary_Support*(1+Employer_Charges)*(1+Salary_Raise)^(AV$5-1)</f>
        <v>5643421.875</v>
      </c>
      <c r="AW74" s="32" t="n">
        <f aca="false">AW69*Salary_Support*(1+Employer_Charges)*(1+Salary_Raise)^(AW$5-1)</f>
        <v>6019650</v>
      </c>
      <c r="AX74" s="32" t="n">
        <f aca="false">AX69*Salary_Support*(1+Employer_Charges)*(1+Salary_Raise)^(AX$5-1)</f>
        <v>6395878.125</v>
      </c>
      <c r="AY74" s="32" t="n">
        <f aca="false">AY69*Salary_Support*(1+Employer_Charges)*(1+Salary_Raise)^(AY$5-1)</f>
        <v>6772106.25</v>
      </c>
      <c r="AZ74" s="32" t="n">
        <f aca="false">AZ69*Salary_Support*(1+Employer_Charges)*(1+Salary_Raise)^(AZ$5-1)</f>
        <v>6772106.25</v>
      </c>
      <c r="BA74" s="32" t="n">
        <f aca="false">BA69*Salary_Support*(1+Employer_Charges)*(1+Salary_Raise)^(BA$5-1)</f>
        <v>7505751.09375</v>
      </c>
      <c r="BB74" s="32" t="n">
        <f aca="false">BB69*Salary_Support*(1+Employer_Charges)*(1+Salary_Raise)^(BB$5-1)</f>
        <v>7900790.625</v>
      </c>
      <c r="BC74" s="32" t="n">
        <f aca="false">BC69*Salary_Support*(1+Employer_Charges)*(1+Salary_Raise)^(BC$5-1)</f>
        <v>8295830.15625</v>
      </c>
      <c r="BD74" s="32" t="n">
        <f aca="false">BD69*Salary_Support*(1+Employer_Charges)*(1+Salary_Raise)^(BD$5-1)</f>
        <v>8690869.6875</v>
      </c>
      <c r="BE74" s="32" t="n">
        <f aca="false">BE69*Salary_Support*(1+Employer_Charges)*(1+Salary_Raise)^(BE$5-1)</f>
        <v>8690869.6875</v>
      </c>
      <c r="BF74" s="32" t="n">
        <f aca="false">BF69*Salary_Support*(1+Employer_Charges)*(1+Salary_Raise)^(BF$5-1)</f>
        <v>9085909.21875</v>
      </c>
      <c r="BG74" s="32" t="n">
        <f aca="false">BG69*Salary_Support*(1+Employer_Charges)*(1+Salary_Raise)^(BG$5-1)</f>
        <v>9480948.75</v>
      </c>
      <c r="BH74" s="32" t="n">
        <f aca="false">BH69*Salary_Support*(1+Employer_Charges)*(1+Salary_Raise)^(BH$5-1)</f>
        <v>9875988.28125</v>
      </c>
      <c r="BI74" s="32" t="n">
        <f aca="false">BI69*Salary_Support*(1+Employer_Charges)*(1+Salary_Raise)^(BI$5-1)</f>
        <v>10271027.8125</v>
      </c>
      <c r="BJ74" s="32" t="n">
        <f aca="false">BJ69*Salary_Support*(1+Employer_Charges)*(1+Salary_Raise)^(BJ$5-1)</f>
        <v>10666067.34375</v>
      </c>
      <c r="BK74" s="32" t="n">
        <f aca="false">BK69*Salary_Support*(1+Employer_Charges)*(1+Salary_Raise)^(BK$5-1)</f>
        <v>11061106.875</v>
      </c>
      <c r="BL74" s="32" t="n">
        <f aca="false">BL69*Salary_Support*(1+Employer_Charges)*(1+Salary_Raise)^(BL$5-1)</f>
        <v>11456146.40625</v>
      </c>
    </row>
    <row r="75" customFormat="false" ht="15" hidden="false" customHeight="false" outlineLevel="0" collapsed="false">
      <c r="A75" s="12" t="s">
        <v>929</v>
      </c>
      <c r="B75" s="14" t="s">
        <v>77</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930</v>
      </c>
      <c r="B76" s="14" t="s">
        <v>77</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931</v>
      </c>
      <c r="B77" s="14" t="s">
        <v>77</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932</v>
      </c>
      <c r="B78" s="14" t="s">
        <v>77</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933</v>
      </c>
      <c r="B79" s="14" t="s">
        <v>92</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934</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935</v>
      </c>
      <c r="B82" s="14" t="s">
        <v>92</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936</v>
      </c>
      <c r="B83" s="14" t="s">
        <v>92</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937</v>
      </c>
      <c r="B84" s="14" t="s">
        <v>92</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938</v>
      </c>
      <c r="B85" s="14" t="s">
        <v>92</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939</v>
      </c>
      <c r="B86" s="14" t="s">
        <v>92</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940</v>
      </c>
      <c r="B87" s="14" t="s">
        <v>92</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941</v>
      </c>
      <c r="B88" s="14" t="s">
        <v>92</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942</v>
      </c>
      <c r="B89" s="14" t="s">
        <v>92</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943</v>
      </c>
      <c r="B90" s="14" t="s">
        <v>77</v>
      </c>
      <c r="D90" s="55" t="n">
        <f aca="false">SUM(E90:BL90)</f>
        <v>355069191.75</v>
      </c>
      <c r="E90" s="32" t="n">
        <f aca="false">SUMIF('Hiring plan'!$B$5:$B$32,"Leadership",E39:E66)+0</f>
        <v>0</v>
      </c>
      <c r="F90" s="32" t="n">
        <f aca="false">SUMIF('Hiring plan'!$B$5:$B$32,"Leadership",F39:F66)+0</f>
        <v>0</v>
      </c>
      <c r="G90" s="32" t="n">
        <f aca="false">SUMIF('Hiring plan'!$B$5:$B$32,"Leadership",G39:G66)+0</f>
        <v>0</v>
      </c>
      <c r="H90" s="32" t="n">
        <f aca="false">SUMIF('Hiring plan'!$B$5:$B$32,"Leadership",H39:H66)+0</f>
        <v>0</v>
      </c>
      <c r="I90" s="32" t="n">
        <f aca="false">SUMIF('Hiring plan'!$B$5:$B$32,"Leadership",I39:I66)+0</f>
        <v>0</v>
      </c>
      <c r="J90" s="32" t="n">
        <f aca="false">SUMIF('Hiring plan'!$B$5:$B$32,"Leadership",J39:J66)+0</f>
        <v>0</v>
      </c>
      <c r="K90" s="32" t="n">
        <f aca="false">SUMIF('Hiring plan'!$B$5:$B$32,"Leadership",K39:K66)+0</f>
        <v>0</v>
      </c>
      <c r="L90" s="32" t="n">
        <f aca="false">SUMIF('Hiring plan'!$B$5:$B$32,"Leadership",L39:L66)+0</f>
        <v>0</v>
      </c>
      <c r="M90" s="32" t="n">
        <f aca="false">SUMIF('Hiring plan'!$B$5:$B$32,"Leadership",M39:M66)+0</f>
        <v>0</v>
      </c>
      <c r="N90" s="32" t="n">
        <f aca="false">SUMIF('Hiring plan'!$B$5:$B$32,"Leadership",N39:N66)+0</f>
        <v>0</v>
      </c>
      <c r="O90" s="32" t="n">
        <f aca="false">SUMIF('Hiring plan'!$B$5:$B$32,"Leadership",O39:O66)+0</f>
        <v>0</v>
      </c>
      <c r="P90" s="32" t="n">
        <f aca="false">SUMIF('Hiring plan'!$B$5:$B$32,"Leadership",P39:P66)+0</f>
        <v>0</v>
      </c>
      <c r="Q90" s="32" t="n">
        <f aca="false">SUMIF('Hiring plan'!$B$5:$B$32,"Leadership",Q39:Q66)+0</f>
        <v>3412500</v>
      </c>
      <c r="R90" s="32" t="n">
        <f aca="false">SUMIF('Hiring plan'!$B$5:$B$32,"Leadership",R39:R66)+0</f>
        <v>3412500</v>
      </c>
      <c r="S90" s="32" t="n">
        <f aca="false">SUMIF('Hiring plan'!$B$5:$B$32,"Leadership",S39:S66)+0</f>
        <v>3412500</v>
      </c>
      <c r="T90" s="32" t="n">
        <f aca="false">SUMIF('Hiring plan'!$B$5:$B$32,"Leadership",T39:T66)+0</f>
        <v>3412500</v>
      </c>
      <c r="U90" s="32" t="n">
        <f aca="false">SUMIF('Hiring plan'!$B$5:$B$32,"Leadership",U39:U66)+0</f>
        <v>3412500</v>
      </c>
      <c r="V90" s="32" t="n">
        <f aca="false">SUMIF('Hiring plan'!$B$5:$B$32,"Leadership",V39:V66)+0</f>
        <v>7234500</v>
      </c>
      <c r="W90" s="32" t="n">
        <f aca="false">SUMIF('Hiring plan'!$B$5:$B$32,"Leadership",W39:W66)+0</f>
        <v>7234500</v>
      </c>
      <c r="X90" s="32" t="n">
        <f aca="false">SUMIF('Hiring plan'!$B$5:$B$32,"Leadership",X39:X66)+0</f>
        <v>7234500</v>
      </c>
      <c r="Y90" s="32" t="n">
        <f aca="false">SUMIF('Hiring plan'!$B$5:$B$32,"Leadership",Y39:Y66)+0</f>
        <v>7234500</v>
      </c>
      <c r="Z90" s="32" t="n">
        <f aca="false">SUMIF('Hiring plan'!$B$5:$B$32,"Leadership",Z39:Z66)+0</f>
        <v>7234500</v>
      </c>
      <c r="AA90" s="32" t="n">
        <f aca="false">SUMIF('Hiring plan'!$B$5:$B$32,"Leadership",AA39:AA66)+0</f>
        <v>7234500</v>
      </c>
      <c r="AB90" s="32" t="n">
        <f aca="false">SUMIF('Hiring plan'!$B$5:$B$32,"Leadership",AB39:AB66)+0</f>
        <v>7234500</v>
      </c>
      <c r="AC90" s="32" t="n">
        <f aca="false">SUMIF('Hiring plan'!$B$5:$B$32,"Leadership",AC39:AC66)+0</f>
        <v>7596225</v>
      </c>
      <c r="AD90" s="32" t="n">
        <f aca="false">SUMIF('Hiring plan'!$B$5:$B$32,"Leadership",AD39:AD66)+0</f>
        <v>7596225</v>
      </c>
      <c r="AE90" s="32" t="n">
        <f aca="false">SUMIF('Hiring plan'!$B$5:$B$32,"Leadership",AE39:AE66)+0</f>
        <v>7596225</v>
      </c>
      <c r="AF90" s="32" t="n">
        <f aca="false">SUMIF('Hiring plan'!$B$5:$B$32,"Leadership",AF39:AF66)+0</f>
        <v>7596225</v>
      </c>
      <c r="AG90" s="32" t="n">
        <f aca="false">SUMIF('Hiring plan'!$B$5:$B$32,"Leadership",AG39:AG66)+0</f>
        <v>7596225</v>
      </c>
      <c r="AH90" s="32" t="n">
        <f aca="false">SUMIF('Hiring plan'!$B$5:$B$32,"Leadership",AH39:AH66)+0</f>
        <v>7596225</v>
      </c>
      <c r="AI90" s="32" t="n">
        <f aca="false">SUMIF('Hiring plan'!$B$5:$B$32,"Leadership",AI39:AI66)+0</f>
        <v>7596225</v>
      </c>
      <c r="AJ90" s="32" t="n">
        <f aca="false">SUMIF('Hiring plan'!$B$5:$B$32,"Leadership",AJ39:AJ66)+0</f>
        <v>7596225</v>
      </c>
      <c r="AK90" s="32" t="n">
        <f aca="false">SUMIF('Hiring plan'!$B$5:$B$32,"Leadership",AK39:AK66)+0</f>
        <v>7596225</v>
      </c>
      <c r="AL90" s="32" t="n">
        <f aca="false">SUMIF('Hiring plan'!$B$5:$B$32,"Leadership",AL39:AL66)+0</f>
        <v>7596225</v>
      </c>
      <c r="AM90" s="32" t="n">
        <f aca="false">SUMIF('Hiring plan'!$B$5:$B$32,"Leadership",AM39:AM66)+0</f>
        <v>7596225</v>
      </c>
      <c r="AN90" s="32" t="n">
        <f aca="false">SUMIF('Hiring plan'!$B$5:$B$32,"Leadership",AN39:AN66)+0</f>
        <v>7596225</v>
      </c>
      <c r="AO90" s="32" t="n">
        <f aca="false">SUMIF('Hiring plan'!$B$5:$B$32,"Leadership",AO39:AO66)+0</f>
        <v>7976036.25</v>
      </c>
      <c r="AP90" s="32" t="n">
        <f aca="false">SUMIF('Hiring plan'!$B$5:$B$32,"Leadership",AP39:AP66)+0</f>
        <v>7976036.25</v>
      </c>
      <c r="AQ90" s="32" t="n">
        <f aca="false">SUMIF('Hiring plan'!$B$5:$B$32,"Leadership",AQ39:AQ66)+0</f>
        <v>7976036.25</v>
      </c>
      <c r="AR90" s="32" t="n">
        <f aca="false">SUMIF('Hiring plan'!$B$5:$B$32,"Leadership",AR39:AR66)+0</f>
        <v>7976036.25</v>
      </c>
      <c r="AS90" s="32" t="n">
        <f aca="false">SUMIF('Hiring plan'!$B$5:$B$32,"Leadership",AS39:AS66)+0</f>
        <v>7976036.25</v>
      </c>
      <c r="AT90" s="32" t="n">
        <f aca="false">SUMIF('Hiring plan'!$B$5:$B$32,"Leadership",AT39:AT66)+0</f>
        <v>7976036.25</v>
      </c>
      <c r="AU90" s="32" t="n">
        <f aca="false">SUMIF('Hiring plan'!$B$5:$B$32,"Leadership",AU39:AU66)+0</f>
        <v>7976036.25</v>
      </c>
      <c r="AV90" s="32" t="n">
        <f aca="false">SUMIF('Hiring plan'!$B$5:$B$32,"Leadership",AV39:AV66)+0</f>
        <v>7976036.25</v>
      </c>
      <c r="AW90" s="32" t="n">
        <f aca="false">SUMIF('Hiring plan'!$B$5:$B$32,"Leadership",AW39:AW66)+0</f>
        <v>7976036.25</v>
      </c>
      <c r="AX90" s="32" t="n">
        <f aca="false">SUMIF('Hiring plan'!$B$5:$B$32,"Leadership",AX39:AX66)+0</f>
        <v>7976036.25</v>
      </c>
      <c r="AY90" s="32" t="n">
        <f aca="false">SUMIF('Hiring plan'!$B$5:$B$32,"Leadership",AY39:AY66)+0</f>
        <v>7976036.25</v>
      </c>
      <c r="AZ90" s="32" t="n">
        <f aca="false">SUMIF('Hiring plan'!$B$5:$B$32,"Leadership",AZ39:AZ66)+0</f>
        <v>7976036.25</v>
      </c>
      <c r="BA90" s="32" t="n">
        <f aca="false">SUMIF('Hiring plan'!$B$5:$B$32,"Leadership",BA39:BA66)+0</f>
        <v>8374838.0625</v>
      </c>
      <c r="BB90" s="32" t="n">
        <f aca="false">SUMIF('Hiring plan'!$B$5:$B$32,"Leadership",BB39:BB66)+0</f>
        <v>8374838.0625</v>
      </c>
      <c r="BC90" s="32" t="n">
        <f aca="false">SUMIF('Hiring plan'!$B$5:$B$32,"Leadership",BC39:BC66)+0</f>
        <v>8374838.0625</v>
      </c>
      <c r="BD90" s="32" t="n">
        <f aca="false">SUMIF('Hiring plan'!$B$5:$B$32,"Leadership",BD39:BD66)+0</f>
        <v>8374838.0625</v>
      </c>
      <c r="BE90" s="32" t="n">
        <f aca="false">SUMIF('Hiring plan'!$B$5:$B$32,"Leadership",BE39:BE66)+0</f>
        <v>8374838.0625</v>
      </c>
      <c r="BF90" s="32" t="n">
        <f aca="false">SUMIF('Hiring plan'!$B$5:$B$32,"Leadership",BF39:BF66)+0</f>
        <v>8374838.0625</v>
      </c>
      <c r="BG90" s="32" t="n">
        <f aca="false">SUMIF('Hiring plan'!$B$5:$B$32,"Leadership",BG39:BG66)+0</f>
        <v>8374838.0625</v>
      </c>
      <c r="BH90" s="32" t="n">
        <f aca="false">SUMIF('Hiring plan'!$B$5:$B$32,"Leadership",BH39:BH66)+0</f>
        <v>8374838.0625</v>
      </c>
      <c r="BI90" s="32" t="n">
        <f aca="false">SUMIF('Hiring plan'!$B$5:$B$32,"Leadership",BI39:BI66)+0</f>
        <v>8374838.0625</v>
      </c>
      <c r="BJ90" s="32" t="n">
        <f aca="false">SUMIF('Hiring plan'!$B$5:$B$32,"Leadership",BJ39:BJ66)+0</f>
        <v>8374838.0625</v>
      </c>
      <c r="BK90" s="32" t="n">
        <f aca="false">SUMIF('Hiring plan'!$B$5:$B$32,"Leadership",BK39:BK66)+0</f>
        <v>8374838.0625</v>
      </c>
      <c r="BL90" s="32" t="n">
        <f aca="false">SUMIF('Hiring plan'!$B$5:$B$32,"Leadership",BL39:BL66)+0</f>
        <v>8374838.0625</v>
      </c>
    </row>
    <row r="91" customFormat="false" ht="15" hidden="false" customHeight="false" outlineLevel="0" collapsed="false">
      <c r="A91" s="12" t="s">
        <v>944</v>
      </c>
      <c r="B91" s="14" t="s">
        <v>77</v>
      </c>
      <c r="D91" s="55" t="n">
        <f aca="false">SUM(E91:BL91)</f>
        <v>553525927.5</v>
      </c>
      <c r="E91" s="32" t="n">
        <f aca="false">SUMIF('Hiring plan'!$B$5:$B$32,"Engineering &amp; product",E39:E66)+E75</f>
        <v>6370000</v>
      </c>
      <c r="F91" s="32" t="n">
        <f aca="false">SUMIF('Hiring plan'!$B$5:$B$32,"Engineering &amp; product",F39:F66)+F75</f>
        <v>6370000</v>
      </c>
      <c r="G91" s="32" t="n">
        <f aca="false">SUMIF('Hiring plan'!$B$5:$B$32,"Engineering &amp; product",G39:G66)+G75</f>
        <v>6370000</v>
      </c>
      <c r="H91" s="32" t="n">
        <f aca="false">SUMIF('Hiring plan'!$B$5:$B$32,"Engineering &amp; product",H39:H66)+H75</f>
        <v>6370000</v>
      </c>
      <c r="I91" s="32" t="n">
        <f aca="false">SUMIF('Hiring plan'!$B$5:$B$32,"Engineering &amp; product",I39:I66)+I75</f>
        <v>6370000</v>
      </c>
      <c r="J91" s="32" t="n">
        <f aca="false">SUMIF('Hiring plan'!$B$5:$B$32,"Engineering &amp; product",J39:J66)+J75</f>
        <v>6370000</v>
      </c>
      <c r="K91" s="32" t="n">
        <f aca="false">SUMIF('Hiring plan'!$B$5:$B$32,"Engineering &amp; product",K39:K66)+K75</f>
        <v>6370000</v>
      </c>
      <c r="L91" s="32" t="n">
        <f aca="false">SUMIF('Hiring plan'!$B$5:$B$32,"Engineering &amp; product",L39:L66)+L75</f>
        <v>6370000</v>
      </c>
      <c r="M91" s="32" t="n">
        <f aca="false">SUMIF('Hiring plan'!$B$5:$B$32,"Engineering &amp; product",M39:M66)+M75</f>
        <v>6370000</v>
      </c>
      <c r="N91" s="32" t="n">
        <f aca="false">SUMIF('Hiring plan'!$B$5:$B$32,"Engineering &amp; product",N39:N66)+N75</f>
        <v>6370000</v>
      </c>
      <c r="O91" s="32" t="n">
        <f aca="false">SUMIF('Hiring plan'!$B$5:$B$32,"Engineering &amp; product",O39:O66)+O75</f>
        <v>6370000</v>
      </c>
      <c r="P91" s="32" t="n">
        <f aca="false">SUMIF('Hiring plan'!$B$5:$B$32,"Engineering &amp; product",P39:P66)+P75</f>
        <v>6370000</v>
      </c>
      <c r="Q91" s="32" t="n">
        <f aca="false">SUMIF('Hiring plan'!$B$5:$B$32,"Engineering &amp; product",Q39:Q66)+Q75</f>
        <v>6688500</v>
      </c>
      <c r="R91" s="32" t="n">
        <f aca="false">SUMIF('Hiring plan'!$B$5:$B$32,"Engineering &amp; product",R39:R66)+R75</f>
        <v>6688500</v>
      </c>
      <c r="S91" s="32" t="n">
        <f aca="false">SUMIF('Hiring plan'!$B$5:$B$32,"Engineering &amp; product",S39:S66)+S75</f>
        <v>6688500</v>
      </c>
      <c r="T91" s="32" t="n">
        <f aca="false">SUMIF('Hiring plan'!$B$5:$B$32,"Engineering &amp; product",T39:T66)+T75</f>
        <v>6688500</v>
      </c>
      <c r="U91" s="32" t="n">
        <f aca="false">SUMIF('Hiring plan'!$B$5:$B$32,"Engineering &amp; product",U39:U66)+U75</f>
        <v>6688500</v>
      </c>
      <c r="V91" s="32" t="n">
        <f aca="false">SUMIF('Hiring plan'!$B$5:$B$32,"Engineering &amp; product",V39:V66)+V75</f>
        <v>6688500</v>
      </c>
      <c r="W91" s="32" t="n">
        <f aca="false">SUMIF('Hiring plan'!$B$5:$B$32,"Engineering &amp; product",W39:W66)+W75</f>
        <v>6688500</v>
      </c>
      <c r="X91" s="32" t="n">
        <f aca="false">SUMIF('Hiring plan'!$B$5:$B$32,"Engineering &amp; product",X39:X66)+X75</f>
        <v>6688500</v>
      </c>
      <c r="Y91" s="32" t="n">
        <f aca="false">SUMIF('Hiring plan'!$B$5:$B$32,"Engineering &amp; product",Y39:Y66)+Y75</f>
        <v>6688500</v>
      </c>
      <c r="Z91" s="32" t="n">
        <f aca="false">SUMIF('Hiring plan'!$B$5:$B$32,"Engineering &amp; product",Z39:Z66)+Z75</f>
        <v>6688500</v>
      </c>
      <c r="AA91" s="32" t="n">
        <f aca="false">SUMIF('Hiring plan'!$B$5:$B$32,"Engineering &amp; product",AA39:AA66)+AA75</f>
        <v>6688500</v>
      </c>
      <c r="AB91" s="32" t="n">
        <f aca="false">SUMIF('Hiring plan'!$B$5:$B$32,"Engineering &amp; product",AB39:AB66)+AB75</f>
        <v>6688500</v>
      </c>
      <c r="AC91" s="32" t="n">
        <f aca="false">SUMIF('Hiring plan'!$B$5:$B$32,"Engineering &amp; product",AC39:AC66)+AC75</f>
        <v>7022925</v>
      </c>
      <c r="AD91" s="32" t="n">
        <f aca="false">SUMIF('Hiring plan'!$B$5:$B$32,"Engineering &amp; product",AD39:AD66)+AD75</f>
        <v>7022925</v>
      </c>
      <c r="AE91" s="32" t="n">
        <f aca="false">SUMIF('Hiring plan'!$B$5:$B$32,"Engineering &amp; product",AE39:AE66)+AE75</f>
        <v>7022925</v>
      </c>
      <c r="AF91" s="32" t="n">
        <f aca="false">SUMIF('Hiring plan'!$B$5:$B$32,"Engineering &amp; product",AF39:AF66)+AF75</f>
        <v>8742825</v>
      </c>
      <c r="AG91" s="32" t="n">
        <f aca="false">SUMIF('Hiring plan'!$B$5:$B$32,"Engineering &amp; product",AG39:AG66)+AG75</f>
        <v>8742825</v>
      </c>
      <c r="AH91" s="32" t="n">
        <f aca="false">SUMIF('Hiring plan'!$B$5:$B$32,"Engineering &amp; product",AH39:AH66)+AH75</f>
        <v>8742825</v>
      </c>
      <c r="AI91" s="32" t="n">
        <f aca="false">SUMIF('Hiring plan'!$B$5:$B$32,"Engineering &amp; product",AI39:AI66)+AI75</f>
        <v>8742825</v>
      </c>
      <c r="AJ91" s="32" t="n">
        <f aca="false">SUMIF('Hiring plan'!$B$5:$B$32,"Engineering &amp; product",AJ39:AJ66)+AJ75</f>
        <v>8742825</v>
      </c>
      <c r="AK91" s="32" t="n">
        <f aca="false">SUMIF('Hiring plan'!$B$5:$B$32,"Engineering &amp; product",AK39:AK66)+AK75</f>
        <v>8742825</v>
      </c>
      <c r="AL91" s="32" t="n">
        <f aca="false">SUMIF('Hiring plan'!$B$5:$B$32,"Engineering &amp; product",AL39:AL66)+AL75</f>
        <v>8742825</v>
      </c>
      <c r="AM91" s="32" t="n">
        <f aca="false">SUMIF('Hiring plan'!$B$5:$B$32,"Engineering &amp; product",AM39:AM66)+AM75</f>
        <v>8742825</v>
      </c>
      <c r="AN91" s="32" t="n">
        <f aca="false">SUMIF('Hiring plan'!$B$5:$B$32,"Engineering &amp; product",AN39:AN66)+AN75</f>
        <v>8742825</v>
      </c>
      <c r="AO91" s="32" t="n">
        <f aca="false">SUMIF('Hiring plan'!$B$5:$B$32,"Engineering &amp; product",AO39:AO66)+AO75</f>
        <v>9179966.25</v>
      </c>
      <c r="AP91" s="32" t="n">
        <f aca="false">SUMIF('Hiring plan'!$B$5:$B$32,"Engineering &amp; product",AP39:AP66)+AP75</f>
        <v>9179966.25</v>
      </c>
      <c r="AQ91" s="32" t="n">
        <f aca="false">SUMIF('Hiring plan'!$B$5:$B$32,"Engineering &amp; product",AQ39:AQ66)+AQ75</f>
        <v>9179966.25</v>
      </c>
      <c r="AR91" s="32" t="n">
        <f aca="false">SUMIF('Hiring plan'!$B$5:$B$32,"Engineering &amp; product",AR39:AR66)+AR75</f>
        <v>10985861.25</v>
      </c>
      <c r="AS91" s="32" t="n">
        <f aca="false">SUMIF('Hiring plan'!$B$5:$B$32,"Engineering &amp; product",AS39:AS66)+AS75</f>
        <v>10985861.25</v>
      </c>
      <c r="AT91" s="32" t="n">
        <f aca="false">SUMIF('Hiring plan'!$B$5:$B$32,"Engineering &amp; product",AT39:AT66)+AT75</f>
        <v>10985861.25</v>
      </c>
      <c r="AU91" s="32" t="n">
        <f aca="false">SUMIF('Hiring plan'!$B$5:$B$32,"Engineering &amp; product",AU39:AU66)+AU75</f>
        <v>10985861.25</v>
      </c>
      <c r="AV91" s="32" t="n">
        <f aca="false">SUMIF('Hiring plan'!$B$5:$B$32,"Engineering &amp; product",AV39:AV66)+AV75</f>
        <v>10985861.25</v>
      </c>
      <c r="AW91" s="32" t="n">
        <f aca="false">SUMIF('Hiring plan'!$B$5:$B$32,"Engineering &amp; product",AW39:AW66)+AW75</f>
        <v>10985861.25</v>
      </c>
      <c r="AX91" s="32" t="n">
        <f aca="false">SUMIF('Hiring plan'!$B$5:$B$32,"Engineering &amp; product",AX39:AX66)+AX75</f>
        <v>10985861.25</v>
      </c>
      <c r="AY91" s="32" t="n">
        <f aca="false">SUMIF('Hiring plan'!$B$5:$B$32,"Engineering &amp; product",AY39:AY66)+AY75</f>
        <v>10985861.25</v>
      </c>
      <c r="AZ91" s="32" t="n">
        <f aca="false">SUMIF('Hiring plan'!$B$5:$B$32,"Engineering &amp; product",AZ39:AZ66)+AZ75</f>
        <v>10985861.25</v>
      </c>
      <c r="BA91" s="32" t="n">
        <f aca="false">SUMIF('Hiring plan'!$B$5:$B$32,"Engineering &amp; product",BA39:BA66)+BA75</f>
        <v>13431344.0625</v>
      </c>
      <c r="BB91" s="32" t="n">
        <f aca="false">SUMIF('Hiring plan'!$B$5:$B$32,"Engineering &amp; product",BB39:BB66)+BB75</f>
        <v>13431344.0625</v>
      </c>
      <c r="BC91" s="32" t="n">
        <f aca="false">SUMIF('Hiring plan'!$B$5:$B$32,"Engineering &amp; product",BC39:BC66)+BC75</f>
        <v>13431344.0625</v>
      </c>
      <c r="BD91" s="32" t="n">
        <f aca="false">SUMIF('Hiring plan'!$B$5:$B$32,"Engineering &amp; product",BD39:BD66)+BD75</f>
        <v>13431344.0625</v>
      </c>
      <c r="BE91" s="32" t="n">
        <f aca="false">SUMIF('Hiring plan'!$B$5:$B$32,"Engineering &amp; product",BE39:BE66)+BE75</f>
        <v>13431344.0625</v>
      </c>
      <c r="BF91" s="32" t="n">
        <f aca="false">SUMIF('Hiring plan'!$B$5:$B$32,"Engineering &amp; product",BF39:BF66)+BF75</f>
        <v>13431344.0625</v>
      </c>
      <c r="BG91" s="32" t="n">
        <f aca="false">SUMIF('Hiring plan'!$B$5:$B$32,"Engineering &amp; product",BG39:BG66)+BG75</f>
        <v>13431344.0625</v>
      </c>
      <c r="BH91" s="32" t="n">
        <f aca="false">SUMIF('Hiring plan'!$B$5:$B$32,"Engineering &amp; product",BH39:BH66)+BH75</f>
        <v>15327533.8125</v>
      </c>
      <c r="BI91" s="32" t="n">
        <f aca="false">SUMIF('Hiring plan'!$B$5:$B$32,"Engineering &amp; product",BI39:BI66)+BI75</f>
        <v>15327533.8125</v>
      </c>
      <c r="BJ91" s="32" t="n">
        <f aca="false">SUMIF('Hiring plan'!$B$5:$B$32,"Engineering &amp; product",BJ39:BJ66)+BJ75</f>
        <v>15327533.8125</v>
      </c>
      <c r="BK91" s="32" t="n">
        <f aca="false">SUMIF('Hiring plan'!$B$5:$B$32,"Engineering &amp; product",BK39:BK66)+BK75</f>
        <v>15327533.8125</v>
      </c>
      <c r="BL91" s="32" t="n">
        <f aca="false">SUMIF('Hiring plan'!$B$5:$B$32,"Engineering &amp; product",BL39:BL66)+BL75</f>
        <v>15327533.8125</v>
      </c>
    </row>
    <row r="92" customFormat="false" ht="15" hidden="false" customHeight="false" outlineLevel="0" collapsed="false">
      <c r="A92" s="12" t="s">
        <v>945</v>
      </c>
      <c r="B92" s="14" t="s">
        <v>77</v>
      </c>
      <c r="D92" s="55" t="n">
        <f aca="false">SUM(E92:BL92)</f>
        <v>83377271.25</v>
      </c>
      <c r="E92" s="32" t="n">
        <f aca="false">SUMIF('Hiring plan'!$B$5:$B$32,"Compliance &amp; risk",E39:E66)+0</f>
        <v>0</v>
      </c>
      <c r="F92" s="32" t="n">
        <f aca="false">SUMIF('Hiring plan'!$B$5:$B$32,"Compliance &amp; risk",F39:F66)+0</f>
        <v>0</v>
      </c>
      <c r="G92" s="32" t="n">
        <f aca="false">SUMIF('Hiring plan'!$B$5:$B$32,"Compliance &amp; risk",G39:G66)+0</f>
        <v>0</v>
      </c>
      <c r="H92" s="32" t="n">
        <f aca="false">SUMIF('Hiring plan'!$B$5:$B$32,"Compliance &amp; risk",H39:H66)+0</f>
        <v>0</v>
      </c>
      <c r="I92" s="32" t="n">
        <f aca="false">SUMIF('Hiring plan'!$B$5:$B$32,"Compliance &amp; risk",I39:I66)+0</f>
        <v>0</v>
      </c>
      <c r="J92" s="32" t="n">
        <f aca="false">SUMIF('Hiring plan'!$B$5:$B$32,"Compliance &amp; risk",J39:J66)+0</f>
        <v>0</v>
      </c>
      <c r="K92" s="32" t="n">
        <f aca="false">SUMIF('Hiring plan'!$B$5:$B$32,"Compliance &amp; risk",K39:K66)+0</f>
        <v>0</v>
      </c>
      <c r="L92" s="32" t="n">
        <f aca="false">SUMIF('Hiring plan'!$B$5:$B$32,"Compliance &amp; risk",L39:L66)+0</f>
        <v>0</v>
      </c>
      <c r="M92" s="32" t="n">
        <f aca="false">SUMIF('Hiring plan'!$B$5:$B$32,"Compliance &amp; risk",M39:M66)+0</f>
        <v>0</v>
      </c>
      <c r="N92" s="32" t="n">
        <f aca="false">SUMIF('Hiring plan'!$B$5:$B$32,"Compliance &amp; risk",N39:N66)+0</f>
        <v>0</v>
      </c>
      <c r="O92" s="32" t="n">
        <f aca="false">SUMIF('Hiring plan'!$B$5:$B$32,"Compliance &amp; risk",O39:O66)+0</f>
        <v>0</v>
      </c>
      <c r="P92" s="32" t="n">
        <f aca="false">SUMIF('Hiring plan'!$B$5:$B$32,"Compliance &amp; risk",P39:P66)+0</f>
        <v>0</v>
      </c>
      <c r="Q92" s="32" t="n">
        <f aca="false">SUMIF('Hiring plan'!$B$5:$B$32,"Compliance &amp; risk",Q39:Q66)+0</f>
        <v>0</v>
      </c>
      <c r="R92" s="32" t="n">
        <f aca="false">SUMIF('Hiring plan'!$B$5:$B$32,"Compliance &amp; risk",R39:R66)+0</f>
        <v>0</v>
      </c>
      <c r="S92" s="32" t="n">
        <f aca="false">SUMIF('Hiring plan'!$B$5:$B$32,"Compliance &amp; risk",S39:S66)+0</f>
        <v>0</v>
      </c>
      <c r="T92" s="32" t="n">
        <f aca="false">SUMIF('Hiring plan'!$B$5:$B$32,"Compliance &amp; risk",T39:T66)+0</f>
        <v>0</v>
      </c>
      <c r="U92" s="32" t="n">
        <f aca="false">SUMIF('Hiring plan'!$B$5:$B$32,"Compliance &amp; risk",U39:U66)+0</f>
        <v>0</v>
      </c>
      <c r="V92" s="32" t="n">
        <f aca="false">SUMIF('Hiring plan'!$B$5:$B$32,"Compliance &amp; risk",V39:V66)+0</f>
        <v>0</v>
      </c>
      <c r="W92" s="32" t="n">
        <f aca="false">SUMIF('Hiring plan'!$B$5:$B$32,"Compliance &amp; risk",W39:W66)+0</f>
        <v>0</v>
      </c>
      <c r="X92" s="32" t="n">
        <f aca="false">SUMIF('Hiring plan'!$B$5:$B$32,"Compliance &amp; risk",X39:X66)+0</f>
        <v>0</v>
      </c>
      <c r="Y92" s="32" t="n">
        <f aca="false">SUMIF('Hiring plan'!$B$5:$B$32,"Compliance &amp; risk",Y39:Y66)+0</f>
        <v>0</v>
      </c>
      <c r="Z92" s="32" t="n">
        <f aca="false">SUMIF('Hiring plan'!$B$5:$B$32,"Compliance &amp; risk",Z39:Z66)+0</f>
        <v>0</v>
      </c>
      <c r="AA92" s="32" t="n">
        <f aca="false">SUMIF('Hiring plan'!$B$5:$B$32,"Compliance &amp; risk",AA39:AA66)+0</f>
        <v>0</v>
      </c>
      <c r="AB92" s="32" t="n">
        <f aca="false">SUMIF('Hiring plan'!$B$5:$B$32,"Compliance &amp; risk",AB39:AB66)+0</f>
        <v>2047500</v>
      </c>
      <c r="AC92" s="32" t="n">
        <f aca="false">SUMIF('Hiring plan'!$B$5:$B$32,"Compliance &amp; risk",AC39:AC66)+0</f>
        <v>2149875</v>
      </c>
      <c r="AD92" s="32" t="n">
        <f aca="false">SUMIF('Hiring plan'!$B$5:$B$32,"Compliance &amp; risk",AD39:AD66)+0</f>
        <v>2149875</v>
      </c>
      <c r="AE92" s="32" t="n">
        <f aca="false">SUMIF('Hiring plan'!$B$5:$B$32,"Compliance &amp; risk",AE39:AE66)+0</f>
        <v>2149875</v>
      </c>
      <c r="AF92" s="32" t="n">
        <f aca="false">SUMIF('Hiring plan'!$B$5:$B$32,"Compliance &amp; risk",AF39:AF66)+0</f>
        <v>2149875</v>
      </c>
      <c r="AG92" s="32" t="n">
        <f aca="false">SUMIF('Hiring plan'!$B$5:$B$32,"Compliance &amp; risk",AG39:AG66)+0</f>
        <v>2149875</v>
      </c>
      <c r="AH92" s="32" t="n">
        <f aca="false">SUMIF('Hiring plan'!$B$5:$B$32,"Compliance &amp; risk",AH39:AH66)+0</f>
        <v>2149875</v>
      </c>
      <c r="AI92" s="32" t="n">
        <f aca="false">SUMIF('Hiring plan'!$B$5:$B$32,"Compliance &amp; risk",AI39:AI66)+0</f>
        <v>2149875</v>
      </c>
      <c r="AJ92" s="32" t="n">
        <f aca="false">SUMIF('Hiring plan'!$B$5:$B$32,"Compliance &amp; risk",AJ39:AJ66)+0</f>
        <v>2149875</v>
      </c>
      <c r="AK92" s="32" t="n">
        <f aca="false">SUMIF('Hiring plan'!$B$5:$B$32,"Compliance &amp; risk",AK39:AK66)+0</f>
        <v>2149875</v>
      </c>
      <c r="AL92" s="32" t="n">
        <f aca="false">SUMIF('Hiring plan'!$B$5:$B$32,"Compliance &amp; risk",AL39:AL66)+0</f>
        <v>2149875</v>
      </c>
      <c r="AM92" s="32" t="n">
        <f aca="false">SUMIF('Hiring plan'!$B$5:$B$32,"Compliance &amp; risk",AM39:AM66)+0</f>
        <v>2149875</v>
      </c>
      <c r="AN92" s="32" t="n">
        <f aca="false">SUMIF('Hiring plan'!$B$5:$B$32,"Compliance &amp; risk",AN39:AN66)+0</f>
        <v>2149875</v>
      </c>
      <c r="AO92" s="32" t="n">
        <f aca="false">SUMIF('Hiring plan'!$B$5:$B$32,"Compliance &amp; risk",AO39:AO66)+0</f>
        <v>2257368.75</v>
      </c>
      <c r="AP92" s="32" t="n">
        <f aca="false">SUMIF('Hiring plan'!$B$5:$B$32,"Compliance &amp; risk",AP39:AP66)+0</f>
        <v>2257368.75</v>
      </c>
      <c r="AQ92" s="32" t="n">
        <f aca="false">SUMIF('Hiring plan'!$B$5:$B$32,"Compliance &amp; risk",AQ39:AQ66)+0</f>
        <v>2257368.75</v>
      </c>
      <c r="AR92" s="32" t="n">
        <f aca="false">SUMIF('Hiring plan'!$B$5:$B$32,"Compliance &amp; risk",AR39:AR66)+0</f>
        <v>2257368.75</v>
      </c>
      <c r="AS92" s="32" t="n">
        <f aca="false">SUMIF('Hiring plan'!$B$5:$B$32,"Compliance &amp; risk",AS39:AS66)+0</f>
        <v>2257368.75</v>
      </c>
      <c r="AT92" s="32" t="n">
        <f aca="false">SUMIF('Hiring plan'!$B$5:$B$32,"Compliance &amp; risk",AT39:AT66)+0</f>
        <v>2257368.75</v>
      </c>
      <c r="AU92" s="32" t="n">
        <f aca="false">SUMIF('Hiring plan'!$B$5:$B$32,"Compliance &amp; risk",AU39:AU66)+0</f>
        <v>2257368.75</v>
      </c>
      <c r="AV92" s="32" t="n">
        <f aca="false">SUMIF('Hiring plan'!$B$5:$B$32,"Compliance &amp; risk",AV39:AV66)+0</f>
        <v>2257368.75</v>
      </c>
      <c r="AW92" s="32" t="n">
        <f aca="false">SUMIF('Hiring plan'!$B$5:$B$32,"Compliance &amp; risk",AW39:AW66)+0</f>
        <v>2257368.75</v>
      </c>
      <c r="AX92" s="32" t="n">
        <f aca="false">SUMIF('Hiring plan'!$B$5:$B$32,"Compliance &amp; risk",AX39:AX66)+0</f>
        <v>2257368.75</v>
      </c>
      <c r="AY92" s="32" t="n">
        <f aca="false">SUMIF('Hiring plan'!$B$5:$B$32,"Compliance &amp; risk",AY39:AY66)+0</f>
        <v>2257368.75</v>
      </c>
      <c r="AZ92" s="32" t="n">
        <f aca="false">SUMIF('Hiring plan'!$B$5:$B$32,"Compliance &amp; risk",AZ39:AZ66)+0</f>
        <v>2257368.75</v>
      </c>
      <c r="BA92" s="32" t="n">
        <f aca="false">SUMIF('Hiring plan'!$B$5:$B$32,"Compliance &amp; risk",BA39:BA66)+0</f>
        <v>2370237.1875</v>
      </c>
      <c r="BB92" s="32" t="n">
        <f aca="false">SUMIF('Hiring plan'!$B$5:$B$32,"Compliance &amp; risk",BB39:BB66)+0</f>
        <v>2370237.1875</v>
      </c>
      <c r="BC92" s="32" t="n">
        <f aca="false">SUMIF('Hiring plan'!$B$5:$B$32,"Compliance &amp; risk",BC39:BC66)+0</f>
        <v>2370237.1875</v>
      </c>
      <c r="BD92" s="32" t="n">
        <f aca="false">SUMIF('Hiring plan'!$B$5:$B$32,"Compliance &amp; risk",BD39:BD66)+0</f>
        <v>2370237.1875</v>
      </c>
      <c r="BE92" s="32" t="n">
        <f aca="false">SUMIF('Hiring plan'!$B$5:$B$32,"Compliance &amp; risk",BE39:BE66)+0</f>
        <v>2370237.1875</v>
      </c>
      <c r="BF92" s="32" t="n">
        <f aca="false">SUMIF('Hiring plan'!$B$5:$B$32,"Compliance &amp; risk",BF39:BF66)+0</f>
        <v>2370237.1875</v>
      </c>
      <c r="BG92" s="32" t="n">
        <f aca="false">SUMIF('Hiring plan'!$B$5:$B$32,"Compliance &amp; risk",BG39:BG66)+0</f>
        <v>2370237.1875</v>
      </c>
      <c r="BH92" s="32" t="n">
        <f aca="false">SUMIF('Hiring plan'!$B$5:$B$32,"Compliance &amp; risk",BH39:BH66)+0</f>
        <v>2370237.1875</v>
      </c>
      <c r="BI92" s="32" t="n">
        <f aca="false">SUMIF('Hiring plan'!$B$5:$B$32,"Compliance &amp; risk",BI39:BI66)+0</f>
        <v>2370237.1875</v>
      </c>
      <c r="BJ92" s="32" t="n">
        <f aca="false">SUMIF('Hiring plan'!$B$5:$B$32,"Compliance &amp; risk",BJ39:BJ66)+0</f>
        <v>2370237.1875</v>
      </c>
      <c r="BK92" s="32" t="n">
        <f aca="false">SUMIF('Hiring plan'!$B$5:$B$32,"Compliance &amp; risk",BK39:BK66)+0</f>
        <v>2370237.1875</v>
      </c>
      <c r="BL92" s="32" t="n">
        <f aca="false">SUMIF('Hiring plan'!$B$5:$B$32,"Compliance &amp; risk",BL39:BL66)+0</f>
        <v>2370237.1875</v>
      </c>
    </row>
    <row r="93" customFormat="false" ht="15" hidden="false" customHeight="false" outlineLevel="0" collapsed="false">
      <c r="A93" s="12" t="s">
        <v>946</v>
      </c>
      <c r="B93" s="14" t="s">
        <v>77</v>
      </c>
      <c r="D93" s="55" t="n">
        <f aca="false">SUM(E93:BL93)</f>
        <v>149092909.875</v>
      </c>
      <c r="E93" s="32" t="n">
        <f aca="false">SUMIF('Hiring plan'!$B$5:$B$32,"Credit",E39:E66)+E78</f>
        <v>0</v>
      </c>
      <c r="F93" s="32" t="n">
        <f aca="false">SUMIF('Hiring plan'!$B$5:$B$32,"Credit",F39:F66)+F78</f>
        <v>0</v>
      </c>
      <c r="G93" s="32" t="n">
        <f aca="false">SUMIF('Hiring plan'!$B$5:$B$32,"Credit",G39:G66)+G78</f>
        <v>0</v>
      </c>
      <c r="H93" s="32" t="n">
        <f aca="false">SUMIF('Hiring plan'!$B$5:$B$32,"Credit",H39:H66)+H78</f>
        <v>0</v>
      </c>
      <c r="I93" s="32" t="n">
        <f aca="false">SUMIF('Hiring plan'!$B$5:$B$32,"Credit",I39:I66)+I78</f>
        <v>0</v>
      </c>
      <c r="J93" s="32" t="n">
        <f aca="false">SUMIF('Hiring plan'!$B$5:$B$32,"Credit",J39:J66)+J78</f>
        <v>0</v>
      </c>
      <c r="K93" s="32" t="n">
        <f aca="false">SUMIF('Hiring plan'!$B$5:$B$32,"Credit",K39:K66)+K78</f>
        <v>0</v>
      </c>
      <c r="L93" s="32" t="n">
        <f aca="false">SUMIF('Hiring plan'!$B$5:$B$32,"Credit",L39:L66)+L78</f>
        <v>0</v>
      </c>
      <c r="M93" s="32" t="n">
        <f aca="false">SUMIF('Hiring plan'!$B$5:$B$32,"Credit",M39:M66)+M78</f>
        <v>0</v>
      </c>
      <c r="N93" s="32" t="n">
        <f aca="false">SUMIF('Hiring plan'!$B$5:$B$32,"Credit",N39:N66)+N78</f>
        <v>0</v>
      </c>
      <c r="O93" s="32" t="n">
        <f aca="false">SUMIF('Hiring plan'!$B$5:$B$32,"Credit",O39:O66)+O78</f>
        <v>0</v>
      </c>
      <c r="P93" s="32" t="n">
        <f aca="false">SUMIF('Hiring plan'!$B$5:$B$32,"Credit",P39:P66)+P78</f>
        <v>0</v>
      </c>
      <c r="Q93" s="32" t="n">
        <f aca="false">SUMIF('Hiring plan'!$B$5:$B$32,"Credit",Q39:Q66)+Q78</f>
        <v>0</v>
      </c>
      <c r="R93" s="32" t="n">
        <f aca="false">SUMIF('Hiring plan'!$B$5:$B$32,"Credit",R39:R66)+R78</f>
        <v>0</v>
      </c>
      <c r="S93" s="32" t="n">
        <f aca="false">SUMIF('Hiring plan'!$B$5:$B$32,"Credit",S39:S66)+S78</f>
        <v>0</v>
      </c>
      <c r="T93" s="32" t="n">
        <f aca="false">SUMIF('Hiring plan'!$B$5:$B$32,"Credit",T39:T66)+T78</f>
        <v>819000</v>
      </c>
      <c r="U93" s="32" t="n">
        <f aca="false">SUMIF('Hiring plan'!$B$5:$B$32,"Credit",U39:U66)+U78</f>
        <v>819000</v>
      </c>
      <c r="V93" s="32" t="n">
        <f aca="false">SUMIF('Hiring plan'!$B$5:$B$32,"Credit",V39:V66)+V78</f>
        <v>819000</v>
      </c>
      <c r="W93" s="32" t="n">
        <f aca="false">SUMIF('Hiring plan'!$B$5:$B$32,"Credit",W39:W66)+W78</f>
        <v>819000</v>
      </c>
      <c r="X93" s="32" t="n">
        <f aca="false">SUMIF('Hiring plan'!$B$5:$B$32,"Credit",X39:X66)+X78</f>
        <v>819000</v>
      </c>
      <c r="Y93" s="32" t="n">
        <f aca="false">SUMIF('Hiring plan'!$B$5:$B$32,"Credit",Y39:Y66)+Y78</f>
        <v>819000</v>
      </c>
      <c r="Z93" s="32" t="n">
        <f aca="false">SUMIF('Hiring plan'!$B$5:$B$32,"Credit",Z39:Z66)+Z78</f>
        <v>819000</v>
      </c>
      <c r="AA93" s="32" t="n">
        <f aca="false">SUMIF('Hiring plan'!$B$5:$B$32,"Credit",AA39:AA66)+AA78</f>
        <v>819000</v>
      </c>
      <c r="AB93" s="32" t="n">
        <f aca="false">SUMIF('Hiring plan'!$B$5:$B$32,"Credit",AB39:AB66)+AB78</f>
        <v>819000</v>
      </c>
      <c r="AC93" s="32" t="n">
        <f aca="false">SUMIF('Hiring plan'!$B$5:$B$32,"Credit",AC39:AC66)+AC78</f>
        <v>859950</v>
      </c>
      <c r="AD93" s="32" t="n">
        <f aca="false">SUMIF('Hiring plan'!$B$5:$B$32,"Credit",AD39:AD66)+AD78</f>
        <v>859950</v>
      </c>
      <c r="AE93" s="32" t="n">
        <f aca="false">SUMIF('Hiring plan'!$B$5:$B$32,"Credit",AE39:AE66)+AE78</f>
        <v>859950</v>
      </c>
      <c r="AF93" s="32" t="n">
        <f aca="false">SUMIF('Hiring plan'!$B$5:$B$32,"Credit",AF39:AF66)+AF78</f>
        <v>859950</v>
      </c>
      <c r="AG93" s="32" t="n">
        <f aca="false">SUMIF('Hiring plan'!$B$5:$B$32,"Credit",AG39:AG66)+AG78</f>
        <v>1719900</v>
      </c>
      <c r="AH93" s="32" t="n">
        <f aca="false">SUMIF('Hiring plan'!$B$5:$B$32,"Credit",AH39:AH66)+AH78</f>
        <v>1719900</v>
      </c>
      <c r="AI93" s="32" t="n">
        <f aca="false">SUMIF('Hiring plan'!$B$5:$B$32,"Credit",AI39:AI66)+AI78</f>
        <v>1719900</v>
      </c>
      <c r="AJ93" s="32" t="n">
        <f aca="false">SUMIF('Hiring plan'!$B$5:$B$32,"Credit",AJ39:AJ66)+AJ78</f>
        <v>1719900</v>
      </c>
      <c r="AK93" s="32" t="n">
        <f aca="false">SUMIF('Hiring plan'!$B$5:$B$32,"Credit",AK39:AK66)+AK78</f>
        <v>1719900</v>
      </c>
      <c r="AL93" s="32" t="n">
        <f aca="false">SUMIF('Hiring plan'!$B$5:$B$32,"Credit",AL39:AL66)+AL78</f>
        <v>2579850</v>
      </c>
      <c r="AM93" s="32" t="n">
        <f aca="false">SUMIF('Hiring plan'!$B$5:$B$32,"Credit",AM39:AM66)+AM78</f>
        <v>2579850</v>
      </c>
      <c r="AN93" s="32" t="n">
        <f aca="false">SUMIF('Hiring plan'!$B$5:$B$32,"Credit",AN39:AN66)+AN78</f>
        <v>2579850</v>
      </c>
      <c r="AO93" s="32" t="n">
        <f aca="false">SUMIF('Hiring plan'!$B$5:$B$32,"Credit",AO39:AO66)+AO78</f>
        <v>2708842.5</v>
      </c>
      <c r="AP93" s="32" t="n">
        <f aca="false">SUMIF('Hiring plan'!$B$5:$B$32,"Credit",AP39:AP66)+AP78</f>
        <v>2708842.5</v>
      </c>
      <c r="AQ93" s="32" t="n">
        <f aca="false">SUMIF('Hiring plan'!$B$5:$B$32,"Credit",AQ39:AQ66)+AQ78</f>
        <v>3611790</v>
      </c>
      <c r="AR93" s="32" t="n">
        <f aca="false">SUMIF('Hiring plan'!$B$5:$B$32,"Credit",AR39:AR66)+AR78</f>
        <v>3611790</v>
      </c>
      <c r="AS93" s="32" t="n">
        <f aca="false">SUMIF('Hiring plan'!$B$5:$B$32,"Credit",AS39:AS66)+AS78</f>
        <v>3611790</v>
      </c>
      <c r="AT93" s="32" t="n">
        <f aca="false">SUMIF('Hiring plan'!$B$5:$B$32,"Credit",AT39:AT66)+AT78</f>
        <v>3611790</v>
      </c>
      <c r="AU93" s="32" t="n">
        <f aca="false">SUMIF('Hiring plan'!$B$5:$B$32,"Credit",AU39:AU66)+AU78</f>
        <v>3611790</v>
      </c>
      <c r="AV93" s="32" t="n">
        <f aca="false">SUMIF('Hiring plan'!$B$5:$B$32,"Credit",AV39:AV66)+AV78</f>
        <v>3611790</v>
      </c>
      <c r="AW93" s="32" t="n">
        <f aca="false">SUMIF('Hiring plan'!$B$5:$B$32,"Credit",AW39:AW66)+AW78</f>
        <v>4514737.5</v>
      </c>
      <c r="AX93" s="32" t="n">
        <f aca="false">SUMIF('Hiring plan'!$B$5:$B$32,"Credit",AX39:AX66)+AX78</f>
        <v>4514737.5</v>
      </c>
      <c r="AY93" s="32" t="n">
        <f aca="false">SUMIF('Hiring plan'!$B$5:$B$32,"Credit",AY39:AY66)+AY78</f>
        <v>4514737.5</v>
      </c>
      <c r="AZ93" s="32" t="n">
        <f aca="false">SUMIF('Hiring plan'!$B$5:$B$32,"Credit",AZ39:AZ66)+AZ78</f>
        <v>4514737.5</v>
      </c>
      <c r="BA93" s="32" t="n">
        <f aca="false">SUMIF('Hiring plan'!$B$5:$B$32,"Credit",BA39:BA66)+BA78</f>
        <v>4740474.375</v>
      </c>
      <c r="BB93" s="32" t="n">
        <f aca="false">SUMIF('Hiring plan'!$B$5:$B$32,"Credit",BB39:BB66)+BB78</f>
        <v>5688569.25</v>
      </c>
      <c r="BC93" s="32" t="n">
        <f aca="false">SUMIF('Hiring plan'!$B$5:$B$32,"Credit",BC39:BC66)+BC78</f>
        <v>5688569.25</v>
      </c>
      <c r="BD93" s="32" t="n">
        <f aca="false">SUMIF('Hiring plan'!$B$5:$B$32,"Credit",BD39:BD66)+BD78</f>
        <v>5688569.25</v>
      </c>
      <c r="BE93" s="32" t="n">
        <f aca="false">SUMIF('Hiring plan'!$B$5:$B$32,"Credit",BE39:BE66)+BE78</f>
        <v>5688569.25</v>
      </c>
      <c r="BF93" s="32" t="n">
        <f aca="false">SUMIF('Hiring plan'!$B$5:$B$32,"Credit",BF39:BF66)+BF78</f>
        <v>6636664.125</v>
      </c>
      <c r="BG93" s="32" t="n">
        <f aca="false">SUMIF('Hiring plan'!$B$5:$B$32,"Credit",BG39:BG66)+BG78</f>
        <v>6636664.125</v>
      </c>
      <c r="BH93" s="32" t="n">
        <f aca="false">SUMIF('Hiring plan'!$B$5:$B$32,"Credit",BH39:BH66)+BH78</f>
        <v>6636664.125</v>
      </c>
      <c r="BI93" s="32" t="n">
        <f aca="false">SUMIF('Hiring plan'!$B$5:$B$32,"Credit",BI39:BI66)+BI78</f>
        <v>6636664.125</v>
      </c>
      <c r="BJ93" s="32" t="n">
        <f aca="false">SUMIF('Hiring plan'!$B$5:$B$32,"Credit",BJ39:BJ66)+BJ78</f>
        <v>7584759</v>
      </c>
      <c r="BK93" s="32" t="n">
        <f aca="false">SUMIF('Hiring plan'!$B$5:$B$32,"Credit",BK39:BK66)+BK78</f>
        <v>7584759</v>
      </c>
      <c r="BL93" s="32" t="n">
        <f aca="false">SUMIF('Hiring plan'!$B$5:$B$32,"Credit",BL39:BL66)+BL78</f>
        <v>7584759</v>
      </c>
    </row>
    <row r="94" customFormat="false" ht="15" hidden="false" customHeight="false" outlineLevel="0" collapsed="false">
      <c r="A94" s="12" t="s">
        <v>947</v>
      </c>
      <c r="B94" s="14" t="s">
        <v>77</v>
      </c>
      <c r="D94" s="55" t="n">
        <f aca="false">SUM(E94:BL94)</f>
        <v>223930334.0625</v>
      </c>
      <c r="E94" s="32" t="n">
        <f aca="false">SUMIF('Hiring plan'!$B$5:$B$32,"Operations &amp; support",E39:E66)+E74</f>
        <v>0</v>
      </c>
      <c r="F94" s="32" t="n">
        <f aca="false">SUMIF('Hiring plan'!$B$5:$B$32,"Operations &amp; support",F39:F66)+F74</f>
        <v>0</v>
      </c>
      <c r="G94" s="32" t="n">
        <f aca="false">SUMIF('Hiring plan'!$B$5:$B$32,"Operations &amp; support",G39:G66)+G74</f>
        <v>0</v>
      </c>
      <c r="H94" s="32" t="n">
        <f aca="false">SUMIF('Hiring plan'!$B$5:$B$32,"Operations &amp; support",H39:H66)+H74</f>
        <v>650000</v>
      </c>
      <c r="I94" s="32" t="n">
        <f aca="false">SUMIF('Hiring plan'!$B$5:$B$32,"Operations &amp; support",I39:I66)+I74</f>
        <v>650000</v>
      </c>
      <c r="J94" s="32" t="n">
        <f aca="false">SUMIF('Hiring plan'!$B$5:$B$32,"Operations &amp; support",J39:J66)+J74</f>
        <v>650000</v>
      </c>
      <c r="K94" s="32" t="n">
        <f aca="false">SUMIF('Hiring plan'!$B$5:$B$32,"Operations &amp; support",K39:K66)+K74</f>
        <v>650000</v>
      </c>
      <c r="L94" s="32" t="n">
        <f aca="false">SUMIF('Hiring plan'!$B$5:$B$32,"Operations &amp; support",L39:L66)+L74</f>
        <v>650000</v>
      </c>
      <c r="M94" s="32" t="n">
        <f aca="false">SUMIF('Hiring plan'!$B$5:$B$32,"Operations &amp; support",M39:M66)+M74</f>
        <v>650000</v>
      </c>
      <c r="N94" s="32" t="n">
        <f aca="false">SUMIF('Hiring plan'!$B$5:$B$32,"Operations &amp; support",N39:N66)+N74</f>
        <v>650000</v>
      </c>
      <c r="O94" s="32" t="n">
        <f aca="false">SUMIF('Hiring plan'!$B$5:$B$32,"Operations &amp; support",O39:O66)+O74</f>
        <v>650000</v>
      </c>
      <c r="P94" s="32" t="n">
        <f aca="false">SUMIF('Hiring plan'!$B$5:$B$32,"Operations &amp; support",P39:P66)+P74</f>
        <v>650000</v>
      </c>
      <c r="Q94" s="32" t="n">
        <f aca="false">SUMIF('Hiring plan'!$B$5:$B$32,"Operations &amp; support",Q39:Q66)+Q74</f>
        <v>682500</v>
      </c>
      <c r="R94" s="32" t="n">
        <f aca="false">SUMIF('Hiring plan'!$B$5:$B$32,"Operations &amp; support",R39:R66)+R74</f>
        <v>682500</v>
      </c>
      <c r="S94" s="32" t="n">
        <f aca="false">SUMIF('Hiring plan'!$B$5:$B$32,"Operations &amp; support",S39:S66)+S74</f>
        <v>682500</v>
      </c>
      <c r="T94" s="32" t="n">
        <f aca="false">SUMIF('Hiring plan'!$B$5:$B$32,"Operations &amp; support",T39:T66)+T74</f>
        <v>682500</v>
      </c>
      <c r="U94" s="32" t="n">
        <f aca="false">SUMIF('Hiring plan'!$B$5:$B$32,"Operations &amp; support",U39:U66)+U74</f>
        <v>682500</v>
      </c>
      <c r="V94" s="32" t="n">
        <f aca="false">SUMIF('Hiring plan'!$B$5:$B$32,"Operations &amp; support",V39:V66)+V74</f>
        <v>682500</v>
      </c>
      <c r="W94" s="32" t="n">
        <f aca="false">SUMIF('Hiring plan'!$B$5:$B$32,"Operations &amp; support",W39:W66)+W74</f>
        <v>682500</v>
      </c>
      <c r="X94" s="32" t="n">
        <f aca="false">SUMIF('Hiring plan'!$B$5:$B$32,"Operations &amp; support",X39:X66)+X74</f>
        <v>682500</v>
      </c>
      <c r="Y94" s="32" t="n">
        <f aca="false">SUMIF('Hiring plan'!$B$5:$B$32,"Operations &amp; support",Y39:Y66)+Y74</f>
        <v>1023750</v>
      </c>
      <c r="Z94" s="32" t="n">
        <f aca="false">SUMIF('Hiring plan'!$B$5:$B$32,"Operations &amp; support",Z39:Z66)+Z74</f>
        <v>1023750</v>
      </c>
      <c r="AA94" s="32" t="n">
        <f aca="false">SUMIF('Hiring plan'!$B$5:$B$32,"Operations &amp; support",AA39:AA66)+AA74</f>
        <v>1023750</v>
      </c>
      <c r="AB94" s="32" t="n">
        <f aca="false">SUMIF('Hiring plan'!$B$5:$B$32,"Operations &amp; support",AB39:AB66)+AB74</f>
        <v>1023750</v>
      </c>
      <c r="AC94" s="32" t="n">
        <f aca="false">SUMIF('Hiring plan'!$B$5:$B$32,"Operations &amp; support",AC39:AC66)+AC74</f>
        <v>1433250</v>
      </c>
      <c r="AD94" s="32" t="n">
        <f aca="false">SUMIF('Hiring plan'!$B$5:$B$32,"Operations &amp; support",AD39:AD66)+AD74</f>
        <v>1433250</v>
      </c>
      <c r="AE94" s="32" t="n">
        <f aca="false">SUMIF('Hiring plan'!$B$5:$B$32,"Operations &amp; support",AE39:AE66)+AE74</f>
        <v>1433250</v>
      </c>
      <c r="AF94" s="32" t="n">
        <f aca="false">SUMIF('Hiring plan'!$B$5:$B$32,"Operations &amp; support",AF39:AF66)+AF74</f>
        <v>1791562.5</v>
      </c>
      <c r="AG94" s="32" t="n">
        <f aca="false">SUMIF('Hiring plan'!$B$5:$B$32,"Operations &amp; support",AG39:AG66)+AG74</f>
        <v>2508187.5</v>
      </c>
      <c r="AH94" s="32" t="n">
        <f aca="false">SUMIF('Hiring plan'!$B$5:$B$32,"Operations &amp; support",AH39:AH66)+AH74</f>
        <v>2508187.5</v>
      </c>
      <c r="AI94" s="32" t="n">
        <f aca="false">SUMIF('Hiring plan'!$B$5:$B$32,"Operations &amp; support",AI39:AI66)+AI74</f>
        <v>2866500</v>
      </c>
      <c r="AJ94" s="32" t="n">
        <f aca="false">SUMIF('Hiring plan'!$B$5:$B$32,"Operations &amp; support",AJ39:AJ66)+AJ74</f>
        <v>2866500</v>
      </c>
      <c r="AK94" s="32" t="n">
        <f aca="false">SUMIF('Hiring plan'!$B$5:$B$32,"Operations &amp; support",AK39:AK66)+AK74</f>
        <v>3224812.5</v>
      </c>
      <c r="AL94" s="32" t="n">
        <f aca="false">SUMIF('Hiring plan'!$B$5:$B$32,"Operations &amp; support",AL39:AL66)+AL74</f>
        <v>3224812.5</v>
      </c>
      <c r="AM94" s="32" t="n">
        <f aca="false">SUMIF('Hiring plan'!$B$5:$B$32,"Operations &amp; support",AM39:AM66)+AM74</f>
        <v>3583125</v>
      </c>
      <c r="AN94" s="32" t="n">
        <f aca="false">SUMIF('Hiring plan'!$B$5:$B$32,"Operations &amp; support",AN39:AN66)+AN74</f>
        <v>3583125</v>
      </c>
      <c r="AO94" s="32" t="n">
        <f aca="false">SUMIF('Hiring plan'!$B$5:$B$32,"Operations &amp; support",AO39:AO66)+AO74</f>
        <v>4138509.375</v>
      </c>
      <c r="AP94" s="32" t="n">
        <f aca="false">SUMIF('Hiring plan'!$B$5:$B$32,"Operations &amp; support",AP39:AP66)+AP74</f>
        <v>4138509.375</v>
      </c>
      <c r="AQ94" s="32" t="n">
        <f aca="false">SUMIF('Hiring plan'!$B$5:$B$32,"Operations &amp; support",AQ39:AQ66)+AQ74</f>
        <v>4514737.5</v>
      </c>
      <c r="AR94" s="32" t="n">
        <f aca="false">SUMIF('Hiring plan'!$B$5:$B$32,"Operations &amp; support",AR39:AR66)+AR74</f>
        <v>4890965.625</v>
      </c>
      <c r="AS94" s="32" t="n">
        <f aca="false">SUMIF('Hiring plan'!$B$5:$B$32,"Operations &amp; support",AS39:AS66)+AS74</f>
        <v>4890965.625</v>
      </c>
      <c r="AT94" s="32" t="n">
        <f aca="false">SUMIF('Hiring plan'!$B$5:$B$32,"Operations &amp; support",AT39:AT66)+AT74</f>
        <v>5267193.75</v>
      </c>
      <c r="AU94" s="32" t="n">
        <f aca="false">SUMIF('Hiring plan'!$B$5:$B$32,"Operations &amp; support",AU39:AU66)+AU74</f>
        <v>5643421.875</v>
      </c>
      <c r="AV94" s="32" t="n">
        <f aca="false">SUMIF('Hiring plan'!$B$5:$B$32,"Operations &amp; support",AV39:AV66)+AV74</f>
        <v>5643421.875</v>
      </c>
      <c r="AW94" s="32" t="n">
        <f aca="false">SUMIF('Hiring plan'!$B$5:$B$32,"Operations &amp; support",AW39:AW66)+AW74</f>
        <v>6019650</v>
      </c>
      <c r="AX94" s="32" t="n">
        <f aca="false">SUMIF('Hiring plan'!$B$5:$B$32,"Operations &amp; support",AX39:AX66)+AX74</f>
        <v>6395878.125</v>
      </c>
      <c r="AY94" s="32" t="n">
        <f aca="false">SUMIF('Hiring plan'!$B$5:$B$32,"Operations &amp; support",AY39:AY66)+AY74</f>
        <v>6772106.25</v>
      </c>
      <c r="AZ94" s="32" t="n">
        <f aca="false">SUMIF('Hiring plan'!$B$5:$B$32,"Operations &amp; support",AZ39:AZ66)+AZ74</f>
        <v>6772106.25</v>
      </c>
      <c r="BA94" s="32" t="n">
        <f aca="false">SUMIF('Hiring plan'!$B$5:$B$32,"Operations &amp; support",BA39:BA66)+BA74</f>
        <v>7505751.09375</v>
      </c>
      <c r="BB94" s="32" t="n">
        <f aca="false">SUMIF('Hiring plan'!$B$5:$B$32,"Operations &amp; support",BB39:BB66)+BB74</f>
        <v>7900790.625</v>
      </c>
      <c r="BC94" s="32" t="n">
        <f aca="false">SUMIF('Hiring plan'!$B$5:$B$32,"Operations &amp; support",BC39:BC66)+BC74</f>
        <v>8295830.15625</v>
      </c>
      <c r="BD94" s="32" t="n">
        <f aca="false">SUMIF('Hiring plan'!$B$5:$B$32,"Operations &amp; support",BD39:BD66)+BD74</f>
        <v>8690869.6875</v>
      </c>
      <c r="BE94" s="32" t="n">
        <f aca="false">SUMIF('Hiring plan'!$B$5:$B$32,"Operations &amp; support",BE39:BE66)+BE74</f>
        <v>8690869.6875</v>
      </c>
      <c r="BF94" s="32" t="n">
        <f aca="false">SUMIF('Hiring plan'!$B$5:$B$32,"Operations &amp; support",BF39:BF66)+BF74</f>
        <v>9085909.21875</v>
      </c>
      <c r="BG94" s="32" t="n">
        <f aca="false">SUMIF('Hiring plan'!$B$5:$B$32,"Operations &amp; support",BG39:BG66)+BG74</f>
        <v>9480948.75</v>
      </c>
      <c r="BH94" s="32" t="n">
        <f aca="false">SUMIF('Hiring plan'!$B$5:$B$32,"Operations &amp; support",BH39:BH66)+BH74</f>
        <v>9875988.28125</v>
      </c>
      <c r="BI94" s="32" t="n">
        <f aca="false">SUMIF('Hiring plan'!$B$5:$B$32,"Operations &amp; support",BI39:BI66)+BI74</f>
        <v>10271027.8125</v>
      </c>
      <c r="BJ94" s="32" t="n">
        <f aca="false">SUMIF('Hiring plan'!$B$5:$B$32,"Operations &amp; support",BJ39:BJ66)+BJ74</f>
        <v>10666067.34375</v>
      </c>
      <c r="BK94" s="32" t="n">
        <f aca="false">SUMIF('Hiring plan'!$B$5:$B$32,"Operations &amp; support",BK39:BK66)+BK74</f>
        <v>11061106.875</v>
      </c>
      <c r="BL94" s="32" t="n">
        <f aca="false">SUMIF('Hiring plan'!$B$5:$B$32,"Operations &amp; support",BL39:BL66)+BL74</f>
        <v>11456146.40625</v>
      </c>
    </row>
    <row r="95" customFormat="false" ht="15" hidden="false" customHeight="false" outlineLevel="0" collapsed="false">
      <c r="A95" s="12" t="s">
        <v>948</v>
      </c>
      <c r="B95" s="14" t="s">
        <v>77</v>
      </c>
      <c r="D95" s="55" t="n">
        <f aca="false">SUM(E95:BL95)</f>
        <v>434116542.84375</v>
      </c>
      <c r="E95" s="32" t="n">
        <f aca="false">SUMIF('Hiring plan'!$B$5:$B$32,"Sales &amp; partnerships",E39:E66)+E76+E77</f>
        <v>1560000</v>
      </c>
      <c r="F95" s="32" t="n">
        <f aca="false">SUMIF('Hiring plan'!$B$5:$B$32,"Sales &amp; partnerships",F39:F66)+F76+F77</f>
        <v>1560000</v>
      </c>
      <c r="G95" s="32" t="n">
        <f aca="false">SUMIF('Hiring plan'!$B$5:$B$32,"Sales &amp; partnerships",G39:G66)+G76+G77</f>
        <v>1560000</v>
      </c>
      <c r="H95" s="32" t="n">
        <f aca="false">SUMIF('Hiring plan'!$B$5:$B$32,"Sales &amp; partnerships",H39:H66)+H76+H77</f>
        <v>2600000</v>
      </c>
      <c r="I95" s="32" t="n">
        <f aca="false">SUMIF('Hiring plan'!$B$5:$B$32,"Sales &amp; partnerships",I39:I66)+I76+I77</f>
        <v>2600000</v>
      </c>
      <c r="J95" s="32" t="n">
        <f aca="false">SUMIF('Hiring plan'!$B$5:$B$32,"Sales &amp; partnerships",J39:J66)+J76+J77</f>
        <v>2600000</v>
      </c>
      <c r="K95" s="32" t="n">
        <f aca="false">SUMIF('Hiring plan'!$B$5:$B$32,"Sales &amp; partnerships",K39:K66)+K76+K77</f>
        <v>2600000</v>
      </c>
      <c r="L95" s="32" t="n">
        <f aca="false">SUMIF('Hiring plan'!$B$5:$B$32,"Sales &amp; partnerships",L39:L66)+L76+L77</f>
        <v>2600000</v>
      </c>
      <c r="M95" s="32" t="n">
        <f aca="false">SUMIF('Hiring plan'!$B$5:$B$32,"Sales &amp; partnerships",M39:M66)+M76+M77</f>
        <v>2600000</v>
      </c>
      <c r="N95" s="32" t="n">
        <f aca="false">SUMIF('Hiring plan'!$B$5:$B$32,"Sales &amp; partnerships",N39:N66)+N76+N77</f>
        <v>2600000</v>
      </c>
      <c r="O95" s="32" t="n">
        <f aca="false">SUMIF('Hiring plan'!$B$5:$B$32,"Sales &amp; partnerships",O39:O66)+O76+O77</f>
        <v>2600000</v>
      </c>
      <c r="P95" s="32" t="n">
        <f aca="false">SUMIF('Hiring plan'!$B$5:$B$32,"Sales &amp; partnerships",P39:P66)+P76+P77</f>
        <v>2600000</v>
      </c>
      <c r="Q95" s="32" t="n">
        <f aca="false">SUMIF('Hiring plan'!$B$5:$B$32,"Sales &amp; partnerships",Q39:Q66)+Q76+Q77</f>
        <v>2730000</v>
      </c>
      <c r="R95" s="32" t="n">
        <f aca="false">SUMIF('Hiring plan'!$B$5:$B$32,"Sales &amp; partnerships",R39:R66)+R76+R77</f>
        <v>2730000</v>
      </c>
      <c r="S95" s="32" t="n">
        <f aca="false">SUMIF('Hiring plan'!$B$5:$B$32,"Sales &amp; partnerships",S39:S66)+S76+S77</f>
        <v>2730000</v>
      </c>
      <c r="T95" s="32" t="n">
        <f aca="false">SUMIF('Hiring plan'!$B$5:$B$32,"Sales &amp; partnerships",T39:T66)+T76+T77</f>
        <v>2730000</v>
      </c>
      <c r="U95" s="32" t="n">
        <f aca="false">SUMIF('Hiring plan'!$B$5:$B$32,"Sales &amp; partnerships",U39:U66)+U76+U77</f>
        <v>2730000</v>
      </c>
      <c r="V95" s="32" t="n">
        <f aca="false">SUMIF('Hiring plan'!$B$5:$B$32,"Sales &amp; partnerships",V39:V66)+V76+V77</f>
        <v>3958500</v>
      </c>
      <c r="W95" s="32" t="n">
        <f aca="false">SUMIF('Hiring plan'!$B$5:$B$32,"Sales &amp; partnerships",W39:W66)+W76+W77</f>
        <v>3958500</v>
      </c>
      <c r="X95" s="32" t="n">
        <f aca="false">SUMIF('Hiring plan'!$B$5:$B$32,"Sales &amp; partnerships",X39:X66)+X76+X77</f>
        <v>4504500</v>
      </c>
      <c r="Y95" s="32" t="n">
        <f aca="false">SUMIF('Hiring plan'!$B$5:$B$32,"Sales &amp; partnerships",Y39:Y66)+Y76+Y77</f>
        <v>4504500</v>
      </c>
      <c r="Z95" s="32" t="n">
        <f aca="false">SUMIF('Hiring plan'!$B$5:$B$32,"Sales &amp; partnerships",Z39:Z66)+Z76+Z77</f>
        <v>4504500</v>
      </c>
      <c r="AA95" s="32" t="n">
        <f aca="false">SUMIF('Hiring plan'!$B$5:$B$32,"Sales &amp; partnerships",AA39:AA66)+AA76+AA77</f>
        <v>4504500</v>
      </c>
      <c r="AB95" s="32" t="n">
        <f aca="false">SUMIF('Hiring plan'!$B$5:$B$32,"Sales &amp; partnerships",AB39:AB66)+AB76+AB77</f>
        <v>4504500</v>
      </c>
      <c r="AC95" s="32" t="n">
        <f aca="false">SUMIF('Hiring plan'!$B$5:$B$32,"Sales &amp; partnerships",AC39:AC66)+AC76+AC77</f>
        <v>4729725</v>
      </c>
      <c r="AD95" s="32" t="n">
        <f aca="false">SUMIF('Hiring plan'!$B$5:$B$32,"Sales &amp; partnerships",AD39:AD66)+AD76+AD77</f>
        <v>5303025</v>
      </c>
      <c r="AE95" s="32" t="n">
        <f aca="false">SUMIF('Hiring plan'!$B$5:$B$32,"Sales &amp; partnerships",AE39:AE66)+AE76+AE77</f>
        <v>5303025</v>
      </c>
      <c r="AF95" s="32" t="n">
        <f aca="false">SUMIF('Hiring plan'!$B$5:$B$32,"Sales &amp; partnerships",AF39:AF66)+AF76+AF77</f>
        <v>5303025</v>
      </c>
      <c r="AG95" s="32" t="n">
        <f aca="false">SUMIF('Hiring plan'!$B$5:$B$32,"Sales &amp; partnerships",AG39:AG66)+AG76+AG77</f>
        <v>5303025</v>
      </c>
      <c r="AH95" s="32" t="n">
        <f aca="false">SUMIF('Hiring plan'!$B$5:$B$32,"Sales &amp; partnerships",AH39:AH66)+AH76+AH77</f>
        <v>5876325</v>
      </c>
      <c r="AI95" s="32" t="n">
        <f aca="false">SUMIF('Hiring plan'!$B$5:$B$32,"Sales &amp; partnerships",AI39:AI66)+AI76+AI77</f>
        <v>5876325</v>
      </c>
      <c r="AJ95" s="32" t="n">
        <f aca="false">SUMIF('Hiring plan'!$B$5:$B$32,"Sales &amp; partnerships",AJ39:AJ66)+AJ76+AJ77</f>
        <v>5876325</v>
      </c>
      <c r="AK95" s="32" t="n">
        <f aca="false">SUMIF('Hiring plan'!$B$5:$B$32,"Sales &amp; partnerships",AK39:AK66)+AK76+AK77</f>
        <v>5876325</v>
      </c>
      <c r="AL95" s="32" t="n">
        <f aca="false">SUMIF('Hiring plan'!$B$5:$B$32,"Sales &amp; partnerships",AL39:AL66)+AL76+AL77</f>
        <v>6449625</v>
      </c>
      <c r="AM95" s="32" t="n">
        <f aca="false">SUMIF('Hiring plan'!$B$5:$B$32,"Sales &amp; partnerships",AM39:AM66)+AM76+AM77</f>
        <v>6449625</v>
      </c>
      <c r="AN95" s="32" t="n">
        <f aca="false">SUMIF('Hiring plan'!$B$5:$B$32,"Sales &amp; partnerships",AN39:AN66)+AN76+AN77</f>
        <v>7094587.5</v>
      </c>
      <c r="AO95" s="32" t="n">
        <f aca="false">SUMIF('Hiring plan'!$B$5:$B$32,"Sales &amp; partnerships",AO39:AO66)+AO76+AO77</f>
        <v>8051281.875</v>
      </c>
      <c r="AP95" s="32" t="n">
        <f aca="false">SUMIF('Hiring plan'!$B$5:$B$32,"Sales &amp; partnerships",AP39:AP66)+AP76+AP77</f>
        <v>8051281.875</v>
      </c>
      <c r="AQ95" s="32" t="n">
        <f aca="false">SUMIF('Hiring plan'!$B$5:$B$32,"Sales &amp; partnerships",AQ39:AQ66)+AQ76+AQ77</f>
        <v>8051281.875</v>
      </c>
      <c r="AR95" s="32" t="n">
        <f aca="false">SUMIF('Hiring plan'!$B$5:$B$32,"Sales &amp; partnerships",AR39:AR66)+AR76+AR77</f>
        <v>8653246.875</v>
      </c>
      <c r="AS95" s="32" t="n">
        <f aca="false">SUMIF('Hiring plan'!$B$5:$B$32,"Sales &amp; partnerships",AS39:AS66)+AS76+AS77</f>
        <v>8653246.875</v>
      </c>
      <c r="AT95" s="32" t="n">
        <f aca="false">SUMIF('Hiring plan'!$B$5:$B$32,"Sales &amp; partnerships",AT39:AT66)+AT76+AT77</f>
        <v>8653246.875</v>
      </c>
      <c r="AU95" s="32" t="n">
        <f aca="false">SUMIF('Hiring plan'!$B$5:$B$32,"Sales &amp; partnerships",AU39:AU66)+AU76+AU77</f>
        <v>9932422.5</v>
      </c>
      <c r="AV95" s="32" t="n">
        <f aca="false">SUMIF('Hiring plan'!$B$5:$B$32,"Sales &amp; partnerships",AV39:AV66)+AV76+AV77</f>
        <v>9932422.5</v>
      </c>
      <c r="AW95" s="32" t="n">
        <f aca="false">SUMIF('Hiring plan'!$B$5:$B$32,"Sales &amp; partnerships",AW39:AW66)+AW76+AW77</f>
        <v>10534387.5</v>
      </c>
      <c r="AX95" s="32" t="n">
        <f aca="false">SUMIF('Hiring plan'!$B$5:$B$32,"Sales &amp; partnerships",AX39:AX66)+AX76+AX77</f>
        <v>10534387.5</v>
      </c>
      <c r="AY95" s="32" t="n">
        <f aca="false">SUMIF('Hiring plan'!$B$5:$B$32,"Sales &amp; partnerships",AY39:AY66)+AY76+AY77</f>
        <v>10534387.5</v>
      </c>
      <c r="AZ95" s="32" t="n">
        <f aca="false">SUMIF('Hiring plan'!$B$5:$B$32,"Sales &amp; partnerships",AZ39:AZ66)+AZ76+AZ77</f>
        <v>11813563.125</v>
      </c>
      <c r="BA95" s="32" t="n">
        <f aca="false">SUMIF('Hiring plan'!$B$5:$B$32,"Sales &amp; partnerships",BA39:BA66)+BA76+BA77</f>
        <v>12404241.28125</v>
      </c>
      <c r="BB95" s="32" t="n">
        <f aca="false">SUMIF('Hiring plan'!$B$5:$B$32,"Sales &amp; partnerships",BB39:BB66)+BB76+BB77</f>
        <v>13036304.53125</v>
      </c>
      <c r="BC95" s="32" t="n">
        <f aca="false">SUMIF('Hiring plan'!$B$5:$B$32,"Sales &amp; partnerships",BC39:BC66)+BC76+BC77</f>
        <v>13036304.53125</v>
      </c>
      <c r="BD95" s="32" t="n">
        <f aca="false">SUMIF('Hiring plan'!$B$5:$B$32,"Sales &amp; partnerships",BD39:BD66)+BD76+BD77</f>
        <v>13747375.6875</v>
      </c>
      <c r="BE95" s="32" t="n">
        <f aca="false">SUMIF('Hiring plan'!$B$5:$B$32,"Sales &amp; partnerships",BE39:BE66)+BE76+BE77</f>
        <v>14379438.9375</v>
      </c>
      <c r="BF95" s="32" t="n">
        <f aca="false">SUMIF('Hiring plan'!$B$5:$B$32,"Sales &amp; partnerships",BF39:BF66)+BF76+BF77</f>
        <v>14379438.9375</v>
      </c>
      <c r="BG95" s="32" t="n">
        <f aca="false">SUMIF('Hiring plan'!$B$5:$B$32,"Sales &amp; partnerships",BG39:BG66)+BG76+BG77</f>
        <v>15011502.1875</v>
      </c>
      <c r="BH95" s="32" t="n">
        <f aca="false">SUMIF('Hiring plan'!$B$5:$B$32,"Sales &amp; partnerships",BH39:BH66)+BH76+BH77</f>
        <v>15722573.34375</v>
      </c>
      <c r="BI95" s="32" t="n">
        <f aca="false">SUMIF('Hiring plan'!$B$5:$B$32,"Sales &amp; partnerships",BI39:BI66)+BI76+BI77</f>
        <v>16354636.59375</v>
      </c>
      <c r="BJ95" s="32" t="n">
        <f aca="false">SUMIF('Hiring plan'!$B$5:$B$32,"Sales &amp; partnerships",BJ39:BJ66)+BJ76+BJ77</f>
        <v>16354636.59375</v>
      </c>
      <c r="BK95" s="32" t="n">
        <f aca="false">SUMIF('Hiring plan'!$B$5:$B$32,"Sales &amp; partnerships",BK39:BK66)+BK76+BK77</f>
        <v>16986699.84375</v>
      </c>
      <c r="BL95" s="32" t="n">
        <f aca="false">SUMIF('Hiring plan'!$B$5:$B$32,"Sales &amp; partnerships",BL39:BL66)+BL76+BL77</f>
        <v>17697771</v>
      </c>
    </row>
    <row r="96" customFormat="false" ht="15" hidden="false" customHeight="false" outlineLevel="0" collapsed="false">
      <c r="A96" s="12" t="s">
        <v>949</v>
      </c>
      <c r="B96" s="14" t="s">
        <v>77</v>
      </c>
      <c r="D96" s="55" t="n">
        <f aca="false">SUM(E96:BL96)</f>
        <v>106469801.75</v>
      </c>
      <c r="E96" s="32" t="n">
        <f aca="false">SUMIF('Hiring plan'!$B$5:$B$32,"Marketing",E39:E66)+0</f>
        <v>0</v>
      </c>
      <c r="F96" s="32" t="n">
        <f aca="false">SUMIF('Hiring plan'!$B$5:$B$32,"Marketing",F39:F66)+0</f>
        <v>0</v>
      </c>
      <c r="G96" s="32" t="n">
        <f aca="false">SUMIF('Hiring plan'!$B$5:$B$32,"Marketing",G39:G66)+0</f>
        <v>0</v>
      </c>
      <c r="H96" s="32" t="n">
        <f aca="false">SUMIF('Hiring plan'!$B$5:$B$32,"Marketing",H39:H66)+0</f>
        <v>1170000</v>
      </c>
      <c r="I96" s="32" t="n">
        <f aca="false">SUMIF('Hiring plan'!$B$5:$B$32,"Marketing",I39:I66)+0</f>
        <v>1690000</v>
      </c>
      <c r="J96" s="32" t="n">
        <f aca="false">SUMIF('Hiring plan'!$B$5:$B$32,"Marketing",J39:J66)+0</f>
        <v>1690000</v>
      </c>
      <c r="K96" s="32" t="n">
        <f aca="false">SUMIF('Hiring plan'!$B$5:$B$32,"Marketing",K39:K66)+0</f>
        <v>1690000</v>
      </c>
      <c r="L96" s="32" t="n">
        <f aca="false">SUMIF('Hiring plan'!$B$5:$B$32,"Marketing",L39:L66)+0</f>
        <v>1690000</v>
      </c>
      <c r="M96" s="32" t="n">
        <f aca="false">SUMIF('Hiring plan'!$B$5:$B$32,"Marketing",M39:M66)+0</f>
        <v>1690000</v>
      </c>
      <c r="N96" s="32" t="n">
        <f aca="false">SUMIF('Hiring plan'!$B$5:$B$32,"Marketing",N39:N66)+0</f>
        <v>1690000</v>
      </c>
      <c r="O96" s="32" t="n">
        <f aca="false">SUMIF('Hiring plan'!$B$5:$B$32,"Marketing",O39:O66)+0</f>
        <v>1690000</v>
      </c>
      <c r="P96" s="32" t="n">
        <f aca="false">SUMIF('Hiring plan'!$B$5:$B$32,"Marketing",P39:P66)+0</f>
        <v>1690000</v>
      </c>
      <c r="Q96" s="32" t="n">
        <f aca="false">SUMIF('Hiring plan'!$B$5:$B$32,"Marketing",Q39:Q66)+0</f>
        <v>1774500</v>
      </c>
      <c r="R96" s="32" t="n">
        <f aca="false">SUMIF('Hiring plan'!$B$5:$B$32,"Marketing",R39:R66)+0</f>
        <v>1774500</v>
      </c>
      <c r="S96" s="32" t="n">
        <f aca="false">SUMIF('Hiring plan'!$B$5:$B$32,"Marketing",S39:S66)+0</f>
        <v>1774500</v>
      </c>
      <c r="T96" s="32" t="n">
        <f aca="false">SUMIF('Hiring plan'!$B$5:$B$32,"Marketing",T39:T66)+0</f>
        <v>1774500</v>
      </c>
      <c r="U96" s="32" t="n">
        <f aca="false">SUMIF('Hiring plan'!$B$5:$B$32,"Marketing",U39:U66)+0</f>
        <v>1774500</v>
      </c>
      <c r="V96" s="32" t="n">
        <f aca="false">SUMIF('Hiring plan'!$B$5:$B$32,"Marketing",V39:V66)+0</f>
        <v>1774500</v>
      </c>
      <c r="W96" s="32" t="n">
        <f aca="false">SUMIF('Hiring plan'!$B$5:$B$32,"Marketing",W39:W66)+0</f>
        <v>1774500</v>
      </c>
      <c r="X96" s="32" t="n">
        <f aca="false">SUMIF('Hiring plan'!$B$5:$B$32,"Marketing",X39:X66)+0</f>
        <v>1774500</v>
      </c>
      <c r="Y96" s="32" t="n">
        <f aca="false">SUMIF('Hiring plan'!$B$5:$B$32,"Marketing",Y39:Y66)+0</f>
        <v>1774500</v>
      </c>
      <c r="Z96" s="32" t="n">
        <f aca="false">SUMIF('Hiring plan'!$B$5:$B$32,"Marketing",Z39:Z66)+0</f>
        <v>1774500</v>
      </c>
      <c r="AA96" s="32" t="n">
        <f aca="false">SUMIF('Hiring plan'!$B$5:$B$32,"Marketing",AA39:AA66)+0</f>
        <v>1774500</v>
      </c>
      <c r="AB96" s="32" t="n">
        <f aca="false">SUMIF('Hiring plan'!$B$5:$B$32,"Marketing",AB39:AB66)+0</f>
        <v>1774500</v>
      </c>
      <c r="AC96" s="32" t="n">
        <f aca="false">SUMIF('Hiring plan'!$B$5:$B$32,"Marketing",AC39:AC66)+0</f>
        <v>1863225</v>
      </c>
      <c r="AD96" s="32" t="n">
        <f aca="false">SUMIF('Hiring plan'!$B$5:$B$32,"Marketing",AD39:AD66)+0</f>
        <v>1863225</v>
      </c>
      <c r="AE96" s="32" t="n">
        <f aca="false">SUMIF('Hiring plan'!$B$5:$B$32,"Marketing",AE39:AE66)+0</f>
        <v>1863225</v>
      </c>
      <c r="AF96" s="32" t="n">
        <f aca="false">SUMIF('Hiring plan'!$B$5:$B$32,"Marketing",AF39:AF66)+0</f>
        <v>1863225</v>
      </c>
      <c r="AG96" s="32" t="n">
        <f aca="false">SUMIF('Hiring plan'!$B$5:$B$32,"Marketing",AG39:AG66)+0</f>
        <v>1863225</v>
      </c>
      <c r="AH96" s="32" t="n">
        <f aca="false">SUMIF('Hiring plan'!$B$5:$B$32,"Marketing",AH39:AH66)+0</f>
        <v>1863225</v>
      </c>
      <c r="AI96" s="32" t="n">
        <f aca="false">SUMIF('Hiring plan'!$B$5:$B$32,"Marketing",AI39:AI66)+0</f>
        <v>1863225</v>
      </c>
      <c r="AJ96" s="32" t="n">
        <f aca="false">SUMIF('Hiring plan'!$B$5:$B$32,"Marketing",AJ39:AJ66)+0</f>
        <v>1863225</v>
      </c>
      <c r="AK96" s="32" t="n">
        <f aca="false">SUMIF('Hiring plan'!$B$5:$B$32,"Marketing",AK39:AK66)+0</f>
        <v>1863225</v>
      </c>
      <c r="AL96" s="32" t="n">
        <f aca="false">SUMIF('Hiring plan'!$B$5:$B$32,"Marketing",AL39:AL66)+0</f>
        <v>1863225</v>
      </c>
      <c r="AM96" s="32" t="n">
        <f aca="false">SUMIF('Hiring plan'!$B$5:$B$32,"Marketing",AM39:AM66)+0</f>
        <v>1863225</v>
      </c>
      <c r="AN96" s="32" t="n">
        <f aca="false">SUMIF('Hiring plan'!$B$5:$B$32,"Marketing",AN39:AN66)+0</f>
        <v>1863225</v>
      </c>
      <c r="AO96" s="32" t="n">
        <f aca="false">SUMIF('Hiring plan'!$B$5:$B$32,"Marketing",AO39:AO66)+0</f>
        <v>1956386.25</v>
      </c>
      <c r="AP96" s="32" t="n">
        <f aca="false">SUMIF('Hiring plan'!$B$5:$B$32,"Marketing",AP39:AP66)+0</f>
        <v>1956386.25</v>
      </c>
      <c r="AQ96" s="32" t="n">
        <f aca="false">SUMIF('Hiring plan'!$B$5:$B$32,"Marketing",AQ39:AQ66)+0</f>
        <v>1956386.25</v>
      </c>
      <c r="AR96" s="32" t="n">
        <f aca="false">SUMIF('Hiring plan'!$B$5:$B$32,"Marketing",AR39:AR66)+0</f>
        <v>1956386.25</v>
      </c>
      <c r="AS96" s="32" t="n">
        <f aca="false">SUMIF('Hiring plan'!$B$5:$B$32,"Marketing",AS39:AS66)+0</f>
        <v>1956386.25</v>
      </c>
      <c r="AT96" s="32" t="n">
        <f aca="false">SUMIF('Hiring plan'!$B$5:$B$32,"Marketing",AT39:AT66)+0</f>
        <v>1956386.25</v>
      </c>
      <c r="AU96" s="32" t="n">
        <f aca="false">SUMIF('Hiring plan'!$B$5:$B$32,"Marketing",AU39:AU66)+0</f>
        <v>1956386.25</v>
      </c>
      <c r="AV96" s="32" t="n">
        <f aca="false">SUMIF('Hiring plan'!$B$5:$B$32,"Marketing",AV39:AV66)+0</f>
        <v>1956386.25</v>
      </c>
      <c r="AW96" s="32" t="n">
        <f aca="false">SUMIF('Hiring plan'!$B$5:$B$32,"Marketing",AW39:AW66)+0</f>
        <v>1956386.25</v>
      </c>
      <c r="AX96" s="32" t="n">
        <f aca="false">SUMIF('Hiring plan'!$B$5:$B$32,"Marketing",AX39:AX66)+0</f>
        <v>1956386.25</v>
      </c>
      <c r="AY96" s="32" t="n">
        <f aca="false">SUMIF('Hiring plan'!$B$5:$B$32,"Marketing",AY39:AY66)+0</f>
        <v>1956386.25</v>
      </c>
      <c r="AZ96" s="32" t="n">
        <f aca="false">SUMIF('Hiring plan'!$B$5:$B$32,"Marketing",AZ39:AZ66)+0</f>
        <v>1956386.25</v>
      </c>
      <c r="BA96" s="32" t="n">
        <f aca="false">SUMIF('Hiring plan'!$B$5:$B$32,"Marketing",BA39:BA66)+0</f>
        <v>2054205.5625</v>
      </c>
      <c r="BB96" s="32" t="n">
        <f aca="false">SUMIF('Hiring plan'!$B$5:$B$32,"Marketing",BB39:BB66)+0</f>
        <v>2054205.5625</v>
      </c>
      <c r="BC96" s="32" t="n">
        <f aca="false">SUMIF('Hiring plan'!$B$5:$B$32,"Marketing",BC39:BC66)+0</f>
        <v>2054205.5625</v>
      </c>
      <c r="BD96" s="32" t="n">
        <f aca="false">SUMIF('Hiring plan'!$B$5:$B$32,"Marketing",BD39:BD66)+0</f>
        <v>2054205.5625</v>
      </c>
      <c r="BE96" s="32" t="n">
        <f aca="false">SUMIF('Hiring plan'!$B$5:$B$32,"Marketing",BE39:BE66)+0</f>
        <v>2054205.5625</v>
      </c>
      <c r="BF96" s="32" t="n">
        <f aca="false">SUMIF('Hiring plan'!$B$5:$B$32,"Marketing",BF39:BF66)+0</f>
        <v>2054205.5625</v>
      </c>
      <c r="BG96" s="32" t="n">
        <f aca="false">SUMIF('Hiring plan'!$B$5:$B$32,"Marketing",BG39:BG66)+0</f>
        <v>2054205.5625</v>
      </c>
      <c r="BH96" s="32" t="n">
        <f aca="false">SUMIF('Hiring plan'!$B$5:$B$32,"Marketing",BH39:BH66)+0</f>
        <v>2054205.5625</v>
      </c>
      <c r="BI96" s="32" t="n">
        <f aca="false">SUMIF('Hiring plan'!$B$5:$B$32,"Marketing",BI39:BI66)+0</f>
        <v>2054205.5625</v>
      </c>
      <c r="BJ96" s="32" t="n">
        <f aca="false">SUMIF('Hiring plan'!$B$5:$B$32,"Marketing",BJ39:BJ66)+0</f>
        <v>2054205.5625</v>
      </c>
      <c r="BK96" s="32" t="n">
        <f aca="false">SUMIF('Hiring plan'!$B$5:$B$32,"Marketing",BK39:BK66)+0</f>
        <v>2054205.5625</v>
      </c>
      <c r="BL96" s="32" t="n">
        <f aca="false">SUMIF('Hiring plan'!$B$5:$B$32,"Marketing",BL39:BL66)+0</f>
        <v>2054205.5625</v>
      </c>
    </row>
    <row r="97" customFormat="false" ht="15" hidden="false" customHeight="false" outlineLevel="0" collapsed="false">
      <c r="A97" s="12" t="s">
        <v>950</v>
      </c>
      <c r="B97" s="14" t="s">
        <v>77</v>
      </c>
      <c r="D97" s="55" t="n">
        <f aca="false">SUM(E97:BL97)</f>
        <v>129299771.25</v>
      </c>
      <c r="E97" s="32" t="n">
        <f aca="false">SUMIF('Hiring plan'!$B$5:$B$32,"Finance &amp; admin",E39:E66)+0</f>
        <v>1950000</v>
      </c>
      <c r="F97" s="32" t="n">
        <f aca="false">SUMIF('Hiring plan'!$B$5:$B$32,"Finance &amp; admin",F39:F66)+0</f>
        <v>1950000</v>
      </c>
      <c r="G97" s="32" t="n">
        <f aca="false">SUMIF('Hiring plan'!$B$5:$B$32,"Finance &amp; admin",G39:G66)+0</f>
        <v>1950000</v>
      </c>
      <c r="H97" s="32" t="n">
        <f aca="false">SUMIF('Hiring plan'!$B$5:$B$32,"Finance &amp; admin",H39:H66)+0</f>
        <v>1950000</v>
      </c>
      <c r="I97" s="32" t="n">
        <f aca="false">SUMIF('Hiring plan'!$B$5:$B$32,"Finance &amp; admin",I39:I66)+0</f>
        <v>1950000</v>
      </c>
      <c r="J97" s="32" t="n">
        <f aca="false">SUMIF('Hiring plan'!$B$5:$B$32,"Finance &amp; admin",J39:J66)+0</f>
        <v>1950000</v>
      </c>
      <c r="K97" s="32" t="n">
        <f aca="false">SUMIF('Hiring plan'!$B$5:$B$32,"Finance &amp; admin",K39:K66)+0</f>
        <v>1950000</v>
      </c>
      <c r="L97" s="32" t="n">
        <f aca="false">SUMIF('Hiring plan'!$B$5:$B$32,"Finance &amp; admin",L39:L66)+0</f>
        <v>1950000</v>
      </c>
      <c r="M97" s="32" t="n">
        <f aca="false">SUMIF('Hiring plan'!$B$5:$B$32,"Finance &amp; admin",M39:M66)+0</f>
        <v>1950000</v>
      </c>
      <c r="N97" s="32" t="n">
        <f aca="false">SUMIF('Hiring plan'!$B$5:$B$32,"Finance &amp; admin",N39:N66)+0</f>
        <v>1950000</v>
      </c>
      <c r="O97" s="32" t="n">
        <f aca="false">SUMIF('Hiring plan'!$B$5:$B$32,"Finance &amp; admin",O39:O66)+0</f>
        <v>1950000</v>
      </c>
      <c r="P97" s="32" t="n">
        <f aca="false">SUMIF('Hiring plan'!$B$5:$B$32,"Finance &amp; admin",P39:P66)+0</f>
        <v>1950000</v>
      </c>
      <c r="Q97" s="32" t="n">
        <f aca="false">SUMIF('Hiring plan'!$B$5:$B$32,"Finance &amp; admin",Q39:Q66)+0</f>
        <v>2047500</v>
      </c>
      <c r="R97" s="32" t="n">
        <f aca="false">SUMIF('Hiring plan'!$B$5:$B$32,"Finance &amp; admin",R39:R66)+0</f>
        <v>2047500</v>
      </c>
      <c r="S97" s="32" t="n">
        <f aca="false">SUMIF('Hiring plan'!$B$5:$B$32,"Finance &amp; admin",S39:S66)+0</f>
        <v>2047500</v>
      </c>
      <c r="T97" s="32" t="n">
        <f aca="false">SUMIF('Hiring plan'!$B$5:$B$32,"Finance &amp; admin",T39:T66)+0</f>
        <v>2047500</v>
      </c>
      <c r="U97" s="32" t="n">
        <f aca="false">SUMIF('Hiring plan'!$B$5:$B$32,"Finance &amp; admin",U39:U66)+0</f>
        <v>2047500</v>
      </c>
      <c r="V97" s="32" t="n">
        <f aca="false">SUMIF('Hiring plan'!$B$5:$B$32,"Finance &amp; admin",V39:V66)+0</f>
        <v>2047500</v>
      </c>
      <c r="W97" s="32" t="n">
        <f aca="false">SUMIF('Hiring plan'!$B$5:$B$32,"Finance &amp; admin",W39:W66)+0</f>
        <v>2047500</v>
      </c>
      <c r="X97" s="32" t="n">
        <f aca="false">SUMIF('Hiring plan'!$B$5:$B$32,"Finance &amp; admin",X39:X66)+0</f>
        <v>2047500</v>
      </c>
      <c r="Y97" s="32" t="n">
        <f aca="false">SUMIF('Hiring plan'!$B$5:$B$32,"Finance &amp; admin",Y39:Y66)+0</f>
        <v>2047500</v>
      </c>
      <c r="Z97" s="32" t="n">
        <f aca="false">SUMIF('Hiring plan'!$B$5:$B$32,"Finance &amp; admin",Z39:Z66)+0</f>
        <v>2047500</v>
      </c>
      <c r="AA97" s="32" t="n">
        <f aca="false">SUMIF('Hiring plan'!$B$5:$B$32,"Finance &amp; admin",AA39:AA66)+0</f>
        <v>2047500</v>
      </c>
      <c r="AB97" s="32" t="n">
        <f aca="false">SUMIF('Hiring plan'!$B$5:$B$32,"Finance &amp; admin",AB39:AB66)+0</f>
        <v>2047500</v>
      </c>
      <c r="AC97" s="32" t="n">
        <f aca="false">SUMIF('Hiring plan'!$B$5:$B$32,"Finance &amp; admin",AC39:AC66)+0</f>
        <v>2149875</v>
      </c>
      <c r="AD97" s="32" t="n">
        <f aca="false">SUMIF('Hiring plan'!$B$5:$B$32,"Finance &amp; admin",AD39:AD66)+0</f>
        <v>2149875</v>
      </c>
      <c r="AE97" s="32" t="n">
        <f aca="false">SUMIF('Hiring plan'!$B$5:$B$32,"Finance &amp; admin",AE39:AE66)+0</f>
        <v>2149875</v>
      </c>
      <c r="AF97" s="32" t="n">
        <f aca="false">SUMIF('Hiring plan'!$B$5:$B$32,"Finance &amp; admin",AF39:AF66)+0</f>
        <v>2149875</v>
      </c>
      <c r="AG97" s="32" t="n">
        <f aca="false">SUMIF('Hiring plan'!$B$5:$B$32,"Finance &amp; admin",AG39:AG66)+0</f>
        <v>2149875</v>
      </c>
      <c r="AH97" s="32" t="n">
        <f aca="false">SUMIF('Hiring plan'!$B$5:$B$32,"Finance &amp; admin",AH39:AH66)+0</f>
        <v>2149875</v>
      </c>
      <c r="AI97" s="32" t="n">
        <f aca="false">SUMIF('Hiring plan'!$B$5:$B$32,"Finance &amp; admin",AI39:AI66)+0</f>
        <v>2149875</v>
      </c>
      <c r="AJ97" s="32" t="n">
        <f aca="false">SUMIF('Hiring plan'!$B$5:$B$32,"Finance &amp; admin",AJ39:AJ66)+0</f>
        <v>2149875</v>
      </c>
      <c r="AK97" s="32" t="n">
        <f aca="false">SUMIF('Hiring plan'!$B$5:$B$32,"Finance &amp; admin",AK39:AK66)+0</f>
        <v>2149875</v>
      </c>
      <c r="AL97" s="32" t="n">
        <f aca="false">SUMIF('Hiring plan'!$B$5:$B$32,"Finance &amp; admin",AL39:AL66)+0</f>
        <v>2149875</v>
      </c>
      <c r="AM97" s="32" t="n">
        <f aca="false">SUMIF('Hiring plan'!$B$5:$B$32,"Finance &amp; admin",AM39:AM66)+0</f>
        <v>2149875</v>
      </c>
      <c r="AN97" s="32" t="n">
        <f aca="false">SUMIF('Hiring plan'!$B$5:$B$32,"Finance &amp; admin",AN39:AN66)+0</f>
        <v>2149875</v>
      </c>
      <c r="AO97" s="32" t="n">
        <f aca="false">SUMIF('Hiring plan'!$B$5:$B$32,"Finance &amp; admin",AO39:AO66)+0</f>
        <v>2257368.75</v>
      </c>
      <c r="AP97" s="32" t="n">
        <f aca="false">SUMIF('Hiring plan'!$B$5:$B$32,"Finance &amp; admin",AP39:AP66)+0</f>
        <v>2257368.75</v>
      </c>
      <c r="AQ97" s="32" t="n">
        <f aca="false">SUMIF('Hiring plan'!$B$5:$B$32,"Finance &amp; admin",AQ39:AQ66)+0</f>
        <v>2257368.75</v>
      </c>
      <c r="AR97" s="32" t="n">
        <f aca="false">SUMIF('Hiring plan'!$B$5:$B$32,"Finance &amp; admin",AR39:AR66)+0</f>
        <v>2257368.75</v>
      </c>
      <c r="AS97" s="32" t="n">
        <f aca="false">SUMIF('Hiring plan'!$B$5:$B$32,"Finance &amp; admin",AS39:AS66)+0</f>
        <v>2257368.75</v>
      </c>
      <c r="AT97" s="32" t="n">
        <f aca="false">SUMIF('Hiring plan'!$B$5:$B$32,"Finance &amp; admin",AT39:AT66)+0</f>
        <v>2257368.75</v>
      </c>
      <c r="AU97" s="32" t="n">
        <f aca="false">SUMIF('Hiring plan'!$B$5:$B$32,"Finance &amp; admin",AU39:AU66)+0</f>
        <v>2257368.75</v>
      </c>
      <c r="AV97" s="32" t="n">
        <f aca="false">SUMIF('Hiring plan'!$B$5:$B$32,"Finance &amp; admin",AV39:AV66)+0</f>
        <v>2257368.75</v>
      </c>
      <c r="AW97" s="32" t="n">
        <f aca="false">SUMIF('Hiring plan'!$B$5:$B$32,"Finance &amp; admin",AW39:AW66)+0</f>
        <v>2257368.75</v>
      </c>
      <c r="AX97" s="32" t="n">
        <f aca="false">SUMIF('Hiring plan'!$B$5:$B$32,"Finance &amp; admin",AX39:AX66)+0</f>
        <v>2257368.75</v>
      </c>
      <c r="AY97" s="32" t="n">
        <f aca="false">SUMIF('Hiring plan'!$B$5:$B$32,"Finance &amp; admin",AY39:AY66)+0</f>
        <v>2257368.75</v>
      </c>
      <c r="AZ97" s="32" t="n">
        <f aca="false">SUMIF('Hiring plan'!$B$5:$B$32,"Finance &amp; admin",AZ39:AZ66)+0</f>
        <v>2257368.75</v>
      </c>
      <c r="BA97" s="32" t="n">
        <f aca="false">SUMIF('Hiring plan'!$B$5:$B$32,"Finance &amp; admin",BA39:BA66)+0</f>
        <v>2370237.1875</v>
      </c>
      <c r="BB97" s="32" t="n">
        <f aca="false">SUMIF('Hiring plan'!$B$5:$B$32,"Finance &amp; admin",BB39:BB66)+0</f>
        <v>2370237.1875</v>
      </c>
      <c r="BC97" s="32" t="n">
        <f aca="false">SUMIF('Hiring plan'!$B$5:$B$32,"Finance &amp; admin",BC39:BC66)+0</f>
        <v>2370237.1875</v>
      </c>
      <c r="BD97" s="32" t="n">
        <f aca="false">SUMIF('Hiring plan'!$B$5:$B$32,"Finance &amp; admin",BD39:BD66)+0</f>
        <v>2370237.1875</v>
      </c>
      <c r="BE97" s="32" t="n">
        <f aca="false">SUMIF('Hiring plan'!$B$5:$B$32,"Finance &amp; admin",BE39:BE66)+0</f>
        <v>2370237.1875</v>
      </c>
      <c r="BF97" s="32" t="n">
        <f aca="false">SUMIF('Hiring plan'!$B$5:$B$32,"Finance &amp; admin",BF39:BF66)+0</f>
        <v>2370237.1875</v>
      </c>
      <c r="BG97" s="32" t="n">
        <f aca="false">SUMIF('Hiring plan'!$B$5:$B$32,"Finance &amp; admin",BG39:BG66)+0</f>
        <v>2370237.1875</v>
      </c>
      <c r="BH97" s="32" t="n">
        <f aca="false">SUMIF('Hiring plan'!$B$5:$B$32,"Finance &amp; admin",BH39:BH66)+0</f>
        <v>2370237.1875</v>
      </c>
      <c r="BI97" s="32" t="n">
        <f aca="false">SUMIF('Hiring plan'!$B$5:$B$32,"Finance &amp; admin",BI39:BI66)+0</f>
        <v>2370237.1875</v>
      </c>
      <c r="BJ97" s="32" t="n">
        <f aca="false">SUMIF('Hiring plan'!$B$5:$B$32,"Finance &amp; admin",BJ39:BJ66)+0</f>
        <v>2370237.1875</v>
      </c>
      <c r="BK97" s="32" t="n">
        <f aca="false">SUMIF('Hiring plan'!$B$5:$B$32,"Finance &amp; admin",BK39:BK66)+0</f>
        <v>2370237.1875</v>
      </c>
      <c r="BL97" s="32" t="n">
        <f aca="false">SUMIF('Hiring plan'!$B$5:$B$32,"Finance &amp; admin",BL39:BL66)+0</f>
        <v>2370237.1875</v>
      </c>
    </row>
    <row r="98" customFormat="false" ht="15" hidden="false" customHeight="false" outlineLevel="0" collapsed="false">
      <c r="A98" s="8" t="s">
        <v>951</v>
      </c>
      <c r="B98" s="14" t="s">
        <v>77</v>
      </c>
      <c r="D98" s="55"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952</v>
      </c>
    </row>
    <row r="2" customFormat="false" ht="15" hidden="false" customHeight="false" outlineLevel="0" collapsed="false">
      <c r="A2" s="2" t="s">
        <v>953</v>
      </c>
    </row>
    <row r="3" customFormat="false" ht="15" hidden="false" customHeight="false" outlineLevel="0" collapsed="false">
      <c r="A3" s="8" t="s">
        <v>917</v>
      </c>
      <c r="D3" s="8" t="s">
        <v>918</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919</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87</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920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921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79</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79</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79</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79</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79</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79</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79</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79</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79</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79</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79</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79</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79</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79</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79</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79</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79</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79</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79</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79</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79</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79</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79</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79</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79</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79</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79</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79</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922</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928</v>
      </c>
      <c r="B41" s="14" t="s">
        <v>79</v>
      </c>
      <c r="D41" s="55" t="n">
        <f aca="false">Staff!D74/FX_EUR</f>
        <v>341379.593574731</v>
      </c>
      <c r="E41" s="32" t="n">
        <f aca="false">Staff!E74/FX_EUR</f>
        <v>0</v>
      </c>
      <c r="F41" s="32" t="n">
        <f aca="false">Staff!F74/FX_EUR</f>
        <v>0</v>
      </c>
      <c r="G41" s="32" t="n">
        <f aca="false">Staff!G74/FX_EUR</f>
        <v>0</v>
      </c>
      <c r="H41" s="32" t="n">
        <f aca="false">Staff!H74/FX_EUR</f>
        <v>990.918612043168</v>
      </c>
      <c r="I41" s="32" t="n">
        <f aca="false">Staff!I74/FX_EUR</f>
        <v>990.918612043168</v>
      </c>
      <c r="J41" s="32" t="n">
        <f aca="false">Staff!J74/FX_EUR</f>
        <v>990.918612043168</v>
      </c>
      <c r="K41" s="32" t="n">
        <f aca="false">Staff!K74/FX_EUR</f>
        <v>990.918612043168</v>
      </c>
      <c r="L41" s="32" t="n">
        <f aca="false">Staff!L74/FX_EUR</f>
        <v>990.918612043168</v>
      </c>
      <c r="M41" s="32" t="n">
        <f aca="false">Staff!M74/FX_EUR</f>
        <v>990.918612043168</v>
      </c>
      <c r="N41" s="32" t="n">
        <f aca="false">Staff!N74/FX_EUR</f>
        <v>990.918612043168</v>
      </c>
      <c r="O41" s="32" t="n">
        <f aca="false">Staff!O74/FX_EUR</f>
        <v>990.918612043168</v>
      </c>
      <c r="P41" s="32" t="n">
        <f aca="false">Staff!P74/FX_EUR</f>
        <v>990.918612043168</v>
      </c>
      <c r="Q41" s="32" t="n">
        <f aca="false">Staff!Q74/FX_EUR</f>
        <v>1040.46454264533</v>
      </c>
      <c r="R41" s="32" t="n">
        <f aca="false">Staff!R74/FX_EUR</f>
        <v>1040.46454264533</v>
      </c>
      <c r="S41" s="32" t="n">
        <f aca="false">Staff!S74/FX_EUR</f>
        <v>1040.46454264533</v>
      </c>
      <c r="T41" s="32" t="n">
        <f aca="false">Staff!T74/FX_EUR</f>
        <v>1040.46454264533</v>
      </c>
      <c r="U41" s="32" t="n">
        <f aca="false">Staff!U74/FX_EUR</f>
        <v>1040.46454264533</v>
      </c>
      <c r="V41" s="32" t="n">
        <f aca="false">Staff!V74/FX_EUR</f>
        <v>1040.46454264533</v>
      </c>
      <c r="W41" s="32" t="n">
        <f aca="false">Staff!W74/FX_EUR</f>
        <v>1040.46454264533</v>
      </c>
      <c r="X41" s="32" t="n">
        <f aca="false">Staff!X74/FX_EUR</f>
        <v>1040.46454264533</v>
      </c>
      <c r="Y41" s="32" t="n">
        <f aca="false">Staff!Y74/FX_EUR</f>
        <v>1560.69681396799</v>
      </c>
      <c r="Z41" s="32" t="n">
        <f aca="false">Staff!Z74/FX_EUR</f>
        <v>1560.69681396799</v>
      </c>
      <c r="AA41" s="32" t="n">
        <f aca="false">Staff!AA74/FX_EUR</f>
        <v>1560.69681396799</v>
      </c>
      <c r="AB41" s="32" t="n">
        <f aca="false">Staff!AB74/FX_EUR</f>
        <v>1560.69681396799</v>
      </c>
      <c r="AC41" s="32" t="n">
        <f aca="false">Staff!AC74/FX_EUR</f>
        <v>2184.97553955518</v>
      </c>
      <c r="AD41" s="32" t="n">
        <f aca="false">Staff!AD74/FX_EUR</f>
        <v>2184.97553955518</v>
      </c>
      <c r="AE41" s="32" t="n">
        <f aca="false">Staff!AE74/FX_EUR</f>
        <v>2184.97553955518</v>
      </c>
      <c r="AF41" s="32" t="n">
        <f aca="false">Staff!AF74/FX_EUR</f>
        <v>2731.21942444398</v>
      </c>
      <c r="AG41" s="32" t="n">
        <f aca="false">Staff!AG74/FX_EUR</f>
        <v>3823.70719422157</v>
      </c>
      <c r="AH41" s="32" t="n">
        <f aca="false">Staff!AH74/FX_EUR</f>
        <v>3823.70719422157</v>
      </c>
      <c r="AI41" s="32" t="n">
        <f aca="false">Staff!AI74/FX_EUR</f>
        <v>4369.95107911037</v>
      </c>
      <c r="AJ41" s="32" t="n">
        <f aca="false">Staff!AJ74/FX_EUR</f>
        <v>4369.95107911037</v>
      </c>
      <c r="AK41" s="32" t="n">
        <f aca="false">Staff!AK74/FX_EUR</f>
        <v>4916.19496399916</v>
      </c>
      <c r="AL41" s="32" t="n">
        <f aca="false">Staff!AL74/FX_EUR</f>
        <v>4916.19496399916</v>
      </c>
      <c r="AM41" s="32" t="n">
        <f aca="false">Staff!AM74/FX_EUR</f>
        <v>5462.43884888796</v>
      </c>
      <c r="AN41" s="32" t="n">
        <f aca="false">Staff!AN74/FX_EUR</f>
        <v>5462.43884888796</v>
      </c>
      <c r="AO41" s="32" t="n">
        <f aca="false">Staff!AO74/FX_EUR</f>
        <v>6309.1168704656</v>
      </c>
      <c r="AP41" s="32" t="n">
        <f aca="false">Staff!AP74/FX_EUR</f>
        <v>6309.1168704656</v>
      </c>
      <c r="AQ41" s="32" t="n">
        <f aca="false">Staff!AQ74/FX_EUR</f>
        <v>6882.67294959883</v>
      </c>
      <c r="AR41" s="32" t="n">
        <f aca="false">Staff!AR74/FX_EUR</f>
        <v>7456.22902873207</v>
      </c>
      <c r="AS41" s="32" t="n">
        <f aca="false">Staff!AS74/FX_EUR</f>
        <v>7456.22902873207</v>
      </c>
      <c r="AT41" s="32" t="n">
        <f aca="false">Staff!AT74/FX_EUR</f>
        <v>8029.7851078653</v>
      </c>
      <c r="AU41" s="32" t="n">
        <f aca="false">Staff!AU74/FX_EUR</f>
        <v>8603.34118699854</v>
      </c>
      <c r="AV41" s="32" t="n">
        <f aca="false">Staff!AV74/FX_EUR</f>
        <v>8603.34118699854</v>
      </c>
      <c r="AW41" s="32" t="n">
        <f aca="false">Staff!AW74/FX_EUR</f>
        <v>9176.89726613178</v>
      </c>
      <c r="AX41" s="32" t="n">
        <f aca="false">Staff!AX74/FX_EUR</f>
        <v>9750.45334526501</v>
      </c>
      <c r="AY41" s="32" t="n">
        <f aca="false">Staff!AY74/FX_EUR</f>
        <v>10324.0094243982</v>
      </c>
      <c r="AZ41" s="32" t="n">
        <f aca="false">Staff!AZ74/FX_EUR</f>
        <v>10324.0094243982</v>
      </c>
      <c r="BA41" s="32" t="n">
        <f aca="false">Staff!BA74/FX_EUR</f>
        <v>11442.4437787081</v>
      </c>
      <c r="BB41" s="32" t="n">
        <f aca="false">Staff!BB74/FX_EUR</f>
        <v>12044.677661798</v>
      </c>
      <c r="BC41" s="32" t="n">
        <f aca="false">Staff!BC74/FX_EUR</f>
        <v>12646.9115448879</v>
      </c>
      <c r="BD41" s="32" t="n">
        <f aca="false">Staff!BD74/FX_EUR</f>
        <v>13249.1454279778</v>
      </c>
      <c r="BE41" s="32" t="n">
        <f aca="false">Staff!BE74/FX_EUR</f>
        <v>13249.1454279778</v>
      </c>
      <c r="BF41" s="32" t="n">
        <f aca="false">Staff!BF74/FX_EUR</f>
        <v>13851.3793110676</v>
      </c>
      <c r="BG41" s="32" t="n">
        <f aca="false">Staff!BG74/FX_EUR</f>
        <v>14453.6131941575</v>
      </c>
      <c r="BH41" s="32" t="n">
        <f aca="false">Staff!BH74/FX_EUR</f>
        <v>15055.8470772474</v>
      </c>
      <c r="BI41" s="32" t="n">
        <f aca="false">Staff!BI74/FX_EUR</f>
        <v>15658.0809603373</v>
      </c>
      <c r="BJ41" s="32" t="n">
        <f aca="false">Staff!BJ74/FX_EUR</f>
        <v>16260.3148434272</v>
      </c>
      <c r="BK41" s="32" t="n">
        <f aca="false">Staff!BK74/FX_EUR</f>
        <v>16862.5487265171</v>
      </c>
      <c r="BL41" s="32" t="n">
        <f aca="false">Staff!BL74/FX_EUR</f>
        <v>17464.782609607</v>
      </c>
    </row>
    <row r="42" customFormat="false" ht="15" hidden="false" customHeight="false" outlineLevel="0" collapsed="false">
      <c r="A42" s="12" t="s">
        <v>929</v>
      </c>
      <c r="B42" s="14" t="s">
        <v>79</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930</v>
      </c>
      <c r="B43" s="14" t="s">
        <v>79</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931</v>
      </c>
      <c r="B44" s="14" t="s">
        <v>79</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932</v>
      </c>
      <c r="B45" s="14" t="s">
        <v>79</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934</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943</v>
      </c>
      <c r="B48" s="14" t="s">
        <v>79</v>
      </c>
      <c r="D48" s="55" t="n">
        <f aca="false">Staff!D90/FX_EUR</f>
        <v>541299.493335691</v>
      </c>
      <c r="E48" s="32" t="n">
        <f aca="false">Staff!E90/FX_EUR</f>
        <v>0</v>
      </c>
      <c r="F48" s="32" t="n">
        <f aca="false">Staff!F90/FX_EUR</f>
        <v>0</v>
      </c>
      <c r="G48" s="32" t="n">
        <f aca="false">Staff!G90/FX_EUR</f>
        <v>0</v>
      </c>
      <c r="H48" s="32" t="n">
        <f aca="false">Staff!H90/FX_EUR</f>
        <v>0</v>
      </c>
      <c r="I48" s="32" t="n">
        <f aca="false">Staff!I90/FX_EUR</f>
        <v>0</v>
      </c>
      <c r="J48" s="32" t="n">
        <f aca="false">Staff!J90/FX_EUR</f>
        <v>0</v>
      </c>
      <c r="K48" s="32" t="n">
        <f aca="false">Staff!K90/FX_EUR</f>
        <v>0</v>
      </c>
      <c r="L48" s="32" t="n">
        <f aca="false">Staff!L90/FX_EUR</f>
        <v>0</v>
      </c>
      <c r="M48" s="32" t="n">
        <f aca="false">Staff!M90/FX_EUR</f>
        <v>0</v>
      </c>
      <c r="N48" s="32" t="n">
        <f aca="false">Staff!N90/FX_EUR</f>
        <v>0</v>
      </c>
      <c r="O48" s="32" t="n">
        <f aca="false">Staff!O90/FX_EUR</f>
        <v>0</v>
      </c>
      <c r="P48" s="32" t="n">
        <f aca="false">Staff!P90/FX_EUR</f>
        <v>0</v>
      </c>
      <c r="Q48" s="32" t="n">
        <f aca="false">Staff!Q90/FX_EUR</f>
        <v>5202.32271322663</v>
      </c>
      <c r="R48" s="32" t="n">
        <f aca="false">Staff!R90/FX_EUR</f>
        <v>5202.32271322663</v>
      </c>
      <c r="S48" s="32" t="n">
        <f aca="false">Staff!S90/FX_EUR</f>
        <v>5202.32271322663</v>
      </c>
      <c r="T48" s="32" t="n">
        <f aca="false">Staff!T90/FX_EUR</f>
        <v>5202.32271322663</v>
      </c>
      <c r="U48" s="32" t="n">
        <f aca="false">Staff!U90/FX_EUR</f>
        <v>5202.32271322663</v>
      </c>
      <c r="V48" s="32" t="n">
        <f aca="false">Staff!V90/FX_EUR</f>
        <v>11028.9241520405</v>
      </c>
      <c r="W48" s="32" t="n">
        <f aca="false">Staff!W90/FX_EUR</f>
        <v>11028.9241520405</v>
      </c>
      <c r="X48" s="32" t="n">
        <f aca="false">Staff!X90/FX_EUR</f>
        <v>11028.9241520405</v>
      </c>
      <c r="Y48" s="32" t="n">
        <f aca="false">Staff!Y90/FX_EUR</f>
        <v>11028.9241520405</v>
      </c>
      <c r="Z48" s="32" t="n">
        <f aca="false">Staff!Z90/FX_EUR</f>
        <v>11028.9241520405</v>
      </c>
      <c r="AA48" s="32" t="n">
        <f aca="false">Staff!AA90/FX_EUR</f>
        <v>11028.9241520405</v>
      </c>
      <c r="AB48" s="32" t="n">
        <f aca="false">Staff!AB90/FX_EUR</f>
        <v>11028.9241520405</v>
      </c>
      <c r="AC48" s="32" t="n">
        <f aca="false">Staff!AC90/FX_EUR</f>
        <v>11580.3703596425</v>
      </c>
      <c r="AD48" s="32" t="n">
        <f aca="false">Staff!AD90/FX_EUR</f>
        <v>11580.3703596425</v>
      </c>
      <c r="AE48" s="32" t="n">
        <f aca="false">Staff!AE90/FX_EUR</f>
        <v>11580.3703596425</v>
      </c>
      <c r="AF48" s="32" t="n">
        <f aca="false">Staff!AF90/FX_EUR</f>
        <v>11580.3703596425</v>
      </c>
      <c r="AG48" s="32" t="n">
        <f aca="false">Staff!AG90/FX_EUR</f>
        <v>11580.3703596425</v>
      </c>
      <c r="AH48" s="32" t="n">
        <f aca="false">Staff!AH90/FX_EUR</f>
        <v>11580.3703596425</v>
      </c>
      <c r="AI48" s="32" t="n">
        <f aca="false">Staff!AI90/FX_EUR</f>
        <v>11580.3703596425</v>
      </c>
      <c r="AJ48" s="32" t="n">
        <f aca="false">Staff!AJ90/FX_EUR</f>
        <v>11580.3703596425</v>
      </c>
      <c r="AK48" s="32" t="n">
        <f aca="false">Staff!AK90/FX_EUR</f>
        <v>11580.3703596425</v>
      </c>
      <c r="AL48" s="32" t="n">
        <f aca="false">Staff!AL90/FX_EUR</f>
        <v>11580.3703596425</v>
      </c>
      <c r="AM48" s="32" t="n">
        <f aca="false">Staff!AM90/FX_EUR</f>
        <v>11580.3703596425</v>
      </c>
      <c r="AN48" s="32" t="n">
        <f aca="false">Staff!AN90/FX_EUR</f>
        <v>11580.3703596425</v>
      </c>
      <c r="AO48" s="32" t="n">
        <f aca="false">Staff!AO90/FX_EUR</f>
        <v>12159.3888776246</v>
      </c>
      <c r="AP48" s="32" t="n">
        <f aca="false">Staff!AP90/FX_EUR</f>
        <v>12159.3888776246</v>
      </c>
      <c r="AQ48" s="32" t="n">
        <f aca="false">Staff!AQ90/FX_EUR</f>
        <v>12159.3888776246</v>
      </c>
      <c r="AR48" s="32" t="n">
        <f aca="false">Staff!AR90/FX_EUR</f>
        <v>12159.3888776246</v>
      </c>
      <c r="AS48" s="32" t="n">
        <f aca="false">Staff!AS90/FX_EUR</f>
        <v>12159.3888776246</v>
      </c>
      <c r="AT48" s="32" t="n">
        <f aca="false">Staff!AT90/FX_EUR</f>
        <v>12159.3888776246</v>
      </c>
      <c r="AU48" s="32" t="n">
        <f aca="false">Staff!AU90/FX_EUR</f>
        <v>12159.3888776246</v>
      </c>
      <c r="AV48" s="32" t="n">
        <f aca="false">Staff!AV90/FX_EUR</f>
        <v>12159.3888776246</v>
      </c>
      <c r="AW48" s="32" t="n">
        <f aca="false">Staff!AW90/FX_EUR</f>
        <v>12159.3888776246</v>
      </c>
      <c r="AX48" s="32" t="n">
        <f aca="false">Staff!AX90/FX_EUR</f>
        <v>12159.3888776246</v>
      </c>
      <c r="AY48" s="32" t="n">
        <f aca="false">Staff!AY90/FX_EUR</f>
        <v>12159.3888776246</v>
      </c>
      <c r="AZ48" s="32" t="n">
        <f aca="false">Staff!AZ90/FX_EUR</f>
        <v>12159.3888776246</v>
      </c>
      <c r="BA48" s="32" t="n">
        <f aca="false">Staff!BA90/FX_EUR</f>
        <v>12767.3583215058</v>
      </c>
      <c r="BB48" s="32" t="n">
        <f aca="false">Staff!BB90/FX_EUR</f>
        <v>12767.3583215058</v>
      </c>
      <c r="BC48" s="32" t="n">
        <f aca="false">Staff!BC90/FX_EUR</f>
        <v>12767.3583215058</v>
      </c>
      <c r="BD48" s="32" t="n">
        <f aca="false">Staff!BD90/FX_EUR</f>
        <v>12767.3583215058</v>
      </c>
      <c r="BE48" s="32" t="n">
        <f aca="false">Staff!BE90/FX_EUR</f>
        <v>12767.3583215058</v>
      </c>
      <c r="BF48" s="32" t="n">
        <f aca="false">Staff!BF90/FX_EUR</f>
        <v>12767.3583215058</v>
      </c>
      <c r="BG48" s="32" t="n">
        <f aca="false">Staff!BG90/FX_EUR</f>
        <v>12767.3583215058</v>
      </c>
      <c r="BH48" s="32" t="n">
        <f aca="false">Staff!BH90/FX_EUR</f>
        <v>12767.3583215058</v>
      </c>
      <c r="BI48" s="32" t="n">
        <f aca="false">Staff!BI90/FX_EUR</f>
        <v>12767.3583215058</v>
      </c>
      <c r="BJ48" s="32" t="n">
        <f aca="false">Staff!BJ90/FX_EUR</f>
        <v>12767.3583215058</v>
      </c>
      <c r="BK48" s="32" t="n">
        <f aca="false">Staff!BK90/FX_EUR</f>
        <v>12767.3583215058</v>
      </c>
      <c r="BL48" s="32" t="n">
        <f aca="false">Staff!BL90/FX_EUR</f>
        <v>12767.3583215058</v>
      </c>
    </row>
    <row r="49" customFormat="false" ht="15" hidden="false" customHeight="false" outlineLevel="0" collapsed="false">
      <c r="A49" s="12" t="s">
        <v>944</v>
      </c>
      <c r="B49" s="14" t="s">
        <v>79</v>
      </c>
      <c r="D49" s="55" t="n">
        <f aca="false">Staff!D91/FX_EUR</f>
        <v>843844.836628011</v>
      </c>
      <c r="E49" s="32" t="n">
        <f aca="false">Staff!E91/FX_EUR</f>
        <v>9711.00239802304</v>
      </c>
      <c r="F49" s="32" t="n">
        <f aca="false">Staff!F91/FX_EUR</f>
        <v>9711.00239802304</v>
      </c>
      <c r="G49" s="32" t="n">
        <f aca="false">Staff!G91/FX_EUR</f>
        <v>9711.00239802304</v>
      </c>
      <c r="H49" s="32" t="n">
        <f aca="false">Staff!H91/FX_EUR</f>
        <v>9711.00239802304</v>
      </c>
      <c r="I49" s="32" t="n">
        <f aca="false">Staff!I91/FX_EUR</f>
        <v>9711.00239802304</v>
      </c>
      <c r="J49" s="32" t="n">
        <f aca="false">Staff!J91/FX_EUR</f>
        <v>9711.00239802304</v>
      </c>
      <c r="K49" s="32" t="n">
        <f aca="false">Staff!K91/FX_EUR</f>
        <v>9711.00239802304</v>
      </c>
      <c r="L49" s="32" t="n">
        <f aca="false">Staff!L91/FX_EUR</f>
        <v>9711.00239802304</v>
      </c>
      <c r="M49" s="32" t="n">
        <f aca="false">Staff!M91/FX_EUR</f>
        <v>9711.00239802304</v>
      </c>
      <c r="N49" s="32" t="n">
        <f aca="false">Staff!N91/FX_EUR</f>
        <v>9711.00239802304</v>
      </c>
      <c r="O49" s="32" t="n">
        <f aca="false">Staff!O91/FX_EUR</f>
        <v>9711.00239802304</v>
      </c>
      <c r="P49" s="32" t="n">
        <f aca="false">Staff!P91/FX_EUR</f>
        <v>9711.00239802304</v>
      </c>
      <c r="Q49" s="32" t="n">
        <f aca="false">Staff!Q91/FX_EUR</f>
        <v>10196.5525179242</v>
      </c>
      <c r="R49" s="32" t="n">
        <f aca="false">Staff!R91/FX_EUR</f>
        <v>10196.5525179242</v>
      </c>
      <c r="S49" s="32" t="n">
        <f aca="false">Staff!S91/FX_EUR</f>
        <v>10196.5525179242</v>
      </c>
      <c r="T49" s="32" t="n">
        <f aca="false">Staff!T91/FX_EUR</f>
        <v>10196.5525179242</v>
      </c>
      <c r="U49" s="32" t="n">
        <f aca="false">Staff!U91/FX_EUR</f>
        <v>10196.5525179242</v>
      </c>
      <c r="V49" s="32" t="n">
        <f aca="false">Staff!V91/FX_EUR</f>
        <v>10196.5525179242</v>
      </c>
      <c r="W49" s="32" t="n">
        <f aca="false">Staff!W91/FX_EUR</f>
        <v>10196.5525179242</v>
      </c>
      <c r="X49" s="32" t="n">
        <f aca="false">Staff!X91/FX_EUR</f>
        <v>10196.5525179242</v>
      </c>
      <c r="Y49" s="32" t="n">
        <f aca="false">Staff!Y91/FX_EUR</f>
        <v>10196.5525179242</v>
      </c>
      <c r="Z49" s="32" t="n">
        <f aca="false">Staff!Z91/FX_EUR</f>
        <v>10196.5525179242</v>
      </c>
      <c r="AA49" s="32" t="n">
        <f aca="false">Staff!AA91/FX_EUR</f>
        <v>10196.5525179242</v>
      </c>
      <c r="AB49" s="32" t="n">
        <f aca="false">Staff!AB91/FX_EUR</f>
        <v>10196.5525179242</v>
      </c>
      <c r="AC49" s="32" t="n">
        <f aca="false">Staff!AC91/FX_EUR</f>
        <v>10706.3801438204</v>
      </c>
      <c r="AD49" s="32" t="n">
        <f aca="false">Staff!AD91/FX_EUR</f>
        <v>10706.3801438204</v>
      </c>
      <c r="AE49" s="32" t="n">
        <f aca="false">Staff!AE91/FX_EUR</f>
        <v>10706.3801438204</v>
      </c>
      <c r="AF49" s="32" t="n">
        <f aca="false">Staff!AF91/FX_EUR</f>
        <v>13328.3507912866</v>
      </c>
      <c r="AG49" s="32" t="n">
        <f aca="false">Staff!AG91/FX_EUR</f>
        <v>13328.3507912866</v>
      </c>
      <c r="AH49" s="32" t="n">
        <f aca="false">Staff!AH91/FX_EUR</f>
        <v>13328.3507912866</v>
      </c>
      <c r="AI49" s="32" t="n">
        <f aca="false">Staff!AI91/FX_EUR</f>
        <v>13328.3507912866</v>
      </c>
      <c r="AJ49" s="32" t="n">
        <f aca="false">Staff!AJ91/FX_EUR</f>
        <v>13328.3507912866</v>
      </c>
      <c r="AK49" s="32" t="n">
        <f aca="false">Staff!AK91/FX_EUR</f>
        <v>13328.3507912866</v>
      </c>
      <c r="AL49" s="32" t="n">
        <f aca="false">Staff!AL91/FX_EUR</f>
        <v>13328.3507912866</v>
      </c>
      <c r="AM49" s="32" t="n">
        <f aca="false">Staff!AM91/FX_EUR</f>
        <v>13328.3507912866</v>
      </c>
      <c r="AN49" s="32" t="n">
        <f aca="false">Staff!AN91/FX_EUR</f>
        <v>13328.3507912866</v>
      </c>
      <c r="AO49" s="32" t="n">
        <f aca="false">Staff!AO91/FX_EUR</f>
        <v>13994.768330851</v>
      </c>
      <c r="AP49" s="32" t="n">
        <f aca="false">Staff!AP91/FX_EUR</f>
        <v>13994.768330851</v>
      </c>
      <c r="AQ49" s="32" t="n">
        <f aca="false">Staff!AQ91/FX_EUR</f>
        <v>13994.768330851</v>
      </c>
      <c r="AR49" s="32" t="n">
        <f aca="false">Staff!AR91/FX_EUR</f>
        <v>16747.8375106905</v>
      </c>
      <c r="AS49" s="32" t="n">
        <f aca="false">Staff!AS91/FX_EUR</f>
        <v>16747.8375106905</v>
      </c>
      <c r="AT49" s="32" t="n">
        <f aca="false">Staff!AT91/FX_EUR</f>
        <v>16747.8375106905</v>
      </c>
      <c r="AU49" s="32" t="n">
        <f aca="false">Staff!AU91/FX_EUR</f>
        <v>16747.8375106905</v>
      </c>
      <c r="AV49" s="32" t="n">
        <f aca="false">Staff!AV91/FX_EUR</f>
        <v>16747.8375106905</v>
      </c>
      <c r="AW49" s="32" t="n">
        <f aca="false">Staff!AW91/FX_EUR</f>
        <v>16747.8375106905</v>
      </c>
      <c r="AX49" s="32" t="n">
        <f aca="false">Staff!AX91/FX_EUR</f>
        <v>16747.8375106905</v>
      </c>
      <c r="AY49" s="32" t="n">
        <f aca="false">Staff!AY91/FX_EUR</f>
        <v>16747.8375106905</v>
      </c>
      <c r="AZ49" s="32" t="n">
        <f aca="false">Staff!AZ91/FX_EUR</f>
        <v>16747.8375106905</v>
      </c>
      <c r="BA49" s="32" t="n">
        <f aca="false">Staff!BA91/FX_EUR</f>
        <v>20475.9520250565</v>
      </c>
      <c r="BB49" s="32" t="n">
        <f aca="false">Staff!BB91/FX_EUR</f>
        <v>20475.9520250565</v>
      </c>
      <c r="BC49" s="32" t="n">
        <f aca="false">Staff!BC91/FX_EUR</f>
        <v>20475.9520250565</v>
      </c>
      <c r="BD49" s="32" t="n">
        <f aca="false">Staff!BD91/FX_EUR</f>
        <v>20475.9520250565</v>
      </c>
      <c r="BE49" s="32" t="n">
        <f aca="false">Staff!BE91/FX_EUR</f>
        <v>20475.9520250565</v>
      </c>
      <c r="BF49" s="32" t="n">
        <f aca="false">Staff!BF91/FX_EUR</f>
        <v>20475.9520250565</v>
      </c>
      <c r="BG49" s="32" t="n">
        <f aca="false">Staff!BG91/FX_EUR</f>
        <v>20475.9520250565</v>
      </c>
      <c r="BH49" s="32" t="n">
        <f aca="false">Staff!BH91/FX_EUR</f>
        <v>23366.674663888</v>
      </c>
      <c r="BI49" s="32" t="n">
        <f aca="false">Staff!BI91/FX_EUR</f>
        <v>23366.674663888</v>
      </c>
      <c r="BJ49" s="32" t="n">
        <f aca="false">Staff!BJ91/FX_EUR</f>
        <v>23366.674663888</v>
      </c>
      <c r="BK49" s="32" t="n">
        <f aca="false">Staff!BK91/FX_EUR</f>
        <v>23366.674663888</v>
      </c>
      <c r="BL49" s="32" t="n">
        <f aca="false">Staff!BL91/FX_EUR</f>
        <v>23366.674663888</v>
      </c>
    </row>
    <row r="50" customFormat="false" ht="15" hidden="false" customHeight="false" outlineLevel="0" collapsed="false">
      <c r="A50" s="12" t="s">
        <v>945</v>
      </c>
      <c r="B50" s="14" t="s">
        <v>79</v>
      </c>
      <c r="D50" s="55" t="n">
        <f aca="false">Staff!D92/FX_EUR</f>
        <v>127107.830619995</v>
      </c>
      <c r="E50" s="32" t="n">
        <f aca="false">Staff!E92/FX_EUR</f>
        <v>0</v>
      </c>
      <c r="F50" s="32" t="n">
        <f aca="false">Staff!F92/FX_EUR</f>
        <v>0</v>
      </c>
      <c r="G50" s="32" t="n">
        <f aca="false">Staff!G92/FX_EUR</f>
        <v>0</v>
      </c>
      <c r="H50" s="32" t="n">
        <f aca="false">Staff!H92/FX_EUR</f>
        <v>0</v>
      </c>
      <c r="I50" s="32" t="n">
        <f aca="false">Staff!I92/FX_EUR</f>
        <v>0</v>
      </c>
      <c r="J50" s="32" t="n">
        <f aca="false">Staff!J92/FX_EUR</f>
        <v>0</v>
      </c>
      <c r="K50" s="32" t="n">
        <f aca="false">Staff!K92/FX_EUR</f>
        <v>0</v>
      </c>
      <c r="L50" s="32" t="n">
        <f aca="false">Staff!L92/FX_EUR</f>
        <v>0</v>
      </c>
      <c r="M50" s="32" t="n">
        <f aca="false">Staff!M92/FX_EUR</f>
        <v>0</v>
      </c>
      <c r="N50" s="32" t="n">
        <f aca="false">Staff!N92/FX_EUR</f>
        <v>0</v>
      </c>
      <c r="O50" s="32" t="n">
        <f aca="false">Staff!O92/FX_EUR</f>
        <v>0</v>
      </c>
      <c r="P50" s="32" t="n">
        <f aca="false">Staff!P92/FX_EUR</f>
        <v>0</v>
      </c>
      <c r="Q50" s="32" t="n">
        <f aca="false">Staff!Q92/FX_EUR</f>
        <v>0</v>
      </c>
      <c r="R50" s="32" t="n">
        <f aca="false">Staff!R92/FX_EUR</f>
        <v>0</v>
      </c>
      <c r="S50" s="32" t="n">
        <f aca="false">Staff!S92/FX_EUR</f>
        <v>0</v>
      </c>
      <c r="T50" s="32" t="n">
        <f aca="false">Staff!T92/FX_EUR</f>
        <v>0</v>
      </c>
      <c r="U50" s="32" t="n">
        <f aca="false">Staff!U92/FX_EUR</f>
        <v>0</v>
      </c>
      <c r="V50" s="32" t="n">
        <f aca="false">Staff!V92/FX_EUR</f>
        <v>0</v>
      </c>
      <c r="W50" s="32" t="n">
        <f aca="false">Staff!W92/FX_EUR</f>
        <v>0</v>
      </c>
      <c r="X50" s="32" t="n">
        <f aca="false">Staff!X92/FX_EUR</f>
        <v>0</v>
      </c>
      <c r="Y50" s="32" t="n">
        <f aca="false">Staff!Y92/FX_EUR</f>
        <v>0</v>
      </c>
      <c r="Z50" s="32" t="n">
        <f aca="false">Staff!Z92/FX_EUR</f>
        <v>0</v>
      </c>
      <c r="AA50" s="32" t="n">
        <f aca="false">Staff!AA92/FX_EUR</f>
        <v>0</v>
      </c>
      <c r="AB50" s="32" t="n">
        <f aca="false">Staff!AB92/FX_EUR</f>
        <v>3121.39362793598</v>
      </c>
      <c r="AC50" s="32" t="n">
        <f aca="false">Staff!AC92/FX_EUR</f>
        <v>3277.46330933278</v>
      </c>
      <c r="AD50" s="32" t="n">
        <f aca="false">Staff!AD92/FX_EUR</f>
        <v>3277.46330933278</v>
      </c>
      <c r="AE50" s="32" t="n">
        <f aca="false">Staff!AE92/FX_EUR</f>
        <v>3277.46330933278</v>
      </c>
      <c r="AF50" s="32" t="n">
        <f aca="false">Staff!AF92/FX_EUR</f>
        <v>3277.46330933278</v>
      </c>
      <c r="AG50" s="32" t="n">
        <f aca="false">Staff!AG92/FX_EUR</f>
        <v>3277.46330933278</v>
      </c>
      <c r="AH50" s="32" t="n">
        <f aca="false">Staff!AH92/FX_EUR</f>
        <v>3277.46330933278</v>
      </c>
      <c r="AI50" s="32" t="n">
        <f aca="false">Staff!AI92/FX_EUR</f>
        <v>3277.46330933278</v>
      </c>
      <c r="AJ50" s="32" t="n">
        <f aca="false">Staff!AJ92/FX_EUR</f>
        <v>3277.46330933278</v>
      </c>
      <c r="AK50" s="32" t="n">
        <f aca="false">Staff!AK92/FX_EUR</f>
        <v>3277.46330933278</v>
      </c>
      <c r="AL50" s="32" t="n">
        <f aca="false">Staff!AL92/FX_EUR</f>
        <v>3277.46330933278</v>
      </c>
      <c r="AM50" s="32" t="n">
        <f aca="false">Staff!AM92/FX_EUR</f>
        <v>3277.46330933278</v>
      </c>
      <c r="AN50" s="32" t="n">
        <f aca="false">Staff!AN92/FX_EUR</f>
        <v>3277.46330933278</v>
      </c>
      <c r="AO50" s="32" t="n">
        <f aca="false">Staff!AO92/FX_EUR</f>
        <v>3441.33647479942</v>
      </c>
      <c r="AP50" s="32" t="n">
        <f aca="false">Staff!AP92/FX_EUR</f>
        <v>3441.33647479942</v>
      </c>
      <c r="AQ50" s="32" t="n">
        <f aca="false">Staff!AQ92/FX_EUR</f>
        <v>3441.33647479942</v>
      </c>
      <c r="AR50" s="32" t="n">
        <f aca="false">Staff!AR92/FX_EUR</f>
        <v>3441.33647479942</v>
      </c>
      <c r="AS50" s="32" t="n">
        <f aca="false">Staff!AS92/FX_EUR</f>
        <v>3441.33647479942</v>
      </c>
      <c r="AT50" s="32" t="n">
        <f aca="false">Staff!AT92/FX_EUR</f>
        <v>3441.33647479942</v>
      </c>
      <c r="AU50" s="32" t="n">
        <f aca="false">Staff!AU92/FX_EUR</f>
        <v>3441.33647479942</v>
      </c>
      <c r="AV50" s="32" t="n">
        <f aca="false">Staff!AV92/FX_EUR</f>
        <v>3441.33647479942</v>
      </c>
      <c r="AW50" s="32" t="n">
        <f aca="false">Staff!AW92/FX_EUR</f>
        <v>3441.33647479942</v>
      </c>
      <c r="AX50" s="32" t="n">
        <f aca="false">Staff!AX92/FX_EUR</f>
        <v>3441.33647479942</v>
      </c>
      <c r="AY50" s="32" t="n">
        <f aca="false">Staff!AY92/FX_EUR</f>
        <v>3441.33647479942</v>
      </c>
      <c r="AZ50" s="32" t="n">
        <f aca="false">Staff!AZ92/FX_EUR</f>
        <v>3441.33647479942</v>
      </c>
      <c r="BA50" s="32" t="n">
        <f aca="false">Staff!BA92/FX_EUR</f>
        <v>3613.40329853939</v>
      </c>
      <c r="BB50" s="32" t="n">
        <f aca="false">Staff!BB92/FX_EUR</f>
        <v>3613.40329853939</v>
      </c>
      <c r="BC50" s="32" t="n">
        <f aca="false">Staff!BC92/FX_EUR</f>
        <v>3613.40329853939</v>
      </c>
      <c r="BD50" s="32" t="n">
        <f aca="false">Staff!BD92/FX_EUR</f>
        <v>3613.40329853939</v>
      </c>
      <c r="BE50" s="32" t="n">
        <f aca="false">Staff!BE92/FX_EUR</f>
        <v>3613.40329853939</v>
      </c>
      <c r="BF50" s="32" t="n">
        <f aca="false">Staff!BF92/FX_EUR</f>
        <v>3613.40329853939</v>
      </c>
      <c r="BG50" s="32" t="n">
        <f aca="false">Staff!BG92/FX_EUR</f>
        <v>3613.40329853939</v>
      </c>
      <c r="BH50" s="32" t="n">
        <f aca="false">Staff!BH92/FX_EUR</f>
        <v>3613.40329853939</v>
      </c>
      <c r="BI50" s="32" t="n">
        <f aca="false">Staff!BI92/FX_EUR</f>
        <v>3613.40329853939</v>
      </c>
      <c r="BJ50" s="32" t="n">
        <f aca="false">Staff!BJ92/FX_EUR</f>
        <v>3613.40329853939</v>
      </c>
      <c r="BK50" s="32" t="n">
        <f aca="false">Staff!BK92/FX_EUR</f>
        <v>3613.40329853939</v>
      </c>
      <c r="BL50" s="32" t="n">
        <f aca="false">Staff!BL92/FX_EUR</f>
        <v>3613.40329853939</v>
      </c>
    </row>
    <row r="51" customFormat="false" ht="15" hidden="false" customHeight="false" outlineLevel="0" collapsed="false">
      <c r="A51" s="12" t="s">
        <v>946</v>
      </c>
      <c r="B51" s="14" t="s">
        <v>79</v>
      </c>
      <c r="D51" s="55" t="n">
        <f aca="false">Staff!D93/FX_EUR</f>
        <v>227290.675875096</v>
      </c>
      <c r="E51" s="32" t="n">
        <f aca="false">Staff!E93/FX_EUR</f>
        <v>0</v>
      </c>
      <c r="F51" s="32" t="n">
        <f aca="false">Staff!F93/FX_EUR</f>
        <v>0</v>
      </c>
      <c r="G51" s="32" t="n">
        <f aca="false">Staff!G93/FX_EUR</f>
        <v>0</v>
      </c>
      <c r="H51" s="32" t="n">
        <f aca="false">Staff!H93/FX_EUR</f>
        <v>0</v>
      </c>
      <c r="I51" s="32" t="n">
        <f aca="false">Staff!I93/FX_EUR</f>
        <v>0</v>
      </c>
      <c r="J51" s="32" t="n">
        <f aca="false">Staff!J93/FX_EUR</f>
        <v>0</v>
      </c>
      <c r="K51" s="32" t="n">
        <f aca="false">Staff!K93/FX_EUR</f>
        <v>0</v>
      </c>
      <c r="L51" s="32" t="n">
        <f aca="false">Staff!L93/FX_EUR</f>
        <v>0</v>
      </c>
      <c r="M51" s="32" t="n">
        <f aca="false">Staff!M93/FX_EUR</f>
        <v>0</v>
      </c>
      <c r="N51" s="32" t="n">
        <f aca="false">Staff!N93/FX_EUR</f>
        <v>0</v>
      </c>
      <c r="O51" s="32" t="n">
        <f aca="false">Staff!O93/FX_EUR</f>
        <v>0</v>
      </c>
      <c r="P51" s="32" t="n">
        <f aca="false">Staff!P93/FX_EUR</f>
        <v>0</v>
      </c>
      <c r="Q51" s="32" t="n">
        <f aca="false">Staff!Q93/FX_EUR</f>
        <v>0</v>
      </c>
      <c r="R51" s="32" t="n">
        <f aca="false">Staff!R93/FX_EUR</f>
        <v>0</v>
      </c>
      <c r="S51" s="32" t="n">
        <f aca="false">Staff!S93/FX_EUR</f>
        <v>0</v>
      </c>
      <c r="T51" s="32" t="n">
        <f aca="false">Staff!T93/FX_EUR</f>
        <v>1248.55745117439</v>
      </c>
      <c r="U51" s="32" t="n">
        <f aca="false">Staff!U93/FX_EUR</f>
        <v>1248.55745117439</v>
      </c>
      <c r="V51" s="32" t="n">
        <f aca="false">Staff!V93/FX_EUR</f>
        <v>1248.55745117439</v>
      </c>
      <c r="W51" s="32" t="n">
        <f aca="false">Staff!W93/FX_EUR</f>
        <v>1248.55745117439</v>
      </c>
      <c r="X51" s="32" t="n">
        <f aca="false">Staff!X93/FX_EUR</f>
        <v>1248.55745117439</v>
      </c>
      <c r="Y51" s="32" t="n">
        <f aca="false">Staff!Y93/FX_EUR</f>
        <v>1248.55745117439</v>
      </c>
      <c r="Z51" s="32" t="n">
        <f aca="false">Staff!Z93/FX_EUR</f>
        <v>1248.55745117439</v>
      </c>
      <c r="AA51" s="32" t="n">
        <f aca="false">Staff!AA93/FX_EUR</f>
        <v>1248.55745117439</v>
      </c>
      <c r="AB51" s="32" t="n">
        <f aca="false">Staff!AB93/FX_EUR</f>
        <v>1248.55745117439</v>
      </c>
      <c r="AC51" s="32" t="n">
        <f aca="false">Staff!AC93/FX_EUR</f>
        <v>1310.98532373311</v>
      </c>
      <c r="AD51" s="32" t="n">
        <f aca="false">Staff!AD93/FX_EUR</f>
        <v>1310.98532373311</v>
      </c>
      <c r="AE51" s="32" t="n">
        <f aca="false">Staff!AE93/FX_EUR</f>
        <v>1310.98532373311</v>
      </c>
      <c r="AF51" s="32" t="n">
        <f aca="false">Staff!AF93/FX_EUR</f>
        <v>1310.98532373311</v>
      </c>
      <c r="AG51" s="32" t="n">
        <f aca="false">Staff!AG93/FX_EUR</f>
        <v>2621.97064746622</v>
      </c>
      <c r="AH51" s="32" t="n">
        <f aca="false">Staff!AH93/FX_EUR</f>
        <v>2621.97064746622</v>
      </c>
      <c r="AI51" s="32" t="n">
        <f aca="false">Staff!AI93/FX_EUR</f>
        <v>2621.97064746622</v>
      </c>
      <c r="AJ51" s="32" t="n">
        <f aca="false">Staff!AJ93/FX_EUR</f>
        <v>2621.97064746622</v>
      </c>
      <c r="AK51" s="32" t="n">
        <f aca="false">Staff!AK93/FX_EUR</f>
        <v>2621.97064746622</v>
      </c>
      <c r="AL51" s="32" t="n">
        <f aca="false">Staff!AL93/FX_EUR</f>
        <v>3932.95597119933</v>
      </c>
      <c r="AM51" s="32" t="n">
        <f aca="false">Staff!AM93/FX_EUR</f>
        <v>3932.95597119933</v>
      </c>
      <c r="AN51" s="32" t="n">
        <f aca="false">Staff!AN93/FX_EUR</f>
        <v>3932.95597119933</v>
      </c>
      <c r="AO51" s="32" t="n">
        <f aca="false">Staff!AO93/FX_EUR</f>
        <v>4129.6037697593</v>
      </c>
      <c r="AP51" s="32" t="n">
        <f aca="false">Staff!AP93/FX_EUR</f>
        <v>4129.6037697593</v>
      </c>
      <c r="AQ51" s="32" t="n">
        <f aca="false">Staff!AQ93/FX_EUR</f>
        <v>5506.13835967907</v>
      </c>
      <c r="AR51" s="32" t="n">
        <f aca="false">Staff!AR93/FX_EUR</f>
        <v>5506.13835967907</v>
      </c>
      <c r="AS51" s="32" t="n">
        <f aca="false">Staff!AS93/FX_EUR</f>
        <v>5506.13835967907</v>
      </c>
      <c r="AT51" s="32" t="n">
        <f aca="false">Staff!AT93/FX_EUR</f>
        <v>5506.13835967907</v>
      </c>
      <c r="AU51" s="32" t="n">
        <f aca="false">Staff!AU93/FX_EUR</f>
        <v>5506.13835967907</v>
      </c>
      <c r="AV51" s="32" t="n">
        <f aca="false">Staff!AV93/FX_EUR</f>
        <v>5506.13835967907</v>
      </c>
      <c r="AW51" s="32" t="n">
        <f aca="false">Staff!AW93/FX_EUR</f>
        <v>6882.67294959883</v>
      </c>
      <c r="AX51" s="32" t="n">
        <f aca="false">Staff!AX93/FX_EUR</f>
        <v>6882.67294959883</v>
      </c>
      <c r="AY51" s="32" t="n">
        <f aca="false">Staff!AY93/FX_EUR</f>
        <v>6882.67294959883</v>
      </c>
      <c r="AZ51" s="32" t="n">
        <f aca="false">Staff!AZ93/FX_EUR</f>
        <v>6882.67294959883</v>
      </c>
      <c r="BA51" s="32" t="n">
        <f aca="false">Staff!BA93/FX_EUR</f>
        <v>7226.80659707877</v>
      </c>
      <c r="BB51" s="32" t="n">
        <f aca="false">Staff!BB93/FX_EUR</f>
        <v>8672.16791649453</v>
      </c>
      <c r="BC51" s="32" t="n">
        <f aca="false">Staff!BC93/FX_EUR</f>
        <v>8672.16791649453</v>
      </c>
      <c r="BD51" s="32" t="n">
        <f aca="false">Staff!BD93/FX_EUR</f>
        <v>8672.16791649453</v>
      </c>
      <c r="BE51" s="32" t="n">
        <f aca="false">Staff!BE93/FX_EUR</f>
        <v>8672.16791649453</v>
      </c>
      <c r="BF51" s="32" t="n">
        <f aca="false">Staff!BF93/FX_EUR</f>
        <v>10117.5292359103</v>
      </c>
      <c r="BG51" s="32" t="n">
        <f aca="false">Staff!BG93/FX_EUR</f>
        <v>10117.5292359103</v>
      </c>
      <c r="BH51" s="32" t="n">
        <f aca="false">Staff!BH93/FX_EUR</f>
        <v>10117.5292359103</v>
      </c>
      <c r="BI51" s="32" t="n">
        <f aca="false">Staff!BI93/FX_EUR</f>
        <v>10117.5292359103</v>
      </c>
      <c r="BJ51" s="32" t="n">
        <f aca="false">Staff!BJ93/FX_EUR</f>
        <v>11562.890555326</v>
      </c>
      <c r="BK51" s="32" t="n">
        <f aca="false">Staff!BK93/FX_EUR</f>
        <v>11562.890555326</v>
      </c>
      <c r="BL51" s="32" t="n">
        <f aca="false">Staff!BL93/FX_EUR</f>
        <v>11562.890555326</v>
      </c>
    </row>
    <row r="52" customFormat="false" ht="15" hidden="false" customHeight="false" outlineLevel="0" collapsed="false">
      <c r="A52" s="12" t="s">
        <v>947</v>
      </c>
      <c r="B52" s="14" t="s">
        <v>79</v>
      </c>
      <c r="D52" s="55" t="n">
        <f aca="false">Staff!D94/FX_EUR</f>
        <v>341379.593574731</v>
      </c>
      <c r="E52" s="32" t="n">
        <f aca="false">Staff!E94/FX_EUR</f>
        <v>0</v>
      </c>
      <c r="F52" s="32" t="n">
        <f aca="false">Staff!F94/FX_EUR</f>
        <v>0</v>
      </c>
      <c r="G52" s="32" t="n">
        <f aca="false">Staff!G94/FX_EUR</f>
        <v>0</v>
      </c>
      <c r="H52" s="32" t="n">
        <f aca="false">Staff!H94/FX_EUR</f>
        <v>990.918612043168</v>
      </c>
      <c r="I52" s="32" t="n">
        <f aca="false">Staff!I94/FX_EUR</f>
        <v>990.918612043168</v>
      </c>
      <c r="J52" s="32" t="n">
        <f aca="false">Staff!J94/FX_EUR</f>
        <v>990.918612043168</v>
      </c>
      <c r="K52" s="32" t="n">
        <f aca="false">Staff!K94/FX_EUR</f>
        <v>990.918612043168</v>
      </c>
      <c r="L52" s="32" t="n">
        <f aca="false">Staff!L94/FX_EUR</f>
        <v>990.918612043168</v>
      </c>
      <c r="M52" s="32" t="n">
        <f aca="false">Staff!M94/FX_EUR</f>
        <v>990.918612043168</v>
      </c>
      <c r="N52" s="32" t="n">
        <f aca="false">Staff!N94/FX_EUR</f>
        <v>990.918612043168</v>
      </c>
      <c r="O52" s="32" t="n">
        <f aca="false">Staff!O94/FX_EUR</f>
        <v>990.918612043168</v>
      </c>
      <c r="P52" s="32" t="n">
        <f aca="false">Staff!P94/FX_EUR</f>
        <v>990.918612043168</v>
      </c>
      <c r="Q52" s="32" t="n">
        <f aca="false">Staff!Q94/FX_EUR</f>
        <v>1040.46454264533</v>
      </c>
      <c r="R52" s="32" t="n">
        <f aca="false">Staff!R94/FX_EUR</f>
        <v>1040.46454264533</v>
      </c>
      <c r="S52" s="32" t="n">
        <f aca="false">Staff!S94/FX_EUR</f>
        <v>1040.46454264533</v>
      </c>
      <c r="T52" s="32" t="n">
        <f aca="false">Staff!T94/FX_EUR</f>
        <v>1040.46454264533</v>
      </c>
      <c r="U52" s="32" t="n">
        <f aca="false">Staff!U94/FX_EUR</f>
        <v>1040.46454264533</v>
      </c>
      <c r="V52" s="32" t="n">
        <f aca="false">Staff!V94/FX_EUR</f>
        <v>1040.46454264533</v>
      </c>
      <c r="W52" s="32" t="n">
        <f aca="false">Staff!W94/FX_EUR</f>
        <v>1040.46454264533</v>
      </c>
      <c r="X52" s="32" t="n">
        <f aca="false">Staff!X94/FX_EUR</f>
        <v>1040.46454264533</v>
      </c>
      <c r="Y52" s="32" t="n">
        <f aca="false">Staff!Y94/FX_EUR</f>
        <v>1560.69681396799</v>
      </c>
      <c r="Z52" s="32" t="n">
        <f aca="false">Staff!Z94/FX_EUR</f>
        <v>1560.69681396799</v>
      </c>
      <c r="AA52" s="32" t="n">
        <f aca="false">Staff!AA94/FX_EUR</f>
        <v>1560.69681396799</v>
      </c>
      <c r="AB52" s="32" t="n">
        <f aca="false">Staff!AB94/FX_EUR</f>
        <v>1560.69681396799</v>
      </c>
      <c r="AC52" s="32" t="n">
        <f aca="false">Staff!AC94/FX_EUR</f>
        <v>2184.97553955518</v>
      </c>
      <c r="AD52" s="32" t="n">
        <f aca="false">Staff!AD94/FX_EUR</f>
        <v>2184.97553955518</v>
      </c>
      <c r="AE52" s="32" t="n">
        <f aca="false">Staff!AE94/FX_EUR</f>
        <v>2184.97553955518</v>
      </c>
      <c r="AF52" s="32" t="n">
        <f aca="false">Staff!AF94/FX_EUR</f>
        <v>2731.21942444398</v>
      </c>
      <c r="AG52" s="32" t="n">
        <f aca="false">Staff!AG94/FX_EUR</f>
        <v>3823.70719422157</v>
      </c>
      <c r="AH52" s="32" t="n">
        <f aca="false">Staff!AH94/FX_EUR</f>
        <v>3823.70719422157</v>
      </c>
      <c r="AI52" s="32" t="n">
        <f aca="false">Staff!AI94/FX_EUR</f>
        <v>4369.95107911037</v>
      </c>
      <c r="AJ52" s="32" t="n">
        <f aca="false">Staff!AJ94/FX_EUR</f>
        <v>4369.95107911037</v>
      </c>
      <c r="AK52" s="32" t="n">
        <f aca="false">Staff!AK94/FX_EUR</f>
        <v>4916.19496399916</v>
      </c>
      <c r="AL52" s="32" t="n">
        <f aca="false">Staff!AL94/FX_EUR</f>
        <v>4916.19496399916</v>
      </c>
      <c r="AM52" s="32" t="n">
        <f aca="false">Staff!AM94/FX_EUR</f>
        <v>5462.43884888796</v>
      </c>
      <c r="AN52" s="32" t="n">
        <f aca="false">Staff!AN94/FX_EUR</f>
        <v>5462.43884888796</v>
      </c>
      <c r="AO52" s="32" t="n">
        <f aca="false">Staff!AO94/FX_EUR</f>
        <v>6309.1168704656</v>
      </c>
      <c r="AP52" s="32" t="n">
        <f aca="false">Staff!AP94/FX_EUR</f>
        <v>6309.1168704656</v>
      </c>
      <c r="AQ52" s="32" t="n">
        <f aca="false">Staff!AQ94/FX_EUR</f>
        <v>6882.67294959883</v>
      </c>
      <c r="AR52" s="32" t="n">
        <f aca="false">Staff!AR94/FX_EUR</f>
        <v>7456.22902873207</v>
      </c>
      <c r="AS52" s="32" t="n">
        <f aca="false">Staff!AS94/FX_EUR</f>
        <v>7456.22902873207</v>
      </c>
      <c r="AT52" s="32" t="n">
        <f aca="false">Staff!AT94/FX_EUR</f>
        <v>8029.7851078653</v>
      </c>
      <c r="AU52" s="32" t="n">
        <f aca="false">Staff!AU94/FX_EUR</f>
        <v>8603.34118699854</v>
      </c>
      <c r="AV52" s="32" t="n">
        <f aca="false">Staff!AV94/FX_EUR</f>
        <v>8603.34118699854</v>
      </c>
      <c r="AW52" s="32" t="n">
        <f aca="false">Staff!AW94/FX_EUR</f>
        <v>9176.89726613178</v>
      </c>
      <c r="AX52" s="32" t="n">
        <f aca="false">Staff!AX94/FX_EUR</f>
        <v>9750.45334526501</v>
      </c>
      <c r="AY52" s="32" t="n">
        <f aca="false">Staff!AY94/FX_EUR</f>
        <v>10324.0094243982</v>
      </c>
      <c r="AZ52" s="32" t="n">
        <f aca="false">Staff!AZ94/FX_EUR</f>
        <v>10324.0094243982</v>
      </c>
      <c r="BA52" s="32" t="n">
        <f aca="false">Staff!BA94/FX_EUR</f>
        <v>11442.4437787081</v>
      </c>
      <c r="BB52" s="32" t="n">
        <f aca="false">Staff!BB94/FX_EUR</f>
        <v>12044.677661798</v>
      </c>
      <c r="BC52" s="32" t="n">
        <f aca="false">Staff!BC94/FX_EUR</f>
        <v>12646.9115448879</v>
      </c>
      <c r="BD52" s="32" t="n">
        <f aca="false">Staff!BD94/FX_EUR</f>
        <v>13249.1454279778</v>
      </c>
      <c r="BE52" s="32" t="n">
        <f aca="false">Staff!BE94/FX_EUR</f>
        <v>13249.1454279778</v>
      </c>
      <c r="BF52" s="32" t="n">
        <f aca="false">Staff!BF94/FX_EUR</f>
        <v>13851.3793110676</v>
      </c>
      <c r="BG52" s="32" t="n">
        <f aca="false">Staff!BG94/FX_EUR</f>
        <v>14453.6131941575</v>
      </c>
      <c r="BH52" s="32" t="n">
        <f aca="false">Staff!BH94/FX_EUR</f>
        <v>15055.8470772474</v>
      </c>
      <c r="BI52" s="32" t="n">
        <f aca="false">Staff!BI94/FX_EUR</f>
        <v>15658.0809603373</v>
      </c>
      <c r="BJ52" s="32" t="n">
        <f aca="false">Staff!BJ94/FX_EUR</f>
        <v>16260.3148434272</v>
      </c>
      <c r="BK52" s="32" t="n">
        <f aca="false">Staff!BK94/FX_EUR</f>
        <v>16862.5487265171</v>
      </c>
      <c r="BL52" s="32" t="n">
        <f aca="false">Staff!BL94/FX_EUR</f>
        <v>17464.782609607</v>
      </c>
    </row>
    <row r="53" customFormat="false" ht="15" hidden="false" customHeight="false" outlineLevel="0" collapsed="false">
      <c r="A53" s="12" t="s">
        <v>948</v>
      </c>
      <c r="B53" s="14" t="s">
        <v>79</v>
      </c>
      <c r="D53" s="55" t="n">
        <f aca="false">Staff!D95/FX_EUR</f>
        <v>661806.403230319</v>
      </c>
      <c r="E53" s="32" t="n">
        <f aca="false">Staff!E95/FX_EUR</f>
        <v>2378.2046689036</v>
      </c>
      <c r="F53" s="32" t="n">
        <f aca="false">Staff!F95/FX_EUR</f>
        <v>2378.2046689036</v>
      </c>
      <c r="G53" s="32" t="n">
        <f aca="false">Staff!G95/FX_EUR</f>
        <v>2378.2046689036</v>
      </c>
      <c r="H53" s="32" t="n">
        <f aca="false">Staff!H95/FX_EUR</f>
        <v>3963.67444817267</v>
      </c>
      <c r="I53" s="32" t="n">
        <f aca="false">Staff!I95/FX_EUR</f>
        <v>3963.67444817267</v>
      </c>
      <c r="J53" s="32" t="n">
        <f aca="false">Staff!J95/FX_EUR</f>
        <v>3963.67444817267</v>
      </c>
      <c r="K53" s="32" t="n">
        <f aca="false">Staff!K95/FX_EUR</f>
        <v>3963.67444817267</v>
      </c>
      <c r="L53" s="32" t="n">
        <f aca="false">Staff!L95/FX_EUR</f>
        <v>3963.67444817267</v>
      </c>
      <c r="M53" s="32" t="n">
        <f aca="false">Staff!M95/FX_EUR</f>
        <v>3963.67444817267</v>
      </c>
      <c r="N53" s="32" t="n">
        <f aca="false">Staff!N95/FX_EUR</f>
        <v>3963.67444817267</v>
      </c>
      <c r="O53" s="32" t="n">
        <f aca="false">Staff!O95/FX_EUR</f>
        <v>3963.67444817267</v>
      </c>
      <c r="P53" s="32" t="n">
        <f aca="false">Staff!P95/FX_EUR</f>
        <v>3963.67444817267</v>
      </c>
      <c r="Q53" s="32" t="n">
        <f aca="false">Staff!Q95/FX_EUR</f>
        <v>4161.8581705813</v>
      </c>
      <c r="R53" s="32" t="n">
        <f aca="false">Staff!R95/FX_EUR</f>
        <v>4161.8581705813</v>
      </c>
      <c r="S53" s="32" t="n">
        <f aca="false">Staff!S95/FX_EUR</f>
        <v>4161.8581705813</v>
      </c>
      <c r="T53" s="32" t="n">
        <f aca="false">Staff!T95/FX_EUR</f>
        <v>4161.8581705813</v>
      </c>
      <c r="U53" s="32" t="n">
        <f aca="false">Staff!U95/FX_EUR</f>
        <v>4161.8581705813</v>
      </c>
      <c r="V53" s="32" t="n">
        <f aca="false">Staff!V95/FX_EUR</f>
        <v>6034.69434734289</v>
      </c>
      <c r="W53" s="32" t="n">
        <f aca="false">Staff!W95/FX_EUR</f>
        <v>6034.69434734289</v>
      </c>
      <c r="X53" s="32" t="n">
        <f aca="false">Staff!X95/FX_EUR</f>
        <v>6867.06598145915</v>
      </c>
      <c r="Y53" s="32" t="n">
        <f aca="false">Staff!Y95/FX_EUR</f>
        <v>6867.06598145915</v>
      </c>
      <c r="Z53" s="32" t="n">
        <f aca="false">Staff!Z95/FX_EUR</f>
        <v>6867.06598145915</v>
      </c>
      <c r="AA53" s="32" t="n">
        <f aca="false">Staff!AA95/FX_EUR</f>
        <v>6867.06598145915</v>
      </c>
      <c r="AB53" s="32" t="n">
        <f aca="false">Staff!AB95/FX_EUR</f>
        <v>6867.06598145915</v>
      </c>
      <c r="AC53" s="32" t="n">
        <f aca="false">Staff!AC95/FX_EUR</f>
        <v>7210.41928053211</v>
      </c>
      <c r="AD53" s="32" t="n">
        <f aca="false">Staff!AD95/FX_EUR</f>
        <v>8084.40949635418</v>
      </c>
      <c r="AE53" s="32" t="n">
        <f aca="false">Staff!AE95/FX_EUR</f>
        <v>8084.40949635418</v>
      </c>
      <c r="AF53" s="32" t="n">
        <f aca="false">Staff!AF95/FX_EUR</f>
        <v>8084.40949635418</v>
      </c>
      <c r="AG53" s="32" t="n">
        <f aca="false">Staff!AG95/FX_EUR</f>
        <v>8084.40949635418</v>
      </c>
      <c r="AH53" s="32" t="n">
        <f aca="false">Staff!AH95/FX_EUR</f>
        <v>8958.39971217626</v>
      </c>
      <c r="AI53" s="32" t="n">
        <f aca="false">Staff!AI95/FX_EUR</f>
        <v>8958.39971217626</v>
      </c>
      <c r="AJ53" s="32" t="n">
        <f aca="false">Staff!AJ95/FX_EUR</f>
        <v>8958.39971217626</v>
      </c>
      <c r="AK53" s="32" t="n">
        <f aca="false">Staff!AK95/FX_EUR</f>
        <v>8958.39971217626</v>
      </c>
      <c r="AL53" s="32" t="n">
        <f aca="false">Staff!AL95/FX_EUR</f>
        <v>9832.38992799833</v>
      </c>
      <c r="AM53" s="32" t="n">
        <f aca="false">Staff!AM95/FX_EUR</f>
        <v>9832.38992799833</v>
      </c>
      <c r="AN53" s="32" t="n">
        <f aca="false">Staff!AN95/FX_EUR</f>
        <v>10815.6289207982</v>
      </c>
      <c r="AO53" s="32" t="n">
        <f aca="false">Staff!AO95/FX_EUR</f>
        <v>12274.1000934512</v>
      </c>
      <c r="AP53" s="32" t="n">
        <f aca="false">Staff!AP95/FX_EUR</f>
        <v>12274.1000934512</v>
      </c>
      <c r="AQ53" s="32" t="n">
        <f aca="false">Staff!AQ95/FX_EUR</f>
        <v>12274.1000934512</v>
      </c>
      <c r="AR53" s="32" t="n">
        <f aca="false">Staff!AR95/FX_EUR</f>
        <v>13191.7898200644</v>
      </c>
      <c r="AS53" s="32" t="n">
        <f aca="false">Staff!AS95/FX_EUR</f>
        <v>13191.7898200644</v>
      </c>
      <c r="AT53" s="32" t="n">
        <f aca="false">Staff!AT95/FX_EUR</f>
        <v>13191.7898200644</v>
      </c>
      <c r="AU53" s="32" t="n">
        <f aca="false">Staff!AU95/FX_EUR</f>
        <v>15141.8804891174</v>
      </c>
      <c r="AV53" s="32" t="n">
        <f aca="false">Staff!AV95/FX_EUR</f>
        <v>15141.8804891174</v>
      </c>
      <c r="AW53" s="32" t="n">
        <f aca="false">Staff!AW95/FX_EUR</f>
        <v>16059.5702157306</v>
      </c>
      <c r="AX53" s="32" t="n">
        <f aca="false">Staff!AX95/FX_EUR</f>
        <v>16059.5702157306</v>
      </c>
      <c r="AY53" s="32" t="n">
        <f aca="false">Staff!AY95/FX_EUR</f>
        <v>16059.5702157306</v>
      </c>
      <c r="AZ53" s="32" t="n">
        <f aca="false">Staff!AZ95/FX_EUR</f>
        <v>18009.6608847836</v>
      </c>
      <c r="BA53" s="32" t="n">
        <f aca="false">Staff!BA95/FX_EUR</f>
        <v>18910.1439290228</v>
      </c>
      <c r="BB53" s="32" t="n">
        <f aca="false">Staff!BB95/FX_EUR</f>
        <v>19873.7181419666</v>
      </c>
      <c r="BC53" s="32" t="n">
        <f aca="false">Staff!BC95/FX_EUR</f>
        <v>19873.7181419666</v>
      </c>
      <c r="BD53" s="32" t="n">
        <f aca="false">Staff!BD95/FX_EUR</f>
        <v>20957.7391315284</v>
      </c>
      <c r="BE53" s="32" t="n">
        <f aca="false">Staff!BE95/FX_EUR</f>
        <v>21921.3133444723</v>
      </c>
      <c r="BF53" s="32" t="n">
        <f aca="false">Staff!BF95/FX_EUR</f>
        <v>21921.3133444723</v>
      </c>
      <c r="BG53" s="32" t="n">
        <f aca="false">Staff!BG95/FX_EUR</f>
        <v>22884.8875574161</v>
      </c>
      <c r="BH53" s="32" t="n">
        <f aca="false">Staff!BH95/FX_EUR</f>
        <v>23968.9085469779</v>
      </c>
      <c r="BI53" s="32" t="n">
        <f aca="false">Staff!BI95/FX_EUR</f>
        <v>24932.4827599218</v>
      </c>
      <c r="BJ53" s="32" t="n">
        <f aca="false">Staff!BJ95/FX_EUR</f>
        <v>24932.4827599218</v>
      </c>
      <c r="BK53" s="32" t="n">
        <f aca="false">Staff!BK95/FX_EUR</f>
        <v>25896.0569728656</v>
      </c>
      <c r="BL53" s="32" t="n">
        <f aca="false">Staff!BL95/FX_EUR</f>
        <v>26980.0779624274</v>
      </c>
    </row>
    <row r="54" customFormat="false" ht="15" hidden="false" customHeight="false" outlineLevel="0" collapsed="false">
      <c r="A54" s="12" t="s">
        <v>949</v>
      </c>
      <c r="B54" s="14" t="s">
        <v>79</v>
      </c>
      <c r="D54" s="55" t="n">
        <f aca="false">Staff!D96/FX_EUR</f>
        <v>162312.166422494</v>
      </c>
      <c r="E54" s="32" t="n">
        <f aca="false">Staff!E96/FX_EUR</f>
        <v>0</v>
      </c>
      <c r="F54" s="32" t="n">
        <f aca="false">Staff!F96/FX_EUR</f>
        <v>0</v>
      </c>
      <c r="G54" s="32" t="n">
        <f aca="false">Staff!G96/FX_EUR</f>
        <v>0</v>
      </c>
      <c r="H54" s="32" t="n">
        <f aca="false">Staff!H96/FX_EUR</f>
        <v>1783.6535016777</v>
      </c>
      <c r="I54" s="32" t="n">
        <f aca="false">Staff!I96/FX_EUR</f>
        <v>2576.38839131224</v>
      </c>
      <c r="J54" s="32" t="n">
        <f aca="false">Staff!J96/FX_EUR</f>
        <v>2576.38839131224</v>
      </c>
      <c r="K54" s="32" t="n">
        <f aca="false">Staff!K96/FX_EUR</f>
        <v>2576.38839131224</v>
      </c>
      <c r="L54" s="32" t="n">
        <f aca="false">Staff!L96/FX_EUR</f>
        <v>2576.38839131224</v>
      </c>
      <c r="M54" s="32" t="n">
        <f aca="false">Staff!M96/FX_EUR</f>
        <v>2576.38839131224</v>
      </c>
      <c r="N54" s="32" t="n">
        <f aca="false">Staff!N96/FX_EUR</f>
        <v>2576.38839131224</v>
      </c>
      <c r="O54" s="32" t="n">
        <f aca="false">Staff!O96/FX_EUR</f>
        <v>2576.38839131224</v>
      </c>
      <c r="P54" s="32" t="n">
        <f aca="false">Staff!P96/FX_EUR</f>
        <v>2576.38839131224</v>
      </c>
      <c r="Q54" s="32" t="n">
        <f aca="false">Staff!Q96/FX_EUR</f>
        <v>2705.20781087785</v>
      </c>
      <c r="R54" s="32" t="n">
        <f aca="false">Staff!R96/FX_EUR</f>
        <v>2705.20781087785</v>
      </c>
      <c r="S54" s="32" t="n">
        <f aca="false">Staff!S96/FX_EUR</f>
        <v>2705.20781087785</v>
      </c>
      <c r="T54" s="32" t="n">
        <f aca="false">Staff!T96/FX_EUR</f>
        <v>2705.20781087785</v>
      </c>
      <c r="U54" s="32" t="n">
        <f aca="false">Staff!U96/FX_EUR</f>
        <v>2705.20781087785</v>
      </c>
      <c r="V54" s="32" t="n">
        <f aca="false">Staff!V96/FX_EUR</f>
        <v>2705.20781087785</v>
      </c>
      <c r="W54" s="32" t="n">
        <f aca="false">Staff!W96/FX_EUR</f>
        <v>2705.20781087785</v>
      </c>
      <c r="X54" s="32" t="n">
        <f aca="false">Staff!X96/FX_EUR</f>
        <v>2705.20781087785</v>
      </c>
      <c r="Y54" s="32" t="n">
        <f aca="false">Staff!Y96/FX_EUR</f>
        <v>2705.20781087785</v>
      </c>
      <c r="Z54" s="32" t="n">
        <f aca="false">Staff!Z96/FX_EUR</f>
        <v>2705.20781087785</v>
      </c>
      <c r="AA54" s="32" t="n">
        <f aca="false">Staff!AA96/FX_EUR</f>
        <v>2705.20781087785</v>
      </c>
      <c r="AB54" s="32" t="n">
        <f aca="false">Staff!AB96/FX_EUR</f>
        <v>2705.20781087785</v>
      </c>
      <c r="AC54" s="32" t="n">
        <f aca="false">Staff!AC96/FX_EUR</f>
        <v>2840.46820142174</v>
      </c>
      <c r="AD54" s="32" t="n">
        <f aca="false">Staff!AD96/FX_EUR</f>
        <v>2840.46820142174</v>
      </c>
      <c r="AE54" s="32" t="n">
        <f aca="false">Staff!AE96/FX_EUR</f>
        <v>2840.46820142174</v>
      </c>
      <c r="AF54" s="32" t="n">
        <f aca="false">Staff!AF96/FX_EUR</f>
        <v>2840.46820142174</v>
      </c>
      <c r="AG54" s="32" t="n">
        <f aca="false">Staff!AG96/FX_EUR</f>
        <v>2840.46820142174</v>
      </c>
      <c r="AH54" s="32" t="n">
        <f aca="false">Staff!AH96/FX_EUR</f>
        <v>2840.46820142174</v>
      </c>
      <c r="AI54" s="32" t="n">
        <f aca="false">Staff!AI96/FX_EUR</f>
        <v>2840.46820142174</v>
      </c>
      <c r="AJ54" s="32" t="n">
        <f aca="false">Staff!AJ96/FX_EUR</f>
        <v>2840.46820142174</v>
      </c>
      <c r="AK54" s="32" t="n">
        <f aca="false">Staff!AK96/FX_EUR</f>
        <v>2840.46820142174</v>
      </c>
      <c r="AL54" s="32" t="n">
        <f aca="false">Staff!AL96/FX_EUR</f>
        <v>2840.46820142174</v>
      </c>
      <c r="AM54" s="32" t="n">
        <f aca="false">Staff!AM96/FX_EUR</f>
        <v>2840.46820142174</v>
      </c>
      <c r="AN54" s="32" t="n">
        <f aca="false">Staff!AN96/FX_EUR</f>
        <v>2840.46820142174</v>
      </c>
      <c r="AO54" s="32" t="n">
        <f aca="false">Staff!AO96/FX_EUR</f>
        <v>2982.49161149283</v>
      </c>
      <c r="AP54" s="32" t="n">
        <f aca="false">Staff!AP96/FX_EUR</f>
        <v>2982.49161149283</v>
      </c>
      <c r="AQ54" s="32" t="n">
        <f aca="false">Staff!AQ96/FX_EUR</f>
        <v>2982.49161149283</v>
      </c>
      <c r="AR54" s="32" t="n">
        <f aca="false">Staff!AR96/FX_EUR</f>
        <v>2982.49161149283</v>
      </c>
      <c r="AS54" s="32" t="n">
        <f aca="false">Staff!AS96/FX_EUR</f>
        <v>2982.49161149283</v>
      </c>
      <c r="AT54" s="32" t="n">
        <f aca="false">Staff!AT96/FX_EUR</f>
        <v>2982.49161149283</v>
      </c>
      <c r="AU54" s="32" t="n">
        <f aca="false">Staff!AU96/FX_EUR</f>
        <v>2982.49161149283</v>
      </c>
      <c r="AV54" s="32" t="n">
        <f aca="false">Staff!AV96/FX_EUR</f>
        <v>2982.49161149283</v>
      </c>
      <c r="AW54" s="32" t="n">
        <f aca="false">Staff!AW96/FX_EUR</f>
        <v>2982.49161149283</v>
      </c>
      <c r="AX54" s="32" t="n">
        <f aca="false">Staff!AX96/FX_EUR</f>
        <v>2982.49161149283</v>
      </c>
      <c r="AY54" s="32" t="n">
        <f aca="false">Staff!AY96/FX_EUR</f>
        <v>2982.49161149283</v>
      </c>
      <c r="AZ54" s="32" t="n">
        <f aca="false">Staff!AZ96/FX_EUR</f>
        <v>2982.49161149283</v>
      </c>
      <c r="BA54" s="32" t="n">
        <f aca="false">Staff!BA96/FX_EUR</f>
        <v>3131.61619206747</v>
      </c>
      <c r="BB54" s="32" t="n">
        <f aca="false">Staff!BB96/FX_EUR</f>
        <v>3131.61619206747</v>
      </c>
      <c r="BC54" s="32" t="n">
        <f aca="false">Staff!BC96/FX_EUR</f>
        <v>3131.61619206747</v>
      </c>
      <c r="BD54" s="32" t="n">
        <f aca="false">Staff!BD96/FX_EUR</f>
        <v>3131.61619206747</v>
      </c>
      <c r="BE54" s="32" t="n">
        <f aca="false">Staff!BE96/FX_EUR</f>
        <v>3131.61619206747</v>
      </c>
      <c r="BF54" s="32" t="n">
        <f aca="false">Staff!BF96/FX_EUR</f>
        <v>3131.61619206747</v>
      </c>
      <c r="BG54" s="32" t="n">
        <f aca="false">Staff!BG96/FX_EUR</f>
        <v>3131.61619206747</v>
      </c>
      <c r="BH54" s="32" t="n">
        <f aca="false">Staff!BH96/FX_EUR</f>
        <v>3131.61619206747</v>
      </c>
      <c r="BI54" s="32" t="n">
        <f aca="false">Staff!BI96/FX_EUR</f>
        <v>3131.61619206747</v>
      </c>
      <c r="BJ54" s="32" t="n">
        <f aca="false">Staff!BJ96/FX_EUR</f>
        <v>3131.61619206747</v>
      </c>
      <c r="BK54" s="32" t="n">
        <f aca="false">Staff!BK96/FX_EUR</f>
        <v>3131.61619206747</v>
      </c>
      <c r="BL54" s="32" t="n">
        <f aca="false">Staff!BL96/FX_EUR</f>
        <v>3131.61619206747</v>
      </c>
    </row>
    <row r="55" customFormat="false" ht="15" hidden="false" customHeight="false" outlineLevel="0" collapsed="false">
      <c r="A55" s="12" t="s">
        <v>950</v>
      </c>
      <c r="B55" s="14" t="s">
        <v>79</v>
      </c>
      <c r="D55" s="55" t="n">
        <f aca="false">Staff!D97/FX_EUR</f>
        <v>197116.230560845</v>
      </c>
      <c r="E55" s="32" t="n">
        <f aca="false">Staff!E97/FX_EUR</f>
        <v>2972.7558361295</v>
      </c>
      <c r="F55" s="32" t="n">
        <f aca="false">Staff!F97/FX_EUR</f>
        <v>2972.7558361295</v>
      </c>
      <c r="G55" s="32" t="n">
        <f aca="false">Staff!G97/FX_EUR</f>
        <v>2972.7558361295</v>
      </c>
      <c r="H55" s="32" t="n">
        <f aca="false">Staff!H97/FX_EUR</f>
        <v>2972.7558361295</v>
      </c>
      <c r="I55" s="32" t="n">
        <f aca="false">Staff!I97/FX_EUR</f>
        <v>2972.7558361295</v>
      </c>
      <c r="J55" s="32" t="n">
        <f aca="false">Staff!J97/FX_EUR</f>
        <v>2972.7558361295</v>
      </c>
      <c r="K55" s="32" t="n">
        <f aca="false">Staff!K97/FX_EUR</f>
        <v>2972.7558361295</v>
      </c>
      <c r="L55" s="32" t="n">
        <f aca="false">Staff!L97/FX_EUR</f>
        <v>2972.7558361295</v>
      </c>
      <c r="M55" s="32" t="n">
        <f aca="false">Staff!M97/FX_EUR</f>
        <v>2972.7558361295</v>
      </c>
      <c r="N55" s="32" t="n">
        <f aca="false">Staff!N97/FX_EUR</f>
        <v>2972.7558361295</v>
      </c>
      <c r="O55" s="32" t="n">
        <f aca="false">Staff!O97/FX_EUR</f>
        <v>2972.7558361295</v>
      </c>
      <c r="P55" s="32" t="n">
        <f aca="false">Staff!P97/FX_EUR</f>
        <v>2972.7558361295</v>
      </c>
      <c r="Q55" s="32" t="n">
        <f aca="false">Staff!Q97/FX_EUR</f>
        <v>3121.39362793598</v>
      </c>
      <c r="R55" s="32" t="n">
        <f aca="false">Staff!R97/FX_EUR</f>
        <v>3121.39362793598</v>
      </c>
      <c r="S55" s="32" t="n">
        <f aca="false">Staff!S97/FX_EUR</f>
        <v>3121.39362793598</v>
      </c>
      <c r="T55" s="32" t="n">
        <f aca="false">Staff!T97/FX_EUR</f>
        <v>3121.39362793598</v>
      </c>
      <c r="U55" s="32" t="n">
        <f aca="false">Staff!U97/FX_EUR</f>
        <v>3121.39362793598</v>
      </c>
      <c r="V55" s="32" t="n">
        <f aca="false">Staff!V97/FX_EUR</f>
        <v>3121.39362793598</v>
      </c>
      <c r="W55" s="32" t="n">
        <f aca="false">Staff!W97/FX_EUR</f>
        <v>3121.39362793598</v>
      </c>
      <c r="X55" s="32" t="n">
        <f aca="false">Staff!X97/FX_EUR</f>
        <v>3121.39362793598</v>
      </c>
      <c r="Y55" s="32" t="n">
        <f aca="false">Staff!Y97/FX_EUR</f>
        <v>3121.39362793598</v>
      </c>
      <c r="Z55" s="32" t="n">
        <f aca="false">Staff!Z97/FX_EUR</f>
        <v>3121.39362793598</v>
      </c>
      <c r="AA55" s="32" t="n">
        <f aca="false">Staff!AA97/FX_EUR</f>
        <v>3121.39362793598</v>
      </c>
      <c r="AB55" s="32" t="n">
        <f aca="false">Staff!AB97/FX_EUR</f>
        <v>3121.39362793598</v>
      </c>
      <c r="AC55" s="32" t="n">
        <f aca="false">Staff!AC97/FX_EUR</f>
        <v>3277.46330933278</v>
      </c>
      <c r="AD55" s="32" t="n">
        <f aca="false">Staff!AD97/FX_EUR</f>
        <v>3277.46330933278</v>
      </c>
      <c r="AE55" s="32" t="n">
        <f aca="false">Staff!AE97/FX_EUR</f>
        <v>3277.46330933278</v>
      </c>
      <c r="AF55" s="32" t="n">
        <f aca="false">Staff!AF97/FX_EUR</f>
        <v>3277.46330933278</v>
      </c>
      <c r="AG55" s="32" t="n">
        <f aca="false">Staff!AG97/FX_EUR</f>
        <v>3277.46330933278</v>
      </c>
      <c r="AH55" s="32" t="n">
        <f aca="false">Staff!AH97/FX_EUR</f>
        <v>3277.46330933278</v>
      </c>
      <c r="AI55" s="32" t="n">
        <f aca="false">Staff!AI97/FX_EUR</f>
        <v>3277.46330933278</v>
      </c>
      <c r="AJ55" s="32" t="n">
        <f aca="false">Staff!AJ97/FX_EUR</f>
        <v>3277.46330933278</v>
      </c>
      <c r="AK55" s="32" t="n">
        <f aca="false">Staff!AK97/FX_EUR</f>
        <v>3277.46330933278</v>
      </c>
      <c r="AL55" s="32" t="n">
        <f aca="false">Staff!AL97/FX_EUR</f>
        <v>3277.46330933278</v>
      </c>
      <c r="AM55" s="32" t="n">
        <f aca="false">Staff!AM97/FX_EUR</f>
        <v>3277.46330933278</v>
      </c>
      <c r="AN55" s="32" t="n">
        <f aca="false">Staff!AN97/FX_EUR</f>
        <v>3277.46330933278</v>
      </c>
      <c r="AO55" s="32" t="n">
        <f aca="false">Staff!AO97/FX_EUR</f>
        <v>3441.33647479942</v>
      </c>
      <c r="AP55" s="32" t="n">
        <f aca="false">Staff!AP97/FX_EUR</f>
        <v>3441.33647479942</v>
      </c>
      <c r="AQ55" s="32" t="n">
        <f aca="false">Staff!AQ97/FX_EUR</f>
        <v>3441.33647479942</v>
      </c>
      <c r="AR55" s="32" t="n">
        <f aca="false">Staff!AR97/FX_EUR</f>
        <v>3441.33647479942</v>
      </c>
      <c r="AS55" s="32" t="n">
        <f aca="false">Staff!AS97/FX_EUR</f>
        <v>3441.33647479942</v>
      </c>
      <c r="AT55" s="32" t="n">
        <f aca="false">Staff!AT97/FX_EUR</f>
        <v>3441.33647479942</v>
      </c>
      <c r="AU55" s="32" t="n">
        <f aca="false">Staff!AU97/FX_EUR</f>
        <v>3441.33647479942</v>
      </c>
      <c r="AV55" s="32" t="n">
        <f aca="false">Staff!AV97/FX_EUR</f>
        <v>3441.33647479942</v>
      </c>
      <c r="AW55" s="32" t="n">
        <f aca="false">Staff!AW97/FX_EUR</f>
        <v>3441.33647479942</v>
      </c>
      <c r="AX55" s="32" t="n">
        <f aca="false">Staff!AX97/FX_EUR</f>
        <v>3441.33647479942</v>
      </c>
      <c r="AY55" s="32" t="n">
        <f aca="false">Staff!AY97/FX_EUR</f>
        <v>3441.33647479942</v>
      </c>
      <c r="AZ55" s="32" t="n">
        <f aca="false">Staff!AZ97/FX_EUR</f>
        <v>3441.33647479942</v>
      </c>
      <c r="BA55" s="32" t="n">
        <f aca="false">Staff!BA97/FX_EUR</f>
        <v>3613.40329853939</v>
      </c>
      <c r="BB55" s="32" t="n">
        <f aca="false">Staff!BB97/FX_EUR</f>
        <v>3613.40329853939</v>
      </c>
      <c r="BC55" s="32" t="n">
        <f aca="false">Staff!BC97/FX_EUR</f>
        <v>3613.40329853939</v>
      </c>
      <c r="BD55" s="32" t="n">
        <f aca="false">Staff!BD97/FX_EUR</f>
        <v>3613.40329853939</v>
      </c>
      <c r="BE55" s="32" t="n">
        <f aca="false">Staff!BE97/FX_EUR</f>
        <v>3613.40329853939</v>
      </c>
      <c r="BF55" s="32" t="n">
        <f aca="false">Staff!BF97/FX_EUR</f>
        <v>3613.40329853939</v>
      </c>
      <c r="BG55" s="32" t="n">
        <f aca="false">Staff!BG97/FX_EUR</f>
        <v>3613.40329853939</v>
      </c>
      <c r="BH55" s="32" t="n">
        <f aca="false">Staff!BH97/FX_EUR</f>
        <v>3613.40329853939</v>
      </c>
      <c r="BI55" s="32" t="n">
        <f aca="false">Staff!BI97/FX_EUR</f>
        <v>3613.40329853939</v>
      </c>
      <c r="BJ55" s="32" t="n">
        <f aca="false">Staff!BJ97/FX_EUR</f>
        <v>3613.40329853939</v>
      </c>
      <c r="BK55" s="32" t="n">
        <f aca="false">Staff!BK97/FX_EUR</f>
        <v>3613.40329853939</v>
      </c>
      <c r="BL55" s="32" t="n">
        <f aca="false">Staff!BL97/FX_EUR</f>
        <v>3613.40329853939</v>
      </c>
    </row>
    <row r="56" customFormat="false" ht="15" hidden="false" customHeight="false" outlineLevel="0" collapsed="false">
      <c r="A56" s="8" t="s">
        <v>951</v>
      </c>
      <c r="B56" s="14" t="s">
        <v>79</v>
      </c>
      <c r="D56" s="55"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954</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955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956</v>
      </c>
      <c r="B9" s="14" t="s">
        <v>623</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957</v>
      </c>
      <c r="B10" s="14" t="s">
        <v>623</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958</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939</v>
      </c>
      <c r="B13" s="14" t="s">
        <v>92</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940</v>
      </c>
      <c r="B14" s="14" t="s">
        <v>92</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959</v>
      </c>
      <c r="B15" s="14" t="s">
        <v>92</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960</v>
      </c>
      <c r="B16" s="14" t="s">
        <v>92</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961</v>
      </c>
      <c r="B17" s="14" t="s">
        <v>89</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962</v>
      </c>
      <c r="B18" s="14" t="s">
        <v>89</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963</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964</v>
      </c>
      <c r="B21" s="14" t="s">
        <v>89</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965</v>
      </c>
      <c r="B22" s="14" t="s">
        <v>89</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966</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714</v>
      </c>
      <c r="B25" s="14" t="s">
        <v>77</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716</v>
      </c>
      <c r="B26" s="14" t="s">
        <v>77</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967</v>
      </c>
      <c r="B27" s="14" t="s">
        <v>89</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968</v>
      </c>
      <c r="B28" s="14" t="s">
        <v>89</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969</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970</v>
      </c>
      <c r="B31" s="14" t="s">
        <v>89</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971</v>
      </c>
      <c r="B32" s="14" t="s">
        <v>89</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972</v>
      </c>
      <c r="B33" s="14" t="s">
        <v>89</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973</v>
      </c>
      <c r="B34" s="14" t="s">
        <v>89</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974</v>
      </c>
      <c r="B35" s="14" t="s">
        <v>89</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975</v>
      </c>
      <c r="B36" s="14" t="s">
        <v>89</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976</v>
      </c>
      <c r="B37" s="14" t="s">
        <v>89</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977</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978</v>
      </c>
      <c r="B40" s="14" t="s">
        <v>77</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717</v>
      </c>
      <c r="B41" s="14" t="s">
        <v>77</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719</v>
      </c>
      <c r="B42" s="14" t="s">
        <v>77</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979</v>
      </c>
      <c r="B43" s="14" t="s">
        <v>77</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980</v>
      </c>
      <c r="B44" s="14" t="s">
        <v>77</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981</v>
      </c>
      <c r="B45" s="14" t="s">
        <v>77</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982</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983</v>
      </c>
      <c r="B48" s="14" t="s">
        <v>77</v>
      </c>
      <c r="D48" s="55"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984</v>
      </c>
      <c r="B49" s="14" t="s">
        <v>77</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985</v>
      </c>
    </row>
    <row r="2" customFormat="false" ht="15" hidden="false" customHeight="false" outlineLevel="0" collapsed="false">
      <c r="A2" s="2" t="s">
        <v>986</v>
      </c>
    </row>
    <row r="3" customFormat="false" ht="15" hidden="false" customHeight="false" outlineLevel="0" collapsed="false">
      <c r="A3" s="8" t="s">
        <v>917</v>
      </c>
      <c r="D3" s="8" t="s">
        <v>918</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919</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87</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955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958</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963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966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714</v>
      </c>
      <c r="B15" s="14" t="s">
        <v>79</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716</v>
      </c>
      <c r="B16" s="14" t="s">
        <v>79</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969</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977</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978</v>
      </c>
      <c r="B21" s="14" t="s">
        <v>79</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717</v>
      </c>
      <c r="B22" s="14" t="s">
        <v>79</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719</v>
      </c>
      <c r="B23" s="14" t="s">
        <v>79</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979</v>
      </c>
      <c r="B24" s="14" t="s">
        <v>79</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980</v>
      </c>
      <c r="B25" s="14" t="s">
        <v>79</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981</v>
      </c>
      <c r="B26" s="14" t="s">
        <v>79</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982</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983</v>
      </c>
      <c r="B29" s="14" t="s">
        <v>79</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984</v>
      </c>
      <c r="B30" s="14" t="s">
        <v>79</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987</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988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989</v>
      </c>
      <c r="B9" s="14" t="s">
        <v>89</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990</v>
      </c>
      <c r="B10" s="14" t="s">
        <v>89</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991</v>
      </c>
      <c r="B11" s="14" t="s">
        <v>89</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992</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993</v>
      </c>
      <c r="B14" s="14" t="s">
        <v>89</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994</v>
      </c>
      <c r="B15" s="14" t="s">
        <v>89</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995</v>
      </c>
      <c r="B16" s="14" t="s">
        <v>89</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996</v>
      </c>
      <c r="B17" s="14" t="s">
        <v>89</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997</v>
      </c>
      <c r="B18" s="14" t="s">
        <v>96</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998</v>
      </c>
      <c r="B19" s="14" t="s">
        <v>89</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999</v>
      </c>
      <c r="B20" s="14" t="s">
        <v>89</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1000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1001</v>
      </c>
      <c r="B23" s="14" t="s">
        <v>89</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1002</v>
      </c>
      <c r="B24" s="14" t="s">
        <v>89</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1003</v>
      </c>
      <c r="B25" s="14" t="s">
        <v>89</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1004</v>
      </c>
      <c r="B26" s="14" t="s">
        <v>89</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1005</v>
      </c>
      <c r="B27" s="14" t="s">
        <v>89</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1006</v>
      </c>
      <c r="B28" s="14" t="s">
        <v>89</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1007</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1008</v>
      </c>
      <c r="B31" s="14" t="s">
        <v>92</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1009</v>
      </c>
      <c r="B32" s="14" t="s">
        <v>586</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1010</v>
      </c>
      <c r="B33" s="14" t="s">
        <v>376</v>
      </c>
      <c r="D33" s="57" t="n">
        <f aca="false">SUM(E33:BL33)</f>
        <v>28451.9219595909</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113.773333333333</v>
      </c>
      <c r="J33" s="42" t="n">
        <f aca="false">J9*Cards_New_Petite+J10*Cards_New_Moyenne+J11*Cards_New_Grande</f>
        <v>114.877333333333</v>
      </c>
      <c r="K33" s="42" t="n">
        <f aca="false">K9*Cards_New_Petite+K10*Cards_New_Moyenne+K11*Cards_New_Grande</f>
        <v>116.047573333333</v>
      </c>
      <c r="L33" s="42" t="n">
        <f aca="false">L9*Cards_New_Petite+L10*Cards_New_Moyenne+L11*Cards_New_Grande</f>
        <v>117.288027733333</v>
      </c>
      <c r="M33" s="42" t="n">
        <f aca="false">M9*Cards_New_Petite+M10*Cards_New_Moyenne+M11*Cards_New_Grande</f>
        <v>118.602909397333</v>
      </c>
      <c r="N33" s="42" t="n">
        <f aca="false">N9*Cards_New_Petite+N10*Cards_New_Moyenne+N11*Cards_New_Grande</f>
        <v>119.996683961173</v>
      </c>
      <c r="O33" s="42" t="n">
        <f aca="false">O9*Cards_New_Petite+O10*Cards_New_Moyenne+O11*Cards_New_Grande</f>
        <v>121.474084998844</v>
      </c>
      <c r="P33" s="42" t="n">
        <f aca="false">P9*Cards_New_Petite+P10*Cards_New_Moyenne+P11*Cards_New_Grande</f>
        <v>123.040130098774</v>
      </c>
      <c r="Q33" s="42" t="n">
        <f aca="false">Q9*Cards_New_Petite+Q10*Cards_New_Moyenne+Q11*Cards_New_Grande</f>
        <v>164.873471238034</v>
      </c>
      <c r="R33" s="42" t="n">
        <f aca="false">R9*Cards_New_Petite+R10*Cards_New_Moyenne+R11*Cards_New_Grande</f>
        <v>166.633079512316</v>
      </c>
      <c r="S33" s="42" t="n">
        <f aca="false">S9*Cards_New_Petite+S10*Cards_New_Moyenne+S11*Cards_New_Grande</f>
        <v>168.498264283055</v>
      </c>
      <c r="T33" s="42" t="n">
        <f aca="false">T9*Cards_New_Petite+T10*Cards_New_Moyenne+T11*Cards_New_Grande</f>
        <v>170.475360140039</v>
      </c>
      <c r="U33" s="42" t="n">
        <f aca="false">U9*Cards_New_Petite+U10*Cards_New_Moyenne+U11*Cards_New_Grande</f>
        <v>172.571081748441</v>
      </c>
      <c r="V33" s="42" t="n">
        <f aca="false">V9*Cards_New_Petite+V10*Cards_New_Moyenne+V11*Cards_New_Grande</f>
        <v>174.792546653347</v>
      </c>
      <c r="W33" s="42" t="n">
        <f aca="false">W9*Cards_New_Petite+W10*Cards_New_Moyenne+W11*Cards_New_Grande</f>
        <v>264.240632785881</v>
      </c>
      <c r="X33" s="42" t="n">
        <f aca="false">X9*Cards_New_Petite+X10*Cards_New_Moyenne+X11*Cards_New_Grande</f>
        <v>267.564670753034</v>
      </c>
      <c r="Y33" s="42" t="n">
        <f aca="false">Y9*Cards_New_Petite+Y10*Cards_New_Moyenne+Y11*Cards_New_Grande</f>
        <v>289.488150998216</v>
      </c>
      <c r="Z33" s="42" t="n">
        <f aca="false">Z9*Cards_New_Petite+Z10*Cards_New_Moyenne+Z11*Cards_New_Grande</f>
        <v>293.223040058109</v>
      </c>
      <c r="AA33" s="42" t="n">
        <f aca="false">AA9*Cards_New_Petite+AA10*Cards_New_Moyenne+AA11*Cards_New_Grande</f>
        <v>297.182022461596</v>
      </c>
      <c r="AB33" s="42" t="n">
        <f aca="false">AB9*Cards_New_Petite+AB10*Cards_New_Moyenne+AB11*Cards_New_Grande</f>
        <v>301.378543809292</v>
      </c>
      <c r="AC33" s="42" t="n">
        <f aca="false">AC9*Cards_New_Petite+AC10*Cards_New_Moyenne+AC11*Cards_New_Grande</f>
        <v>386.480189771183</v>
      </c>
      <c r="AD33" s="42" t="n">
        <f aca="false">AD9*Cards_New_Petite+AD10*Cards_New_Moyenne+AD11*Cards_New_Grande</f>
        <v>391.195401157454</v>
      </c>
      <c r="AE33" s="42" t="n">
        <f aca="false">AE9*Cards_New_Petite+AE10*Cards_New_Moyenne+AE11*Cards_New_Grande</f>
        <v>414.593525226901</v>
      </c>
      <c r="AF33" s="42" t="n">
        <f aca="false">AF9*Cards_New_Petite+AF10*Cards_New_Moyenne+AF11*Cards_New_Grande</f>
        <v>419.891536740515</v>
      </c>
      <c r="AG33" s="42" t="n">
        <f aca="false">AG9*Cards_New_Petite+AG10*Cards_New_Moyenne+AG11*Cards_New_Grande</f>
        <v>425.507428944946</v>
      </c>
      <c r="AH33" s="42" t="n">
        <f aca="false">AH9*Cards_New_Petite+AH10*Cards_New_Moyenne+AH11*Cards_New_Grande</f>
        <v>431.460274681642</v>
      </c>
      <c r="AI33" s="42" t="n">
        <f aca="false">AI9*Cards_New_Petite+AI10*Cards_New_Moyenne+AI11*Cards_New_Grande</f>
        <v>456.170291162541</v>
      </c>
      <c r="AJ33" s="42" t="n">
        <f aca="false">AJ9*Cards_New_Petite+AJ10*Cards_New_Moyenne+AJ11*Cards_New_Grande</f>
        <v>462.858908632293</v>
      </c>
      <c r="AK33" s="42" t="n">
        <f aca="false">AK9*Cards_New_Petite+AK10*Cards_New_Moyenne+AK11*Cards_New_Grande</f>
        <v>469.948843150231</v>
      </c>
      <c r="AL33" s="42" t="n">
        <f aca="false">AL9*Cards_New_Petite+AL10*Cards_New_Moyenne+AL11*Cards_New_Grande</f>
        <v>477.464173739245</v>
      </c>
      <c r="AM33" s="42" t="n">
        <f aca="false">AM9*Cards_New_Petite+AM10*Cards_New_Moyenne+AM11*Cards_New_Grande</f>
        <v>503.8304241636</v>
      </c>
      <c r="AN33" s="42" t="n">
        <f aca="false">AN9*Cards_New_Petite+AN10*Cards_New_Moyenne+AN11*Cards_New_Grande</f>
        <v>512.274649613416</v>
      </c>
      <c r="AO33" s="42" t="n">
        <f aca="false">AO9*Cards_New_Petite+AO10*Cards_New_Moyenne+AO11*Cards_New_Grande</f>
        <v>577.958861923554</v>
      </c>
      <c r="AP33" s="42" t="n">
        <f aca="false">AP9*Cards_New_Petite+AP10*Cards_New_Moyenne+AP11*Cards_New_Grande</f>
        <v>605.846793638967</v>
      </c>
      <c r="AQ33" s="42" t="n">
        <f aca="false">AQ9*Cards_New_Petite+AQ10*Cards_New_Moyenne+AQ11*Cards_New_Grande</f>
        <v>615.904001257305</v>
      </c>
      <c r="AR33" s="42" t="n">
        <f aca="false">AR9*Cards_New_Petite+AR10*Cards_New_Moyenne+AR11*Cards_New_Grande</f>
        <v>626.564641332744</v>
      </c>
      <c r="AS33" s="42" t="n">
        <f aca="false">AS9*Cards_New_Petite+AS10*Cards_New_Moyenne+AS11*Cards_New_Grande</f>
        <v>656.264919812708</v>
      </c>
      <c r="AT33" s="42" t="n">
        <f aca="false">AT9*Cards_New_Petite+AT10*Cards_New_Moyenne+AT11*Cards_New_Grande</f>
        <v>668.243215001471</v>
      </c>
      <c r="AU33" s="42" t="n">
        <f aca="false">AU9*Cards_New_Petite+AU10*Cards_New_Moyenne+AU11*Cards_New_Grande</f>
        <v>680.940207901559</v>
      </c>
      <c r="AV33" s="42" t="n">
        <f aca="false">AV9*Cards_New_Petite+AV10*Cards_New_Moyenne+AV11*Cards_New_Grande</f>
        <v>729.359020375652</v>
      </c>
      <c r="AW33" s="42" t="n">
        <f aca="false">AW9*Cards_New_Petite+AW10*Cards_New_Moyenne+AW11*Cards_New_Grande</f>
        <v>738.368151555074</v>
      </c>
      <c r="AX33" s="42" t="n">
        <f aca="false">AX9*Cards_New_Petite+AX10*Cards_New_Moyenne+AX11*Cards_New_Grande</f>
        <v>760.535040648379</v>
      </c>
      <c r="AY33" s="42" t="n">
        <f aca="false">AY9*Cards_New_Petite+AY10*Cards_New_Moyenne+AY11*Cards_New_Grande</f>
        <v>764.527943087282</v>
      </c>
      <c r="AZ33" s="42" t="n">
        <f aca="false">AZ9*Cards_New_Petite+AZ10*Cards_New_Moyenne+AZ11*Cards_New_Grande</f>
        <v>768.760419672519</v>
      </c>
      <c r="BA33" s="42" t="n">
        <f aca="false">BA9*Cards_New_Petite+BA10*Cards_New_Moyenne+BA11*Cards_New_Grande</f>
        <v>848.68684485287</v>
      </c>
      <c r="BB33" s="42" t="n">
        <f aca="false">BB9*Cards_New_Petite+BB10*Cards_New_Moyenne+BB11*Cards_New_Grande</f>
        <v>853.442455544042</v>
      </c>
      <c r="BC33" s="42" t="n">
        <f aca="false">BC9*Cards_New_Petite+BC10*Cards_New_Moyenne+BC11*Cards_New_Grande</f>
        <v>876.883402876684</v>
      </c>
      <c r="BD33" s="42" t="n">
        <f aca="false">BD9*Cards_New_Petite+BD10*Cards_New_Moyenne+BD11*Cards_New_Grande</f>
        <v>882.226807049285</v>
      </c>
      <c r="BE33" s="42" t="n">
        <f aca="false">BE9*Cards_New_Petite+BE10*Cards_New_Moyenne+BE11*Cards_New_Grande</f>
        <v>904.450815472243</v>
      </c>
      <c r="BF33" s="42" t="n">
        <f aca="false">BF9*Cards_New_Petite+BF10*Cards_New_Moyenne+BF11*Cards_New_Grande</f>
        <v>928.854664400577</v>
      </c>
      <c r="BG33" s="42" t="n">
        <f aca="false">BG9*Cards_New_Petite+BG10*Cards_New_Moyenne+BG11*Cards_New_Grande</f>
        <v>935.218744264612</v>
      </c>
      <c r="BH33" s="42" t="n">
        <f aca="false">BH9*Cards_New_Petite+BH10*Cards_New_Moyenne+BH11*Cards_New_Grande</f>
        <v>960.364668920489</v>
      </c>
      <c r="BI33" s="42" t="n">
        <f aca="false">BI9*Cards_New_Petite+BI10*Cards_New_Moyenne+BI11*Cards_New_Grande</f>
        <v>984.075349055718</v>
      </c>
      <c r="BJ33" s="42" t="n">
        <f aca="false">BJ9*Cards_New_Petite+BJ10*Cards_New_Moyenne+BJ11*Cards_New_Grande</f>
        <v>1010.05506999906</v>
      </c>
      <c r="BK33" s="42" t="n">
        <f aca="false">BK9*Cards_New_Petite+BK10*Cards_New_Moyenne+BK11*Cards_New_Grande</f>
        <v>1014.14666666667</v>
      </c>
      <c r="BL33" s="42" t="n">
        <f aca="false">BL9*Cards_New_Petite+BL10*Cards_New_Moyenne+BL11*Cards_New_Grande</f>
        <v>1032.54666666667</v>
      </c>
    </row>
    <row r="34" customFormat="false" ht="15" hidden="false" customHeight="false" outlineLevel="0" collapsed="false">
      <c r="A34" s="12" t="s">
        <v>1011</v>
      </c>
      <c r="B34" s="14" t="s">
        <v>376</v>
      </c>
      <c r="D34" s="57" t="n">
        <f aca="false">SUM(E34:BL34)</f>
        <v>0</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0</v>
      </c>
      <c r="J34" s="42" t="n">
        <f aca="false">J9*MAX(0,Cards_New_Petite-Cards_Phys_Incl_Petite)+J10*MAX(0,Cards_New_Moyenne-Cards_Phys_Incl_Moyenne)+J11*MAX(0,Cards_New_Grande-Cards_Phys_Incl_Grande)</f>
        <v>0</v>
      </c>
      <c r="K34" s="42" t="n">
        <f aca="false">K9*MAX(0,Cards_New_Petite-Cards_Phys_Incl_Petite)+K10*MAX(0,Cards_New_Moyenne-Cards_Phys_Incl_Moyenne)+K11*MAX(0,Cards_New_Grande-Cards_Phys_Incl_Grande)</f>
        <v>0</v>
      </c>
      <c r="L34" s="42" t="n">
        <f aca="false">L9*MAX(0,Cards_New_Petite-Cards_Phys_Incl_Petite)+L10*MAX(0,Cards_New_Moyenne-Cards_Phys_Incl_Moyenne)+L11*MAX(0,Cards_New_Grande-Cards_Phys_Incl_Grande)</f>
        <v>0</v>
      </c>
      <c r="M34" s="42" t="n">
        <f aca="false">M9*MAX(0,Cards_New_Petite-Cards_Phys_Incl_Petite)+M10*MAX(0,Cards_New_Moyenne-Cards_Phys_Incl_Moyenne)+M11*MAX(0,Cards_New_Grande-Cards_Phys_Incl_Grande)</f>
        <v>0</v>
      </c>
      <c r="N34" s="42" t="n">
        <f aca="false">N9*MAX(0,Cards_New_Petite-Cards_Phys_Incl_Petite)+N10*MAX(0,Cards_New_Moyenne-Cards_Phys_Incl_Moyenne)+N11*MAX(0,Cards_New_Grande-Cards_Phys_Incl_Grande)</f>
        <v>0</v>
      </c>
      <c r="O34" s="42" t="n">
        <f aca="false">O9*MAX(0,Cards_New_Petite-Cards_Phys_Incl_Petite)+O10*MAX(0,Cards_New_Moyenne-Cards_Phys_Incl_Moyenne)+O11*MAX(0,Cards_New_Grande-Cards_Phys_Incl_Grande)</f>
        <v>0</v>
      </c>
      <c r="P34" s="42" t="n">
        <f aca="false">P9*MAX(0,Cards_New_Petite-Cards_Phys_Incl_Petite)+P10*MAX(0,Cards_New_Moyenne-Cards_Phys_Incl_Moyenne)+P11*MAX(0,Cards_New_Grande-Cards_Phys_Incl_Grande)</f>
        <v>0</v>
      </c>
      <c r="Q34" s="42" t="n">
        <f aca="false">Q9*MAX(0,Cards_New_Petite-Cards_Phys_Incl_Petite)+Q10*MAX(0,Cards_New_Moyenne-Cards_Phys_Incl_Moyenne)+Q11*MAX(0,Cards_New_Grande-Cards_Phys_Incl_Grande)</f>
        <v>0</v>
      </c>
      <c r="R34" s="42" t="n">
        <f aca="false">R9*MAX(0,Cards_New_Petite-Cards_Phys_Incl_Petite)+R10*MAX(0,Cards_New_Moyenne-Cards_Phys_Incl_Moyenne)+R11*MAX(0,Cards_New_Grande-Cards_Phys_Incl_Grande)</f>
        <v>0</v>
      </c>
      <c r="S34" s="42" t="n">
        <f aca="false">S9*MAX(0,Cards_New_Petite-Cards_Phys_Incl_Petite)+S10*MAX(0,Cards_New_Moyenne-Cards_Phys_Incl_Moyenne)+S11*MAX(0,Cards_New_Grande-Cards_Phys_Incl_Grande)</f>
        <v>0</v>
      </c>
      <c r="T34" s="42" t="n">
        <f aca="false">T9*MAX(0,Cards_New_Petite-Cards_Phys_Incl_Petite)+T10*MAX(0,Cards_New_Moyenne-Cards_Phys_Incl_Moyenne)+T11*MAX(0,Cards_New_Grande-Cards_Phys_Incl_Grande)</f>
        <v>0</v>
      </c>
      <c r="U34" s="42" t="n">
        <f aca="false">U9*MAX(0,Cards_New_Petite-Cards_Phys_Incl_Petite)+U10*MAX(0,Cards_New_Moyenne-Cards_Phys_Incl_Moyenne)+U11*MAX(0,Cards_New_Grande-Cards_Phys_Incl_Grande)</f>
        <v>0</v>
      </c>
      <c r="V34" s="42" t="n">
        <f aca="false">V9*MAX(0,Cards_New_Petite-Cards_Phys_Incl_Petite)+V10*MAX(0,Cards_New_Moyenne-Cards_Phys_Incl_Moyenne)+V11*MAX(0,Cards_New_Grande-Cards_Phys_Incl_Grande)</f>
        <v>0</v>
      </c>
      <c r="W34" s="42" t="n">
        <f aca="false">W9*MAX(0,Cards_New_Petite-Cards_Phys_Incl_Petite)+W10*MAX(0,Cards_New_Moyenne-Cards_Phys_Incl_Moyenne)+W11*MAX(0,Cards_New_Grande-Cards_Phys_Incl_Grande)</f>
        <v>0</v>
      </c>
      <c r="X34" s="42" t="n">
        <f aca="false">X9*MAX(0,Cards_New_Petite-Cards_Phys_Incl_Petite)+X10*MAX(0,Cards_New_Moyenne-Cards_Phys_Incl_Moyenne)+X11*MAX(0,Cards_New_Grande-Cards_Phys_Incl_Grande)</f>
        <v>0</v>
      </c>
      <c r="Y34" s="42" t="n">
        <f aca="false">Y9*MAX(0,Cards_New_Petite-Cards_Phys_Incl_Petite)+Y10*MAX(0,Cards_New_Moyenne-Cards_Phys_Incl_Moyenne)+Y11*MAX(0,Cards_New_Grande-Cards_Phys_Incl_Grande)</f>
        <v>0</v>
      </c>
      <c r="Z34" s="42" t="n">
        <f aca="false">Z9*MAX(0,Cards_New_Petite-Cards_Phys_Incl_Petite)+Z10*MAX(0,Cards_New_Moyenne-Cards_Phys_Incl_Moyenne)+Z11*MAX(0,Cards_New_Grande-Cards_Phys_Incl_Grande)</f>
        <v>0</v>
      </c>
      <c r="AA34" s="42" t="n">
        <f aca="false">AA9*MAX(0,Cards_New_Petite-Cards_Phys_Incl_Petite)+AA10*MAX(0,Cards_New_Moyenne-Cards_Phys_Incl_Moyenne)+AA11*MAX(0,Cards_New_Grande-Cards_Phys_Incl_Grande)</f>
        <v>0</v>
      </c>
      <c r="AB34" s="42" t="n">
        <f aca="false">AB9*MAX(0,Cards_New_Petite-Cards_Phys_Incl_Petite)+AB10*MAX(0,Cards_New_Moyenne-Cards_Phys_Incl_Moyenne)+AB11*MAX(0,Cards_New_Grande-Cards_Phys_Incl_Grande)</f>
        <v>0</v>
      </c>
      <c r="AC34" s="42" t="n">
        <f aca="false">AC9*MAX(0,Cards_New_Petite-Cards_Phys_Incl_Petite)+AC10*MAX(0,Cards_New_Moyenne-Cards_Phys_Incl_Moyenne)+AC11*MAX(0,Cards_New_Grande-Cards_Phys_Incl_Grande)</f>
        <v>0</v>
      </c>
      <c r="AD34" s="42" t="n">
        <f aca="false">AD9*MAX(0,Cards_New_Petite-Cards_Phys_Incl_Petite)+AD10*MAX(0,Cards_New_Moyenne-Cards_Phys_Incl_Moyenne)+AD11*MAX(0,Cards_New_Grande-Cards_Phys_Incl_Grande)</f>
        <v>0</v>
      </c>
      <c r="AE34" s="42" t="n">
        <f aca="false">AE9*MAX(0,Cards_New_Petite-Cards_Phys_Incl_Petite)+AE10*MAX(0,Cards_New_Moyenne-Cards_Phys_Incl_Moyenne)+AE11*MAX(0,Cards_New_Grande-Cards_Phys_Incl_Grande)</f>
        <v>0</v>
      </c>
      <c r="AF34" s="42" t="n">
        <f aca="false">AF9*MAX(0,Cards_New_Petite-Cards_Phys_Incl_Petite)+AF10*MAX(0,Cards_New_Moyenne-Cards_Phys_Incl_Moyenne)+AF11*MAX(0,Cards_New_Grande-Cards_Phys_Incl_Grande)</f>
        <v>0</v>
      </c>
      <c r="AG34" s="42" t="n">
        <f aca="false">AG9*MAX(0,Cards_New_Petite-Cards_Phys_Incl_Petite)+AG10*MAX(0,Cards_New_Moyenne-Cards_Phys_Incl_Moyenne)+AG11*MAX(0,Cards_New_Grande-Cards_Phys_Incl_Grande)</f>
        <v>0</v>
      </c>
      <c r="AH34" s="42" t="n">
        <f aca="false">AH9*MAX(0,Cards_New_Petite-Cards_Phys_Incl_Petite)+AH10*MAX(0,Cards_New_Moyenne-Cards_Phys_Incl_Moyenne)+AH11*MAX(0,Cards_New_Grande-Cards_Phys_Incl_Grande)</f>
        <v>0</v>
      </c>
      <c r="AI34" s="42" t="n">
        <f aca="false">AI9*MAX(0,Cards_New_Petite-Cards_Phys_Incl_Petite)+AI10*MAX(0,Cards_New_Moyenne-Cards_Phys_Incl_Moyenne)+AI11*MAX(0,Cards_New_Grande-Cards_Phys_Incl_Grande)</f>
        <v>0</v>
      </c>
      <c r="AJ34" s="42" t="n">
        <f aca="false">AJ9*MAX(0,Cards_New_Petite-Cards_Phys_Incl_Petite)+AJ10*MAX(0,Cards_New_Moyenne-Cards_Phys_Incl_Moyenne)+AJ11*MAX(0,Cards_New_Grande-Cards_Phys_Incl_Grande)</f>
        <v>0</v>
      </c>
      <c r="AK34" s="42" t="n">
        <f aca="false">AK9*MAX(0,Cards_New_Petite-Cards_Phys_Incl_Petite)+AK10*MAX(0,Cards_New_Moyenne-Cards_Phys_Incl_Moyenne)+AK11*MAX(0,Cards_New_Grande-Cards_Phys_Incl_Grande)</f>
        <v>0</v>
      </c>
      <c r="AL34" s="42" t="n">
        <f aca="false">AL9*MAX(0,Cards_New_Petite-Cards_Phys_Incl_Petite)+AL10*MAX(0,Cards_New_Moyenne-Cards_Phys_Incl_Moyenne)+AL11*MAX(0,Cards_New_Grande-Cards_Phys_Incl_Grande)</f>
        <v>0</v>
      </c>
      <c r="AM34" s="42" t="n">
        <f aca="false">AM9*MAX(0,Cards_New_Petite-Cards_Phys_Incl_Petite)+AM10*MAX(0,Cards_New_Moyenne-Cards_Phys_Incl_Moyenne)+AM11*MAX(0,Cards_New_Grande-Cards_Phys_Incl_Grande)</f>
        <v>0</v>
      </c>
      <c r="AN34" s="42" t="n">
        <f aca="false">AN9*MAX(0,Cards_New_Petite-Cards_Phys_Incl_Petite)+AN10*MAX(0,Cards_New_Moyenne-Cards_Phys_Incl_Moyenne)+AN11*MAX(0,Cards_New_Grande-Cards_Phys_Incl_Grande)</f>
        <v>0</v>
      </c>
      <c r="AO34" s="42" t="n">
        <f aca="false">AO9*MAX(0,Cards_New_Petite-Cards_Phys_Incl_Petite)+AO10*MAX(0,Cards_New_Moyenne-Cards_Phys_Incl_Moyenne)+AO11*MAX(0,Cards_New_Grande-Cards_Phys_Incl_Grande)</f>
        <v>0</v>
      </c>
      <c r="AP34" s="42" t="n">
        <f aca="false">AP9*MAX(0,Cards_New_Petite-Cards_Phys_Incl_Petite)+AP10*MAX(0,Cards_New_Moyenne-Cards_Phys_Incl_Moyenne)+AP11*MAX(0,Cards_New_Grande-Cards_Phys_Incl_Grande)</f>
        <v>0</v>
      </c>
      <c r="AQ34" s="42" t="n">
        <f aca="false">AQ9*MAX(0,Cards_New_Petite-Cards_Phys_Incl_Petite)+AQ10*MAX(0,Cards_New_Moyenne-Cards_Phys_Incl_Moyenne)+AQ11*MAX(0,Cards_New_Grande-Cards_Phys_Incl_Grande)</f>
        <v>0</v>
      </c>
      <c r="AR34" s="42" t="n">
        <f aca="false">AR9*MAX(0,Cards_New_Petite-Cards_Phys_Incl_Petite)+AR10*MAX(0,Cards_New_Moyenne-Cards_Phys_Incl_Moyenne)+AR11*MAX(0,Cards_New_Grande-Cards_Phys_Incl_Grande)</f>
        <v>0</v>
      </c>
      <c r="AS34" s="42" t="n">
        <f aca="false">AS9*MAX(0,Cards_New_Petite-Cards_Phys_Incl_Petite)+AS10*MAX(0,Cards_New_Moyenne-Cards_Phys_Incl_Moyenne)+AS11*MAX(0,Cards_New_Grande-Cards_Phys_Incl_Grande)</f>
        <v>0</v>
      </c>
      <c r="AT34" s="42" t="n">
        <f aca="false">AT9*MAX(0,Cards_New_Petite-Cards_Phys_Incl_Petite)+AT10*MAX(0,Cards_New_Moyenne-Cards_Phys_Incl_Moyenne)+AT11*MAX(0,Cards_New_Grande-Cards_Phys_Incl_Grande)</f>
        <v>0</v>
      </c>
      <c r="AU34" s="42" t="n">
        <f aca="false">AU9*MAX(0,Cards_New_Petite-Cards_Phys_Incl_Petite)+AU10*MAX(0,Cards_New_Moyenne-Cards_Phys_Incl_Moyenne)+AU11*MAX(0,Cards_New_Grande-Cards_Phys_Incl_Grande)</f>
        <v>0</v>
      </c>
      <c r="AV34" s="42" t="n">
        <f aca="false">AV9*MAX(0,Cards_New_Petite-Cards_Phys_Incl_Petite)+AV10*MAX(0,Cards_New_Moyenne-Cards_Phys_Incl_Moyenne)+AV11*MAX(0,Cards_New_Grande-Cards_Phys_Incl_Grande)</f>
        <v>0</v>
      </c>
      <c r="AW34" s="42" t="n">
        <f aca="false">AW9*MAX(0,Cards_New_Petite-Cards_Phys_Incl_Petite)+AW10*MAX(0,Cards_New_Moyenne-Cards_Phys_Incl_Moyenne)+AW11*MAX(0,Cards_New_Grande-Cards_Phys_Incl_Grande)</f>
        <v>0</v>
      </c>
      <c r="AX34" s="42" t="n">
        <f aca="false">AX9*MAX(0,Cards_New_Petite-Cards_Phys_Incl_Petite)+AX10*MAX(0,Cards_New_Moyenne-Cards_Phys_Incl_Moyenne)+AX11*MAX(0,Cards_New_Grande-Cards_Phys_Incl_Grande)</f>
        <v>0</v>
      </c>
      <c r="AY34" s="42" t="n">
        <f aca="false">AY9*MAX(0,Cards_New_Petite-Cards_Phys_Incl_Petite)+AY10*MAX(0,Cards_New_Moyenne-Cards_Phys_Incl_Moyenne)+AY11*MAX(0,Cards_New_Grande-Cards_Phys_Incl_Grande)</f>
        <v>0</v>
      </c>
      <c r="AZ34" s="42" t="n">
        <f aca="false">AZ9*MAX(0,Cards_New_Petite-Cards_Phys_Incl_Petite)+AZ10*MAX(0,Cards_New_Moyenne-Cards_Phys_Incl_Moyenne)+AZ11*MAX(0,Cards_New_Grande-Cards_Phys_Incl_Grande)</f>
        <v>0</v>
      </c>
      <c r="BA34" s="42" t="n">
        <f aca="false">BA9*MAX(0,Cards_New_Petite-Cards_Phys_Incl_Petite)+BA10*MAX(0,Cards_New_Moyenne-Cards_Phys_Incl_Moyenne)+BA11*MAX(0,Cards_New_Grande-Cards_Phys_Incl_Grande)</f>
        <v>0</v>
      </c>
      <c r="BB34" s="42" t="n">
        <f aca="false">BB9*MAX(0,Cards_New_Petite-Cards_Phys_Incl_Petite)+BB10*MAX(0,Cards_New_Moyenne-Cards_Phys_Incl_Moyenne)+BB11*MAX(0,Cards_New_Grande-Cards_Phys_Incl_Grande)</f>
        <v>0</v>
      </c>
      <c r="BC34" s="42" t="n">
        <f aca="false">BC9*MAX(0,Cards_New_Petite-Cards_Phys_Incl_Petite)+BC10*MAX(0,Cards_New_Moyenne-Cards_Phys_Incl_Moyenne)+BC11*MAX(0,Cards_New_Grande-Cards_Phys_Incl_Grande)</f>
        <v>0</v>
      </c>
      <c r="BD34" s="42" t="n">
        <f aca="false">BD9*MAX(0,Cards_New_Petite-Cards_Phys_Incl_Petite)+BD10*MAX(0,Cards_New_Moyenne-Cards_Phys_Incl_Moyenne)+BD11*MAX(0,Cards_New_Grande-Cards_Phys_Incl_Grande)</f>
        <v>0</v>
      </c>
      <c r="BE34" s="42" t="n">
        <f aca="false">BE9*MAX(0,Cards_New_Petite-Cards_Phys_Incl_Petite)+BE10*MAX(0,Cards_New_Moyenne-Cards_Phys_Incl_Moyenne)+BE11*MAX(0,Cards_New_Grande-Cards_Phys_Incl_Grande)</f>
        <v>0</v>
      </c>
      <c r="BF34" s="42" t="n">
        <f aca="false">BF9*MAX(0,Cards_New_Petite-Cards_Phys_Incl_Petite)+BF10*MAX(0,Cards_New_Moyenne-Cards_Phys_Incl_Moyenne)+BF11*MAX(0,Cards_New_Grande-Cards_Phys_Incl_Grande)</f>
        <v>0</v>
      </c>
      <c r="BG34" s="42" t="n">
        <f aca="false">BG9*MAX(0,Cards_New_Petite-Cards_Phys_Incl_Petite)+BG10*MAX(0,Cards_New_Moyenne-Cards_Phys_Incl_Moyenne)+BG11*MAX(0,Cards_New_Grande-Cards_Phys_Incl_Grande)</f>
        <v>0</v>
      </c>
      <c r="BH34" s="42" t="n">
        <f aca="false">BH9*MAX(0,Cards_New_Petite-Cards_Phys_Incl_Petite)+BH10*MAX(0,Cards_New_Moyenne-Cards_Phys_Incl_Moyenne)+BH11*MAX(0,Cards_New_Grande-Cards_Phys_Incl_Grande)</f>
        <v>0</v>
      </c>
      <c r="BI34" s="42" t="n">
        <f aca="false">BI9*MAX(0,Cards_New_Petite-Cards_Phys_Incl_Petite)+BI10*MAX(0,Cards_New_Moyenne-Cards_Phys_Incl_Moyenne)+BI11*MAX(0,Cards_New_Grande-Cards_Phys_Incl_Grande)</f>
        <v>0</v>
      </c>
      <c r="BJ34" s="42" t="n">
        <f aca="false">BJ9*MAX(0,Cards_New_Petite-Cards_Phys_Incl_Petite)+BJ10*MAX(0,Cards_New_Moyenne-Cards_Phys_Incl_Moyenne)+BJ11*MAX(0,Cards_New_Grande-Cards_Phys_Incl_Grande)</f>
        <v>0</v>
      </c>
      <c r="BK34" s="42" t="n">
        <f aca="false">BK9*MAX(0,Cards_New_Petite-Cards_Phys_Incl_Petite)+BK10*MAX(0,Cards_New_Moyenne-Cards_Phys_Incl_Moyenne)+BK11*MAX(0,Cards_New_Grande-Cards_Phys_Incl_Grande)</f>
        <v>0</v>
      </c>
      <c r="BL34" s="42" t="n">
        <f aca="false">BL9*MAX(0,Cards_New_Petite-Cards_Phys_Incl_Petite)+BL10*MAX(0,Cards_New_Moyenne-Cards_Phys_Incl_Moyenne)+BL11*MAX(0,Cards_New_Grande-Cards_Phys_Incl_Grande)</f>
        <v>0</v>
      </c>
    </row>
    <row r="35" customFormat="false" ht="15" hidden="false" customHeight="false" outlineLevel="0" collapsed="false">
      <c r="A35" s="12" t="s">
        <v>1012</v>
      </c>
      <c r="B35" s="14" t="s">
        <v>376</v>
      </c>
      <c r="D35" s="55" t="n">
        <f aca="false">BL35</f>
        <v>44912.154949636</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222.6</v>
      </c>
      <c r="J35" s="32" t="n">
        <f aca="false">J14*Cards_Act_Petite+J15*Cards_Act_Moyenne+J16*Cards_Act_Grande</f>
        <v>444.5033</v>
      </c>
      <c r="K35" s="32" t="n">
        <f aca="false">K14*Cards_Act_Petite+K15*Cards_Act_Moyenne+K16*Cards_Act_Grande</f>
        <v>665.85361025</v>
      </c>
      <c r="L35" s="32" t="n">
        <f aca="false">L14*Cards_Act_Petite+L15*Cards_Act_Moyenne+L16*Cards_Act_Grande</f>
        <v>886.800479610625</v>
      </c>
      <c r="M35" s="32" t="n">
        <f aca="false">M14*Cards_Act_Petite+M15*Cards_Act_Moyenne+M16*Cards_Act_Grande</f>
        <v>1107.49969198208</v>
      </c>
      <c r="N35" s="32" t="n">
        <f aca="false">N14*Cards_Act_Petite+N15*Cards_Act_Moyenne+N16*Cards_Act_Grande</f>
        <v>1328.1136857011</v>
      </c>
      <c r="O35" s="32" t="n">
        <f aca="false">O14*Cards_Act_Petite+O15*Cards_Act_Moyenne+O16*Cards_Act_Grande</f>
        <v>1548.81199729918</v>
      </c>
      <c r="P35" s="32" t="n">
        <f aca="false">P14*Cards_Act_Petite+P15*Cards_Act_Moyenne+P16*Cards_Act_Grande</f>
        <v>1769.77173109859</v>
      </c>
      <c r="Q35" s="32" t="n">
        <f aca="false">Q14*Cards_Act_Petite+Q15*Cards_Act_Moyenne+Q16*Cards_Act_Grande</f>
        <v>2069.77805621105</v>
      </c>
      <c r="R35" s="32" t="n">
        <f aca="false">R14*Cards_Act_Petite+R15*Cards_Act_Moyenne+R16*Cards_Act_Grande</f>
        <v>2369.41603259749</v>
      </c>
      <c r="S35" s="32" t="n">
        <f aca="false">S14*Cards_Act_Petite+S15*Cards_Act_Moyenne+S16*Cards_Act_Grande</f>
        <v>2668.90333819676</v>
      </c>
      <c r="T35" s="32" t="n">
        <f aca="false">T14*Cards_Act_Petite+T15*Cards_Act_Moyenne+T16*Cards_Act_Grande</f>
        <v>2968.46714809652</v>
      </c>
      <c r="U35" s="32" t="n">
        <f aca="false">U14*Cards_Act_Petite+U15*Cards_Act_Moyenne+U16*Cards_Act_Grande</f>
        <v>3268.34476295392</v>
      </c>
      <c r="V35" s="32" t="n">
        <f aca="false">V14*Cards_Act_Petite+V15*Cards_Act_Moyenne+V16*Cards_Act_Grande</f>
        <v>3568.78427408756</v>
      </c>
      <c r="W35" s="32" t="n">
        <f aca="false">W14*Cards_Act_Petite+W15*Cards_Act_Moyenne+W16*Cards_Act_Grande</f>
        <v>4040.44526746051</v>
      </c>
      <c r="X35" s="32" t="n">
        <f aca="false">X14*Cards_Act_Petite+X15*Cards_Act_Moyenne+X16*Cards_Act_Grande</f>
        <v>4512.6327689062</v>
      </c>
      <c r="Y35" s="32" t="n">
        <f aca="false">Y14*Cards_Act_Petite+Y15*Cards_Act_Moyenne+Y16*Cards_Act_Grande</f>
        <v>5021.74006409051</v>
      </c>
      <c r="Z35" s="32" t="n">
        <f aca="false">Z14*Cards_Act_Petite+Z15*Cards_Act_Moyenne+Z16*Cards_Act_Grande</f>
        <v>5531.71667126941</v>
      </c>
      <c r="AA35" s="32" t="n">
        <f aca="false">AA14*Cards_Act_Petite+AA15*Cards_Act_Moyenne+AA16*Cards_Act_Grande</f>
        <v>6043.00028831409</v>
      </c>
      <c r="AB35" s="32" t="n">
        <f aca="false">AB14*Cards_Act_Petite+AB15*Cards_Act_Moyenne+AB16*Cards_Act_Grande</f>
        <v>6556.04916911777</v>
      </c>
      <c r="AC35" s="32" t="n">
        <f aca="false">AC14*Cards_Act_Petite+AC15*Cards_Act_Moyenne+AC16*Cards_Act_Grande</f>
        <v>7229.14345047569</v>
      </c>
      <c r="AD35" s="32" t="n">
        <f aca="false">AD14*Cards_Act_Petite+AD15*Cards_Act_Moyenne+AD16*Cards_Act_Grande</f>
        <v>7902.96145693155</v>
      </c>
      <c r="AE35" s="32" t="n">
        <f aca="false">AE14*Cards_Act_Petite+AE15*Cards_Act_Moyenne+AE16*Cards_Act_Grande</f>
        <v>8614.0610415487</v>
      </c>
      <c r="AF35" s="32" t="n">
        <f aca="false">AF14*Cards_Act_Petite+AF15*Cards_Act_Moyenne+AF16*Cards_Act_Grande</f>
        <v>9326.56392573454</v>
      </c>
      <c r="AG35" s="32" t="n">
        <f aca="false">AG14*Cards_Act_Petite+AG15*Cards_Act_Moyenne+AG16*Cards_Act_Grande</f>
        <v>10041.0881408214</v>
      </c>
      <c r="AH35" s="32" t="n">
        <f aca="false">AH14*Cards_Act_Petite+AH15*Cards_Act_Moyenne+AH16*Cards_Act_Grande</f>
        <v>10758.2809280645</v>
      </c>
      <c r="AI35" s="32" t="n">
        <f aca="false">AI14*Cards_Act_Petite+AI15*Cards_Act_Moyenne+AI16*Cards_Act_Grande</f>
        <v>11514.8206199032</v>
      </c>
      <c r="AJ35" s="32" t="n">
        <f aca="false">AJ14*Cards_Act_Petite+AJ15*Cards_Act_Moyenne+AJ16*Cards_Act_Grande</f>
        <v>12274.956631837</v>
      </c>
      <c r="AK35" s="32" t="n">
        <f aca="false">AK14*Cards_Act_Petite+AK15*Cards_Act_Moyenne+AK16*Cards_Act_Grande</f>
        <v>13039.442336594</v>
      </c>
      <c r="AL35" s="32" t="n">
        <f aca="false">AL14*Cards_Act_Petite+AL15*Cards_Act_Moyenne+AL16*Cards_Act_Grande</f>
        <v>13809.0684226856</v>
      </c>
      <c r="AM35" s="32" t="n">
        <f aca="false">AM14*Cards_Act_Petite+AM15*Cards_Act_Moyenne+AM16*Cards_Act_Grande</f>
        <v>14620.6652617466</v>
      </c>
      <c r="AN35" s="32" t="n">
        <f aca="false">AN14*Cards_Act_Petite+AN15*Cards_Act_Moyenne+AN16*Cards_Act_Grande</f>
        <v>15438.6434156678</v>
      </c>
      <c r="AO35" s="32" t="n">
        <f aca="false">AO14*Cards_Act_Petite+AO15*Cards_Act_Moyenne+AO16*Cards_Act_Grande</f>
        <v>16374.9270569463</v>
      </c>
      <c r="AP35" s="32" t="n">
        <f aca="false">AP14*Cards_Act_Petite+AP15*Cards_Act_Moyenne+AP16*Cards_Act_Grande</f>
        <v>17354.0634062036</v>
      </c>
      <c r="AQ35" s="32" t="n">
        <f aca="false">AQ14*Cards_Act_Petite+AQ15*Cards_Act_Moyenne+AQ16*Cards_Act_Grande</f>
        <v>18340.633571987</v>
      </c>
      <c r="AR35" s="32" t="n">
        <f aca="false">AR14*Cards_Act_Petite+AR15*Cards_Act_Moyenne+AR16*Cards_Act_Grande</f>
        <v>19335.7407755683</v>
      </c>
      <c r="AS35" s="32" t="n">
        <f aca="false">AS14*Cards_Act_Petite+AS15*Cards_Act_Moyenne+AS16*Cards_Act_Grande</f>
        <v>20376.5448268299</v>
      </c>
      <c r="AT35" s="32" t="n">
        <f aca="false">AT14*Cards_Act_Petite+AT15*Cards_Act_Moyenne+AT16*Cards_Act_Grande</f>
        <v>21427.8036754949</v>
      </c>
      <c r="AU35" s="32" t="n">
        <f aca="false">AU14*Cards_Act_Petite+AU15*Cards_Act_Moyenne+AU16*Cards_Act_Grande</f>
        <v>22490.8079377027</v>
      </c>
      <c r="AV35" s="32" t="n">
        <f aca="false">AV14*Cards_Act_Petite+AV15*Cards_Act_Moyenne+AV16*Cards_Act_Grande</f>
        <v>23635.3160056161</v>
      </c>
      <c r="AW35" s="32" t="n">
        <f aca="false">AW14*Cards_Act_Petite+AW15*Cards_Act_Moyenne+AW16*Cards_Act_Grande</f>
        <v>24783.194624654</v>
      </c>
      <c r="AX35" s="32" t="n">
        <f aca="false">AX14*Cards_Act_Petite+AX15*Cards_Act_Moyenne+AX16*Cards_Act_Grande</f>
        <v>25960.1642087596</v>
      </c>
      <c r="AY35" s="32" t="n">
        <f aca="false">AY14*Cards_Act_Petite+AY15*Cards_Act_Moyenne+AY16*Cards_Act_Grande</f>
        <v>27130.3136363584</v>
      </c>
      <c r="AZ35" s="32" t="n">
        <f aca="false">AZ14*Cards_Act_Petite+AZ15*Cards_Act_Moyenne+AZ16*Cards_Act_Grande</f>
        <v>28294.2195605211</v>
      </c>
      <c r="BA35" s="32" t="n">
        <f aca="false">BA14*Cards_Act_Petite+BA15*Cards_Act_Moyenne+BA16*Cards_Act_Grande</f>
        <v>29600.078901692</v>
      </c>
      <c r="BB35" s="32" t="n">
        <f aca="false">BB14*Cards_Act_Petite+BB15*Cards_Act_Moyenne+BB16*Cards_Act_Grande</f>
        <v>30899.0160954308</v>
      </c>
      <c r="BC35" s="32" t="n">
        <f aca="false">BC14*Cards_Act_Petite+BC15*Cards_Act_Moyenne+BC16*Cards_Act_Grande</f>
        <v>32227.7007594794</v>
      </c>
      <c r="BD35" s="32" t="n">
        <f aca="false">BD14*Cards_Act_Petite+BD15*Cards_Act_Moyenne+BD16*Cards_Act_Grande</f>
        <v>33550.3649247472</v>
      </c>
      <c r="BE35" s="32" t="n">
        <f aca="false">BE14*Cards_Act_Petite+BE15*Cards_Act_Moyenne+BE16*Cards_Act_Grande</f>
        <v>34900.1355198533</v>
      </c>
      <c r="BF35" s="32" t="n">
        <f aca="false">BF14*Cards_Act_Petite+BF15*Cards_Act_Moyenne+BF16*Cards_Act_Grande</f>
        <v>36280.9515144119</v>
      </c>
      <c r="BG35" s="32" t="n">
        <f aca="false">BG14*Cards_Act_Petite+BG15*Cards_Act_Moyenne+BG16*Cards_Act_Grande</f>
        <v>37657.1415324686</v>
      </c>
      <c r="BH35" s="32" t="n">
        <f aca="false">BH14*Cards_Act_Petite+BH15*Cards_Act_Moyenne+BH16*Cards_Act_Grande</f>
        <v>39065.5346660122</v>
      </c>
      <c r="BI35" s="32" t="n">
        <f aca="false">BI14*Cards_Act_Petite+BI15*Cards_Act_Moyenne+BI16*Cards_Act_Grande</f>
        <v>40502.9317555332</v>
      </c>
      <c r="BJ35" s="32" t="n">
        <f aca="false">BJ14*Cards_Act_Petite+BJ15*Cards_Act_Moyenne+BJ16*Cards_Act_Grande</f>
        <v>41973.4226374205</v>
      </c>
      <c r="BK35" s="32" t="n">
        <f aca="false">BK14*Cards_Act_Petite+BK15*Cards_Act_Moyenne+BK16*Cards_Act_Grande</f>
        <v>43433.7809880374</v>
      </c>
      <c r="BL35" s="32" t="n">
        <f aca="false">BL14*Cards_Act_Petite+BL15*Cards_Act_Moyenne+BL16*Cards_Act_Grande</f>
        <v>44912.154949636</v>
      </c>
    </row>
    <row r="36" customFormat="false" ht="15" hidden="false" customHeight="false" outlineLevel="0" collapsed="false">
      <c r="A36" s="12" t="s">
        <v>224</v>
      </c>
      <c r="B36" s="14" t="s">
        <v>77</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1013</v>
      </c>
      <c r="B37" s="14" t="s">
        <v>77</v>
      </c>
      <c r="D37" s="55" t="n">
        <f aca="false">SUM(E37:BL37)</f>
        <v>180042012383.121</v>
      </c>
      <c r="E37" s="32" t="n">
        <f aca="false">(E14*Spend_For_Petite+E15*Spend_For_Moyenne+E16*Spend_For_Grande)*Foreign_Spend_Factor</f>
        <v>0</v>
      </c>
      <c r="F37" s="32" t="n">
        <f aca="false">(F14*Spend_For_Petite+F15*Spend_For_Moyenne+F16*Spend_For_Grande)*Foreign_Spend_Factor</f>
        <v>0</v>
      </c>
      <c r="G37" s="32" t="n">
        <f aca="false">(G14*Spend_For_Petite+G15*Spend_For_Moyenne+G16*Spend_For_Grande)*Foreign_Spend_Factor</f>
        <v>0</v>
      </c>
      <c r="H37" s="32" t="n">
        <f aca="false">(H14*Spend_For_Petite+H15*Spend_For_Moyenne+H16*Spend_For_Grande)*Foreign_Spend_Factor</f>
        <v>0</v>
      </c>
      <c r="I37" s="32" t="n">
        <f aca="false">(I14*Spend_For_Petite+I15*Spend_For_Moyenne+I16*Spend_For_Grande)*Foreign_Spend_Factor</f>
        <v>44025333.3333333</v>
      </c>
      <c r="J37" s="32" t="n">
        <f aca="false">(J14*Spend_For_Petite+J15*Spend_For_Moyenne+J16*Spend_For_Grande)*Foreign_Spend_Factor</f>
        <v>87947336.6666667</v>
      </c>
      <c r="K37" s="32" t="n">
        <f aca="false">(K14*Spend_For_Petite+K15*Spend_For_Moyenne+K16*Spend_For_Grande)*Foreign_Spend_Factor</f>
        <v>131793811.975</v>
      </c>
      <c r="L37" s="32" t="n">
        <f aca="false">(L14*Spend_For_Petite+L15*Spend_For_Moyenne+L16*Spend_For_Grande)*Foreign_Spend_Factor</f>
        <v>175593747.966021</v>
      </c>
      <c r="M37" s="32" t="n">
        <f aca="false">(M14*Spend_For_Petite+M15*Spend_For_Moyenne+M16*Spend_For_Grande)*Foreign_Spend_Factor</f>
        <v>219377398.897715</v>
      </c>
      <c r="N37" s="32" t="n">
        <f aca="false">(N14*Spend_For_Petite+N15*Spend_For_Moyenne+N16*Spend_For_Grande)*Foreign_Spend_Factor</f>
        <v>263176367.994421</v>
      </c>
      <c r="O37" s="32" t="n">
        <f aca="false">(O14*Spend_For_Petite+O15*Spend_For_Moyenne+O16*Spend_For_Grande)*Foreign_Spend_Factor</f>
        <v>307023695.739594</v>
      </c>
      <c r="P37" s="32" t="n">
        <f aca="false">(P14*Spend_For_Petite+P15*Spend_For_Moyenne+P16*Spend_For_Grande)*Foreign_Spend_Factor</f>
        <v>350953953.340225</v>
      </c>
      <c r="Q37" s="32" t="n">
        <f aca="false">(Q14*Spend_For_Petite+Q15*Spend_For_Moyenne+Q16*Spend_For_Grande)*Foreign_Spend_Factor</f>
        <v>410548675.008798</v>
      </c>
      <c r="R37" s="32" t="n">
        <f aca="false">(R14*Spend_For_Petite+R15*Spend_For_Moyenne+R16*Spend_For_Grande)*Foreign_Spend_Factor</f>
        <v>470113132.727437</v>
      </c>
      <c r="S37" s="32" t="n">
        <f aca="false">(S14*Spend_For_Petite+S15*Spend_For_Moyenne+S16*Spend_For_Grande)*Foreign_Spend_Factor</f>
        <v>529689691.153688</v>
      </c>
      <c r="T37" s="32" t="n">
        <f aca="false">(T14*Spend_For_Petite+T15*Spend_For_Moyenne+T16*Spend_For_Grande)*Foreign_Spend_Factor</f>
        <v>589322637.769437</v>
      </c>
      <c r="U37" s="32" t="n">
        <f aca="false">(U14*Spend_For_Petite+U15*Spend_For_Moyenne+U16*Spend_For_Grande)*Foreign_Spend_Factor</f>
        <v>649058307.959609</v>
      </c>
      <c r="V37" s="32" t="n">
        <f aca="false">(V14*Spend_For_Petite+V15*Spend_For_Moyenne+V16*Spend_For_Grande)*Foreign_Spend_Factor</f>
        <v>708945217.43004</v>
      </c>
      <c r="W37" s="32" t="n">
        <f aca="false">(W14*Spend_For_Petite+W15*Spend_For_Moyenne+W16*Spend_For_Grande)*Foreign_Spend_Factor</f>
        <v>802735535.741186</v>
      </c>
      <c r="X37" s="32" t="n">
        <f aca="false">(X14*Spend_For_Petite+X15*Spend_For_Moyenne+X16*Spend_For_Grande)*Foreign_Spend_Factor</f>
        <v>896695514.760903</v>
      </c>
      <c r="Y37" s="32" t="n">
        <f aca="false">(Y14*Spend_For_Petite+Y15*Spend_For_Moyenne+Y16*Spend_For_Grande)*Foreign_Spend_Factor</f>
        <v>998022050.767636</v>
      </c>
      <c r="Z37" s="32" t="n">
        <f aca="false">(Z14*Spend_For_Petite+Z15*Spend_For_Moyenne+Z16*Spend_For_Grande)*Foreign_Spend_Factor</f>
        <v>1099589920.9918</v>
      </c>
      <c r="AA37" s="32" t="n">
        <f aca="false">(AA14*Spend_For_Petite+AA15*Spend_For_Moyenne+AA16*Spend_For_Grande)*Foreign_Spend_Factor</f>
        <v>1201484802.57783</v>
      </c>
      <c r="AB37" s="32" t="n">
        <f aca="false">(AB14*Spend_For_Petite+AB15*Spend_For_Moyenne+AB16*Spend_For_Grande)*Foreign_Spend_Factor</f>
        <v>1303796520.09902</v>
      </c>
      <c r="AC37" s="32" t="n">
        <f aca="false">(AC14*Spend_For_Petite+AC15*Spend_For_Moyenne+AC16*Spend_For_Grande)*Foreign_Spend_Factor</f>
        <v>1437828643.25778</v>
      </c>
      <c r="AD37" s="32" t="n">
        <f aca="false">(AD14*Spend_For_Petite+AD15*Spend_For_Moyenne+AD16*Spend_For_Grande)*Foreign_Spend_Factor</f>
        <v>1572094676.85053</v>
      </c>
      <c r="AE37" s="32" t="n">
        <f aca="false">(AE14*Spend_For_Petite+AE15*Spend_For_Moyenne+AE16*Spend_For_Grande)*Foreign_Spend_Factor</f>
        <v>1713823724.94642</v>
      </c>
      <c r="AF37" s="32" t="n">
        <f aca="false">(AF14*Spend_For_Petite+AF15*Spend_For_Moyenne+AF16*Spend_For_Grande)*Foreign_Spend_Factor</f>
        <v>1855924313.58826</v>
      </c>
      <c r="AG37" s="32" t="n">
        <f aca="false">(AG14*Spend_For_Petite+AG15*Spend_For_Moyenne+AG16*Spend_For_Grande)*Foreign_Spend_Factor</f>
        <v>1998517508.28129</v>
      </c>
      <c r="AH37" s="32" t="n">
        <f aca="false">(AH14*Spend_For_Petite+AH15*Spend_For_Moyenne+AH16*Spend_For_Grande)*Foreign_Spend_Factor</f>
        <v>2141730265.84373</v>
      </c>
      <c r="AI37" s="32" t="n">
        <f aca="false">(AI14*Spend_For_Petite+AI15*Spend_For_Moyenne+AI16*Spend_For_Grande)*Foreign_Spend_Factor</f>
        <v>2292815809.26897</v>
      </c>
      <c r="AJ37" s="32" t="n">
        <f aca="false">(AJ14*Spend_For_Petite+AJ15*Spend_For_Moyenne+AJ16*Spend_For_Grande)*Foreign_Spend_Factor</f>
        <v>2444708224.71662</v>
      </c>
      <c r="AK37" s="32" t="n">
        <f aca="false">(AK14*Spend_For_Petite+AK15*Spend_For_Moyenne+AK16*Spend_For_Grande)*Foreign_Spend_Factor</f>
        <v>2597555665.46678</v>
      </c>
      <c r="AL37" s="32" t="n">
        <f aca="false">(AL14*Spend_For_Petite+AL15*Spend_For_Moyenne+AL16*Spend_For_Grande)*Foreign_Spend_Factor</f>
        <v>2751513795.42543</v>
      </c>
      <c r="AM37" s="32" t="n">
        <f aca="false">(AM14*Spend_For_Petite+AM15*Spend_For_Moyenne+AM16*Spend_For_Grande)*Foreign_Spend_Factor</f>
        <v>2913866261.14194</v>
      </c>
      <c r="AN37" s="32" t="n">
        <f aca="false">(AN14*Spend_For_Petite+AN15*Spend_For_Moyenne+AN16*Spend_For_Grande)*Foreign_Spend_Factor</f>
        <v>3077579391.78616</v>
      </c>
      <c r="AO37" s="32" t="n">
        <f aca="false">(AO14*Spend_For_Petite+AO15*Spend_For_Moyenne+AO16*Spend_For_Grande)*Foreign_Spend_Factor</f>
        <v>3264788845.6023</v>
      </c>
      <c r="AP37" s="32" t="n">
        <f aca="false">(AP14*Spend_For_Petite+AP15*Spend_For_Moyenne+AP16*Spend_For_Grande)*Foreign_Spend_Factor</f>
        <v>3460588619.13189</v>
      </c>
      <c r="AQ37" s="32" t="n">
        <f aca="false">(AQ14*Spend_For_Petite+AQ15*Spend_For_Moyenne+AQ16*Spend_For_Grande)*Foreign_Spend_Factor</f>
        <v>3657978591.01796</v>
      </c>
      <c r="AR37" s="32" t="n">
        <f aca="false">(AR14*Spend_For_Petite+AR15*Spend_For_Moyenne+AR16*Spend_For_Grande)*Foreign_Spend_Factor</f>
        <v>3857176346.54043</v>
      </c>
      <c r="AS37" s="32" t="n">
        <f aca="false">(AS14*Spend_For_Petite+AS15*Spend_For_Moyenne+AS16*Spend_For_Grande)*Foreign_Spend_Factor</f>
        <v>4065530844.18986</v>
      </c>
      <c r="AT37" s="32" t="n">
        <f aca="false">(AT14*Spend_For_Petite+AT15*Spend_For_Moyenne+AT16*Spend_For_Grande)*Foreign_Spend_Factor</f>
        <v>4276077324.05913</v>
      </c>
      <c r="AU37" s="32" t="n">
        <f aca="false">(AU14*Spend_For_Petite+AU15*Spend_For_Moyenne+AU16*Spend_For_Grande)*Foreign_Spend_Factor</f>
        <v>4489070841.79997</v>
      </c>
      <c r="AV37" s="32" t="n">
        <f aca="false">(AV14*Spend_For_Petite+AV15*Spend_For_Moyenne+AV16*Spend_For_Grande)*Foreign_Spend_Factor</f>
        <v>4718308061.84987</v>
      </c>
      <c r="AW37" s="32" t="n">
        <f aca="false">(AW14*Spend_For_Petite+AW15*Spend_For_Moyenne+AW16*Spend_For_Grande)*Foreign_Spend_Factor</f>
        <v>4948346768.36276</v>
      </c>
      <c r="AX37" s="32" t="n">
        <f aca="false">(AX14*Spend_For_Petite+AX15*Spend_For_Moyenne+AX16*Spend_For_Grande)*Foreign_Spend_Factor</f>
        <v>5184272437.65415</v>
      </c>
      <c r="AY37" s="32" t="n">
        <f aca="false">(AY14*Spend_For_Petite+AY15*Spend_For_Moyenne+AY16*Spend_For_Grande)*Foreign_Spend_Factor</f>
        <v>5418985202.90427</v>
      </c>
      <c r="AZ37" s="32" t="n">
        <f aca="false">(AZ14*Spend_For_Petite+AZ15*Spend_For_Moyenne+AZ16*Spend_For_Grande)*Foreign_Spend_Factor</f>
        <v>5652596072.16253</v>
      </c>
      <c r="BA37" s="32" t="n">
        <f aca="false">(BA14*Spend_For_Petite+BA15*Spend_For_Moyenne+BA16*Spend_For_Grande)*Foreign_Spend_Factor</f>
        <v>5914412197.94633</v>
      </c>
      <c r="BB37" s="32" t="n">
        <f aca="false">(BB14*Spend_For_Petite+BB15*Spend_For_Moyenne+BB16*Spend_For_Grande)*Foreign_Spend_Factor</f>
        <v>6175009384.62308</v>
      </c>
      <c r="BC37" s="32" t="n">
        <f aca="false">(BC14*Spend_For_Petite+BC15*Spend_For_Moyenne+BC16*Spend_For_Grande)*Foreign_Spend_Factor</f>
        <v>6441636804.73423</v>
      </c>
      <c r="BD37" s="32" t="n">
        <f aca="false">(BD14*Spend_For_Petite+BD15*Spend_For_Moyenne+BD16*Spend_For_Grande)*Foreign_Spend_Factor</f>
        <v>6707222813.08094</v>
      </c>
      <c r="BE37" s="32" t="n">
        <f aca="false">(BE14*Spend_For_Petite+BE15*Spend_For_Moyenne+BE16*Spend_For_Grande)*Foreign_Spend_Factor</f>
        <v>6978316071.73319</v>
      </c>
      <c r="BF37" s="32" t="n">
        <f aca="false">(BF14*Spend_For_Petite+BF15*Spend_For_Moyenne+BF16*Spend_For_Grande)*Foreign_Spend_Factor</f>
        <v>7255697689.48762</v>
      </c>
      <c r="BG37" s="32" t="n">
        <f aca="false">(BG14*Spend_For_Petite+BG15*Spend_For_Moyenne+BG16*Spend_For_Grande)*Foreign_Spend_Factor</f>
        <v>7532315309.58561</v>
      </c>
      <c r="BH37" s="32" t="n">
        <f aca="false">(BH14*Spend_For_Petite+BH15*Spend_For_Moyenne+BH16*Spend_For_Grande)*Foreign_Spend_Factor</f>
        <v>7815449996.37736</v>
      </c>
      <c r="BI37" s="32" t="n">
        <f aca="false">(BI14*Spend_For_Petite+BI15*Spend_For_Moyenne+BI16*Spend_For_Grande)*Foreign_Spend_Factor</f>
        <v>8104471862.16903</v>
      </c>
      <c r="BJ37" s="32" t="n">
        <f aca="false">(BJ14*Spend_For_Petite+BJ15*Spend_For_Moyenne+BJ16*Spend_For_Grande)*Foreign_Spend_Factor</f>
        <v>8400192084.7152</v>
      </c>
      <c r="BK37" s="32" t="n">
        <f aca="false">(BK14*Spend_For_Petite+BK15*Spend_For_Moyenne+BK16*Spend_For_Grande)*Foreign_Spend_Factor</f>
        <v>8694064357.26832</v>
      </c>
      <c r="BL37" s="32" t="n">
        <f aca="false">(BL14*Spend_For_Petite+BL15*Spend_For_Moyenne+BL16*Spend_For_Grande)*Foreign_Spend_Factor</f>
        <v>8991651922.65072</v>
      </c>
    </row>
    <row r="38" customFormat="false" ht="15" hidden="false" customHeight="false" outlineLevel="0" collapsed="false">
      <c r="A38" s="12" t="s">
        <v>1014</v>
      </c>
      <c r="B38" s="14" t="s">
        <v>77</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1015</v>
      </c>
      <c r="B39" s="14" t="s">
        <v>77</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1016</v>
      </c>
      <c r="B40" s="14" t="s">
        <v>371</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794</v>
      </c>
      <c r="B41" s="14" t="s">
        <v>371</v>
      </c>
      <c r="D41" s="55" t="n">
        <f aca="false">SUM(E41:BL41)</f>
        <v>5458111.41109188</v>
      </c>
      <c r="E41" s="32" t="n">
        <f aca="false">E31*Wallet_Share+E40*Sup_Wallet_Share</f>
        <v>0</v>
      </c>
      <c r="F41" s="32" t="n">
        <f aca="false">F31*Wallet_Share+F40*Sup_Wallet_Share</f>
        <v>0</v>
      </c>
      <c r="G41" s="32" t="n">
        <f aca="false">G31*Wallet_Share+G40*Sup_Wallet_Share</f>
        <v>0</v>
      </c>
      <c r="H41" s="32" t="n">
        <f aca="false">H31*Wallet_Share+H40*Sup_Wallet_Share</f>
        <v>0</v>
      </c>
      <c r="I41" s="32" t="n">
        <f aca="false">I31*Wallet_Share+I40*Sup_Wallet_Share</f>
        <v>1320.76</v>
      </c>
      <c r="J41" s="32" t="n">
        <f aca="false">J31*Wallet_Share+J40*Sup_Wallet_Share</f>
        <v>2639.5331</v>
      </c>
      <c r="K41" s="32" t="n">
        <f aca="false">K31*Wallet_Share+K40*Sup_Wallet_Share</f>
        <v>3957.13633425</v>
      </c>
      <c r="L41" s="32" t="n">
        <f aca="false">L31*Wallet_Share+L40*Sup_Wallet_Share</f>
        <v>5274.42328043688</v>
      </c>
      <c r="M41" s="32" t="n">
        <f aca="false">M31*Wallet_Share+M40*Sup_Wallet_Share</f>
        <v>6592.28644147368</v>
      </c>
      <c r="N41" s="32" t="n">
        <f aca="false">N31*Wallet_Share+N40*Sup_Wallet_Share</f>
        <v>7911.65976703482</v>
      </c>
      <c r="O41" s="32" t="n">
        <f aca="false">O31*Wallet_Share+O40*Sup_Wallet_Share</f>
        <v>9233.52132327837</v>
      </c>
      <c r="P41" s="32" t="n">
        <f aca="false">P31*Wallet_Share+P40*Sup_Wallet_Share</f>
        <v>10558.896119702</v>
      </c>
      <c r="Q41" s="32" t="n">
        <f aca="false">Q31*Wallet_Share+Q40*Sup_Wallet_Share</f>
        <v>12355.2191026151</v>
      </c>
      <c r="R41" s="32" t="n">
        <f aca="false">R31*Wallet_Share+R40*Sup_Wallet_Share</f>
        <v>14152.0314252772</v>
      </c>
      <c r="S41" s="32" t="n">
        <f aca="false">S31*Wallet_Share+S40*Sup_Wallet_Share</f>
        <v>15950.5852996054</v>
      </c>
      <c r="T41" s="32" t="n">
        <f aca="false">T31*Wallet_Share+T40*Sup_Wallet_Share</f>
        <v>17752.1919565774</v>
      </c>
      <c r="U41" s="32" t="n">
        <f aca="false">U31*Wallet_Share+U40*Sup_Wallet_Share</f>
        <v>19558.2254293077</v>
      </c>
      <c r="V41" s="32" t="n">
        <f aca="false">V31*Wallet_Share+V40*Sup_Wallet_Share</f>
        <v>21370.1265590933</v>
      </c>
      <c r="W41" s="32" t="n">
        <f aca="false">W31*Wallet_Share+W40*Sup_Wallet_Share</f>
        <v>24200.4472378804</v>
      </c>
      <c r="X41" s="32" t="n">
        <f aca="false">X31*Wallet_Share+X40*Sup_Wallet_Share</f>
        <v>27038.0153014058</v>
      </c>
      <c r="Y41" s="32" t="n">
        <f aca="false">Y31*Wallet_Share+Y40*Sup_Wallet_Share</f>
        <v>30098.7142351231</v>
      </c>
      <c r="Z41" s="32" t="n">
        <f aca="false">Z31*Wallet_Share+Z40*Sup_Wallet_Share</f>
        <v>33168.9462315501</v>
      </c>
      <c r="AA41" s="32" t="n">
        <f aca="false">AA31*Wallet_Share+AA40*Sup_Wallet_Share</f>
        <v>36251.2583218304</v>
      </c>
      <c r="AB41" s="32" t="n">
        <f aca="false">AB31*Wallet_Share+AB40*Sup_Wallet_Share</f>
        <v>39348.3244601934</v>
      </c>
      <c r="AC41" s="32" t="n">
        <f aca="false">AC31*Wallet_Share+AC40*Sup_Wallet_Share</f>
        <v>43399.2335265653</v>
      </c>
      <c r="AD41" s="32" t="n">
        <f aca="false">AD31*Wallet_Share+AD40*Sup_Wallet_Share</f>
        <v>47460.1641029316</v>
      </c>
      <c r="AE41" s="32" t="n">
        <f aca="false">AE31*Wallet_Share+AE40*Sup_Wallet_Share</f>
        <v>51747.9567572415</v>
      </c>
      <c r="AF41" s="32" t="n">
        <f aca="false">AF31*Wallet_Share+AF40*Sup_Wallet_Share</f>
        <v>56050.0179388792</v>
      </c>
      <c r="AG41" s="32" t="n">
        <f aca="false">AG31*Wallet_Share+AG40*Sup_Wallet_Share</f>
        <v>60369.9490924503</v>
      </c>
      <c r="AH41" s="32" t="n">
        <f aca="false">AH31*Wallet_Share+AH40*Sup_Wallet_Share</f>
        <v>64711.531900907</v>
      </c>
      <c r="AI41" s="32" t="n">
        <f aca="false">AI31*Wallet_Share+AI40*Sup_Wallet_Share</f>
        <v>69292.3396338978</v>
      </c>
      <c r="AJ41" s="32" t="n">
        <f aca="false">AJ31*Wallet_Share+AJ40*Sup_Wallet_Share</f>
        <v>73900.5551682075</v>
      </c>
      <c r="AK41" s="32" t="n">
        <f aca="false">AK31*Wallet_Share+AK40*Sup_Wallet_Share</f>
        <v>78540.6027257715</v>
      </c>
      <c r="AL41" s="32" t="n">
        <f aca="false">AL31*Wallet_Share+AL40*Sup_Wallet_Share</f>
        <v>83217.135898507</v>
      </c>
      <c r="AM41" s="32" t="n">
        <f aca="false">AM31*Wallet_Share+AM40*Sup_Wallet_Share</f>
        <v>88148.651945293</v>
      </c>
      <c r="AN41" s="32" t="n">
        <f aca="false">AN31*Wallet_Share+AN40*Sup_Wallet_Share</f>
        <v>93124.3129379824</v>
      </c>
      <c r="AO41" s="32" t="n">
        <f aca="false">AO31*Wallet_Share+AO40*Sup_Wallet_Share</f>
        <v>98808.180812542</v>
      </c>
      <c r="AP41" s="32" t="n">
        <f aca="false">AP31*Wallet_Share+AP40*Sup_Wallet_Share</f>
        <v>104753.627405819</v>
      </c>
      <c r="AQ41" s="32" t="n">
        <f aca="false">AQ31*Wallet_Share+AQ40*Sup_Wallet_Share</f>
        <v>110750.817073943</v>
      </c>
      <c r="AR41" s="32" t="n">
        <f aca="false">AR31*Wallet_Share+AR40*Sup_Wallet_Share</f>
        <v>116806.266276426</v>
      </c>
      <c r="AS41" s="32" t="n">
        <f aca="false">AS31*Wallet_Share+AS40*Sup_Wallet_Share</f>
        <v>123140.438364681</v>
      </c>
      <c r="AT41" s="32" t="n">
        <f aca="false">AT31*Wallet_Share+AT40*Sup_Wallet_Share</f>
        <v>129544.571046592</v>
      </c>
      <c r="AU41" s="32" t="n">
        <f aca="false">AU31*Wallet_Share+AU40*Sup_Wallet_Share</f>
        <v>136026.318133296</v>
      </c>
      <c r="AV41" s="32" t="n">
        <f aca="false">AV31*Wallet_Share+AV40*Sup_Wallet_Share</f>
        <v>142999.588171322</v>
      </c>
      <c r="AW41" s="32" t="n">
        <f aca="false">AW31*Wallet_Share+AW40*Sup_Wallet_Share</f>
        <v>150001.472030012</v>
      </c>
      <c r="AX41" s="32" t="n">
        <f aca="false">AX31*Wallet_Share+AX40*Sup_Wallet_Share</f>
        <v>157184.496373203</v>
      </c>
      <c r="AY41" s="32" t="n">
        <f aca="false">AY31*Wallet_Share+AY40*Sup_Wallet_Share</f>
        <v>164335.756678545</v>
      </c>
      <c r="AZ41" s="32" t="n">
        <f aca="false">AZ31*Wallet_Share+AZ40*Sup_Wallet_Share</f>
        <v>171458.494047889</v>
      </c>
      <c r="BA41" s="32" t="n">
        <f aca="false">BA31*Wallet_Share+BA40*Sup_Wallet_Share</f>
        <v>179431.837932288</v>
      </c>
      <c r="BB41" s="32" t="n">
        <f aca="false">BB31*Wallet_Share+BB40*Sup_Wallet_Share</f>
        <v>187373.719403968</v>
      </c>
      <c r="BC41" s="32" t="n">
        <f aca="false">BC31*Wallet_Share+BC40*Sup_Wallet_Share</f>
        <v>195501.518253276</v>
      </c>
      <c r="BD41" s="32" t="n">
        <f aca="false">BD31*Wallet_Share+BD40*Sup_Wallet_Share</f>
        <v>203603.174299122</v>
      </c>
      <c r="BE41" s="32" t="n">
        <f aca="false">BE31*Wallet_Share+BE40*Sup_Wallet_Share</f>
        <v>211875.056703699</v>
      </c>
      <c r="BF41" s="32" t="n">
        <f aca="false">BF31*Wallet_Share+BF40*Sup_Wallet_Share</f>
        <v>220340.674819696</v>
      </c>
      <c r="BG41" s="32" t="n">
        <f aca="false">BG31*Wallet_Share+BG40*Sup_Wallet_Share</f>
        <v>228788.552850739</v>
      </c>
      <c r="BH41" s="32" t="n">
        <f aca="false">BH31*Wallet_Share+BH40*Sup_Wallet_Share</f>
        <v>237437.038170989</v>
      </c>
      <c r="BI41" s="32" t="n">
        <f aca="false">BI31*Wallet_Share+BI40*Sup_Wallet_Share</f>
        <v>246267.334816971</v>
      </c>
      <c r="BJ41" s="32" t="n">
        <f aca="false">BJ31*Wallet_Share+BJ40*Sup_Wallet_Share</f>
        <v>255303.861615596</v>
      </c>
      <c r="BK41" s="32" t="n">
        <f aca="false">BK31*Wallet_Share+BK40*Sup_Wallet_Share</f>
        <v>264290.332340277</v>
      </c>
      <c r="BL41" s="32" t="n">
        <f aca="false">BL31*Wallet_Share+BL40*Sup_Wallet_Share</f>
        <v>273393.529915719</v>
      </c>
    </row>
    <row r="42" customFormat="false" ht="15" hidden="false" customHeight="false" outlineLevel="0" collapsed="false">
      <c r="A42" s="12" t="s">
        <v>1017</v>
      </c>
      <c r="B42" s="14" t="s">
        <v>77</v>
      </c>
      <c r="D42" s="55" t="n">
        <f aca="false">SUM(E42:BL42)</f>
        <v>957334964613.674</v>
      </c>
      <c r="E42" s="32" t="n">
        <f aca="false">E39*Wallet_Share+E40*Sup_Wallet_Share*Sup_Avg_Amount</f>
        <v>0</v>
      </c>
      <c r="F42" s="32" t="n">
        <f aca="false">F39*Wallet_Share+F40*Sup_Wallet_Share*Sup_Avg_Amount</f>
        <v>0</v>
      </c>
      <c r="G42" s="32" t="n">
        <f aca="false">G39*Wallet_Share+G40*Sup_Wallet_Share*Sup_Avg_Amount</f>
        <v>0</v>
      </c>
      <c r="H42" s="32" t="n">
        <f aca="false">H39*Wallet_Share+H40*Sup_Wallet_Share*Sup_Avg_Amount</f>
        <v>0</v>
      </c>
      <c r="I42" s="32" t="n">
        <f aca="false">I39*Wallet_Share+I40*Sup_Wallet_Share*Sup_Avg_Amount</f>
        <v>231504000</v>
      </c>
      <c r="J42" s="32" t="n">
        <f aca="false">J39*Wallet_Share+J40*Sup_Wallet_Share*Sup_Avg_Amount</f>
        <v>462672240</v>
      </c>
      <c r="K42" s="32" t="n">
        <f aca="false">K39*Wallet_Share+K40*Sup_Wallet_Share*Sup_Avg_Amount</f>
        <v>693647726.7</v>
      </c>
      <c r="L42" s="32" t="n">
        <f aca="false">L39*Wallet_Share+L40*Sup_Wallet_Share*Sup_Avg_Amount</f>
        <v>924579883.1235</v>
      </c>
      <c r="M42" s="32" t="n">
        <f aca="false">M39*Wallet_Share+M40*Sup_Wallet_Share*Sup_Avg_Amount</f>
        <v>1155624966.27735</v>
      </c>
      <c r="N42" s="32" t="n">
        <f aca="false">N39*Wallet_Share+N40*Sup_Wallet_Share*Sup_Avg_Amount</f>
        <v>1386946509.32659</v>
      </c>
      <c r="O42" s="32" t="n">
        <f aca="false">O39*Wallet_Share+O40*Sup_Wallet_Share*Sup_Avg_Amount</f>
        <v>1618715789.76483</v>
      </c>
      <c r="P42" s="32" t="n">
        <f aca="false">P39*Wallet_Share+P40*Sup_Wallet_Share*Sup_Avg_Amount</f>
        <v>1851112325.14955</v>
      </c>
      <c r="Q42" s="32" t="n">
        <f aca="false">Q39*Wallet_Share+Q40*Sup_Wallet_Share*Sup_Avg_Amount</f>
        <v>2166068398.06537</v>
      </c>
      <c r="R42" s="32" t="n">
        <f aca="false">R39*Wallet_Share+R40*Sup_Wallet_Share*Sup_Avg_Amount</f>
        <v>2481125852.0784</v>
      </c>
      <c r="S42" s="32" t="n">
        <f aca="false">S39*Wallet_Share+S40*Sup_Wallet_Share*Sup_Avg_Amount</f>
        <v>2796503951.24985</v>
      </c>
      <c r="T42" s="32" t="n">
        <f aca="false">T39*Wallet_Share+T40*Sup_Wallet_Share*Sup_Avg_Amount</f>
        <v>3112432319.97302</v>
      </c>
      <c r="U42" s="32" t="n">
        <f aca="false">U39*Wallet_Share+U40*Sup_Wallet_Share*Sup_Avg_Amount</f>
        <v>3429151606.39798</v>
      </c>
      <c r="V42" s="32" t="n">
        <f aca="false">V39*Wallet_Share+V40*Sup_Wallet_Share*Sup_Avg_Amount</f>
        <v>3746914184.97002</v>
      </c>
      <c r="W42" s="32" t="n">
        <f aca="false">W39*Wallet_Share+W40*Sup_Wallet_Share*Sup_Avg_Amount</f>
        <v>4243200900.44116</v>
      </c>
      <c r="X42" s="32" t="n">
        <f aca="false">X39*Wallet_Share+X40*Sup_Wallet_Share*Sup_Avg_Amount</f>
        <v>4740782015.85492</v>
      </c>
      <c r="Y42" s="32" t="n">
        <f aca="false">Y39*Wallet_Share+Y40*Sup_Wallet_Share*Sup_Avg_Amount</f>
        <v>5277497497.95479</v>
      </c>
      <c r="Z42" s="32" t="n">
        <f aca="false">Z39*Wallet_Share+Z40*Sup_Wallet_Share*Sup_Avg_Amount</f>
        <v>5815909495.06919</v>
      </c>
      <c r="AA42" s="32" t="n">
        <f aca="false">AA39*Wallet_Share+AA40*Sup_Wallet_Share*Sup_Avg_Amount</f>
        <v>6356464168.9317</v>
      </c>
      <c r="AB42" s="32" t="n">
        <f aca="false">AB39*Wallet_Share+AB40*Sup_Wallet_Share*Sup_Avg_Amount</f>
        <v>6899629957.16088</v>
      </c>
      <c r="AC42" s="32" t="n">
        <f aca="false">AC39*Wallet_Share+AC40*Sup_Wallet_Share*Sup_Avg_Amount</f>
        <v>7610010976.73263</v>
      </c>
      <c r="AD42" s="32" t="n">
        <f aca="false">AD39*Wallet_Share+AD40*Sup_Wallet_Share*Sup_Avg_Amount</f>
        <v>8322182030.55714</v>
      </c>
      <c r="AE42" s="32" t="n">
        <f aca="false">AE39*Wallet_Share+AE40*Sup_Wallet_Share*Sup_Avg_Amount</f>
        <v>9074150733.26639</v>
      </c>
      <c r="AF42" s="32" t="n">
        <f aca="false">AF39*Wallet_Share+AF40*Sup_Wallet_Share*Sup_Avg_Amount</f>
        <v>9828655160.66346</v>
      </c>
      <c r="AG42" s="32" t="n">
        <f aca="false">AG39*Wallet_Share+AG40*Sup_Wallet_Share*Sup_Avg_Amount</f>
        <v>10586326204.5526</v>
      </c>
      <c r="AH42" s="32" t="n">
        <f aca="false">AH39*Wallet_Share+AH40*Sup_Wallet_Share*Sup_Avg_Amount</f>
        <v>11347826389.1805</v>
      </c>
      <c r="AI42" s="32" t="n">
        <f aca="false">AI39*Wallet_Share+AI40*Sup_Wallet_Share*Sup_Avg_Amount</f>
        <v>12151291861.485</v>
      </c>
      <c r="AJ42" s="32" t="n">
        <f aca="false">AJ39*Wallet_Share+AJ40*Sup_Wallet_Share*Sup_Avg_Amount</f>
        <v>12959596899.2417</v>
      </c>
      <c r="AK42" s="32" t="n">
        <f aca="false">AK39*Wallet_Share+AK40*Sup_Wallet_Share*Sup_Avg_Amount</f>
        <v>13773516726.2069</v>
      </c>
      <c r="AL42" s="32" t="n">
        <f aca="false">AL39*Wallet_Share+AL40*Sup_Wallet_Share*Sup_Avg_Amount</f>
        <v>14593866816.4952</v>
      </c>
      <c r="AM42" s="32" t="n">
        <f aca="false">AM39*Wallet_Share+AM40*Sup_Wallet_Share*Sup_Avg_Amount</f>
        <v>15458945402.0445</v>
      </c>
      <c r="AN42" s="32" t="n">
        <f aca="false">AN39*Wallet_Share+AN40*Sup_Wallet_Share*Sup_Avg_Amount</f>
        <v>16331798529.0146</v>
      </c>
      <c r="AO42" s="32" t="n">
        <f aca="false">AO39*Wallet_Share+AO40*Sup_Wallet_Share*Sup_Avg_Amount</f>
        <v>17328823454.0825</v>
      </c>
      <c r="AP42" s="32" t="n">
        <f aca="false">AP39*Wallet_Share+AP40*Sup_Wallet_Share*Sup_Avg_Amount</f>
        <v>18371740964.8428</v>
      </c>
      <c r="AQ42" s="32" t="n">
        <f aca="false">AQ39*Wallet_Share+AQ40*Sup_Wallet_Share*Sup_Avg_Amount</f>
        <v>19423772734.7621</v>
      </c>
      <c r="AR42" s="32" t="n">
        <f aca="false">AR39*Wallet_Share+AR40*Sup_Wallet_Share*Sup_Avg_Amount</f>
        <v>20486060814.7705</v>
      </c>
      <c r="AS42" s="32" t="n">
        <f aca="false">AS39*Wallet_Share+AS40*Sup_Wallet_Share*Sup_Avg_Amount</f>
        <v>21597248123.9709</v>
      </c>
      <c r="AT42" s="32" t="n">
        <f aca="false">AT39*Wallet_Share+AT40*Sup_Wallet_Share*Sup_Avg_Amount</f>
        <v>22720744614.2859</v>
      </c>
      <c r="AU42" s="32" t="n">
        <f aca="false">AU39*Wallet_Share+AU40*Sup_Wallet_Share*Sup_Avg_Amount</f>
        <v>23857891841.1447</v>
      </c>
      <c r="AV42" s="32" t="n">
        <f aca="false">AV39*Wallet_Share+AV40*Sup_Wallet_Share*Sup_Avg_Amount</f>
        <v>25081240128.3953</v>
      </c>
      <c r="AW42" s="32" t="n">
        <f aca="false">AW39*Wallet_Share+AW40*Sup_Wallet_Share*Sup_Avg_Amount</f>
        <v>26309654328.0355</v>
      </c>
      <c r="AX42" s="32" t="n">
        <f aca="false">AX39*Wallet_Share+AX40*Sup_Wallet_Share*Sup_Avg_Amount</f>
        <v>27569868989.9572</v>
      </c>
      <c r="AY42" s="32" t="n">
        <f aca="false">AY39*Wallet_Share+AY40*Sup_Wallet_Share*Sup_Avg_Amount</f>
        <v>28824567008.9045</v>
      </c>
      <c r="AZ42" s="32" t="n">
        <f aca="false">AZ39*Wallet_Share+AZ40*Sup_Wallet_Share*Sup_Avg_Amount</f>
        <v>30074315448.9891</v>
      </c>
      <c r="BA42" s="32" t="n">
        <f aca="false">BA39*Wallet_Share+BA40*Sup_Wallet_Share*Sup_Avg_Amount</f>
        <v>31473207918.1653</v>
      </c>
      <c r="BB42" s="32" t="n">
        <f aca="false">BB39*Wallet_Share+BB40*Sup_Wallet_Share*Sup_Avg_Amount</f>
        <v>32866641928.7599</v>
      </c>
      <c r="BC42" s="32" t="n">
        <f aca="false">BC39*Wallet_Share+BC40*Sup_Wallet_Share*Sup_Avg_Amount</f>
        <v>34292718892.7028</v>
      </c>
      <c r="BD42" s="32" t="n">
        <f aca="false">BD39*Wallet_Share+BD40*Sup_Wallet_Share*Sup_Avg_Amount</f>
        <v>35714269673.1265</v>
      </c>
      <c r="BE42" s="32" t="n">
        <f aca="false">BE39*Wallet_Share+BE40*Sup_Wallet_Share*Sup_Avg_Amount</f>
        <v>37165712974.1093</v>
      </c>
      <c r="BF42" s="32" t="n">
        <f aca="false">BF39*Wallet_Share+BF40*Sup_Wallet_Share*Sup_Avg_Amount</f>
        <v>38651170352.591</v>
      </c>
      <c r="BG42" s="32" t="n">
        <f aca="false">BG39*Wallet_Share+BG40*Sup_Wallet_Share*Sup_Avg_Amount</f>
        <v>40133575168.5164</v>
      </c>
      <c r="BH42" s="32" t="n">
        <f aca="false">BH39*Wallet_Share+BH40*Sup_Wallet_Share*Sup_Avg_Amount</f>
        <v>41651198556.5994</v>
      </c>
      <c r="BI42" s="32" t="n">
        <f aca="false">BI39*Wallet_Share+BI40*Sup_Wallet_Share*Sup_Avg_Amount</f>
        <v>43200747036.8738</v>
      </c>
      <c r="BJ42" s="32" t="n">
        <f aca="false">BJ39*Wallet_Share+BJ40*Sup_Wallet_Share*Sup_Avg_Amount</f>
        <v>44786501663.1555</v>
      </c>
      <c r="BK42" s="32" t="n">
        <f aca="false">BK39*Wallet_Share+BK40*Sup_Wallet_Share*Sup_Avg_Amount</f>
        <v>46363541473.6934</v>
      </c>
      <c r="BL42" s="32" t="n">
        <f aca="false">BL39*Wallet_Share+BL40*Sup_Wallet_Share*Sup_Avg_Amount</f>
        <v>47961099005.3095</v>
      </c>
    </row>
    <row r="43" customFormat="false" ht="15" hidden="false" customHeight="false" outlineLevel="0" collapsed="false">
      <c r="A43" s="12" t="s">
        <v>773</v>
      </c>
      <c r="B43" s="14" t="s">
        <v>371</v>
      </c>
      <c r="D43" s="55" t="n">
        <f aca="false">SUM(E43:BL43)</f>
        <v>302584.407486084</v>
      </c>
      <c r="E43" s="32" t="n">
        <f aca="false">(E14*Overage_Petite+E15*Overage_Moyenne+E16*Overage_Grande)*(1-Sup_Wallet_Share)</f>
        <v>0</v>
      </c>
      <c r="F43" s="32" t="n">
        <f aca="false">(F14*Overage_Petite+F15*Overage_Moyenne+F16*Overage_Grande)*(1-Sup_Wallet_Share)</f>
        <v>0</v>
      </c>
      <c r="G43" s="32" t="n">
        <f aca="false">(G14*Overage_Petite+G15*Overage_Moyenne+G16*Overage_Grande)*(1-Sup_Wallet_Share)</f>
        <v>0</v>
      </c>
      <c r="H43" s="32" t="n">
        <f aca="false">(H14*Overage_Petite+H15*Overage_Moyenne+H16*Overage_Grande)*(1-Sup_Wallet_Share)</f>
        <v>0</v>
      </c>
      <c r="I43" s="32" t="n">
        <f aca="false">(I14*Overage_Petite+I15*Overage_Moyenne+I16*Overage_Grande)*(1-Sup_Wallet_Share)</f>
        <v>74.2</v>
      </c>
      <c r="J43" s="32" t="n">
        <f aca="false">(J14*Overage_Petite+J15*Overage_Moyenne+J16*Overage_Grande)*(1-Sup_Wallet_Share)</f>
        <v>148.20734</v>
      </c>
      <c r="K43" s="32" t="n">
        <f aca="false">(K14*Overage_Petite+K15*Overage_Moyenne+K16*Overage_Grande)*(1-Sup_Wallet_Share)</f>
        <v>222.06933045</v>
      </c>
      <c r="L43" s="32" t="n">
        <f aca="false">(L14*Overage_Petite+L15*Overage_Moyenne+L16*Overage_Grande)*(1-Sup_Wallet_Share)</f>
        <v>295.835261102875</v>
      </c>
      <c r="M43" s="32" t="n">
        <f aca="false">(M14*Overage_Petite+M15*Overage_Moyenne+M16*Overage_Grande)*(1-Sup_Wallet_Share)</f>
        <v>369.556533787163</v>
      </c>
      <c r="N43" s="32" t="n">
        <f aca="false">(N14*Overage_Petite+N15*Overage_Moyenne+N16*Overage_Grande)*(1-Sup_Wallet_Share)</f>
        <v>443.286802899545</v>
      </c>
      <c r="O43" s="32" t="n">
        <f aca="false">(O14*Overage_Petite+O15*Overage_Moyenne+O16*Overage_Grande)*(1-Sup_Wallet_Share)</f>
        <v>517.082124084757</v>
      </c>
      <c r="P43" s="32" t="n">
        <f aca="false">(P14*Overage_Petite+P15*Overage_Moyenne+P16*Overage_Grande)*(1-Sup_Wallet_Share)</f>
        <v>591.001111598658</v>
      </c>
      <c r="Q43" s="32" t="n">
        <f aca="false">(Q14*Overage_Petite+Q15*Overage_Moyenne+Q16*Overage_Grande)*(1-Sup_Wallet_Share)</f>
        <v>691.305104879814</v>
      </c>
      <c r="R43" s="32" t="n">
        <f aca="false">(R14*Overage_Petite+R15*Overage_Moyenne+R16*Overage_Grande)*(1-Sup_Wallet_Share)</f>
        <v>791.536084886427</v>
      </c>
      <c r="S43" s="32" t="n">
        <f aca="false">(S14*Overage_Petite+S15*Overage_Moyenne+S16*Overage_Grande)*(1-Sup_Wallet_Share)</f>
        <v>891.765959238754</v>
      </c>
      <c r="T43" s="32" t="n">
        <f aca="false">(T14*Overage_Petite+T15*Overage_Moyenne+T16*Overage_Grande)*(1-Sup_Wallet_Share)</f>
        <v>992.069848295339</v>
      </c>
      <c r="U43" s="32" t="n">
        <f aca="false">(U14*Overage_Petite+U15*Overage_Moyenne+U16*Overage_Grande)*(1-Sup_Wallet_Share)</f>
        <v>1092.52629573976</v>
      </c>
      <c r="V43" s="32" t="n">
        <f aca="false">(V14*Overage_Petite+V15*Overage_Moyenne+V16*Overage_Grande)*(1-Sup_Wallet_Share)</f>
        <v>1193.21749149063</v>
      </c>
      <c r="W43" s="32" t="n">
        <f aca="false">(W14*Overage_Petite+W15*Overage_Moyenne+W16*Overage_Grande)*(1-Sup_Wallet_Share)</f>
        <v>1351.02950767993</v>
      </c>
      <c r="X43" s="32" t="n">
        <f aca="false">(X14*Overage_Petite+X15*Overage_Moyenne+X16*Overage_Grande)*(1-Sup_Wallet_Share)</f>
        <v>1509.09390848955</v>
      </c>
      <c r="Y43" s="32" t="n">
        <f aca="false">(Y14*Overage_Petite+Y15*Overage_Moyenne+Y16*Overage_Grande)*(1-Sup_Wallet_Share)</f>
        <v>1679.54097848283</v>
      </c>
      <c r="Z43" s="32" t="n">
        <f aca="false">(Z14*Overage_Petite+Z15*Overage_Moyenne+Z16*Overage_Grande)*(1-Sup_Wallet_Share)</f>
        <v>1850.359560185</v>
      </c>
      <c r="AA43" s="32" t="n">
        <f aca="false">(AA14*Overage_Petite+AA15*Overage_Moyenne+AA16*Overage_Grande)*(1-Sup_Wallet_Share)</f>
        <v>2021.69474735487</v>
      </c>
      <c r="AB43" s="32" t="n">
        <f aca="false">(AB14*Overage_Petite+AB15*Overage_Moyenne+AB16*Overage_Grande)*(1-Sup_Wallet_Share)</f>
        <v>2193.69857406187</v>
      </c>
      <c r="AC43" s="32" t="n">
        <f aca="false">(AC14*Overage_Petite+AC15*Overage_Moyenne+AC16*Overage_Grande)*(1-Sup_Wallet_Share)</f>
        <v>2419.13045956198</v>
      </c>
      <c r="AD43" s="32" t="n">
        <f aca="false">(AD14*Overage_Petite+AD15*Overage_Moyenne+AD16*Overage_Grande)*(1-Sup_Wallet_Share)</f>
        <v>2644.91069936934</v>
      </c>
      <c r="AE43" s="32" t="n">
        <f aca="false">(AE14*Overage_Petite+AE15*Overage_Moyenne+AE16*Overage_Grande)*(1-Sup_Wallet_Share)</f>
        <v>2883.22411595428</v>
      </c>
      <c r="AF43" s="32" t="n">
        <f aca="false">(AF14*Overage_Petite+AF15*Overage_Moyenne+AF16*Overage_Grande)*(1-Sup_Wallet_Share)</f>
        <v>3122.11666834085</v>
      </c>
      <c r="AG43" s="32" t="n">
        <f aca="false">(AG14*Overage_Petite+AG15*Overage_Moyenne+AG16*Overage_Grande)*(1-Sup_Wallet_Share)</f>
        <v>3361.79331118365</v>
      </c>
      <c r="AH43" s="32" t="n">
        <f aca="false">(AH14*Overage_Petite+AH15*Overage_Moyenne+AH16*Overage_Grande)*(1-Sup_Wallet_Share)</f>
        <v>3602.46885940575</v>
      </c>
      <c r="AI43" s="32" t="n">
        <f aca="false">(AI14*Overage_Petite+AI15*Overage_Moyenne+AI16*Overage_Grande)*(1-Sup_Wallet_Share)</f>
        <v>3856.36861898015</v>
      </c>
      <c r="AJ43" s="32" t="n">
        <f aca="false">(AJ14*Overage_Petite+AJ15*Overage_Moyenne+AJ16*Overage_Grande)*(1-Sup_Wallet_Share)</f>
        <v>4111.58145487568</v>
      </c>
      <c r="AK43" s="32" t="n">
        <f aca="false">(AK14*Overage_Petite+AK15*Overage_Moyenne+AK16*Overage_Grande)*(1-Sup_Wallet_Share)</f>
        <v>4368.35779540961</v>
      </c>
      <c r="AL43" s="32" t="n">
        <f aca="false">(AL14*Overage_Petite+AL15*Overage_Moyenne+AL16*Overage_Grande)*(1-Sup_Wallet_Share)</f>
        <v>4626.9606508814</v>
      </c>
      <c r="AM43" s="32" t="n">
        <f aca="false">(AM14*Overage_Petite+AM15*Overage_Moyenne+AM16*Overage_Grande)*(1-Sup_Wallet_Share)</f>
        <v>4899.66640759287</v>
      </c>
      <c r="AN43" s="32" t="n">
        <f aca="false">(AN14*Overage_Petite+AN15*Overage_Moyenne+AN16*Overage_Grande)*(1-Sup_Wallet_Share)</f>
        <v>5174.61806883033</v>
      </c>
      <c r="AO43" s="32" t="n">
        <f aca="false">(AO14*Overage_Petite+AO15*Overage_Moyenne+AO16*Overage_Grande)*(1-Sup_Wallet_Share)</f>
        <v>5489.1234426388</v>
      </c>
      <c r="AP43" s="32" t="n">
        <f aca="false">(AP14*Overage_Petite+AP15*Overage_Moyenne+AP16*Overage_Grande)*(1-Sup_Wallet_Share)</f>
        <v>5818.05125488555</v>
      </c>
      <c r="AQ43" s="32" t="n">
        <f aca="false">(AQ14*Overage_Petite+AQ15*Overage_Moyenne+AQ16*Overage_Grande)*(1-Sup_Wallet_Share)</f>
        <v>6149.60121512882</v>
      </c>
      <c r="AR43" s="32" t="n">
        <f aca="false">(AR14*Overage_Petite+AR15*Overage_Moyenne+AR16*Overage_Grande)*(1-Sup_Wallet_Share)</f>
        <v>6484.14070401796</v>
      </c>
      <c r="AS43" s="32" t="n">
        <f aca="false">(AS14*Overage_Petite+AS15*Overage_Moyenne+AS16*Overage_Grande)*(1-Sup_Wallet_Share)</f>
        <v>6834.05616693609</v>
      </c>
      <c r="AT43" s="32" t="n">
        <f aca="false">(AT14*Overage_Petite+AT15*Overage_Moyenne+AT16*Overage_Grande)*(1-Sup_Wallet_Share)</f>
        <v>7187.60670538316</v>
      </c>
      <c r="AU43" s="32" t="n">
        <f aca="false">(AU14*Overage_Petite+AU15*Overage_Moyenne+AU16*Overage_Grande)*(1-Sup_Wallet_Share)</f>
        <v>7545.22263601855</v>
      </c>
      <c r="AV43" s="32" t="n">
        <f aca="false">(AV14*Overage_Petite+AV15*Overage_Moyenne+AV16*Overage_Grande)*(1-Sup_Wallet_Share)</f>
        <v>7930.15709711548</v>
      </c>
      <c r="AW43" s="32" t="n">
        <f aca="false">(AW14*Overage_Petite+AW15*Overage_Moyenne+AW16*Overage_Grande)*(1-Sup_Wallet_Share)</f>
        <v>8316.37841027774</v>
      </c>
      <c r="AX43" s="32" t="n">
        <f aca="false">(AX14*Overage_Petite+AX15*Overage_Moyenne+AX16*Overage_Grande)*(1-Sup_Wallet_Share)</f>
        <v>8712.45874668445</v>
      </c>
      <c r="AY43" s="32" t="n">
        <f aca="false">(AY14*Overage_Petite+AY15*Overage_Moyenne+AY16*Overage_Grande)*(1-Sup_Wallet_Share)</f>
        <v>9106.4310218611</v>
      </c>
      <c r="AZ43" s="32" t="n">
        <f aca="false">(AZ14*Overage_Petite+AZ15*Overage_Moyenne+AZ16*Overage_Grande)*(1-Sup_Wallet_Share)</f>
        <v>9498.48432123684</v>
      </c>
      <c r="BA43" s="32" t="n">
        <f aca="false">(BA14*Overage_Petite+BA15*Overage_Moyenne+BA16*Overage_Grande)*(1-Sup_Wallet_Share)</f>
        <v>9938.01462724562</v>
      </c>
      <c r="BB43" s="32" t="n">
        <f aca="false">(BB14*Overage_Petite+BB15*Overage_Moyenne+BB16*Overage_Grande)*(1-Sup_Wallet_Share)</f>
        <v>10375.4201437707</v>
      </c>
      <c r="BC43" s="32" t="n">
        <f aca="false">(BC14*Overage_Petite+BC15*Overage_Moyenne+BC16*Overage_Grande)*(1-Sup_Wallet_Share)</f>
        <v>10822.9207261354</v>
      </c>
      <c r="BD43" s="32" t="n">
        <f aca="false">(BD14*Overage_Petite+BD15*Overage_Moyenne+BD16*Overage_Grande)*(1-Sup_Wallet_Share)</f>
        <v>11268.5969278731</v>
      </c>
      <c r="BE43" s="32" t="n">
        <f aca="false">(BE14*Overage_Petite+BE15*Overage_Moyenne+BE16*Overage_Grande)*(1-Sup_Wallet_Share)</f>
        <v>11723.4878732747</v>
      </c>
      <c r="BF43" s="32" t="n">
        <f aca="false">(BF14*Overage_Petite+BF15*Overage_Moyenne+BF16*Overage_Grande)*(1-Sup_Wallet_Share)</f>
        <v>12188.9092956255</v>
      </c>
      <c r="BG43" s="32" t="n">
        <f aca="false">(BG14*Overage_Petite+BG15*Overage_Moyenne+BG16*Overage_Grande)*(1-Sup_Wallet_Share)</f>
        <v>12652.9741490326</v>
      </c>
      <c r="BH43" s="32" t="n">
        <f aca="false">(BH14*Overage_Petite+BH15*Overage_Moyenne+BH16*Overage_Grande)*(1-Sup_Wallet_Share)</f>
        <v>13127.9558298339</v>
      </c>
      <c r="BI43" s="32" t="n">
        <f aca="false">(BI14*Overage_Petite+BI15*Overage_Moyenne+BI16*Overage_Grande)*(1-Sup_Wallet_Share)</f>
        <v>13612.7915680773</v>
      </c>
      <c r="BJ43" s="32" t="n">
        <f aca="false">(BJ14*Overage_Petite+BJ15*Overage_Moyenne+BJ16*Overage_Grande)*(1-Sup_Wallet_Share)</f>
        <v>14108.8476490719</v>
      </c>
      <c r="BK43" s="32" t="n">
        <f aca="false">(BK14*Overage_Petite+BK15*Overage_Moyenne+BK16*Overage_Grande)*(1-Sup_Wallet_Share)</f>
        <v>14601.7189978231</v>
      </c>
      <c r="BL43" s="32" t="n">
        <f aca="false">(BL14*Overage_Petite+BL15*Overage_Moyenne+BL16*Overage_Grande)*(1-Sup_Wallet_Share)</f>
        <v>15100.7843010421</v>
      </c>
    </row>
    <row r="44" customFormat="false" ht="15" hidden="false" customHeight="false" outlineLevel="0" collapsed="false">
      <c r="A44" s="12" t="s">
        <v>1018</v>
      </c>
      <c r="B44" s="14" t="s">
        <v>366</v>
      </c>
      <c r="D44" s="55" t="n">
        <f aca="false">BL44</f>
        <v>5165.78542179916</v>
      </c>
      <c r="E44" s="32" t="n">
        <f aca="false">E14*MAX(0,Users_Petite-Users_Incl_Petite)+E15*MAX(0,Users_Moyenne-Users_Incl_Moyenne)+E16*MAX(0,Users_Grande-Users_Incl_Grande)</f>
        <v>0</v>
      </c>
      <c r="F44" s="32" t="n">
        <f aca="false">F14*MAX(0,Users_Petite-Users_Incl_Petite)+F15*MAX(0,Users_Moyenne-Users_Incl_Moyenne)+F16*MAX(0,Users_Grande-Users_Incl_Grande)</f>
        <v>0</v>
      </c>
      <c r="G44" s="32" t="n">
        <f aca="false">G14*MAX(0,Users_Petite-Users_Incl_Petite)+G15*MAX(0,Users_Moyenne-Users_Incl_Moyenne)+G16*MAX(0,Users_Grande-Users_Incl_Grande)</f>
        <v>0</v>
      </c>
      <c r="H44" s="32" t="n">
        <f aca="false">H14*MAX(0,Users_Petite-Users_Incl_Petite)+H15*MAX(0,Users_Moyenne-Users_Incl_Moyenne)+H16*MAX(0,Users_Grande-Users_Incl_Grande)</f>
        <v>0</v>
      </c>
      <c r="I44" s="32" t="n">
        <f aca="false">I14*MAX(0,Users_Petite-Users_Incl_Petite)+I15*MAX(0,Users_Moyenne-Users_Incl_Moyenne)+I16*MAX(0,Users_Grande-Users_Incl_Grande)</f>
        <v>24.7333333333333</v>
      </c>
      <c r="J44" s="32" t="n">
        <f aca="false">J14*MAX(0,Users_Petite-Users_Incl_Petite)+J15*MAX(0,Users_Moyenne-Users_Incl_Moyenne)+J16*MAX(0,Users_Grande-Users_Incl_Grande)</f>
        <v>49.4469666666667</v>
      </c>
      <c r="K44" s="32" t="n">
        <f aca="false">K14*MAX(0,Users_Petite-Users_Incl_Petite)+K15*MAX(0,Users_Moyenne-Users_Incl_Moyenne)+K16*MAX(0,Users_Grande-Users_Incl_Grande)</f>
        <v>74.15565525</v>
      </c>
      <c r="L44" s="32" t="n">
        <f aca="false">L14*MAX(0,Users_Petite-Users_Incl_Petite)+L15*MAX(0,Users_Moyenne-Users_Incl_Moyenne)+L16*MAX(0,Users_Grande-Users_Incl_Grande)</f>
        <v>98.8748618752084</v>
      </c>
      <c r="M44" s="32" t="n">
        <f aca="false">M14*MAX(0,Users_Petite-Users_Incl_Petite)+M15*MAX(0,Users_Moyenne-Users_Incl_Moyenne)+M16*MAX(0,Users_Grande-Users_Incl_Grande)</f>
        <v>123.6208013899</v>
      </c>
      <c r="N44" s="32" t="n">
        <f aca="false">N14*MAX(0,Users_Petite-Users_Incl_Petite)+N15*MAX(0,Users_Moyenne-Users_Incl_Moyenne)+N16*MAX(0,Users_Grande-Users_Incl_Grande)</f>
        <v>148.410487857543</v>
      </c>
      <c r="O44" s="32" t="n">
        <f aca="false">O14*MAX(0,Users_Petite-Users_Incl_Petite)+O15*MAX(0,Users_Moyenne-Users_Incl_Moyenne)+O16*MAX(0,Users_Grande-Users_Incl_Grande)</f>
        <v>173.261784522942</v>
      </c>
      <c r="P44" s="32" t="n">
        <f aca="false">P14*MAX(0,Users_Petite-Users_Incl_Petite)+P15*MAX(0,Users_Moyenne-Users_Incl_Moyenne)+P16*MAX(0,Users_Grande-Users_Incl_Grande)</f>
        <v>198.193456751671</v>
      </c>
      <c r="Q44" s="32" t="n">
        <f aca="false">Q14*MAX(0,Users_Petite-Users_Incl_Petite)+Q15*MAX(0,Users_Moyenne-Users_Incl_Moyenne)+Q16*MAX(0,Users_Grande-Users_Incl_Grande)</f>
        <v>231.958561455526</v>
      </c>
      <c r="R44" s="32" t="n">
        <f aca="false">R14*MAX(0,Users_Petite-Users_Incl_Petite)+R15*MAX(0,Users_Moyenne-Users_Incl_Moyenne)+R16*MAX(0,Users_Grande-Users_Incl_Grande)</f>
        <v>265.752806526786</v>
      </c>
      <c r="S44" s="32" t="n">
        <f aca="false">S14*MAX(0,Users_Petite-Users_Incl_Petite)+S15*MAX(0,Users_Moyenne-Users_Incl_Moyenne)+S16*MAX(0,Users_Grande-Users_Incl_Grande)</f>
        <v>299.59902906542</v>
      </c>
      <c r="T44" s="32" t="n">
        <f aca="false">T14*MAX(0,Users_Petite-Users_Incl_Petite)+T15*MAX(0,Users_Moyenne-Users_Incl_Moyenne)+T16*MAX(0,Users_Grande-Users_Incl_Grande)</f>
        <v>333.521201820642</v>
      </c>
      <c r="U44" s="32" t="n">
        <f aca="false">U14*MAX(0,Users_Petite-Users_Incl_Petite)+U15*MAX(0,Users_Moyenne-Users_Incl_Moyenne)+U16*MAX(0,Users_Grande-Users_Incl_Grande)</f>
        <v>367.544504044336</v>
      </c>
      <c r="V44" s="32" t="n">
        <f aca="false">V14*MAX(0,Users_Petite-Users_Incl_Petite)+V15*MAX(0,Users_Moyenne-Users_Incl_Moyenne)+V16*MAX(0,Users_Grande-Users_Incl_Grande)</f>
        <v>401.695396563388</v>
      </c>
      <c r="W44" s="32" t="n">
        <f aca="false">W14*MAX(0,Users_Petite-Users_Incl_Petite)+W15*MAX(0,Users_Moyenne-Users_Incl_Moyenne)+W16*MAX(0,Users_Grande-Users_Incl_Grande)</f>
        <v>454.935034657793</v>
      </c>
      <c r="X44" s="32" t="n">
        <f aca="false">X14*MAX(0,Users_Petite-Users_Incl_Petite)+X15*MAX(0,Users_Moyenne-Users_Incl_Moyenne)+X16*MAX(0,Users_Grande-Users_Incl_Grande)</f>
        <v>508.340552346581</v>
      </c>
      <c r="Y44" s="32" t="n">
        <f aca="false">Y14*MAX(0,Users_Petite-Users_Incl_Petite)+Y15*MAX(0,Users_Moyenne-Users_Incl_Moyenne)+Y16*MAX(0,Users_Grande-Users_Incl_Grande)</f>
        <v>565.953862699776</v>
      </c>
      <c r="Z44" s="32" t="n">
        <f aca="false">Z14*MAX(0,Users_Petite-Users_Incl_Petite)+Z15*MAX(0,Users_Moyenne-Users_Incl_Moyenne)+Z16*MAX(0,Users_Grande-Users_Incl_Grande)</f>
        <v>623.777038287467</v>
      </c>
      <c r="AA44" s="32" t="n">
        <f aca="false">AA14*MAX(0,Users_Petite-Users_Incl_Petite)+AA15*MAX(0,Users_Moyenne-Users_Incl_Moyenne)+AA16*MAX(0,Users_Grande-Users_Incl_Grande)</f>
        <v>681.85690985922</v>
      </c>
      <c r="AB44" s="32" t="n">
        <f aca="false">AB14*MAX(0,Users_Petite-Users_Incl_Petite)+AB15*MAX(0,Users_Moyenne-Users_Incl_Moyenne)+AB16*MAX(0,Users_Grande-Users_Incl_Grande)</f>
        <v>740.242737632867</v>
      </c>
      <c r="AC44" s="32" t="n">
        <f aca="false">AC14*MAX(0,Users_Petite-Users_Incl_Petite)+AC15*MAX(0,Users_Moyenne-Users_Incl_Moyenne)+AC16*MAX(0,Users_Grande-Users_Incl_Grande)</f>
        <v>816.519694793586</v>
      </c>
      <c r="AD44" s="32" t="n">
        <f aca="false">AD14*MAX(0,Users_Petite-Users_Incl_Petite)+AD15*MAX(0,Users_Moyenne-Users_Incl_Moyenne)+AD16*MAX(0,Users_Grande-Users_Incl_Grande)</f>
        <v>893.024926617285</v>
      </c>
      <c r="AE44" s="32" t="n">
        <f aca="false">AE14*MAX(0,Users_Petite-Users_Incl_Petite)+AE15*MAX(0,Users_Moyenne-Users_Incl_Moyenne)+AE16*MAX(0,Users_Grande-Users_Incl_Grande)</f>
        <v>973.817957339741</v>
      </c>
      <c r="AF44" s="32" t="n">
        <f aca="false">AF14*MAX(0,Users_Petite-Users_Incl_Petite)+AF15*MAX(0,Users_Moyenne-Users_Incl_Moyenne)+AF16*MAX(0,Users_Grande-Users_Incl_Grande)</f>
        <v>1054.91937375289</v>
      </c>
      <c r="AG44" s="32" t="n">
        <f aca="false">AG14*MAX(0,Users_Petite-Users_Incl_Petite)+AG15*MAX(0,Users_Moyenne-Users_Incl_Moyenne)+AG16*MAX(0,Users_Grande-Users_Incl_Grande)</f>
        <v>1136.39547983982</v>
      </c>
      <c r="AH44" s="32" t="n">
        <f aca="false">AH14*MAX(0,Users_Petite-Users_Incl_Petite)+AH15*MAX(0,Users_Moyenne-Users_Incl_Moyenne)+AH16*MAX(0,Users_Grande-Users_Incl_Grande)</f>
        <v>1218.31602735538</v>
      </c>
      <c r="AI44" s="32" t="n">
        <f aca="false">AI14*MAX(0,Users_Petite-Users_Incl_Petite)+AI15*MAX(0,Users_Moyenne-Users_Incl_Moyenne)+AI16*MAX(0,Users_Grande-Users_Incl_Grande)</f>
        <v>1304.75442882057</v>
      </c>
      <c r="AJ44" s="32" t="n">
        <f aca="false">AJ14*MAX(0,Users_Petite-Users_Incl_Petite)+AJ15*MAX(0,Users_Moyenne-Users_Incl_Moyenne)+AJ16*MAX(0,Users_Grande-Users_Incl_Grande)</f>
        <v>1391.74598322362</v>
      </c>
      <c r="AK44" s="32" t="n">
        <f aca="false">AK14*MAX(0,Users_Petite-Users_Incl_Petite)+AK15*MAX(0,Users_Moyenne-Users_Incl_Moyenne)+AK16*MAX(0,Users_Grande-Users_Incl_Grande)</f>
        <v>1479.37258019134</v>
      </c>
      <c r="AL44" s="32" t="n">
        <f aca="false">AL14*MAX(0,Users_Petite-Users_Incl_Petite)+AL15*MAX(0,Users_Moyenne-Users_Incl_Moyenne)+AL16*MAX(0,Users_Grande-Users_Incl_Grande)</f>
        <v>1567.72048307702</v>
      </c>
      <c r="AM44" s="32" t="n">
        <f aca="false">AM14*MAX(0,Users_Petite-Users_Incl_Petite)+AM15*MAX(0,Users_Moyenne-Users_Incl_Moyenne)+AM16*MAX(0,Users_Grande-Users_Incl_Grande)</f>
        <v>1660.88059761144</v>
      </c>
      <c r="AN44" s="32" t="n">
        <f aca="false">AN14*MAX(0,Users_Petite-Users_Incl_Petite)+AN15*MAX(0,Users_Moyenne-Users_Incl_Moyenne)+AN16*MAX(0,Users_Grande-Users_Incl_Grande)</f>
        <v>1754.90675659888</v>
      </c>
      <c r="AO44" s="32" t="n">
        <f aca="false">AO14*MAX(0,Users_Petite-Users_Incl_Petite)+AO15*MAX(0,Users_Moyenne-Users_Incl_Moyenne)+AO16*MAX(0,Users_Grande-Users_Incl_Grande)</f>
        <v>1862.2338199552</v>
      </c>
      <c r="AP44" s="32" t="n">
        <f aca="false">AP14*MAX(0,Users_Petite-Users_Incl_Petite)+AP15*MAX(0,Users_Moyenne-Users_Incl_Moyenne)+AP16*MAX(0,Users_Grande-Users_Incl_Grande)</f>
        <v>1974.50602408025</v>
      </c>
      <c r="AQ44" s="32" t="n">
        <f aca="false">AQ14*MAX(0,Users_Petite-Users_Incl_Petite)+AQ15*MAX(0,Users_Moyenne-Users_Incl_Moyenne)+AQ16*MAX(0,Users_Grande-Users_Incl_Grande)</f>
        <v>2087.79575451912</v>
      </c>
      <c r="AR44" s="32" t="n">
        <f aca="false">AR14*MAX(0,Users_Petite-Users_Incl_Petite)+AR15*MAX(0,Users_Moyenne-Users_Incl_Moyenne)+AR16*MAX(0,Users_Grande-Users_Incl_Grande)</f>
        <v>2202.2240865154</v>
      </c>
      <c r="AS44" s="32" t="n">
        <f aca="false">AS14*MAX(0,Users_Petite-Users_Incl_Petite)+AS15*MAX(0,Users_Moyenne-Users_Incl_Moyenne)+AS16*MAX(0,Users_Grande-Users_Incl_Grande)</f>
        <v>2321.91869549208</v>
      </c>
      <c r="AT44" s="32" t="n">
        <f aca="false">AT14*MAX(0,Users_Petite-Users_Incl_Petite)+AT15*MAX(0,Users_Moyenne-Users_Incl_Moyenne)+AT16*MAX(0,Users_Grande-Users_Incl_Grande)</f>
        <v>2442.97226072176</v>
      </c>
      <c r="AU44" s="32" t="n">
        <f aca="false">AU14*MAX(0,Users_Petite-Users_Incl_Petite)+AU15*MAX(0,Users_Moyenne-Users_Incl_Moyenne)+AU16*MAX(0,Users_Grande-Users_Incl_Grande)</f>
        <v>2565.52735812624</v>
      </c>
      <c r="AV44" s="32" t="n">
        <f aca="false">AV14*MAX(0,Users_Petite-Users_Incl_Petite)+AV15*MAX(0,Users_Moyenne-Users_Incl_Moyenne)+AV16*MAX(0,Users_Grande-Users_Incl_Grande)</f>
        <v>2697.3344432917</v>
      </c>
      <c r="AW44" s="32" t="n">
        <f aca="false">AW14*MAX(0,Users_Petite-Users_Incl_Petite)+AW15*MAX(0,Users_Moyenne-Users_Incl_Moyenne)+AW16*MAX(0,Users_Grande-Users_Incl_Grande)</f>
        <v>2829.72966027554</v>
      </c>
      <c r="AX44" s="32" t="n">
        <f aca="false">AX14*MAX(0,Users_Petite-Users_Incl_Petite)+AX15*MAX(0,Users_Moyenne-Users_Incl_Moyenne)+AX16*MAX(0,Users_Grande-Users_Incl_Grande)</f>
        <v>2965.56787749675</v>
      </c>
      <c r="AY44" s="32" t="n">
        <f aca="false">AY14*MAX(0,Users_Petite-Users_Incl_Petite)+AY15*MAX(0,Users_Moyenne-Users_Incl_Moyenne)+AY16*MAX(0,Users_Grande-Users_Incl_Grande)</f>
        <v>3100.86273567985</v>
      </c>
      <c r="AZ44" s="32" t="n">
        <f aca="false">AZ14*MAX(0,Users_Petite-Users_Incl_Petite)+AZ15*MAX(0,Users_Moyenne-Users_Incl_Moyenne)+AZ16*MAX(0,Users_Grande-Users_Incl_Grande)</f>
        <v>3235.67269472047</v>
      </c>
      <c r="BA44" s="32" t="n">
        <f aca="false">BA14*MAX(0,Users_Petite-Users_Incl_Petite)+BA15*MAX(0,Users_Moyenne-Users_Incl_Moyenne)+BA16*MAX(0,Users_Grande-Users_Incl_Grande)</f>
        <v>3386.45871590908</v>
      </c>
      <c r="BB44" s="32" t="n">
        <f aca="false">BB14*MAX(0,Users_Petite-Users_Incl_Petite)+BB15*MAX(0,Users_Moyenne-Users_Incl_Moyenne)+BB16*MAX(0,Users_Grande-Users_Incl_Grande)</f>
        <v>3536.71222360166</v>
      </c>
      <c r="BC44" s="32" t="n">
        <f aca="false">BC14*MAX(0,Users_Petite-Users_Incl_Petite)+BC15*MAX(0,Users_Moyenne-Users_Incl_Moyenne)+BC16*MAX(0,Users_Grande-Users_Incl_Grande)</f>
        <v>3690.50158295324</v>
      </c>
      <c r="BD44" s="32" t="n">
        <f aca="false">BD14*MAX(0,Users_Petite-Users_Incl_Petite)+BD15*MAX(0,Users_Moyenne-Users_Incl_Moyenne)+BD16*MAX(0,Users_Grande-Users_Incl_Grande)</f>
        <v>3843.85615280333</v>
      </c>
      <c r="BE44" s="32" t="n">
        <f aca="false">BE14*MAX(0,Users_Petite-Users_Incl_Petite)+BE15*MAX(0,Users_Moyenne-Users_Incl_Moyenne)+BE16*MAX(0,Users_Grande-Users_Incl_Grande)</f>
        <v>4000.45094305692</v>
      </c>
      <c r="BF44" s="32" t="n">
        <f aca="false">BF14*MAX(0,Users_Petite-Users_Incl_Petite)+BF15*MAX(0,Users_Moyenne-Users_Incl_Moyenne)+BF16*MAX(0,Users_Grande-Users_Incl_Grande)</f>
        <v>4160.72654809443</v>
      </c>
      <c r="BG44" s="32" t="n">
        <f aca="false">BG14*MAX(0,Users_Petite-Users_Incl_Petite)+BG15*MAX(0,Users_Moyenne-Users_Incl_Moyenne)+BG16*MAX(0,Users_Grande-Users_Incl_Grande)</f>
        <v>4320.72338118482</v>
      </c>
      <c r="BH44" s="32" t="n">
        <f aca="false">BH14*MAX(0,Users_Petite-Users_Incl_Petite)+BH15*MAX(0,Users_Moyenne-Users_Incl_Moyenne)+BH16*MAX(0,Users_Grande-Users_Incl_Grande)</f>
        <v>4484.52814487482</v>
      </c>
      <c r="BI44" s="32" t="n">
        <f aca="false">BI14*MAX(0,Users_Petite-Users_Incl_Petite)+BI15*MAX(0,Users_Moyenne-Users_Incl_Moyenne)+BI16*MAX(0,Users_Grande-Users_Incl_Grande)</f>
        <v>4651.78960297185</v>
      </c>
      <c r="BJ44" s="32" t="n">
        <f aca="false">BJ14*MAX(0,Users_Petite-Users_Incl_Petite)+BJ15*MAX(0,Users_Moyenne-Users_Incl_Moyenne)+BJ16*MAX(0,Users_Grande-Users_Incl_Grande)</f>
        <v>4822.96550234104</v>
      </c>
      <c r="BK44" s="32" t="n">
        <f aca="false">BK14*MAX(0,Users_Petite-Users_Incl_Petite)+BK15*MAX(0,Users_Moyenne-Users_Incl_Moyenne)+BK16*MAX(0,Users_Grande-Users_Incl_Grande)</f>
        <v>4993.25723928075</v>
      </c>
      <c r="BL44" s="32" t="n">
        <f aca="false">BL14*MAX(0,Users_Petite-Users_Incl_Petite)+BL15*MAX(0,Users_Moyenne-Users_Incl_Moyenne)+BL16*MAX(0,Users_Grande-Users_Incl_Grande)</f>
        <v>5165.78542179916</v>
      </c>
    </row>
    <row r="45" customFormat="false" ht="15" hidden="false" customHeight="false" outlineLevel="0" collapsed="false">
      <c r="A45" s="12" t="s">
        <v>1019</v>
      </c>
      <c r="B45" s="14" t="s">
        <v>376</v>
      </c>
      <c r="D45" s="55" t="n">
        <f aca="false">BL45</f>
        <v>0</v>
      </c>
      <c r="E45" s="32" t="n">
        <f aca="false">E14*MAX(0,Cards_New_Petite-Cards_Phys_Incl_Petite)+E15*MAX(0,Cards_New_Moyenne-Cards_Phys_Incl_Moyenne)+E16*MAX(0,Cards_New_Grande-Cards_Phys_Incl_Grande)</f>
        <v>0</v>
      </c>
      <c r="F45" s="32" t="n">
        <f aca="false">F14*MAX(0,Cards_New_Petite-Cards_Phys_Incl_Petite)+F15*MAX(0,Cards_New_Moyenne-Cards_Phys_Incl_Moyenne)+F16*MAX(0,Cards_New_Grande-Cards_Phys_Incl_Grande)</f>
        <v>0</v>
      </c>
      <c r="G45" s="32" t="n">
        <f aca="false">G14*MAX(0,Cards_New_Petite-Cards_Phys_Incl_Petite)+G15*MAX(0,Cards_New_Moyenne-Cards_Phys_Incl_Moyenne)+G16*MAX(0,Cards_New_Grande-Cards_Phys_Incl_Grande)</f>
        <v>0</v>
      </c>
      <c r="H45" s="32" t="n">
        <f aca="false">H14*MAX(0,Cards_New_Petite-Cards_Phys_Incl_Petite)+H15*MAX(0,Cards_New_Moyenne-Cards_Phys_Incl_Moyenne)+H16*MAX(0,Cards_New_Grande-Cards_Phys_Incl_Grande)</f>
        <v>0</v>
      </c>
      <c r="I45" s="32" t="n">
        <f aca="false">I14*MAX(0,Cards_New_Petite-Cards_Phys_Incl_Petite)+I15*MAX(0,Cards_New_Moyenne-Cards_Phys_Incl_Moyenne)+I16*MAX(0,Cards_New_Grande-Cards_Phys_Incl_Grande)</f>
        <v>0</v>
      </c>
      <c r="J45" s="32" t="n">
        <f aca="false">J14*MAX(0,Cards_New_Petite-Cards_Phys_Incl_Petite)+J15*MAX(0,Cards_New_Moyenne-Cards_Phys_Incl_Moyenne)+J16*MAX(0,Cards_New_Grande-Cards_Phys_Incl_Grande)</f>
        <v>0</v>
      </c>
      <c r="K45" s="32" t="n">
        <f aca="false">K14*MAX(0,Cards_New_Petite-Cards_Phys_Incl_Petite)+K15*MAX(0,Cards_New_Moyenne-Cards_Phys_Incl_Moyenne)+K16*MAX(0,Cards_New_Grande-Cards_Phys_Incl_Grande)</f>
        <v>0</v>
      </c>
      <c r="L45" s="32" t="n">
        <f aca="false">L14*MAX(0,Cards_New_Petite-Cards_Phys_Incl_Petite)+L15*MAX(0,Cards_New_Moyenne-Cards_Phys_Incl_Moyenne)+L16*MAX(0,Cards_New_Grande-Cards_Phys_Incl_Grande)</f>
        <v>0</v>
      </c>
      <c r="M45" s="32" t="n">
        <f aca="false">M14*MAX(0,Cards_New_Petite-Cards_Phys_Incl_Petite)+M15*MAX(0,Cards_New_Moyenne-Cards_Phys_Incl_Moyenne)+M16*MAX(0,Cards_New_Grande-Cards_Phys_Incl_Grande)</f>
        <v>0</v>
      </c>
      <c r="N45" s="32" t="n">
        <f aca="false">N14*MAX(0,Cards_New_Petite-Cards_Phys_Incl_Petite)+N15*MAX(0,Cards_New_Moyenne-Cards_Phys_Incl_Moyenne)+N16*MAX(0,Cards_New_Grande-Cards_Phys_Incl_Grande)</f>
        <v>0</v>
      </c>
      <c r="O45" s="32" t="n">
        <f aca="false">O14*MAX(0,Cards_New_Petite-Cards_Phys_Incl_Petite)+O15*MAX(0,Cards_New_Moyenne-Cards_Phys_Incl_Moyenne)+O16*MAX(0,Cards_New_Grande-Cards_Phys_Incl_Grande)</f>
        <v>0</v>
      </c>
      <c r="P45" s="32" t="n">
        <f aca="false">P14*MAX(0,Cards_New_Petite-Cards_Phys_Incl_Petite)+P15*MAX(0,Cards_New_Moyenne-Cards_Phys_Incl_Moyenne)+P16*MAX(0,Cards_New_Grande-Cards_Phys_Incl_Grande)</f>
        <v>0</v>
      </c>
      <c r="Q45" s="32" t="n">
        <f aca="false">Q14*MAX(0,Cards_New_Petite-Cards_Phys_Incl_Petite)+Q15*MAX(0,Cards_New_Moyenne-Cards_Phys_Incl_Moyenne)+Q16*MAX(0,Cards_New_Grande-Cards_Phys_Incl_Grande)</f>
        <v>0</v>
      </c>
      <c r="R45" s="32" t="n">
        <f aca="false">R14*MAX(0,Cards_New_Petite-Cards_Phys_Incl_Petite)+R15*MAX(0,Cards_New_Moyenne-Cards_Phys_Incl_Moyenne)+R16*MAX(0,Cards_New_Grande-Cards_Phys_Incl_Grande)</f>
        <v>0</v>
      </c>
      <c r="S45" s="32" t="n">
        <f aca="false">S14*MAX(0,Cards_New_Petite-Cards_Phys_Incl_Petite)+S15*MAX(0,Cards_New_Moyenne-Cards_Phys_Incl_Moyenne)+S16*MAX(0,Cards_New_Grande-Cards_Phys_Incl_Grande)</f>
        <v>0</v>
      </c>
      <c r="T45" s="32" t="n">
        <f aca="false">T14*MAX(0,Cards_New_Petite-Cards_Phys_Incl_Petite)+T15*MAX(0,Cards_New_Moyenne-Cards_Phys_Incl_Moyenne)+T16*MAX(0,Cards_New_Grande-Cards_Phys_Incl_Grande)</f>
        <v>0</v>
      </c>
      <c r="U45" s="32" t="n">
        <f aca="false">U14*MAX(0,Cards_New_Petite-Cards_Phys_Incl_Petite)+U15*MAX(0,Cards_New_Moyenne-Cards_Phys_Incl_Moyenne)+U16*MAX(0,Cards_New_Grande-Cards_Phys_Incl_Grande)</f>
        <v>0</v>
      </c>
      <c r="V45" s="32" t="n">
        <f aca="false">V14*MAX(0,Cards_New_Petite-Cards_Phys_Incl_Petite)+V15*MAX(0,Cards_New_Moyenne-Cards_Phys_Incl_Moyenne)+V16*MAX(0,Cards_New_Grande-Cards_Phys_Incl_Grande)</f>
        <v>0</v>
      </c>
      <c r="W45" s="32" t="n">
        <f aca="false">W14*MAX(0,Cards_New_Petite-Cards_Phys_Incl_Petite)+W15*MAX(0,Cards_New_Moyenne-Cards_Phys_Incl_Moyenne)+W16*MAX(0,Cards_New_Grande-Cards_Phys_Incl_Grande)</f>
        <v>0</v>
      </c>
      <c r="X45" s="32" t="n">
        <f aca="false">X14*MAX(0,Cards_New_Petite-Cards_Phys_Incl_Petite)+X15*MAX(0,Cards_New_Moyenne-Cards_Phys_Incl_Moyenne)+X16*MAX(0,Cards_New_Grande-Cards_Phys_Incl_Grande)</f>
        <v>0</v>
      </c>
      <c r="Y45" s="32" t="n">
        <f aca="false">Y14*MAX(0,Cards_New_Petite-Cards_Phys_Incl_Petite)+Y15*MAX(0,Cards_New_Moyenne-Cards_Phys_Incl_Moyenne)+Y16*MAX(0,Cards_New_Grande-Cards_Phys_Incl_Grande)</f>
        <v>0</v>
      </c>
      <c r="Z45" s="32" t="n">
        <f aca="false">Z14*MAX(0,Cards_New_Petite-Cards_Phys_Incl_Petite)+Z15*MAX(0,Cards_New_Moyenne-Cards_Phys_Incl_Moyenne)+Z16*MAX(0,Cards_New_Grande-Cards_Phys_Incl_Grande)</f>
        <v>0</v>
      </c>
      <c r="AA45" s="32" t="n">
        <f aca="false">AA14*MAX(0,Cards_New_Petite-Cards_Phys_Incl_Petite)+AA15*MAX(0,Cards_New_Moyenne-Cards_Phys_Incl_Moyenne)+AA16*MAX(0,Cards_New_Grande-Cards_Phys_Incl_Grande)</f>
        <v>0</v>
      </c>
      <c r="AB45" s="32" t="n">
        <f aca="false">AB14*MAX(0,Cards_New_Petite-Cards_Phys_Incl_Petite)+AB15*MAX(0,Cards_New_Moyenne-Cards_Phys_Incl_Moyenne)+AB16*MAX(0,Cards_New_Grande-Cards_Phys_Incl_Grande)</f>
        <v>0</v>
      </c>
      <c r="AC45" s="32" t="n">
        <f aca="false">AC14*MAX(0,Cards_New_Petite-Cards_Phys_Incl_Petite)+AC15*MAX(0,Cards_New_Moyenne-Cards_Phys_Incl_Moyenne)+AC16*MAX(0,Cards_New_Grande-Cards_Phys_Incl_Grande)</f>
        <v>0</v>
      </c>
      <c r="AD45" s="32" t="n">
        <f aca="false">AD14*MAX(0,Cards_New_Petite-Cards_Phys_Incl_Petite)+AD15*MAX(0,Cards_New_Moyenne-Cards_Phys_Incl_Moyenne)+AD16*MAX(0,Cards_New_Grande-Cards_Phys_Incl_Grande)</f>
        <v>0</v>
      </c>
      <c r="AE45" s="32" t="n">
        <f aca="false">AE14*MAX(0,Cards_New_Petite-Cards_Phys_Incl_Petite)+AE15*MAX(0,Cards_New_Moyenne-Cards_Phys_Incl_Moyenne)+AE16*MAX(0,Cards_New_Grande-Cards_Phys_Incl_Grande)</f>
        <v>0</v>
      </c>
      <c r="AF45" s="32" t="n">
        <f aca="false">AF14*MAX(0,Cards_New_Petite-Cards_Phys_Incl_Petite)+AF15*MAX(0,Cards_New_Moyenne-Cards_Phys_Incl_Moyenne)+AF16*MAX(0,Cards_New_Grande-Cards_Phys_Incl_Grande)</f>
        <v>0</v>
      </c>
      <c r="AG45" s="32" t="n">
        <f aca="false">AG14*MAX(0,Cards_New_Petite-Cards_Phys_Incl_Petite)+AG15*MAX(0,Cards_New_Moyenne-Cards_Phys_Incl_Moyenne)+AG16*MAX(0,Cards_New_Grande-Cards_Phys_Incl_Grande)</f>
        <v>0</v>
      </c>
      <c r="AH45" s="32" t="n">
        <f aca="false">AH14*MAX(0,Cards_New_Petite-Cards_Phys_Incl_Petite)+AH15*MAX(0,Cards_New_Moyenne-Cards_Phys_Incl_Moyenne)+AH16*MAX(0,Cards_New_Grande-Cards_Phys_Incl_Grande)</f>
        <v>0</v>
      </c>
      <c r="AI45" s="32" t="n">
        <f aca="false">AI14*MAX(0,Cards_New_Petite-Cards_Phys_Incl_Petite)+AI15*MAX(0,Cards_New_Moyenne-Cards_Phys_Incl_Moyenne)+AI16*MAX(0,Cards_New_Grande-Cards_Phys_Incl_Grande)</f>
        <v>0</v>
      </c>
      <c r="AJ45" s="32" t="n">
        <f aca="false">AJ14*MAX(0,Cards_New_Petite-Cards_Phys_Incl_Petite)+AJ15*MAX(0,Cards_New_Moyenne-Cards_Phys_Incl_Moyenne)+AJ16*MAX(0,Cards_New_Grande-Cards_Phys_Incl_Grande)</f>
        <v>0</v>
      </c>
      <c r="AK45" s="32" t="n">
        <f aca="false">AK14*MAX(0,Cards_New_Petite-Cards_Phys_Incl_Petite)+AK15*MAX(0,Cards_New_Moyenne-Cards_Phys_Incl_Moyenne)+AK16*MAX(0,Cards_New_Grande-Cards_Phys_Incl_Grande)</f>
        <v>0</v>
      </c>
      <c r="AL45" s="32" t="n">
        <f aca="false">AL14*MAX(0,Cards_New_Petite-Cards_Phys_Incl_Petite)+AL15*MAX(0,Cards_New_Moyenne-Cards_Phys_Incl_Moyenne)+AL16*MAX(0,Cards_New_Grande-Cards_Phys_Incl_Grande)</f>
        <v>0</v>
      </c>
      <c r="AM45" s="32" t="n">
        <f aca="false">AM14*MAX(0,Cards_New_Petite-Cards_Phys_Incl_Petite)+AM15*MAX(0,Cards_New_Moyenne-Cards_Phys_Incl_Moyenne)+AM16*MAX(0,Cards_New_Grande-Cards_Phys_Incl_Grande)</f>
        <v>0</v>
      </c>
      <c r="AN45" s="32" t="n">
        <f aca="false">AN14*MAX(0,Cards_New_Petite-Cards_Phys_Incl_Petite)+AN15*MAX(0,Cards_New_Moyenne-Cards_Phys_Incl_Moyenne)+AN16*MAX(0,Cards_New_Grande-Cards_Phys_Incl_Grande)</f>
        <v>0</v>
      </c>
      <c r="AO45" s="32" t="n">
        <f aca="false">AO14*MAX(0,Cards_New_Petite-Cards_Phys_Incl_Petite)+AO15*MAX(0,Cards_New_Moyenne-Cards_Phys_Incl_Moyenne)+AO16*MAX(0,Cards_New_Grande-Cards_Phys_Incl_Grande)</f>
        <v>0</v>
      </c>
      <c r="AP45" s="32" t="n">
        <f aca="false">AP14*MAX(0,Cards_New_Petite-Cards_Phys_Incl_Petite)+AP15*MAX(0,Cards_New_Moyenne-Cards_Phys_Incl_Moyenne)+AP16*MAX(0,Cards_New_Grande-Cards_Phys_Incl_Grande)</f>
        <v>0</v>
      </c>
      <c r="AQ45" s="32" t="n">
        <f aca="false">AQ14*MAX(0,Cards_New_Petite-Cards_Phys_Incl_Petite)+AQ15*MAX(0,Cards_New_Moyenne-Cards_Phys_Incl_Moyenne)+AQ16*MAX(0,Cards_New_Grande-Cards_Phys_Incl_Grande)</f>
        <v>0</v>
      </c>
      <c r="AR45" s="32" t="n">
        <f aca="false">AR14*MAX(0,Cards_New_Petite-Cards_Phys_Incl_Petite)+AR15*MAX(0,Cards_New_Moyenne-Cards_Phys_Incl_Moyenne)+AR16*MAX(0,Cards_New_Grande-Cards_Phys_Incl_Grande)</f>
        <v>0</v>
      </c>
      <c r="AS45" s="32" t="n">
        <f aca="false">AS14*MAX(0,Cards_New_Petite-Cards_Phys_Incl_Petite)+AS15*MAX(0,Cards_New_Moyenne-Cards_Phys_Incl_Moyenne)+AS16*MAX(0,Cards_New_Grande-Cards_Phys_Incl_Grande)</f>
        <v>0</v>
      </c>
      <c r="AT45" s="32" t="n">
        <f aca="false">AT14*MAX(0,Cards_New_Petite-Cards_Phys_Incl_Petite)+AT15*MAX(0,Cards_New_Moyenne-Cards_Phys_Incl_Moyenne)+AT16*MAX(0,Cards_New_Grande-Cards_Phys_Incl_Grande)</f>
        <v>0</v>
      </c>
      <c r="AU45" s="32" t="n">
        <f aca="false">AU14*MAX(0,Cards_New_Petite-Cards_Phys_Incl_Petite)+AU15*MAX(0,Cards_New_Moyenne-Cards_Phys_Incl_Moyenne)+AU16*MAX(0,Cards_New_Grande-Cards_Phys_Incl_Grande)</f>
        <v>0</v>
      </c>
      <c r="AV45" s="32" t="n">
        <f aca="false">AV14*MAX(0,Cards_New_Petite-Cards_Phys_Incl_Petite)+AV15*MAX(0,Cards_New_Moyenne-Cards_Phys_Incl_Moyenne)+AV16*MAX(0,Cards_New_Grande-Cards_Phys_Incl_Grande)</f>
        <v>0</v>
      </c>
      <c r="AW45" s="32" t="n">
        <f aca="false">AW14*MAX(0,Cards_New_Petite-Cards_Phys_Incl_Petite)+AW15*MAX(0,Cards_New_Moyenne-Cards_Phys_Incl_Moyenne)+AW16*MAX(0,Cards_New_Grande-Cards_Phys_Incl_Grande)</f>
        <v>0</v>
      </c>
      <c r="AX45" s="32" t="n">
        <f aca="false">AX14*MAX(0,Cards_New_Petite-Cards_Phys_Incl_Petite)+AX15*MAX(0,Cards_New_Moyenne-Cards_Phys_Incl_Moyenne)+AX16*MAX(0,Cards_New_Grande-Cards_Phys_Incl_Grande)</f>
        <v>0</v>
      </c>
      <c r="AY45" s="32" t="n">
        <f aca="false">AY14*MAX(0,Cards_New_Petite-Cards_Phys_Incl_Petite)+AY15*MAX(0,Cards_New_Moyenne-Cards_Phys_Incl_Moyenne)+AY16*MAX(0,Cards_New_Grande-Cards_Phys_Incl_Grande)</f>
        <v>0</v>
      </c>
      <c r="AZ45" s="32" t="n">
        <f aca="false">AZ14*MAX(0,Cards_New_Petite-Cards_Phys_Incl_Petite)+AZ15*MAX(0,Cards_New_Moyenne-Cards_Phys_Incl_Moyenne)+AZ16*MAX(0,Cards_New_Grande-Cards_Phys_Incl_Grande)</f>
        <v>0</v>
      </c>
      <c r="BA45" s="32" t="n">
        <f aca="false">BA14*MAX(0,Cards_New_Petite-Cards_Phys_Incl_Petite)+BA15*MAX(0,Cards_New_Moyenne-Cards_Phys_Incl_Moyenne)+BA16*MAX(0,Cards_New_Grande-Cards_Phys_Incl_Grande)</f>
        <v>0</v>
      </c>
      <c r="BB45" s="32" t="n">
        <f aca="false">BB14*MAX(0,Cards_New_Petite-Cards_Phys_Incl_Petite)+BB15*MAX(0,Cards_New_Moyenne-Cards_Phys_Incl_Moyenne)+BB16*MAX(0,Cards_New_Grande-Cards_Phys_Incl_Grande)</f>
        <v>0</v>
      </c>
      <c r="BC45" s="32" t="n">
        <f aca="false">BC14*MAX(0,Cards_New_Petite-Cards_Phys_Incl_Petite)+BC15*MAX(0,Cards_New_Moyenne-Cards_Phys_Incl_Moyenne)+BC16*MAX(0,Cards_New_Grande-Cards_Phys_Incl_Grande)</f>
        <v>0</v>
      </c>
      <c r="BD45" s="32" t="n">
        <f aca="false">BD14*MAX(0,Cards_New_Petite-Cards_Phys_Incl_Petite)+BD15*MAX(0,Cards_New_Moyenne-Cards_Phys_Incl_Moyenne)+BD16*MAX(0,Cards_New_Grande-Cards_Phys_Incl_Grande)</f>
        <v>0</v>
      </c>
      <c r="BE45" s="32" t="n">
        <f aca="false">BE14*MAX(0,Cards_New_Petite-Cards_Phys_Incl_Petite)+BE15*MAX(0,Cards_New_Moyenne-Cards_Phys_Incl_Moyenne)+BE16*MAX(0,Cards_New_Grande-Cards_Phys_Incl_Grande)</f>
        <v>0</v>
      </c>
      <c r="BF45" s="32" t="n">
        <f aca="false">BF14*MAX(0,Cards_New_Petite-Cards_Phys_Incl_Petite)+BF15*MAX(0,Cards_New_Moyenne-Cards_Phys_Incl_Moyenne)+BF16*MAX(0,Cards_New_Grande-Cards_Phys_Incl_Grande)</f>
        <v>0</v>
      </c>
      <c r="BG45" s="32" t="n">
        <f aca="false">BG14*MAX(0,Cards_New_Petite-Cards_Phys_Incl_Petite)+BG15*MAX(0,Cards_New_Moyenne-Cards_Phys_Incl_Moyenne)+BG16*MAX(0,Cards_New_Grande-Cards_Phys_Incl_Grande)</f>
        <v>0</v>
      </c>
      <c r="BH45" s="32" t="n">
        <f aca="false">BH14*MAX(0,Cards_New_Petite-Cards_Phys_Incl_Petite)+BH15*MAX(0,Cards_New_Moyenne-Cards_Phys_Incl_Moyenne)+BH16*MAX(0,Cards_New_Grande-Cards_Phys_Incl_Grande)</f>
        <v>0</v>
      </c>
      <c r="BI45" s="32" t="n">
        <f aca="false">BI14*MAX(0,Cards_New_Petite-Cards_Phys_Incl_Petite)+BI15*MAX(0,Cards_New_Moyenne-Cards_Phys_Incl_Moyenne)+BI16*MAX(0,Cards_New_Grande-Cards_Phys_Incl_Grande)</f>
        <v>0</v>
      </c>
      <c r="BJ45" s="32" t="n">
        <f aca="false">BJ14*MAX(0,Cards_New_Petite-Cards_Phys_Incl_Petite)+BJ15*MAX(0,Cards_New_Moyenne-Cards_Phys_Incl_Moyenne)+BJ16*MAX(0,Cards_New_Grande-Cards_Phys_Incl_Grande)</f>
        <v>0</v>
      </c>
      <c r="BK45" s="32" t="n">
        <f aca="false">BK14*MAX(0,Cards_New_Petite-Cards_Phys_Incl_Petite)+BK15*MAX(0,Cards_New_Moyenne-Cards_Phys_Incl_Moyenne)+BK16*MAX(0,Cards_New_Grande-Cards_Phys_Incl_Grande)</f>
        <v>0</v>
      </c>
      <c r="BL45" s="32" t="n">
        <f aca="false">BL14*MAX(0,Cards_New_Petite-Cards_Phys_Incl_Petite)+BL15*MAX(0,Cards_New_Moyenne-Cards_Phys_Incl_Moyenne)+BL16*MAX(0,Cards_New_Grande-Cards_Phys_Incl_Grande)</f>
        <v>0</v>
      </c>
    </row>
    <row r="46" customFormat="false" ht="15" hidden="false" customHeight="false" outlineLevel="0" collapsed="false">
      <c r="A46" s="12" t="s">
        <v>1020</v>
      </c>
      <c r="B46" s="14" t="s">
        <v>77</v>
      </c>
      <c r="D46" s="55" t="n">
        <f aca="false">SUM(E46:BL46)</f>
        <v>568144260542.087</v>
      </c>
      <c r="E46" s="32" t="n">
        <f aca="false">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F46" s="32" t="n">
        <f aca="false">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G46" s="32" t="n">
        <f aca="false">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H46" s="32" t="n">
        <f aca="false">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I46" s="32" t="n">
        <f aca="false">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137517333.333333</v>
      </c>
      <c r="J46" s="32" t="n">
        <f aca="false">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274825706.666667</v>
      </c>
      <c r="K46" s="32" t="n">
        <f aca="false">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412010130.7</v>
      </c>
      <c r="L46" s="32" t="n">
        <f aca="false">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549159422.014333</v>
      </c>
      <c r="M46" s="32" t="n">
        <f aca="false">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686366450.912994</v>
      </c>
      <c r="N46" s="32" t="n">
        <f aca="false">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823728403.810288</v>
      </c>
      <c r="O46" s="32" t="n">
        <f aca="false">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961347061.046052</v>
      </c>
      <c r="P46" s="32" t="n">
        <f aca="false">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1099329091.05728</v>
      </c>
      <c r="Q46" s="32" t="n">
        <f aca="false">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1286343695.2271</v>
      </c>
      <c r="R46" s="32" t="n">
        <f aca="false">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1473405977.79051</v>
      </c>
      <c r="S46" s="32" t="n">
        <f aca="false">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1660646249.9389</v>
      </c>
      <c r="T46" s="32" t="n">
        <f aca="false">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1848200968.50623</v>
      </c>
      <c r="U46" s="32" t="n">
        <f aca="false">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2036213129.64978</v>
      </c>
      <c r="V46" s="32" t="n">
        <f aca="false">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2224832685.74118</v>
      </c>
      <c r="W46" s="32" t="n">
        <f aca="false">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2519486320.2009</v>
      </c>
      <c r="X46" s="32" t="n">
        <f aca="false">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2814889275.09317</v>
      </c>
      <c r="Y46" s="32" t="n">
        <f aca="false">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3133519193.1874</v>
      </c>
      <c r="Z46" s="32" t="n">
        <f aca="false">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3453135852.29347</v>
      </c>
      <c r="AA46" s="32" t="n">
        <f aca="false">A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3774004328.91131</v>
      </c>
      <c r="AB46" s="32" t="n">
        <f aca="false">A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4096402914.42213</v>
      </c>
      <c r="AC46" s="32" t="n">
        <f aca="false">A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4518109281.24946</v>
      </c>
      <c r="AD46" s="32" t="n">
        <f aca="false">A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4940851285.00105</v>
      </c>
      <c r="AE46" s="32" t="n">
        <f aca="false">A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5387206181.99549</v>
      </c>
      <c r="AF46" s="32" t="n">
        <f aca="false">A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5835038275.18166</v>
      </c>
      <c r="AG46" s="32" t="n">
        <f aca="false">A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6284722388.14704</v>
      </c>
      <c r="AH46" s="32" t="n">
        <f aca="false">A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6736652110.03427</v>
      </c>
      <c r="AI46" s="32" t="n">
        <f aca="false">A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7213480976.56683</v>
      </c>
      <c r="AJ46" s="32" t="n">
        <f aca="false">A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7693154121.03461</v>
      </c>
      <c r="AK46" s="32" t="n">
        <f aca="false">A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8176132021.45285</v>
      </c>
      <c r="AL46" s="32" t="n">
        <f aca="false">A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8662899035.02028</v>
      </c>
      <c r="AM46" s="32" t="n">
        <f aca="false">A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9176204886.06103</v>
      </c>
      <c r="AN46" s="32" t="n">
        <f aca="false">A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9694096642.34324</v>
      </c>
      <c r="AO46" s="32" t="n">
        <f aca="false">A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10285716140.4261</v>
      </c>
      <c r="AP46" s="32" t="n">
        <f aca="false">A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10904559285.6661</v>
      </c>
      <c r="AQ46" s="32" t="n">
        <f aca="false">A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11528777462.1413</v>
      </c>
      <c r="AR46" s="32" t="n">
        <f aca="false">A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12159048927.9046</v>
      </c>
      <c r="AS46" s="32" t="n">
        <f aca="false">A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12818328053.4125</v>
      </c>
      <c r="AT46" s="32" t="n">
        <f aca="false">A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13484877955.4799</v>
      </c>
      <c r="AU46" s="32" t="n">
        <f aca="false">A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14159495286.1787</v>
      </c>
      <c r="AV46" s="32" t="n">
        <f aca="false">A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14885275871.3382</v>
      </c>
      <c r="AW46" s="32" t="n">
        <f aca="false">A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15614020761.6488</v>
      </c>
      <c r="AX46" s="32" t="n">
        <f aca="false">A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16361610804.8209</v>
      </c>
      <c r="AY46" s="32" t="n">
        <f aca="false">A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17105877973.6375</v>
      </c>
      <c r="AZ46" s="32" t="n">
        <f aca="false">A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17847159625.7169</v>
      </c>
      <c r="BA46" s="32" t="n">
        <f aca="false">B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18676990486.2047</v>
      </c>
      <c r="BB46" s="32" t="n">
        <f aca="false">B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19503528190.1063</v>
      </c>
      <c r="BC46" s="32" t="n">
        <f aca="false">B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20349406167.3358</v>
      </c>
      <c r="BD46" s="32" t="n">
        <f aca="false">B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21192544288.9668</v>
      </c>
      <c r="BE46" s="32" t="n">
        <f aca="false">B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22053388362.002</v>
      </c>
      <c r="BF46" s="32" t="n">
        <f aca="false">B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22934385755.3841</v>
      </c>
      <c r="BG46" s="32" t="n">
        <f aca="false">B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23813517182.2848</v>
      </c>
      <c r="BH46" s="32" t="n">
        <f aca="false">B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24713516812.5533</v>
      </c>
      <c r="BI46" s="32" t="n">
        <f aca="false">B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25632427151.544</v>
      </c>
      <c r="BJ46" s="32" t="n">
        <f aca="false">B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26572790250.1697</v>
      </c>
      <c r="BK46" s="32" t="n">
        <f aca="false">B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27507921152.1021</v>
      </c>
      <c r="BL46" s="32" t="n">
        <f aca="false">B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28455185200.4713</v>
      </c>
    </row>
    <row r="47" customFormat="false" ht="15" hidden="false" customHeight="false" outlineLevel="0" collapsed="false">
      <c r="A47" s="12" t="s">
        <v>1021</v>
      </c>
      <c r="B47" s="14" t="s">
        <v>1022</v>
      </c>
      <c r="D47" s="55" t="n">
        <f aca="false">SUM(E47:BL47)</f>
        <v>1811052.03645918</v>
      </c>
      <c r="E47" s="32" t="n">
        <f aca="false">IF(E$3&gt;=Payroll_Mod_Start,MIN(1,(E$3-Payroll_Mod_Start+1)/Payroll_Mod_Ramp)*Payroll_Mod_Uptake,0)*E31</f>
        <v>0</v>
      </c>
      <c r="F47" s="32" t="n">
        <f aca="false">IF(F$3&gt;=Payroll_Mod_Start,MIN(1,(F$3-Payroll_Mod_Start+1)/Payroll_Mod_Ramp)*Payroll_Mod_Uptake,0)*F31</f>
        <v>0</v>
      </c>
      <c r="G47" s="32" t="n">
        <f aca="false">IF(G$3&gt;=Payroll_Mod_Start,MIN(1,(G$3-Payroll_Mod_Start+1)/Payroll_Mod_Ramp)*Payroll_Mod_Uptake,0)*G31</f>
        <v>0</v>
      </c>
      <c r="H47" s="32" t="n">
        <f aca="false">IF(H$3&gt;=Payroll_Mod_Start,MIN(1,(H$3-Payroll_Mod_Start+1)/Payroll_Mod_Ramp)*Payroll_Mod_Uptake,0)*H31</f>
        <v>0</v>
      </c>
      <c r="I47" s="32" t="n">
        <f aca="false">IF(I$3&gt;=Payroll_Mod_Start,MIN(1,(I$3-Payroll_Mod_Start+1)/Payroll_Mod_Ramp)*Payroll_Mod_Uptake,0)*I31</f>
        <v>0</v>
      </c>
      <c r="J47" s="32" t="n">
        <f aca="false">IF(J$3&gt;=Payroll_Mod_Start,MIN(1,(J$3-Payroll_Mod_Start+1)/Payroll_Mod_Ramp)*Payroll_Mod_Uptake,0)*J31</f>
        <v>0</v>
      </c>
      <c r="K47" s="32" t="n">
        <f aca="false">IF(K$3&gt;=Payroll_Mod_Start,MIN(1,(K$3-Payroll_Mod_Start+1)/Payroll_Mod_Ramp)*Payroll_Mod_Uptake,0)*K31</f>
        <v>0</v>
      </c>
      <c r="L47" s="32" t="n">
        <f aca="false">IF(L$3&gt;=Payroll_Mod_Start,MIN(1,(L$3-Payroll_Mod_Start+1)/Payroll_Mod_Ramp)*Payroll_Mod_Uptake,0)*L31</f>
        <v>0</v>
      </c>
      <c r="M47" s="32" t="n">
        <f aca="false">IF(M$3&gt;=Payroll_Mod_Start,MIN(1,(M$3-Payroll_Mod_Start+1)/Payroll_Mod_Ramp)*Payroll_Mod_Uptake,0)*M31</f>
        <v>0</v>
      </c>
      <c r="N47" s="32" t="n">
        <f aca="false">IF(N$3&gt;=Payroll_Mod_Start,MIN(1,(N$3-Payroll_Mod_Start+1)/Payroll_Mod_Ramp)*Payroll_Mod_Uptake,0)*N31</f>
        <v>0</v>
      </c>
      <c r="O47" s="32" t="n">
        <f aca="false">IF(O$3&gt;=Payroll_Mod_Start,MIN(1,(O$3-Payroll_Mod_Start+1)/Payroll_Mod_Ramp)*Payroll_Mod_Uptake,0)*O31</f>
        <v>259.652879192307</v>
      </c>
      <c r="P47" s="32" t="n">
        <f aca="false">IF(P$3&gt;=Payroll_Mod_Start,MIN(1,(P$3-Payroll_Mod_Start+1)/Payroll_Mod_Ramp)*Payroll_Mod_Uptake,0)*P31</f>
        <v>593.950904876104</v>
      </c>
      <c r="Q47" s="32" t="n">
        <f aca="false">IF(Q$3&gt;=Payroll_Mod_Start,MIN(1,(Q$3-Payroll_Mod_Start+1)/Payroll_Mod_Ramp)*Payroll_Mod_Uptake,0)*Q31</f>
        <v>1042.6184422437</v>
      </c>
      <c r="R47" s="32" t="n">
        <f aca="false">IF(R$3&gt;=Payroll_Mod_Start,MIN(1,(R$3-Payroll_Mod_Start+1)/Payroll_Mod_Ramp)*Payroll_Mod_Uptake,0)*R31</f>
        <v>1592.53839238588</v>
      </c>
      <c r="S47" s="32" t="n">
        <f aca="false">IF(S$3&gt;=Payroll_Mod_Start,MIN(1,(S$3-Payroll_Mod_Start+1)/Payroll_Mod_Ramp)*Payroll_Mod_Uptake,0)*S31</f>
        <v>2243.97864616134</v>
      </c>
      <c r="T47" s="32" t="n">
        <f aca="false">IF(T$3&gt;=Payroll_Mod_Start,MIN(1,(T$3-Payroll_Mod_Start+1)/Payroll_Mod_Ramp)*Payroll_Mod_Uptake,0)*T31</f>
        <v>2997.35684324273</v>
      </c>
      <c r="U47" s="32" t="n">
        <f aca="false">IF(U$3&gt;=Payroll_Mod_Start,MIN(1,(U$3-Payroll_Mod_Start+1)/Payroll_Mod_Ramp)*Payroll_Mod_Uptake,0)*U31</f>
        <v>3853.24949334755</v>
      </c>
      <c r="V47" s="32" t="n">
        <f aca="false">IF(V$3&gt;=Payroll_Mod_Start,MIN(1,(V$3-Payroll_Mod_Start+1)/Payroll_Mod_Ramp)*Payroll_Mod_Uptake,0)*V31</f>
        <v>4812.40178760918</v>
      </c>
      <c r="W47" s="32" t="n">
        <f aca="false">IF(W$3&gt;=Payroll_Mod_Start,MIN(1,(W$3-Payroll_Mod_Start+1)/Payroll_Mod_Ramp)*Payroll_Mod_Uptake,0)*W31</f>
        <v>6131.33814759103</v>
      </c>
      <c r="X47" s="32" t="n">
        <f aca="false">IF(X$3&gt;=Payroll_Mod_Start,MIN(1,(X$3-Payroll_Mod_Start+1)/Payroll_Mod_Ramp)*Payroll_Mod_Uptake,0)*X31</f>
        <v>7611.996896045</v>
      </c>
      <c r="Y47" s="32" t="n">
        <f aca="false">IF(Y$3&gt;=Payroll_Mod_Start,MIN(1,(Y$3-Payroll_Mod_Start+1)/Payroll_Mod_Ramp)*Payroll_Mod_Uptake,0)*Y31</f>
        <v>9321.77109949945</v>
      </c>
      <c r="Z47" s="32" t="n">
        <f aca="false">IF(Z$3&gt;=Payroll_Mod_Start,MIN(1,(Z$3-Payroll_Mod_Start+1)/Payroll_Mod_Ramp)*Payroll_Mod_Uptake,0)*Z31</f>
        <v>11207.5674711556</v>
      </c>
      <c r="AA47" s="32" t="n">
        <f aca="false">IF(AA$3&gt;=Payroll_Mod_Start,MIN(1,(AA$3-Payroll_Mod_Start+1)/Payroll_Mod_Ramp)*Payroll_Mod_Uptake,0)*AA31</f>
        <v>12250.3389420951</v>
      </c>
      <c r="AB47" s="32" t="n">
        <f aca="false">IF(AB$3&gt;=Payroll_Mod_Start,MIN(1,(AB$3-Payroll_Mod_Start+1)/Payroll_Mod_Ramp)*Payroll_Mod_Uptake,0)*AB31</f>
        <v>13298.4171750915</v>
      </c>
      <c r="AC47" s="32" t="n">
        <f aca="false">IF(AC$3&gt;=Payroll_Mod_Start,MIN(1,(AC$3-Payroll_Mod_Start+1)/Payroll_Mod_Ramp)*Payroll_Mod_Uptake,0)*AC31</f>
        <v>14668.3459699712</v>
      </c>
      <c r="AD47" s="32" t="n">
        <f aca="false">IF(AD$3&gt;=Payroll_Mod_Start,MIN(1,(AD$3-Payroll_Mod_Start+1)/Payroll_Mod_Ramp)*Payroll_Mod_Uptake,0)*AD31</f>
        <v>16042.0988682319</v>
      </c>
      <c r="AE47" s="32" t="n">
        <f aca="false">IF(AE$3&gt;=Payroll_Mod_Start,MIN(1,(AE$3-Payroll_Mod_Start+1)/Payroll_Mod_Ramp)*Payroll_Mod_Uptake,0)*AE31</f>
        <v>17492.7629290689</v>
      </c>
      <c r="AF47" s="32" t="n">
        <f aca="false">IF(AF$3&gt;=Payroll_Mod_Start,MIN(1,(AF$3-Payroll_Mod_Start+1)/Payroll_Mod_Ramp)*Payroll_Mod_Uptake,0)*AF31</f>
        <v>18948.6995977543</v>
      </c>
      <c r="AG47" s="32" t="n">
        <f aca="false">IF(AG$3&gt;=Payroll_Mod_Start,MIN(1,(AG$3-Payroll_Mod_Start+1)/Payroll_Mod_Ramp)*Payroll_Mod_Uptake,0)*AG31</f>
        <v>20411.1178758014</v>
      </c>
      <c r="AH47" s="32" t="n">
        <f aca="false">IF(AH$3&gt;=Payroll_Mod_Start,MIN(1,(AH$3-Payroll_Mod_Start+1)/Payroll_Mod_Ramp)*Payroll_Mod_Uptake,0)*AH31</f>
        <v>21881.2880539262</v>
      </c>
      <c r="AI47" s="32" t="n">
        <f aca="false">IF(AI$3&gt;=Payroll_Mod_Start,MIN(1,(AI$3-Payroll_Mod_Start+1)/Payroll_Mod_Ramp)*Payroll_Mod_Uptake,0)*AI31</f>
        <v>23432.5455520051</v>
      </c>
      <c r="AJ47" s="32" t="n">
        <f aca="false">IF(AJ$3&gt;=Payroll_Mod_Start,MIN(1,(AJ$3-Payroll_Mod_Start+1)/Payroll_Mod_Ramp)*Payroll_Mod_Uptake,0)*AJ31</f>
        <v>24993.5149868079</v>
      </c>
      <c r="AK47" s="32" t="n">
        <f aca="false">IF(AK$3&gt;=Payroll_Mod_Start,MIN(1,(AK$3-Payroll_Mod_Start+1)/Payroll_Mod_Ramp)*Payroll_Mod_Uptake,0)*AK31</f>
        <v>26565.6842312161</v>
      </c>
      <c r="AL47" s="32" t="n">
        <f aca="false">IF(AL$3&gt;=Payroll_Mod_Start,MIN(1,(AL$3-Payroll_Mod_Start+1)/Payroll_Mod_Ramp)*Payroll_Mod_Uptake,0)*AL31</f>
        <v>28150.6190895891</v>
      </c>
      <c r="AM47" s="32" t="n">
        <f aca="false">IF(AM$3&gt;=Payroll_Mod_Start,MIN(1,(AM$3-Payroll_Mod_Start+1)/Payroll_Mod_Ramp)*Payroll_Mod_Uptake,0)*AM31</f>
        <v>29821.9681366736</v>
      </c>
      <c r="AN47" s="32" t="n">
        <f aca="false">IF(AN$3&gt;=Payroll_Mod_Start,MIN(1,(AN$3-Payroll_Mod_Start+1)/Payroll_Mod_Ramp)*Payroll_Mod_Uptake,0)*AN31</f>
        <v>31508.6878442298</v>
      </c>
      <c r="AO47" s="32" t="n">
        <f aca="false">IF(AO$3&gt;=Payroll_Mod_Start,MIN(1,(AO$3-Payroll_Mod_Start+1)/Payroll_Mod_Ramp)*Payroll_Mod_Uptake,0)*AO31</f>
        <v>33434.6177626822</v>
      </c>
      <c r="AP47" s="32" t="n">
        <f aca="false">IF(AP$3&gt;=Payroll_Mod_Start,MIN(1,(AP$3-Payroll_Mod_Start+1)/Payroll_Mod_Ramp)*Payroll_Mod_Uptake,0)*AP31</f>
        <v>35449.2913862659</v>
      </c>
      <c r="AQ47" s="32" t="n">
        <f aca="false">IF(AQ$3&gt;=Payroll_Mod_Start,MIN(1,(AQ$3-Payroll_Mod_Start+1)/Payroll_Mod_Ramp)*Payroll_Mod_Uptake,0)*AQ31</f>
        <v>37482.0023156086</v>
      </c>
      <c r="AR47" s="32" t="n">
        <f aca="false">IF(AR$3&gt;=Payroll_Mod_Start,MIN(1,(AR$3-Payroll_Mod_Start+1)/Payroll_Mod_Ramp)*Payroll_Mod_Uptake,0)*AR31</f>
        <v>39534.9449774211</v>
      </c>
      <c r="AS47" s="32" t="n">
        <f aca="false">IF(AS$3&gt;=Payroll_Mod_Start,MIN(1,(AS$3-Payroll_Mod_Start+1)/Payroll_Mod_Ramp)*Payroll_Mod_Uptake,0)*AS31</f>
        <v>41682.4315902501</v>
      </c>
      <c r="AT47" s="32" t="n">
        <f aca="false">IF(AT$3&gt;=Payroll_Mod_Start,MIN(1,(AT$3-Payroll_Mod_Start+1)/Payroll_Mod_Ramp)*Payroll_Mod_Uptake,0)*AT31</f>
        <v>43854.1194306267</v>
      </c>
      <c r="AU47" s="32" t="n">
        <f aca="false">IF(AU$3&gt;=Payroll_Mod_Start,MIN(1,(AU$3-Payroll_Mod_Start+1)/Payroll_Mod_Ramp)*Payroll_Mod_Uptake,0)*AU31</f>
        <v>46052.5882820035</v>
      </c>
      <c r="AV47" s="32" t="n">
        <f aca="false">IF(AV$3&gt;=Payroll_Mod_Start,MIN(1,(AV$3-Payroll_Mod_Start+1)/Payroll_Mod_Ramp)*Payroll_Mod_Uptake,0)*AV31</f>
        <v>48417.3587026269</v>
      </c>
      <c r="AW47" s="32" t="n">
        <f aca="false">IF(AW$3&gt;=Payroll_Mod_Start,MIN(1,(AW$3-Payroll_Mod_Start+1)/Payroll_Mod_Ramp)*Payroll_Mod_Uptake,0)*AW31</f>
        <v>50792.4469804486</v>
      </c>
      <c r="AX47" s="32" t="n">
        <f aca="false">IF(AX$3&gt;=Payroll_Mod_Start,MIN(1,(AX$3-Payroll_Mod_Start+1)/Payroll_Mod_Ramp)*Payroll_Mod_Uptake,0)*AX31</f>
        <v>53229.2604530227</v>
      </c>
      <c r="AY47" s="32" t="n">
        <f aca="false">IF(AY$3&gt;=Payroll_Mod_Start,MIN(1,(AY$3-Payroll_Mod_Start+1)/Payroll_Mod_Ramp)*Payroll_Mod_Uptake,0)*AY31</f>
        <v>55656.0467616374</v>
      </c>
      <c r="AZ47" s="32" t="n">
        <f aca="false">IF(AZ$3&gt;=Payroll_Mod_Start,MIN(1,(AZ$3-Payroll_Mod_Start+1)/Payroll_Mod_Ramp)*Payroll_Mod_Uptake,0)*AZ31</f>
        <v>58073.8845574114</v>
      </c>
      <c r="BA47" s="32" t="n">
        <f aca="false">IF(BA$3&gt;=Payroll_Mod_Start,MIN(1,(BA$3-Payroll_Mod_Start+1)/Payroll_Mod_Ramp)*Payroll_Mod_Uptake,0)*BA31</f>
        <v>60779.0963776286</v>
      </c>
      <c r="BB47" s="32" t="n">
        <f aca="false">IF(BB$3&gt;=Payroll_Mod_Start,MIN(1,(BB$3-Payroll_Mod_Start+1)/Payroll_Mod_Ramp)*Payroll_Mod_Uptake,0)*BB31</f>
        <v>63474.4535755282</v>
      </c>
      <c r="BC47" s="32" t="n">
        <f aca="false">IF(BC$3&gt;=Payroll_Mod_Start,MIN(1,(BC$3-Payroll_Mod_Start+1)/Payroll_Mod_Ramp)*Payroll_Mod_Uptake,0)*BC31</f>
        <v>66233.215396152</v>
      </c>
      <c r="BD47" s="32" t="n">
        <f aca="false">IF(BD$3&gt;=Payroll_Mod_Start,MIN(1,(BD$3-Payroll_Mod_Start+1)/Payroll_Mod_Ramp)*Payroll_Mod_Uptake,0)*BD31</f>
        <v>68983.9137101091</v>
      </c>
      <c r="BE47" s="32" t="n">
        <f aca="false">IF(BE$3&gt;=Payroll_Mod_Start,MIN(1,(BE$3-Payroll_Mod_Start+1)/Payroll_Mod_Ramp)*Payroll_Mod_Uptake,0)*BE31</f>
        <v>71792.7262473932</v>
      </c>
      <c r="BF47" s="32" t="n">
        <f aca="false">IF(BF$3&gt;=Payroll_Mod_Start,MIN(1,(BF$3-Payroll_Mod_Start+1)/Payroll_Mod_Ramp)*Payroll_Mod_Uptake,0)*BF31</f>
        <v>74667.5883951551</v>
      </c>
      <c r="BG47" s="32" t="n">
        <f aca="false">IF(BG$3&gt;=Payroll_Mod_Start,MIN(1,(BG$3-Payroll_Mod_Start+1)/Payroll_Mod_Ramp)*Payroll_Mod_Uptake,0)*BG31</f>
        <v>77537.2298787416</v>
      </c>
      <c r="BH47" s="32" t="n">
        <f aca="false">IF(BH$3&gt;=Payroll_Mod_Start,MIN(1,(BH$3-Payroll_Mod_Start+1)/Payroll_Mod_Ramp)*Payroll_Mod_Uptake,0)*BH31</f>
        <v>80475.2377460147</v>
      </c>
      <c r="BI47" s="32" t="n">
        <f aca="false">IF(BI$3&gt;=Payroll_Mod_Start,MIN(1,(BI$3-Payroll_Mod_Start+1)/Payroll_Mod_Ramp)*Payroll_Mod_Uptake,0)*BI31</f>
        <v>83475.2908577089</v>
      </c>
      <c r="BJ47" s="32" t="n">
        <f aca="false">IF(BJ$3&gt;=Payroll_Mod_Start,MIN(1,(BJ$3-Payroll_Mod_Start+1)/Payroll_Mod_Ramp)*Payroll_Mod_Uptake,0)*BJ31</f>
        <v>86545.6322775469</v>
      </c>
      <c r="BK47" s="32" t="n">
        <f aca="false">IF(BK$3&gt;=Payroll_Mod_Start,MIN(1,(BK$3-Payroll_Mod_Start+1)/Payroll_Mod_Ramp)*Payroll_Mod_Uptake,0)*BK31</f>
        <v>89599.8883020253</v>
      </c>
      <c r="BL47" s="32" t="n">
        <f aca="false">IF(BL$3&gt;=Payroll_Mod_Start,MIN(1,(BL$3-Payroll_Mod_Start+1)/Payroll_Mod_Ramp)*Payroll_Mod_Uptake,0)*BL31</f>
        <v>92694.2602393544</v>
      </c>
    </row>
    <row r="48" customFormat="false" ht="15" hidden="false" customHeight="false" outlineLevel="0" collapsed="false">
      <c r="A48" s="12" t="s">
        <v>1023</v>
      </c>
      <c r="B48" s="14" t="s">
        <v>77</v>
      </c>
      <c r="D48" s="55" t="n">
        <f aca="false">SUM(E48:BL48)</f>
        <v>98034341926.9229</v>
      </c>
      <c r="E48" s="32" t="n">
        <f aca="false">IF(E$3&gt;=Intl_Start,MIN(1,(E$3-Intl_Start+1)/Intl_Ramp)*Intl_Uptake,0)*(E14*Intl_Vol_Petite+E15*Intl_Vol_Moyenne+E16*Intl_Vol_Grande)</f>
        <v>0</v>
      </c>
      <c r="F48" s="32" t="n">
        <f aca="false">IF(F$3&gt;=Intl_Start,MIN(1,(F$3-Intl_Start+1)/Intl_Ramp)*Intl_Uptake,0)*(F14*Intl_Vol_Petite+F15*Intl_Vol_Moyenne+F16*Intl_Vol_Grande)</f>
        <v>0</v>
      </c>
      <c r="G48" s="32" t="n">
        <f aca="false">IF(G$3&gt;=Intl_Start,MIN(1,(G$3-Intl_Start+1)/Intl_Ramp)*Intl_Uptake,0)*(G14*Intl_Vol_Petite+G15*Intl_Vol_Moyenne+G16*Intl_Vol_Grande)</f>
        <v>0</v>
      </c>
      <c r="H48" s="32" t="n">
        <f aca="false">IF(H$3&gt;=Intl_Start,MIN(1,(H$3-Intl_Start+1)/Intl_Ramp)*Intl_Uptake,0)*(H14*Intl_Vol_Petite+H15*Intl_Vol_Moyenne+H16*Intl_Vol_Grande)</f>
        <v>0</v>
      </c>
      <c r="I48" s="32" t="n">
        <f aca="false">IF(I$3&gt;=Intl_Start,MIN(1,(I$3-Intl_Start+1)/Intl_Ramp)*Intl_Uptake,0)*(I14*Intl_Vol_Petite+I15*Intl_Vol_Moyenne+I16*Intl_Vol_Grande)</f>
        <v>0</v>
      </c>
      <c r="J48" s="32" t="n">
        <f aca="false">IF(J$3&gt;=Intl_Start,MIN(1,(J$3-Intl_Start+1)/Intl_Ramp)*Intl_Uptake,0)*(J14*Intl_Vol_Petite+J15*Intl_Vol_Moyenne+J16*Intl_Vol_Grande)</f>
        <v>0</v>
      </c>
      <c r="K48" s="32" t="n">
        <f aca="false">IF(K$3&gt;=Intl_Start,MIN(1,(K$3-Intl_Start+1)/Intl_Ramp)*Intl_Uptake,0)*(K14*Intl_Vol_Petite+K15*Intl_Vol_Moyenne+K16*Intl_Vol_Grande)</f>
        <v>0</v>
      </c>
      <c r="L48" s="32" t="n">
        <f aca="false">IF(L$3&gt;=Intl_Start,MIN(1,(L$3-Intl_Start+1)/Intl_Ramp)*Intl_Uptake,0)*(L14*Intl_Vol_Petite+L15*Intl_Vol_Moyenne+L16*Intl_Vol_Grande)</f>
        <v>0</v>
      </c>
      <c r="M48" s="32" t="n">
        <f aca="false">IF(M$3&gt;=Intl_Start,MIN(1,(M$3-Intl_Start+1)/Intl_Ramp)*Intl_Uptake,0)*(M14*Intl_Vol_Petite+M15*Intl_Vol_Moyenne+M16*Intl_Vol_Grande)</f>
        <v>0</v>
      </c>
      <c r="N48" s="32" t="n">
        <f aca="false">IF(N$3&gt;=Intl_Start,MIN(1,(N$3-Intl_Start+1)/Intl_Ramp)*Intl_Uptake,0)*(N14*Intl_Vol_Petite+N15*Intl_Vol_Moyenne+N16*Intl_Vol_Grande)</f>
        <v>0</v>
      </c>
      <c r="O48" s="32" t="n">
        <f aca="false">IF(O$3&gt;=Intl_Start,MIN(1,(O$3-Intl_Start+1)/Intl_Ramp)*Intl_Uptake,0)*(O14*Intl_Vol_Petite+O15*Intl_Vol_Moyenne+O16*Intl_Vol_Grande)</f>
        <v>0</v>
      </c>
      <c r="P48" s="32" t="n">
        <f aca="false">IF(P$3&gt;=Intl_Start,MIN(1,(P$3-Intl_Start+1)/Intl_Ramp)*Intl_Uptake,0)*(P14*Intl_Vol_Petite+P15*Intl_Vol_Moyenne+P16*Intl_Vol_Grande)</f>
        <v>0</v>
      </c>
      <c r="Q48" s="32" t="n">
        <f aca="false">IF(Q$3&gt;=Intl_Start,MIN(1,(Q$3-Intl_Start+1)/Intl_Ramp)*Intl_Uptake,0)*(Q14*Intl_Vol_Petite+Q15*Intl_Vol_Moyenne+Q16*Intl_Vol_Grande)</f>
        <v>19202919.5799948</v>
      </c>
      <c r="R48" s="32" t="n">
        <f aca="false">IF(R$3&gt;=Intl_Start,MIN(1,(R$3-Intl_Start+1)/Intl_Ramp)*Intl_Uptake,0)*(R14*Intl_Vol_Petite+R15*Intl_Vol_Moyenne+R16*Intl_Vol_Grande)</f>
        <v>43974226.9381348</v>
      </c>
      <c r="S48" s="32" t="n">
        <f aca="false">IF(S$3&gt;=Intl_Start,MIN(1,(S$3-Intl_Start+1)/Intl_Ramp)*Intl_Uptake,0)*(S14*Intl_Vol_Petite+S15*Intl_Vol_Moyenne+S16*Intl_Vol_Grande)</f>
        <v>74313829.9365629</v>
      </c>
      <c r="T48" s="32" t="n">
        <f aca="false">IF(T$3&gt;=Intl_Start,MIN(1,(T$3-Intl_Start+1)/Intl_Ramp)*Intl_Uptake,0)*(T14*Intl_Vol_Petite+T15*Intl_Vol_Moyenne+T16*Intl_Vol_Grande)</f>
        <v>110229983.143927</v>
      </c>
      <c r="U48" s="32" t="n">
        <f aca="false">IF(U$3&gt;=Intl_Start,MIN(1,(U$3-Intl_Start+1)/Intl_Ramp)*Intl_Uptake,0)*(U14*Intl_Vol_Petite+U15*Intl_Vol_Moyenne+U16*Intl_Vol_Grande)</f>
        <v>151739763.297189</v>
      </c>
      <c r="V48" s="32" t="n">
        <f aca="false">IF(V$3&gt;=Intl_Start,MIN(1,(V$3-Intl_Start+1)/Intl_Ramp)*Intl_Uptake,0)*(V14*Intl_Vol_Petite+V15*Intl_Vol_Moyenne+V16*Intl_Vol_Grande)</f>
        <v>198869581.915105</v>
      </c>
      <c r="W48" s="32" t="n">
        <f aca="false">IF(W$3&gt;=Intl_Start,MIN(1,(W$3-Intl_Start+1)/Intl_Ramp)*Intl_Uptake,0)*(W14*Intl_Vol_Petite+W15*Intl_Vol_Moyenne+W16*Intl_Vol_Grande)</f>
        <v>262700182.048876</v>
      </c>
      <c r="X48" s="32" t="n">
        <f aca="false">IF(X$3&gt;=Intl_Start,MIN(1,(X$3-Intl_Start+1)/Intl_Ramp)*Intl_Uptake,0)*(X14*Intl_Vol_Petite+X15*Intl_Vol_Moyenne+X16*Intl_Vol_Grande)</f>
        <v>335354201.886566</v>
      </c>
      <c r="Y48" s="32" t="n">
        <f aca="false">IF(Y$3&gt;=Intl_Start,MIN(1,(Y$3-Intl_Start+1)/Intl_Ramp)*Intl_Uptake,0)*(Y14*Intl_Vol_Petite+Y15*Intl_Vol_Moyenne+Y16*Intl_Vol_Grande)</f>
        <v>419885244.620708</v>
      </c>
      <c r="Z48" s="32" t="n">
        <f aca="false">IF(Z$3&gt;=Intl_Start,MIN(1,(Z$3-Intl_Start+1)/Intl_Ramp)*Intl_Uptake,0)*(Z14*Intl_Vol_Petite+Z15*Intl_Vol_Moyenne+Z16*Intl_Vol_Grande)</f>
        <v>513988766.718057</v>
      </c>
      <c r="AA48" s="32" t="n">
        <f aca="false">IF(AA$3&gt;=Intl_Start,MIN(1,(AA$3-Intl_Start+1)/Intl_Ramp)*Intl_Uptake,0)*(AA14*Intl_Vol_Petite+AA15*Intl_Vol_Moyenne+AA16*Intl_Vol_Grande)</f>
        <v>617740061.691767</v>
      </c>
      <c r="AB48" s="32" t="n">
        <f aca="false">IF(AB$3&gt;=Intl_Start,MIN(1,(AB$3-Intl_Start+1)/Intl_Ramp)*Intl_Uptake,0)*(AB14*Intl_Vol_Petite+AB15*Intl_Vol_Moyenne+AB16*Intl_Vol_Grande)</f>
        <v>731232858.020622</v>
      </c>
      <c r="AC48" s="32" t="n">
        <f aca="false">IF(AC$3&gt;=Intl_Start,MIN(1,(AC$3-Intl_Start+1)/Intl_Ramp)*Intl_Uptake,0)*(AC14*Intl_Vol_Petite+AC15*Intl_Vol_Moyenne+AC16*Intl_Vol_Grande)</f>
        <v>806376819.853993</v>
      </c>
      <c r="AD48" s="32" t="n">
        <f aca="false">IF(AD$3&gt;=Intl_Start,MIN(1,(AD$3-Intl_Start+1)/Intl_Ramp)*Intl_Uptake,0)*(AD14*Intl_Vol_Petite+AD15*Intl_Vol_Moyenne+AD16*Intl_Vol_Grande)</f>
        <v>881636899.78978</v>
      </c>
      <c r="AE48" s="32" t="n">
        <f aca="false">IF(AE$3&gt;=Intl_Start,MIN(1,(AE$3-Intl_Start+1)/Intl_Ramp)*Intl_Uptake,0)*(AE14*Intl_Vol_Petite+AE15*Intl_Vol_Moyenne+AE16*Intl_Vol_Grande)</f>
        <v>961074705.318094</v>
      </c>
      <c r="AF48" s="32" t="n">
        <f aca="false">IF(AF$3&gt;=Intl_Start,MIN(1,(AF$3-Intl_Start+1)/Intl_Ramp)*Intl_Uptake,0)*(AF14*Intl_Vol_Petite+AF15*Intl_Vol_Moyenne+AF16*Intl_Vol_Grande)</f>
        <v>1040705556.11362</v>
      </c>
      <c r="AG48" s="32" t="n">
        <f aca="false">IF(AG$3&gt;=Intl_Start,MIN(1,(AG$3-Intl_Start+1)/Intl_Ramp)*Intl_Uptake,0)*(AG14*Intl_Vol_Petite+AG15*Intl_Vol_Moyenne+AG16*Intl_Vol_Grande)</f>
        <v>1120597770.39455</v>
      </c>
      <c r="AH48" s="32" t="n">
        <f aca="false">IF(AH$3&gt;=Intl_Start,MIN(1,(AH$3-Intl_Start+1)/Intl_Ramp)*Intl_Uptake,0)*(AH14*Intl_Vol_Petite+AH15*Intl_Vol_Moyenne+AH16*Intl_Vol_Grande)</f>
        <v>1200822953.13525</v>
      </c>
      <c r="AI48" s="32" t="n">
        <f aca="false">IF(AI$3&gt;=Intl_Start,MIN(1,(AI$3-Intl_Start+1)/Intl_Ramp)*Intl_Uptake,0)*(AI14*Intl_Vol_Petite+AI15*Intl_Vol_Moyenne+AI16*Intl_Vol_Grande)</f>
        <v>1285456206.32672</v>
      </c>
      <c r="AJ48" s="32" t="n">
        <f aca="false">IF(AJ$3&gt;=Intl_Start,MIN(1,(AJ$3-Intl_Start+1)/Intl_Ramp)*Intl_Uptake,0)*(AJ14*Intl_Vol_Petite+AJ15*Intl_Vol_Moyenne+AJ16*Intl_Vol_Grande)</f>
        <v>1370527151.62523</v>
      </c>
      <c r="AK48" s="32" t="n">
        <f aca="false">IF(AK$3&gt;=Intl_Start,MIN(1,(AK$3-Intl_Start+1)/Intl_Ramp)*Intl_Uptake,0)*(AK14*Intl_Vol_Petite+AK15*Intl_Vol_Moyenne+AK16*Intl_Vol_Grande)</f>
        <v>1456119265.13654</v>
      </c>
      <c r="AL48" s="32" t="n">
        <f aca="false">IF(AL$3&gt;=Intl_Start,MIN(1,(AL$3-Intl_Start+1)/Intl_Ramp)*Intl_Uptake,0)*(AL14*Intl_Vol_Petite+AL15*Intl_Vol_Moyenne+AL16*Intl_Vol_Grande)</f>
        <v>1542320216.96047</v>
      </c>
      <c r="AM48" s="32" t="n">
        <f aca="false">IF(AM$3&gt;=Intl_Start,MIN(1,(AM$3-Intl_Start+1)/Intl_Ramp)*Intl_Uptake,0)*(AM14*Intl_Vol_Petite+AM15*Intl_Vol_Moyenne+AM16*Intl_Vol_Grande)</f>
        <v>1633222135.86429</v>
      </c>
      <c r="AN48" s="32" t="n">
        <f aca="false">IF(AN$3&gt;=Intl_Start,MIN(1,(AN$3-Intl_Start+1)/Intl_Ramp)*Intl_Uptake,0)*(AN14*Intl_Vol_Petite+AN15*Intl_Vol_Moyenne+AN16*Intl_Vol_Grande)</f>
        <v>1724872689.61011</v>
      </c>
      <c r="AO48" s="32" t="n">
        <f aca="false">IF(AO$3&gt;=Intl_Start,MIN(1,(AO$3-Intl_Start+1)/Intl_Ramp)*Intl_Uptake,0)*(AO14*Intl_Vol_Petite+AO15*Intl_Vol_Moyenne+AO16*Intl_Vol_Grande)</f>
        <v>1829707814.21294</v>
      </c>
      <c r="AP48" s="32" t="n">
        <f aca="false">IF(AP$3&gt;=Intl_Start,MIN(1,(AP$3-Intl_Start+1)/Intl_Ramp)*Intl_Uptake,0)*(AP14*Intl_Vol_Petite+AP15*Intl_Vol_Moyenne+AP16*Intl_Vol_Grande)</f>
        <v>1939350418.29518</v>
      </c>
      <c r="AQ48" s="32" t="n">
        <f aca="false">IF(AQ$3&gt;=Intl_Start,MIN(1,(AQ$3-Intl_Start+1)/Intl_Ramp)*Intl_Uptake,0)*(AQ14*Intl_Vol_Petite+AQ15*Intl_Vol_Moyenne+AQ16*Intl_Vol_Grande)</f>
        <v>2049867071.70961</v>
      </c>
      <c r="AR48" s="32" t="n">
        <f aca="false">IF(AR$3&gt;=Intl_Start,MIN(1,(AR$3-Intl_Start+1)/Intl_Ramp)*Intl_Uptake,0)*(AR14*Intl_Vol_Petite+AR15*Intl_Vol_Moyenne+AR16*Intl_Vol_Grande)</f>
        <v>2161380234.67265</v>
      </c>
      <c r="AS48" s="32" t="n">
        <f aca="false">IF(AS$3&gt;=Intl_Start,MIN(1,(AS$3-Intl_Start+1)/Intl_Ramp)*Intl_Uptake,0)*(AS14*Intl_Vol_Petite+AS15*Intl_Vol_Moyenne+AS16*Intl_Vol_Grande)</f>
        <v>2278018722.31203</v>
      </c>
      <c r="AT48" s="32" t="n">
        <f aca="false">IF(AT$3&gt;=Intl_Start,MIN(1,(AT$3-Intl_Start+1)/Intl_Ramp)*Intl_Uptake,0)*(AT14*Intl_Vol_Petite+AT15*Intl_Vol_Moyenne+AT16*Intl_Vol_Grande)</f>
        <v>2395868901.79439</v>
      </c>
      <c r="AU48" s="32" t="n">
        <f aca="false">IF(AU$3&gt;=Intl_Start,MIN(1,(AU$3-Intl_Start+1)/Intl_Ramp)*Intl_Uptake,0)*(AU14*Intl_Vol_Petite+AU15*Intl_Vol_Moyenne+AU16*Intl_Vol_Grande)</f>
        <v>2515074212.00619</v>
      </c>
      <c r="AV48" s="32" t="n">
        <f aca="false">IF(AV$3&gt;=Intl_Start,MIN(1,(AV$3-Intl_Start+1)/Intl_Ramp)*Intl_Uptake,0)*(AV14*Intl_Vol_Petite+AV15*Intl_Vol_Moyenne+AV16*Intl_Vol_Grande)</f>
        <v>2643385699.03849</v>
      </c>
      <c r="AW48" s="32" t="n">
        <f aca="false">IF(AW$3&gt;=Intl_Start,MIN(1,(AW$3-Intl_Start+1)/Intl_Ramp)*Intl_Uptake,0)*(AW14*Intl_Vol_Petite+AW15*Intl_Vol_Moyenne+AW16*Intl_Vol_Grande)</f>
        <v>2772126136.75925</v>
      </c>
      <c r="AX48" s="32" t="n">
        <f aca="false">IF(AX$3&gt;=Intl_Start,MIN(1,(AX$3-Intl_Start+1)/Intl_Ramp)*Intl_Uptake,0)*(AX14*Intl_Vol_Petite+AX15*Intl_Vol_Moyenne+AX16*Intl_Vol_Grande)</f>
        <v>2904152915.56149</v>
      </c>
      <c r="AY48" s="32" t="n">
        <f aca="false">IF(AY$3&gt;=Intl_Start,MIN(1,(AY$3-Intl_Start+1)/Intl_Ramp)*Intl_Uptake,0)*(AY14*Intl_Vol_Petite+AY15*Intl_Vol_Moyenne+AY16*Intl_Vol_Grande)</f>
        <v>3035477007.28703</v>
      </c>
      <c r="AZ48" s="32" t="n">
        <f aca="false">IF(AZ$3&gt;=Intl_Start,MIN(1,(AZ$3-Intl_Start+1)/Intl_Ramp)*Intl_Uptake,0)*(AZ14*Intl_Vol_Petite+AZ15*Intl_Vol_Moyenne+AZ16*Intl_Vol_Grande)</f>
        <v>3166161440.41228</v>
      </c>
      <c r="BA48" s="32" t="n">
        <f aca="false">IF(BA$3&gt;=Intl_Start,MIN(1,(BA$3-Intl_Start+1)/Intl_Ramp)*Intl_Uptake,0)*(BA14*Intl_Vol_Petite+BA15*Intl_Vol_Moyenne+BA16*Intl_Vol_Grande)</f>
        <v>3312671542.41521</v>
      </c>
      <c r="BB48" s="32" t="n">
        <f aca="false">IF(BB$3&gt;=Intl_Start,MIN(1,(BB$3-Intl_Start+1)/Intl_Ramp)*Intl_Uptake,0)*(BB14*Intl_Vol_Petite+BB15*Intl_Vol_Moyenne+BB16*Intl_Vol_Grande)</f>
        <v>3458473381.2569</v>
      </c>
      <c r="BC48" s="32" t="n">
        <f aca="false">IF(BC$3&gt;=Intl_Start,MIN(1,(BC$3-Intl_Start+1)/Intl_Ramp)*Intl_Uptake,0)*(BC14*Intl_Vol_Petite+BC15*Intl_Vol_Moyenne+BC16*Intl_Vol_Grande)</f>
        <v>3607640242.04513</v>
      </c>
      <c r="BD48" s="32" t="n">
        <f aca="false">IF(BD$3&gt;=Intl_Start,MIN(1,(BD$3-Intl_Start+1)/Intl_Ramp)*Intl_Uptake,0)*(BD14*Intl_Vol_Petite+BD15*Intl_Vol_Moyenne+BD16*Intl_Vol_Grande)</f>
        <v>3756198975.95769</v>
      </c>
      <c r="BE48" s="32" t="n">
        <f aca="false">IF(BE$3&gt;=Intl_Start,MIN(1,(BE$3-Intl_Start+1)/Intl_Ramp)*Intl_Uptake,0)*(BE14*Intl_Vol_Petite+BE15*Intl_Vol_Moyenne+BE16*Intl_Vol_Grande)</f>
        <v>3907829291.09157</v>
      </c>
      <c r="BF48" s="32" t="n">
        <f aca="false">IF(BF$3&gt;=Intl_Start,MIN(1,(BF$3-Intl_Start+1)/Intl_Ramp)*Intl_Uptake,0)*(BF14*Intl_Vol_Petite+BF15*Intl_Vol_Moyenne+BF16*Intl_Vol_Grande)</f>
        <v>4062969765.2085</v>
      </c>
      <c r="BG48" s="32" t="n">
        <f aca="false">IF(BG$3&gt;=Intl_Start,MIN(1,(BG$3-Intl_Start+1)/Intl_Ramp)*Intl_Uptake,0)*(BG14*Intl_Vol_Petite+BG15*Intl_Vol_Moyenne+BG16*Intl_Vol_Grande)</f>
        <v>4217658049.67753</v>
      </c>
      <c r="BH48" s="32" t="n">
        <f aca="false">IF(BH$3&gt;=Intl_Start,MIN(1,(BH$3-Intl_Start+1)/Intl_Ramp)*Intl_Uptake,0)*(BH14*Intl_Vol_Petite+BH15*Intl_Vol_Moyenne+BH16*Intl_Vol_Grande)</f>
        <v>4375985276.61129</v>
      </c>
      <c r="BI48" s="32" t="n">
        <f aca="false">IF(BI$3&gt;=Intl_Start,MIN(1,(BI$3-Intl_Start+1)/Intl_Ramp)*Intl_Uptake,0)*(BI14*Intl_Vol_Petite+BI15*Intl_Vol_Moyenne+BI16*Intl_Vol_Grande)</f>
        <v>4537597189.35908</v>
      </c>
      <c r="BJ48" s="32" t="n">
        <f aca="false">IF(BJ$3&gt;=Intl_Start,MIN(1,(BJ$3-Intl_Start+1)/Intl_Ramp)*Intl_Uptake,0)*(BJ14*Intl_Vol_Petite+BJ15*Intl_Vol_Moyenne+BJ16*Intl_Vol_Grande)</f>
        <v>4702949216.35729</v>
      </c>
      <c r="BK48" s="32" t="n">
        <f aca="false">IF(BK$3&gt;=Intl_Start,MIN(1,(BK$3-Intl_Start+1)/Intl_Ramp)*Intl_Uptake,0)*(BK14*Intl_Vol_Petite+BK15*Intl_Vol_Moyenne+BK16*Intl_Vol_Grande)</f>
        <v>4867239665.94104</v>
      </c>
      <c r="BL48" s="32" t="n">
        <f aca="false">IF(BL$3&gt;=Intl_Start,MIN(1,(BL$3-Intl_Start+1)/Intl_Ramp)*Intl_Uptake,0)*(BL14*Intl_Vol_Petite+BL15*Intl_Vol_Moyenne+BL16*Intl_Vol_Grande)</f>
        <v>5033594767.01404</v>
      </c>
    </row>
    <row r="49" customFormat="false" ht="15" hidden="false" customHeight="false" outlineLevel="0" collapsed="false">
      <c r="A49" s="12" t="s">
        <v>1024</v>
      </c>
      <c r="B49" s="14" t="s">
        <v>96</v>
      </c>
      <c r="E49" s="34" t="n">
        <f aca="false">IF(E$3&gt;=PayLinks_Start,MIN(1,(E$3-PayLinks_Start+1)/PL_Ramp)*PL_Adoption,0)</f>
        <v>0</v>
      </c>
      <c r="F49" s="34" t="n">
        <f aca="false">IF(F$3&gt;=PayLinks_Start,MIN(1,(F$3-PayLinks_Start+1)/PL_Ramp)*PL_Adoption,0)</f>
        <v>0</v>
      </c>
      <c r="G49" s="34" t="n">
        <f aca="false">IF(G$3&gt;=PayLinks_Start,MIN(1,(G$3-PayLinks_Start+1)/PL_Ramp)*PL_Adoption,0)</f>
        <v>0</v>
      </c>
      <c r="H49" s="34" t="n">
        <f aca="false">IF(H$3&gt;=PayLinks_Start,MIN(1,(H$3-PayLinks_Start+1)/PL_Ramp)*PL_Adoption,0)</f>
        <v>0</v>
      </c>
      <c r="I49" s="34" t="n">
        <f aca="false">IF(I$3&gt;=PayLinks_Start,MIN(1,(I$3-PayLinks_Start+1)/PL_Ramp)*PL_Adoption,0)</f>
        <v>0</v>
      </c>
      <c r="J49" s="34" t="n">
        <f aca="false">IF(J$3&gt;=PayLinks_Start,MIN(1,(J$3-PayLinks_Start+1)/PL_Ramp)*PL_Adoption,0)</f>
        <v>0</v>
      </c>
      <c r="K49" s="34" t="n">
        <f aca="false">IF(K$3&gt;=PayLinks_Start,MIN(1,(K$3-PayLinks_Start+1)/PL_Ramp)*PL_Adoption,0)</f>
        <v>0</v>
      </c>
      <c r="L49" s="34" t="n">
        <f aca="false">IF(L$3&gt;=PayLinks_Start,MIN(1,(L$3-PayLinks_Start+1)/PL_Ramp)*PL_Adoption,0)</f>
        <v>0</v>
      </c>
      <c r="M49" s="34" t="n">
        <f aca="false">IF(M$3&gt;=PayLinks_Start,MIN(1,(M$3-PayLinks_Start+1)/PL_Ramp)*PL_Adoption,0)</f>
        <v>0</v>
      </c>
      <c r="N49" s="34" t="n">
        <f aca="false">IF(N$3&gt;=PayLinks_Start,MIN(1,(N$3-PayLinks_Start+1)/PL_Ramp)*PL_Adoption,0)</f>
        <v>0</v>
      </c>
      <c r="O49" s="34" t="n">
        <f aca="false">IF(O$3&gt;=PayLinks_Start,MIN(1,(O$3-PayLinks_Start+1)/PL_Ramp)*PL_Adoption,0)</f>
        <v>0</v>
      </c>
      <c r="P49" s="34" t="n">
        <f aca="false">IF(P$3&gt;=PayLinks_Start,MIN(1,(P$3-PayLinks_Start+1)/PL_Ramp)*PL_Adoption,0)</f>
        <v>0</v>
      </c>
      <c r="Q49" s="34" t="n">
        <f aca="false">IF(Q$3&gt;=PayLinks_Start,MIN(1,(Q$3-PayLinks_Start+1)/PL_Ramp)*PL_Adoption,0)</f>
        <v>0</v>
      </c>
      <c r="R49" s="34" t="n">
        <f aca="false">IF(R$3&gt;=PayLinks_Start,MIN(1,(R$3-PayLinks_Start+1)/PL_Ramp)*PL_Adoption,0)</f>
        <v>0</v>
      </c>
      <c r="S49" s="34" t="n">
        <f aca="false">IF(S$3&gt;=PayLinks_Start,MIN(1,(S$3-PayLinks_Start+1)/PL_Ramp)*PL_Adoption,0)</f>
        <v>0</v>
      </c>
      <c r="T49" s="34" t="n">
        <f aca="false">IF(T$3&gt;=PayLinks_Start,MIN(1,(T$3-PayLinks_Start+1)/PL_Ramp)*PL_Adoption,0)</f>
        <v>0</v>
      </c>
      <c r="U49" s="34" t="n">
        <f aca="false">IF(U$3&gt;=PayLinks_Start,MIN(1,(U$3-PayLinks_Start+1)/PL_Ramp)*PL_Adoption,0)</f>
        <v>0</v>
      </c>
      <c r="V49" s="34" t="n">
        <f aca="false">IF(V$3&gt;=PayLinks_Start,MIN(1,(V$3-PayLinks_Start+1)/PL_Ramp)*PL_Adoption,0)</f>
        <v>0.0208333333333333</v>
      </c>
      <c r="W49" s="34" t="n">
        <f aca="false">IF(W$3&gt;=PayLinks_Start,MIN(1,(W$3-PayLinks_Start+1)/PL_Ramp)*PL_Adoption,0)</f>
        <v>0.0416666666666667</v>
      </c>
      <c r="X49" s="34" t="n">
        <f aca="false">IF(X$3&gt;=PayLinks_Start,MIN(1,(X$3-PayLinks_Start+1)/PL_Ramp)*PL_Adoption,0)</f>
        <v>0.0625</v>
      </c>
      <c r="Y49" s="34" t="n">
        <f aca="false">IF(Y$3&gt;=PayLinks_Start,MIN(1,(Y$3-PayLinks_Start+1)/PL_Ramp)*PL_Adoption,0)</f>
        <v>0.0833333333333333</v>
      </c>
      <c r="Z49" s="34" t="n">
        <f aca="false">IF(Z$3&gt;=PayLinks_Start,MIN(1,(Z$3-PayLinks_Start+1)/PL_Ramp)*PL_Adoption,0)</f>
        <v>0.104166666666667</v>
      </c>
      <c r="AA49" s="34" t="n">
        <f aca="false">IF(AA$3&gt;=PayLinks_Start,MIN(1,(AA$3-PayLinks_Start+1)/PL_Ramp)*PL_Adoption,0)</f>
        <v>0.125</v>
      </c>
      <c r="AB49" s="34" t="n">
        <f aca="false">IF(AB$3&gt;=PayLinks_Start,MIN(1,(AB$3-PayLinks_Start+1)/PL_Ramp)*PL_Adoption,0)</f>
        <v>0.145833333333333</v>
      </c>
      <c r="AC49" s="34" t="n">
        <f aca="false">IF(AC$3&gt;=PayLinks_Start,MIN(1,(AC$3-PayLinks_Start+1)/PL_Ramp)*PL_Adoption,0)</f>
        <v>0.166666666666667</v>
      </c>
      <c r="AD49" s="34" t="n">
        <f aca="false">IF(AD$3&gt;=PayLinks_Start,MIN(1,(AD$3-PayLinks_Start+1)/PL_Ramp)*PL_Adoption,0)</f>
        <v>0.1875</v>
      </c>
      <c r="AE49" s="34" t="n">
        <f aca="false">IF(AE$3&gt;=PayLinks_Start,MIN(1,(AE$3-PayLinks_Start+1)/PL_Ramp)*PL_Adoption,0)</f>
        <v>0.208333333333333</v>
      </c>
      <c r="AF49" s="34" t="n">
        <f aca="false">IF(AF$3&gt;=PayLinks_Start,MIN(1,(AF$3-PayLinks_Start+1)/PL_Ramp)*PL_Adoption,0)</f>
        <v>0.229166666666667</v>
      </c>
      <c r="AG49" s="34" t="n">
        <f aca="false">IF(AG$3&gt;=PayLinks_Start,MIN(1,(AG$3-PayLinks_Start+1)/PL_Ramp)*PL_Adoption,0)</f>
        <v>0.25</v>
      </c>
      <c r="AH49" s="34" t="n">
        <f aca="false">IF(AH$3&gt;=PayLinks_Start,MIN(1,(AH$3-PayLinks_Start+1)/PL_Ramp)*PL_Adoption,0)</f>
        <v>0.25</v>
      </c>
      <c r="AI49" s="34" t="n">
        <f aca="false">IF(AI$3&gt;=PayLinks_Start,MIN(1,(AI$3-PayLinks_Start+1)/PL_Ramp)*PL_Adoption,0)</f>
        <v>0.25</v>
      </c>
      <c r="AJ49" s="34" t="n">
        <f aca="false">IF(AJ$3&gt;=PayLinks_Start,MIN(1,(AJ$3-PayLinks_Start+1)/PL_Ramp)*PL_Adoption,0)</f>
        <v>0.25</v>
      </c>
      <c r="AK49" s="34" t="n">
        <f aca="false">IF(AK$3&gt;=PayLinks_Start,MIN(1,(AK$3-PayLinks_Start+1)/PL_Ramp)*PL_Adoption,0)</f>
        <v>0.25</v>
      </c>
      <c r="AL49" s="34" t="n">
        <f aca="false">IF(AL$3&gt;=PayLinks_Start,MIN(1,(AL$3-PayLinks_Start+1)/PL_Ramp)*PL_Adoption,0)</f>
        <v>0.25</v>
      </c>
      <c r="AM49" s="34" t="n">
        <f aca="false">IF(AM$3&gt;=PayLinks_Start,MIN(1,(AM$3-PayLinks_Start+1)/PL_Ramp)*PL_Adoption,0)</f>
        <v>0.25</v>
      </c>
      <c r="AN49" s="34" t="n">
        <f aca="false">IF(AN$3&gt;=PayLinks_Start,MIN(1,(AN$3-PayLinks_Start+1)/PL_Ramp)*PL_Adoption,0)</f>
        <v>0.25</v>
      </c>
      <c r="AO49" s="34" t="n">
        <f aca="false">IF(AO$3&gt;=PayLinks_Start,MIN(1,(AO$3-PayLinks_Start+1)/PL_Ramp)*PL_Adoption,0)</f>
        <v>0.25</v>
      </c>
      <c r="AP49" s="34" t="n">
        <f aca="false">IF(AP$3&gt;=PayLinks_Start,MIN(1,(AP$3-PayLinks_Start+1)/PL_Ramp)*PL_Adoption,0)</f>
        <v>0.25</v>
      </c>
      <c r="AQ49" s="34" t="n">
        <f aca="false">IF(AQ$3&gt;=PayLinks_Start,MIN(1,(AQ$3-PayLinks_Start+1)/PL_Ramp)*PL_Adoption,0)</f>
        <v>0.25</v>
      </c>
      <c r="AR49" s="34" t="n">
        <f aca="false">IF(AR$3&gt;=PayLinks_Start,MIN(1,(AR$3-PayLinks_Start+1)/PL_Ramp)*PL_Adoption,0)</f>
        <v>0.25</v>
      </c>
      <c r="AS49" s="34" t="n">
        <f aca="false">IF(AS$3&gt;=PayLinks_Start,MIN(1,(AS$3-PayLinks_Start+1)/PL_Ramp)*PL_Adoption,0)</f>
        <v>0.25</v>
      </c>
      <c r="AT49" s="34" t="n">
        <f aca="false">IF(AT$3&gt;=PayLinks_Start,MIN(1,(AT$3-PayLinks_Start+1)/PL_Ramp)*PL_Adoption,0)</f>
        <v>0.25</v>
      </c>
      <c r="AU49" s="34" t="n">
        <f aca="false">IF(AU$3&gt;=PayLinks_Start,MIN(1,(AU$3-PayLinks_Start+1)/PL_Ramp)*PL_Adoption,0)</f>
        <v>0.25</v>
      </c>
      <c r="AV49" s="34" t="n">
        <f aca="false">IF(AV$3&gt;=PayLinks_Start,MIN(1,(AV$3-PayLinks_Start+1)/PL_Ramp)*PL_Adoption,0)</f>
        <v>0.25</v>
      </c>
      <c r="AW49" s="34" t="n">
        <f aca="false">IF(AW$3&gt;=PayLinks_Start,MIN(1,(AW$3-PayLinks_Start+1)/PL_Ramp)*PL_Adoption,0)</f>
        <v>0.25</v>
      </c>
      <c r="AX49" s="34" t="n">
        <f aca="false">IF(AX$3&gt;=PayLinks_Start,MIN(1,(AX$3-PayLinks_Start+1)/PL_Ramp)*PL_Adoption,0)</f>
        <v>0.25</v>
      </c>
      <c r="AY49" s="34" t="n">
        <f aca="false">IF(AY$3&gt;=PayLinks_Start,MIN(1,(AY$3-PayLinks_Start+1)/PL_Ramp)*PL_Adoption,0)</f>
        <v>0.25</v>
      </c>
      <c r="AZ49" s="34" t="n">
        <f aca="false">IF(AZ$3&gt;=PayLinks_Start,MIN(1,(AZ$3-PayLinks_Start+1)/PL_Ramp)*PL_Adoption,0)</f>
        <v>0.25</v>
      </c>
      <c r="BA49" s="34" t="n">
        <f aca="false">IF(BA$3&gt;=PayLinks_Start,MIN(1,(BA$3-PayLinks_Start+1)/PL_Ramp)*PL_Adoption,0)</f>
        <v>0.25</v>
      </c>
      <c r="BB49" s="34" t="n">
        <f aca="false">IF(BB$3&gt;=PayLinks_Start,MIN(1,(BB$3-PayLinks_Start+1)/PL_Ramp)*PL_Adoption,0)</f>
        <v>0.25</v>
      </c>
      <c r="BC49" s="34" t="n">
        <f aca="false">IF(BC$3&gt;=PayLinks_Start,MIN(1,(BC$3-PayLinks_Start+1)/PL_Ramp)*PL_Adoption,0)</f>
        <v>0.25</v>
      </c>
      <c r="BD49" s="34" t="n">
        <f aca="false">IF(BD$3&gt;=PayLinks_Start,MIN(1,(BD$3-PayLinks_Start+1)/PL_Ramp)*PL_Adoption,0)</f>
        <v>0.25</v>
      </c>
      <c r="BE49" s="34" t="n">
        <f aca="false">IF(BE$3&gt;=PayLinks_Start,MIN(1,(BE$3-PayLinks_Start+1)/PL_Ramp)*PL_Adoption,0)</f>
        <v>0.25</v>
      </c>
      <c r="BF49" s="34" t="n">
        <f aca="false">IF(BF$3&gt;=PayLinks_Start,MIN(1,(BF$3-PayLinks_Start+1)/PL_Ramp)*PL_Adoption,0)</f>
        <v>0.25</v>
      </c>
      <c r="BG49" s="34" t="n">
        <f aca="false">IF(BG$3&gt;=PayLinks_Start,MIN(1,(BG$3-PayLinks_Start+1)/PL_Ramp)*PL_Adoption,0)</f>
        <v>0.25</v>
      </c>
      <c r="BH49" s="34" t="n">
        <f aca="false">IF(BH$3&gt;=PayLinks_Start,MIN(1,(BH$3-PayLinks_Start+1)/PL_Ramp)*PL_Adoption,0)</f>
        <v>0.25</v>
      </c>
      <c r="BI49" s="34" t="n">
        <f aca="false">IF(BI$3&gt;=PayLinks_Start,MIN(1,(BI$3-PayLinks_Start+1)/PL_Ramp)*PL_Adoption,0)</f>
        <v>0.25</v>
      </c>
      <c r="BJ49" s="34" t="n">
        <f aca="false">IF(BJ$3&gt;=PayLinks_Start,MIN(1,(BJ$3-PayLinks_Start+1)/PL_Ramp)*PL_Adoption,0)</f>
        <v>0.25</v>
      </c>
      <c r="BK49" s="34" t="n">
        <f aca="false">IF(BK$3&gt;=PayLinks_Start,MIN(1,(BK$3-PayLinks_Start+1)/PL_Ramp)*PL_Adoption,0)</f>
        <v>0.25</v>
      </c>
      <c r="BL49" s="34" t="n">
        <f aca="false">IF(BL$3&gt;=PayLinks_Start,MIN(1,(BL$3-PayLinks_Start+1)/PL_Ramp)*PL_Adoption,0)</f>
        <v>0.25</v>
      </c>
    </row>
    <row r="50" customFormat="false" ht="15" hidden="false" customHeight="false" outlineLevel="0" collapsed="false">
      <c r="A50" s="12" t="s">
        <v>1025</v>
      </c>
      <c r="B50" s="14" t="s">
        <v>77</v>
      </c>
      <c r="D50" s="55" t="n">
        <f aca="false">SUM(E50:BL50)</f>
        <v>113904306082.737</v>
      </c>
      <c r="E50" s="32" t="n">
        <f aca="false">(E14*PL_Coll_Petite+E15*PL_Coll_Moyenne+E16*PL_Coll_Grande)*E49</f>
        <v>0</v>
      </c>
      <c r="F50" s="32" t="n">
        <f aca="false">(F14*PL_Coll_Petite+F15*PL_Coll_Moyenne+F16*PL_Coll_Grande)*F49</f>
        <v>0</v>
      </c>
      <c r="G50" s="32" t="n">
        <f aca="false">(G14*PL_Coll_Petite+G15*PL_Coll_Moyenne+G16*PL_Coll_Grande)*G49</f>
        <v>0</v>
      </c>
      <c r="H50" s="32" t="n">
        <f aca="false">(H14*PL_Coll_Petite+H15*PL_Coll_Moyenne+H16*PL_Coll_Grande)*H49</f>
        <v>0</v>
      </c>
      <c r="I50" s="32" t="n">
        <f aca="false">(I14*PL_Coll_Petite+I15*PL_Coll_Moyenne+I16*PL_Coll_Grande)*I49</f>
        <v>0</v>
      </c>
      <c r="J50" s="32" t="n">
        <f aca="false">(J14*PL_Coll_Petite+J15*PL_Coll_Moyenne+J16*PL_Coll_Grande)*J49</f>
        <v>0</v>
      </c>
      <c r="K50" s="32" t="n">
        <f aca="false">(K14*PL_Coll_Petite+K15*PL_Coll_Moyenne+K16*PL_Coll_Grande)*K49</f>
        <v>0</v>
      </c>
      <c r="L50" s="32" t="n">
        <f aca="false">(L14*PL_Coll_Petite+L15*PL_Coll_Moyenne+L16*PL_Coll_Grande)*L49</f>
        <v>0</v>
      </c>
      <c r="M50" s="32" t="n">
        <f aca="false">(M14*PL_Coll_Petite+M15*PL_Coll_Moyenne+M16*PL_Coll_Grande)*M49</f>
        <v>0</v>
      </c>
      <c r="N50" s="32" t="n">
        <f aca="false">(N14*PL_Coll_Petite+N15*PL_Coll_Moyenne+N16*PL_Coll_Grande)*N49</f>
        <v>0</v>
      </c>
      <c r="O50" s="32" t="n">
        <f aca="false">(O14*PL_Coll_Petite+O15*PL_Coll_Moyenne+O16*PL_Coll_Grande)*O49</f>
        <v>0</v>
      </c>
      <c r="P50" s="32" t="n">
        <f aca="false">(P14*PL_Coll_Petite+P15*PL_Coll_Moyenne+P16*PL_Coll_Grande)*P49</f>
        <v>0</v>
      </c>
      <c r="Q50" s="32" t="n">
        <f aca="false">(Q14*PL_Coll_Petite+Q15*PL_Coll_Moyenne+Q16*PL_Coll_Grande)*Q49</f>
        <v>0</v>
      </c>
      <c r="R50" s="32" t="n">
        <f aca="false">(R14*PL_Coll_Petite+R15*PL_Coll_Moyenne+R16*PL_Coll_Grande)*R49</f>
        <v>0</v>
      </c>
      <c r="S50" s="32" t="n">
        <f aca="false">(S14*PL_Coll_Petite+S15*PL_Coll_Moyenne+S16*PL_Coll_Grande)*S49</f>
        <v>0</v>
      </c>
      <c r="T50" s="32" t="n">
        <f aca="false">(T14*PL_Coll_Petite+T15*PL_Coll_Moyenne+T16*PL_Coll_Grande)*T49</f>
        <v>0</v>
      </c>
      <c r="U50" s="32" t="n">
        <f aca="false">(U14*PL_Coll_Petite+U15*PL_Coll_Moyenne+U16*PL_Coll_Grande)*U49</f>
        <v>0</v>
      </c>
      <c r="V50" s="32" t="n">
        <f aca="false">(V14*PL_Coll_Petite+V15*PL_Coll_Moyenne+V16*PL_Coll_Grande)*V49</f>
        <v>39528147.3236082</v>
      </c>
      <c r="W50" s="32" t="n">
        <f aca="false">(W14*PL_Coll_Petite+W15*PL_Coll_Moyenne+W16*PL_Coll_Grande)*W49</f>
        <v>89517146.9029252</v>
      </c>
      <c r="X50" s="32" t="n">
        <f aca="false">(X14*PL_Coll_Petite+X15*PL_Coll_Moyenne+X16*PL_Coll_Grande)*X49</f>
        <v>149997399.014382</v>
      </c>
      <c r="Y50" s="32" t="n">
        <f aca="false">(Y14*PL_Coll_Petite+Y15*PL_Coll_Moyenne+Y16*PL_Coll_Grande)*Y49</f>
        <v>222603088.933333</v>
      </c>
      <c r="Z50" s="32" t="n">
        <f aca="false">(Z14*PL_Coll_Petite+Z15*PL_Coll_Moyenne+Z16*PL_Coll_Grande)*Z49</f>
        <v>306582923.741116</v>
      </c>
      <c r="AA50" s="32" t="n">
        <f aca="false">(AA14*PL_Coll_Petite+AA15*PL_Coll_Moyenne+AA16*PL_Coll_Grande)*AA49</f>
        <v>402008036.855963</v>
      </c>
      <c r="AB50" s="32" t="n">
        <f aca="false">(AB14*PL_Coll_Petite+AB15*PL_Coll_Moyenne+AB16*PL_Coll_Grande)*AB49</f>
        <v>508970259.646969</v>
      </c>
      <c r="AC50" s="32" t="n">
        <f aca="false">(AC14*PL_Coll_Petite+AC15*PL_Coll_Moyenne+AC16*PL_Coll_Grande)*AC49</f>
        <v>641493175.997067</v>
      </c>
      <c r="AD50" s="32" t="n">
        <f aca="false">(AD14*PL_Coll_Petite+AD15*PL_Coll_Moyenne+AD16*PL_Coll_Grande)*AD49</f>
        <v>789095205.315767</v>
      </c>
      <c r="AE50" s="32" t="n">
        <f aca="false">(AE14*PL_Coll_Petite+AE15*PL_Coll_Moyenne+AE16*PL_Coll_Grande)*AE49</f>
        <v>955845699.486954</v>
      </c>
      <c r="AF50" s="32" t="n">
        <f aca="false">(AF14*PL_Coll_Petite+AF15*PL_Coll_Moyenne+AF16*PL_Coll_Grande)*AF49</f>
        <v>1138649533.62657</v>
      </c>
      <c r="AG50" s="32" t="n">
        <f aca="false">(AG14*PL_Coll_Petite+AG15*PL_Coll_Moyenne+AG16*PL_Coll_Grande)*AG49</f>
        <v>1337652674.89549</v>
      </c>
      <c r="AH50" s="32" t="n">
        <f aca="false">(AH14*PL_Coll_Petite+AH15*PL_Coll_Moyenne+AH16*PL_Coll_Grande)*AH49</f>
        <v>1433568301.37008</v>
      </c>
      <c r="AI50" s="32" t="n">
        <f aca="false">(AI14*PL_Coll_Petite+AI15*PL_Coll_Moyenne+AI16*PL_Coll_Grande)*AI49</f>
        <v>1534759028.38436</v>
      </c>
      <c r="AJ50" s="32" t="n">
        <f aca="false">(AJ14*PL_Coll_Petite+AJ15*PL_Coll_Moyenne+AJ16*PL_Coll_Grande)*AJ49</f>
        <v>1636501644.48538</v>
      </c>
      <c r="AK50" s="32" t="n">
        <f aca="false">(AK14*PL_Coll_Petite+AK15*PL_Coll_Moyenne+AK16*PL_Coll_Grande)*AK49</f>
        <v>1738895164.75609</v>
      </c>
      <c r="AL50" s="32" t="n">
        <f aca="false">(AL14*PL_Coll_Petite+AL15*PL_Coll_Moyenne+AL16*PL_Coll_Grande)*AL49</f>
        <v>1842043639.29878</v>
      </c>
      <c r="AM50" s="32" t="n">
        <f aca="false">(AM14*PL_Coll_Petite+AM15*PL_Coll_Moyenne+AM16*PL_Coll_Grande)*AM49</f>
        <v>1950816469.38186</v>
      </c>
      <c r="AN50" s="32" t="n">
        <f aca="false">(AN14*PL_Coll_Petite+AN15*PL_Coll_Moyenne+AN16*PL_Coll_Grande)*AN49</f>
        <v>2060512042.31727</v>
      </c>
      <c r="AO50" s="32" t="n">
        <f aca="false">(AO14*PL_Coll_Petite+AO15*PL_Coll_Moyenne+AO16*PL_Coll_Grande)*AO49</f>
        <v>2185928930.61354</v>
      </c>
      <c r="AP50" s="32" t="n">
        <f aca="false">(AP14*PL_Coll_Petite+AP15*PL_Coll_Moyenne+AP16*PL_Coll_Grande)*AP49</f>
        <v>2317103952.97715</v>
      </c>
      <c r="AQ50" s="32" t="n">
        <f aca="false">(AQ14*PL_Coll_Petite+AQ15*PL_Coll_Moyenne+AQ16*PL_Coll_Grande)*AQ49</f>
        <v>2449357920.69183</v>
      </c>
      <c r="AR50" s="32" t="n">
        <f aca="false">(AR14*PL_Coll_Petite+AR15*PL_Coll_Moyenne+AR16*PL_Coll_Grande)*AR49</f>
        <v>2582836310.49629</v>
      </c>
      <c r="AS50" s="32" t="n">
        <f aca="false">(AS14*PL_Coll_Petite+AS15*PL_Coll_Moyenne+AS16*PL_Coll_Grande)*AS49</f>
        <v>2722452222.48746</v>
      </c>
      <c r="AT50" s="32" t="n">
        <f aca="false">(AT14*PL_Coll_Petite+AT15*PL_Coll_Moyenne+AT16*PL_Coll_Grande)*AT49</f>
        <v>2863550154.60061</v>
      </c>
      <c r="AU50" s="32" t="n">
        <f aca="false">(AU14*PL_Coll_Petite+AU15*PL_Coll_Moyenne+AU16*PL_Coll_Grande)*AU49</f>
        <v>3006300683.01949</v>
      </c>
      <c r="AV50" s="32" t="n">
        <f aca="false">(AV14*PL_Coll_Petite+AV15*PL_Coll_Moyenne+AV16*PL_Coll_Grande)*AV49</f>
        <v>3159927504.923</v>
      </c>
      <c r="AW50" s="32" t="n">
        <f aca="false">(AW14*PL_Coll_Petite+AW15*PL_Coll_Moyenne+AW16*PL_Coll_Grande)*AW49</f>
        <v>3314108255.51812</v>
      </c>
      <c r="AX50" s="32" t="n">
        <f aca="false">(AX14*PL_Coll_Petite+AX15*PL_Coll_Moyenne+AX16*PL_Coll_Grande)*AX49</f>
        <v>3472242695.06021</v>
      </c>
      <c r="AY50" s="32" t="n">
        <f aca="false">(AY14*PL_Coll_Petite+AY15*PL_Coll_Moyenne+AY16*PL_Coll_Grande)*AY49</f>
        <v>3629584675.09949</v>
      </c>
      <c r="AZ50" s="32" t="n">
        <f aca="false">(AZ14*PL_Coll_Petite+AZ15*PL_Coll_Moyenne+AZ16*PL_Coll_Grande)*AZ49</f>
        <v>3786208138.36442</v>
      </c>
      <c r="BA50" s="32" t="n">
        <f aca="false">(BA14*PL_Coll_Petite+BA15*PL_Coll_Moyenne+BA16*PL_Coll_Grande)*BA49</f>
        <v>3961705810.69997</v>
      </c>
      <c r="BB50" s="32" t="n">
        <f aca="false">(BB14*PL_Coll_Petite+BB15*PL_Coll_Moyenne+BB16*PL_Coll_Grande)*BB49</f>
        <v>4136408923.48267</v>
      </c>
      <c r="BC50" s="32" t="n">
        <f aca="false">(BC14*PL_Coll_Petite+BC15*PL_Coll_Moyenne+BC16*PL_Coll_Grande)*BC49</f>
        <v>4315163545.927</v>
      </c>
      <c r="BD50" s="32" t="n">
        <f aca="false">(BD14*PL_Coll_Petite+BD15*PL_Coll_Moyenne+BD16*PL_Coll_Grande)*BD49</f>
        <v>4493242392.27138</v>
      </c>
      <c r="BE50" s="32" t="n">
        <f aca="false">(BE14*PL_Coll_Petite+BE15*PL_Coll_Moyenne+BE16*PL_Coll_Grande)*BE49</f>
        <v>4675023228.19261</v>
      </c>
      <c r="BF50" s="32" t="n">
        <f aca="false">(BF14*PL_Coll_Petite+BF15*PL_Coll_Moyenne+BF16*PL_Coll_Grande)*BF49</f>
        <v>4861028592.92959</v>
      </c>
      <c r="BG50" s="32" t="n">
        <f aca="false">(BG14*PL_Coll_Petite+BG15*PL_Coll_Moyenne+BG16*PL_Coll_Grande)*BG49</f>
        <v>5046544115.42752</v>
      </c>
      <c r="BH50" s="32" t="n">
        <f aca="false">(BH14*PL_Coll_Petite+BH15*PL_Coll_Moyenne+BH16*PL_Coll_Grande)*BH49</f>
        <v>5236437222.34654</v>
      </c>
      <c r="BI50" s="32" t="n">
        <f aca="false">(BI14*PL_Coll_Petite+BI15*PL_Coll_Moyenne+BI16*PL_Coll_Grande)*BI49</f>
        <v>5430287235.32717</v>
      </c>
      <c r="BJ50" s="32" t="n">
        <f aca="false">(BJ14*PL_Coll_Petite+BJ15*PL_Coll_Moyenne+BJ16*PL_Coll_Grande)*BJ49</f>
        <v>5628636822.75455</v>
      </c>
      <c r="BK50" s="32" t="n">
        <f aca="false">(BK14*PL_Coll_Petite+BK15*PL_Coll_Moyenne+BK16*PL_Coll_Grande)*BK49</f>
        <v>5825772878.68807</v>
      </c>
      <c r="BL50" s="32" t="n">
        <f aca="false">(BL14*PL_Coll_Petite+BL15*PL_Coll_Moyenne+BL16*PL_Coll_Grande)*BL49</f>
        <v>6025414289.10409</v>
      </c>
    </row>
    <row r="52" customFormat="false" ht="15" hidden="false" customHeight="false" outlineLevel="0" collapsed="false">
      <c r="A52" s="10" t="s">
        <v>1026</v>
      </c>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row>
    <row r="53" customFormat="false" ht="15" hidden="false" customHeight="false" outlineLevel="0" collapsed="false">
      <c r="A53" s="12" t="s">
        <v>1027</v>
      </c>
      <c r="B53" s="14" t="s">
        <v>319</v>
      </c>
      <c r="E53" s="59" t="n">
        <f aca="false">(1+Price_Increase)^(E$5-1)*(1-Annual_Share*Annual_Free/12)</f>
        <v>0.95</v>
      </c>
      <c r="F53" s="59" t="n">
        <f aca="false">(1+Price_Increase)^(F$5-1)*(1-Annual_Share*Annual_Free/12)</f>
        <v>0.95</v>
      </c>
      <c r="G53" s="59" t="n">
        <f aca="false">(1+Price_Increase)^(G$5-1)*(1-Annual_Share*Annual_Free/12)</f>
        <v>0.95</v>
      </c>
      <c r="H53" s="59" t="n">
        <f aca="false">(1+Price_Increase)^(H$5-1)*(1-Annual_Share*Annual_Free/12)</f>
        <v>0.95</v>
      </c>
      <c r="I53" s="59" t="n">
        <f aca="false">(1+Price_Increase)^(I$5-1)*(1-Annual_Share*Annual_Free/12)</f>
        <v>0.95</v>
      </c>
      <c r="J53" s="59" t="n">
        <f aca="false">(1+Price_Increase)^(J$5-1)*(1-Annual_Share*Annual_Free/12)</f>
        <v>0.95</v>
      </c>
      <c r="K53" s="59" t="n">
        <f aca="false">(1+Price_Increase)^(K$5-1)*(1-Annual_Share*Annual_Free/12)</f>
        <v>0.95</v>
      </c>
      <c r="L53" s="59" t="n">
        <f aca="false">(1+Price_Increase)^(L$5-1)*(1-Annual_Share*Annual_Free/12)</f>
        <v>0.95</v>
      </c>
      <c r="M53" s="59" t="n">
        <f aca="false">(1+Price_Increase)^(M$5-1)*(1-Annual_Share*Annual_Free/12)</f>
        <v>0.95</v>
      </c>
      <c r="N53" s="59" t="n">
        <f aca="false">(1+Price_Increase)^(N$5-1)*(1-Annual_Share*Annual_Free/12)</f>
        <v>0.95</v>
      </c>
      <c r="O53" s="59" t="n">
        <f aca="false">(1+Price_Increase)^(O$5-1)*(1-Annual_Share*Annual_Free/12)</f>
        <v>0.95</v>
      </c>
      <c r="P53" s="59" t="n">
        <f aca="false">(1+Price_Increase)^(P$5-1)*(1-Annual_Share*Annual_Free/12)</f>
        <v>0.95</v>
      </c>
      <c r="Q53" s="59" t="n">
        <f aca="false">(1+Price_Increase)^(Q$5-1)*(1-Annual_Share*Annual_Free/12)</f>
        <v>0.95</v>
      </c>
      <c r="R53" s="59" t="n">
        <f aca="false">(1+Price_Increase)^(R$5-1)*(1-Annual_Share*Annual_Free/12)</f>
        <v>0.95</v>
      </c>
      <c r="S53" s="59" t="n">
        <f aca="false">(1+Price_Increase)^(S$5-1)*(1-Annual_Share*Annual_Free/12)</f>
        <v>0.95</v>
      </c>
      <c r="T53" s="59" t="n">
        <f aca="false">(1+Price_Increase)^(T$5-1)*(1-Annual_Share*Annual_Free/12)</f>
        <v>0.95</v>
      </c>
      <c r="U53" s="59" t="n">
        <f aca="false">(1+Price_Increase)^(U$5-1)*(1-Annual_Share*Annual_Free/12)</f>
        <v>0.95</v>
      </c>
      <c r="V53" s="59" t="n">
        <f aca="false">(1+Price_Increase)^(V$5-1)*(1-Annual_Share*Annual_Free/12)</f>
        <v>0.95</v>
      </c>
      <c r="W53" s="59" t="n">
        <f aca="false">(1+Price_Increase)^(W$5-1)*(1-Annual_Share*Annual_Free/12)</f>
        <v>0.95</v>
      </c>
      <c r="X53" s="59" t="n">
        <f aca="false">(1+Price_Increase)^(X$5-1)*(1-Annual_Share*Annual_Free/12)</f>
        <v>0.95</v>
      </c>
      <c r="Y53" s="59" t="n">
        <f aca="false">(1+Price_Increase)^(Y$5-1)*(1-Annual_Share*Annual_Free/12)</f>
        <v>0.95</v>
      </c>
      <c r="Z53" s="59" t="n">
        <f aca="false">(1+Price_Increase)^(Z$5-1)*(1-Annual_Share*Annual_Free/12)</f>
        <v>0.95</v>
      </c>
      <c r="AA53" s="59" t="n">
        <f aca="false">(1+Price_Increase)^(AA$5-1)*(1-Annual_Share*Annual_Free/12)</f>
        <v>0.95</v>
      </c>
      <c r="AB53" s="59" t="n">
        <f aca="false">(1+Price_Increase)^(AB$5-1)*(1-Annual_Share*Annual_Free/12)</f>
        <v>0.95</v>
      </c>
      <c r="AC53" s="59" t="n">
        <f aca="false">(1+Price_Increase)^(AC$5-1)*(1-Annual_Share*Annual_Free/12)</f>
        <v>0.95</v>
      </c>
      <c r="AD53" s="59" t="n">
        <f aca="false">(1+Price_Increase)^(AD$5-1)*(1-Annual_Share*Annual_Free/12)</f>
        <v>0.95</v>
      </c>
      <c r="AE53" s="59" t="n">
        <f aca="false">(1+Price_Increase)^(AE$5-1)*(1-Annual_Share*Annual_Free/12)</f>
        <v>0.95</v>
      </c>
      <c r="AF53" s="59" t="n">
        <f aca="false">(1+Price_Increase)^(AF$5-1)*(1-Annual_Share*Annual_Free/12)</f>
        <v>0.95</v>
      </c>
      <c r="AG53" s="59" t="n">
        <f aca="false">(1+Price_Increase)^(AG$5-1)*(1-Annual_Share*Annual_Free/12)</f>
        <v>0.95</v>
      </c>
      <c r="AH53" s="59" t="n">
        <f aca="false">(1+Price_Increase)^(AH$5-1)*(1-Annual_Share*Annual_Free/12)</f>
        <v>0.95</v>
      </c>
      <c r="AI53" s="59" t="n">
        <f aca="false">(1+Price_Increase)^(AI$5-1)*(1-Annual_Share*Annual_Free/12)</f>
        <v>0.95</v>
      </c>
      <c r="AJ53" s="59" t="n">
        <f aca="false">(1+Price_Increase)^(AJ$5-1)*(1-Annual_Share*Annual_Free/12)</f>
        <v>0.95</v>
      </c>
      <c r="AK53" s="59" t="n">
        <f aca="false">(1+Price_Increase)^(AK$5-1)*(1-Annual_Share*Annual_Free/12)</f>
        <v>0.95</v>
      </c>
      <c r="AL53" s="59" t="n">
        <f aca="false">(1+Price_Increase)^(AL$5-1)*(1-Annual_Share*Annual_Free/12)</f>
        <v>0.95</v>
      </c>
      <c r="AM53" s="59" t="n">
        <f aca="false">(1+Price_Increase)^(AM$5-1)*(1-Annual_Share*Annual_Free/12)</f>
        <v>0.95</v>
      </c>
      <c r="AN53" s="59" t="n">
        <f aca="false">(1+Price_Increase)^(AN$5-1)*(1-Annual_Share*Annual_Free/12)</f>
        <v>0.95</v>
      </c>
      <c r="AO53" s="59" t="n">
        <f aca="false">(1+Price_Increase)^(AO$5-1)*(1-Annual_Share*Annual_Free/12)</f>
        <v>0.95</v>
      </c>
      <c r="AP53" s="59" t="n">
        <f aca="false">(1+Price_Increase)^(AP$5-1)*(1-Annual_Share*Annual_Free/12)</f>
        <v>0.95</v>
      </c>
      <c r="AQ53" s="59" t="n">
        <f aca="false">(1+Price_Increase)^(AQ$5-1)*(1-Annual_Share*Annual_Free/12)</f>
        <v>0.95</v>
      </c>
      <c r="AR53" s="59" t="n">
        <f aca="false">(1+Price_Increase)^(AR$5-1)*(1-Annual_Share*Annual_Free/12)</f>
        <v>0.95</v>
      </c>
      <c r="AS53" s="59" t="n">
        <f aca="false">(1+Price_Increase)^(AS$5-1)*(1-Annual_Share*Annual_Free/12)</f>
        <v>0.95</v>
      </c>
      <c r="AT53" s="59" t="n">
        <f aca="false">(1+Price_Increase)^(AT$5-1)*(1-Annual_Share*Annual_Free/12)</f>
        <v>0.95</v>
      </c>
      <c r="AU53" s="59" t="n">
        <f aca="false">(1+Price_Increase)^(AU$5-1)*(1-Annual_Share*Annual_Free/12)</f>
        <v>0.95</v>
      </c>
      <c r="AV53" s="59" t="n">
        <f aca="false">(1+Price_Increase)^(AV$5-1)*(1-Annual_Share*Annual_Free/12)</f>
        <v>0.95</v>
      </c>
      <c r="AW53" s="59" t="n">
        <f aca="false">(1+Price_Increase)^(AW$5-1)*(1-Annual_Share*Annual_Free/12)</f>
        <v>0.95</v>
      </c>
      <c r="AX53" s="59" t="n">
        <f aca="false">(1+Price_Increase)^(AX$5-1)*(1-Annual_Share*Annual_Free/12)</f>
        <v>0.95</v>
      </c>
      <c r="AY53" s="59" t="n">
        <f aca="false">(1+Price_Increase)^(AY$5-1)*(1-Annual_Share*Annual_Free/12)</f>
        <v>0.95</v>
      </c>
      <c r="AZ53" s="59" t="n">
        <f aca="false">(1+Price_Increase)^(AZ$5-1)*(1-Annual_Share*Annual_Free/12)</f>
        <v>0.95</v>
      </c>
      <c r="BA53" s="59" t="n">
        <f aca="false">(1+Price_Increase)^(BA$5-1)*(1-Annual_Share*Annual_Free/12)</f>
        <v>0.95</v>
      </c>
      <c r="BB53" s="59" t="n">
        <f aca="false">(1+Price_Increase)^(BB$5-1)*(1-Annual_Share*Annual_Free/12)</f>
        <v>0.95</v>
      </c>
      <c r="BC53" s="59" t="n">
        <f aca="false">(1+Price_Increase)^(BC$5-1)*(1-Annual_Share*Annual_Free/12)</f>
        <v>0.95</v>
      </c>
      <c r="BD53" s="59" t="n">
        <f aca="false">(1+Price_Increase)^(BD$5-1)*(1-Annual_Share*Annual_Free/12)</f>
        <v>0.95</v>
      </c>
      <c r="BE53" s="59" t="n">
        <f aca="false">(1+Price_Increase)^(BE$5-1)*(1-Annual_Share*Annual_Free/12)</f>
        <v>0.95</v>
      </c>
      <c r="BF53" s="59" t="n">
        <f aca="false">(1+Price_Increase)^(BF$5-1)*(1-Annual_Share*Annual_Free/12)</f>
        <v>0.95</v>
      </c>
      <c r="BG53" s="59" t="n">
        <f aca="false">(1+Price_Increase)^(BG$5-1)*(1-Annual_Share*Annual_Free/12)</f>
        <v>0.95</v>
      </c>
      <c r="BH53" s="59" t="n">
        <f aca="false">(1+Price_Increase)^(BH$5-1)*(1-Annual_Share*Annual_Free/12)</f>
        <v>0.95</v>
      </c>
      <c r="BI53" s="59" t="n">
        <f aca="false">(1+Price_Increase)^(BI$5-1)*(1-Annual_Share*Annual_Free/12)</f>
        <v>0.95</v>
      </c>
      <c r="BJ53" s="59" t="n">
        <f aca="false">(1+Price_Increase)^(BJ$5-1)*(1-Annual_Share*Annual_Free/12)</f>
        <v>0.95</v>
      </c>
      <c r="BK53" s="59" t="n">
        <f aca="false">(1+Price_Increase)^(BK$5-1)*(1-Annual_Share*Annual_Free/12)</f>
        <v>0.95</v>
      </c>
      <c r="BL53" s="59" t="n">
        <f aca="false">(1+Price_Increase)^(BL$5-1)*(1-Annual_Share*Annual_Free/12)</f>
        <v>0.95</v>
      </c>
    </row>
    <row r="54" customFormat="false" ht="15" hidden="false" customHeight="false" outlineLevel="0" collapsed="false">
      <c r="A54" s="12" t="s">
        <v>1028</v>
      </c>
      <c r="B54" s="14" t="s">
        <v>77</v>
      </c>
      <c r="D54" s="55" t="n">
        <f aca="false">SUM(E54:BL54)</f>
        <v>963468879.511707</v>
      </c>
      <c r="E54" s="32" t="n">
        <f aca="false">E26*Price_Petite*E53</f>
        <v>0</v>
      </c>
      <c r="F54" s="32" t="n">
        <f aca="false">F26*Price_Petite*F53</f>
        <v>0</v>
      </c>
      <c r="G54" s="32" t="n">
        <f aca="false">G26*Price_Petite*G53</f>
        <v>0</v>
      </c>
      <c r="H54" s="32" t="n">
        <f aca="false">H26*Price_Petite*H53</f>
        <v>0</v>
      </c>
      <c r="I54" s="32" t="n">
        <f aca="false">I26*Price_Petite*I53</f>
        <v>0</v>
      </c>
      <c r="J54" s="32" t="n">
        <f aca="false">J26*Price_Petite*J53</f>
        <v>273557.592</v>
      </c>
      <c r="K54" s="32" t="n">
        <f aca="false">K26*Price_Petite*K53</f>
        <v>544298.49936</v>
      </c>
      <c r="L54" s="32" t="n">
        <f aca="false">L26*Price_Petite*L53</f>
        <v>812438.3238048</v>
      </c>
      <c r="M54" s="32" t="n">
        <f aca="false">M26*Price_Petite*M53</f>
        <v>1078197.91110662</v>
      </c>
      <c r="N54" s="32" t="n">
        <f aca="false">N26*Price_Petite*N53</f>
        <v>1341803.81956909</v>
      </c>
      <c r="O54" s="32" t="n">
        <f aca="false">O26*Price_Petite*O53</f>
        <v>1603488.81354338</v>
      </c>
      <c r="P54" s="32" t="n">
        <f aca="false">P26*Price_Petite*P53</f>
        <v>1863492.38354012</v>
      </c>
      <c r="Q54" s="32" t="n">
        <f aca="false">Q26*Price_Petite*Q53</f>
        <v>2122061.29459299</v>
      </c>
      <c r="R54" s="32" t="n">
        <f aca="false">R26*Price_Petite*R53</f>
        <v>2476043.27662821</v>
      </c>
      <c r="S54" s="32" t="n">
        <f aca="false">S26*Price_Petite*S53</f>
        <v>2827176.43645836</v>
      </c>
      <c r="T54" s="32" t="n">
        <f aca="false">T26*Price_Petite*T53</f>
        <v>3175771.59957367</v>
      </c>
      <c r="U54" s="32" t="n">
        <f aca="false">U26*Price_Petite*U53</f>
        <v>3522148.60589734</v>
      </c>
      <c r="V54" s="32" t="n">
        <f aca="false">V26*Price_Petite*V53</f>
        <v>3866637.04335345</v>
      </c>
      <c r="W54" s="32" t="n">
        <f aca="false">W26*Price_Petite*W53</f>
        <v>4209577.02159488</v>
      </c>
      <c r="X54" s="32" t="n">
        <f aca="false">X26*Price_Petite*X53</f>
        <v>4760727.95637799</v>
      </c>
      <c r="Y54" s="32" t="n">
        <f aca="false">Y26*Price_Petite*Y53</f>
        <v>5308848.21825833</v>
      </c>
      <c r="Z54" s="32" t="n">
        <f aca="false">Z26*Price_Petite*Z53</f>
        <v>5898719.08144155</v>
      </c>
      <c r="AA54" s="32" t="n">
        <f aca="false">AA26*Price_Petite*AA53</f>
        <v>6485772.727094</v>
      </c>
      <c r="AB54" s="32" t="n">
        <f aca="false">AB26*Price_Petite*AB53</f>
        <v>7070604.31155028</v>
      </c>
      <c r="AC54" s="32" t="n">
        <f aca="false">AC26*Price_Petite*AC53</f>
        <v>7653829.41673733</v>
      </c>
      <c r="AD54" s="32" t="n">
        <f aca="false">AD26*Price_Petite*AD53</f>
        <v>8430009.15738571</v>
      </c>
      <c r="AE54" s="32" t="n">
        <f aca="false">AE26*Price_Petite*AE53</f>
        <v>9202002.59848012</v>
      </c>
      <c r="AF54" s="32" t="n">
        <f aca="false">AF26*Price_Petite*AF53</f>
        <v>10014814.8237272</v>
      </c>
      <c r="AG54" s="32" t="n">
        <f aca="false">AG26*Price_Petite*AG53</f>
        <v>10824109.3894223</v>
      </c>
      <c r="AH54" s="32" t="n">
        <f aca="false">AH26*Price_Petite*AH53</f>
        <v>11630720.9638537</v>
      </c>
      <c r="AI54" s="32" t="n">
        <f aca="false">AI26*Price_Petite*AI53</f>
        <v>12435513.3808496</v>
      </c>
      <c r="AJ54" s="32" t="n">
        <f aca="false">AJ26*Price_Petite*AJ53</f>
        <v>13283622.928002</v>
      </c>
      <c r="AK54" s="32" t="n">
        <f aca="false">AK26*Price_Petite*AK53</f>
        <v>14130852.4542175</v>
      </c>
      <c r="AL54" s="32" t="n">
        <f aca="false">AL26*Price_Petite*AL53</f>
        <v>14978184.4901153</v>
      </c>
      <c r="AM54" s="32" t="n">
        <f aca="false">AM26*Price_Petite*AM53</f>
        <v>15826639.811514</v>
      </c>
      <c r="AN54" s="32" t="n">
        <f aca="false">AN26*Price_Petite*AN53</f>
        <v>16721521.2682768</v>
      </c>
      <c r="AO54" s="32" t="n">
        <f aca="false">AO26*Price_Petite*AO53</f>
        <v>17618808.4650039</v>
      </c>
      <c r="AP54" s="32" t="n">
        <f aca="false">AP26*Price_Petite*AP53</f>
        <v>18656081.6090421</v>
      </c>
      <c r="AQ54" s="32" t="n">
        <f aca="false">AQ26*Price_Petite*AQ53</f>
        <v>19739663.2757197</v>
      </c>
      <c r="AR54" s="32" t="n">
        <f aca="false">AR26*Price_Petite*AR53</f>
        <v>20825754.9465154</v>
      </c>
      <c r="AS54" s="32" t="n">
        <f aca="false">AS26*Price_Petite*AS53</f>
        <v>21915757.3195937</v>
      </c>
      <c r="AT54" s="32" t="n">
        <f aca="false">AT26*Price_Petite*AT53</f>
        <v>23055371.253051</v>
      </c>
      <c r="AU54" s="32" t="n">
        <f aca="false">AU26*Price_Petite*AU53</f>
        <v>24200993.6249501</v>
      </c>
      <c r="AV54" s="32" t="n">
        <f aca="false">AV26*Price_Petite*AV53</f>
        <v>25354232.3095488</v>
      </c>
      <c r="AW54" s="32" t="n">
        <f aca="false">AW26*Price_Petite*AW53</f>
        <v>26600824.8342014</v>
      </c>
      <c r="AX54" s="32" t="n">
        <f aca="false">AX26*Price_Petite*AX53</f>
        <v>27844147.141709</v>
      </c>
      <c r="AY54" s="32" t="n">
        <f aca="false">AY26*Price_Petite*AY53</f>
        <v>29115901.2639579</v>
      </c>
      <c r="AZ54" s="32" t="n">
        <f aca="false">AZ26*Price_Petite*AZ53</f>
        <v>30371820.8731069</v>
      </c>
      <c r="BA54" s="32" t="n">
        <f aca="false">BA26*Price_Petite*BA53</f>
        <v>31612798.6935786</v>
      </c>
      <c r="BB54" s="32" t="n">
        <f aca="false">BB26*Price_Petite*BB53</f>
        <v>33021132.7493569</v>
      </c>
      <c r="BC54" s="32" t="n">
        <f aca="false">BC26*Price_Petite*BC53</f>
        <v>34412734.5557186</v>
      </c>
      <c r="BD54" s="32" t="n">
        <f aca="false">BD26*Price_Petite*BD53</f>
        <v>35832865.943554</v>
      </c>
      <c r="BE54" s="32" t="n">
        <f aca="false">BE26*Price_Petite*BE53</f>
        <v>37237442.4310896</v>
      </c>
      <c r="BF54" s="32" t="n">
        <f aca="false">BF26*Price_Petite*BF53</f>
        <v>38667362.987979</v>
      </c>
      <c r="BG54" s="32" t="n">
        <f aca="false">BG26*Price_Petite*BG53</f>
        <v>40127361.9603013</v>
      </c>
      <c r="BH54" s="32" t="n">
        <f aca="false">BH26*Price_Petite*BH53</f>
        <v>41573462.802142</v>
      </c>
      <c r="BI54" s="32" t="n">
        <f aca="false">BI26*Price_Petite*BI53</f>
        <v>43051102.7070487</v>
      </c>
      <c r="BJ54" s="32" t="n">
        <f aca="false">BJ26*Price_Petite*BJ53</f>
        <v>44556199.9793542</v>
      </c>
      <c r="BK54" s="32" t="n">
        <f aca="false">BK26*Price_Petite*BK53</f>
        <v>46093661.1731604</v>
      </c>
      <c r="BL54" s="32" t="n">
        <f aca="false">BL26*Price_Petite*BL53</f>
        <v>47610211.0136972</v>
      </c>
    </row>
    <row r="55" customFormat="false" ht="15" hidden="false" customHeight="false" outlineLevel="0" collapsed="false">
      <c r="A55" s="12" t="s">
        <v>1029</v>
      </c>
      <c r="B55" s="14" t="s">
        <v>77</v>
      </c>
      <c r="D55" s="55" t="n">
        <f aca="false">SUM(E55:BL55)</f>
        <v>1046167916.551</v>
      </c>
      <c r="E55" s="32" t="n">
        <f aca="false">E27*Price_Moyenne*E53</f>
        <v>0</v>
      </c>
      <c r="F55" s="32" t="n">
        <f aca="false">F27*Price_Moyenne*F53</f>
        <v>0</v>
      </c>
      <c r="G55" s="32" t="n">
        <f aca="false">G27*Price_Moyenne*G53</f>
        <v>0</v>
      </c>
      <c r="H55" s="32" t="n">
        <f aca="false">H27*Price_Moyenne*H53</f>
        <v>0</v>
      </c>
      <c r="I55" s="32" t="n">
        <f aca="false">I27*Price_Moyenne*I53</f>
        <v>0</v>
      </c>
      <c r="J55" s="32" t="n">
        <f aca="false">J27*Price_Moyenne*J53</f>
        <v>271474.6125</v>
      </c>
      <c r="K55" s="32" t="n">
        <f aca="false">K27*Price_Moyenne*K53</f>
        <v>542190.04734375</v>
      </c>
      <c r="L55" s="32" t="n">
        <f aca="false">L27*Price_Moyenne*L53</f>
        <v>812313.849551953</v>
      </c>
      <c r="M55" s="32" t="n">
        <f aca="false">M27*Price_Moyenne*M53</f>
        <v>1082020.95315055</v>
      </c>
      <c r="N55" s="32" t="n">
        <f aca="false">N27*Price_Moyenne*N53</f>
        <v>1351494.15780725</v>
      </c>
      <c r="O55" s="32" t="n">
        <f aca="false">O27*Price_Moyenne*O53</f>
        <v>1620924.63365001</v>
      </c>
      <c r="P55" s="32" t="n">
        <f aca="false">P27*Price_Moyenne*P53</f>
        <v>1890512.45596365</v>
      </c>
      <c r="Q55" s="32" t="n">
        <f aca="false">Q27*Price_Moyenne*Q53</f>
        <v>2160467.17156242</v>
      </c>
      <c r="R55" s="32" t="n">
        <f aca="false">R27*Price_Moyenne*R53</f>
        <v>2526866.01124411</v>
      </c>
      <c r="S55" s="32" t="n">
        <f aca="false">S27*Price_Moyenne*S53</f>
        <v>2892883.46768936</v>
      </c>
      <c r="T55" s="32" t="n">
        <f aca="false">T27*Price_Moyenne*T53</f>
        <v>3258776.22432418</v>
      </c>
      <c r="U55" s="32" t="n">
        <f aca="false">U27*Price_Moyenne*U53</f>
        <v>3624812.87099993</v>
      </c>
      <c r="V55" s="32" t="n">
        <f aca="false">V27*Price_Moyenne*V53</f>
        <v>3991274.66206101</v>
      </c>
      <c r="W55" s="32" t="n">
        <f aca="false">W27*Price_Moyenne*W53</f>
        <v>4358456.31935075</v>
      </c>
      <c r="X55" s="32" t="n">
        <f aca="false">X27*Price_Moyenne*X53</f>
        <v>4934480.3328583</v>
      </c>
      <c r="Y55" s="32" t="n">
        <f aca="false">Y27*Price_Moyenne*Y53</f>
        <v>5511235.53499697</v>
      </c>
      <c r="Z55" s="32" t="n">
        <f aca="false">Z27*Price_Moyenne*Z53</f>
        <v>6133092.92523687</v>
      </c>
      <c r="AA55" s="32" t="n">
        <f aca="false">AA27*Price_Moyenne*AA53</f>
        <v>6756088.91891441</v>
      </c>
      <c r="AB55" s="32" t="n">
        <f aca="false">AB27*Price_Moyenne*AB53</f>
        <v>7380743.99273556</v>
      </c>
      <c r="AC55" s="32" t="n">
        <f aca="false">AC27*Price_Moyenne*AC53</f>
        <v>8007604.20000241</v>
      </c>
      <c r="AD55" s="32" t="n">
        <f aca="false">AD27*Price_Moyenne*AD53</f>
        <v>8829689.73835898</v>
      </c>
      <c r="AE55" s="32" t="n">
        <f aca="false">AE27*Price_Moyenne*AE53</f>
        <v>9652750.17593749</v>
      </c>
      <c r="AF55" s="32" t="n">
        <f aca="false">AF27*Price_Moyenne*AF53</f>
        <v>10521352.6346047</v>
      </c>
      <c r="AG55" s="32" t="n">
        <f aca="false">AG27*Price_Moyenne*AG53</f>
        <v>11391739.1506906</v>
      </c>
      <c r="AH55" s="32" t="n">
        <f aca="false">AH27*Price_Moyenne*AH53</f>
        <v>12264645.9187666</v>
      </c>
      <c r="AI55" s="32" t="n">
        <f aca="false">AI27*Price_Moyenne*AI53</f>
        <v>13140845.4406892</v>
      </c>
      <c r="AJ55" s="32" t="n">
        <f aca="false">AJ27*Price_Moyenne*AJ53</f>
        <v>14065053.0523421</v>
      </c>
      <c r="AK55" s="32" t="n">
        <f aca="false">AK27*Price_Moyenne*AK53</f>
        <v>14993667.7826291</v>
      </c>
      <c r="AL55" s="32" t="n">
        <f aca="false">AL27*Price_Moyenne*AL53</f>
        <v>15927592.125394</v>
      </c>
      <c r="AM55" s="32" t="n">
        <f aca="false">AM27*Price_Moyenne*AM53</f>
        <v>16867774.7482772</v>
      </c>
      <c r="AN55" s="32" t="n">
        <f aca="false">AN27*Price_Moyenne*AN53</f>
        <v>17859117.6128414</v>
      </c>
      <c r="AO55" s="32" t="n">
        <f aca="false">AO27*Price_Moyenne*AO53</f>
        <v>18858217.4625336</v>
      </c>
      <c r="AP55" s="32" t="n">
        <f aca="false">AP27*Price_Moyenne*AP53</f>
        <v>20001557.6987957</v>
      </c>
      <c r="AQ55" s="32" t="n">
        <f aca="false">AQ27*Price_Moyenne*AQ53</f>
        <v>21197149.5911273</v>
      </c>
      <c r="AR55" s="32" t="n">
        <f aca="false">AR27*Price_Moyenne*AR53</f>
        <v>22401794.0933687</v>
      </c>
      <c r="AS55" s="32" t="n">
        <f aca="false">AS27*Price_Moyenne*AS53</f>
        <v>23616817.8984099</v>
      </c>
      <c r="AT55" s="32" t="n">
        <f aca="false">AT27*Price_Moyenne*AT53</f>
        <v>24887521.7565106</v>
      </c>
      <c r="AU55" s="32" t="n">
        <f aca="false">AU27*Price_Moyenne*AU53</f>
        <v>26170923.2330449</v>
      </c>
      <c r="AV55" s="32" t="n">
        <f aca="false">AV27*Price_Moyenne*AV53</f>
        <v>27468578.492782</v>
      </c>
      <c r="AW55" s="32" t="n">
        <f aca="false">AW27*Price_Moyenne*AW53</f>
        <v>28865545.2165313</v>
      </c>
      <c r="AX55" s="32" t="n">
        <f aca="false">AX27*Price_Moyenne*AX53</f>
        <v>30266546.5490373</v>
      </c>
      <c r="AY55" s="32" t="n">
        <f aca="false">AY27*Price_Moyenne*AY53</f>
        <v>31702927.7909997</v>
      </c>
      <c r="AZ55" s="32" t="n">
        <f aca="false">AZ27*Price_Moyenne*AZ53</f>
        <v>33130881.734117</v>
      </c>
      <c r="BA55" s="32" t="n">
        <f aca="false">BA27*Price_Moyenne*BA53</f>
        <v>34551085.3676258</v>
      </c>
      <c r="BB55" s="32" t="n">
        <f aca="false">BB27*Price_Moyenne*BB53</f>
        <v>36144248.9422767</v>
      </c>
      <c r="BC55" s="32" t="n">
        <f aca="false">BC27*Price_Moyenne*BC53</f>
        <v>37728845.3374993</v>
      </c>
      <c r="BD55" s="32" t="n">
        <f aca="false">BD27*Price_Moyenne*BD53</f>
        <v>39349566.7349517</v>
      </c>
      <c r="BE55" s="32" t="n">
        <f aca="false">BE27*Price_Moyenne*BE53</f>
        <v>40962779.0145362</v>
      </c>
      <c r="BF55" s="32" t="n">
        <f aca="false">BF27*Price_Moyenne*BF53</f>
        <v>42608854.8592022</v>
      </c>
      <c r="BG55" s="32" t="n">
        <f aca="false">BG27*Price_Moyenne*BG53</f>
        <v>44292584.7930007</v>
      </c>
      <c r="BH55" s="32" t="n">
        <f aca="false">BH27*Price_Moyenne*BH53</f>
        <v>45970453.437049</v>
      </c>
      <c r="BI55" s="32" t="n">
        <f aca="false">BI27*Price_Moyenne*BI53</f>
        <v>47687349.4275344</v>
      </c>
      <c r="BJ55" s="32" t="n">
        <f aca="false">BJ27*Price_Moyenne*BJ53</f>
        <v>49439360.2848956</v>
      </c>
      <c r="BK55" s="32" t="n">
        <f aca="false">BK27*Price_Moyenne*BK53</f>
        <v>51231461.2328022</v>
      </c>
      <c r="BL55" s="32" t="n">
        <f aca="false">BL27*Price_Moyenne*BL53</f>
        <v>53010923.8798922</v>
      </c>
    </row>
    <row r="56" customFormat="false" ht="15" hidden="false" customHeight="false" outlineLevel="0" collapsed="false">
      <c r="A56" s="12" t="s">
        <v>1030</v>
      </c>
      <c r="B56" s="14" t="s">
        <v>77</v>
      </c>
      <c r="D56" s="55" t="n">
        <f aca="false">SUM(E56:BL56)</f>
        <v>1330530778.05483</v>
      </c>
      <c r="E56" s="32" t="n">
        <f aca="false">E28*Price_Grande*E53</f>
        <v>0</v>
      </c>
      <c r="F56" s="32" t="n">
        <f aca="false">F28*Price_Grande*F53</f>
        <v>0</v>
      </c>
      <c r="G56" s="32" t="n">
        <f aca="false">G28*Price_Grande*G53</f>
        <v>0</v>
      </c>
      <c r="H56" s="32" t="n">
        <f aca="false">H28*Price_Grande*H53</f>
        <v>0</v>
      </c>
      <c r="I56" s="32" t="n">
        <f aca="false">I28*Price_Grande*I53</f>
        <v>0</v>
      </c>
      <c r="J56" s="32" t="n">
        <f aca="false">J28*Price_Grande*J53</f>
        <v>324154.139166667</v>
      </c>
      <c r="K56" s="32" t="n">
        <f aca="false">K28*Price_Grande*K53</f>
        <v>649022.553289583</v>
      </c>
      <c r="L56" s="32" t="n">
        <f aca="false">L28*Price_Grande*L53</f>
        <v>974788.611166578</v>
      </c>
      <c r="M56" s="32" t="n">
        <f aca="false">M28*Price_Grande*M53</f>
        <v>1301645.6298811</v>
      </c>
      <c r="N56" s="32" t="n">
        <f aca="false">N28*Price_Grande*N53</f>
        <v>1629797.47960315</v>
      </c>
      <c r="O56" s="32" t="n">
        <f aca="false">O28*Price_Grande*O53</f>
        <v>1959459.22461906</v>
      </c>
      <c r="P56" s="32" t="n">
        <f aca="false">P28*Price_Grande*P53</f>
        <v>2290857.80276412</v>
      </c>
      <c r="Q56" s="32" t="n">
        <f aca="false">Q28*Price_Grande*Q53</f>
        <v>2624232.74556288</v>
      </c>
      <c r="R56" s="32" t="n">
        <f aca="false">R28*Price_Grande*R53</f>
        <v>3074295.68068649</v>
      </c>
      <c r="S56" s="32" t="n">
        <f aca="false">S28*Price_Grande*S53</f>
        <v>3525996.48293959</v>
      </c>
      <c r="T56" s="32" t="n">
        <f aca="false">T28*Price_Grande*T53</f>
        <v>3979623.66866728</v>
      </c>
      <c r="U56" s="32" t="n">
        <f aca="false">U28*Price_Grande*U53</f>
        <v>4435481.638363</v>
      </c>
      <c r="V56" s="32" t="n">
        <f aca="false">V28*Price_Grande*V53</f>
        <v>4893891.64041865</v>
      </c>
      <c r="W56" s="32" t="n">
        <f aca="false">W28*Price_Grande*W53</f>
        <v>5355192.79261948</v>
      </c>
      <c r="X56" s="32" t="n">
        <f aca="false">X28*Price_Grande*X53</f>
        <v>6067882.72151571</v>
      </c>
      <c r="Y56" s="32" t="n">
        <f aca="false">Y28*Price_Grande*Y53</f>
        <v>6784698.06658568</v>
      </c>
      <c r="Z56" s="32" t="n">
        <f aca="false">Z28*Price_Grande*Z53</f>
        <v>7558599.97264649</v>
      </c>
      <c r="AA56" s="32" t="n">
        <f aca="false">AA28*Price_Grande*AA53</f>
        <v>8337338.77005547</v>
      </c>
      <c r="AB56" s="32" t="n">
        <f aca="false">AB28*Price_Grande*AB53</f>
        <v>9121516.6514661</v>
      </c>
      <c r="AC56" s="32" t="n">
        <f aca="false">AC28*Price_Grande*AC53</f>
        <v>9911769.60124732</v>
      </c>
      <c r="AD56" s="32" t="n">
        <f aca="false">AD28*Price_Grande*AD53</f>
        <v>10938560.6497019</v>
      </c>
      <c r="AE56" s="32" t="n">
        <f aca="false">AE28*Price_Grande*AE53</f>
        <v>11971084.9791209</v>
      </c>
      <c r="AF56" s="32" t="n">
        <f aca="false">AF28*Price_Grande*AF53</f>
        <v>13062529.4927267</v>
      </c>
      <c r="AG56" s="32" t="n">
        <f aca="false">AG28*Price_Grande*AG53</f>
        <v>14160882.8551375</v>
      </c>
      <c r="AH56" s="32" t="n">
        <f aca="false">AH28*Price_Grande*AH53</f>
        <v>15266998.9309465</v>
      </c>
      <c r="AI56" s="32" t="n">
        <f aca="false">AI28*Price_Grande*AI53</f>
        <v>16381779.5216204</v>
      </c>
      <c r="AJ56" s="32" t="n">
        <f aca="false">AJ28*Price_Grande*AJ53</f>
        <v>17558601.1164235</v>
      </c>
      <c r="AK56" s="32" t="n">
        <f aca="false">AK28*Price_Grande*AK53</f>
        <v>18745653.2383385</v>
      </c>
      <c r="AL56" s="32" t="n">
        <f aca="false">AL28*Price_Grande*AL53</f>
        <v>19944002.5597565</v>
      </c>
      <c r="AM56" s="32" t="n">
        <f aca="false">AM28*Price_Grande*AM53</f>
        <v>21154776.3571062</v>
      </c>
      <c r="AN56" s="32" t="n">
        <f aca="false">AN28*Price_Grande*AN53</f>
        <v>22431590.0225686</v>
      </c>
      <c r="AO56" s="32" t="n">
        <f aca="false">AO28*Price_Grande*AO53</f>
        <v>23722886.2164284</v>
      </c>
      <c r="AP56" s="32" t="n">
        <f aca="false">AP28*Price_Grande*AP53</f>
        <v>25191640.0417428</v>
      </c>
      <c r="AQ56" s="32" t="n">
        <f aca="false">AQ28*Price_Grande*AQ53</f>
        <v>26728834.3410335</v>
      </c>
      <c r="AR56" s="32" t="n">
        <f aca="false">AR28*Price_Grande*AR53</f>
        <v>28283153.8974058</v>
      </c>
      <c r="AS56" s="32" t="n">
        <f aca="false">AS28*Price_Grande*AS53</f>
        <v>29856189.5242911</v>
      </c>
      <c r="AT56" s="32" t="n">
        <f aca="false">AT28*Price_Grande*AT53</f>
        <v>31502047.1091918</v>
      </c>
      <c r="AU56" s="32" t="n">
        <f aca="false">AU28*Price_Grande*AU53</f>
        <v>33169688.3899356</v>
      </c>
      <c r="AV56" s="32" t="n">
        <f aca="false">AV28*Price_Grande*AV53</f>
        <v>34860997.6464676</v>
      </c>
      <c r="AW56" s="32" t="n">
        <f aca="false">AW28*Price_Grande*AW53</f>
        <v>36677573.201093</v>
      </c>
      <c r="AX56" s="32" t="n">
        <f aca="false">AX28*Price_Grande*AX53</f>
        <v>38506192.555449</v>
      </c>
      <c r="AY56" s="32" t="n">
        <f aca="false">AY28*Price_Grande*AY53</f>
        <v>40384253.4422991</v>
      </c>
      <c r="AZ56" s="32" t="n">
        <f aca="false">AZ28*Price_Grande*AZ53</f>
        <v>42259605.1398088</v>
      </c>
      <c r="BA56" s="32" t="n">
        <f aca="false">BA28*Price_Grande*BA53</f>
        <v>44132950.5429368</v>
      </c>
      <c r="BB56" s="32" t="n">
        <f aca="false">BB28*Price_Grande*BB53</f>
        <v>46219966.014492</v>
      </c>
      <c r="BC56" s="32" t="n">
        <f aca="false">BC28*Price_Grande*BC53</f>
        <v>48304878.1863981</v>
      </c>
      <c r="BD56" s="32" t="n">
        <f aca="false">BD28*Price_Grande*BD53</f>
        <v>50440939.6423858</v>
      </c>
      <c r="BE56" s="32" t="n">
        <f aca="false">BE28*Price_Grande*BE53</f>
        <v>52576204.6493468</v>
      </c>
      <c r="BF56" s="32" t="n">
        <f aca="false">BF28*Price_Grande*BF53</f>
        <v>54758774.0863623</v>
      </c>
      <c r="BG56" s="32" t="n">
        <f aca="false">BG28*Price_Grande*BG53</f>
        <v>56994503.8023633</v>
      </c>
      <c r="BH56" s="32" t="n">
        <f aca="false">BH28*Price_Grande*BH53</f>
        <v>59231597.5872432</v>
      </c>
      <c r="BI56" s="32" t="n">
        <f aca="false">BI28*Price_Grande*BI53</f>
        <v>61523556.9829903</v>
      </c>
      <c r="BJ56" s="32" t="n">
        <f aca="false">BJ28*Price_Grande*BJ53</f>
        <v>63865881.3103785</v>
      </c>
      <c r="BK56" s="32" t="n">
        <f aca="false">BK28*Price_Grande*BK53</f>
        <v>66264657.6071468</v>
      </c>
      <c r="BL56" s="32" t="n">
        <f aca="false">BL28*Price_Grande*BL53</f>
        <v>68657100.5409266</v>
      </c>
    </row>
    <row r="57" customFormat="false" ht="15" hidden="false" customHeight="false" outlineLevel="0" collapsed="false">
      <c r="A57" s="8" t="s">
        <v>1031</v>
      </c>
      <c r="B57" s="14" t="s">
        <v>77</v>
      </c>
      <c r="D57" s="55" t="n">
        <f aca="false">SUM(E57:BL57)</f>
        <v>3340167574.11753</v>
      </c>
      <c r="E57" s="16" t="n">
        <f aca="false">E54+E55+E56</f>
        <v>0</v>
      </c>
      <c r="F57" s="16" t="n">
        <f aca="false">F54+F55+F56</f>
        <v>0</v>
      </c>
      <c r="G57" s="16" t="n">
        <f aca="false">G54+G55+G56</f>
        <v>0</v>
      </c>
      <c r="H57" s="16" t="n">
        <f aca="false">H54+H55+H56</f>
        <v>0</v>
      </c>
      <c r="I57" s="16" t="n">
        <f aca="false">I54+I55+I56</f>
        <v>0</v>
      </c>
      <c r="J57" s="16" t="n">
        <f aca="false">J54+J55+J56</f>
        <v>869186.343666667</v>
      </c>
      <c r="K57" s="16" t="n">
        <f aca="false">K54+K55+K56</f>
        <v>1735511.09999333</v>
      </c>
      <c r="L57" s="16" t="n">
        <f aca="false">L54+L55+L56</f>
        <v>2599540.78452333</v>
      </c>
      <c r="M57" s="16" t="n">
        <f aca="false">M54+M55+M56</f>
        <v>3461864.49413827</v>
      </c>
      <c r="N57" s="16" t="n">
        <f aca="false">N54+N55+N56</f>
        <v>4323095.45697949</v>
      </c>
      <c r="O57" s="16" t="n">
        <f aca="false">O54+O55+O56</f>
        <v>5183872.67181244</v>
      </c>
      <c r="P57" s="16" t="n">
        <f aca="false">P54+P55+P56</f>
        <v>6044862.64226789</v>
      </c>
      <c r="Q57" s="16" t="n">
        <f aca="false">Q54+Q55+Q56</f>
        <v>6906761.21171829</v>
      </c>
      <c r="R57" s="16" t="n">
        <f aca="false">R54+R55+R56</f>
        <v>8077204.96855882</v>
      </c>
      <c r="S57" s="16" t="n">
        <f aca="false">S54+S55+S56</f>
        <v>9246056.38708731</v>
      </c>
      <c r="T57" s="16" t="n">
        <f aca="false">T54+T55+T56</f>
        <v>10414171.4925651</v>
      </c>
      <c r="U57" s="16" t="n">
        <f aca="false">U54+U55+U56</f>
        <v>11582443.1152603</v>
      </c>
      <c r="V57" s="16" t="n">
        <f aca="false">V54+V55+V56</f>
        <v>12751803.3458331</v>
      </c>
      <c r="W57" s="16" t="n">
        <f aca="false">W54+W55+W56</f>
        <v>13923226.1335651</v>
      </c>
      <c r="X57" s="16" t="n">
        <f aca="false">X54+X55+X56</f>
        <v>15763091.010752</v>
      </c>
      <c r="Y57" s="16" t="n">
        <f aca="false">Y54+Y55+Y56</f>
        <v>17604781.819841</v>
      </c>
      <c r="Z57" s="16" t="n">
        <f aca="false">Z54+Z55+Z56</f>
        <v>19590411.9793249</v>
      </c>
      <c r="AA57" s="16" t="n">
        <f aca="false">AA54+AA55+AA56</f>
        <v>21579200.4160639</v>
      </c>
      <c r="AB57" s="16" t="n">
        <f aca="false">AB54+AB55+AB56</f>
        <v>23572864.9557519</v>
      </c>
      <c r="AC57" s="16" t="n">
        <f aca="false">AC54+AC55+AC56</f>
        <v>25573203.2179871</v>
      </c>
      <c r="AD57" s="16" t="n">
        <f aca="false">AD54+AD55+AD56</f>
        <v>28198259.5454466</v>
      </c>
      <c r="AE57" s="16" t="n">
        <f aca="false">AE54+AE55+AE56</f>
        <v>30825837.7535385</v>
      </c>
      <c r="AF57" s="16" t="n">
        <f aca="false">AF54+AF55+AF56</f>
        <v>33598696.9510586</v>
      </c>
      <c r="AG57" s="16" t="n">
        <f aca="false">AG54+AG55+AG56</f>
        <v>36376731.3952504</v>
      </c>
      <c r="AH57" s="16" t="n">
        <f aca="false">AH54+AH55+AH56</f>
        <v>39162365.8135668</v>
      </c>
      <c r="AI57" s="16" t="n">
        <f aca="false">AI54+AI55+AI56</f>
        <v>41958138.3431591</v>
      </c>
      <c r="AJ57" s="16" t="n">
        <f aca="false">AJ54+AJ55+AJ56</f>
        <v>44907277.0967676</v>
      </c>
      <c r="AK57" s="16" t="n">
        <f aca="false">AK54+AK55+AK56</f>
        <v>47870173.4751852</v>
      </c>
      <c r="AL57" s="16" t="n">
        <f aca="false">AL54+AL55+AL56</f>
        <v>50849779.1752658</v>
      </c>
      <c r="AM57" s="16" t="n">
        <f aca="false">AM54+AM55+AM56</f>
        <v>53849190.9168973</v>
      </c>
      <c r="AN57" s="16" t="n">
        <f aca="false">AN54+AN55+AN56</f>
        <v>57012228.9036867</v>
      </c>
      <c r="AO57" s="16" t="n">
        <f aca="false">AO54+AO55+AO56</f>
        <v>60199912.1439659</v>
      </c>
      <c r="AP57" s="16" t="n">
        <f aca="false">AP54+AP55+AP56</f>
        <v>63849279.3495806</v>
      </c>
      <c r="AQ57" s="16" t="n">
        <f aca="false">AQ54+AQ55+AQ56</f>
        <v>67665647.2078806</v>
      </c>
      <c r="AR57" s="16" t="n">
        <f aca="false">AR54+AR55+AR56</f>
        <v>71510702.9372899</v>
      </c>
      <c r="AS57" s="16" t="n">
        <f aca="false">AS54+AS55+AS56</f>
        <v>75388764.7422948</v>
      </c>
      <c r="AT57" s="16" t="n">
        <f aca="false">AT54+AT55+AT56</f>
        <v>79444940.1187533</v>
      </c>
      <c r="AU57" s="16" t="n">
        <f aca="false">AU54+AU55+AU56</f>
        <v>83541605.2479305</v>
      </c>
      <c r="AV57" s="16" t="n">
        <f aca="false">AV54+AV55+AV56</f>
        <v>87683808.4487983</v>
      </c>
      <c r="AW57" s="16" t="n">
        <f aca="false">AW54+AW55+AW56</f>
        <v>92143943.2518257</v>
      </c>
      <c r="AX57" s="16" t="n">
        <f aca="false">AX54+AX55+AX56</f>
        <v>96616886.2461952</v>
      </c>
      <c r="AY57" s="16" t="n">
        <f aca="false">AY54+AY55+AY56</f>
        <v>101203082.497257</v>
      </c>
      <c r="AZ57" s="16" t="n">
        <f aca="false">AZ54+AZ55+AZ56</f>
        <v>105762307.747033</v>
      </c>
      <c r="BA57" s="16" t="n">
        <f aca="false">BA54+BA55+BA56</f>
        <v>110296834.604141</v>
      </c>
      <c r="BB57" s="16" t="n">
        <f aca="false">BB54+BB55+BB56</f>
        <v>115385347.706126</v>
      </c>
      <c r="BC57" s="16" t="n">
        <f aca="false">BC54+BC55+BC56</f>
        <v>120446458.079616</v>
      </c>
      <c r="BD57" s="16" t="n">
        <f aca="false">BD54+BD55+BD56</f>
        <v>125623372.320892</v>
      </c>
      <c r="BE57" s="16" t="n">
        <f aca="false">BE54+BE55+BE56</f>
        <v>130776426.094973</v>
      </c>
      <c r="BF57" s="16" t="n">
        <f aca="false">BF54+BF55+BF56</f>
        <v>136034991.933543</v>
      </c>
      <c r="BG57" s="16" t="n">
        <f aca="false">BG54+BG55+BG56</f>
        <v>141414450.555665</v>
      </c>
      <c r="BH57" s="16" t="n">
        <f aca="false">BH54+BH55+BH56</f>
        <v>146775513.826434</v>
      </c>
      <c r="BI57" s="16" t="n">
        <f aca="false">BI54+BI55+BI56</f>
        <v>152262009.117573</v>
      </c>
      <c r="BJ57" s="16" t="n">
        <f aca="false">BJ54+BJ55+BJ56</f>
        <v>157861441.574628</v>
      </c>
      <c r="BK57" s="16" t="n">
        <f aca="false">BK54+BK55+BK56</f>
        <v>163589780.013109</v>
      </c>
      <c r="BL57" s="16" t="n">
        <f aca="false">BL54+BL55+BL56</f>
        <v>169278235.434516</v>
      </c>
    </row>
    <row r="58" customFormat="false" ht="15" hidden="false" customHeight="false" outlineLevel="0" collapsed="false">
      <c r="A58" s="12" t="s">
        <v>771</v>
      </c>
      <c r="B58" s="14" t="s">
        <v>77</v>
      </c>
      <c r="D58" s="55" t="n">
        <f aca="false">SUM(E58:BL58)</f>
        <v>4501050309.57803</v>
      </c>
      <c r="E58" s="32" t="n">
        <f aca="false">E37*FX_Fee</f>
        <v>0</v>
      </c>
      <c r="F58" s="32" t="n">
        <f aca="false">F37*FX_Fee</f>
        <v>0</v>
      </c>
      <c r="G58" s="32" t="n">
        <f aca="false">G37*FX_Fee</f>
        <v>0</v>
      </c>
      <c r="H58" s="32" t="n">
        <f aca="false">H37*FX_Fee</f>
        <v>0</v>
      </c>
      <c r="I58" s="32" t="n">
        <f aca="false">I37*FX_Fee</f>
        <v>1100633.33333333</v>
      </c>
      <c r="J58" s="32" t="n">
        <f aca="false">J37*FX_Fee</f>
        <v>2198683.41666667</v>
      </c>
      <c r="K58" s="32" t="n">
        <f aca="false">K37*FX_Fee</f>
        <v>3294845.299375</v>
      </c>
      <c r="L58" s="32" t="n">
        <f aca="false">L37*FX_Fee</f>
        <v>4389843.69915052</v>
      </c>
      <c r="M58" s="32" t="n">
        <f aca="false">M37*FX_Fee</f>
        <v>5484434.97244288</v>
      </c>
      <c r="N58" s="32" t="n">
        <f aca="false">N37*FX_Fee</f>
        <v>6579409.19986052</v>
      </c>
      <c r="O58" s="32" t="n">
        <f aca="false">O37*FX_Fee</f>
        <v>7675592.39348986</v>
      </c>
      <c r="P58" s="32" t="n">
        <f aca="false">P37*FX_Fee</f>
        <v>8773848.83350563</v>
      </c>
      <c r="Q58" s="32" t="n">
        <f aca="false">Q37*FX_Fee</f>
        <v>10263716.8752199</v>
      </c>
      <c r="R58" s="32" t="n">
        <f aca="false">R37*FX_Fee</f>
        <v>11752828.3181859</v>
      </c>
      <c r="S58" s="32" t="n">
        <f aca="false">S37*FX_Fee</f>
        <v>13242242.2788422</v>
      </c>
      <c r="T58" s="32" t="n">
        <f aca="false">T37*FX_Fee</f>
        <v>14733065.9442359</v>
      </c>
      <c r="U58" s="32" t="n">
        <f aca="false">U37*FX_Fee</f>
        <v>16226457.6989902</v>
      </c>
      <c r="V58" s="32" t="n">
        <f aca="false">V37*FX_Fee</f>
        <v>17723630.435751</v>
      </c>
      <c r="W58" s="32" t="n">
        <f aca="false">W37*FX_Fee</f>
        <v>20068388.3935296</v>
      </c>
      <c r="X58" s="32" t="n">
        <f aca="false">X37*FX_Fee</f>
        <v>22417387.8690226</v>
      </c>
      <c r="Y58" s="32" t="n">
        <f aca="false">Y37*FX_Fee</f>
        <v>24950551.2691909</v>
      </c>
      <c r="Z58" s="32" t="n">
        <f aca="false">Z37*FX_Fee</f>
        <v>27489748.0247949</v>
      </c>
      <c r="AA58" s="32" t="n">
        <f aca="false">AA37*FX_Fee</f>
        <v>30037120.0644457</v>
      </c>
      <c r="AB58" s="32" t="n">
        <f aca="false">AB37*FX_Fee</f>
        <v>32594913.0024756</v>
      </c>
      <c r="AC58" s="32" t="n">
        <f aca="false">AC37*FX_Fee</f>
        <v>35945716.0814445</v>
      </c>
      <c r="AD58" s="32" t="n">
        <f aca="false">AD37*FX_Fee</f>
        <v>39302366.9212633</v>
      </c>
      <c r="AE58" s="32" t="n">
        <f aca="false">AE37*FX_Fee</f>
        <v>42845593.1236604</v>
      </c>
      <c r="AF58" s="32" t="n">
        <f aca="false">AF37*FX_Fee</f>
        <v>46398107.8397065</v>
      </c>
      <c r="AG58" s="32" t="n">
        <f aca="false">AG37*FX_Fee</f>
        <v>49962937.7070322</v>
      </c>
      <c r="AH58" s="32" t="n">
        <f aca="false">AH37*FX_Fee</f>
        <v>53543256.6460932</v>
      </c>
      <c r="AI58" s="32" t="n">
        <f aca="false">AI37*FX_Fee</f>
        <v>57320395.2317242</v>
      </c>
      <c r="AJ58" s="32" t="n">
        <f aca="false">AJ37*FX_Fee</f>
        <v>61117705.6179155</v>
      </c>
      <c r="AK58" s="32" t="n">
        <f aca="false">AK37*FX_Fee</f>
        <v>64938891.6366695</v>
      </c>
      <c r="AL58" s="32" t="n">
        <f aca="false">AL37*FX_Fee</f>
        <v>68787844.8856356</v>
      </c>
      <c r="AM58" s="32" t="n">
        <f aca="false">AM37*FX_Fee</f>
        <v>72846656.5285485</v>
      </c>
      <c r="AN58" s="32" t="n">
        <f aca="false">AN37*FX_Fee</f>
        <v>76939484.794654</v>
      </c>
      <c r="AO58" s="32" t="n">
        <f aca="false">AO37*FX_Fee</f>
        <v>81619721.1400576</v>
      </c>
      <c r="AP58" s="32" t="n">
        <f aca="false">AP37*FX_Fee</f>
        <v>86514715.4782971</v>
      </c>
      <c r="AQ58" s="32" t="n">
        <f aca="false">AQ37*FX_Fee</f>
        <v>91449464.7754491</v>
      </c>
      <c r="AR58" s="32" t="n">
        <f aca="false">AR37*FX_Fee</f>
        <v>96429408.6635108</v>
      </c>
      <c r="AS58" s="32" t="n">
        <f aca="false">AS37*FX_Fee</f>
        <v>101638271.104747</v>
      </c>
      <c r="AT58" s="32" t="n">
        <f aca="false">AT37*FX_Fee</f>
        <v>106901933.101478</v>
      </c>
      <c r="AU58" s="32" t="n">
        <f aca="false">AU37*FX_Fee</f>
        <v>112226771.044999</v>
      </c>
      <c r="AV58" s="32" t="n">
        <f aca="false">AV37*FX_Fee</f>
        <v>117957701.546247</v>
      </c>
      <c r="AW58" s="32" t="n">
        <f aca="false">AW37*FX_Fee</f>
        <v>123708669.209069</v>
      </c>
      <c r="AX58" s="32" t="n">
        <f aca="false">AX37*FX_Fee</f>
        <v>129606810.941354</v>
      </c>
      <c r="AY58" s="32" t="n">
        <f aca="false">AY37*FX_Fee</f>
        <v>135474630.072607</v>
      </c>
      <c r="AZ58" s="32" t="n">
        <f aca="false">AZ37*FX_Fee</f>
        <v>141314901.804063</v>
      </c>
      <c r="BA58" s="32" t="n">
        <f aca="false">BA37*FX_Fee</f>
        <v>147860304.948658</v>
      </c>
      <c r="BB58" s="32" t="n">
        <f aca="false">BB37*FX_Fee</f>
        <v>154375234.615577</v>
      </c>
      <c r="BC58" s="32" t="n">
        <f aca="false">BC37*FX_Fee</f>
        <v>161040920.118356</v>
      </c>
      <c r="BD58" s="32" t="n">
        <f aca="false">BD37*FX_Fee</f>
        <v>167680570.327024</v>
      </c>
      <c r="BE58" s="32" t="n">
        <f aca="false">BE37*FX_Fee</f>
        <v>174457901.79333</v>
      </c>
      <c r="BF58" s="32" t="n">
        <f aca="false">BF37*FX_Fee</f>
        <v>181392442.237191</v>
      </c>
      <c r="BG58" s="32" t="n">
        <f aca="false">BG37*FX_Fee</f>
        <v>188307882.73964</v>
      </c>
      <c r="BH58" s="32" t="n">
        <f aca="false">BH37*FX_Fee</f>
        <v>195386249.909434</v>
      </c>
      <c r="BI58" s="32" t="n">
        <f aca="false">BI37*FX_Fee</f>
        <v>202611796.554226</v>
      </c>
      <c r="BJ58" s="32" t="n">
        <f aca="false">BJ37*FX_Fee</f>
        <v>210004802.11788</v>
      </c>
      <c r="BK58" s="32" t="n">
        <f aca="false">BK37*FX_Fee</f>
        <v>217351608.931708</v>
      </c>
      <c r="BL58" s="32" t="n">
        <f aca="false">BL37*FX_Fee</f>
        <v>224791298.066268</v>
      </c>
    </row>
    <row r="59" customFormat="false" ht="15" hidden="false" customHeight="false" outlineLevel="0" collapsed="false">
      <c r="A59" s="12" t="s">
        <v>1032</v>
      </c>
      <c r="B59" s="14" t="s">
        <v>77</v>
      </c>
      <c r="D59" s="55" t="n">
        <f aca="false">SUM(E59:BL59)</f>
        <v>0</v>
      </c>
      <c r="E59" s="32" t="n">
        <f aca="false">E36*Interchange_Share</f>
        <v>0</v>
      </c>
      <c r="F59" s="32" t="n">
        <f aca="false">F36*Interchange_Share</f>
        <v>0</v>
      </c>
      <c r="G59" s="32" t="n">
        <f aca="false">G36*Interchange_Share</f>
        <v>0</v>
      </c>
      <c r="H59" s="32" t="n">
        <f aca="false">H36*Interchange_Share</f>
        <v>0</v>
      </c>
      <c r="I59" s="32" t="n">
        <f aca="false">I36*Interchange_Share</f>
        <v>0</v>
      </c>
      <c r="J59" s="32" t="n">
        <f aca="false">J36*Interchange_Share</f>
        <v>0</v>
      </c>
      <c r="K59" s="32" t="n">
        <f aca="false">K36*Interchange_Share</f>
        <v>0</v>
      </c>
      <c r="L59" s="32" t="n">
        <f aca="false">L36*Interchange_Share</f>
        <v>0</v>
      </c>
      <c r="M59" s="32" t="n">
        <f aca="false">M36*Interchange_Share</f>
        <v>0</v>
      </c>
      <c r="N59" s="32" t="n">
        <f aca="false">N36*Interchange_Share</f>
        <v>0</v>
      </c>
      <c r="O59" s="32" t="n">
        <f aca="false">O36*Interchange_Share</f>
        <v>0</v>
      </c>
      <c r="P59" s="32" t="n">
        <f aca="false">P36*Interchange_Share</f>
        <v>0</v>
      </c>
      <c r="Q59" s="32" t="n">
        <f aca="false">Q36*Interchange_Share</f>
        <v>0</v>
      </c>
      <c r="R59" s="32" t="n">
        <f aca="false">R36*Interchange_Share</f>
        <v>0</v>
      </c>
      <c r="S59" s="32" t="n">
        <f aca="false">S36*Interchange_Share</f>
        <v>0</v>
      </c>
      <c r="T59" s="32" t="n">
        <f aca="false">T36*Interchange_Share</f>
        <v>0</v>
      </c>
      <c r="U59" s="32" t="n">
        <f aca="false">U36*Interchange_Share</f>
        <v>0</v>
      </c>
      <c r="V59" s="32" t="n">
        <f aca="false">V36*Interchange_Share</f>
        <v>0</v>
      </c>
      <c r="W59" s="32" t="n">
        <f aca="false">W36*Interchange_Share</f>
        <v>0</v>
      </c>
      <c r="X59" s="32" t="n">
        <f aca="false">X36*Interchange_Share</f>
        <v>0</v>
      </c>
      <c r="Y59" s="32" t="n">
        <f aca="false">Y36*Interchange_Share</f>
        <v>0</v>
      </c>
      <c r="Z59" s="32" t="n">
        <f aca="false">Z36*Interchange_Share</f>
        <v>0</v>
      </c>
      <c r="AA59" s="32" t="n">
        <f aca="false">AA36*Interchange_Share</f>
        <v>0</v>
      </c>
      <c r="AB59" s="32" t="n">
        <f aca="false">AB36*Interchange_Share</f>
        <v>0</v>
      </c>
      <c r="AC59" s="32" t="n">
        <f aca="false">AC36*Interchange_Share</f>
        <v>0</v>
      </c>
      <c r="AD59" s="32" t="n">
        <f aca="false">AD36*Interchange_Share</f>
        <v>0</v>
      </c>
      <c r="AE59" s="32" t="n">
        <f aca="false">AE36*Interchange_Share</f>
        <v>0</v>
      </c>
      <c r="AF59" s="32" t="n">
        <f aca="false">AF36*Interchange_Share</f>
        <v>0</v>
      </c>
      <c r="AG59" s="32" t="n">
        <f aca="false">AG36*Interchange_Share</f>
        <v>0</v>
      </c>
      <c r="AH59" s="32" t="n">
        <f aca="false">AH36*Interchange_Share</f>
        <v>0</v>
      </c>
      <c r="AI59" s="32" t="n">
        <f aca="false">AI36*Interchange_Share</f>
        <v>0</v>
      </c>
      <c r="AJ59" s="32" t="n">
        <f aca="false">AJ36*Interchange_Share</f>
        <v>0</v>
      </c>
      <c r="AK59" s="32" t="n">
        <f aca="false">AK36*Interchange_Share</f>
        <v>0</v>
      </c>
      <c r="AL59" s="32" t="n">
        <f aca="false">AL36*Interchange_Share</f>
        <v>0</v>
      </c>
      <c r="AM59" s="32" t="n">
        <f aca="false">AM36*Interchange_Share</f>
        <v>0</v>
      </c>
      <c r="AN59" s="32" t="n">
        <f aca="false">AN36*Interchange_Share</f>
        <v>0</v>
      </c>
      <c r="AO59" s="32" t="n">
        <f aca="false">AO36*Interchange_Share</f>
        <v>0</v>
      </c>
      <c r="AP59" s="32" t="n">
        <f aca="false">AP36*Interchange_Share</f>
        <v>0</v>
      </c>
      <c r="AQ59" s="32" t="n">
        <f aca="false">AQ36*Interchange_Share</f>
        <v>0</v>
      </c>
      <c r="AR59" s="32" t="n">
        <f aca="false">AR36*Interchange_Share</f>
        <v>0</v>
      </c>
      <c r="AS59" s="32" t="n">
        <f aca="false">AS36*Interchange_Share</f>
        <v>0</v>
      </c>
      <c r="AT59" s="32" t="n">
        <f aca="false">AT36*Interchange_Share</f>
        <v>0</v>
      </c>
      <c r="AU59" s="32" t="n">
        <f aca="false">AU36*Interchange_Share</f>
        <v>0</v>
      </c>
      <c r="AV59" s="32" t="n">
        <f aca="false">AV36*Interchange_Share</f>
        <v>0</v>
      </c>
      <c r="AW59" s="32" t="n">
        <f aca="false">AW36*Interchange_Share</f>
        <v>0</v>
      </c>
      <c r="AX59" s="32" t="n">
        <f aca="false">AX36*Interchange_Share</f>
        <v>0</v>
      </c>
      <c r="AY59" s="32" t="n">
        <f aca="false">AY36*Interchange_Share</f>
        <v>0</v>
      </c>
      <c r="AZ59" s="32" t="n">
        <f aca="false">AZ36*Interchange_Share</f>
        <v>0</v>
      </c>
      <c r="BA59" s="32" t="n">
        <f aca="false">BA36*Interchange_Share</f>
        <v>0</v>
      </c>
      <c r="BB59" s="32" t="n">
        <f aca="false">BB36*Interchange_Share</f>
        <v>0</v>
      </c>
      <c r="BC59" s="32" t="n">
        <f aca="false">BC36*Interchange_Share</f>
        <v>0</v>
      </c>
      <c r="BD59" s="32" t="n">
        <f aca="false">BD36*Interchange_Share</f>
        <v>0</v>
      </c>
      <c r="BE59" s="32" t="n">
        <f aca="false">BE36*Interchange_Share</f>
        <v>0</v>
      </c>
      <c r="BF59" s="32" t="n">
        <f aca="false">BF36*Interchange_Share</f>
        <v>0</v>
      </c>
      <c r="BG59" s="32" t="n">
        <f aca="false">BG36*Interchange_Share</f>
        <v>0</v>
      </c>
      <c r="BH59" s="32" t="n">
        <f aca="false">BH36*Interchange_Share</f>
        <v>0</v>
      </c>
      <c r="BI59" s="32" t="n">
        <f aca="false">BI36*Interchange_Share</f>
        <v>0</v>
      </c>
      <c r="BJ59" s="32" t="n">
        <f aca="false">BJ36*Interchange_Share</f>
        <v>0</v>
      </c>
      <c r="BK59" s="32" t="n">
        <f aca="false">BK36*Interchange_Share</f>
        <v>0</v>
      </c>
      <c r="BL59" s="32" t="n">
        <f aca="false">BL36*Interchange_Share</f>
        <v>0</v>
      </c>
    </row>
    <row r="60" customFormat="false" ht="15" hidden="false" customHeight="false" outlineLevel="0" collapsed="false">
      <c r="A60" s="12" t="s">
        <v>1033</v>
      </c>
      <c r="B60" s="14" t="s">
        <v>77</v>
      </c>
      <c r="D60" s="55" t="n">
        <f aca="false">SUM(E60:BL60)</f>
        <v>0</v>
      </c>
      <c r="E60" s="32" t="n">
        <f aca="false">E38*Deposit_Share/12</f>
        <v>0</v>
      </c>
      <c r="F60" s="32" t="n">
        <f aca="false">F38*Deposit_Share/12</f>
        <v>0</v>
      </c>
      <c r="G60" s="32" t="n">
        <f aca="false">G38*Deposit_Share/12</f>
        <v>0</v>
      </c>
      <c r="H60" s="32" t="n">
        <f aca="false">H38*Deposit_Share/12</f>
        <v>0</v>
      </c>
      <c r="I60" s="32" t="n">
        <f aca="false">I38*Deposit_Share/12</f>
        <v>0</v>
      </c>
      <c r="J60" s="32" t="n">
        <f aca="false">J38*Deposit_Share/12</f>
        <v>0</v>
      </c>
      <c r="K60" s="32" t="n">
        <f aca="false">K38*Deposit_Share/12</f>
        <v>0</v>
      </c>
      <c r="L60" s="32" t="n">
        <f aca="false">L38*Deposit_Share/12</f>
        <v>0</v>
      </c>
      <c r="M60" s="32" t="n">
        <f aca="false">M38*Deposit_Share/12</f>
        <v>0</v>
      </c>
      <c r="N60" s="32" t="n">
        <f aca="false">N38*Deposit_Share/12</f>
        <v>0</v>
      </c>
      <c r="O60" s="32" t="n">
        <f aca="false">O38*Deposit_Share/12</f>
        <v>0</v>
      </c>
      <c r="P60" s="32" t="n">
        <f aca="false">P38*Deposit_Share/12</f>
        <v>0</v>
      </c>
      <c r="Q60" s="32" t="n">
        <f aca="false">Q38*Deposit_Share/12</f>
        <v>0</v>
      </c>
      <c r="R60" s="32" t="n">
        <f aca="false">R38*Deposit_Share/12</f>
        <v>0</v>
      </c>
      <c r="S60" s="32" t="n">
        <f aca="false">S38*Deposit_Share/12</f>
        <v>0</v>
      </c>
      <c r="T60" s="32" t="n">
        <f aca="false">T38*Deposit_Share/12</f>
        <v>0</v>
      </c>
      <c r="U60" s="32" t="n">
        <f aca="false">U38*Deposit_Share/12</f>
        <v>0</v>
      </c>
      <c r="V60" s="32" t="n">
        <f aca="false">V38*Deposit_Share/12</f>
        <v>0</v>
      </c>
      <c r="W60" s="32" t="n">
        <f aca="false">W38*Deposit_Share/12</f>
        <v>0</v>
      </c>
      <c r="X60" s="32" t="n">
        <f aca="false">X38*Deposit_Share/12</f>
        <v>0</v>
      </c>
      <c r="Y60" s="32" t="n">
        <f aca="false">Y38*Deposit_Share/12</f>
        <v>0</v>
      </c>
      <c r="Z60" s="32" t="n">
        <f aca="false">Z38*Deposit_Share/12</f>
        <v>0</v>
      </c>
      <c r="AA60" s="32" t="n">
        <f aca="false">AA38*Deposit_Share/12</f>
        <v>0</v>
      </c>
      <c r="AB60" s="32" t="n">
        <f aca="false">AB38*Deposit_Share/12</f>
        <v>0</v>
      </c>
      <c r="AC60" s="32" t="n">
        <f aca="false">AC38*Deposit_Share/12</f>
        <v>0</v>
      </c>
      <c r="AD60" s="32" t="n">
        <f aca="false">AD38*Deposit_Share/12</f>
        <v>0</v>
      </c>
      <c r="AE60" s="32" t="n">
        <f aca="false">AE38*Deposit_Share/12</f>
        <v>0</v>
      </c>
      <c r="AF60" s="32" t="n">
        <f aca="false">AF38*Deposit_Share/12</f>
        <v>0</v>
      </c>
      <c r="AG60" s="32" t="n">
        <f aca="false">AG38*Deposit_Share/12</f>
        <v>0</v>
      </c>
      <c r="AH60" s="32" t="n">
        <f aca="false">AH38*Deposit_Share/12</f>
        <v>0</v>
      </c>
      <c r="AI60" s="32" t="n">
        <f aca="false">AI38*Deposit_Share/12</f>
        <v>0</v>
      </c>
      <c r="AJ60" s="32" t="n">
        <f aca="false">AJ38*Deposit_Share/12</f>
        <v>0</v>
      </c>
      <c r="AK60" s="32" t="n">
        <f aca="false">AK38*Deposit_Share/12</f>
        <v>0</v>
      </c>
      <c r="AL60" s="32" t="n">
        <f aca="false">AL38*Deposit_Share/12</f>
        <v>0</v>
      </c>
      <c r="AM60" s="32" t="n">
        <f aca="false">AM38*Deposit_Share/12</f>
        <v>0</v>
      </c>
      <c r="AN60" s="32" t="n">
        <f aca="false">AN38*Deposit_Share/12</f>
        <v>0</v>
      </c>
      <c r="AO60" s="32" t="n">
        <f aca="false">AO38*Deposit_Share/12</f>
        <v>0</v>
      </c>
      <c r="AP60" s="32" t="n">
        <f aca="false">AP38*Deposit_Share/12</f>
        <v>0</v>
      </c>
      <c r="AQ60" s="32" t="n">
        <f aca="false">AQ38*Deposit_Share/12</f>
        <v>0</v>
      </c>
      <c r="AR60" s="32" t="n">
        <f aca="false">AR38*Deposit_Share/12</f>
        <v>0</v>
      </c>
      <c r="AS60" s="32" t="n">
        <f aca="false">AS38*Deposit_Share/12</f>
        <v>0</v>
      </c>
      <c r="AT60" s="32" t="n">
        <f aca="false">AT38*Deposit_Share/12</f>
        <v>0</v>
      </c>
      <c r="AU60" s="32" t="n">
        <f aca="false">AU38*Deposit_Share/12</f>
        <v>0</v>
      </c>
      <c r="AV60" s="32" t="n">
        <f aca="false">AV38*Deposit_Share/12</f>
        <v>0</v>
      </c>
      <c r="AW60" s="32" t="n">
        <f aca="false">AW38*Deposit_Share/12</f>
        <v>0</v>
      </c>
      <c r="AX60" s="32" t="n">
        <f aca="false">AX38*Deposit_Share/12</f>
        <v>0</v>
      </c>
      <c r="AY60" s="32" t="n">
        <f aca="false">AY38*Deposit_Share/12</f>
        <v>0</v>
      </c>
      <c r="AZ60" s="32" t="n">
        <f aca="false">AZ38*Deposit_Share/12</f>
        <v>0</v>
      </c>
      <c r="BA60" s="32" t="n">
        <f aca="false">BA38*Deposit_Share/12</f>
        <v>0</v>
      </c>
      <c r="BB60" s="32" t="n">
        <f aca="false">BB38*Deposit_Share/12</f>
        <v>0</v>
      </c>
      <c r="BC60" s="32" t="n">
        <f aca="false">BC38*Deposit_Share/12</f>
        <v>0</v>
      </c>
      <c r="BD60" s="32" t="n">
        <f aca="false">BD38*Deposit_Share/12</f>
        <v>0</v>
      </c>
      <c r="BE60" s="32" t="n">
        <f aca="false">BE38*Deposit_Share/12</f>
        <v>0</v>
      </c>
      <c r="BF60" s="32" t="n">
        <f aca="false">BF38*Deposit_Share/12</f>
        <v>0</v>
      </c>
      <c r="BG60" s="32" t="n">
        <f aca="false">BG38*Deposit_Share/12</f>
        <v>0</v>
      </c>
      <c r="BH60" s="32" t="n">
        <f aca="false">BH38*Deposit_Share/12</f>
        <v>0</v>
      </c>
      <c r="BI60" s="32" t="n">
        <f aca="false">BI38*Deposit_Share/12</f>
        <v>0</v>
      </c>
      <c r="BJ60" s="32" t="n">
        <f aca="false">BJ38*Deposit_Share/12</f>
        <v>0</v>
      </c>
      <c r="BK60" s="32" t="n">
        <f aca="false">BK38*Deposit_Share/12</f>
        <v>0</v>
      </c>
      <c r="BL60" s="32" t="n">
        <f aca="false">BL38*Deposit_Share/12</f>
        <v>0</v>
      </c>
    </row>
    <row r="61" customFormat="false" ht="15" hidden="false" customHeight="false" outlineLevel="0" collapsed="false">
      <c r="A61" s="12" t="s">
        <v>1034</v>
      </c>
      <c r="B61" s="14" t="s">
        <v>77</v>
      </c>
      <c r="D61" s="55" t="n">
        <f aca="false">SUM(E61:BL61)</f>
        <v>0</v>
      </c>
      <c r="E61" s="32" t="n">
        <f aca="false">E34*Card_Fee</f>
        <v>0</v>
      </c>
      <c r="F61" s="32" t="n">
        <f aca="false">F34*Card_Fee</f>
        <v>0</v>
      </c>
      <c r="G61" s="32" t="n">
        <f aca="false">G34*Card_Fee</f>
        <v>0</v>
      </c>
      <c r="H61" s="32" t="n">
        <f aca="false">H34*Card_Fee</f>
        <v>0</v>
      </c>
      <c r="I61" s="32" t="n">
        <f aca="false">I34*Card_Fee</f>
        <v>0</v>
      </c>
      <c r="J61" s="32" t="n">
        <f aca="false">J34*Card_Fee</f>
        <v>0</v>
      </c>
      <c r="K61" s="32" t="n">
        <f aca="false">K34*Card_Fee</f>
        <v>0</v>
      </c>
      <c r="L61" s="32" t="n">
        <f aca="false">L34*Card_Fee</f>
        <v>0</v>
      </c>
      <c r="M61" s="32" t="n">
        <f aca="false">M34*Card_Fee</f>
        <v>0</v>
      </c>
      <c r="N61" s="32" t="n">
        <f aca="false">N34*Card_Fee</f>
        <v>0</v>
      </c>
      <c r="O61" s="32" t="n">
        <f aca="false">O34*Card_Fee</f>
        <v>0</v>
      </c>
      <c r="P61" s="32" t="n">
        <f aca="false">P34*Card_Fee</f>
        <v>0</v>
      </c>
      <c r="Q61" s="32" t="n">
        <f aca="false">Q34*Card_Fee</f>
        <v>0</v>
      </c>
      <c r="R61" s="32" t="n">
        <f aca="false">R34*Card_Fee</f>
        <v>0</v>
      </c>
      <c r="S61" s="32" t="n">
        <f aca="false">S34*Card_Fee</f>
        <v>0</v>
      </c>
      <c r="T61" s="32" t="n">
        <f aca="false">T34*Card_Fee</f>
        <v>0</v>
      </c>
      <c r="U61" s="32" t="n">
        <f aca="false">U34*Card_Fee</f>
        <v>0</v>
      </c>
      <c r="V61" s="32" t="n">
        <f aca="false">V34*Card_Fee</f>
        <v>0</v>
      </c>
      <c r="W61" s="32" t="n">
        <f aca="false">W34*Card_Fee</f>
        <v>0</v>
      </c>
      <c r="X61" s="32" t="n">
        <f aca="false">X34*Card_Fee</f>
        <v>0</v>
      </c>
      <c r="Y61" s="32" t="n">
        <f aca="false">Y34*Card_Fee</f>
        <v>0</v>
      </c>
      <c r="Z61" s="32" t="n">
        <f aca="false">Z34*Card_Fee</f>
        <v>0</v>
      </c>
      <c r="AA61" s="32" t="n">
        <f aca="false">AA34*Card_Fee</f>
        <v>0</v>
      </c>
      <c r="AB61" s="32" t="n">
        <f aca="false">AB34*Card_Fee</f>
        <v>0</v>
      </c>
      <c r="AC61" s="32" t="n">
        <f aca="false">AC34*Card_Fee</f>
        <v>0</v>
      </c>
      <c r="AD61" s="32" t="n">
        <f aca="false">AD34*Card_Fee</f>
        <v>0</v>
      </c>
      <c r="AE61" s="32" t="n">
        <f aca="false">AE34*Card_Fee</f>
        <v>0</v>
      </c>
      <c r="AF61" s="32" t="n">
        <f aca="false">AF34*Card_Fee</f>
        <v>0</v>
      </c>
      <c r="AG61" s="32" t="n">
        <f aca="false">AG34*Card_Fee</f>
        <v>0</v>
      </c>
      <c r="AH61" s="32" t="n">
        <f aca="false">AH34*Card_Fee</f>
        <v>0</v>
      </c>
      <c r="AI61" s="32" t="n">
        <f aca="false">AI34*Card_Fee</f>
        <v>0</v>
      </c>
      <c r="AJ61" s="32" t="n">
        <f aca="false">AJ34*Card_Fee</f>
        <v>0</v>
      </c>
      <c r="AK61" s="32" t="n">
        <f aca="false">AK34*Card_Fee</f>
        <v>0</v>
      </c>
      <c r="AL61" s="32" t="n">
        <f aca="false">AL34*Card_Fee</f>
        <v>0</v>
      </c>
      <c r="AM61" s="32" t="n">
        <f aca="false">AM34*Card_Fee</f>
        <v>0</v>
      </c>
      <c r="AN61" s="32" t="n">
        <f aca="false">AN34*Card_Fee</f>
        <v>0</v>
      </c>
      <c r="AO61" s="32" t="n">
        <f aca="false">AO34*Card_Fee</f>
        <v>0</v>
      </c>
      <c r="AP61" s="32" t="n">
        <f aca="false">AP34*Card_Fee</f>
        <v>0</v>
      </c>
      <c r="AQ61" s="32" t="n">
        <f aca="false">AQ34*Card_Fee</f>
        <v>0</v>
      </c>
      <c r="AR61" s="32" t="n">
        <f aca="false">AR34*Card_Fee</f>
        <v>0</v>
      </c>
      <c r="AS61" s="32" t="n">
        <f aca="false">AS34*Card_Fee</f>
        <v>0</v>
      </c>
      <c r="AT61" s="32" t="n">
        <f aca="false">AT34*Card_Fee</f>
        <v>0</v>
      </c>
      <c r="AU61" s="32" t="n">
        <f aca="false">AU34*Card_Fee</f>
        <v>0</v>
      </c>
      <c r="AV61" s="32" t="n">
        <f aca="false">AV34*Card_Fee</f>
        <v>0</v>
      </c>
      <c r="AW61" s="32" t="n">
        <f aca="false">AW34*Card_Fee</f>
        <v>0</v>
      </c>
      <c r="AX61" s="32" t="n">
        <f aca="false">AX34*Card_Fee</f>
        <v>0</v>
      </c>
      <c r="AY61" s="32" t="n">
        <f aca="false">AY34*Card_Fee</f>
        <v>0</v>
      </c>
      <c r="AZ61" s="32" t="n">
        <f aca="false">AZ34*Card_Fee</f>
        <v>0</v>
      </c>
      <c r="BA61" s="32" t="n">
        <f aca="false">BA34*Card_Fee</f>
        <v>0</v>
      </c>
      <c r="BB61" s="32" t="n">
        <f aca="false">BB34*Card_Fee</f>
        <v>0</v>
      </c>
      <c r="BC61" s="32" t="n">
        <f aca="false">BC34*Card_Fee</f>
        <v>0</v>
      </c>
      <c r="BD61" s="32" t="n">
        <f aca="false">BD34*Card_Fee</f>
        <v>0</v>
      </c>
      <c r="BE61" s="32" t="n">
        <f aca="false">BE34*Card_Fee</f>
        <v>0</v>
      </c>
      <c r="BF61" s="32" t="n">
        <f aca="false">BF34*Card_Fee</f>
        <v>0</v>
      </c>
      <c r="BG61" s="32" t="n">
        <f aca="false">BG34*Card_Fee</f>
        <v>0</v>
      </c>
      <c r="BH61" s="32" t="n">
        <f aca="false">BH34*Card_Fee</f>
        <v>0</v>
      </c>
      <c r="BI61" s="32" t="n">
        <f aca="false">BI34*Card_Fee</f>
        <v>0</v>
      </c>
      <c r="BJ61" s="32" t="n">
        <f aca="false">BJ34*Card_Fee</f>
        <v>0</v>
      </c>
      <c r="BK61" s="32" t="n">
        <f aca="false">BK34*Card_Fee</f>
        <v>0</v>
      </c>
      <c r="BL61" s="32" t="n">
        <f aca="false">BL34*Card_Fee</f>
        <v>0</v>
      </c>
    </row>
    <row r="62" customFormat="false" ht="15" hidden="false" customHeight="false" outlineLevel="0" collapsed="false">
      <c r="A62" s="12" t="s">
        <v>1035</v>
      </c>
      <c r="B62" s="14" t="s">
        <v>77</v>
      </c>
      <c r="D62" s="55" t="n">
        <f aca="false">SUM(E62:BL62)</f>
        <v>136162983.368738</v>
      </c>
      <c r="E62" s="32" t="n">
        <f aca="false">E43*Overage_Fee</f>
        <v>0</v>
      </c>
      <c r="F62" s="32" t="n">
        <f aca="false">F43*Overage_Fee</f>
        <v>0</v>
      </c>
      <c r="G62" s="32" t="n">
        <f aca="false">G43*Overage_Fee</f>
        <v>0</v>
      </c>
      <c r="H62" s="32" t="n">
        <f aca="false">H43*Overage_Fee</f>
        <v>0</v>
      </c>
      <c r="I62" s="32" t="n">
        <f aca="false">I43*Overage_Fee</f>
        <v>33390</v>
      </c>
      <c r="J62" s="32" t="n">
        <f aca="false">J43*Overage_Fee</f>
        <v>66693.303</v>
      </c>
      <c r="K62" s="32" t="n">
        <f aca="false">K43*Overage_Fee</f>
        <v>99931.1987025</v>
      </c>
      <c r="L62" s="32" t="n">
        <f aca="false">L43*Overage_Fee</f>
        <v>133125.867496294</v>
      </c>
      <c r="M62" s="32" t="n">
        <f aca="false">M43*Overage_Fee</f>
        <v>166300.440204223</v>
      </c>
      <c r="N62" s="32" t="n">
        <f aca="false">N43*Overage_Fee</f>
        <v>199479.061304795</v>
      </c>
      <c r="O62" s="32" t="n">
        <f aca="false">O43*Overage_Fee</f>
        <v>232686.955838141</v>
      </c>
      <c r="P62" s="32" t="n">
        <f aca="false">P43*Overage_Fee</f>
        <v>265950.500219396</v>
      </c>
      <c r="Q62" s="32" t="n">
        <f aca="false">Q43*Overage_Fee</f>
        <v>311087.297195916</v>
      </c>
      <c r="R62" s="32" t="n">
        <f aca="false">R43*Overage_Fee</f>
        <v>356191.238198892</v>
      </c>
      <c r="S62" s="32" t="n">
        <f aca="false">S43*Overage_Fee</f>
        <v>401294.681657439</v>
      </c>
      <c r="T62" s="32" t="n">
        <f aca="false">T43*Overage_Fee</f>
        <v>446431.431732902</v>
      </c>
      <c r="U62" s="32" t="n">
        <f aca="false">U43*Overage_Fee</f>
        <v>491636.833082893</v>
      </c>
      <c r="V62" s="32" t="n">
        <f aca="false">V43*Overage_Fee</f>
        <v>536947.871170783</v>
      </c>
      <c r="W62" s="32" t="n">
        <f aca="false">W43*Overage_Fee</f>
        <v>607963.27845597</v>
      </c>
      <c r="X62" s="32" t="n">
        <f aca="false">X43*Overage_Fee</f>
        <v>679092.258820297</v>
      </c>
      <c r="Y62" s="32" t="n">
        <f aca="false">Y43*Overage_Fee</f>
        <v>755793.440317274</v>
      </c>
      <c r="Z62" s="32" t="n">
        <f aca="false">Z43*Overage_Fee</f>
        <v>832661.802083252</v>
      </c>
      <c r="AA62" s="32" t="n">
        <f aca="false">AA43*Overage_Fee</f>
        <v>909762.636309693</v>
      </c>
      <c r="AB62" s="32" t="n">
        <f aca="false">AB43*Overage_Fee</f>
        <v>987164.35832784</v>
      </c>
      <c r="AC62" s="32" t="n">
        <f aca="false">AC43*Overage_Fee</f>
        <v>1088608.70680289</v>
      </c>
      <c r="AD62" s="32" t="n">
        <f aca="false">AD43*Overage_Fee</f>
        <v>1190209.8147162</v>
      </c>
      <c r="AE62" s="32" t="n">
        <f aca="false">AE43*Overage_Fee</f>
        <v>1297450.85217943</v>
      </c>
      <c r="AF62" s="32" t="n">
        <f aca="false">AF43*Overage_Fee</f>
        <v>1404952.50075338</v>
      </c>
      <c r="AG62" s="32" t="n">
        <f aca="false">AG43*Overage_Fee</f>
        <v>1512806.99003264</v>
      </c>
      <c r="AH62" s="32" t="n">
        <f aca="false">AH43*Overage_Fee</f>
        <v>1621110.98673259</v>
      </c>
      <c r="AI62" s="32" t="n">
        <f aca="false">AI43*Overage_Fee</f>
        <v>1735365.87854107</v>
      </c>
      <c r="AJ62" s="32" t="n">
        <f aca="false">AJ43*Overage_Fee</f>
        <v>1850211.65469405</v>
      </c>
      <c r="AK62" s="32" t="n">
        <f aca="false">AK43*Overage_Fee</f>
        <v>1965761.00793433</v>
      </c>
      <c r="AL62" s="32" t="n">
        <f aca="false">AL43*Overage_Fee</f>
        <v>2082132.29289663</v>
      </c>
      <c r="AM62" s="32" t="n">
        <f aca="false">AM43*Overage_Fee</f>
        <v>2204849.88341679</v>
      </c>
      <c r="AN62" s="32" t="n">
        <f aca="false">AN43*Overage_Fee</f>
        <v>2328578.13097365</v>
      </c>
      <c r="AO62" s="32" t="n">
        <f aca="false">AO43*Overage_Fee</f>
        <v>2470105.54918746</v>
      </c>
      <c r="AP62" s="32" t="n">
        <f aca="false">AP43*Overage_Fee</f>
        <v>2618123.0646985</v>
      </c>
      <c r="AQ62" s="32" t="n">
        <f aca="false">AQ43*Overage_Fee</f>
        <v>2767320.54680797</v>
      </c>
      <c r="AR62" s="32" t="n">
        <f aca="false">AR43*Overage_Fee</f>
        <v>2917863.31680808</v>
      </c>
      <c r="AS62" s="32" t="n">
        <f aca="false">AS43*Overage_Fee</f>
        <v>3075325.27512124</v>
      </c>
      <c r="AT62" s="32" t="n">
        <f aca="false">AT43*Overage_Fee</f>
        <v>3234423.01742242</v>
      </c>
      <c r="AU62" s="32" t="n">
        <f aca="false">AU43*Overage_Fee</f>
        <v>3395350.18620835</v>
      </c>
      <c r="AV62" s="32" t="n">
        <f aca="false">AV43*Overage_Fee</f>
        <v>3568570.69370197</v>
      </c>
      <c r="AW62" s="32" t="n">
        <f aca="false">AW43*Overage_Fee</f>
        <v>3742370.28462499</v>
      </c>
      <c r="AX62" s="32" t="n">
        <f aca="false">AX43*Overage_Fee</f>
        <v>3920606.436008</v>
      </c>
      <c r="AY62" s="32" t="n">
        <f aca="false">AY43*Overage_Fee</f>
        <v>4097893.95983749</v>
      </c>
      <c r="AZ62" s="32" t="n">
        <f aca="false">AZ43*Overage_Fee</f>
        <v>4274317.94455658</v>
      </c>
      <c r="BA62" s="32" t="n">
        <f aca="false">BA43*Overage_Fee</f>
        <v>4472106.58226053</v>
      </c>
      <c r="BB62" s="32" t="n">
        <f aca="false">BB43*Overage_Fee</f>
        <v>4668939.06469681</v>
      </c>
      <c r="BC62" s="32" t="n">
        <f aca="false">BC43*Overage_Fee</f>
        <v>4870314.32676093</v>
      </c>
      <c r="BD62" s="32" t="n">
        <f aca="false">BD43*Overage_Fee</f>
        <v>5070868.61754288</v>
      </c>
      <c r="BE62" s="32" t="n">
        <f aca="false">BE43*Overage_Fee</f>
        <v>5275569.54297363</v>
      </c>
      <c r="BF62" s="32" t="n">
        <f aca="false">BF43*Overage_Fee</f>
        <v>5485009.18303148</v>
      </c>
      <c r="BG62" s="32" t="n">
        <f aca="false">BG43*Overage_Fee</f>
        <v>5693838.36706467</v>
      </c>
      <c r="BH62" s="32" t="n">
        <f aca="false">BH43*Overage_Fee</f>
        <v>5907580.12342524</v>
      </c>
      <c r="BI62" s="32" t="n">
        <f aca="false">BI43*Overage_Fee</f>
        <v>6125756.20563476</v>
      </c>
      <c r="BJ62" s="32" t="n">
        <f aca="false">BJ43*Overage_Fee</f>
        <v>6348981.44208234</v>
      </c>
      <c r="BK62" s="32" t="n">
        <f aca="false">BK43*Overage_Fee</f>
        <v>6570773.5490204</v>
      </c>
      <c r="BL62" s="32" t="n">
        <f aca="false">BL43*Overage_Fee</f>
        <v>6795352.93546895</v>
      </c>
    </row>
    <row r="63" customFormat="false" ht="15" hidden="false" customHeight="false" outlineLevel="0" collapsed="false">
      <c r="A63" s="12" t="s">
        <v>1036</v>
      </c>
      <c r="B63" s="14" t="s">
        <v>77</v>
      </c>
      <c r="D63" s="55" t="n">
        <f aca="false">SUM(E63:BL63)</f>
        <v>956796171.094988</v>
      </c>
      <c r="E63" s="32" t="n">
        <f aca="false">E50*PL_Momo_Share*PL_Fee</f>
        <v>0</v>
      </c>
      <c r="F63" s="32" t="n">
        <f aca="false">F50*PL_Momo_Share*PL_Fee</f>
        <v>0</v>
      </c>
      <c r="G63" s="32" t="n">
        <f aca="false">G50*PL_Momo_Share*PL_Fee</f>
        <v>0</v>
      </c>
      <c r="H63" s="32" t="n">
        <f aca="false">H50*PL_Momo_Share*PL_Fee</f>
        <v>0</v>
      </c>
      <c r="I63" s="32" t="n">
        <f aca="false">I50*PL_Momo_Share*PL_Fee</f>
        <v>0</v>
      </c>
      <c r="J63" s="32" t="n">
        <f aca="false">J50*PL_Momo_Share*PL_Fee</f>
        <v>0</v>
      </c>
      <c r="K63" s="32" t="n">
        <f aca="false">K50*PL_Momo_Share*PL_Fee</f>
        <v>0</v>
      </c>
      <c r="L63" s="32" t="n">
        <f aca="false">L50*PL_Momo_Share*PL_Fee</f>
        <v>0</v>
      </c>
      <c r="M63" s="32" t="n">
        <f aca="false">M50*PL_Momo_Share*PL_Fee</f>
        <v>0</v>
      </c>
      <c r="N63" s="32" t="n">
        <f aca="false">N50*PL_Momo_Share*PL_Fee</f>
        <v>0</v>
      </c>
      <c r="O63" s="32" t="n">
        <f aca="false">O50*PL_Momo_Share*PL_Fee</f>
        <v>0</v>
      </c>
      <c r="P63" s="32" t="n">
        <f aca="false">P50*PL_Momo_Share*PL_Fee</f>
        <v>0</v>
      </c>
      <c r="Q63" s="32" t="n">
        <f aca="false">Q50*PL_Momo_Share*PL_Fee</f>
        <v>0</v>
      </c>
      <c r="R63" s="32" t="n">
        <f aca="false">R50*PL_Momo_Share*PL_Fee</f>
        <v>0</v>
      </c>
      <c r="S63" s="32" t="n">
        <f aca="false">S50*PL_Momo_Share*PL_Fee</f>
        <v>0</v>
      </c>
      <c r="T63" s="32" t="n">
        <f aca="false">T50*PL_Momo_Share*PL_Fee</f>
        <v>0</v>
      </c>
      <c r="U63" s="32" t="n">
        <f aca="false">U50*PL_Momo_Share*PL_Fee</f>
        <v>0</v>
      </c>
      <c r="V63" s="32" t="n">
        <f aca="false">V50*PL_Momo_Share*PL_Fee</f>
        <v>332036.437518309</v>
      </c>
      <c r="W63" s="32" t="n">
        <f aca="false">W50*PL_Momo_Share*PL_Fee</f>
        <v>751944.033984571</v>
      </c>
      <c r="X63" s="32" t="n">
        <f aca="false">X50*PL_Momo_Share*PL_Fee</f>
        <v>1259978.15172081</v>
      </c>
      <c r="Y63" s="32" t="n">
        <f aca="false">Y50*PL_Momo_Share*PL_Fee</f>
        <v>1869865.94704</v>
      </c>
      <c r="Z63" s="32" t="n">
        <f aca="false">Z50*PL_Momo_Share*PL_Fee</f>
        <v>2575296.55942538</v>
      </c>
      <c r="AA63" s="32" t="n">
        <f aca="false">AA50*PL_Momo_Share*PL_Fee</f>
        <v>3376867.50959009</v>
      </c>
      <c r="AB63" s="32" t="n">
        <f aca="false">AB50*PL_Momo_Share*PL_Fee</f>
        <v>4275350.18103454</v>
      </c>
      <c r="AC63" s="32" t="n">
        <f aca="false">AC50*PL_Momo_Share*PL_Fee</f>
        <v>5388542.67837536</v>
      </c>
      <c r="AD63" s="32" t="n">
        <f aca="false">AD50*PL_Momo_Share*PL_Fee</f>
        <v>6628399.72465244</v>
      </c>
      <c r="AE63" s="32" t="n">
        <f aca="false">AE50*PL_Momo_Share*PL_Fee</f>
        <v>8029103.87569041</v>
      </c>
      <c r="AF63" s="32" t="n">
        <f aca="false">AF50*PL_Momo_Share*PL_Fee</f>
        <v>9564656.08246315</v>
      </c>
      <c r="AG63" s="32" t="n">
        <f aca="false">AG50*PL_Momo_Share*PL_Fee</f>
        <v>11236282.4691221</v>
      </c>
      <c r="AH63" s="32" t="n">
        <f aca="false">AH50*PL_Momo_Share*PL_Fee</f>
        <v>12041973.7315087</v>
      </c>
      <c r="AI63" s="32" t="n">
        <f aca="false">AI50*PL_Momo_Share*PL_Fee</f>
        <v>12891975.8384286</v>
      </c>
      <c r="AJ63" s="32" t="n">
        <f aca="false">AJ50*PL_Momo_Share*PL_Fee</f>
        <v>13746613.8136772</v>
      </c>
      <c r="AK63" s="32" t="n">
        <f aca="false">AK50*PL_Momo_Share*PL_Fee</f>
        <v>14606719.3839512</v>
      </c>
      <c r="AL63" s="32" t="n">
        <f aca="false">AL50*PL_Momo_Share*PL_Fee</f>
        <v>15473166.5701098</v>
      </c>
      <c r="AM63" s="32" t="n">
        <f aca="false">AM50*PL_Momo_Share*PL_Fee</f>
        <v>16386858.3428076</v>
      </c>
      <c r="AN63" s="32" t="n">
        <f aca="false">AN50*PL_Momo_Share*PL_Fee</f>
        <v>17308301.1554651</v>
      </c>
      <c r="AO63" s="32" t="n">
        <f aca="false">AO50*PL_Momo_Share*PL_Fee</f>
        <v>18361803.0171537</v>
      </c>
      <c r="AP63" s="32" t="n">
        <f aca="false">AP50*PL_Momo_Share*PL_Fee</f>
        <v>19463673.2050081</v>
      </c>
      <c r="AQ63" s="32" t="n">
        <f aca="false">AQ50*PL_Momo_Share*PL_Fee</f>
        <v>20574606.5338114</v>
      </c>
      <c r="AR63" s="32" t="n">
        <f aca="false">AR50*PL_Momo_Share*PL_Fee</f>
        <v>21695825.0081689</v>
      </c>
      <c r="AS63" s="32" t="n">
        <f aca="false">AS50*PL_Momo_Share*PL_Fee</f>
        <v>22868598.6688946</v>
      </c>
      <c r="AT63" s="32" t="n">
        <f aca="false">AT50*PL_Momo_Share*PL_Fee</f>
        <v>24053821.2986451</v>
      </c>
      <c r="AU63" s="32" t="n">
        <f aca="false">AU50*PL_Momo_Share*PL_Fee</f>
        <v>25252925.7373637</v>
      </c>
      <c r="AV63" s="32" t="n">
        <f aca="false">AV50*PL_Momo_Share*PL_Fee</f>
        <v>26543391.0413532</v>
      </c>
      <c r="AW63" s="32" t="n">
        <f aca="false">AW50*PL_Momo_Share*PL_Fee</f>
        <v>27838509.3463522</v>
      </c>
      <c r="AX63" s="32" t="n">
        <f aca="false">AX50*PL_Momo_Share*PL_Fee</f>
        <v>29166838.6385057</v>
      </c>
      <c r="AY63" s="32" t="n">
        <f aca="false">AY50*PL_Momo_Share*PL_Fee</f>
        <v>30488511.2708357</v>
      </c>
      <c r="AZ63" s="32" t="n">
        <f aca="false">AZ50*PL_Momo_Share*PL_Fee</f>
        <v>31804148.3622611</v>
      </c>
      <c r="BA63" s="32" t="n">
        <f aca="false">BA50*PL_Momo_Share*PL_Fee</f>
        <v>33278328.8098798</v>
      </c>
      <c r="BB63" s="32" t="n">
        <f aca="false">BB50*PL_Momo_Share*PL_Fee</f>
        <v>34745834.9572545</v>
      </c>
      <c r="BC63" s="32" t="n">
        <f aca="false">BC50*PL_Momo_Share*PL_Fee</f>
        <v>36247373.7857868</v>
      </c>
      <c r="BD63" s="32" t="n">
        <f aca="false">BD50*PL_Momo_Share*PL_Fee</f>
        <v>37743236.0950796</v>
      </c>
      <c r="BE63" s="32" t="n">
        <f aca="false">BE50*PL_Momo_Share*PL_Fee</f>
        <v>39270195.1168179</v>
      </c>
      <c r="BF63" s="32" t="n">
        <f aca="false">BF50*PL_Momo_Share*PL_Fee</f>
        <v>40832640.1806086</v>
      </c>
      <c r="BG63" s="32" t="n">
        <f aca="false">BG50*PL_Momo_Share*PL_Fee</f>
        <v>42390970.5695912</v>
      </c>
      <c r="BH63" s="32" t="n">
        <f aca="false">BH50*PL_Momo_Share*PL_Fee</f>
        <v>43986072.6677109</v>
      </c>
      <c r="BI63" s="32" t="n">
        <f aca="false">BI50*PL_Momo_Share*PL_Fee</f>
        <v>45614412.7767482</v>
      </c>
      <c r="BJ63" s="32" t="n">
        <f aca="false">BJ50*PL_Momo_Share*PL_Fee</f>
        <v>47280549.3111382</v>
      </c>
      <c r="BK63" s="32" t="n">
        <f aca="false">BK50*PL_Momo_Share*PL_Fee</f>
        <v>48936492.1809798</v>
      </c>
      <c r="BL63" s="32" t="n">
        <f aca="false">BL50*PL_Momo_Share*PL_Fee</f>
        <v>50613480.0284743</v>
      </c>
    </row>
    <row r="64" customFormat="false" ht="15" hidden="false" customHeight="false" outlineLevel="0" collapsed="false">
      <c r="A64" s="12" t="s">
        <v>777</v>
      </c>
      <c r="B64" s="14" t="s">
        <v>77</v>
      </c>
      <c r="D64" s="55" t="n">
        <f aca="false">SUM(E64:BL64)</f>
        <v>257405875.353935</v>
      </c>
      <c r="E64" s="32" t="n">
        <f aca="false">E44*Extra_User_Fee</f>
        <v>0</v>
      </c>
      <c r="F64" s="32" t="n">
        <f aca="false">F44*Extra_User_Fee</f>
        <v>0</v>
      </c>
      <c r="G64" s="32" t="n">
        <f aca="false">G44*Extra_User_Fee</f>
        <v>0</v>
      </c>
      <c r="H64" s="32" t="n">
        <f aca="false">H44*Extra_User_Fee</f>
        <v>0</v>
      </c>
      <c r="I64" s="32" t="n">
        <f aca="false">I44*Extra_User_Fee</f>
        <v>61833.3333333333</v>
      </c>
      <c r="J64" s="32" t="n">
        <f aca="false">J44*Extra_User_Fee</f>
        <v>123617.416666667</v>
      </c>
      <c r="K64" s="32" t="n">
        <f aca="false">K44*Extra_User_Fee</f>
        <v>185389.138125</v>
      </c>
      <c r="L64" s="32" t="n">
        <f aca="false">L44*Extra_User_Fee</f>
        <v>247187.154688021</v>
      </c>
      <c r="M64" s="32" t="n">
        <f aca="false">M44*Extra_User_Fee</f>
        <v>309052.003474749</v>
      </c>
      <c r="N64" s="32" t="n">
        <f aca="false">N44*Extra_User_Fee</f>
        <v>371026.219643857</v>
      </c>
      <c r="O64" s="32" t="n">
        <f aca="false">O44*Extra_User_Fee</f>
        <v>433154.461307356</v>
      </c>
      <c r="P64" s="32" t="n">
        <f aca="false">P44*Extra_User_Fee</f>
        <v>495483.641879177</v>
      </c>
      <c r="Q64" s="32" t="n">
        <f aca="false">Q44*Extra_User_Fee</f>
        <v>579896.403638814</v>
      </c>
      <c r="R64" s="32" t="n">
        <f aca="false">R44*Extra_User_Fee</f>
        <v>664382.016316964</v>
      </c>
      <c r="S64" s="32" t="n">
        <f aca="false">S44*Extra_User_Fee</f>
        <v>748997.57266355</v>
      </c>
      <c r="T64" s="32" t="n">
        <f aca="false">T44*Extra_User_Fee</f>
        <v>833803.004551606</v>
      </c>
      <c r="U64" s="32" t="n">
        <f aca="false">U44*Extra_User_Fee</f>
        <v>918861.260110839</v>
      </c>
      <c r="V64" s="32" t="n">
        <f aca="false">V44*Extra_User_Fee</f>
        <v>1004238.49140847</v>
      </c>
      <c r="W64" s="32" t="n">
        <f aca="false">W44*Extra_User_Fee</f>
        <v>1137337.58664448</v>
      </c>
      <c r="X64" s="32" t="n">
        <f aca="false">X44*Extra_User_Fee</f>
        <v>1270851.38086645</v>
      </c>
      <c r="Y64" s="32" t="n">
        <f aca="false">Y44*Extra_User_Fee</f>
        <v>1414884.65674944</v>
      </c>
      <c r="Z64" s="32" t="n">
        <f aca="false">Z44*Extra_User_Fee</f>
        <v>1559442.59571867</v>
      </c>
      <c r="AA64" s="32" t="n">
        <f aca="false">AA44*Extra_User_Fee</f>
        <v>1704642.27464805</v>
      </c>
      <c r="AB64" s="32" t="n">
        <f aca="false">AB44*Extra_User_Fee</f>
        <v>1850606.84408217</v>
      </c>
      <c r="AC64" s="32" t="n">
        <f aca="false">AC44*Extra_User_Fee</f>
        <v>2041299.23698397</v>
      </c>
      <c r="AD64" s="32" t="n">
        <f aca="false">AD44*Extra_User_Fee</f>
        <v>2232562.31654321</v>
      </c>
      <c r="AE64" s="32" t="n">
        <f aca="false">AE44*Extra_User_Fee</f>
        <v>2434544.89334935</v>
      </c>
      <c r="AF64" s="32" t="n">
        <f aca="false">AF44*Extra_User_Fee</f>
        <v>2637298.43438223</v>
      </c>
      <c r="AG64" s="32" t="n">
        <f aca="false">AG44*Extra_User_Fee</f>
        <v>2840988.69959954</v>
      </c>
      <c r="AH64" s="32" t="n">
        <f aca="false">AH44*Extra_User_Fee</f>
        <v>3045790.06838845</v>
      </c>
      <c r="AI64" s="32" t="n">
        <f aca="false">AI44*Extra_User_Fee</f>
        <v>3261886.07205142</v>
      </c>
      <c r="AJ64" s="32" t="n">
        <f aca="false">AJ44*Extra_User_Fee</f>
        <v>3479364.95805906</v>
      </c>
      <c r="AK64" s="32" t="n">
        <f aca="false">AK44*Extra_User_Fee</f>
        <v>3698431.45047835</v>
      </c>
      <c r="AL64" s="32" t="n">
        <f aca="false">AL44*Extra_User_Fee</f>
        <v>3919301.20769255</v>
      </c>
      <c r="AM64" s="32" t="n">
        <f aca="false">AM44*Extra_User_Fee</f>
        <v>4152201.4940286</v>
      </c>
      <c r="AN64" s="32" t="n">
        <f aca="false">AN44*Extra_User_Fee</f>
        <v>4387266.89149719</v>
      </c>
      <c r="AO64" s="32" t="n">
        <f aca="false">AO44*Extra_User_Fee</f>
        <v>4655584.54988801</v>
      </c>
      <c r="AP64" s="32" t="n">
        <f aca="false">AP44*Extra_User_Fee</f>
        <v>4936265.06020063</v>
      </c>
      <c r="AQ64" s="32" t="n">
        <f aca="false">AQ44*Extra_User_Fee</f>
        <v>5219489.38629779</v>
      </c>
      <c r="AR64" s="32" t="n">
        <f aca="false">AR44*Extra_User_Fee</f>
        <v>5505560.2162885</v>
      </c>
      <c r="AS64" s="32" t="n">
        <f aca="false">AS44*Extra_User_Fee</f>
        <v>5804796.7387302</v>
      </c>
      <c r="AT64" s="32" t="n">
        <f aca="false">AT44*Extra_User_Fee</f>
        <v>6107430.65180441</v>
      </c>
      <c r="AU64" s="32" t="n">
        <f aca="false">AU44*Extra_User_Fee</f>
        <v>6413818.3953156</v>
      </c>
      <c r="AV64" s="32" t="n">
        <f aca="false">AV44*Extra_User_Fee</f>
        <v>6743336.10822924</v>
      </c>
      <c r="AW64" s="32" t="n">
        <f aca="false">AW44*Extra_User_Fee</f>
        <v>7074324.15068885</v>
      </c>
      <c r="AX64" s="32" t="n">
        <f aca="false">AX44*Extra_User_Fee</f>
        <v>7413919.69374187</v>
      </c>
      <c r="AY64" s="32" t="n">
        <f aca="false">AY44*Extra_User_Fee</f>
        <v>7752156.83919964</v>
      </c>
      <c r="AZ64" s="32" t="n">
        <f aca="false">AZ44*Extra_User_Fee</f>
        <v>8089181.73680118</v>
      </c>
      <c r="BA64" s="32" t="n">
        <f aca="false">BA44*Extra_User_Fee</f>
        <v>8466146.78977269</v>
      </c>
      <c r="BB64" s="32" t="n">
        <f aca="false">BB44*Extra_User_Fee</f>
        <v>8841780.55900416</v>
      </c>
      <c r="BC64" s="32" t="n">
        <f aca="false">BC44*Extra_User_Fee</f>
        <v>9226253.9573831</v>
      </c>
      <c r="BD64" s="32" t="n">
        <f aca="false">BD44*Extra_User_Fee</f>
        <v>9609640.38200833</v>
      </c>
      <c r="BE64" s="32" t="n">
        <f aca="false">BE44*Extra_User_Fee</f>
        <v>10001127.3576423</v>
      </c>
      <c r="BF64" s="32" t="n">
        <f aca="false">BF44*Extra_User_Fee</f>
        <v>10401816.3702361</v>
      </c>
      <c r="BG64" s="32" t="n">
        <f aca="false">BG44*Extra_User_Fee</f>
        <v>10801808.452962</v>
      </c>
      <c r="BH64" s="32" t="n">
        <f aca="false">BH44*Extra_User_Fee</f>
        <v>11211320.362187</v>
      </c>
      <c r="BI64" s="32" t="n">
        <f aca="false">BI44*Extra_User_Fee</f>
        <v>11629474.0074296</v>
      </c>
      <c r="BJ64" s="32" t="n">
        <f aca="false">BJ44*Extra_User_Fee</f>
        <v>12057413.7558526</v>
      </c>
      <c r="BK64" s="32" t="n">
        <f aca="false">BK44*Extra_User_Fee</f>
        <v>12483143.0982019</v>
      </c>
      <c r="BL64" s="32" t="n">
        <f aca="false">BL44*Extra_User_Fee</f>
        <v>12914463.5544979</v>
      </c>
    </row>
    <row r="65" customFormat="false" ht="15" hidden="false" customHeight="false" outlineLevel="0" collapsed="false">
      <c r="A65" s="12" t="s">
        <v>779</v>
      </c>
      <c r="B65" s="14" t="s">
        <v>77</v>
      </c>
      <c r="D65" s="55" t="n">
        <f aca="false">SUM(E65:BL65)</f>
        <v>0</v>
      </c>
      <c r="E65" s="32" t="n">
        <f aca="false">E45*Extra_Card_Fee</f>
        <v>0</v>
      </c>
      <c r="F65" s="32" t="n">
        <f aca="false">F45*Extra_Card_Fee</f>
        <v>0</v>
      </c>
      <c r="G65" s="32" t="n">
        <f aca="false">G45*Extra_Card_Fee</f>
        <v>0</v>
      </c>
      <c r="H65" s="32" t="n">
        <f aca="false">H45*Extra_Card_Fee</f>
        <v>0</v>
      </c>
      <c r="I65" s="32" t="n">
        <f aca="false">I45*Extra_Card_Fee</f>
        <v>0</v>
      </c>
      <c r="J65" s="32" t="n">
        <f aca="false">J45*Extra_Card_Fee</f>
        <v>0</v>
      </c>
      <c r="K65" s="32" t="n">
        <f aca="false">K45*Extra_Card_Fee</f>
        <v>0</v>
      </c>
      <c r="L65" s="32" t="n">
        <f aca="false">L45*Extra_Card_Fee</f>
        <v>0</v>
      </c>
      <c r="M65" s="32" t="n">
        <f aca="false">M45*Extra_Card_Fee</f>
        <v>0</v>
      </c>
      <c r="N65" s="32" t="n">
        <f aca="false">N45*Extra_Card_Fee</f>
        <v>0</v>
      </c>
      <c r="O65" s="32" t="n">
        <f aca="false">O45*Extra_Card_Fee</f>
        <v>0</v>
      </c>
      <c r="P65" s="32" t="n">
        <f aca="false">P45*Extra_Card_Fee</f>
        <v>0</v>
      </c>
      <c r="Q65" s="32" t="n">
        <f aca="false">Q45*Extra_Card_Fee</f>
        <v>0</v>
      </c>
      <c r="R65" s="32" t="n">
        <f aca="false">R45*Extra_Card_Fee</f>
        <v>0</v>
      </c>
      <c r="S65" s="32" t="n">
        <f aca="false">S45*Extra_Card_Fee</f>
        <v>0</v>
      </c>
      <c r="T65" s="32" t="n">
        <f aca="false">T45*Extra_Card_Fee</f>
        <v>0</v>
      </c>
      <c r="U65" s="32" t="n">
        <f aca="false">U45*Extra_Card_Fee</f>
        <v>0</v>
      </c>
      <c r="V65" s="32" t="n">
        <f aca="false">V45*Extra_Card_Fee</f>
        <v>0</v>
      </c>
      <c r="W65" s="32" t="n">
        <f aca="false">W45*Extra_Card_Fee</f>
        <v>0</v>
      </c>
      <c r="X65" s="32" t="n">
        <f aca="false">X45*Extra_Card_Fee</f>
        <v>0</v>
      </c>
      <c r="Y65" s="32" t="n">
        <f aca="false">Y45*Extra_Card_Fee</f>
        <v>0</v>
      </c>
      <c r="Z65" s="32" t="n">
        <f aca="false">Z45*Extra_Card_Fee</f>
        <v>0</v>
      </c>
      <c r="AA65" s="32" t="n">
        <f aca="false">AA45*Extra_Card_Fee</f>
        <v>0</v>
      </c>
      <c r="AB65" s="32" t="n">
        <f aca="false">AB45*Extra_Card_Fee</f>
        <v>0</v>
      </c>
      <c r="AC65" s="32" t="n">
        <f aca="false">AC45*Extra_Card_Fee</f>
        <v>0</v>
      </c>
      <c r="AD65" s="32" t="n">
        <f aca="false">AD45*Extra_Card_Fee</f>
        <v>0</v>
      </c>
      <c r="AE65" s="32" t="n">
        <f aca="false">AE45*Extra_Card_Fee</f>
        <v>0</v>
      </c>
      <c r="AF65" s="32" t="n">
        <f aca="false">AF45*Extra_Card_Fee</f>
        <v>0</v>
      </c>
      <c r="AG65" s="32" t="n">
        <f aca="false">AG45*Extra_Card_Fee</f>
        <v>0</v>
      </c>
      <c r="AH65" s="32" t="n">
        <f aca="false">AH45*Extra_Card_Fee</f>
        <v>0</v>
      </c>
      <c r="AI65" s="32" t="n">
        <f aca="false">AI45*Extra_Card_Fee</f>
        <v>0</v>
      </c>
      <c r="AJ65" s="32" t="n">
        <f aca="false">AJ45*Extra_Card_Fee</f>
        <v>0</v>
      </c>
      <c r="AK65" s="32" t="n">
        <f aca="false">AK45*Extra_Card_Fee</f>
        <v>0</v>
      </c>
      <c r="AL65" s="32" t="n">
        <f aca="false">AL45*Extra_Card_Fee</f>
        <v>0</v>
      </c>
      <c r="AM65" s="32" t="n">
        <f aca="false">AM45*Extra_Card_Fee</f>
        <v>0</v>
      </c>
      <c r="AN65" s="32" t="n">
        <f aca="false">AN45*Extra_Card_Fee</f>
        <v>0</v>
      </c>
      <c r="AO65" s="32" t="n">
        <f aca="false">AO45*Extra_Card_Fee</f>
        <v>0</v>
      </c>
      <c r="AP65" s="32" t="n">
        <f aca="false">AP45*Extra_Card_Fee</f>
        <v>0</v>
      </c>
      <c r="AQ65" s="32" t="n">
        <f aca="false">AQ45*Extra_Card_Fee</f>
        <v>0</v>
      </c>
      <c r="AR65" s="32" t="n">
        <f aca="false">AR45*Extra_Card_Fee</f>
        <v>0</v>
      </c>
      <c r="AS65" s="32" t="n">
        <f aca="false">AS45*Extra_Card_Fee</f>
        <v>0</v>
      </c>
      <c r="AT65" s="32" t="n">
        <f aca="false">AT45*Extra_Card_Fee</f>
        <v>0</v>
      </c>
      <c r="AU65" s="32" t="n">
        <f aca="false">AU45*Extra_Card_Fee</f>
        <v>0</v>
      </c>
      <c r="AV65" s="32" t="n">
        <f aca="false">AV45*Extra_Card_Fee</f>
        <v>0</v>
      </c>
      <c r="AW65" s="32" t="n">
        <f aca="false">AW45*Extra_Card_Fee</f>
        <v>0</v>
      </c>
      <c r="AX65" s="32" t="n">
        <f aca="false">AX45*Extra_Card_Fee</f>
        <v>0</v>
      </c>
      <c r="AY65" s="32" t="n">
        <f aca="false">AY45*Extra_Card_Fee</f>
        <v>0</v>
      </c>
      <c r="AZ65" s="32" t="n">
        <f aca="false">AZ45*Extra_Card_Fee</f>
        <v>0</v>
      </c>
      <c r="BA65" s="32" t="n">
        <f aca="false">BA45*Extra_Card_Fee</f>
        <v>0</v>
      </c>
      <c r="BB65" s="32" t="n">
        <f aca="false">BB45*Extra_Card_Fee</f>
        <v>0</v>
      </c>
      <c r="BC65" s="32" t="n">
        <f aca="false">BC45*Extra_Card_Fee</f>
        <v>0</v>
      </c>
      <c r="BD65" s="32" t="n">
        <f aca="false">BD45*Extra_Card_Fee</f>
        <v>0</v>
      </c>
      <c r="BE65" s="32" t="n">
        <f aca="false">BE45*Extra_Card_Fee</f>
        <v>0</v>
      </c>
      <c r="BF65" s="32" t="n">
        <f aca="false">BF45*Extra_Card_Fee</f>
        <v>0</v>
      </c>
      <c r="BG65" s="32" t="n">
        <f aca="false">BG45*Extra_Card_Fee</f>
        <v>0</v>
      </c>
      <c r="BH65" s="32" t="n">
        <f aca="false">BH45*Extra_Card_Fee</f>
        <v>0</v>
      </c>
      <c r="BI65" s="32" t="n">
        <f aca="false">BI45*Extra_Card_Fee</f>
        <v>0</v>
      </c>
      <c r="BJ65" s="32" t="n">
        <f aca="false">BJ45*Extra_Card_Fee</f>
        <v>0</v>
      </c>
      <c r="BK65" s="32" t="n">
        <f aca="false">BK45*Extra_Card_Fee</f>
        <v>0</v>
      </c>
      <c r="BL65" s="32" t="n">
        <f aca="false">BL45*Extra_Card_Fee</f>
        <v>0</v>
      </c>
    </row>
    <row r="66" customFormat="false" ht="15" hidden="false" customHeight="false" outlineLevel="0" collapsed="false">
      <c r="A66" s="12" t="s">
        <v>1020</v>
      </c>
      <c r="B66" s="14" t="s">
        <v>77</v>
      </c>
      <c r="D66" s="55" t="n">
        <f aca="false">SUM(E66:BL66)</f>
        <v>5681442605.42087</v>
      </c>
      <c r="E66" s="32" t="n">
        <f aca="false">E46*MM_Fee</f>
        <v>0</v>
      </c>
      <c r="F66" s="32" t="n">
        <f aca="false">F46*MM_Fee</f>
        <v>0</v>
      </c>
      <c r="G66" s="32" t="n">
        <f aca="false">G46*MM_Fee</f>
        <v>0</v>
      </c>
      <c r="H66" s="32" t="n">
        <f aca="false">H46*MM_Fee</f>
        <v>0</v>
      </c>
      <c r="I66" s="32" t="n">
        <f aca="false">I46*MM_Fee</f>
        <v>1375173.33333333</v>
      </c>
      <c r="J66" s="32" t="n">
        <f aca="false">J46*MM_Fee</f>
        <v>2748257.06666667</v>
      </c>
      <c r="K66" s="32" t="n">
        <f aca="false">K46*MM_Fee</f>
        <v>4120101.307</v>
      </c>
      <c r="L66" s="32" t="n">
        <f aca="false">L46*MM_Fee</f>
        <v>5491594.22014333</v>
      </c>
      <c r="M66" s="32" t="n">
        <f aca="false">M46*MM_Fee</f>
        <v>6863664.50912994</v>
      </c>
      <c r="N66" s="32" t="n">
        <f aca="false">N46*MM_Fee</f>
        <v>8237284.03810287</v>
      </c>
      <c r="O66" s="32" t="n">
        <f aca="false">O46*MM_Fee</f>
        <v>9613470.61046052</v>
      </c>
      <c r="P66" s="32" t="n">
        <f aca="false">P46*MM_Fee</f>
        <v>10993290.9105728</v>
      </c>
      <c r="Q66" s="32" t="n">
        <f aca="false">Q46*MM_Fee</f>
        <v>12863436.952271</v>
      </c>
      <c r="R66" s="32" t="n">
        <f aca="false">R46*MM_Fee</f>
        <v>14734059.7779051</v>
      </c>
      <c r="S66" s="32" t="n">
        <f aca="false">S46*MM_Fee</f>
        <v>16606462.499389</v>
      </c>
      <c r="T66" s="32" t="n">
        <f aca="false">T46*MM_Fee</f>
        <v>18482009.6850623</v>
      </c>
      <c r="U66" s="32" t="n">
        <f aca="false">U46*MM_Fee</f>
        <v>20362131.2964978</v>
      </c>
      <c r="V66" s="32" t="n">
        <f aca="false">V46*MM_Fee</f>
        <v>22248326.8574118</v>
      </c>
      <c r="W66" s="32" t="n">
        <f aca="false">W46*MM_Fee</f>
        <v>25194863.202009</v>
      </c>
      <c r="X66" s="32" t="n">
        <f aca="false">X46*MM_Fee</f>
        <v>28148892.7509317</v>
      </c>
      <c r="Y66" s="32" t="n">
        <f aca="false">Y46*MM_Fee</f>
        <v>31335191.931874</v>
      </c>
      <c r="Z66" s="32" t="n">
        <f aca="false">Z46*MM_Fee</f>
        <v>34531358.5229347</v>
      </c>
      <c r="AA66" s="32" t="n">
        <f aca="false">AA46*MM_Fee</f>
        <v>37740043.2891131</v>
      </c>
      <c r="AB66" s="32" t="n">
        <f aca="false">AB46*MM_Fee</f>
        <v>40964029.1442213</v>
      </c>
      <c r="AC66" s="32" t="n">
        <f aca="false">AC46*MM_Fee</f>
        <v>45181092.8124946</v>
      </c>
      <c r="AD66" s="32" t="n">
        <f aca="false">AD46*MM_Fee</f>
        <v>49408512.8500105</v>
      </c>
      <c r="AE66" s="32" t="n">
        <f aca="false">AE46*MM_Fee</f>
        <v>53872061.8199549</v>
      </c>
      <c r="AF66" s="32" t="n">
        <f aca="false">AF46*MM_Fee</f>
        <v>58350382.7518166</v>
      </c>
      <c r="AG66" s="32" t="n">
        <f aca="false">AG46*MM_Fee</f>
        <v>62847223.8814704</v>
      </c>
      <c r="AH66" s="32" t="n">
        <f aca="false">AH46*MM_Fee</f>
        <v>67366521.1003427</v>
      </c>
      <c r="AI66" s="32" t="n">
        <f aca="false">AI46*MM_Fee</f>
        <v>72134809.7656683</v>
      </c>
      <c r="AJ66" s="32" t="n">
        <f aca="false">AJ46*MM_Fee</f>
        <v>76931541.2103461</v>
      </c>
      <c r="AK66" s="32" t="n">
        <f aca="false">AK46*MM_Fee</f>
        <v>81761320.2145284</v>
      </c>
      <c r="AL66" s="32" t="n">
        <f aca="false">AL46*MM_Fee</f>
        <v>86628990.3502028</v>
      </c>
      <c r="AM66" s="32" t="n">
        <f aca="false">AM46*MM_Fee</f>
        <v>91762048.8606103</v>
      </c>
      <c r="AN66" s="32" t="n">
        <f aca="false">AN46*MM_Fee</f>
        <v>96940966.4234324</v>
      </c>
      <c r="AO66" s="32" t="n">
        <f aca="false">AO46*MM_Fee</f>
        <v>102857161.404261</v>
      </c>
      <c r="AP66" s="32" t="n">
        <f aca="false">AP46*MM_Fee</f>
        <v>109045592.856661</v>
      </c>
      <c r="AQ66" s="32" t="n">
        <f aca="false">AQ46*MM_Fee</f>
        <v>115287774.621413</v>
      </c>
      <c r="AR66" s="32" t="n">
        <f aca="false">AR46*MM_Fee</f>
        <v>121590489.279046</v>
      </c>
      <c r="AS66" s="32" t="n">
        <f aca="false">AS46*MM_Fee</f>
        <v>128183280.534125</v>
      </c>
      <c r="AT66" s="32" t="n">
        <f aca="false">AT46*MM_Fee</f>
        <v>134848779.554799</v>
      </c>
      <c r="AU66" s="32" t="n">
        <f aca="false">AU46*MM_Fee</f>
        <v>141594952.861787</v>
      </c>
      <c r="AV66" s="32" t="n">
        <f aca="false">AV46*MM_Fee</f>
        <v>148852758.713382</v>
      </c>
      <c r="AW66" s="32" t="n">
        <f aca="false">AW46*MM_Fee</f>
        <v>156140207.616488</v>
      </c>
      <c r="AX66" s="32" t="n">
        <f aca="false">AX46*MM_Fee</f>
        <v>163616108.048209</v>
      </c>
      <c r="AY66" s="32" t="n">
        <f aca="false">AY46*MM_Fee</f>
        <v>171058779.736375</v>
      </c>
      <c r="AZ66" s="32" t="n">
        <f aca="false">AZ46*MM_Fee</f>
        <v>178471596.257169</v>
      </c>
      <c r="BA66" s="32" t="n">
        <f aca="false">BA46*MM_Fee</f>
        <v>186769904.862047</v>
      </c>
      <c r="BB66" s="32" t="n">
        <f aca="false">BB46*MM_Fee</f>
        <v>195035281.901063</v>
      </c>
      <c r="BC66" s="32" t="n">
        <f aca="false">BC46*MM_Fee</f>
        <v>203494061.673358</v>
      </c>
      <c r="BD66" s="32" t="n">
        <f aca="false">BD46*MM_Fee</f>
        <v>211925442.889668</v>
      </c>
      <c r="BE66" s="32" t="n">
        <f aca="false">BE46*MM_Fee</f>
        <v>220533883.62002</v>
      </c>
      <c r="BF66" s="32" t="n">
        <f aca="false">BF46*MM_Fee</f>
        <v>229343857.553841</v>
      </c>
      <c r="BG66" s="32" t="n">
        <f aca="false">BG46*MM_Fee</f>
        <v>238135171.822848</v>
      </c>
      <c r="BH66" s="32" t="n">
        <f aca="false">BH46*MM_Fee</f>
        <v>247135168.125533</v>
      </c>
      <c r="BI66" s="32" t="n">
        <f aca="false">BI46*MM_Fee</f>
        <v>256324271.51544</v>
      </c>
      <c r="BJ66" s="32" t="n">
        <f aca="false">BJ46*MM_Fee</f>
        <v>265727902.501697</v>
      </c>
      <c r="BK66" s="32" t="n">
        <f aca="false">BK46*MM_Fee</f>
        <v>275079211.521021</v>
      </c>
      <c r="BL66" s="32" t="n">
        <f aca="false">BL46*MM_Fee</f>
        <v>284551852.004713</v>
      </c>
    </row>
    <row r="67" customFormat="false" ht="15" hidden="false" customHeight="false" outlineLevel="0" collapsed="false">
      <c r="A67" s="12" t="s">
        <v>174</v>
      </c>
      <c r="B67" s="14" t="s">
        <v>77</v>
      </c>
      <c r="D67" s="55" t="n">
        <f aca="false">SUM(E67:BL67)</f>
        <v>1629946832.81326</v>
      </c>
      <c r="E67" s="32" t="n">
        <f aca="false">E47*Payslip_Fee</f>
        <v>0</v>
      </c>
      <c r="F67" s="32" t="n">
        <f aca="false">F47*Payslip_Fee</f>
        <v>0</v>
      </c>
      <c r="G67" s="32" t="n">
        <f aca="false">G47*Payslip_Fee</f>
        <v>0</v>
      </c>
      <c r="H67" s="32" t="n">
        <f aca="false">H47*Payslip_Fee</f>
        <v>0</v>
      </c>
      <c r="I67" s="32" t="n">
        <f aca="false">I47*Payslip_Fee</f>
        <v>0</v>
      </c>
      <c r="J67" s="32" t="n">
        <f aca="false">J47*Payslip_Fee</f>
        <v>0</v>
      </c>
      <c r="K67" s="32" t="n">
        <f aca="false">K47*Payslip_Fee</f>
        <v>0</v>
      </c>
      <c r="L67" s="32" t="n">
        <f aca="false">L47*Payslip_Fee</f>
        <v>0</v>
      </c>
      <c r="M67" s="32" t="n">
        <f aca="false">M47*Payslip_Fee</f>
        <v>0</v>
      </c>
      <c r="N67" s="32" t="n">
        <f aca="false">N47*Payslip_Fee</f>
        <v>0</v>
      </c>
      <c r="O67" s="32" t="n">
        <f aca="false">O47*Payslip_Fee</f>
        <v>233687.591273076</v>
      </c>
      <c r="P67" s="32" t="n">
        <f aca="false">P47*Payslip_Fee</f>
        <v>534555.814388494</v>
      </c>
      <c r="Q67" s="32" t="n">
        <f aca="false">Q47*Payslip_Fee</f>
        <v>938356.598019333</v>
      </c>
      <c r="R67" s="32" t="n">
        <f aca="false">R47*Payslip_Fee</f>
        <v>1433284.55314729</v>
      </c>
      <c r="S67" s="32" t="n">
        <f aca="false">S47*Payslip_Fee</f>
        <v>2019580.78154521</v>
      </c>
      <c r="T67" s="32" t="n">
        <f aca="false">T47*Payslip_Fee</f>
        <v>2697621.15891845</v>
      </c>
      <c r="U67" s="32" t="n">
        <f aca="false">U47*Payslip_Fee</f>
        <v>3467924.54401279</v>
      </c>
      <c r="V67" s="32" t="n">
        <f aca="false">V47*Payslip_Fee</f>
        <v>4331161.60884826</v>
      </c>
      <c r="W67" s="32" t="n">
        <f aca="false">W47*Payslip_Fee</f>
        <v>5518204.33283193</v>
      </c>
      <c r="X67" s="32" t="n">
        <f aca="false">X47*Payslip_Fee</f>
        <v>6850797.2064405</v>
      </c>
      <c r="Y67" s="32" t="n">
        <f aca="false">Y47*Payslip_Fee</f>
        <v>8389593.98954951</v>
      </c>
      <c r="Z67" s="32" t="n">
        <f aca="false">Z47*Payslip_Fee</f>
        <v>10086810.7240401</v>
      </c>
      <c r="AA67" s="32" t="n">
        <f aca="false">AA47*Payslip_Fee</f>
        <v>11025305.0478856</v>
      </c>
      <c r="AB67" s="32" t="n">
        <f aca="false">AB47*Payslip_Fee</f>
        <v>11968575.4575823</v>
      </c>
      <c r="AC67" s="32" t="n">
        <f aca="false">AC47*Payslip_Fee</f>
        <v>13201511.3729741</v>
      </c>
      <c r="AD67" s="32" t="n">
        <f aca="false">AD47*Payslip_Fee</f>
        <v>14437888.9814087</v>
      </c>
      <c r="AE67" s="32" t="n">
        <f aca="false">AE47*Payslip_Fee</f>
        <v>15743486.636162</v>
      </c>
      <c r="AF67" s="32" t="n">
        <f aca="false">AF47*Payslip_Fee</f>
        <v>17053829.6379788</v>
      </c>
      <c r="AG67" s="32" t="n">
        <f aca="false">AG47*Payslip_Fee</f>
        <v>18370006.0882212</v>
      </c>
      <c r="AH67" s="32" t="n">
        <f aca="false">AH47*Payslip_Fee</f>
        <v>19693159.2485335</v>
      </c>
      <c r="AI67" s="32" t="n">
        <f aca="false">AI47*Payslip_Fee</f>
        <v>21089290.9968046</v>
      </c>
      <c r="AJ67" s="32" t="n">
        <f aca="false">AJ47*Payslip_Fee</f>
        <v>22494163.4881271</v>
      </c>
      <c r="AK67" s="32" t="n">
        <f aca="false">AK47*Payslip_Fee</f>
        <v>23909115.8080945</v>
      </c>
      <c r="AL67" s="32" t="n">
        <f aca="false">AL47*Payslip_Fee</f>
        <v>25335557.1806302</v>
      </c>
      <c r="AM67" s="32" t="n">
        <f aca="false">AM47*Payslip_Fee</f>
        <v>26839771.3230063</v>
      </c>
      <c r="AN67" s="32" t="n">
        <f aca="false">AN47*Payslip_Fee</f>
        <v>28357819.0598068</v>
      </c>
      <c r="AO67" s="32" t="n">
        <f aca="false">AO47*Payslip_Fee</f>
        <v>30091155.986414</v>
      </c>
      <c r="AP67" s="32" t="n">
        <f aca="false">AP47*Payslip_Fee</f>
        <v>31904362.2476393</v>
      </c>
      <c r="AQ67" s="32" t="n">
        <f aca="false">AQ47*Payslip_Fee</f>
        <v>33733802.0840477</v>
      </c>
      <c r="AR67" s="32" t="n">
        <f aca="false">AR47*Payslip_Fee</f>
        <v>35581450.479679</v>
      </c>
      <c r="AS67" s="32" t="n">
        <f aca="false">AS47*Payslip_Fee</f>
        <v>37514188.4312251</v>
      </c>
      <c r="AT67" s="32" t="n">
        <f aca="false">AT47*Payslip_Fee</f>
        <v>39468707.4875641</v>
      </c>
      <c r="AU67" s="32" t="n">
        <f aca="false">AU47*Payslip_Fee</f>
        <v>41447329.4538032</v>
      </c>
      <c r="AV67" s="32" t="n">
        <f aca="false">AV47*Payslip_Fee</f>
        <v>43575622.8323642</v>
      </c>
      <c r="AW67" s="32" t="n">
        <f aca="false">AW47*Payslip_Fee</f>
        <v>45713202.2824037</v>
      </c>
      <c r="AX67" s="32" t="n">
        <f aca="false">AX47*Payslip_Fee</f>
        <v>47906334.4077205</v>
      </c>
      <c r="AY67" s="32" t="n">
        <f aca="false">AY47*Payslip_Fee</f>
        <v>50090442.0854737</v>
      </c>
      <c r="AZ67" s="32" t="n">
        <f aca="false">AZ47*Payslip_Fee</f>
        <v>52266496.1016702</v>
      </c>
      <c r="BA67" s="32" t="n">
        <f aca="false">BA47*Payslip_Fee</f>
        <v>54701186.7398658</v>
      </c>
      <c r="BB67" s="32" t="n">
        <f aca="false">BB47*Payslip_Fee</f>
        <v>57127008.2179754</v>
      </c>
      <c r="BC67" s="32" t="n">
        <f aca="false">BC47*Payslip_Fee</f>
        <v>59609893.8565368</v>
      </c>
      <c r="BD67" s="32" t="n">
        <f aca="false">BD47*Payslip_Fee</f>
        <v>62085522.3390982</v>
      </c>
      <c r="BE67" s="32" t="n">
        <f aca="false">BE47*Payslip_Fee</f>
        <v>64613453.6226539</v>
      </c>
      <c r="BF67" s="32" t="n">
        <f aca="false">BF47*Payslip_Fee</f>
        <v>67200829.5556396</v>
      </c>
      <c r="BG67" s="32" t="n">
        <f aca="false">BG47*Payslip_Fee</f>
        <v>69783506.8908674</v>
      </c>
      <c r="BH67" s="32" t="n">
        <f aca="false">BH47*Payslip_Fee</f>
        <v>72427713.9714133</v>
      </c>
      <c r="BI67" s="32" t="n">
        <f aca="false">BI47*Payslip_Fee</f>
        <v>75127761.771938</v>
      </c>
      <c r="BJ67" s="32" t="n">
        <f aca="false">BJ47*Payslip_Fee</f>
        <v>77891069.0497922</v>
      </c>
      <c r="BK67" s="32" t="n">
        <f aca="false">BK47*Payslip_Fee</f>
        <v>80639899.4718227</v>
      </c>
      <c r="BL67" s="32" t="n">
        <f aca="false">BL47*Payslip_Fee</f>
        <v>83424834.215419</v>
      </c>
    </row>
    <row r="68" customFormat="false" ht="15" hidden="false" customHeight="false" outlineLevel="0" collapsed="false">
      <c r="A68" s="12" t="s">
        <v>800</v>
      </c>
      <c r="B68" s="14" t="s">
        <v>77</v>
      </c>
      <c r="D68" s="55" t="n">
        <f aca="false">SUM(E68:BL68)</f>
        <v>1960686838.53846</v>
      </c>
      <c r="E68" s="32" t="n">
        <f aca="false">E48*Intl_Fee</f>
        <v>0</v>
      </c>
      <c r="F68" s="32" t="n">
        <f aca="false">F48*Intl_Fee</f>
        <v>0</v>
      </c>
      <c r="G68" s="32" t="n">
        <f aca="false">G48*Intl_Fee</f>
        <v>0</v>
      </c>
      <c r="H68" s="32" t="n">
        <f aca="false">H48*Intl_Fee</f>
        <v>0</v>
      </c>
      <c r="I68" s="32" t="n">
        <f aca="false">I48*Intl_Fee</f>
        <v>0</v>
      </c>
      <c r="J68" s="32" t="n">
        <f aca="false">J48*Intl_Fee</f>
        <v>0</v>
      </c>
      <c r="K68" s="32" t="n">
        <f aca="false">K48*Intl_Fee</f>
        <v>0</v>
      </c>
      <c r="L68" s="32" t="n">
        <f aca="false">L48*Intl_Fee</f>
        <v>0</v>
      </c>
      <c r="M68" s="32" t="n">
        <f aca="false">M48*Intl_Fee</f>
        <v>0</v>
      </c>
      <c r="N68" s="32" t="n">
        <f aca="false">N48*Intl_Fee</f>
        <v>0</v>
      </c>
      <c r="O68" s="32" t="n">
        <f aca="false">O48*Intl_Fee</f>
        <v>0</v>
      </c>
      <c r="P68" s="32" t="n">
        <f aca="false">P48*Intl_Fee</f>
        <v>0</v>
      </c>
      <c r="Q68" s="32" t="n">
        <f aca="false">Q48*Intl_Fee</f>
        <v>384058.391599896</v>
      </c>
      <c r="R68" s="32" t="n">
        <f aca="false">R48*Intl_Fee</f>
        <v>879484.538762697</v>
      </c>
      <c r="S68" s="32" t="n">
        <f aca="false">S48*Intl_Fee</f>
        <v>1486276.59873126</v>
      </c>
      <c r="T68" s="32" t="n">
        <f aca="false">T48*Intl_Fee</f>
        <v>2204599.66287853</v>
      </c>
      <c r="U68" s="32" t="n">
        <f aca="false">U48*Intl_Fee</f>
        <v>3034795.26594378</v>
      </c>
      <c r="V68" s="32" t="n">
        <f aca="false">V48*Intl_Fee</f>
        <v>3977391.63830209</v>
      </c>
      <c r="W68" s="32" t="n">
        <f aca="false">W48*Intl_Fee</f>
        <v>5254003.64097752</v>
      </c>
      <c r="X68" s="32" t="n">
        <f aca="false">X48*Intl_Fee</f>
        <v>6707084.03773133</v>
      </c>
      <c r="Y68" s="32" t="n">
        <f aca="false">Y48*Intl_Fee</f>
        <v>8397704.89241415</v>
      </c>
      <c r="Z68" s="32" t="n">
        <f aca="false">Z48*Intl_Fee</f>
        <v>10279775.3343611</v>
      </c>
      <c r="AA68" s="32" t="n">
        <f aca="false">AA48*Intl_Fee</f>
        <v>12354801.2338353</v>
      </c>
      <c r="AB68" s="32" t="n">
        <f aca="false">AB48*Intl_Fee</f>
        <v>14624657.1604124</v>
      </c>
      <c r="AC68" s="32" t="n">
        <f aca="false">AC48*Intl_Fee</f>
        <v>16127536.3970799</v>
      </c>
      <c r="AD68" s="32" t="n">
        <f aca="false">AD48*Intl_Fee</f>
        <v>17632737.9957956</v>
      </c>
      <c r="AE68" s="32" t="n">
        <f aca="false">AE48*Intl_Fee</f>
        <v>19221494.1063619</v>
      </c>
      <c r="AF68" s="32" t="n">
        <f aca="false">AF48*Intl_Fee</f>
        <v>20814111.1222724</v>
      </c>
      <c r="AG68" s="32" t="n">
        <f aca="false">AG48*Intl_Fee</f>
        <v>22411955.407891</v>
      </c>
      <c r="AH68" s="32" t="n">
        <f aca="false">AH48*Intl_Fee</f>
        <v>24016459.062705</v>
      </c>
      <c r="AI68" s="32" t="n">
        <f aca="false">AI48*Intl_Fee</f>
        <v>25709124.1265343</v>
      </c>
      <c r="AJ68" s="32" t="n">
        <f aca="false">AJ48*Intl_Fee</f>
        <v>27410543.0325045</v>
      </c>
      <c r="AK68" s="32" t="n">
        <f aca="false">AK48*Intl_Fee</f>
        <v>29122385.3027307</v>
      </c>
      <c r="AL68" s="32" t="n">
        <f aca="false">AL48*Intl_Fee</f>
        <v>30846404.3392093</v>
      </c>
      <c r="AM68" s="32" t="n">
        <f aca="false">AM48*Intl_Fee</f>
        <v>32664442.7172858</v>
      </c>
      <c r="AN68" s="32" t="n">
        <f aca="false">AN48*Intl_Fee</f>
        <v>34497453.7922022</v>
      </c>
      <c r="AO68" s="32" t="n">
        <f aca="false">AO48*Intl_Fee</f>
        <v>36594156.2842587</v>
      </c>
      <c r="AP68" s="32" t="n">
        <f aca="false">AP48*Intl_Fee</f>
        <v>38787008.3659037</v>
      </c>
      <c r="AQ68" s="32" t="n">
        <f aca="false">AQ48*Intl_Fee</f>
        <v>40997341.4341921</v>
      </c>
      <c r="AR68" s="32" t="n">
        <f aca="false">AR48*Intl_Fee</f>
        <v>43227604.693453</v>
      </c>
      <c r="AS68" s="32" t="n">
        <f aca="false">AS48*Intl_Fee</f>
        <v>45560374.4462406</v>
      </c>
      <c r="AT68" s="32" t="n">
        <f aca="false">AT48*Intl_Fee</f>
        <v>47917378.0358878</v>
      </c>
      <c r="AU68" s="32" t="n">
        <f aca="false">AU48*Intl_Fee</f>
        <v>50301484.2401237</v>
      </c>
      <c r="AV68" s="32" t="n">
        <f aca="false">AV48*Intl_Fee</f>
        <v>52867713.9807699</v>
      </c>
      <c r="AW68" s="32" t="n">
        <f aca="false">AW48*Intl_Fee</f>
        <v>55442522.735185</v>
      </c>
      <c r="AX68" s="32" t="n">
        <f aca="false">AX48*Intl_Fee</f>
        <v>58083058.3112297</v>
      </c>
      <c r="AY68" s="32" t="n">
        <f aca="false">AY48*Intl_Fee</f>
        <v>60709540.1457406</v>
      </c>
      <c r="AZ68" s="32" t="n">
        <f aca="false">AZ48*Intl_Fee</f>
        <v>63323228.8082456</v>
      </c>
      <c r="BA68" s="32" t="n">
        <f aca="false">BA48*Intl_Fee</f>
        <v>66253430.8483042</v>
      </c>
      <c r="BB68" s="32" t="n">
        <f aca="false">BB48*Intl_Fee</f>
        <v>69169467.625138</v>
      </c>
      <c r="BC68" s="32" t="n">
        <f aca="false">BC48*Intl_Fee</f>
        <v>72152804.8409026</v>
      </c>
      <c r="BD68" s="32" t="n">
        <f aca="false">BD48*Intl_Fee</f>
        <v>75123979.5191538</v>
      </c>
      <c r="BE68" s="32" t="n">
        <f aca="false">BE48*Intl_Fee</f>
        <v>78156585.8218315</v>
      </c>
      <c r="BF68" s="32" t="n">
        <f aca="false">BF48*Intl_Fee</f>
        <v>81259395.30417</v>
      </c>
      <c r="BG68" s="32" t="n">
        <f aca="false">BG48*Intl_Fee</f>
        <v>84353160.9935506</v>
      </c>
      <c r="BH68" s="32" t="n">
        <f aca="false">BH48*Intl_Fee</f>
        <v>87519705.5322257</v>
      </c>
      <c r="BI68" s="32" t="n">
        <f aca="false">BI48*Intl_Fee</f>
        <v>90751943.7871817</v>
      </c>
      <c r="BJ68" s="32" t="n">
        <f aca="false">BJ48*Intl_Fee</f>
        <v>94058984.3271458</v>
      </c>
      <c r="BK68" s="32" t="n">
        <f aca="false">BK48*Intl_Fee</f>
        <v>97344793.3188207</v>
      </c>
      <c r="BL68" s="32" t="n">
        <f aca="false">BL48*Intl_Fee</f>
        <v>100671895.340281</v>
      </c>
    </row>
    <row r="69" customFormat="false" ht="15" hidden="false" customHeight="false" outlineLevel="0" collapsed="false">
      <c r="A69" s="12" t="s">
        <v>1037</v>
      </c>
      <c r="B69" s="14" t="s">
        <v>77</v>
      </c>
      <c r="D69" s="55" t="n">
        <f aca="false">SUM(E69:BL69)</f>
        <v>0</v>
      </c>
      <c r="E69" s="32" t="n">
        <f aca="false">E37*FX_Interchange</f>
        <v>0</v>
      </c>
      <c r="F69" s="32" t="n">
        <f aca="false">F37*FX_Interchange</f>
        <v>0</v>
      </c>
      <c r="G69" s="32" t="n">
        <f aca="false">G37*FX_Interchange</f>
        <v>0</v>
      </c>
      <c r="H69" s="32" t="n">
        <f aca="false">H37*FX_Interchange</f>
        <v>0</v>
      </c>
      <c r="I69" s="32" t="n">
        <f aca="false">I37*FX_Interchange</f>
        <v>0</v>
      </c>
      <c r="J69" s="32" t="n">
        <f aca="false">J37*FX_Interchange</f>
        <v>0</v>
      </c>
      <c r="K69" s="32" t="n">
        <f aca="false">K37*FX_Interchange</f>
        <v>0</v>
      </c>
      <c r="L69" s="32" t="n">
        <f aca="false">L37*FX_Interchange</f>
        <v>0</v>
      </c>
      <c r="M69" s="32" t="n">
        <f aca="false">M37*FX_Interchange</f>
        <v>0</v>
      </c>
      <c r="N69" s="32" t="n">
        <f aca="false">N37*FX_Interchange</f>
        <v>0</v>
      </c>
      <c r="O69" s="32" t="n">
        <f aca="false">O37*FX_Interchange</f>
        <v>0</v>
      </c>
      <c r="P69" s="32" t="n">
        <f aca="false">P37*FX_Interchange</f>
        <v>0</v>
      </c>
      <c r="Q69" s="32" t="n">
        <f aca="false">Q37*FX_Interchange</f>
        <v>0</v>
      </c>
      <c r="R69" s="32" t="n">
        <f aca="false">R37*FX_Interchange</f>
        <v>0</v>
      </c>
      <c r="S69" s="32" t="n">
        <f aca="false">S37*FX_Interchange</f>
        <v>0</v>
      </c>
      <c r="T69" s="32" t="n">
        <f aca="false">T37*FX_Interchange</f>
        <v>0</v>
      </c>
      <c r="U69" s="32" t="n">
        <f aca="false">U37*FX_Interchange</f>
        <v>0</v>
      </c>
      <c r="V69" s="32" t="n">
        <f aca="false">V37*FX_Interchange</f>
        <v>0</v>
      </c>
      <c r="W69" s="32" t="n">
        <f aca="false">W37*FX_Interchange</f>
        <v>0</v>
      </c>
      <c r="X69" s="32" t="n">
        <f aca="false">X37*FX_Interchange</f>
        <v>0</v>
      </c>
      <c r="Y69" s="32" t="n">
        <f aca="false">Y37*FX_Interchange</f>
        <v>0</v>
      </c>
      <c r="Z69" s="32" t="n">
        <f aca="false">Z37*FX_Interchange</f>
        <v>0</v>
      </c>
      <c r="AA69" s="32" t="n">
        <f aca="false">AA37*FX_Interchange</f>
        <v>0</v>
      </c>
      <c r="AB69" s="32" t="n">
        <f aca="false">AB37*FX_Interchange</f>
        <v>0</v>
      </c>
      <c r="AC69" s="32" t="n">
        <f aca="false">AC37*FX_Interchange</f>
        <v>0</v>
      </c>
      <c r="AD69" s="32" t="n">
        <f aca="false">AD37*FX_Interchange</f>
        <v>0</v>
      </c>
      <c r="AE69" s="32" t="n">
        <f aca="false">AE37*FX_Interchange</f>
        <v>0</v>
      </c>
      <c r="AF69" s="32" t="n">
        <f aca="false">AF37*FX_Interchange</f>
        <v>0</v>
      </c>
      <c r="AG69" s="32" t="n">
        <f aca="false">AG37*FX_Interchange</f>
        <v>0</v>
      </c>
      <c r="AH69" s="32" t="n">
        <f aca="false">AH37*FX_Interchange</f>
        <v>0</v>
      </c>
      <c r="AI69" s="32" t="n">
        <f aca="false">AI37*FX_Interchange</f>
        <v>0</v>
      </c>
      <c r="AJ69" s="32" t="n">
        <f aca="false">AJ37*FX_Interchange</f>
        <v>0</v>
      </c>
      <c r="AK69" s="32" t="n">
        <f aca="false">AK37*FX_Interchange</f>
        <v>0</v>
      </c>
      <c r="AL69" s="32" t="n">
        <f aca="false">AL37*FX_Interchange</f>
        <v>0</v>
      </c>
      <c r="AM69" s="32" t="n">
        <f aca="false">AM37*FX_Interchange</f>
        <v>0</v>
      </c>
      <c r="AN69" s="32" t="n">
        <f aca="false">AN37*FX_Interchange</f>
        <v>0</v>
      </c>
      <c r="AO69" s="32" t="n">
        <f aca="false">AO37*FX_Interchange</f>
        <v>0</v>
      </c>
      <c r="AP69" s="32" t="n">
        <f aca="false">AP37*FX_Interchange</f>
        <v>0</v>
      </c>
      <c r="AQ69" s="32" t="n">
        <f aca="false">AQ37*FX_Interchange</f>
        <v>0</v>
      </c>
      <c r="AR69" s="32" t="n">
        <f aca="false">AR37*FX_Interchange</f>
        <v>0</v>
      </c>
      <c r="AS69" s="32" t="n">
        <f aca="false">AS37*FX_Interchange</f>
        <v>0</v>
      </c>
      <c r="AT69" s="32" t="n">
        <f aca="false">AT37*FX_Interchange</f>
        <v>0</v>
      </c>
      <c r="AU69" s="32" t="n">
        <f aca="false">AU37*FX_Interchange</f>
        <v>0</v>
      </c>
      <c r="AV69" s="32" t="n">
        <f aca="false">AV37*FX_Interchange</f>
        <v>0</v>
      </c>
      <c r="AW69" s="32" t="n">
        <f aca="false">AW37*FX_Interchange</f>
        <v>0</v>
      </c>
      <c r="AX69" s="32" t="n">
        <f aca="false">AX37*FX_Interchange</f>
        <v>0</v>
      </c>
      <c r="AY69" s="32" t="n">
        <f aca="false">AY37*FX_Interchange</f>
        <v>0</v>
      </c>
      <c r="AZ69" s="32" t="n">
        <f aca="false">AZ37*FX_Interchange</f>
        <v>0</v>
      </c>
      <c r="BA69" s="32" t="n">
        <f aca="false">BA37*FX_Interchange</f>
        <v>0</v>
      </c>
      <c r="BB69" s="32" t="n">
        <f aca="false">BB37*FX_Interchange</f>
        <v>0</v>
      </c>
      <c r="BC69" s="32" t="n">
        <f aca="false">BC37*FX_Interchange</f>
        <v>0</v>
      </c>
      <c r="BD69" s="32" t="n">
        <f aca="false">BD37*FX_Interchange</f>
        <v>0</v>
      </c>
      <c r="BE69" s="32" t="n">
        <f aca="false">BE37*FX_Interchange</f>
        <v>0</v>
      </c>
      <c r="BF69" s="32" t="n">
        <f aca="false">BF37*FX_Interchange</f>
        <v>0</v>
      </c>
      <c r="BG69" s="32" t="n">
        <f aca="false">BG37*FX_Interchange</f>
        <v>0</v>
      </c>
      <c r="BH69" s="32" t="n">
        <f aca="false">BH37*FX_Interchange</f>
        <v>0</v>
      </c>
      <c r="BI69" s="32" t="n">
        <f aca="false">BI37*FX_Interchange</f>
        <v>0</v>
      </c>
      <c r="BJ69" s="32" t="n">
        <f aca="false">BJ37*FX_Interchange</f>
        <v>0</v>
      </c>
      <c r="BK69" s="32" t="n">
        <f aca="false">BK37*FX_Interchange</f>
        <v>0</v>
      </c>
      <c r="BL69" s="32" t="n">
        <f aca="false">BL37*FX_Interchange</f>
        <v>0</v>
      </c>
    </row>
    <row r="70" customFormat="false" ht="15" hidden="false" customHeight="false" outlineLevel="0" collapsed="false">
      <c r="A70" s="8" t="s">
        <v>1038</v>
      </c>
      <c r="B70" s="14" t="s">
        <v>77</v>
      </c>
      <c r="D70" s="55" t="n">
        <f aca="false">SUM(E70:BL70)</f>
        <v>18463659190.2858</v>
      </c>
      <c r="E70" s="16" t="n">
        <f aca="false">E57+SUM(E58:E69)</f>
        <v>0</v>
      </c>
      <c r="F70" s="16" t="n">
        <f aca="false">F57+SUM(F58:F69)</f>
        <v>0</v>
      </c>
      <c r="G70" s="16" t="n">
        <f aca="false">G57+SUM(G58:G69)</f>
        <v>0</v>
      </c>
      <c r="H70" s="16" t="n">
        <f aca="false">H57+SUM(H58:H69)</f>
        <v>0</v>
      </c>
      <c r="I70" s="16" t="n">
        <f aca="false">I57+SUM(I58:I69)</f>
        <v>2571030</v>
      </c>
      <c r="J70" s="16" t="n">
        <f aca="false">J57+SUM(J58:J69)</f>
        <v>6006437.54666667</v>
      </c>
      <c r="K70" s="16" t="n">
        <f aca="false">K57+SUM(K58:K69)</f>
        <v>9435778.04319583</v>
      </c>
      <c r="L70" s="16" t="n">
        <f aca="false">L57+SUM(L58:L69)</f>
        <v>12861291.7260015</v>
      </c>
      <c r="M70" s="16" t="n">
        <f aca="false">M57+SUM(M58:M69)</f>
        <v>16285316.4193901</v>
      </c>
      <c r="N70" s="16" t="n">
        <f aca="false">N57+SUM(N58:N69)</f>
        <v>19710293.9758915</v>
      </c>
      <c r="O70" s="16" t="n">
        <f aca="false">O57+SUM(O58:O69)</f>
        <v>23372464.6841814</v>
      </c>
      <c r="P70" s="16" t="n">
        <f aca="false">P57+SUM(P58:P69)</f>
        <v>27107992.3428334</v>
      </c>
      <c r="Q70" s="16" t="n">
        <f aca="false">Q57+SUM(Q58:Q69)</f>
        <v>32247313.7296632</v>
      </c>
      <c r="R70" s="16" t="n">
        <f aca="false">R57+SUM(R58:R69)</f>
        <v>37897435.4110757</v>
      </c>
      <c r="S70" s="16" t="n">
        <f aca="false">S57+SUM(S58:S69)</f>
        <v>43750910.799916</v>
      </c>
      <c r="T70" s="16" t="n">
        <f aca="false">T57+SUM(T58:T69)</f>
        <v>49811702.3799448</v>
      </c>
      <c r="U70" s="16" t="n">
        <f aca="false">U57+SUM(U58:U69)</f>
        <v>56084250.0138986</v>
      </c>
      <c r="V70" s="16" t="n">
        <f aca="false">V57+SUM(V58:V69)</f>
        <v>62905536.6862438</v>
      </c>
      <c r="W70" s="16" t="n">
        <f aca="false">W57+SUM(W58:W69)</f>
        <v>72455930.6019982</v>
      </c>
      <c r="X70" s="16" t="n">
        <f aca="false">X57+SUM(X58:X69)</f>
        <v>83097174.6662857</v>
      </c>
      <c r="Y70" s="16" t="n">
        <f aca="false">Y57+SUM(Y58:Y69)</f>
        <v>94718367.9469762</v>
      </c>
      <c r="Z70" s="16" t="n">
        <f aca="false">Z57+SUM(Z58:Z69)</f>
        <v>106945505.542683</v>
      </c>
      <c r="AA70" s="16" t="n">
        <f aca="false">AA57+SUM(AA58:AA69)</f>
        <v>118727742.471891</v>
      </c>
      <c r="AB70" s="16" t="n">
        <f aca="false">AB57+SUM(AB58:AB69)</f>
        <v>130838161.103888</v>
      </c>
      <c r="AC70" s="16" t="n">
        <f aca="false">AC57+SUM(AC58:AC69)</f>
        <v>144547510.504142</v>
      </c>
      <c r="AD70" s="16" t="n">
        <f aca="false">AD57+SUM(AD58:AD69)</f>
        <v>159030938.149837</v>
      </c>
      <c r="AE70" s="16" t="n">
        <f aca="false">AE57+SUM(AE58:AE69)</f>
        <v>174269573.060897</v>
      </c>
      <c r="AF70" s="16" t="n">
        <f aca="false">AF57+SUM(AF58:AF69)</f>
        <v>189822035.320432</v>
      </c>
      <c r="AG70" s="16" t="n">
        <f aca="false">AG57+SUM(AG58:AG69)</f>
        <v>205558932.638619</v>
      </c>
      <c r="AH70" s="16" t="n">
        <f aca="false">AH57+SUM(AH58:AH69)</f>
        <v>220490636.657871</v>
      </c>
      <c r="AI70" s="16" t="n">
        <f aca="false">AI57+SUM(AI58:AI69)</f>
        <v>236100986.252912</v>
      </c>
      <c r="AJ70" s="16" t="n">
        <f aca="false">AJ57+SUM(AJ58:AJ69)</f>
        <v>251937420.872091</v>
      </c>
      <c r="AK70" s="16" t="n">
        <f aca="false">AK57+SUM(AK58:AK69)</f>
        <v>267872798.279572</v>
      </c>
      <c r="AL70" s="16" t="n">
        <f aca="false">AL57+SUM(AL58:AL69)</f>
        <v>283923176.001643</v>
      </c>
      <c r="AM70" s="16" t="n">
        <f aca="false">AM57+SUM(AM58:AM69)</f>
        <v>300706020.066601</v>
      </c>
      <c r="AN70" s="16" t="n">
        <f aca="false">AN57+SUM(AN58:AN69)</f>
        <v>317772099.151718</v>
      </c>
      <c r="AO70" s="16" t="n">
        <f aca="false">AO57+SUM(AO58:AO69)</f>
        <v>336849600.075187</v>
      </c>
      <c r="AP70" s="16" t="n">
        <f aca="false">AP57+SUM(AP58:AP69)</f>
        <v>357119019.627989</v>
      </c>
      <c r="AQ70" s="16" t="n">
        <f aca="false">AQ57+SUM(AQ58:AQ69)</f>
        <v>377695446.5899</v>
      </c>
      <c r="AR70" s="16" t="n">
        <f aca="false">AR57+SUM(AR58:AR69)</f>
        <v>398458904.594244</v>
      </c>
      <c r="AS70" s="16" t="n">
        <f aca="false">AS57+SUM(AS58:AS69)</f>
        <v>420033599.941378</v>
      </c>
      <c r="AT70" s="16" t="n">
        <f aca="false">AT57+SUM(AT58:AT69)</f>
        <v>441977413.266354</v>
      </c>
      <c r="AU70" s="16" t="n">
        <f aca="false">AU57+SUM(AU58:AU69)</f>
        <v>464174237.167532</v>
      </c>
      <c r="AV70" s="16" t="n">
        <f aca="false">AV57+SUM(AV58:AV69)</f>
        <v>487792903.364846</v>
      </c>
      <c r="AW70" s="16" t="n">
        <f aca="false">AW57+SUM(AW58:AW69)</f>
        <v>511803748.876638</v>
      </c>
      <c r="AX70" s="16" t="n">
        <f aca="false">AX57+SUM(AX58:AX69)</f>
        <v>536330562.722964</v>
      </c>
      <c r="AY70" s="16" t="n">
        <f aca="false">AY57+SUM(AY58:AY69)</f>
        <v>560875036.607325</v>
      </c>
      <c r="AZ70" s="16" t="n">
        <f aca="false">AZ57+SUM(AZ58:AZ69)</f>
        <v>585306178.761799</v>
      </c>
      <c r="BA70" s="16" t="n">
        <f aca="false">BA57+SUM(BA58:BA69)</f>
        <v>612098244.184929</v>
      </c>
      <c r="BB70" s="16" t="n">
        <f aca="false">BB57+SUM(BB58:BB69)</f>
        <v>639348894.646834</v>
      </c>
      <c r="BC70" s="16" t="n">
        <f aca="false">BC57+SUM(BC58:BC69)</f>
        <v>667088080.638701</v>
      </c>
      <c r="BD70" s="16" t="n">
        <f aca="false">BD57+SUM(BD58:BD69)</f>
        <v>694862632.490466</v>
      </c>
      <c r="BE70" s="16" t="n">
        <f aca="false">BE57+SUM(BE58:BE69)</f>
        <v>723085142.970241</v>
      </c>
      <c r="BF70" s="16" t="n">
        <f aca="false">BF57+SUM(BF58:BF69)</f>
        <v>751950982.31826</v>
      </c>
      <c r="BG70" s="16" t="n">
        <f aca="false">BG57+SUM(BG58:BG69)</f>
        <v>780880790.392189</v>
      </c>
      <c r="BH70" s="16" t="n">
        <f aca="false">BH57+SUM(BH58:BH69)</f>
        <v>810349324.518363</v>
      </c>
      <c r="BI70" s="16" t="n">
        <f aca="false">BI57+SUM(BI58:BI69)</f>
        <v>840447425.736172</v>
      </c>
      <c r="BJ70" s="16" t="n">
        <f aca="false">BJ57+SUM(BJ58:BJ69)</f>
        <v>871231144.080217</v>
      </c>
      <c r="BK70" s="16" t="n">
        <f aca="false">BK57+SUM(BK58:BK69)</f>
        <v>901995702.084684</v>
      </c>
      <c r="BL70" s="16" t="n">
        <f aca="false">BL57+SUM(BL58:BL69)</f>
        <v>933041411.579638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1039</v>
      </c>
    </row>
    <row r="2" customFormat="false" ht="15" hidden="false" customHeight="false" outlineLevel="0" collapsed="false">
      <c r="A2" s="2" t="s">
        <v>1040</v>
      </c>
    </row>
    <row r="3" customFormat="false" ht="15" hidden="false" customHeight="false" outlineLevel="0" collapsed="false">
      <c r="A3" s="8" t="s">
        <v>917</v>
      </c>
      <c r="D3" s="8" t="s">
        <v>918</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919</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87</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988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992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1000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1007</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224</v>
      </c>
      <c r="B15" s="14" t="s">
        <v>79</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1013</v>
      </c>
      <c r="B16" s="14" t="s">
        <v>79</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1014</v>
      </c>
      <c r="B17" s="14" t="s">
        <v>79</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1015</v>
      </c>
      <c r="B18" s="14" t="s">
        <v>79</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1017</v>
      </c>
      <c r="B19" s="14" t="s">
        <v>79</v>
      </c>
      <c r="D19" s="55" t="n">
        <f aca="false">'Clients &amp; revenue'!D42/FX_EUR</f>
        <v>1459447745.22366</v>
      </c>
      <c r="E19" s="32" t="n">
        <f aca="false">'Clients &amp; revenue'!E42/FX_EUR</f>
        <v>0</v>
      </c>
      <c r="F19" s="32" t="n">
        <f aca="false">'Clients &amp; revenue'!F42/FX_EUR</f>
        <v>0</v>
      </c>
      <c r="G19" s="32" t="n">
        <f aca="false">'Clients &amp; revenue'!G42/FX_EUR</f>
        <v>0</v>
      </c>
      <c r="H19" s="32" t="n">
        <f aca="false">'Clients &amp; revenue'!H42/FX_EUR</f>
        <v>0</v>
      </c>
      <c r="I19" s="32" t="n">
        <f aca="false">'Clients &amp; revenue'!I42/FX_EUR</f>
        <v>352925.572865295</v>
      </c>
      <c r="J19" s="32" t="n">
        <f aca="false">'Clients &amp; revenue'!J42/FX_EUR</f>
        <v>705339.282910313</v>
      </c>
      <c r="K19" s="32" t="n">
        <f aca="false">'Clients &amp; revenue'!K42/FX_EUR</f>
        <v>1057459.14244379</v>
      </c>
      <c r="L19" s="32" t="n">
        <f aca="false">'Clients &amp; revenue'!L42/FX_EUR</f>
        <v>1409512.94539657</v>
      </c>
      <c r="M19" s="32" t="n">
        <f aca="false">'Clients &amp; revenue'!M42/FX_EUR</f>
        <v>1761738.90403998</v>
      </c>
      <c r="N19" s="32" t="n">
        <f aca="false">'Clients &amp; revenue'!N42/FX_EUR</f>
        <v>2114386.32307695</v>
      </c>
      <c r="O19" s="32" t="n">
        <f aca="false">'Clients &amp; revenue'!O42/FX_EUR</f>
        <v>2467716.31336327</v>
      </c>
      <c r="P19" s="32" t="n">
        <f aca="false">'Clients &amp; revenue'!P42/FX_EUR</f>
        <v>2822002.54765106</v>
      </c>
      <c r="Q19" s="32" t="n">
        <f aca="false">'Clients &amp; revenue'!Q42/FX_EUR</f>
        <v>3302149.98554078</v>
      </c>
      <c r="R19" s="32" t="n">
        <f aca="false">'Clients &amp; revenue'!R42/FX_EUR</f>
        <v>3782451.97791685</v>
      </c>
      <c r="S19" s="32" t="n">
        <f aca="false">'Clients &amp; revenue'!S42/FX_EUR</f>
        <v>4263242.79068574</v>
      </c>
      <c r="T19" s="32" t="n">
        <f aca="false">'Clients &amp; revenue'!T42/FX_EUR</f>
        <v>4744872.4839784</v>
      </c>
      <c r="U19" s="32" t="n">
        <f aca="false">'Clients &amp; revenue'!U42/FX_EUR</f>
        <v>5227707.92353459</v>
      </c>
      <c r="V19" s="32" t="n">
        <f aca="false">'Clients &amp; revenue'!V42/FX_EUR</f>
        <v>5712133.85171592</v>
      </c>
      <c r="W19" s="32" t="n">
        <f aca="false">'Clients &amp; revenue'!W42/FX_EUR</f>
        <v>6468718.0721315</v>
      </c>
      <c r="X19" s="32" t="n">
        <f aca="false">'Clients &amp; revenue'!X42/FX_EUR</f>
        <v>7227275.59253872</v>
      </c>
      <c r="Y19" s="32" t="n">
        <f aca="false">'Clients &amp; revenue'!Y42/FX_EUR</f>
        <v>8045493.07036099</v>
      </c>
      <c r="Z19" s="32" t="n">
        <f aca="false">'Clients &amp; revenue'!Z42/FX_EUR</f>
        <v>8866296.86865022</v>
      </c>
      <c r="AA19" s="32" t="n">
        <f aca="false">'Clients &amp; revenue'!AA42/FX_EUR</f>
        <v>9690367.1565845</v>
      </c>
      <c r="AB19" s="32" t="n">
        <f aca="false">'Clients &amp; revenue'!AB42/FX_EUR</f>
        <v>10518418.0627097</v>
      </c>
      <c r="AC19" s="32" t="n">
        <f aca="false">'Clients &amp; revenue'!AC42/FX_EUR</f>
        <v>11601386.945688</v>
      </c>
      <c r="AD19" s="32" t="n">
        <f aca="false">'Clients &amp; revenue'!AD42/FX_EUR</f>
        <v>12687084.7182927</v>
      </c>
      <c r="AE19" s="32" t="n">
        <f aca="false">'Clients &amp; revenue'!AE42/FX_EUR</f>
        <v>13833453.6155059</v>
      </c>
      <c r="AF19" s="32" t="n">
        <f aca="false">'Clients &amp; revenue'!AF42/FX_EUR</f>
        <v>14983688.2000855</v>
      </c>
      <c r="AG19" s="32" t="n">
        <f aca="false">'Clients &amp; revenue'!AG42/FX_EUR</f>
        <v>16138750.260387</v>
      </c>
      <c r="AH19" s="32" t="n">
        <f aca="false">'Clients &amp; revenue'!AH42/FX_EUR</f>
        <v>17299649.8081132</v>
      </c>
      <c r="AI19" s="32" t="n">
        <f aca="false">'Clients &amp; revenue'!AI42/FX_EUR</f>
        <v>18524525.0244834</v>
      </c>
      <c r="AJ19" s="32" t="n">
        <f aca="false">'Clients &amp; revenue'!AJ42/FX_EUR</f>
        <v>19756778.1108239</v>
      </c>
      <c r="AK19" s="32" t="n">
        <f aca="false">'Clients &amp; revenue'!AK42/FX_EUR</f>
        <v>20997590.8881328</v>
      </c>
      <c r="AL19" s="32" t="n">
        <f aca="false">'Clients &amp; revenue'!AL42/FX_EUR</f>
        <v>22248206.5386835</v>
      </c>
      <c r="AM19" s="32" t="n">
        <f aca="false">'Clients &amp; revenue'!AM42/FX_EUR</f>
        <v>23567010.3406846</v>
      </c>
      <c r="AN19" s="32" t="n">
        <f aca="false">'Clients &amp; revenue'!AN42/FX_EUR</f>
        <v>24897666.3546766</v>
      </c>
      <c r="AO19" s="32" t="n">
        <f aca="false">'Clients &amp; revenue'!AO42/FX_EUR</f>
        <v>26417621.0545546</v>
      </c>
      <c r="AP19" s="32" t="n">
        <f aca="false">'Clients &amp; revenue'!AP42/FX_EUR</f>
        <v>28007538.5503056</v>
      </c>
      <c r="AQ19" s="32" t="n">
        <f aca="false">'Clients &amp; revenue'!AQ42/FX_EUR</f>
        <v>29611350.6445729</v>
      </c>
      <c r="AR19" s="32" t="n">
        <f aca="false">'Clients &amp; revenue'!AR42/FX_EUR</f>
        <v>31230798.3827759</v>
      </c>
      <c r="AS19" s="32" t="n">
        <f aca="false">'Clients &amp; revenue'!AS42/FX_EUR</f>
        <v>32924792.5153187</v>
      </c>
      <c r="AT19" s="32" t="n">
        <f aca="false">'Clients &amp; revenue'!AT42/FX_EUR</f>
        <v>34637551.8735007</v>
      </c>
      <c r="AU19" s="32" t="n">
        <f aca="false">'Clients &amp; revenue'!AU42/FX_EUR</f>
        <v>36371121.6453894</v>
      </c>
      <c r="AV19" s="32" t="n">
        <f aca="false">'Clients &amp; revenue'!AV42/FX_EUR</f>
        <v>38236104.0866937</v>
      </c>
      <c r="AW19" s="32" t="n">
        <f aca="false">'Clients &amp; revenue'!AW42/FX_EUR</f>
        <v>40108809.4616499</v>
      </c>
      <c r="AX19" s="32" t="n">
        <f aca="false">'Clients &amp; revenue'!AX42/FX_EUR</f>
        <v>42029994.3288313</v>
      </c>
      <c r="AY19" s="32" t="n">
        <f aca="false">'Clients &amp; revenue'!AY42/FX_EUR</f>
        <v>43942769.1280138</v>
      </c>
      <c r="AZ19" s="32" t="n">
        <f aca="false">'Clients &amp; revenue'!AZ42/FX_EUR</f>
        <v>45847998.3428626</v>
      </c>
      <c r="BA19" s="32" t="n">
        <f aca="false">'Clients &amp; revenue'!BA42/FX_EUR</f>
        <v>47980596.1643298</v>
      </c>
      <c r="BB19" s="32" t="n">
        <f aca="false">'Clients &amp; revenue'!BB42/FX_EUR</f>
        <v>50104872.6193331</v>
      </c>
      <c r="BC19" s="32" t="n">
        <f aca="false">'Clients &amp; revenue'!BC42/FX_EUR</f>
        <v>52278912.9359132</v>
      </c>
      <c r="BD19" s="32" t="n">
        <f aca="false">'Clients &amp; revenue'!BD42/FX_EUR</f>
        <v>54446053.1301998</v>
      </c>
      <c r="BE19" s="32" t="n">
        <f aca="false">'Clients &amp; revenue'!BE42/FX_EUR</f>
        <v>56658764.1783064</v>
      </c>
      <c r="BF19" s="32" t="n">
        <f aca="false">'Clients &amp; revenue'!BF42/FX_EUR</f>
        <v>58923329.3532823</v>
      </c>
      <c r="BG19" s="32" t="n">
        <f aca="false">'Clients &amp; revenue'!BG42/FX_EUR</f>
        <v>61183240.9266406</v>
      </c>
      <c r="BH19" s="32" t="n">
        <f aca="false">'Clients &amp; revenue'!BH42/FX_EUR</f>
        <v>63496842.8671382</v>
      </c>
      <c r="BI19" s="32" t="n">
        <f aca="false">'Clients &amp; revenue'!BI42/FX_EUR</f>
        <v>65859114.2969337</v>
      </c>
      <c r="BJ19" s="32" t="n">
        <f aca="false">'Clients &amp; revenue'!BJ42/FX_EUR</f>
        <v>68276581.640497</v>
      </c>
      <c r="BK19" s="32" t="n">
        <f aca="false">'Clients &amp; revenue'!BK42/FX_EUR</f>
        <v>70680763.3331048</v>
      </c>
      <c r="BL19" s="32" t="n">
        <f aca="false">'Clients &amp; revenue'!BL42/FX_EUR</f>
        <v>73116224.0898557</v>
      </c>
    </row>
    <row r="20" customFormat="false" ht="15" hidden="false" customHeight="false" outlineLevel="0" collapsed="false">
      <c r="A20" s="12" t="s">
        <v>1020</v>
      </c>
      <c r="B20" s="14" t="s">
        <v>79</v>
      </c>
      <c r="D20" s="55" t="n">
        <f aca="false">'Clients &amp; revenue'!D46/FX_EUR</f>
        <v>866130341.687164</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209643.82319776</v>
      </c>
      <c r="J20" s="32" t="n">
        <f aca="false">'Clients &amp; revenue'!J46/FX_EUR</f>
        <v>418969.088929102</v>
      </c>
      <c r="K20" s="32" t="n">
        <f aca="false">'Clients &amp; revenue'!K46/FX_EUR</f>
        <v>628105.39517072</v>
      </c>
      <c r="L20" s="32" t="n">
        <f aca="false">'Clients &amp; revenue'!L46/FX_EUR</f>
        <v>837188.141927494</v>
      </c>
      <c r="M20" s="32" t="n">
        <f aca="false">'Clients &amp; revenue'!M46/FX_EUR</f>
        <v>1046358.90906415</v>
      </c>
      <c r="N20" s="32" t="n">
        <f aca="false">'Clients &amp; revenue'!N46/FX_EUR</f>
        <v>1255765.85631419</v>
      </c>
      <c r="O20" s="32" t="n">
        <f aca="false">'Clients &amp; revenue'!O46/FX_EUR</f>
        <v>1465564.14680543</v>
      </c>
      <c r="P20" s="32" t="n">
        <f aca="false">'Clients &amp; revenue'!P46/FX_EUR</f>
        <v>1675916.39552178</v>
      </c>
      <c r="Q20" s="32" t="n">
        <f aca="false">'Clients &amp; revenue'!Q46/FX_EUR</f>
        <v>1961018.3216691</v>
      </c>
      <c r="R20" s="32" t="n">
        <f aca="false">'Clients &amp; revenue'!R46/FX_EUR</f>
        <v>2246192.93305889</v>
      </c>
      <c r="S20" s="32" t="n">
        <f aca="false">'Clients &amp; revenue'!S46/FX_EUR</f>
        <v>2531638.88782176</v>
      </c>
      <c r="T20" s="32" t="n">
        <f aca="false">'Clients &amp; revenue'!T46/FX_EUR</f>
        <v>2817564.21306005</v>
      </c>
      <c r="U20" s="32" t="n">
        <f aca="false">'Clients &amp; revenue'!U46/FX_EUR</f>
        <v>3104186.9050102</v>
      </c>
      <c r="V20" s="32" t="n">
        <f aca="false">'Clients &amp; revenue'!V46/FX_EUR</f>
        <v>3391735.56458911</v>
      </c>
      <c r="W20" s="32" t="n">
        <f aca="false">'Clients &amp; revenue'!W46/FX_EUR</f>
        <v>3840932.13457727</v>
      </c>
      <c r="X20" s="32" t="n">
        <f aca="false">'Clients &amp; revenue'!X46/FX_EUR</f>
        <v>4291271.03620081</v>
      </c>
      <c r="Y20" s="32" t="n">
        <f aca="false">'Clients &amp; revenue'!Y46/FX_EUR</f>
        <v>4777019.21495982</v>
      </c>
      <c r="Z20" s="32" t="n">
        <f aca="false">'Clients &amp; revenue'!Z46/FX_EUR</f>
        <v>5264271.67069407</v>
      </c>
      <c r="AA20" s="32" t="n">
        <f aca="false">'Clients &amp; revenue'!AA46/FX_EUR</f>
        <v>5753432.50992261</v>
      </c>
      <c r="AB20" s="32" t="n">
        <f aca="false">'Clients &amp; revenue'!AB46/FX_EUR</f>
        <v>6244925.98512117</v>
      </c>
      <c r="AC20" s="32" t="n">
        <f aca="false">'Clients &amp; revenue'!AC46/FX_EUR</f>
        <v>6887813.19697703</v>
      </c>
      <c r="AD20" s="32" t="n">
        <f aca="false">'Clients &amp; revenue'!AD46/FX_EUR</f>
        <v>7532279.22714606</v>
      </c>
      <c r="AE20" s="32" t="n">
        <f aca="false">'Clients &amp; revenue'!AE46/FX_EUR</f>
        <v>8212742.88100515</v>
      </c>
      <c r="AF20" s="32" t="n">
        <f aca="false">'Clients &amp; revenue'!AF46/FX_EUR</f>
        <v>8895458.50594118</v>
      </c>
      <c r="AG20" s="32" t="n">
        <f aca="false">'Clients &amp; revenue'!AG46/FX_EUR</f>
        <v>9580997.51682967</v>
      </c>
      <c r="AH20" s="32" t="n">
        <f aca="false">'Clients &amp; revenue'!AH46/FX_EUR</f>
        <v>10269959.9364505</v>
      </c>
      <c r="AI20" s="32" t="n">
        <f aca="false">'Clients &amp; revenue'!AI46/FX_EUR</f>
        <v>10996880.8573837</v>
      </c>
      <c r="AJ20" s="32" t="n">
        <f aca="false">'Clients &amp; revenue'!AJ46/FX_EUR</f>
        <v>11728137.8520766</v>
      </c>
      <c r="AK20" s="32" t="n">
        <f aca="false">'Clients &amp; revenue'!AK46/FX_EUR</f>
        <v>12464432.9147381</v>
      </c>
      <c r="AL20" s="32" t="n">
        <f aca="false">'Clients &amp; revenue'!AL46/FX_EUR</f>
        <v>13206504.4431575</v>
      </c>
      <c r="AM20" s="32" t="n">
        <f aca="false">'Clients &amp; revenue'!AM46/FX_EUR</f>
        <v>13989034.1684913</v>
      </c>
      <c r="AN20" s="32" t="n">
        <f aca="false">'Clients &amp; revenue'!AN46/FX_EUR</f>
        <v>14778555.0612971</v>
      </c>
      <c r="AO20" s="32" t="n">
        <f aca="false">'Clients &amp; revenue'!AO46/FX_EUR</f>
        <v>15680473.1719093</v>
      </c>
      <c r="AP20" s="32" t="n">
        <f aca="false">'Clients &amp; revenue'!AP46/FX_EUR</f>
        <v>16623893.4650688</v>
      </c>
      <c r="AQ20" s="32" t="n">
        <f aca="false">'Clients &amp; revenue'!AQ46/FX_EUR</f>
        <v>17575507.9405225</v>
      </c>
      <c r="AR20" s="32" t="n">
        <f aca="false">'Clients &amp; revenue'!AR46/FX_EUR</f>
        <v>18536350.5960064</v>
      </c>
      <c r="AS20" s="32" t="n">
        <f aca="false">'Clients &amp; revenue'!AS46/FX_EUR</f>
        <v>19541415.1436946</v>
      </c>
      <c r="AT20" s="32" t="n">
        <f aca="false">'Clients &amp; revenue'!AT46/FX_EUR</f>
        <v>20557563.9187932</v>
      </c>
      <c r="AU20" s="32" t="n">
        <f aca="false">'Clients &amp; revenue'!AU46/FX_EUR</f>
        <v>21586011.4095569</v>
      </c>
      <c r="AV20" s="32" t="n">
        <f aca="false">'Clients &amp; revenue'!AV46/FX_EUR</f>
        <v>22692456.7789325</v>
      </c>
      <c r="AW20" s="32" t="n">
        <f aca="false">'Clients &amp; revenue'!AW46/FX_EUR</f>
        <v>23803421.2023788</v>
      </c>
      <c r="AX20" s="32" t="n">
        <f aca="false">'Clients &amp; revenue'!AX46/FX_EUR</f>
        <v>24943114.8761595</v>
      </c>
      <c r="AY20" s="32" t="n">
        <f aca="false">'Clients &amp; revenue'!AY46/FX_EUR</f>
        <v>26077742.860641</v>
      </c>
      <c r="AZ20" s="32" t="n">
        <f aca="false">'Clients &amp; revenue'!AZ46/FX_EUR</f>
        <v>27207819.4541972</v>
      </c>
      <c r="BA20" s="32" t="n">
        <f aca="false">'Clients &amp; revenue'!BA46/FX_EUR</f>
        <v>28472888.4457437</v>
      </c>
      <c r="BB20" s="32" t="n">
        <f aca="false">'Clients &amp; revenue'!BB46/FX_EUR</f>
        <v>29732937.0524383</v>
      </c>
      <c r="BC20" s="32" t="n">
        <f aca="false">'Clients &amp; revenue'!BC46/FX_EUR</f>
        <v>31022469.7157525</v>
      </c>
      <c r="BD20" s="32" t="n">
        <f aca="false">'Clients &amp; revenue'!BD46/FX_EUR</f>
        <v>32307825.4961329</v>
      </c>
      <c r="BE20" s="32" t="n">
        <f aca="false">'Clients &amp; revenue'!BE46/FX_EUR</f>
        <v>33620173.8254214</v>
      </c>
      <c r="BF20" s="32" t="n">
        <f aca="false">'Clients &amp; revenue'!BF46/FX_EUR</f>
        <v>34963245.6935196</v>
      </c>
      <c r="BG20" s="32" t="n">
        <f aca="false">'Clients &amp; revenue'!BG46/FX_EUR</f>
        <v>36303472.914055</v>
      </c>
      <c r="BH20" s="32" t="n">
        <f aca="false">'Clients &amp; revenue'!BH46/FX_EUR</f>
        <v>37675513.5055396</v>
      </c>
      <c r="BI20" s="32" t="n">
        <f aca="false">'Clients &amp; revenue'!BI46/FX_EUR</f>
        <v>39076383.286624</v>
      </c>
      <c r="BJ20" s="32" t="n">
        <f aca="false">'Clients &amp; revenue'!BJ46/FX_EUR</f>
        <v>40509957.5889422</v>
      </c>
      <c r="BK20" s="32" t="n">
        <f aca="false">'Clients &amp; revenue'!BK46/FX_EUR</f>
        <v>41935555.4588213</v>
      </c>
      <c r="BL20" s="32" t="n">
        <f aca="false">'Clients &amp; revenue'!BL46/FX_EUR</f>
        <v>43379650.1912036</v>
      </c>
    </row>
    <row r="21" customFormat="false" ht="15" hidden="false" customHeight="false" outlineLevel="0" collapsed="false">
      <c r="A21" s="12" t="s">
        <v>1023</v>
      </c>
      <c r="B21" s="14" t="s">
        <v>79</v>
      </c>
      <c r="D21" s="55" t="n">
        <f aca="false">'Clients &amp; revenue'!D48/FX_EUR</f>
        <v>149452390.822757</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29274.6621805924</v>
      </c>
      <c r="R21" s="32" t="n">
        <f aca="false">'Clients &amp; revenue'!R48/FX_EUR</f>
        <v>67038.2768049351</v>
      </c>
      <c r="S21" s="32" t="n">
        <f aca="false">'Clients &amp; revenue'!S48/FX_EUR</f>
        <v>113290.703409771</v>
      </c>
      <c r="T21" s="32" t="n">
        <f aca="false">'Clients &amp; revenue'!T48/FX_EUR</f>
        <v>168044.526003879</v>
      </c>
      <c r="U21" s="32" t="n">
        <f aca="false">'Clients &amp; revenue'!U48/FX_EUR</f>
        <v>231325.777904938</v>
      </c>
      <c r="V21" s="32" t="n">
        <f aca="false">'Clients &amp; revenue'!V48/FX_EUR</f>
        <v>303174.723213724</v>
      </c>
      <c r="W21" s="32" t="n">
        <f aca="false">'Clients &amp; revenue'!W48/FX_EUR</f>
        <v>400483.845814399</v>
      </c>
      <c r="X21" s="32" t="n">
        <f aca="false">'Clients &amp; revenue'!X48/FX_EUR</f>
        <v>511244.185040432</v>
      </c>
      <c r="Y21" s="32" t="n">
        <f aca="false">'Clients &amp; revenue'!Y48/FX_EUR</f>
        <v>640110.928949165</v>
      </c>
      <c r="Z21" s="32" t="n">
        <f aca="false">'Clients &amp; revenue'!Z48/FX_EUR</f>
        <v>783570.823572364</v>
      </c>
      <c r="AA21" s="32" t="n">
        <f aca="false">'Clients &amp; revenue'!AA48/FX_EUR</f>
        <v>941738.653130871</v>
      </c>
      <c r="AB21" s="32" t="n">
        <f aca="false">'Clients &amp; revenue'!AB48/FX_EUR</f>
        <v>1114757.30576947</v>
      </c>
      <c r="AC21" s="32" t="n">
        <f aca="false">'Clients &amp; revenue'!AC48/FX_EUR</f>
        <v>1229313.5370977</v>
      </c>
      <c r="AD21" s="32" t="n">
        <f aca="false">'Clients &amp; revenue'!AD48/FX_EUR</f>
        <v>1344046.78933189</v>
      </c>
      <c r="AE21" s="32" t="n">
        <f aca="false">'Clients &amp; revenue'!AE48/FX_EUR</f>
        <v>1465148.94317477</v>
      </c>
      <c r="AF21" s="32" t="n">
        <f aca="false">'Clients &amp; revenue'!AF48/FX_EUR</f>
        <v>1586545.39263034</v>
      </c>
      <c r="AG21" s="32" t="n">
        <f aca="false">'Clients &amp; revenue'!AG48/FX_EUR</f>
        <v>1708340.28815082</v>
      </c>
      <c r="AH21" s="32" t="n">
        <f aca="false">'Clients &amp; revenue'!AH48/FX_EUR</f>
        <v>1830642.79081594</v>
      </c>
      <c r="AI21" s="32" t="n">
        <f aca="false">'Clients &amp; revenue'!AI48/FX_EUR</f>
        <v>1959665.35356238</v>
      </c>
      <c r="AJ21" s="32" t="n">
        <f aca="false">'Clients &amp; revenue'!AJ48/FX_EUR</f>
        <v>2089355.17362453</v>
      </c>
      <c r="AK21" s="32" t="n">
        <f aca="false">'Clients &amp; revenue'!AK48/FX_EUR</f>
        <v>2219839.50950525</v>
      </c>
      <c r="AL21" s="32" t="n">
        <f aca="false">'Clients &amp; revenue'!AL48/FX_EUR</f>
        <v>2351252.01341013</v>
      </c>
      <c r="AM21" s="32" t="n">
        <f aca="false">'Clients &amp; revenue'!AM48/FX_EUR</f>
        <v>2489831.09542895</v>
      </c>
      <c r="AN21" s="32" t="n">
        <f aca="false">'Clients &amp; revenue'!AN48/FX_EUR</f>
        <v>2629551.4639071</v>
      </c>
      <c r="AO21" s="32" t="n">
        <f aca="false">'Clients &amp; revenue'!AO48/FX_EUR</f>
        <v>2789371.58108372</v>
      </c>
      <c r="AP21" s="32" t="n">
        <f aca="false">'Clients &amp; revenue'!AP48/FX_EUR</f>
        <v>2956520.65348062</v>
      </c>
      <c r="AQ21" s="32" t="n">
        <f aca="false">'Clients &amp; revenue'!AQ48/FX_EUR</f>
        <v>3125002.20549458</v>
      </c>
      <c r="AR21" s="32" t="n">
        <f aca="false">'Clients &amp; revenue'!AR48/FX_EUR</f>
        <v>3295002.92652209</v>
      </c>
      <c r="AS21" s="32" t="n">
        <f aca="false">'Clients &amp; revenue'!AS48/FX_EUR</f>
        <v>3472817.1546489</v>
      </c>
      <c r="AT21" s="32" t="n">
        <f aca="false">'Clients &amp; revenue'!AT48/FX_EUR</f>
        <v>3652478.59508228</v>
      </c>
      <c r="AU21" s="32" t="n">
        <f aca="false">'Clients &amp; revenue'!AU48/FX_EUR</f>
        <v>3834205.91899497</v>
      </c>
      <c r="AV21" s="32" t="n">
        <f aca="false">'Clients &amp; revenue'!AV48/FX_EUR</f>
        <v>4029815.51997844</v>
      </c>
      <c r="AW21" s="32" t="n">
        <f aca="false">'Clients &amp; revenue'!AW48/FX_EUR</f>
        <v>4226079.05207087</v>
      </c>
      <c r="AX21" s="32" t="n">
        <f aca="false">'Clients &amp; revenue'!AX48/FX_EUR</f>
        <v>4427352.57884508</v>
      </c>
      <c r="AY21" s="32" t="n">
        <f aca="false">'Clients &amp; revenue'!AY48/FX_EUR</f>
        <v>4627554.86607664</v>
      </c>
      <c r="AZ21" s="32" t="n">
        <f aca="false">'Clients &amp; revenue'!AZ48/FX_EUR</f>
        <v>4826782.00005836</v>
      </c>
      <c r="BA21" s="32" t="n">
        <f aca="false">'Clients &amp; revenue'!BA48/FX_EUR</f>
        <v>5050135.21071535</v>
      </c>
      <c r="BB21" s="32" t="n">
        <f aca="false">'Clients &amp; revenue'!BB48/FX_EUR</f>
        <v>5272408.68114358</v>
      </c>
      <c r="BC21" s="32" t="n">
        <f aca="false">'Clients &amp; revenue'!BC48/FX_EUR</f>
        <v>5499812.09445914</v>
      </c>
      <c r="BD21" s="32" t="n">
        <f aca="false">'Clients &amp; revenue'!BD48/FX_EUR</f>
        <v>5726288.42432917</v>
      </c>
      <c r="BE21" s="32" t="n">
        <f aca="false">'Clients &amp; revenue'!BE48/FX_EUR</f>
        <v>5957447.34958477</v>
      </c>
      <c r="BF21" s="32" t="n">
        <f aca="false">'Clients &amp; revenue'!BF48/FX_EUR</f>
        <v>6193957.47771348</v>
      </c>
      <c r="BG21" s="32" t="n">
        <f aca="false">'Clients &amp; revenue'!BG48/FX_EUR</f>
        <v>6429778.24716792</v>
      </c>
      <c r="BH21" s="32" t="n">
        <f aca="false">'Clients &amp; revenue'!BH48/FX_EUR</f>
        <v>6671146.54864768</v>
      </c>
      <c r="BI21" s="32" t="n">
        <f aca="false">'Clients &amp; revenue'!BI48/FX_EUR</f>
        <v>6917522.32137028</v>
      </c>
      <c r="BJ21" s="32" t="n">
        <f aca="false">'Clients &amp; revenue'!BJ48/FX_EUR</f>
        <v>7169599.86151118</v>
      </c>
      <c r="BK21" s="32" t="n">
        <f aca="false">'Clients &amp; revenue'!BK48/FX_EUR</f>
        <v>7420059.03731652</v>
      </c>
      <c r="BL21" s="32" t="n">
        <f aca="false">'Clients &amp; revenue'!BL48/FX_EUR</f>
        <v>7673665.75402662</v>
      </c>
    </row>
    <row r="22" customFormat="false" ht="15" hidden="false" customHeight="false" outlineLevel="0" collapsed="false">
      <c r="A22" s="12" t="s">
        <v>1025</v>
      </c>
      <c r="B22" s="14" t="s">
        <v>79</v>
      </c>
      <c r="D22" s="55" t="n">
        <f aca="false">'Clients &amp; revenue'!D50/FX_EUR</f>
        <v>173645995.214224</v>
      </c>
      <c r="E22" s="32" t="n">
        <f aca="false">'Clients &amp; revenue'!E50/FX_EUR</f>
        <v>0</v>
      </c>
      <c r="F22" s="32" t="n">
        <f aca="false">'Clients &amp; revenue'!F50/FX_EUR</f>
        <v>0</v>
      </c>
      <c r="G22" s="32" t="n">
        <f aca="false">'Clients &amp; revenue'!G50/FX_EUR</f>
        <v>0</v>
      </c>
      <c r="H22" s="32" t="n">
        <f aca="false">'Clients &amp; revenue'!H50/FX_EUR</f>
        <v>0</v>
      </c>
      <c r="I22" s="32" t="n">
        <f aca="false">'Clients &amp; revenue'!I50/FX_EUR</f>
        <v>0</v>
      </c>
      <c r="J22" s="32" t="n">
        <f aca="false">'Clients &amp; revenue'!J50/FX_EUR</f>
        <v>0</v>
      </c>
      <c r="K22" s="32" t="n">
        <f aca="false">'Clients &amp; revenue'!K50/FX_EUR</f>
        <v>0</v>
      </c>
      <c r="L22" s="32" t="n">
        <f aca="false">'Clients &amp; revenue'!L50/FX_EUR</f>
        <v>0</v>
      </c>
      <c r="M22" s="32" t="n">
        <f aca="false">'Clients &amp; revenue'!M50/FX_EUR</f>
        <v>0</v>
      </c>
      <c r="N22" s="32" t="n">
        <f aca="false">'Clients &amp; revenue'!N50/FX_EUR</f>
        <v>0</v>
      </c>
      <c r="O22" s="32" t="n">
        <f aca="false">'Clients &amp; revenue'!O50/FX_EUR</f>
        <v>0</v>
      </c>
      <c r="P22" s="32" t="n">
        <f aca="false">'Clients &amp; revenue'!P50/FX_EUR</f>
        <v>0</v>
      </c>
      <c r="Q22" s="32" t="n">
        <f aca="false">'Clients &amp; revenue'!Q50/FX_EUR</f>
        <v>0</v>
      </c>
      <c r="R22" s="32" t="n">
        <f aca="false">'Clients &amp; revenue'!R50/FX_EUR</f>
        <v>0</v>
      </c>
      <c r="S22" s="32" t="n">
        <f aca="false">'Clients &amp; revenue'!S50/FX_EUR</f>
        <v>0</v>
      </c>
      <c r="T22" s="32" t="n">
        <f aca="false">'Clients &amp; revenue'!T50/FX_EUR</f>
        <v>0</v>
      </c>
      <c r="U22" s="32" t="n">
        <f aca="false">'Clients &amp; revenue'!U50/FX_EUR</f>
        <v>0</v>
      </c>
      <c r="V22" s="32" t="n">
        <f aca="false">'Clients &amp; revenue'!V50/FX_EUR</f>
        <v>60260.2721269965</v>
      </c>
      <c r="W22" s="32" t="n">
        <f aca="false">'Clients &amp; revenue'!W50/FX_EUR</f>
        <v>136468.010712478</v>
      </c>
      <c r="X22" s="32" t="n">
        <f aca="false">'Clients &amp; revenue'!X50/FX_EUR</f>
        <v>228669.560679103</v>
      </c>
      <c r="Y22" s="32" t="n">
        <f aca="false">'Clients &amp; revenue'!Y50/FX_EUR</f>
        <v>339356.221418985</v>
      </c>
      <c r="Z22" s="32" t="n">
        <f aca="false">'Clients &amp; revenue'!Z50/FX_EUR</f>
        <v>467382.654261051</v>
      </c>
      <c r="AA22" s="32" t="n">
        <f aca="false">'Clients &amp; revenue'!AA50/FX_EUR</f>
        <v>612857.301402323</v>
      </c>
      <c r="AB22" s="32" t="n">
        <f aca="false">'Clients &amp; revenue'!AB50/FX_EUR</f>
        <v>775920.158862501</v>
      </c>
      <c r="AC22" s="32" t="n">
        <f aca="false">'Clients &amp; revenue'!AC50/FX_EUR</f>
        <v>977950.04245258</v>
      </c>
      <c r="AD22" s="32" t="n">
        <f aca="false">'Clients &amp; revenue'!AD50/FX_EUR</f>
        <v>1202967.88557141</v>
      </c>
      <c r="AE22" s="32" t="n">
        <f aca="false">'Clients &amp; revenue'!AE50/FX_EUR</f>
        <v>1457177.37517391</v>
      </c>
      <c r="AF22" s="32" t="n">
        <f aca="false">'Clients &amp; revenue'!AF50/FX_EUR</f>
        <v>1735860.02379206</v>
      </c>
      <c r="AG22" s="32" t="n">
        <f aca="false">'Clients &amp; revenue'!AG50/FX_EUR</f>
        <v>2039238.3569281</v>
      </c>
      <c r="AH22" s="32" t="n">
        <f aca="false">'Clients &amp; revenue'!AH50/FX_EUR</f>
        <v>2185460.78686572</v>
      </c>
      <c r="AI22" s="32" t="n">
        <f aca="false">'Clients &amp; revenue'!AI50/FX_EUR</f>
        <v>2339725.05573438</v>
      </c>
      <c r="AJ22" s="32" t="n">
        <f aca="false">'Clients &amp; revenue'!AJ50/FX_EUR</f>
        <v>2494830.67409202</v>
      </c>
      <c r="AK22" s="32" t="n">
        <f aca="false">'Clients &amp; revenue'!AK50/FX_EUR</f>
        <v>2650928.58945951</v>
      </c>
      <c r="AL22" s="32" t="n">
        <f aca="false">'Clients &amp; revenue'!AL50/FX_EUR</f>
        <v>2808177.42519523</v>
      </c>
      <c r="AM22" s="32" t="n">
        <f aca="false">'Clients &amp; revenue'!AM50/FX_EUR</f>
        <v>2974000.53567818</v>
      </c>
      <c r="AN22" s="32" t="n">
        <f aca="false">'Clients &amp; revenue'!AN50/FX_EUR</f>
        <v>3141230.35857118</v>
      </c>
      <c r="AO22" s="32" t="n">
        <f aca="false">'Clients &amp; revenue'!AO50/FX_EUR</f>
        <v>3332427.17222857</v>
      </c>
      <c r="AP22" s="32" t="n">
        <f aca="false">'Clients &amp; revenue'!AP50/FX_EUR</f>
        <v>3532402.20468286</v>
      </c>
      <c r="AQ22" s="32" t="n">
        <f aca="false">'Clients &amp; revenue'!AQ50/FX_EUR</f>
        <v>3734022.07872137</v>
      </c>
      <c r="AR22" s="32" t="n">
        <f aca="false">'Clients &amp; revenue'!AR50/FX_EUR</f>
        <v>3937508.57220259</v>
      </c>
      <c r="AS22" s="32" t="n">
        <f aca="false">'Clients &amp; revenue'!AS50/FX_EUR</f>
        <v>4150351.65794017</v>
      </c>
      <c r="AT22" s="32" t="n">
        <f aca="false">'Clients &amp; revenue'!AT50/FX_EUR</f>
        <v>4365454.06878898</v>
      </c>
      <c r="AU22" s="32" t="n">
        <f aca="false">'Clients &amp; revenue'!AU50/FX_EUR</f>
        <v>4583075.84646477</v>
      </c>
      <c r="AV22" s="32" t="n">
        <f aca="false">'Clients &amp; revenue'!AV50/FX_EUR</f>
        <v>4817278.42666974</v>
      </c>
      <c r="AW22" s="32" t="n">
        <f aca="false">'Clients &amp; revenue'!AW50/FX_EUR</f>
        <v>5052325.46572126</v>
      </c>
      <c r="AX22" s="32" t="n">
        <f aca="false">'Clients &amp; revenue'!AX50/FX_EUR</f>
        <v>5293399.86471706</v>
      </c>
      <c r="AY22" s="32" t="n">
        <f aca="false">'Clients &amp; revenue'!AY50/FX_EUR</f>
        <v>5533266.16698882</v>
      </c>
      <c r="AZ22" s="32" t="n">
        <f aca="false">'Clients &amp; revenue'!AZ50/FX_EUR</f>
        <v>5772037.09749941</v>
      </c>
      <c r="BA22" s="32" t="n">
        <f aca="false">'Clients &amp; revenue'!BA50/FX_EUR</f>
        <v>6039581.57424949</v>
      </c>
      <c r="BB22" s="32" t="n">
        <f aca="false">'Clients &amp; revenue'!BB50/FX_EUR</f>
        <v>6305914.75276988</v>
      </c>
      <c r="BC22" s="32" t="n">
        <f aca="false">'Clients &amp; revenue'!BC50/FX_EUR</f>
        <v>6578424.41795269</v>
      </c>
      <c r="BD22" s="32" t="n">
        <f aca="false">'Clients &amp; revenue'!BD50/FX_EUR</f>
        <v>6849903.86911243</v>
      </c>
      <c r="BE22" s="32" t="n">
        <f aca="false">'Clients &amp; revenue'!BE50/FX_EUR</f>
        <v>7127026.96700029</v>
      </c>
      <c r="BF22" s="32" t="n">
        <f aca="false">'Clients &amp; revenue'!BF50/FX_EUR</f>
        <v>7410590.31755068</v>
      </c>
      <c r="BG22" s="32" t="n">
        <f aca="false">'Clients &amp; revenue'!BG50/FX_EUR</f>
        <v>7693406.90842162</v>
      </c>
      <c r="BH22" s="32" t="n">
        <f aca="false">'Clients &amp; revenue'!BH50/FX_EUR</f>
        <v>7982897.08372124</v>
      </c>
      <c r="BI22" s="32" t="n">
        <f aca="false">'Clients &amp; revenue'!BI50/FX_EUR</f>
        <v>8278419.52342481</v>
      </c>
      <c r="BJ22" s="32" t="n">
        <f aca="false">'Clients &amp; revenue'!BJ50/FX_EUR</f>
        <v>8580801.52015231</v>
      </c>
      <c r="BK22" s="32" t="n">
        <f aca="false">'Clients &amp; revenue'!BK50/FX_EUR</f>
        <v>8881333.50004355</v>
      </c>
      <c r="BL22" s="32" t="n">
        <f aca="false">'Clients &amp; revenue'!BL50/FX_EUR</f>
        <v>9185684.86822168</v>
      </c>
    </row>
    <row r="24" customFormat="false" ht="15" hidden="false" customHeight="false" outlineLevel="0" collapsed="false">
      <c r="A24" s="10" t="s">
        <v>1026</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1028</v>
      </c>
      <c r="B25" s="14" t="s">
        <v>79</v>
      </c>
      <c r="D25" s="55" t="n">
        <f aca="false">'Clients &amp; revenue'!D54/FX_EUR</f>
        <v>1468798.83820389</v>
      </c>
      <c r="E25" s="32" t="n">
        <f aca="false">'Clients &amp; revenue'!E54/FX_EUR</f>
        <v>0</v>
      </c>
      <c r="F25" s="32" t="n">
        <f aca="false">'Clients &amp; revenue'!F54/FX_EUR</f>
        <v>0</v>
      </c>
      <c r="G25" s="32" t="n">
        <f aca="false">'Clients &amp; revenue'!G54/FX_EUR</f>
        <v>0</v>
      </c>
      <c r="H25" s="32" t="n">
        <f aca="false">'Clients &amp; revenue'!H54/FX_EUR</f>
        <v>0</v>
      </c>
      <c r="I25" s="32" t="n">
        <f aca="false">'Clients &amp; revenue'!I54/FX_EUR</f>
        <v>0</v>
      </c>
      <c r="J25" s="32" t="n">
        <f aca="false">'Clients &amp; revenue'!J54/FX_EUR</f>
        <v>417.035860582325</v>
      </c>
      <c r="K25" s="32" t="n">
        <f aca="false">'Clients &amp; revenue'!K54/FX_EUR</f>
        <v>829.777713112292</v>
      </c>
      <c r="L25" s="32" t="n">
        <f aca="false">'Clients &amp; revenue'!L54/FX_EUR</f>
        <v>1238.55424030051</v>
      </c>
      <c r="M25" s="32" t="n">
        <f aca="false">'Clients &amp; revenue'!M54/FX_EUR</f>
        <v>1643.70211935634</v>
      </c>
      <c r="N25" s="32" t="n">
        <f aca="false">'Clients &amp; revenue'!N54/FX_EUR</f>
        <v>2045.56673618711</v>
      </c>
      <c r="O25" s="32" t="n">
        <f aca="false">'Clients &amp; revenue'!O54/FX_EUR</f>
        <v>2444.50293775869</v>
      </c>
      <c r="P25" s="32" t="n">
        <f aca="false">'Clients &amp; revenue'!P54/FX_EUR</f>
        <v>2840.87582500091</v>
      </c>
      <c r="Q25" s="32" t="n">
        <f aca="false">'Clients &amp; revenue'!Q54/FX_EUR</f>
        <v>3235.06158878247</v>
      </c>
      <c r="R25" s="32" t="n">
        <f aca="false">'Clients &amp; revenue'!R54/FX_EUR</f>
        <v>3774.70364159269</v>
      </c>
      <c r="S25" s="32" t="n">
        <f aca="false">'Clients &amp; revenue'!S54/FX_EUR</f>
        <v>4310.00269294841</v>
      </c>
      <c r="T25" s="32" t="n">
        <f aca="false">'Clients &amp; revenue'!T54/FX_EUR</f>
        <v>4841.43259325485</v>
      </c>
      <c r="U25" s="32" t="n">
        <f aca="false">'Clients &amp; revenue'!U54/FX_EUR</f>
        <v>5369.48093533165</v>
      </c>
      <c r="V25" s="32" t="n">
        <f aca="false">'Clients &amp; revenue'!V54/FX_EUR</f>
        <v>5894.65017273</v>
      </c>
      <c r="W25" s="32" t="n">
        <f aca="false">'Clients &amp; revenue'!W54/FX_EUR</f>
        <v>6417.45879927324</v>
      </c>
      <c r="X25" s="32" t="n">
        <f aca="false">'Clients &amp; revenue'!X54/FX_EUR</f>
        <v>7257.68298284489</v>
      </c>
      <c r="Y25" s="32" t="n">
        <f aca="false">'Clients &amp; revenue'!Y54/FX_EUR</f>
        <v>8093.2869353606</v>
      </c>
      <c r="Z25" s="32" t="n">
        <f aca="false">'Clients &amp; revenue'!Z54/FX_EUR</f>
        <v>8992.53926925324</v>
      </c>
      <c r="AA25" s="32" t="n">
        <f aca="false">'Clients &amp; revenue'!AA54/FX_EUR</f>
        <v>9887.49678270679</v>
      </c>
      <c r="AB25" s="32" t="n">
        <f aca="false">'Clients &amp; revenue'!AB54/FX_EUR</f>
        <v>10779.0667857044</v>
      </c>
      <c r="AC25" s="32" t="n">
        <f aca="false">'Clients &amp; revenue'!AC54/FX_EUR</f>
        <v>11668.1877268439</v>
      </c>
      <c r="AD25" s="32" t="n">
        <f aca="false">'Clients &amp; revenue'!AD54/FX_EUR</f>
        <v>12851.4661134582</v>
      </c>
      <c r="AE25" s="32" t="n">
        <f aca="false">'Clients &amp; revenue'!AE54/FX_EUR</f>
        <v>14028.3625275439</v>
      </c>
      <c r="AF25" s="32" t="n">
        <f aca="false">'Clients &amp; revenue'!AF54/FX_EUR</f>
        <v>15267.4867769186</v>
      </c>
      <c r="AG25" s="32" t="n">
        <f aca="false">'Clients &amp; revenue'!AG54/FX_EUR</f>
        <v>16501.2483888765</v>
      </c>
      <c r="AH25" s="32" t="n">
        <f aca="false">'Clients &amp; revenue'!AH54/FX_EUR</f>
        <v>17730.9198070204</v>
      </c>
      <c r="AI25" s="32" t="n">
        <f aca="false">'Clients &amp; revenue'!AI54/FX_EUR</f>
        <v>18957.8179375319</v>
      </c>
      <c r="AJ25" s="32" t="n">
        <f aca="false">'Clients &amp; revenue'!AJ54/FX_EUR</f>
        <v>20250.7526072624</v>
      </c>
      <c r="AK25" s="32" t="n">
        <f aca="false">'Clients &amp; revenue'!AK54/FX_EUR</f>
        <v>21542.3456937231</v>
      </c>
      <c r="AL25" s="32" t="n">
        <f aca="false">'Clients &amp; revenue'!AL54/FX_EUR</f>
        <v>22834.0950551869</v>
      </c>
      <c r="AM25" s="32" t="n">
        <f aca="false">'Clients &amp; revenue'!AM54/FX_EUR</f>
        <v>24127.5568543578</v>
      </c>
      <c r="AN25" s="32" t="n">
        <f aca="false">'Clients &amp; revenue'!AN54/FX_EUR</f>
        <v>25491.7948406325</v>
      </c>
      <c r="AO25" s="32" t="n">
        <f aca="false">'Clients &amp; revenue'!AO54/FX_EUR</f>
        <v>26859.7003538401</v>
      </c>
      <c r="AP25" s="32" t="n">
        <f aca="false">'Clients &amp; revenue'!AP54/FX_EUR</f>
        <v>28441.0130679939</v>
      </c>
      <c r="AQ25" s="32" t="n">
        <f aca="false">'Clients &amp; revenue'!AQ54/FX_EUR</f>
        <v>30092.9226698087</v>
      </c>
      <c r="AR25" s="32" t="n">
        <f aca="false">'Clients &amp; revenue'!AR54/FX_EUR</f>
        <v>31748.6587482341</v>
      </c>
      <c r="AS25" s="32" t="n">
        <f aca="false">'Clients &amp; revenue'!AS54/FX_EUR</f>
        <v>33410.3566538564</v>
      </c>
      <c r="AT25" s="32" t="n">
        <f aca="false">'Clients &amp; revenue'!AT54/FX_EUR</f>
        <v>35147.6868957126</v>
      </c>
      <c r="AU25" s="32" t="n">
        <f aca="false">'Clients &amp; revenue'!AU54/FX_EUR</f>
        <v>36894.1769429247</v>
      </c>
      <c r="AV25" s="32" t="n">
        <f aca="false">'Clients &amp; revenue'!AV54/FX_EUR</f>
        <v>38652.2779839971</v>
      </c>
      <c r="AW25" s="32" t="n">
        <f aca="false">'Clients &amp; revenue'!AW54/FX_EUR</f>
        <v>40552.696036785</v>
      </c>
      <c r="AX25" s="32" t="n">
        <f aca="false">'Clients &amp; revenue'!AX54/FX_EUR</f>
        <v>42448.1286756738</v>
      </c>
      <c r="AY25" s="32" t="n">
        <f aca="false">'Clients &amp; revenue'!AY54/FX_EUR</f>
        <v>44386.9053367186</v>
      </c>
      <c r="AZ25" s="32" t="n">
        <f aca="false">'Clients &amp; revenue'!AZ54/FX_EUR</f>
        <v>46301.5424381582</v>
      </c>
      <c r="BA25" s="32" t="n">
        <f aca="false">'Clients &amp; revenue'!BA54/FX_EUR</f>
        <v>48193.4009296015</v>
      </c>
      <c r="BB25" s="32" t="n">
        <f aca="false">'Clients &amp; revenue'!BB54/FX_EUR</f>
        <v>50340.3923570552</v>
      </c>
      <c r="BC25" s="32" t="n">
        <f aca="false">'Clients &amp; revenue'!BC54/FX_EUR</f>
        <v>52461.8756347117</v>
      </c>
      <c r="BD25" s="32" t="n">
        <f aca="false">'Clients &amp; revenue'!BD54/FX_EUR</f>
        <v>54626.8519789467</v>
      </c>
      <c r="BE25" s="32" t="n">
        <f aca="false">'Clients &amp; revenue'!BE54/FX_EUR</f>
        <v>56768.1150305426</v>
      </c>
      <c r="BF25" s="32" t="n">
        <f aca="false">'Clients &amp; revenue'!BF54/FX_EUR</f>
        <v>58948.0148667962</v>
      </c>
      <c r="BG25" s="32" t="n">
        <f aca="false">'Clients &amp; revenue'!BG54/FX_EUR</f>
        <v>61173.7689517777</v>
      </c>
      <c r="BH25" s="32" t="n">
        <f aca="false">'Clients &amp; revenue'!BH54/FX_EUR</f>
        <v>63378.3354734258</v>
      </c>
      <c r="BI25" s="32" t="n">
        <f aca="false">'Clients &amp; revenue'!BI54/FX_EUR</f>
        <v>65630.9829867639</v>
      </c>
      <c r="BJ25" s="32" t="n">
        <f aca="false">'Clients &amp; revenue'!BJ54/FX_EUR</f>
        <v>67925.4889868607</v>
      </c>
      <c r="BK25" s="32" t="n">
        <f aca="false">'Clients &amp; revenue'!BK54/FX_EUR</f>
        <v>70269.3334672249</v>
      </c>
      <c r="BL25" s="32" t="n">
        <f aca="false">'Clients &amp; revenue'!BL54/FX_EUR</f>
        <v>72581.2987950387</v>
      </c>
    </row>
    <row r="26" customFormat="false" ht="15" hidden="false" customHeight="false" outlineLevel="0" collapsed="false">
      <c r="A26" s="12" t="s">
        <v>1029</v>
      </c>
      <c r="B26" s="14" t="s">
        <v>79</v>
      </c>
      <c r="D26" s="55" t="n">
        <f aca="false">'Clients &amp; revenue'!D55/FX_EUR</f>
        <v>1594872.70743509</v>
      </c>
      <c r="E26" s="32" t="n">
        <f aca="false">'Clients &amp; revenue'!E55/FX_EUR</f>
        <v>0</v>
      </c>
      <c r="F26" s="32" t="n">
        <f aca="false">'Clients &amp; revenue'!F55/FX_EUR</f>
        <v>0</v>
      </c>
      <c r="G26" s="32" t="n">
        <f aca="false">'Clients &amp; revenue'!G55/FX_EUR</f>
        <v>0</v>
      </c>
      <c r="H26" s="32" t="n">
        <f aca="false">'Clients &amp; revenue'!H55/FX_EUR</f>
        <v>0</v>
      </c>
      <c r="I26" s="32" t="n">
        <f aca="false">'Clients &amp; revenue'!I55/FX_EUR</f>
        <v>0</v>
      </c>
      <c r="J26" s="32" t="n">
        <f aca="false">'Clients &amp; revenue'!J55/FX_EUR</f>
        <v>413.860378805318</v>
      </c>
      <c r="K26" s="32" t="n">
        <f aca="false">'Clients &amp; revenue'!K55/FX_EUR</f>
        <v>826.563398734597</v>
      </c>
      <c r="L26" s="32" t="n">
        <f aca="false">'Clients &amp; revenue'!L55/FX_EUR</f>
        <v>1238.36448052533</v>
      </c>
      <c r="M26" s="32" t="n">
        <f aca="false">'Clients &amp; revenue'!M55/FX_EUR</f>
        <v>1649.53030938088</v>
      </c>
      <c r="N26" s="32" t="n">
        <f aca="false">'Clients &amp; revenue'!N55/FX_EUR</f>
        <v>2060.33956159817</v>
      </c>
      <c r="O26" s="32" t="n">
        <f aca="false">'Clients &amp; revenue'!O55/FX_EUR</f>
        <v>2471.08367415853</v>
      </c>
      <c r="P26" s="32" t="n">
        <f aca="false">'Clients &amp; revenue'!P55/FX_EUR</f>
        <v>2882.06765986741</v>
      </c>
      <c r="Q26" s="32" t="n">
        <f aca="false">'Clients &amp; revenue'!Q55/FX_EUR</f>
        <v>3293.61097078379</v>
      </c>
      <c r="R26" s="32" t="n">
        <f aca="false">'Clients &amp; revenue'!R55/FX_EUR</f>
        <v>3852.1824010478</v>
      </c>
      <c r="S26" s="32" t="n">
        <f aca="false">'Clients &amp; revenue'!S55/FX_EUR</f>
        <v>4410.17241631594</v>
      </c>
      <c r="T26" s="32" t="n">
        <f aca="false">'Clients &amp; revenue'!T55/FX_EUR</f>
        <v>4967.9723279486</v>
      </c>
      <c r="U26" s="32" t="n">
        <f aca="false">'Clients &amp; revenue'!U55/FX_EUR</f>
        <v>5525.99159853455</v>
      </c>
      <c r="V26" s="32" t="n">
        <f aca="false">'Clients &amp; revenue'!V55/FX_EUR</f>
        <v>6084.65899755779</v>
      </c>
      <c r="W26" s="32" t="n">
        <f aca="false">'Clients &amp; revenue'!W55/FX_EUR</f>
        <v>6644.42382557203</v>
      </c>
      <c r="X26" s="32" t="n">
        <f aca="false">'Clients &amp; revenue'!X55/FX_EUR</f>
        <v>7522.56677321577</v>
      </c>
      <c r="Y26" s="32" t="n">
        <f aca="false">'Clients &amp; revenue'!Y55/FX_EUR</f>
        <v>8401.82441074182</v>
      </c>
      <c r="Z26" s="32" t="n">
        <f aca="false">'Clients &amp; revenue'!Z55/FX_EUR</f>
        <v>9349.83989078075</v>
      </c>
      <c r="AA26" s="32" t="n">
        <f aca="false">'Clients &amp; revenue'!AA55/FX_EUR</f>
        <v>10299.5911605706</v>
      </c>
      <c r="AB26" s="32" t="n">
        <f aca="false">'Clients &amp; revenue'!AB55/FX_EUR</f>
        <v>11251.8716817346</v>
      </c>
      <c r="AC26" s="32" t="n">
        <f aca="false">'Clients &amp; revenue'!AC55/FX_EUR</f>
        <v>12207.5139071653</v>
      </c>
      <c r="AD26" s="32" t="n">
        <f aca="false">'Clients &amp; revenue'!AD55/FX_EUR</f>
        <v>13460.7752312407</v>
      </c>
      <c r="AE26" s="32" t="n">
        <f aca="false">'Clients &amp; revenue'!AE55/FX_EUR</f>
        <v>14715.5227795991</v>
      </c>
      <c r="AF26" s="32" t="n">
        <f aca="false">'Clients &amp; revenue'!AF55/FX_EUR</f>
        <v>16039.6986915373</v>
      </c>
      <c r="AG26" s="32" t="n">
        <f aca="false">'Clients &amp; revenue'!AG55/FX_EUR</f>
        <v>17366.5943814772</v>
      </c>
      <c r="AH26" s="32" t="n">
        <f aca="false">'Clients &amp; revenue'!AH55/FX_EUR</f>
        <v>18697.3321708078</v>
      </c>
      <c r="AI26" s="32" t="n">
        <f aca="false">'Clients &amp; revenue'!AI55/FX_EUR</f>
        <v>20033.0897310177</v>
      </c>
      <c r="AJ26" s="32" t="n">
        <f aca="false">'Clients &amp; revenue'!AJ55/FX_EUR</f>
        <v>21442.0351522159</v>
      </c>
      <c r="AK26" s="32" t="n">
        <f aca="false">'Clients &amp; revenue'!AK55/FX_EUR</f>
        <v>22857.6991824603</v>
      </c>
      <c r="AL26" s="32" t="n">
        <f aca="false">'Clients &amp; revenue'!AL55/FX_EUR</f>
        <v>24281.4576647463</v>
      </c>
      <c r="AM26" s="32" t="n">
        <f aca="false">'Clients &amp; revenue'!AM55/FX_EUR</f>
        <v>25714.7568335686</v>
      </c>
      <c r="AN26" s="32" t="n">
        <f aca="false">'Clients &amp; revenue'!AN55/FX_EUR</f>
        <v>27226.0492880499</v>
      </c>
      <c r="AO26" s="32" t="n">
        <f aca="false">'Clients &amp; revenue'!AO55/FX_EUR</f>
        <v>28749.1671901261</v>
      </c>
      <c r="AP26" s="32" t="n">
        <f aca="false">'Clients &amp; revenue'!AP55/FX_EUR</f>
        <v>30492.1781439877</v>
      </c>
      <c r="AQ26" s="32" t="n">
        <f aca="false">'Clients &amp; revenue'!AQ55/FX_EUR</f>
        <v>32314.8462340173</v>
      </c>
      <c r="AR26" s="32" t="n">
        <f aca="false">'Clients &amp; revenue'!AR55/FX_EUR</f>
        <v>34151.3149388888</v>
      </c>
      <c r="AS26" s="32" t="n">
        <f aca="false">'Clients &amp; revenue'!AS55/FX_EUR</f>
        <v>36003.6067888748</v>
      </c>
      <c r="AT26" s="32" t="n">
        <f aca="false">'Clients &amp; revenue'!AT55/FX_EUR</f>
        <v>37940.7823325471</v>
      </c>
      <c r="AU26" s="32" t="n">
        <f aca="false">'Clients &amp; revenue'!AU55/FX_EUR</f>
        <v>39897.3152707341</v>
      </c>
      <c r="AV26" s="32" t="n">
        <f aca="false">'Clients &amp; revenue'!AV55/FX_EUR</f>
        <v>41875.5779613328</v>
      </c>
      <c r="AW26" s="32" t="n">
        <f aca="false">'Clients &amp; revenue'!AW55/FX_EUR</f>
        <v>44005.2400028223</v>
      </c>
      <c r="AX26" s="32" t="n">
        <f aca="false">'Clients &amp; revenue'!AX55/FX_EUR</f>
        <v>46141.0527657107</v>
      </c>
      <c r="AY26" s="32" t="n">
        <f aca="false">'Clients &amp; revenue'!AY55/FX_EUR</f>
        <v>48330.8018528648</v>
      </c>
      <c r="AZ26" s="32" t="n">
        <f aca="false">'Clients &amp; revenue'!AZ55/FX_EUR</f>
        <v>50507.7036057501</v>
      </c>
      <c r="BA26" s="32" t="n">
        <f aca="false">'Clients &amp; revenue'!BA55/FX_EUR</f>
        <v>52672.7900878042</v>
      </c>
      <c r="BB26" s="32" t="n">
        <f aca="false">'Clients &amp; revenue'!BB55/FX_EUR</f>
        <v>55101.552300344</v>
      </c>
      <c r="BC26" s="32" t="n">
        <f aca="false">'Clients &amp; revenue'!BC55/FX_EUR</f>
        <v>57517.2539320403</v>
      </c>
      <c r="BD26" s="32" t="n">
        <f aca="false">'Clients &amp; revenue'!BD55/FX_EUR</f>
        <v>59988.0277746128</v>
      </c>
      <c r="BE26" s="32" t="n">
        <f aca="false">'Clients &amp; revenue'!BE55/FX_EUR</f>
        <v>62447.3540407926</v>
      </c>
      <c r="BF26" s="32" t="n">
        <f aca="false">'Clients &amp; revenue'!BF55/FX_EUR</f>
        <v>64956.7804889683</v>
      </c>
      <c r="BG26" s="32" t="n">
        <f aca="false">'Clients &amp; revenue'!BG55/FX_EUR</f>
        <v>67523.6102259762</v>
      </c>
      <c r="BH26" s="32" t="n">
        <f aca="false">'Clients &amp; revenue'!BH55/FX_EUR</f>
        <v>70081.5044843626</v>
      </c>
      <c r="BI26" s="32" t="n">
        <f aca="false">'Clients &amp; revenue'!BI55/FX_EUR</f>
        <v>72698.895548846</v>
      </c>
      <c r="BJ26" s="32" t="n">
        <f aca="false">'Clients &amp; revenue'!BJ55/FX_EUR</f>
        <v>75369.818882786</v>
      </c>
      <c r="BK26" s="32" t="n">
        <f aca="false">'Clients &amp; revenue'!BK55/FX_EUR</f>
        <v>78101.8591657718</v>
      </c>
      <c r="BL26" s="32" t="n">
        <f aca="false">'Clients &amp; revenue'!BL55/FX_EUR</f>
        <v>80814.6324833673</v>
      </c>
    </row>
    <row r="27" customFormat="false" ht="15" hidden="false" customHeight="false" outlineLevel="0" collapsed="false">
      <c r="A27" s="12" t="s">
        <v>1030</v>
      </c>
      <c r="B27" s="14" t="s">
        <v>79</v>
      </c>
      <c r="D27" s="55" t="n">
        <f aca="false">'Clients &amp; revenue'!D56/FX_EUR</f>
        <v>2028381.09518586</v>
      </c>
      <c r="E27" s="32" t="n">
        <f aca="false">'Clients &amp; revenue'!E56/FX_EUR</f>
        <v>0</v>
      </c>
      <c r="F27" s="32" t="n">
        <f aca="false">'Clients &amp; revenue'!F56/FX_EUR</f>
        <v>0</v>
      </c>
      <c r="G27" s="32" t="n">
        <f aca="false">'Clients &amp; revenue'!G56/FX_EUR</f>
        <v>0</v>
      </c>
      <c r="H27" s="32" t="n">
        <f aca="false">'Clients &amp; revenue'!H56/FX_EUR</f>
        <v>0</v>
      </c>
      <c r="I27" s="32" t="n">
        <f aca="false">'Clients &amp; revenue'!I56/FX_EUR</f>
        <v>0</v>
      </c>
      <c r="J27" s="32" t="n">
        <f aca="false">'Clients &amp; revenue'!J56/FX_EUR</f>
        <v>494.169799493971</v>
      </c>
      <c r="K27" s="32" t="n">
        <f aca="false">'Clients &amp; revenue'!K56/FX_EUR</f>
        <v>989.428504139118</v>
      </c>
      <c r="L27" s="32" t="n">
        <f aca="false">'Clients &amp; revenue'!L56/FX_EUR</f>
        <v>1486.05565786565</v>
      </c>
      <c r="M27" s="32" t="n">
        <f aca="false">'Clients &amp; revenue'!M56/FX_EUR</f>
        <v>1984.34597066743</v>
      </c>
      <c r="N27" s="32" t="n">
        <f aca="false">'Clients &amp; revenue'!N56/FX_EUR</f>
        <v>2484.61024061509</v>
      </c>
      <c r="O27" s="32" t="n">
        <f aca="false">'Clients &amp; revenue'!O56/FX_EUR</f>
        <v>2987.17633109954</v>
      </c>
      <c r="P27" s="32" t="n">
        <f aca="false">'Clients &amp; revenue'!P56/FX_EUR</f>
        <v>3492.39020662044</v>
      </c>
      <c r="Q27" s="32" t="n">
        <f aca="false">'Clients &amp; revenue'!Q56/FX_EUR</f>
        <v>4000.61703063293</v>
      </c>
      <c r="R27" s="32" t="n">
        <f aca="false">'Clients &amp; revenue'!R56/FX_EUR</f>
        <v>4686.73355217871</v>
      </c>
      <c r="S27" s="32" t="n">
        <f aca="false">'Clients &amp; revenue'!S56/FX_EUR</f>
        <v>5375.34698606706</v>
      </c>
      <c r="T27" s="32" t="n">
        <f aca="false">'Clients &amp; revenue'!T56/FX_EUR</f>
        <v>6066.89717263065</v>
      </c>
      <c r="U27" s="32" t="n">
        <f aca="false">'Clients &amp; revenue'!U56/FX_EUR</f>
        <v>6761.84816743019</v>
      </c>
      <c r="V27" s="32" t="n">
        <f aca="false">'Clients &amp; revenue'!V56/FX_EUR</f>
        <v>7460.68971048202</v>
      </c>
      <c r="W27" s="32" t="n">
        <f aca="false">'Clients &amp; revenue'!W56/FX_EUR</f>
        <v>8163.93878351703</v>
      </c>
      <c r="X27" s="32" t="n">
        <f aca="false">'Clients &amp; revenue'!X56/FX_EUR</f>
        <v>9250.42757606934</v>
      </c>
      <c r="Y27" s="32" t="n">
        <f aca="false">'Clients &amp; revenue'!Y56/FX_EUR</f>
        <v>10343.2055250354</v>
      </c>
      <c r="Z27" s="32" t="n">
        <f aca="false">'Clients &amp; revenue'!Z56/FX_EUR</f>
        <v>11523.0113752067</v>
      </c>
      <c r="AA27" s="32" t="n">
        <f aca="false">'Clients &amp; revenue'!AA56/FX_EUR</f>
        <v>12710.1910187032</v>
      </c>
      <c r="AB27" s="32" t="n">
        <f aca="false">'Clients &amp; revenue'!AB56/FX_EUR</f>
        <v>13905.6624923068</v>
      </c>
      <c r="AC27" s="32" t="n">
        <f aca="false">'Clients &amp; revenue'!AC56/FX_EUR</f>
        <v>15110.3953479379</v>
      </c>
      <c r="AD27" s="32" t="n">
        <f aca="false">'Clients &amp; revenue'!AD56/FX_EUR</f>
        <v>16675.7282103886</v>
      </c>
      <c r="AE27" s="32" t="n">
        <f aca="false">'Clients &amp; revenue'!AE56/FX_EUR</f>
        <v>18249.801403325</v>
      </c>
      <c r="AF27" s="32" t="n">
        <f aca="false">'Clients &amp; revenue'!AF56/FX_EUR</f>
        <v>19913.6978380088</v>
      </c>
      <c r="AG27" s="32" t="n">
        <f aca="false">'Clients &amp; revenue'!AG56/FX_EUR</f>
        <v>21588.126744798</v>
      </c>
      <c r="AH27" s="32" t="n">
        <f aca="false">'Clients &amp; revenue'!AH56/FX_EUR</f>
        <v>23274.3898318739</v>
      </c>
      <c r="AI27" s="32" t="n">
        <f aca="false">'Clients &amp; revenue'!AI56/FX_EUR</f>
        <v>24973.8618867096</v>
      </c>
      <c r="AJ27" s="32" t="n">
        <f aca="false">'Clients &amp; revenue'!AJ56/FX_EUR</f>
        <v>26767.9148426246</v>
      </c>
      <c r="AK27" s="32" t="n">
        <f aca="false">'Clients &amp; revenue'!AK56/FX_EUR</f>
        <v>28577.5641365799</v>
      </c>
      <c r="AL27" s="32" t="n">
        <f aca="false">'Clients &amp; revenue'!AL56/FX_EUR</f>
        <v>30404.4359001528</v>
      </c>
      <c r="AM27" s="32" t="n">
        <f aca="false">'Clients &amp; revenue'!AM56/FX_EUR</f>
        <v>32250.2486551804</v>
      </c>
      <c r="AN27" s="32" t="n">
        <f aca="false">'Clients &amp; revenue'!AN56/FX_EUR</f>
        <v>34196.7385401308</v>
      </c>
      <c r="AO27" s="32" t="n">
        <f aca="false">'Clients &amp; revenue'!AO56/FX_EUR</f>
        <v>36165.3068972942</v>
      </c>
      <c r="AP27" s="32" t="n">
        <f aca="false">'Clients &amp; revenue'!AP56/FX_EUR</f>
        <v>38404.4076696228</v>
      </c>
      <c r="AQ27" s="32" t="n">
        <f aca="false">'Clients &amp; revenue'!AQ56/FX_EUR</f>
        <v>40747.8452719211</v>
      </c>
      <c r="AR27" s="32" t="n">
        <f aca="false">'Clients &amp; revenue'!AR56/FX_EUR</f>
        <v>43117.3901603395</v>
      </c>
      <c r="AS27" s="32" t="n">
        <f aca="false">'Clients &amp; revenue'!AS56/FX_EUR</f>
        <v>45515.4675143205</v>
      </c>
      <c r="AT27" s="32" t="n">
        <f aca="false">'Clients &amp; revenue'!AT56/FX_EUR</f>
        <v>48024.5612276289</v>
      </c>
      <c r="AU27" s="32" t="n">
        <f aca="false">'Clients &amp; revenue'!AU56/FX_EUR</f>
        <v>50566.8639711682</v>
      </c>
      <c r="AV27" s="32" t="n">
        <f aca="false">'Clients &amp; revenue'!AV56/FX_EUR</f>
        <v>53145.2483111966</v>
      </c>
      <c r="AW27" s="32" t="n">
        <f aca="false">'Clients &amp; revenue'!AW56/FX_EUR</f>
        <v>55914.5998915981</v>
      </c>
      <c r="AX27" s="32" t="n">
        <f aca="false">'Clients &amp; revenue'!AX56/FX_EUR</f>
        <v>58702.3121263268</v>
      </c>
      <c r="AY27" s="32" t="n">
        <f aca="false">'Clients &amp; revenue'!AY56/FX_EUR</f>
        <v>61565.39749145</v>
      </c>
      <c r="AZ27" s="32" t="n">
        <f aca="false">'Clients &amp; revenue'!AZ56/FX_EUR</f>
        <v>64424.3527240487</v>
      </c>
      <c r="BA27" s="32" t="n">
        <f aca="false">'Clients &amp; revenue'!BA56/FX_EUR</f>
        <v>67280.2493805796</v>
      </c>
      <c r="BB27" s="32" t="n">
        <f aca="false">'Clients &amp; revenue'!BB56/FX_EUR</f>
        <v>70461.8839565581</v>
      </c>
      <c r="BC27" s="32" t="n">
        <f aca="false">'Clients &amp; revenue'!BC56/FX_EUR</f>
        <v>73640.3120728922</v>
      </c>
      <c r="BD27" s="32" t="n">
        <f aca="false">'Clients &amp; revenue'!BD56/FX_EUR</f>
        <v>76896.7167701325</v>
      </c>
      <c r="BE27" s="32" t="n">
        <f aca="false">'Clients &amp; revenue'!BE56/FX_EUR</f>
        <v>80151.9072886588</v>
      </c>
      <c r="BF27" s="32" t="n">
        <f aca="false">'Clients &amp; revenue'!BF56/FX_EUR</f>
        <v>83479.212945913</v>
      </c>
      <c r="BG27" s="32" t="n">
        <f aca="false">'Clients &amp; revenue'!BG56/FX_EUR</f>
        <v>86887.5609260413</v>
      </c>
      <c r="BH27" s="32" t="n">
        <f aca="false">'Clients &amp; revenue'!BH56/FX_EUR</f>
        <v>90297.9884157699</v>
      </c>
      <c r="BI27" s="32" t="n">
        <f aca="false">'Clients &amp; revenue'!BI56/FX_EUR</f>
        <v>93792.0579900669</v>
      </c>
      <c r="BJ27" s="32" t="n">
        <f aca="false">'Clients &amp; revenue'!BJ56/FX_EUR</f>
        <v>97362.9084076829</v>
      </c>
      <c r="BK27" s="32" t="n">
        <f aca="false">'Clients &amp; revenue'!BK56/FX_EUR</f>
        <v>101019.81929783</v>
      </c>
      <c r="BL27" s="32" t="n">
        <f aca="false">'Clients &amp; revenue'!BL56/FX_EUR</f>
        <v>104667.075038343</v>
      </c>
    </row>
    <row r="28" customFormat="false" ht="15" hidden="false" customHeight="false" outlineLevel="0" collapsed="false">
      <c r="A28" s="8" t="s">
        <v>1031</v>
      </c>
      <c r="B28" s="14" t="s">
        <v>79</v>
      </c>
      <c r="D28" s="55" t="n">
        <f aca="false">'Clients &amp; revenue'!D57/FX_EUR</f>
        <v>5092052.64082483</v>
      </c>
      <c r="E28" s="16" t="n">
        <f aca="false">'Clients &amp; revenue'!E57/FX_EUR</f>
        <v>0</v>
      </c>
      <c r="F28" s="16" t="n">
        <f aca="false">'Clients &amp; revenue'!F57/FX_EUR</f>
        <v>0</v>
      </c>
      <c r="G28" s="16" t="n">
        <f aca="false">'Clients &amp; revenue'!G57/FX_EUR</f>
        <v>0</v>
      </c>
      <c r="H28" s="16" t="n">
        <f aca="false">'Clients &amp; revenue'!H57/FX_EUR</f>
        <v>0</v>
      </c>
      <c r="I28" s="16" t="n">
        <f aca="false">'Clients &amp; revenue'!I57/FX_EUR</f>
        <v>0</v>
      </c>
      <c r="J28" s="16" t="n">
        <f aca="false">'Clients &amp; revenue'!J57/FX_EUR</f>
        <v>1325.06603888161</v>
      </c>
      <c r="K28" s="16" t="n">
        <f aca="false">'Clients &amp; revenue'!K57/FX_EUR</f>
        <v>2645.76961598601</v>
      </c>
      <c r="L28" s="16" t="n">
        <f aca="false">'Clients &amp; revenue'!L57/FX_EUR</f>
        <v>3962.97437869149</v>
      </c>
      <c r="M28" s="16" t="n">
        <f aca="false">'Clients &amp; revenue'!M57/FX_EUR</f>
        <v>5277.57839940465</v>
      </c>
      <c r="N28" s="16" t="n">
        <f aca="false">'Clients &amp; revenue'!N57/FX_EUR</f>
        <v>6590.51653840037</v>
      </c>
      <c r="O28" s="16" t="n">
        <f aca="false">'Clients &amp; revenue'!O57/FX_EUR</f>
        <v>7902.76294301675</v>
      </c>
      <c r="P28" s="16" t="n">
        <f aca="false">'Clients &amp; revenue'!P57/FX_EUR</f>
        <v>9215.33369148876</v>
      </c>
      <c r="Q28" s="16" t="n">
        <f aca="false">'Clients &amp; revenue'!Q57/FX_EUR</f>
        <v>10529.2895901992</v>
      </c>
      <c r="R28" s="16" t="n">
        <f aca="false">'Clients &amp; revenue'!R57/FX_EUR</f>
        <v>12313.6195948192</v>
      </c>
      <c r="S28" s="16" t="n">
        <f aca="false">'Clients &amp; revenue'!S57/FX_EUR</f>
        <v>14095.5220953314</v>
      </c>
      <c r="T28" s="16" t="n">
        <f aca="false">'Clients &amp; revenue'!T57/FX_EUR</f>
        <v>15876.3020938341</v>
      </c>
      <c r="U28" s="16" t="n">
        <f aca="false">'Clients &amp; revenue'!U57/FX_EUR</f>
        <v>17657.3207012964</v>
      </c>
      <c r="V28" s="16" t="n">
        <f aca="false">'Clients &amp; revenue'!V57/FX_EUR</f>
        <v>19439.9988807698</v>
      </c>
      <c r="W28" s="16" t="n">
        <f aca="false">'Clients &amp; revenue'!W57/FX_EUR</f>
        <v>21225.8214083623</v>
      </c>
      <c r="X28" s="16" t="n">
        <f aca="false">'Clients &amp; revenue'!X57/FX_EUR</f>
        <v>24030.67733213</v>
      </c>
      <c r="Y28" s="16" t="n">
        <f aca="false">'Clients &amp; revenue'!Y57/FX_EUR</f>
        <v>26838.3168711379</v>
      </c>
      <c r="Z28" s="16" t="n">
        <f aca="false">'Clients &amp; revenue'!Z57/FX_EUR</f>
        <v>29865.3905352407</v>
      </c>
      <c r="AA28" s="16" t="n">
        <f aca="false">'Clients &amp; revenue'!AA57/FX_EUR</f>
        <v>32897.2789619806</v>
      </c>
      <c r="AB28" s="16" t="n">
        <f aca="false">'Clients &amp; revenue'!AB57/FX_EUR</f>
        <v>35936.6009597458</v>
      </c>
      <c r="AC28" s="16" t="n">
        <f aca="false">'Clients &amp; revenue'!AC57/FX_EUR</f>
        <v>38986.0969819471</v>
      </c>
      <c r="AD28" s="16" t="n">
        <f aca="false">'Clients &amp; revenue'!AD57/FX_EUR</f>
        <v>42987.9695550876</v>
      </c>
      <c r="AE28" s="16" t="n">
        <f aca="false">'Clients &amp; revenue'!AE57/FX_EUR</f>
        <v>46993.686710468</v>
      </c>
      <c r="AF28" s="16" t="n">
        <f aca="false">'Clients &amp; revenue'!AF57/FX_EUR</f>
        <v>51220.8833064646</v>
      </c>
      <c r="AG28" s="16" t="n">
        <f aca="false">'Clients &amp; revenue'!AG57/FX_EUR</f>
        <v>55455.9695151517</v>
      </c>
      <c r="AH28" s="16" t="n">
        <f aca="false">'Clients &amp; revenue'!AH57/FX_EUR</f>
        <v>59702.6418097021</v>
      </c>
      <c r="AI28" s="16" t="n">
        <f aca="false">'Clients &amp; revenue'!AI57/FX_EUR</f>
        <v>63964.7695552591</v>
      </c>
      <c r="AJ28" s="16" t="n">
        <f aca="false">'Clients &amp; revenue'!AJ57/FX_EUR</f>
        <v>68460.7026021029</v>
      </c>
      <c r="AK28" s="16" t="n">
        <f aca="false">'Clients &amp; revenue'!AK57/FX_EUR</f>
        <v>72977.6090127633</v>
      </c>
      <c r="AL28" s="16" t="n">
        <f aca="false">'Clients &amp; revenue'!AL57/FX_EUR</f>
        <v>77519.988620086</v>
      </c>
      <c r="AM28" s="16" t="n">
        <f aca="false">'Clients &amp; revenue'!AM57/FX_EUR</f>
        <v>82092.5623431068</v>
      </c>
      <c r="AN28" s="16" t="n">
        <f aca="false">'Clients &amp; revenue'!AN57/FX_EUR</f>
        <v>86914.5826688132</v>
      </c>
      <c r="AO28" s="16" t="n">
        <f aca="false">'Clients &amp; revenue'!AO57/FX_EUR</f>
        <v>91774.1744412605</v>
      </c>
      <c r="AP28" s="16" t="n">
        <f aca="false">'Clients &amp; revenue'!AP57/FX_EUR</f>
        <v>97337.5988816044</v>
      </c>
      <c r="AQ28" s="16" t="n">
        <f aca="false">'Clients &amp; revenue'!AQ57/FX_EUR</f>
        <v>103155.614175747</v>
      </c>
      <c r="AR28" s="16" t="n">
        <f aca="false">'Clients &amp; revenue'!AR57/FX_EUR</f>
        <v>109017.363847462</v>
      </c>
      <c r="AS28" s="16" t="n">
        <f aca="false">'Clients &amp; revenue'!AS57/FX_EUR</f>
        <v>114929.430957052</v>
      </c>
      <c r="AT28" s="16" t="n">
        <f aca="false">'Clients &amp; revenue'!AT57/FX_EUR</f>
        <v>121113.030455889</v>
      </c>
      <c r="AU28" s="16" t="n">
        <f aca="false">'Clients &amp; revenue'!AU57/FX_EUR</f>
        <v>127358.356184827</v>
      </c>
      <c r="AV28" s="16" t="n">
        <f aca="false">'Clients &amp; revenue'!AV57/FX_EUR</f>
        <v>133673.104256526</v>
      </c>
      <c r="AW28" s="16" t="n">
        <f aca="false">'Clients &amp; revenue'!AW57/FX_EUR</f>
        <v>140472.535931205</v>
      </c>
      <c r="AX28" s="16" t="n">
        <f aca="false">'Clients &amp; revenue'!AX57/FX_EUR</f>
        <v>147291.493567711</v>
      </c>
      <c r="AY28" s="16" t="n">
        <f aca="false">'Clients &amp; revenue'!AY57/FX_EUR</f>
        <v>154283.104681034</v>
      </c>
      <c r="AZ28" s="16" t="n">
        <f aca="false">'Clients &amp; revenue'!AZ57/FX_EUR</f>
        <v>161233.598767957</v>
      </c>
      <c r="BA28" s="16" t="n">
        <f aca="false">'Clients &amp; revenue'!BA57/FX_EUR</f>
        <v>168146.440397985</v>
      </c>
      <c r="BB28" s="16" t="n">
        <f aca="false">'Clients &amp; revenue'!BB57/FX_EUR</f>
        <v>175903.828613957</v>
      </c>
      <c r="BC28" s="16" t="n">
        <f aca="false">'Clients &amp; revenue'!BC57/FX_EUR</f>
        <v>183619.441639644</v>
      </c>
      <c r="BD28" s="16" t="n">
        <f aca="false">'Clients &amp; revenue'!BD57/FX_EUR</f>
        <v>191511.596523692</v>
      </c>
      <c r="BE28" s="16" t="n">
        <f aca="false">'Clients &amp; revenue'!BE57/FX_EUR</f>
        <v>199367.376359994</v>
      </c>
      <c r="BF28" s="16" t="n">
        <f aca="false">'Clients &amp; revenue'!BF57/FX_EUR</f>
        <v>207384.008301677</v>
      </c>
      <c r="BG28" s="16" t="n">
        <f aca="false">'Clients &amp; revenue'!BG57/FX_EUR</f>
        <v>215584.940103795</v>
      </c>
      <c r="BH28" s="16" t="n">
        <f aca="false">'Clients &amp; revenue'!BH57/FX_EUR</f>
        <v>223757.828373558</v>
      </c>
      <c r="BI28" s="16" t="n">
        <f aca="false">'Clients &amp; revenue'!BI57/FX_EUR</f>
        <v>232121.936525677</v>
      </c>
      <c r="BJ28" s="16" t="n">
        <f aca="false">'Clients &amp; revenue'!BJ57/FX_EUR</f>
        <v>240658.21627733</v>
      </c>
      <c r="BK28" s="16" t="n">
        <f aca="false">'Clients &amp; revenue'!BK57/FX_EUR</f>
        <v>249391.011930827</v>
      </c>
      <c r="BL28" s="16" t="n">
        <f aca="false">'Clients &amp; revenue'!BL57/FX_EUR</f>
        <v>258063.006316749</v>
      </c>
    </row>
    <row r="29" customFormat="false" ht="15" hidden="false" customHeight="false" outlineLevel="0" collapsed="false">
      <c r="A29" s="12" t="s">
        <v>771</v>
      </c>
      <c r="B29" s="14" t="s">
        <v>79</v>
      </c>
      <c r="D29" s="55" t="n">
        <f aca="false">'Clients &amp; revenue'!D58/FX_EUR</f>
        <v>6861806.96231312</v>
      </c>
      <c r="E29" s="32" t="n">
        <f aca="false">'Clients &amp; revenue'!E58/FX_EUR</f>
        <v>0</v>
      </c>
      <c r="F29" s="32" t="n">
        <f aca="false">'Clients &amp; revenue'!F58/FX_EUR</f>
        <v>0</v>
      </c>
      <c r="G29" s="32" t="n">
        <f aca="false">'Clients &amp; revenue'!G58/FX_EUR</f>
        <v>0</v>
      </c>
      <c r="H29" s="32" t="n">
        <f aca="false">'Clients &amp; revenue'!H58/FX_EUR</f>
        <v>0</v>
      </c>
      <c r="I29" s="32" t="n">
        <f aca="false">'Clients &amp; revenue'!I58/FX_EUR</f>
        <v>1677.90470005402</v>
      </c>
      <c r="J29" s="32" t="n">
        <f aca="false">'Clients &amp; revenue'!J58/FX_EUR</f>
        <v>3351.87126087025</v>
      </c>
      <c r="K29" s="32" t="n">
        <f aca="false">'Clients &amp; revenue'!K58/FX_EUR</f>
        <v>5022.9592783902</v>
      </c>
      <c r="L29" s="32" t="n">
        <f aca="false">'Clients &amp; revenue'!L58/FX_EUR</f>
        <v>6692.27357761335</v>
      </c>
      <c r="M29" s="32" t="n">
        <f aca="false">'Clients &amp; revenue'!M58/FX_EUR</f>
        <v>8360.96721651402</v>
      </c>
      <c r="N29" s="32" t="n">
        <f aca="false">'Clients &amp; revenue'!N58/FX_EUR</f>
        <v>10030.2446652151</v>
      </c>
      <c r="O29" s="32" t="n">
        <f aca="false">'Clients &amp; revenue'!O58/FX_EUR</f>
        <v>11701.3651710247</v>
      </c>
      <c r="P29" s="32" t="n">
        <f aca="false">'Clients &amp; revenue'!P58/FX_EUR</f>
        <v>13375.6463205753</v>
      </c>
      <c r="Q29" s="32" t="n">
        <f aca="false">'Clients &amp; revenue'!Q58/FX_EUR</f>
        <v>15646.9355083031</v>
      </c>
      <c r="R29" s="32" t="n">
        <f aca="false">'Clients &amp; revenue'!R58/FX_EUR</f>
        <v>17917.0712686745</v>
      </c>
      <c r="S29" s="32" t="n">
        <f aca="false">'Clients &amp; revenue'!S58/FX_EUR</f>
        <v>20187.6682142918</v>
      </c>
      <c r="T29" s="32" t="n">
        <f aca="false">'Clients &amp; revenue'!T58/FX_EUR</f>
        <v>22460.4142409273</v>
      </c>
      <c r="U29" s="32" t="n">
        <f aca="false">'Clients &amp; revenue'!U58/FX_EUR</f>
        <v>24737.0752945547</v>
      </c>
      <c r="V29" s="32" t="n">
        <f aca="false">'Clients &amp; revenue'!V58/FX_EUR</f>
        <v>27019.5004180929</v>
      </c>
      <c r="W29" s="32" t="n">
        <f aca="false">'Clients &amp; revenue'!W58/FX_EUR</f>
        <v>30594.0608813225</v>
      </c>
      <c r="X29" s="32" t="n">
        <f aca="false">'Clients &amp; revenue'!X58/FX_EUR</f>
        <v>34175.0874966234</v>
      </c>
      <c r="Y29" s="32" t="n">
        <f aca="false">'Clients &amp; revenue'!Y58/FX_EUR</f>
        <v>38036.8702051978</v>
      </c>
      <c r="Z29" s="32" t="n">
        <f aca="false">'Clients &amp; revenue'!Z58/FX_EUR</f>
        <v>41907.8507048403</v>
      </c>
      <c r="AA29" s="32" t="n">
        <f aca="false">'Clients &amp; revenue'!AA58/FX_EUR</f>
        <v>45791.2943446684</v>
      </c>
      <c r="AB29" s="32" t="n">
        <f aca="false">'Clients &amp; revenue'!AB58/FX_EUR</f>
        <v>49690.624541663</v>
      </c>
      <c r="AC29" s="32" t="n">
        <f aca="false">'Clients &amp; revenue'!AC58/FX_EUR</f>
        <v>54798.890905112</v>
      </c>
      <c r="AD29" s="32" t="n">
        <f aca="false">'Clients &amp; revenue'!AD58/FX_EUR</f>
        <v>59916.0721225069</v>
      </c>
      <c r="AE29" s="32" t="n">
        <f aca="false">'Clients &amp; revenue'!AE58/FX_EUR</f>
        <v>65317.6856465598</v>
      </c>
      <c r="AF29" s="32" t="n">
        <f aca="false">'Clients &amp; revenue'!AF58/FX_EUR</f>
        <v>70733.4594183865</v>
      </c>
      <c r="AG29" s="32" t="n">
        <f aca="false">'Clients &amp; revenue'!AG58/FX_EUR</f>
        <v>76168.0075173101</v>
      </c>
      <c r="AH29" s="32" t="n">
        <f aca="false">'Clients &amp; revenue'!AH58/FX_EUR</f>
        <v>81626.1685538735</v>
      </c>
      <c r="AI29" s="32" t="n">
        <f aca="false">'Clients &amp; revenue'!AI58/FX_EUR</f>
        <v>87384.379207363</v>
      </c>
      <c r="AJ29" s="32" t="n">
        <f aca="false">'Clients &amp; revenue'!AJ58/FX_EUR</f>
        <v>93173.3415725657</v>
      </c>
      <c r="AK29" s="32" t="n">
        <f aca="false">'Clients &amp; revenue'!AK58/FX_EUR</f>
        <v>98998.7021049696</v>
      </c>
      <c r="AL29" s="32" t="n">
        <f aca="false">'Clients &amp; revenue'!AL58/FX_EUR</f>
        <v>104866.393506946</v>
      </c>
      <c r="AM29" s="32" t="n">
        <f aca="false">'Clients &amp; revenue'!AM58/FX_EUR</f>
        <v>111054.011968084</v>
      </c>
      <c r="AN29" s="32" t="n">
        <f aca="false">'Clients &amp; revenue'!AN58/FX_EUR</f>
        <v>117293.488436977</v>
      </c>
      <c r="AO29" s="32" t="n">
        <f aca="false">'Clients &amp; revenue'!AO58/FX_EUR</f>
        <v>124428.462749933</v>
      </c>
      <c r="AP29" s="32" t="n">
        <f aca="false">'Clients &amp; revenue'!AP58/FX_EUR</f>
        <v>131890.833512406</v>
      </c>
      <c r="AQ29" s="32" t="n">
        <f aca="false">'Clients &amp; revenue'!AQ58/FX_EUR</f>
        <v>139413.810319044</v>
      </c>
      <c r="AR29" s="32" t="n">
        <f aca="false">'Clients &amp; revenue'!AR58/FX_EUR</f>
        <v>147005.685835369</v>
      </c>
      <c r="AS29" s="32" t="n">
        <f aca="false">'Clients &amp; revenue'!AS58/FX_EUR</f>
        <v>154946.545436281</v>
      </c>
      <c r="AT29" s="32" t="n">
        <f aca="false">'Clients &amp; revenue'!AT58/FX_EUR</f>
        <v>162970.946420998</v>
      </c>
      <c r="AU29" s="32" t="n">
        <f aca="false">'Clients &amp; revenue'!AU58/FX_EUR</f>
        <v>171088.60953538</v>
      </c>
      <c r="AV29" s="32" t="n">
        <f aca="false">'Clients &amp; revenue'!AV58/FX_EUR</f>
        <v>179825.356763091</v>
      </c>
      <c r="AW29" s="32" t="n">
        <f aca="false">'Clients &amp; revenue'!AW58/FX_EUR</f>
        <v>188592.650446705</v>
      </c>
      <c r="AX29" s="32" t="n">
        <f aca="false">'Clients &amp; revenue'!AX58/FX_EUR</f>
        <v>197584.309552842</v>
      </c>
      <c r="AY29" s="32" t="n">
        <f aca="false">'Clients &amp; revenue'!AY58/FX_EUR</f>
        <v>206529.742151706</v>
      </c>
      <c r="AZ29" s="32" t="n">
        <f aca="false">'Clients &amp; revenue'!AZ58/FX_EUR</f>
        <v>215433.179010306</v>
      </c>
      <c r="BA29" s="32" t="n">
        <f aca="false">'Clients &amp; revenue'!BA58/FX_EUR</f>
        <v>225411.581778468</v>
      </c>
      <c r="BB29" s="32" t="n">
        <f aca="false">'Clients &amp; revenue'!BB58/FX_EUR</f>
        <v>235343.528029394</v>
      </c>
      <c r="BC29" s="32" t="n">
        <f aca="false">'Clients &amp; revenue'!BC58/FX_EUR</f>
        <v>245505.300070517</v>
      </c>
      <c r="BD29" s="32" t="n">
        <f aca="false">'Clients &amp; revenue'!BD58/FX_EUR</f>
        <v>255627.381561632</v>
      </c>
      <c r="BE29" s="32" t="n">
        <f aca="false">'Clients &amp; revenue'!BE58/FX_EUR</f>
        <v>265959.356776938</v>
      </c>
      <c r="BF29" s="32" t="n">
        <f aca="false">'Clients &amp; revenue'!BF58/FX_EUR</f>
        <v>276530.995533534</v>
      </c>
      <c r="BG29" s="32" t="n">
        <f aca="false">'Clients &amp; revenue'!BG58/FX_EUR</f>
        <v>287073.516617157</v>
      </c>
      <c r="BH29" s="32" t="n">
        <f aca="false">'Clients &amp; revenue'!BH58/FX_EUR</f>
        <v>297864.417803963</v>
      </c>
      <c r="BI29" s="32" t="n">
        <f aca="false">'Clients &amp; revenue'!BI58/FX_EUR</f>
        <v>308879.692653978</v>
      </c>
      <c r="BJ29" s="32" t="n">
        <f aca="false">'Clients &amp; revenue'!BJ58/FX_EUR</f>
        <v>320150.256980077</v>
      </c>
      <c r="BK29" s="32" t="n">
        <f aca="false">'Clients &amp; revenue'!BK58/FX_EUR</f>
        <v>331350.391766088</v>
      </c>
      <c r="BL29" s="32" t="n">
        <f aca="false">'Clients &amp; revenue'!BL58/FX_EUR</f>
        <v>342692.124737243</v>
      </c>
    </row>
    <row r="30" customFormat="false" ht="15" hidden="false" customHeight="false" outlineLevel="0" collapsed="false">
      <c r="A30" s="12" t="s">
        <v>1032</v>
      </c>
      <c r="B30" s="14" t="s">
        <v>79</v>
      </c>
      <c r="D30" s="55" t="n">
        <f aca="false">'Clients &amp; revenue'!D59/FX_EUR</f>
        <v>0</v>
      </c>
      <c r="E30" s="32" t="n">
        <f aca="false">'Clients &amp; revenue'!E59/FX_EUR</f>
        <v>0</v>
      </c>
      <c r="F30" s="32" t="n">
        <f aca="false">'Clients &amp; revenue'!F59/FX_EUR</f>
        <v>0</v>
      </c>
      <c r="G30" s="32" t="n">
        <f aca="false">'Clients &amp; revenue'!G59/FX_EUR</f>
        <v>0</v>
      </c>
      <c r="H30" s="32" t="n">
        <f aca="false">'Clients &amp; revenue'!H59/FX_EUR</f>
        <v>0</v>
      </c>
      <c r="I30" s="32" t="n">
        <f aca="false">'Clients &amp; revenue'!I59/FX_EUR</f>
        <v>0</v>
      </c>
      <c r="J30" s="32" t="n">
        <f aca="false">'Clients &amp; revenue'!J59/FX_EUR</f>
        <v>0</v>
      </c>
      <c r="K30" s="32" t="n">
        <f aca="false">'Clients &amp; revenue'!K59/FX_EUR</f>
        <v>0</v>
      </c>
      <c r="L30" s="32" t="n">
        <f aca="false">'Clients &amp; revenue'!L59/FX_EUR</f>
        <v>0</v>
      </c>
      <c r="M30" s="32" t="n">
        <f aca="false">'Clients &amp; revenue'!M59/FX_EUR</f>
        <v>0</v>
      </c>
      <c r="N30" s="32" t="n">
        <f aca="false">'Clients &amp; revenue'!N59/FX_EUR</f>
        <v>0</v>
      </c>
      <c r="O30" s="32" t="n">
        <f aca="false">'Clients &amp; revenue'!O59/FX_EUR</f>
        <v>0</v>
      </c>
      <c r="P30" s="32" t="n">
        <f aca="false">'Clients &amp; revenue'!P59/FX_EUR</f>
        <v>0</v>
      </c>
      <c r="Q30" s="32" t="n">
        <f aca="false">'Clients &amp; revenue'!Q59/FX_EUR</f>
        <v>0</v>
      </c>
      <c r="R30" s="32" t="n">
        <f aca="false">'Clients &amp; revenue'!R59/FX_EUR</f>
        <v>0</v>
      </c>
      <c r="S30" s="32" t="n">
        <f aca="false">'Clients &amp; revenue'!S59/FX_EUR</f>
        <v>0</v>
      </c>
      <c r="T30" s="32" t="n">
        <f aca="false">'Clients &amp; revenue'!T59/FX_EUR</f>
        <v>0</v>
      </c>
      <c r="U30" s="32" t="n">
        <f aca="false">'Clients &amp; revenue'!U59/FX_EUR</f>
        <v>0</v>
      </c>
      <c r="V30" s="32" t="n">
        <f aca="false">'Clients &amp; revenue'!V59/FX_EUR</f>
        <v>0</v>
      </c>
      <c r="W30" s="32" t="n">
        <f aca="false">'Clients &amp; revenue'!W59/FX_EUR</f>
        <v>0</v>
      </c>
      <c r="X30" s="32" t="n">
        <f aca="false">'Clients &amp; revenue'!X59/FX_EUR</f>
        <v>0</v>
      </c>
      <c r="Y30" s="32" t="n">
        <f aca="false">'Clients &amp; revenue'!Y59/FX_EUR</f>
        <v>0</v>
      </c>
      <c r="Z30" s="32" t="n">
        <f aca="false">'Clients &amp; revenue'!Z59/FX_EUR</f>
        <v>0</v>
      </c>
      <c r="AA30" s="32" t="n">
        <f aca="false">'Clients &amp; revenue'!AA59/FX_EUR</f>
        <v>0</v>
      </c>
      <c r="AB30" s="32" t="n">
        <f aca="false">'Clients &amp; revenue'!AB59/FX_EUR</f>
        <v>0</v>
      </c>
      <c r="AC30" s="32" t="n">
        <f aca="false">'Clients &amp; revenue'!AC59/FX_EUR</f>
        <v>0</v>
      </c>
      <c r="AD30" s="32" t="n">
        <f aca="false">'Clients &amp; revenue'!AD59/FX_EUR</f>
        <v>0</v>
      </c>
      <c r="AE30" s="32" t="n">
        <f aca="false">'Clients &amp; revenue'!AE59/FX_EUR</f>
        <v>0</v>
      </c>
      <c r="AF30" s="32" t="n">
        <f aca="false">'Clients &amp; revenue'!AF59/FX_EUR</f>
        <v>0</v>
      </c>
      <c r="AG30" s="32" t="n">
        <f aca="false">'Clients &amp; revenue'!AG59/FX_EUR</f>
        <v>0</v>
      </c>
      <c r="AH30" s="32" t="n">
        <f aca="false">'Clients &amp; revenue'!AH59/FX_EUR</f>
        <v>0</v>
      </c>
      <c r="AI30" s="32" t="n">
        <f aca="false">'Clients &amp; revenue'!AI59/FX_EUR</f>
        <v>0</v>
      </c>
      <c r="AJ30" s="32" t="n">
        <f aca="false">'Clients &amp; revenue'!AJ59/FX_EUR</f>
        <v>0</v>
      </c>
      <c r="AK30" s="32" t="n">
        <f aca="false">'Clients &amp; revenue'!AK59/FX_EUR</f>
        <v>0</v>
      </c>
      <c r="AL30" s="32" t="n">
        <f aca="false">'Clients &amp; revenue'!AL59/FX_EUR</f>
        <v>0</v>
      </c>
      <c r="AM30" s="32" t="n">
        <f aca="false">'Clients &amp; revenue'!AM59/FX_EUR</f>
        <v>0</v>
      </c>
      <c r="AN30" s="32" t="n">
        <f aca="false">'Clients &amp; revenue'!AN59/FX_EUR</f>
        <v>0</v>
      </c>
      <c r="AO30" s="32" t="n">
        <f aca="false">'Clients &amp; revenue'!AO59/FX_EUR</f>
        <v>0</v>
      </c>
      <c r="AP30" s="32" t="n">
        <f aca="false">'Clients &amp; revenue'!AP59/FX_EUR</f>
        <v>0</v>
      </c>
      <c r="AQ30" s="32" t="n">
        <f aca="false">'Clients &amp; revenue'!AQ59/FX_EUR</f>
        <v>0</v>
      </c>
      <c r="AR30" s="32" t="n">
        <f aca="false">'Clients &amp; revenue'!AR59/FX_EUR</f>
        <v>0</v>
      </c>
      <c r="AS30" s="32" t="n">
        <f aca="false">'Clients &amp; revenue'!AS59/FX_EUR</f>
        <v>0</v>
      </c>
      <c r="AT30" s="32" t="n">
        <f aca="false">'Clients &amp; revenue'!AT59/FX_EUR</f>
        <v>0</v>
      </c>
      <c r="AU30" s="32" t="n">
        <f aca="false">'Clients &amp; revenue'!AU59/FX_EUR</f>
        <v>0</v>
      </c>
      <c r="AV30" s="32" t="n">
        <f aca="false">'Clients &amp; revenue'!AV59/FX_EUR</f>
        <v>0</v>
      </c>
      <c r="AW30" s="32" t="n">
        <f aca="false">'Clients &amp; revenue'!AW59/FX_EUR</f>
        <v>0</v>
      </c>
      <c r="AX30" s="32" t="n">
        <f aca="false">'Clients &amp; revenue'!AX59/FX_EUR</f>
        <v>0</v>
      </c>
      <c r="AY30" s="32" t="n">
        <f aca="false">'Clients &amp; revenue'!AY59/FX_EUR</f>
        <v>0</v>
      </c>
      <c r="AZ30" s="32" t="n">
        <f aca="false">'Clients &amp; revenue'!AZ59/FX_EUR</f>
        <v>0</v>
      </c>
      <c r="BA30" s="32" t="n">
        <f aca="false">'Clients &amp; revenue'!BA59/FX_EUR</f>
        <v>0</v>
      </c>
      <c r="BB30" s="32" t="n">
        <f aca="false">'Clients &amp; revenue'!BB59/FX_EUR</f>
        <v>0</v>
      </c>
      <c r="BC30" s="32" t="n">
        <f aca="false">'Clients &amp; revenue'!BC59/FX_EUR</f>
        <v>0</v>
      </c>
      <c r="BD30" s="32" t="n">
        <f aca="false">'Clients &amp; revenue'!BD59/FX_EUR</f>
        <v>0</v>
      </c>
      <c r="BE30" s="32" t="n">
        <f aca="false">'Clients &amp; revenue'!BE59/FX_EUR</f>
        <v>0</v>
      </c>
      <c r="BF30" s="32" t="n">
        <f aca="false">'Clients &amp; revenue'!BF59/FX_EUR</f>
        <v>0</v>
      </c>
      <c r="BG30" s="32" t="n">
        <f aca="false">'Clients &amp; revenue'!BG59/FX_EUR</f>
        <v>0</v>
      </c>
      <c r="BH30" s="32" t="n">
        <f aca="false">'Clients &amp; revenue'!BH59/FX_EUR</f>
        <v>0</v>
      </c>
      <c r="BI30" s="32" t="n">
        <f aca="false">'Clients &amp; revenue'!BI59/FX_EUR</f>
        <v>0</v>
      </c>
      <c r="BJ30" s="32" t="n">
        <f aca="false">'Clients &amp; revenue'!BJ59/FX_EUR</f>
        <v>0</v>
      </c>
      <c r="BK30" s="32" t="n">
        <f aca="false">'Clients &amp; revenue'!BK59/FX_EUR</f>
        <v>0</v>
      </c>
      <c r="BL30" s="32" t="n">
        <f aca="false">'Clients &amp; revenue'!BL59/FX_EUR</f>
        <v>0</v>
      </c>
    </row>
    <row r="31" customFormat="false" ht="15" hidden="false" customHeight="false" outlineLevel="0" collapsed="false">
      <c r="A31" s="12" t="s">
        <v>1033</v>
      </c>
      <c r="B31" s="14" t="s">
        <v>79</v>
      </c>
      <c r="D31" s="55" t="n">
        <f aca="false">'Clients &amp; revenue'!D60/FX_EUR</f>
        <v>0</v>
      </c>
      <c r="E31" s="32" t="n">
        <f aca="false">'Clients &amp; revenue'!E60/FX_EUR</f>
        <v>0</v>
      </c>
      <c r="F31" s="32" t="n">
        <f aca="false">'Clients &amp; revenue'!F60/FX_EUR</f>
        <v>0</v>
      </c>
      <c r="G31" s="32" t="n">
        <f aca="false">'Clients &amp; revenue'!G60/FX_EUR</f>
        <v>0</v>
      </c>
      <c r="H31" s="32" t="n">
        <f aca="false">'Clients &amp; revenue'!H60/FX_EUR</f>
        <v>0</v>
      </c>
      <c r="I31" s="32" t="n">
        <f aca="false">'Clients &amp; revenue'!I60/FX_EUR</f>
        <v>0</v>
      </c>
      <c r="J31" s="32" t="n">
        <f aca="false">'Clients &amp; revenue'!J60/FX_EUR</f>
        <v>0</v>
      </c>
      <c r="K31" s="32" t="n">
        <f aca="false">'Clients &amp; revenue'!K60/FX_EUR</f>
        <v>0</v>
      </c>
      <c r="L31" s="32" t="n">
        <f aca="false">'Clients &amp; revenue'!L60/FX_EUR</f>
        <v>0</v>
      </c>
      <c r="M31" s="32" t="n">
        <f aca="false">'Clients &amp; revenue'!M60/FX_EUR</f>
        <v>0</v>
      </c>
      <c r="N31" s="32" t="n">
        <f aca="false">'Clients &amp; revenue'!N60/FX_EUR</f>
        <v>0</v>
      </c>
      <c r="O31" s="32" t="n">
        <f aca="false">'Clients &amp; revenue'!O60/FX_EUR</f>
        <v>0</v>
      </c>
      <c r="P31" s="32" t="n">
        <f aca="false">'Clients &amp; revenue'!P60/FX_EUR</f>
        <v>0</v>
      </c>
      <c r="Q31" s="32" t="n">
        <f aca="false">'Clients &amp; revenue'!Q60/FX_EUR</f>
        <v>0</v>
      </c>
      <c r="R31" s="32" t="n">
        <f aca="false">'Clients &amp; revenue'!R60/FX_EUR</f>
        <v>0</v>
      </c>
      <c r="S31" s="32" t="n">
        <f aca="false">'Clients &amp; revenue'!S60/FX_EUR</f>
        <v>0</v>
      </c>
      <c r="T31" s="32" t="n">
        <f aca="false">'Clients &amp; revenue'!T60/FX_EUR</f>
        <v>0</v>
      </c>
      <c r="U31" s="32" t="n">
        <f aca="false">'Clients &amp; revenue'!U60/FX_EUR</f>
        <v>0</v>
      </c>
      <c r="V31" s="32" t="n">
        <f aca="false">'Clients &amp; revenue'!V60/FX_EUR</f>
        <v>0</v>
      </c>
      <c r="W31" s="32" t="n">
        <f aca="false">'Clients &amp; revenue'!W60/FX_EUR</f>
        <v>0</v>
      </c>
      <c r="X31" s="32" t="n">
        <f aca="false">'Clients &amp; revenue'!X60/FX_EUR</f>
        <v>0</v>
      </c>
      <c r="Y31" s="32" t="n">
        <f aca="false">'Clients &amp; revenue'!Y60/FX_EUR</f>
        <v>0</v>
      </c>
      <c r="Z31" s="32" t="n">
        <f aca="false">'Clients &amp; revenue'!Z60/FX_EUR</f>
        <v>0</v>
      </c>
      <c r="AA31" s="32" t="n">
        <f aca="false">'Clients &amp; revenue'!AA60/FX_EUR</f>
        <v>0</v>
      </c>
      <c r="AB31" s="32" t="n">
        <f aca="false">'Clients &amp; revenue'!AB60/FX_EUR</f>
        <v>0</v>
      </c>
      <c r="AC31" s="32" t="n">
        <f aca="false">'Clients &amp; revenue'!AC60/FX_EUR</f>
        <v>0</v>
      </c>
      <c r="AD31" s="32" t="n">
        <f aca="false">'Clients &amp; revenue'!AD60/FX_EUR</f>
        <v>0</v>
      </c>
      <c r="AE31" s="32" t="n">
        <f aca="false">'Clients &amp; revenue'!AE60/FX_EUR</f>
        <v>0</v>
      </c>
      <c r="AF31" s="32" t="n">
        <f aca="false">'Clients &amp; revenue'!AF60/FX_EUR</f>
        <v>0</v>
      </c>
      <c r="AG31" s="32" t="n">
        <f aca="false">'Clients &amp; revenue'!AG60/FX_EUR</f>
        <v>0</v>
      </c>
      <c r="AH31" s="32" t="n">
        <f aca="false">'Clients &amp; revenue'!AH60/FX_EUR</f>
        <v>0</v>
      </c>
      <c r="AI31" s="32" t="n">
        <f aca="false">'Clients &amp; revenue'!AI60/FX_EUR</f>
        <v>0</v>
      </c>
      <c r="AJ31" s="32" t="n">
        <f aca="false">'Clients &amp; revenue'!AJ60/FX_EUR</f>
        <v>0</v>
      </c>
      <c r="AK31" s="32" t="n">
        <f aca="false">'Clients &amp; revenue'!AK60/FX_EUR</f>
        <v>0</v>
      </c>
      <c r="AL31" s="32" t="n">
        <f aca="false">'Clients &amp; revenue'!AL60/FX_EUR</f>
        <v>0</v>
      </c>
      <c r="AM31" s="32" t="n">
        <f aca="false">'Clients &amp; revenue'!AM60/FX_EUR</f>
        <v>0</v>
      </c>
      <c r="AN31" s="32" t="n">
        <f aca="false">'Clients &amp; revenue'!AN60/FX_EUR</f>
        <v>0</v>
      </c>
      <c r="AO31" s="32" t="n">
        <f aca="false">'Clients &amp; revenue'!AO60/FX_EUR</f>
        <v>0</v>
      </c>
      <c r="AP31" s="32" t="n">
        <f aca="false">'Clients &amp; revenue'!AP60/FX_EUR</f>
        <v>0</v>
      </c>
      <c r="AQ31" s="32" t="n">
        <f aca="false">'Clients &amp; revenue'!AQ60/FX_EUR</f>
        <v>0</v>
      </c>
      <c r="AR31" s="32" t="n">
        <f aca="false">'Clients &amp; revenue'!AR60/FX_EUR</f>
        <v>0</v>
      </c>
      <c r="AS31" s="32" t="n">
        <f aca="false">'Clients &amp; revenue'!AS60/FX_EUR</f>
        <v>0</v>
      </c>
      <c r="AT31" s="32" t="n">
        <f aca="false">'Clients &amp; revenue'!AT60/FX_EUR</f>
        <v>0</v>
      </c>
      <c r="AU31" s="32" t="n">
        <f aca="false">'Clients &amp; revenue'!AU60/FX_EUR</f>
        <v>0</v>
      </c>
      <c r="AV31" s="32" t="n">
        <f aca="false">'Clients &amp; revenue'!AV60/FX_EUR</f>
        <v>0</v>
      </c>
      <c r="AW31" s="32" t="n">
        <f aca="false">'Clients &amp; revenue'!AW60/FX_EUR</f>
        <v>0</v>
      </c>
      <c r="AX31" s="32" t="n">
        <f aca="false">'Clients &amp; revenue'!AX60/FX_EUR</f>
        <v>0</v>
      </c>
      <c r="AY31" s="32" t="n">
        <f aca="false">'Clients &amp; revenue'!AY60/FX_EUR</f>
        <v>0</v>
      </c>
      <c r="AZ31" s="32" t="n">
        <f aca="false">'Clients &amp; revenue'!AZ60/FX_EUR</f>
        <v>0</v>
      </c>
      <c r="BA31" s="32" t="n">
        <f aca="false">'Clients &amp; revenue'!BA60/FX_EUR</f>
        <v>0</v>
      </c>
      <c r="BB31" s="32" t="n">
        <f aca="false">'Clients &amp; revenue'!BB60/FX_EUR</f>
        <v>0</v>
      </c>
      <c r="BC31" s="32" t="n">
        <f aca="false">'Clients &amp; revenue'!BC60/FX_EUR</f>
        <v>0</v>
      </c>
      <c r="BD31" s="32" t="n">
        <f aca="false">'Clients &amp; revenue'!BD60/FX_EUR</f>
        <v>0</v>
      </c>
      <c r="BE31" s="32" t="n">
        <f aca="false">'Clients &amp; revenue'!BE60/FX_EUR</f>
        <v>0</v>
      </c>
      <c r="BF31" s="32" t="n">
        <f aca="false">'Clients &amp; revenue'!BF60/FX_EUR</f>
        <v>0</v>
      </c>
      <c r="BG31" s="32" t="n">
        <f aca="false">'Clients &amp; revenue'!BG60/FX_EUR</f>
        <v>0</v>
      </c>
      <c r="BH31" s="32" t="n">
        <f aca="false">'Clients &amp; revenue'!BH60/FX_EUR</f>
        <v>0</v>
      </c>
      <c r="BI31" s="32" t="n">
        <f aca="false">'Clients &amp; revenue'!BI60/FX_EUR</f>
        <v>0</v>
      </c>
      <c r="BJ31" s="32" t="n">
        <f aca="false">'Clients &amp; revenue'!BJ60/FX_EUR</f>
        <v>0</v>
      </c>
      <c r="BK31" s="32" t="n">
        <f aca="false">'Clients &amp; revenue'!BK60/FX_EUR</f>
        <v>0</v>
      </c>
      <c r="BL31" s="32" t="n">
        <f aca="false">'Clients &amp; revenue'!BL60/FX_EUR</f>
        <v>0</v>
      </c>
    </row>
    <row r="32" customFormat="false" ht="15" hidden="false" customHeight="false" outlineLevel="0" collapsed="false">
      <c r="A32" s="12" t="s">
        <v>1034</v>
      </c>
      <c r="B32" s="14" t="s">
        <v>79</v>
      </c>
      <c r="D32" s="55" t="n">
        <f aca="false">'Clients &amp; revenue'!D61/FX_EUR</f>
        <v>0</v>
      </c>
      <c r="E32" s="32" t="n">
        <f aca="false">'Clients &amp; revenue'!E61/FX_EUR</f>
        <v>0</v>
      </c>
      <c r="F32" s="32" t="n">
        <f aca="false">'Clients &amp; revenue'!F61/FX_EUR</f>
        <v>0</v>
      </c>
      <c r="G32" s="32" t="n">
        <f aca="false">'Clients &amp; revenue'!G61/FX_EUR</f>
        <v>0</v>
      </c>
      <c r="H32" s="32" t="n">
        <f aca="false">'Clients &amp; revenue'!H61/FX_EUR</f>
        <v>0</v>
      </c>
      <c r="I32" s="32" t="n">
        <f aca="false">'Clients &amp; revenue'!I61/FX_EUR</f>
        <v>0</v>
      </c>
      <c r="J32" s="32" t="n">
        <f aca="false">'Clients &amp; revenue'!J61/FX_EUR</f>
        <v>0</v>
      </c>
      <c r="K32" s="32" t="n">
        <f aca="false">'Clients &amp; revenue'!K61/FX_EUR</f>
        <v>0</v>
      </c>
      <c r="L32" s="32" t="n">
        <f aca="false">'Clients &amp; revenue'!L61/FX_EUR</f>
        <v>0</v>
      </c>
      <c r="M32" s="32" t="n">
        <f aca="false">'Clients &amp; revenue'!M61/FX_EUR</f>
        <v>0</v>
      </c>
      <c r="N32" s="32" t="n">
        <f aca="false">'Clients &amp; revenue'!N61/FX_EUR</f>
        <v>0</v>
      </c>
      <c r="O32" s="32" t="n">
        <f aca="false">'Clients &amp; revenue'!O61/FX_EUR</f>
        <v>0</v>
      </c>
      <c r="P32" s="32" t="n">
        <f aca="false">'Clients &amp; revenue'!P61/FX_EUR</f>
        <v>0</v>
      </c>
      <c r="Q32" s="32" t="n">
        <f aca="false">'Clients &amp; revenue'!Q61/FX_EUR</f>
        <v>0</v>
      </c>
      <c r="R32" s="32" t="n">
        <f aca="false">'Clients &amp; revenue'!R61/FX_EUR</f>
        <v>0</v>
      </c>
      <c r="S32" s="32" t="n">
        <f aca="false">'Clients &amp; revenue'!S61/FX_EUR</f>
        <v>0</v>
      </c>
      <c r="T32" s="32" t="n">
        <f aca="false">'Clients &amp; revenue'!T61/FX_EUR</f>
        <v>0</v>
      </c>
      <c r="U32" s="32" t="n">
        <f aca="false">'Clients &amp; revenue'!U61/FX_EUR</f>
        <v>0</v>
      </c>
      <c r="V32" s="32" t="n">
        <f aca="false">'Clients &amp; revenue'!V61/FX_EUR</f>
        <v>0</v>
      </c>
      <c r="W32" s="32" t="n">
        <f aca="false">'Clients &amp; revenue'!W61/FX_EUR</f>
        <v>0</v>
      </c>
      <c r="X32" s="32" t="n">
        <f aca="false">'Clients &amp; revenue'!X61/FX_EUR</f>
        <v>0</v>
      </c>
      <c r="Y32" s="32" t="n">
        <f aca="false">'Clients &amp; revenue'!Y61/FX_EUR</f>
        <v>0</v>
      </c>
      <c r="Z32" s="32" t="n">
        <f aca="false">'Clients &amp; revenue'!Z61/FX_EUR</f>
        <v>0</v>
      </c>
      <c r="AA32" s="32" t="n">
        <f aca="false">'Clients &amp; revenue'!AA61/FX_EUR</f>
        <v>0</v>
      </c>
      <c r="AB32" s="32" t="n">
        <f aca="false">'Clients &amp; revenue'!AB61/FX_EUR</f>
        <v>0</v>
      </c>
      <c r="AC32" s="32" t="n">
        <f aca="false">'Clients &amp; revenue'!AC61/FX_EUR</f>
        <v>0</v>
      </c>
      <c r="AD32" s="32" t="n">
        <f aca="false">'Clients &amp; revenue'!AD61/FX_EUR</f>
        <v>0</v>
      </c>
      <c r="AE32" s="32" t="n">
        <f aca="false">'Clients &amp; revenue'!AE61/FX_EUR</f>
        <v>0</v>
      </c>
      <c r="AF32" s="32" t="n">
        <f aca="false">'Clients &amp; revenue'!AF61/FX_EUR</f>
        <v>0</v>
      </c>
      <c r="AG32" s="32" t="n">
        <f aca="false">'Clients &amp; revenue'!AG61/FX_EUR</f>
        <v>0</v>
      </c>
      <c r="AH32" s="32" t="n">
        <f aca="false">'Clients &amp; revenue'!AH61/FX_EUR</f>
        <v>0</v>
      </c>
      <c r="AI32" s="32" t="n">
        <f aca="false">'Clients &amp; revenue'!AI61/FX_EUR</f>
        <v>0</v>
      </c>
      <c r="AJ32" s="32" t="n">
        <f aca="false">'Clients &amp; revenue'!AJ61/FX_EUR</f>
        <v>0</v>
      </c>
      <c r="AK32" s="32" t="n">
        <f aca="false">'Clients &amp; revenue'!AK61/FX_EUR</f>
        <v>0</v>
      </c>
      <c r="AL32" s="32" t="n">
        <f aca="false">'Clients &amp; revenue'!AL61/FX_EUR</f>
        <v>0</v>
      </c>
      <c r="AM32" s="32" t="n">
        <f aca="false">'Clients &amp; revenue'!AM61/FX_EUR</f>
        <v>0</v>
      </c>
      <c r="AN32" s="32" t="n">
        <f aca="false">'Clients &amp; revenue'!AN61/FX_EUR</f>
        <v>0</v>
      </c>
      <c r="AO32" s="32" t="n">
        <f aca="false">'Clients &amp; revenue'!AO61/FX_EUR</f>
        <v>0</v>
      </c>
      <c r="AP32" s="32" t="n">
        <f aca="false">'Clients &amp; revenue'!AP61/FX_EUR</f>
        <v>0</v>
      </c>
      <c r="AQ32" s="32" t="n">
        <f aca="false">'Clients &amp; revenue'!AQ61/FX_EUR</f>
        <v>0</v>
      </c>
      <c r="AR32" s="32" t="n">
        <f aca="false">'Clients &amp; revenue'!AR61/FX_EUR</f>
        <v>0</v>
      </c>
      <c r="AS32" s="32" t="n">
        <f aca="false">'Clients &amp; revenue'!AS61/FX_EUR</f>
        <v>0</v>
      </c>
      <c r="AT32" s="32" t="n">
        <f aca="false">'Clients &amp; revenue'!AT61/FX_EUR</f>
        <v>0</v>
      </c>
      <c r="AU32" s="32" t="n">
        <f aca="false">'Clients &amp; revenue'!AU61/FX_EUR</f>
        <v>0</v>
      </c>
      <c r="AV32" s="32" t="n">
        <f aca="false">'Clients &amp; revenue'!AV61/FX_EUR</f>
        <v>0</v>
      </c>
      <c r="AW32" s="32" t="n">
        <f aca="false">'Clients &amp; revenue'!AW61/FX_EUR</f>
        <v>0</v>
      </c>
      <c r="AX32" s="32" t="n">
        <f aca="false">'Clients &amp; revenue'!AX61/FX_EUR</f>
        <v>0</v>
      </c>
      <c r="AY32" s="32" t="n">
        <f aca="false">'Clients &amp; revenue'!AY61/FX_EUR</f>
        <v>0</v>
      </c>
      <c r="AZ32" s="32" t="n">
        <f aca="false">'Clients &amp; revenue'!AZ61/FX_EUR</f>
        <v>0</v>
      </c>
      <c r="BA32" s="32" t="n">
        <f aca="false">'Clients &amp; revenue'!BA61/FX_EUR</f>
        <v>0</v>
      </c>
      <c r="BB32" s="32" t="n">
        <f aca="false">'Clients &amp; revenue'!BB61/FX_EUR</f>
        <v>0</v>
      </c>
      <c r="BC32" s="32" t="n">
        <f aca="false">'Clients &amp; revenue'!BC61/FX_EUR</f>
        <v>0</v>
      </c>
      <c r="BD32" s="32" t="n">
        <f aca="false">'Clients &amp; revenue'!BD61/FX_EUR</f>
        <v>0</v>
      </c>
      <c r="BE32" s="32" t="n">
        <f aca="false">'Clients &amp; revenue'!BE61/FX_EUR</f>
        <v>0</v>
      </c>
      <c r="BF32" s="32" t="n">
        <f aca="false">'Clients &amp; revenue'!BF61/FX_EUR</f>
        <v>0</v>
      </c>
      <c r="BG32" s="32" t="n">
        <f aca="false">'Clients &amp; revenue'!BG61/FX_EUR</f>
        <v>0</v>
      </c>
      <c r="BH32" s="32" t="n">
        <f aca="false">'Clients &amp; revenue'!BH61/FX_EUR</f>
        <v>0</v>
      </c>
      <c r="BI32" s="32" t="n">
        <f aca="false">'Clients &amp; revenue'!BI61/FX_EUR</f>
        <v>0</v>
      </c>
      <c r="BJ32" s="32" t="n">
        <f aca="false">'Clients &amp; revenue'!BJ61/FX_EUR</f>
        <v>0</v>
      </c>
      <c r="BK32" s="32" t="n">
        <f aca="false">'Clients &amp; revenue'!BK61/FX_EUR</f>
        <v>0</v>
      </c>
      <c r="BL32" s="32" t="n">
        <f aca="false">'Clients &amp; revenue'!BL61/FX_EUR</f>
        <v>0</v>
      </c>
    </row>
    <row r="33" customFormat="false" ht="15" hidden="false" customHeight="false" outlineLevel="0" collapsed="false">
      <c r="A33" s="12" t="s">
        <v>1035</v>
      </c>
      <c r="B33" s="14" t="s">
        <v>79</v>
      </c>
      <c r="D33" s="55" t="n">
        <f aca="false">'Clients &amp; revenue'!D62/FX_EUR</f>
        <v>207579.129986779</v>
      </c>
      <c r="E33" s="32" t="n">
        <f aca="false">'Clients &amp; revenue'!E62/FX_EUR</f>
        <v>0</v>
      </c>
      <c r="F33" s="32" t="n">
        <f aca="false">'Clients &amp; revenue'!F62/FX_EUR</f>
        <v>0</v>
      </c>
      <c r="G33" s="32" t="n">
        <f aca="false">'Clients &amp; revenue'!G62/FX_EUR</f>
        <v>0</v>
      </c>
      <c r="H33" s="32" t="n">
        <f aca="false">'Clients &amp; revenue'!H62/FX_EUR</f>
        <v>0</v>
      </c>
      <c r="I33" s="32" t="n">
        <f aca="false">'Clients &amp; revenue'!I62/FX_EUR</f>
        <v>50.9027268555713</v>
      </c>
      <c r="J33" s="32" t="n">
        <f aca="false">'Clients &amp; revenue'!J62/FX_EUR</f>
        <v>101.673284986668</v>
      </c>
      <c r="K33" s="32" t="n">
        <f aca="false">'Clients &amp; revenue'!K62/FX_EUR</f>
        <v>152.344130335525</v>
      </c>
      <c r="L33" s="32" t="n">
        <f aca="false">'Clients &amp; revenue'!L62/FX_EUR</f>
        <v>202.949076686877</v>
      </c>
      <c r="M33" s="32" t="n">
        <f aca="false">'Clients &amp; revenue'!M62/FX_EUR</f>
        <v>253.523386752826</v>
      </c>
      <c r="N33" s="32" t="n">
        <f aca="false">'Clients &amp; revenue'!N62/FX_EUR</f>
        <v>304.103868553571</v>
      </c>
      <c r="O33" s="32" t="n">
        <f aca="false">'Clients &amp; revenue'!O62/FX_EUR</f>
        <v>354.728977414893</v>
      </c>
      <c r="P33" s="32" t="n">
        <f aca="false">'Clients &amp; revenue'!P62/FX_EUR</f>
        <v>405.438923922447</v>
      </c>
      <c r="Q33" s="32" t="n">
        <f aca="false">'Clients &amp; revenue'!Q62/FX_EUR</f>
        <v>474.249527325596</v>
      </c>
      <c r="R33" s="32" t="n">
        <f aca="false">'Clients &amp; revenue'!R62/FX_EUR</f>
        <v>543.010042119975</v>
      </c>
      <c r="S33" s="32" t="n">
        <f aca="false">'Clients &amp; revenue'!S62/FX_EUR</f>
        <v>611.769798412761</v>
      </c>
      <c r="T33" s="32" t="n">
        <f aca="false">'Clients &amp; revenue'!T62/FX_EUR</f>
        <v>680.58033031571</v>
      </c>
      <c r="U33" s="32" t="n">
        <f aca="false">'Clients &amp; revenue'!U62/FX_EUR</f>
        <v>749.495520411998</v>
      </c>
      <c r="V33" s="32" t="n">
        <f aca="false">'Clients &amp; revenue'!V62/FX_EUR</f>
        <v>818.571752677054</v>
      </c>
      <c r="W33" s="32" t="n">
        <f aca="false">'Clients &amp; revenue'!W62/FX_EUR</f>
        <v>926.834043170467</v>
      </c>
      <c r="X33" s="32" t="n">
        <f aca="false">'Clients &amp; revenue'!X62/FX_EUR</f>
        <v>1035.26947470687</v>
      </c>
      <c r="Y33" s="32" t="n">
        <f aca="false">'Clients &amp; revenue'!Y62/FX_EUR</f>
        <v>1152.1996721085</v>
      </c>
      <c r="Z33" s="32" t="n">
        <f aca="false">'Clients &amp; revenue'!Z62/FX_EUR</f>
        <v>1269.38473418723</v>
      </c>
      <c r="AA33" s="32" t="n">
        <f aca="false">'Clients &amp; revenue'!AA62/FX_EUR</f>
        <v>1386.92419824728</v>
      </c>
      <c r="AB33" s="32" t="n">
        <f aca="false">'Clients &amp; revenue'!AB62/FX_EUR</f>
        <v>1504.92236278878</v>
      </c>
      <c r="AC33" s="32" t="n">
        <f aca="false">'Clients &amp; revenue'!AC62/FX_EUR</f>
        <v>1659.57327508189</v>
      </c>
      <c r="AD33" s="32" t="n">
        <f aca="false">'Clients &amp; revenue'!AD62/FX_EUR</f>
        <v>1814.46316559805</v>
      </c>
      <c r="AE33" s="32" t="n">
        <f aca="false">'Clients &amp; revenue'!AE62/FX_EUR</f>
        <v>1977.95107328594</v>
      </c>
      <c r="AF33" s="32" t="n">
        <f aca="false">'Clients &amp; revenue'!AF62/FX_EUR</f>
        <v>2141.83628005095</v>
      </c>
      <c r="AG33" s="32" t="n">
        <f aca="false">'Clients &amp; revenue'!AG62/FX_EUR</f>
        <v>2306.25938900361</v>
      </c>
      <c r="AH33" s="32" t="n">
        <f aca="false">'Clients &amp; revenue'!AH62/FX_EUR</f>
        <v>2471.36776760151</v>
      </c>
      <c r="AI33" s="32" t="n">
        <f aca="false">'Clients &amp; revenue'!AI62/FX_EUR</f>
        <v>2645.54822730921</v>
      </c>
      <c r="AJ33" s="32" t="n">
        <f aca="false">'Clients &amp; revenue'!AJ62/FX_EUR</f>
        <v>2820.62948439312</v>
      </c>
      <c r="AK33" s="32" t="n">
        <f aca="false">'Clients &amp; revenue'!AK62/FX_EUR</f>
        <v>2996.78333783209</v>
      </c>
      <c r="AL33" s="32" t="n">
        <f aca="false">'Clients &amp; revenue'!AL62/FX_EUR</f>
        <v>3174.19021810367</v>
      </c>
      <c r="AM33" s="32" t="n">
        <f aca="false">'Clients &amp; revenue'!AM62/FX_EUR</f>
        <v>3361.27197882909</v>
      </c>
      <c r="AN33" s="32" t="n">
        <f aca="false">'Clients &amp; revenue'!AN62/FX_EUR</f>
        <v>3549.89447627458</v>
      </c>
      <c r="AO33" s="32" t="n">
        <f aca="false">'Clients &amp; revenue'!AO62/FX_EUR</f>
        <v>3765.65163446302</v>
      </c>
      <c r="AP33" s="32" t="n">
        <f aca="false">'Clients &amp; revenue'!AP62/FX_EUR</f>
        <v>3991.30288219883</v>
      </c>
      <c r="AQ33" s="32" t="n">
        <f aca="false">'Clients &amp; revenue'!AQ62/FX_EUR</f>
        <v>4218.75297741768</v>
      </c>
      <c r="AR33" s="32" t="n">
        <f aca="false">'Clients &amp; revenue'!AR62/FX_EUR</f>
        <v>4448.25395080482</v>
      </c>
      <c r="AS33" s="32" t="n">
        <f aca="false">'Clients &amp; revenue'!AS62/FX_EUR</f>
        <v>4688.30315877602</v>
      </c>
      <c r="AT33" s="32" t="n">
        <f aca="false">'Clients &amp; revenue'!AT62/FX_EUR</f>
        <v>4930.84610336108</v>
      </c>
      <c r="AU33" s="32" t="n">
        <f aca="false">'Clients &amp; revenue'!AU62/FX_EUR</f>
        <v>5176.17799064321</v>
      </c>
      <c r="AV33" s="32" t="n">
        <f aca="false">'Clients &amp; revenue'!AV62/FX_EUR</f>
        <v>5440.25095197089</v>
      </c>
      <c r="AW33" s="32" t="n">
        <f aca="false">'Clients &amp; revenue'!AW62/FX_EUR</f>
        <v>5705.20672029567</v>
      </c>
      <c r="AX33" s="32" t="n">
        <f aca="false">'Clients &amp; revenue'!AX62/FX_EUR</f>
        <v>5976.92598144086</v>
      </c>
      <c r="AY33" s="32" t="n">
        <f aca="false">'Clients &amp; revenue'!AY62/FX_EUR</f>
        <v>6247.19906920346</v>
      </c>
      <c r="AZ33" s="32" t="n">
        <f aca="false">'Clients &amp; revenue'!AZ62/FX_EUR</f>
        <v>6516.15570007878</v>
      </c>
      <c r="BA33" s="32" t="n">
        <f aca="false">'Clients &amp; revenue'!BA62/FX_EUR</f>
        <v>6817.68253446572</v>
      </c>
      <c r="BB33" s="32" t="n">
        <f aca="false">'Clients &amp; revenue'!BB62/FX_EUR</f>
        <v>7117.75171954383</v>
      </c>
      <c r="BC33" s="32" t="n">
        <f aca="false">'Clients &amp; revenue'!BC62/FX_EUR</f>
        <v>7424.74632751983</v>
      </c>
      <c r="BD33" s="32" t="n">
        <f aca="false">'Clients &amp; revenue'!BD62/FX_EUR</f>
        <v>7730.48937284438</v>
      </c>
      <c r="BE33" s="32" t="n">
        <f aca="false">'Clients &amp; revenue'!BE62/FX_EUR</f>
        <v>8042.55392193943</v>
      </c>
      <c r="BF33" s="32" t="n">
        <f aca="false">'Clients &amp; revenue'!BF62/FX_EUR</f>
        <v>8361.8425949132</v>
      </c>
      <c r="BG33" s="32" t="n">
        <f aca="false">'Clients &amp; revenue'!BG62/FX_EUR</f>
        <v>8680.2006336767</v>
      </c>
      <c r="BH33" s="32" t="n">
        <f aca="false">'Clients &amp; revenue'!BH62/FX_EUR</f>
        <v>9006.04784067437</v>
      </c>
      <c r="BI33" s="32" t="n">
        <f aca="false">'Clients &amp; revenue'!BI62/FX_EUR</f>
        <v>9338.65513384988</v>
      </c>
      <c r="BJ33" s="32" t="n">
        <f aca="false">'Clients &amp; revenue'!BJ62/FX_EUR</f>
        <v>9678.9598130401</v>
      </c>
      <c r="BK33" s="32" t="n">
        <f aca="false">'Clients &amp; revenue'!BK62/FX_EUR</f>
        <v>10017.0797003773</v>
      </c>
      <c r="BL33" s="32" t="n">
        <f aca="false">'Clients &amp; revenue'!BL62/FX_EUR</f>
        <v>10359.4487679359</v>
      </c>
    </row>
    <row r="34" customFormat="false" ht="15" hidden="false" customHeight="false" outlineLevel="0" collapsed="false">
      <c r="A34" s="12" t="s">
        <v>1036</v>
      </c>
      <c r="B34" s="14" t="s">
        <v>79</v>
      </c>
      <c r="D34" s="55" t="n">
        <f aca="false">'Clients &amp; revenue'!D63/FX_EUR</f>
        <v>1458626.35979948</v>
      </c>
      <c r="E34" s="32" t="n">
        <f aca="false">'Clients &amp; revenue'!E63/FX_EUR</f>
        <v>0</v>
      </c>
      <c r="F34" s="32" t="n">
        <f aca="false">'Clients &amp; revenue'!F63/FX_EUR</f>
        <v>0</v>
      </c>
      <c r="G34" s="32" t="n">
        <f aca="false">'Clients &amp; revenue'!G63/FX_EUR</f>
        <v>0</v>
      </c>
      <c r="H34" s="32" t="n">
        <f aca="false">'Clients &amp; revenue'!H63/FX_EUR</f>
        <v>0</v>
      </c>
      <c r="I34" s="32" t="n">
        <f aca="false">'Clients &amp; revenue'!I63/FX_EUR</f>
        <v>0</v>
      </c>
      <c r="J34" s="32" t="n">
        <f aca="false">'Clients &amp; revenue'!J63/FX_EUR</f>
        <v>0</v>
      </c>
      <c r="K34" s="32" t="n">
        <f aca="false">'Clients &amp; revenue'!K63/FX_EUR</f>
        <v>0</v>
      </c>
      <c r="L34" s="32" t="n">
        <f aca="false">'Clients &amp; revenue'!L63/FX_EUR</f>
        <v>0</v>
      </c>
      <c r="M34" s="32" t="n">
        <f aca="false">'Clients &amp; revenue'!M63/FX_EUR</f>
        <v>0</v>
      </c>
      <c r="N34" s="32" t="n">
        <f aca="false">'Clients &amp; revenue'!N63/FX_EUR</f>
        <v>0</v>
      </c>
      <c r="O34" s="32" t="n">
        <f aca="false">'Clients &amp; revenue'!O63/FX_EUR</f>
        <v>0</v>
      </c>
      <c r="P34" s="32" t="n">
        <f aca="false">'Clients &amp; revenue'!P63/FX_EUR</f>
        <v>0</v>
      </c>
      <c r="Q34" s="32" t="n">
        <f aca="false">'Clients &amp; revenue'!Q63/FX_EUR</f>
        <v>0</v>
      </c>
      <c r="R34" s="32" t="n">
        <f aca="false">'Clients &amp; revenue'!R63/FX_EUR</f>
        <v>0</v>
      </c>
      <c r="S34" s="32" t="n">
        <f aca="false">'Clients &amp; revenue'!S63/FX_EUR</f>
        <v>0</v>
      </c>
      <c r="T34" s="32" t="n">
        <f aca="false">'Clients &amp; revenue'!T63/FX_EUR</f>
        <v>0</v>
      </c>
      <c r="U34" s="32" t="n">
        <f aca="false">'Clients &amp; revenue'!U63/FX_EUR</f>
        <v>0</v>
      </c>
      <c r="V34" s="32" t="n">
        <f aca="false">'Clients &amp; revenue'!V63/FX_EUR</f>
        <v>506.18628586677</v>
      </c>
      <c r="W34" s="32" t="n">
        <f aca="false">'Clients &amp; revenue'!W63/FX_EUR</f>
        <v>1146.33128998482</v>
      </c>
      <c r="X34" s="32" t="n">
        <f aca="false">'Clients &amp; revenue'!X63/FX_EUR</f>
        <v>1920.82430970446</v>
      </c>
      <c r="Y34" s="32" t="n">
        <f aca="false">'Clients &amp; revenue'!Y63/FX_EUR</f>
        <v>2850.59225991948</v>
      </c>
      <c r="Z34" s="32" t="n">
        <f aca="false">'Clients &amp; revenue'!Z63/FX_EUR</f>
        <v>3926.01429579283</v>
      </c>
      <c r="AA34" s="32" t="n">
        <f aca="false">'Clients &amp; revenue'!AA63/FX_EUR</f>
        <v>5148.00133177951</v>
      </c>
      <c r="AB34" s="32" t="n">
        <f aca="false">'Clients &amp; revenue'!AB63/FX_EUR</f>
        <v>6517.72933444501</v>
      </c>
      <c r="AC34" s="32" t="n">
        <f aca="false">'Clients &amp; revenue'!AC63/FX_EUR</f>
        <v>8214.78035660167</v>
      </c>
      <c r="AD34" s="32" t="n">
        <f aca="false">'Clients &amp; revenue'!AD63/FX_EUR</f>
        <v>10104.9302387999</v>
      </c>
      <c r="AE34" s="32" t="n">
        <f aca="false">'Clients &amp; revenue'!AE63/FX_EUR</f>
        <v>12240.2899514609</v>
      </c>
      <c r="AF34" s="32" t="n">
        <f aca="false">'Clients &amp; revenue'!AF63/FX_EUR</f>
        <v>14581.2241998533</v>
      </c>
      <c r="AG34" s="32" t="n">
        <f aca="false">'Clients &amp; revenue'!AG63/FX_EUR</f>
        <v>17129.6021981961</v>
      </c>
      <c r="AH34" s="32" t="n">
        <f aca="false">'Clients &amp; revenue'!AH63/FX_EUR</f>
        <v>18357.8706096721</v>
      </c>
      <c r="AI34" s="32" t="n">
        <f aca="false">'Clients &amp; revenue'!AI63/FX_EUR</f>
        <v>19653.6904681688</v>
      </c>
      <c r="AJ34" s="32" t="n">
        <f aca="false">'Clients &amp; revenue'!AJ63/FX_EUR</f>
        <v>20956.577662373</v>
      </c>
      <c r="AK34" s="32" t="n">
        <f aca="false">'Clients &amp; revenue'!AK63/FX_EUR</f>
        <v>22267.8001514599</v>
      </c>
      <c r="AL34" s="32" t="n">
        <f aca="false">'Clients &amp; revenue'!AL63/FX_EUR</f>
        <v>23588.6903716399</v>
      </c>
      <c r="AM34" s="32" t="n">
        <f aca="false">'Clients &amp; revenue'!AM63/FX_EUR</f>
        <v>24981.6044996968</v>
      </c>
      <c r="AN34" s="32" t="n">
        <f aca="false">'Clients &amp; revenue'!AN63/FX_EUR</f>
        <v>26386.3350119979</v>
      </c>
      <c r="AO34" s="32" t="n">
        <f aca="false">'Clients &amp; revenue'!AO63/FX_EUR</f>
        <v>27992.38824672</v>
      </c>
      <c r="AP34" s="32" t="n">
        <f aca="false">'Clients &amp; revenue'!AP63/FX_EUR</f>
        <v>29672.178519336</v>
      </c>
      <c r="AQ34" s="32" t="n">
        <f aca="false">'Clients &amp; revenue'!AQ63/FX_EUR</f>
        <v>31365.7854612595</v>
      </c>
      <c r="AR34" s="32" t="n">
        <f aca="false">'Clients &amp; revenue'!AR63/FX_EUR</f>
        <v>33075.0720065017</v>
      </c>
      <c r="AS34" s="32" t="n">
        <f aca="false">'Clients &amp; revenue'!AS63/FX_EUR</f>
        <v>34862.9539266974</v>
      </c>
      <c r="AT34" s="32" t="n">
        <f aca="false">'Clients &amp; revenue'!AT63/FX_EUR</f>
        <v>36669.8141778274</v>
      </c>
      <c r="AU34" s="32" t="n">
        <f aca="false">'Clients &amp; revenue'!AU63/FX_EUR</f>
        <v>38497.837110304</v>
      </c>
      <c r="AV34" s="32" t="n">
        <f aca="false">'Clients &amp; revenue'!AV63/FX_EUR</f>
        <v>40465.1387840258</v>
      </c>
      <c r="AW34" s="32" t="n">
        <f aca="false">'Clients &amp; revenue'!AW63/FX_EUR</f>
        <v>42439.5339120586</v>
      </c>
      <c r="AX34" s="32" t="n">
        <f aca="false">'Clients &amp; revenue'!AX63/FX_EUR</f>
        <v>44464.5588636233</v>
      </c>
      <c r="AY34" s="32" t="n">
        <f aca="false">'Clients &amp; revenue'!AY63/FX_EUR</f>
        <v>46479.4358027061</v>
      </c>
      <c r="AZ34" s="32" t="n">
        <f aca="false">'Clients &amp; revenue'!AZ63/FX_EUR</f>
        <v>48485.111618995</v>
      </c>
      <c r="BA34" s="32" t="n">
        <f aca="false">'Clients &amp; revenue'!BA63/FX_EUR</f>
        <v>50732.4852236957</v>
      </c>
      <c r="BB34" s="32" t="n">
        <f aca="false">'Clients &amp; revenue'!BB63/FX_EUR</f>
        <v>52969.683923267</v>
      </c>
      <c r="BC34" s="32" t="n">
        <f aca="false">'Clients &amp; revenue'!BC63/FX_EUR</f>
        <v>55258.7651108026</v>
      </c>
      <c r="BD34" s="32" t="n">
        <f aca="false">'Clients &amp; revenue'!BD63/FX_EUR</f>
        <v>57539.1925005444</v>
      </c>
      <c r="BE34" s="32" t="n">
        <f aca="false">'Clients &amp; revenue'!BE63/FX_EUR</f>
        <v>59867.0265228024</v>
      </c>
      <c r="BF34" s="32" t="n">
        <f aca="false">'Clients &amp; revenue'!BF63/FX_EUR</f>
        <v>62248.9586674257</v>
      </c>
      <c r="BG34" s="32" t="n">
        <f aca="false">'Clients &amp; revenue'!BG63/FX_EUR</f>
        <v>64624.6180307416</v>
      </c>
      <c r="BH34" s="32" t="n">
        <f aca="false">'Clients &amp; revenue'!BH63/FX_EUR</f>
        <v>67056.3355032584</v>
      </c>
      <c r="BI34" s="32" t="n">
        <f aca="false">'Clients &amp; revenue'!BI63/FX_EUR</f>
        <v>69538.7239967684</v>
      </c>
      <c r="BJ34" s="32" t="n">
        <f aca="false">'Clients &amp; revenue'!BJ63/FX_EUR</f>
        <v>72078.7327692794</v>
      </c>
      <c r="BK34" s="32" t="n">
        <f aca="false">'Clients &amp; revenue'!BK63/FX_EUR</f>
        <v>74603.2014003658</v>
      </c>
      <c r="BL34" s="32" t="n">
        <f aca="false">'Clients &amp; revenue'!BL63/FX_EUR</f>
        <v>77159.7528930621</v>
      </c>
    </row>
    <row r="35" customFormat="false" ht="15" hidden="false" customHeight="false" outlineLevel="0" collapsed="false">
      <c r="A35" s="12" t="s">
        <v>777</v>
      </c>
      <c r="B35" s="14" t="s">
        <v>79</v>
      </c>
      <c r="D35" s="55" t="n">
        <f aca="false">'Clients &amp; revenue'!D64/FX_EUR</f>
        <v>392412.727288428</v>
      </c>
      <c r="E35" s="32" t="n">
        <f aca="false">'Clients &amp; revenue'!E64/FX_EUR</f>
        <v>0</v>
      </c>
      <c r="F35" s="32" t="n">
        <f aca="false">'Clients &amp; revenue'!F64/FX_EUR</f>
        <v>0</v>
      </c>
      <c r="G35" s="32" t="n">
        <f aca="false">'Clients &amp; revenue'!G64/FX_EUR</f>
        <v>0</v>
      </c>
      <c r="H35" s="32" t="n">
        <f aca="false">'Clients &amp; revenue'!H64/FX_EUR</f>
        <v>0</v>
      </c>
      <c r="I35" s="32" t="n">
        <f aca="false">'Clients &amp; revenue'!I64/FX_EUR</f>
        <v>94.2643089917988</v>
      </c>
      <c r="J35" s="32" t="n">
        <f aca="false">'Clients &amp; revenue'!J64/FX_EUR</f>
        <v>188.453536842608</v>
      </c>
      <c r="K35" s="32" t="n">
        <f aca="false">'Clients &amp; revenue'!K64/FX_EUR</f>
        <v>282.623919136468</v>
      </c>
      <c r="L35" s="32" t="n">
        <f aca="false">'Clients &amp; revenue'!L64/FX_EUR</f>
        <v>376.834388059005</v>
      </c>
      <c r="M35" s="32" t="n">
        <f aca="false">'Clients &amp; revenue'!M64/FX_EUR</f>
        <v>471.146742049782</v>
      </c>
      <c r="N35" s="32" t="n">
        <f aca="false">'Clients &amp; revenue'!N64/FX_EUR</f>
        <v>565.625825540175</v>
      </c>
      <c r="O35" s="32" t="n">
        <f aca="false">'Clients &amp; revenue'!O64/FX_EUR</f>
        <v>660.339719383062</v>
      </c>
      <c r="P35" s="32" t="n">
        <f aca="false">'Clients &amp; revenue'!P64/FX_EUR</f>
        <v>755.359942616936</v>
      </c>
      <c r="Q35" s="32" t="n">
        <f aca="false">'Clients &amp; revenue'!Q64/FX_EUR</f>
        <v>884.046368342458</v>
      </c>
      <c r="R35" s="32" t="n">
        <f aca="false">'Clients &amp; revenue'!R64/FX_EUR</f>
        <v>1012.8438545773</v>
      </c>
      <c r="S35" s="32" t="n">
        <f aca="false">'Clients &amp; revenue'!S64/FX_EUR</f>
        <v>1141.83943865764</v>
      </c>
      <c r="T35" s="32" t="n">
        <f aca="false">'Clients &amp; revenue'!T64/FX_EUR</f>
        <v>1271.12448613492</v>
      </c>
      <c r="U35" s="32" t="n">
        <f aca="false">'Clients &amp; revenue'!U64/FX_EUR</f>
        <v>1400.79496081426</v>
      </c>
      <c r="V35" s="32" t="n">
        <f aca="false">'Clients &amp; revenue'!V64/FX_EUR</f>
        <v>1530.95171087201</v>
      </c>
      <c r="W35" s="32" t="n">
        <f aca="false">'Clients &amp; revenue'!W64/FX_EUR</f>
        <v>1733.85997351119</v>
      </c>
      <c r="X35" s="32" t="n">
        <f aca="false">'Clients &amp; revenue'!X64/FX_EUR</f>
        <v>1937.40044067897</v>
      </c>
      <c r="Y35" s="32" t="n">
        <f aca="false">'Clients &amp; revenue'!Y64/FX_EUR</f>
        <v>2156.97775425743</v>
      </c>
      <c r="Z35" s="32" t="n">
        <f aca="false">'Clients &amp; revenue'!Z64/FX_EUR</f>
        <v>2377.35491155467</v>
      </c>
      <c r="AA35" s="32" t="n">
        <f aca="false">'Clients &amp; revenue'!AA64/FX_EUR</f>
        <v>2598.71039511439</v>
      </c>
      <c r="AB35" s="32" t="n">
        <f aca="false">'Clients &amp; revenue'!AB64/FX_EUR</f>
        <v>2821.23194673152</v>
      </c>
      <c r="AC35" s="32" t="n">
        <f aca="false">'Clients &amp; revenue'!AC64/FX_EUR</f>
        <v>3111.94062565681</v>
      </c>
      <c r="AD35" s="32" t="n">
        <f aca="false">'Clients &amp; revenue'!AD64/FX_EUR</f>
        <v>3403.51931078289</v>
      </c>
      <c r="AE35" s="32" t="n">
        <f aca="false">'Clients &amp; revenue'!AE64/FX_EUR</f>
        <v>3711.43976411465</v>
      </c>
      <c r="AF35" s="32" t="n">
        <f aca="false">'Clients &amp; revenue'!AF64/FX_EUR</f>
        <v>4020.53554483332</v>
      </c>
      <c r="AG35" s="32" t="n">
        <f aca="false">'Clients &amp; revenue'!AG64/FX_EUR</f>
        <v>4331.05935236538</v>
      </c>
      <c r="AH35" s="32" t="n">
        <f aca="false">'Clients &amp; revenue'!AH64/FX_EUR</f>
        <v>4643.27702637284</v>
      </c>
      <c r="AI35" s="32" t="n">
        <f aca="false">'Clients &amp; revenue'!AI64/FX_EUR</f>
        <v>4972.71326024635</v>
      </c>
      <c r="AJ35" s="32" t="n">
        <f aca="false">'Clients &amp; revenue'!AJ64/FX_EUR</f>
        <v>5304.25768466387</v>
      </c>
      <c r="AK35" s="32" t="n">
        <f aca="false">'Clients &amp; revenue'!AK64/FX_EUR</f>
        <v>5638.22239945354</v>
      </c>
      <c r="AL35" s="32" t="n">
        <f aca="false">'Clients &amp; revenue'!AL64/FX_EUR</f>
        <v>5974.93617370125</v>
      </c>
      <c r="AM35" s="32" t="n">
        <f aca="false">'Clients &amp; revenue'!AM64/FX_EUR</f>
        <v>6329.99037136367</v>
      </c>
      <c r="AN35" s="32" t="n">
        <f aca="false">'Clients &amp; revenue'!AN64/FX_EUR</f>
        <v>6688.34525966975</v>
      </c>
      <c r="AO35" s="32" t="n">
        <f aca="false">'Clients &amp; revenue'!AO64/FX_EUR</f>
        <v>7097.39289296098</v>
      </c>
      <c r="AP35" s="32" t="n">
        <f aca="false">'Clients &amp; revenue'!AP64/FX_EUR</f>
        <v>7525.28757250953</v>
      </c>
      <c r="AQ35" s="32" t="n">
        <f aca="false">'Clients &amp; revenue'!AQ64/FX_EUR</f>
        <v>7957.06027422192</v>
      </c>
      <c r="AR35" s="32" t="n">
        <f aca="false">'Clients &amp; revenue'!AR64/FX_EUR</f>
        <v>8393.17244314566</v>
      </c>
      <c r="AS35" s="32" t="n">
        <f aca="false">'Clients &amp; revenue'!AS64/FX_EUR</f>
        <v>8849.35558082343</v>
      </c>
      <c r="AT35" s="32" t="n">
        <f aca="false">'Clients &amp; revenue'!AT64/FX_EUR</f>
        <v>9310.71800713219</v>
      </c>
      <c r="AU35" s="32" t="n">
        <f aca="false">'Clients &amp; revenue'!AU64/FX_EUR</f>
        <v>9777.80311105087</v>
      </c>
      <c r="AV35" s="32" t="n">
        <f aca="false">'Clients &amp; revenue'!AV64/FX_EUR</f>
        <v>10280.1496260109</v>
      </c>
      <c r="AW35" s="32" t="n">
        <f aca="false">'Clients &amp; revenue'!AW64/FX_EUR</f>
        <v>10784.7376439139</v>
      </c>
      <c r="AX35" s="32" t="n">
        <f aca="false">'Clients &amp; revenue'!AX64/FX_EUR</f>
        <v>11302.4477118803</v>
      </c>
      <c r="AY35" s="32" t="n">
        <f aca="false">'Clients &amp; revenue'!AY64/FX_EUR</f>
        <v>11818.0869160625</v>
      </c>
      <c r="AZ35" s="32" t="n">
        <f aca="false">'Clients &amp; revenue'!AZ64/FX_EUR</f>
        <v>12331.8780603015</v>
      </c>
      <c r="BA35" s="32" t="n">
        <f aca="false">'Clients &amp; revenue'!BA64/FX_EUR</f>
        <v>12906.557578885</v>
      </c>
      <c r="BB35" s="32" t="n">
        <f aca="false">'Clients &amp; revenue'!BB64/FX_EUR</f>
        <v>13479.2075684902</v>
      </c>
      <c r="BC35" s="32" t="n">
        <f aca="false">'Clients &amp; revenue'!BC64/FX_EUR</f>
        <v>14065.3334858582</v>
      </c>
      <c r="BD35" s="32" t="n">
        <f aca="false">'Clients &amp; revenue'!BD64/FX_EUR</f>
        <v>14649.802322421</v>
      </c>
      <c r="BE35" s="32" t="n">
        <f aca="false">'Clients &amp; revenue'!BE64/FX_EUR</f>
        <v>15246.6203693875</v>
      </c>
      <c r="BF35" s="32" t="n">
        <f aca="false">'Clients &amp; revenue'!BF64/FX_EUR</f>
        <v>15857.466831265</v>
      </c>
      <c r="BG35" s="32" t="n">
        <f aca="false">'Clients &amp; revenue'!BG64/FX_EUR</f>
        <v>16467.2508304082</v>
      </c>
      <c r="BH35" s="32" t="n">
        <f aca="false">'Clients &amp; revenue'!BH64/FX_EUR</f>
        <v>17091.5477114918</v>
      </c>
      <c r="BI35" s="32" t="n">
        <f aca="false">'Clients &amp; revenue'!BI64/FX_EUR</f>
        <v>17729.0188342065</v>
      </c>
      <c r="BJ35" s="32" t="n">
        <f aca="false">'Clients &amp; revenue'!BJ64/FX_EUR</f>
        <v>18381.4087750456</v>
      </c>
      <c r="BK35" s="32" t="n">
        <f aca="false">'Clients &amp; revenue'!BK64/FX_EUR</f>
        <v>19030.4289735484</v>
      </c>
      <c r="BL35" s="32" t="n">
        <f aca="false">'Clients &amp; revenue'!BL64/FX_EUR</f>
        <v>19687.9727703156</v>
      </c>
    </row>
    <row r="36" customFormat="false" ht="15" hidden="false" customHeight="false" outlineLevel="0" collapsed="false">
      <c r="A36" s="12" t="s">
        <v>779</v>
      </c>
      <c r="B36" s="14" t="s">
        <v>79</v>
      </c>
      <c r="D36" s="55" t="n">
        <f aca="false">'Clients &amp; revenue'!D65/FX_EUR</f>
        <v>0</v>
      </c>
      <c r="E36" s="32" t="n">
        <f aca="false">'Clients &amp; revenue'!E65/FX_EUR</f>
        <v>0</v>
      </c>
      <c r="F36" s="32" t="n">
        <f aca="false">'Clients &amp; revenue'!F65/FX_EUR</f>
        <v>0</v>
      </c>
      <c r="G36" s="32" t="n">
        <f aca="false">'Clients &amp; revenue'!G65/FX_EUR</f>
        <v>0</v>
      </c>
      <c r="H36" s="32" t="n">
        <f aca="false">'Clients &amp; revenue'!H65/FX_EUR</f>
        <v>0</v>
      </c>
      <c r="I36" s="32" t="n">
        <f aca="false">'Clients &amp; revenue'!I65/FX_EUR</f>
        <v>0</v>
      </c>
      <c r="J36" s="32" t="n">
        <f aca="false">'Clients &amp; revenue'!J65/FX_EUR</f>
        <v>0</v>
      </c>
      <c r="K36" s="32" t="n">
        <f aca="false">'Clients &amp; revenue'!K65/FX_EUR</f>
        <v>0</v>
      </c>
      <c r="L36" s="32" t="n">
        <f aca="false">'Clients &amp; revenue'!L65/FX_EUR</f>
        <v>0</v>
      </c>
      <c r="M36" s="32" t="n">
        <f aca="false">'Clients &amp; revenue'!M65/FX_EUR</f>
        <v>0</v>
      </c>
      <c r="N36" s="32" t="n">
        <f aca="false">'Clients &amp; revenue'!N65/FX_EUR</f>
        <v>0</v>
      </c>
      <c r="O36" s="32" t="n">
        <f aca="false">'Clients &amp; revenue'!O65/FX_EUR</f>
        <v>0</v>
      </c>
      <c r="P36" s="32" t="n">
        <f aca="false">'Clients &amp; revenue'!P65/FX_EUR</f>
        <v>0</v>
      </c>
      <c r="Q36" s="32" t="n">
        <f aca="false">'Clients &amp; revenue'!Q65/FX_EUR</f>
        <v>0</v>
      </c>
      <c r="R36" s="32" t="n">
        <f aca="false">'Clients &amp; revenue'!R65/FX_EUR</f>
        <v>0</v>
      </c>
      <c r="S36" s="32" t="n">
        <f aca="false">'Clients &amp; revenue'!S65/FX_EUR</f>
        <v>0</v>
      </c>
      <c r="T36" s="32" t="n">
        <f aca="false">'Clients &amp; revenue'!T65/FX_EUR</f>
        <v>0</v>
      </c>
      <c r="U36" s="32" t="n">
        <f aca="false">'Clients &amp; revenue'!U65/FX_EUR</f>
        <v>0</v>
      </c>
      <c r="V36" s="32" t="n">
        <f aca="false">'Clients &amp; revenue'!V65/FX_EUR</f>
        <v>0</v>
      </c>
      <c r="W36" s="32" t="n">
        <f aca="false">'Clients &amp; revenue'!W65/FX_EUR</f>
        <v>0</v>
      </c>
      <c r="X36" s="32" t="n">
        <f aca="false">'Clients &amp; revenue'!X65/FX_EUR</f>
        <v>0</v>
      </c>
      <c r="Y36" s="32" t="n">
        <f aca="false">'Clients &amp; revenue'!Y65/FX_EUR</f>
        <v>0</v>
      </c>
      <c r="Z36" s="32" t="n">
        <f aca="false">'Clients &amp; revenue'!Z65/FX_EUR</f>
        <v>0</v>
      </c>
      <c r="AA36" s="32" t="n">
        <f aca="false">'Clients &amp; revenue'!AA65/FX_EUR</f>
        <v>0</v>
      </c>
      <c r="AB36" s="32" t="n">
        <f aca="false">'Clients &amp; revenue'!AB65/FX_EUR</f>
        <v>0</v>
      </c>
      <c r="AC36" s="32" t="n">
        <f aca="false">'Clients &amp; revenue'!AC65/FX_EUR</f>
        <v>0</v>
      </c>
      <c r="AD36" s="32" t="n">
        <f aca="false">'Clients &amp; revenue'!AD65/FX_EUR</f>
        <v>0</v>
      </c>
      <c r="AE36" s="32" t="n">
        <f aca="false">'Clients &amp; revenue'!AE65/FX_EUR</f>
        <v>0</v>
      </c>
      <c r="AF36" s="32" t="n">
        <f aca="false">'Clients &amp; revenue'!AF65/FX_EUR</f>
        <v>0</v>
      </c>
      <c r="AG36" s="32" t="n">
        <f aca="false">'Clients &amp; revenue'!AG65/FX_EUR</f>
        <v>0</v>
      </c>
      <c r="AH36" s="32" t="n">
        <f aca="false">'Clients &amp; revenue'!AH65/FX_EUR</f>
        <v>0</v>
      </c>
      <c r="AI36" s="32" t="n">
        <f aca="false">'Clients &amp; revenue'!AI65/FX_EUR</f>
        <v>0</v>
      </c>
      <c r="AJ36" s="32" t="n">
        <f aca="false">'Clients &amp; revenue'!AJ65/FX_EUR</f>
        <v>0</v>
      </c>
      <c r="AK36" s="32" t="n">
        <f aca="false">'Clients &amp; revenue'!AK65/FX_EUR</f>
        <v>0</v>
      </c>
      <c r="AL36" s="32" t="n">
        <f aca="false">'Clients &amp; revenue'!AL65/FX_EUR</f>
        <v>0</v>
      </c>
      <c r="AM36" s="32" t="n">
        <f aca="false">'Clients &amp; revenue'!AM65/FX_EUR</f>
        <v>0</v>
      </c>
      <c r="AN36" s="32" t="n">
        <f aca="false">'Clients &amp; revenue'!AN65/FX_EUR</f>
        <v>0</v>
      </c>
      <c r="AO36" s="32" t="n">
        <f aca="false">'Clients &amp; revenue'!AO65/FX_EUR</f>
        <v>0</v>
      </c>
      <c r="AP36" s="32" t="n">
        <f aca="false">'Clients &amp; revenue'!AP65/FX_EUR</f>
        <v>0</v>
      </c>
      <c r="AQ36" s="32" t="n">
        <f aca="false">'Clients &amp; revenue'!AQ65/FX_EUR</f>
        <v>0</v>
      </c>
      <c r="AR36" s="32" t="n">
        <f aca="false">'Clients &amp; revenue'!AR65/FX_EUR</f>
        <v>0</v>
      </c>
      <c r="AS36" s="32" t="n">
        <f aca="false">'Clients &amp; revenue'!AS65/FX_EUR</f>
        <v>0</v>
      </c>
      <c r="AT36" s="32" t="n">
        <f aca="false">'Clients &amp; revenue'!AT65/FX_EUR</f>
        <v>0</v>
      </c>
      <c r="AU36" s="32" t="n">
        <f aca="false">'Clients &amp; revenue'!AU65/FX_EUR</f>
        <v>0</v>
      </c>
      <c r="AV36" s="32" t="n">
        <f aca="false">'Clients &amp; revenue'!AV65/FX_EUR</f>
        <v>0</v>
      </c>
      <c r="AW36" s="32" t="n">
        <f aca="false">'Clients &amp; revenue'!AW65/FX_EUR</f>
        <v>0</v>
      </c>
      <c r="AX36" s="32" t="n">
        <f aca="false">'Clients &amp; revenue'!AX65/FX_EUR</f>
        <v>0</v>
      </c>
      <c r="AY36" s="32" t="n">
        <f aca="false">'Clients &amp; revenue'!AY65/FX_EUR</f>
        <v>0</v>
      </c>
      <c r="AZ36" s="32" t="n">
        <f aca="false">'Clients &amp; revenue'!AZ65/FX_EUR</f>
        <v>0</v>
      </c>
      <c r="BA36" s="32" t="n">
        <f aca="false">'Clients &amp; revenue'!BA65/FX_EUR</f>
        <v>0</v>
      </c>
      <c r="BB36" s="32" t="n">
        <f aca="false">'Clients &amp; revenue'!BB65/FX_EUR</f>
        <v>0</v>
      </c>
      <c r="BC36" s="32" t="n">
        <f aca="false">'Clients &amp; revenue'!BC65/FX_EUR</f>
        <v>0</v>
      </c>
      <c r="BD36" s="32" t="n">
        <f aca="false">'Clients &amp; revenue'!BD65/FX_EUR</f>
        <v>0</v>
      </c>
      <c r="BE36" s="32" t="n">
        <f aca="false">'Clients &amp; revenue'!BE65/FX_EUR</f>
        <v>0</v>
      </c>
      <c r="BF36" s="32" t="n">
        <f aca="false">'Clients &amp; revenue'!BF65/FX_EUR</f>
        <v>0</v>
      </c>
      <c r="BG36" s="32" t="n">
        <f aca="false">'Clients &amp; revenue'!BG65/FX_EUR</f>
        <v>0</v>
      </c>
      <c r="BH36" s="32" t="n">
        <f aca="false">'Clients &amp; revenue'!BH65/FX_EUR</f>
        <v>0</v>
      </c>
      <c r="BI36" s="32" t="n">
        <f aca="false">'Clients &amp; revenue'!BI65/FX_EUR</f>
        <v>0</v>
      </c>
      <c r="BJ36" s="32" t="n">
        <f aca="false">'Clients &amp; revenue'!BJ65/FX_EUR</f>
        <v>0</v>
      </c>
      <c r="BK36" s="32" t="n">
        <f aca="false">'Clients &amp; revenue'!BK65/FX_EUR</f>
        <v>0</v>
      </c>
      <c r="BL36" s="32" t="n">
        <f aca="false">'Clients &amp; revenue'!BL65/FX_EUR</f>
        <v>0</v>
      </c>
    </row>
    <row r="37" customFormat="false" ht="15" hidden="false" customHeight="false" outlineLevel="0" collapsed="false">
      <c r="A37" s="12" t="s">
        <v>1020</v>
      </c>
      <c r="B37" s="14" t="s">
        <v>79</v>
      </c>
      <c r="D37" s="55" t="n">
        <f aca="false">'Clients &amp; revenue'!D66/FX_EUR</f>
        <v>8661303.41687164</v>
      </c>
      <c r="E37" s="32" t="n">
        <f aca="false">'Clients &amp; revenue'!E66/FX_EUR</f>
        <v>0</v>
      </c>
      <c r="F37" s="32" t="n">
        <f aca="false">'Clients &amp; revenue'!F66/FX_EUR</f>
        <v>0</v>
      </c>
      <c r="G37" s="32" t="n">
        <f aca="false">'Clients &amp; revenue'!G66/FX_EUR</f>
        <v>0</v>
      </c>
      <c r="H37" s="32" t="n">
        <f aca="false">'Clients &amp; revenue'!H66/FX_EUR</f>
        <v>0</v>
      </c>
      <c r="I37" s="32" t="n">
        <f aca="false">'Clients &amp; revenue'!I66/FX_EUR</f>
        <v>2096.4382319776</v>
      </c>
      <c r="J37" s="32" t="n">
        <f aca="false">'Clients &amp; revenue'!J66/FX_EUR</f>
        <v>4189.69088929102</v>
      </c>
      <c r="K37" s="32" t="n">
        <f aca="false">'Clients &amp; revenue'!K66/FX_EUR</f>
        <v>6281.0539517072</v>
      </c>
      <c r="L37" s="32" t="n">
        <f aca="false">'Clients &amp; revenue'!L66/FX_EUR</f>
        <v>8371.88141927494</v>
      </c>
      <c r="M37" s="32" t="n">
        <f aca="false">'Clients &amp; revenue'!M66/FX_EUR</f>
        <v>10463.5890906415</v>
      </c>
      <c r="N37" s="32" t="n">
        <f aca="false">'Clients &amp; revenue'!N66/FX_EUR</f>
        <v>12557.6585631419</v>
      </c>
      <c r="O37" s="32" t="n">
        <f aca="false">'Clients &amp; revenue'!O66/FX_EUR</f>
        <v>14655.6414680543</v>
      </c>
      <c r="P37" s="32" t="n">
        <f aca="false">'Clients &amp; revenue'!P66/FX_EUR</f>
        <v>16759.1639552178</v>
      </c>
      <c r="Q37" s="32" t="n">
        <f aca="false">'Clients &amp; revenue'!Q66/FX_EUR</f>
        <v>19610.183216691</v>
      </c>
      <c r="R37" s="32" t="n">
        <f aca="false">'Clients &amp; revenue'!R66/FX_EUR</f>
        <v>22461.9293305889</v>
      </c>
      <c r="S37" s="32" t="n">
        <f aca="false">'Clients &amp; revenue'!S66/FX_EUR</f>
        <v>25316.3888782176</v>
      </c>
      <c r="T37" s="32" t="n">
        <f aca="false">'Clients &amp; revenue'!T66/FX_EUR</f>
        <v>28175.6421306005</v>
      </c>
      <c r="U37" s="32" t="n">
        <f aca="false">'Clients &amp; revenue'!U66/FX_EUR</f>
        <v>31041.869050102</v>
      </c>
      <c r="V37" s="32" t="n">
        <f aca="false">'Clients &amp; revenue'!V66/FX_EUR</f>
        <v>33917.3556458911</v>
      </c>
      <c r="W37" s="32" t="n">
        <f aca="false">'Clients &amp; revenue'!W66/FX_EUR</f>
        <v>38409.3213457727</v>
      </c>
      <c r="X37" s="32" t="n">
        <f aca="false">'Clients &amp; revenue'!X66/FX_EUR</f>
        <v>42912.7103620081</v>
      </c>
      <c r="Y37" s="32" t="n">
        <f aca="false">'Clients &amp; revenue'!Y66/FX_EUR</f>
        <v>47770.1921495982</v>
      </c>
      <c r="Z37" s="32" t="n">
        <f aca="false">'Clients &amp; revenue'!Z66/FX_EUR</f>
        <v>52642.7167069407</v>
      </c>
      <c r="AA37" s="32" t="n">
        <f aca="false">'Clients &amp; revenue'!AA66/FX_EUR</f>
        <v>57534.3250992261</v>
      </c>
      <c r="AB37" s="32" t="n">
        <f aca="false">'Clients &amp; revenue'!AB66/FX_EUR</f>
        <v>62449.2598512117</v>
      </c>
      <c r="AC37" s="32" t="n">
        <f aca="false">'Clients &amp; revenue'!AC66/FX_EUR</f>
        <v>68878.1319697703</v>
      </c>
      <c r="AD37" s="32" t="n">
        <f aca="false">'Clients &amp; revenue'!AD66/FX_EUR</f>
        <v>75322.7922714606</v>
      </c>
      <c r="AE37" s="32" t="n">
        <f aca="false">'Clients &amp; revenue'!AE66/FX_EUR</f>
        <v>82127.4288100515</v>
      </c>
      <c r="AF37" s="32" t="n">
        <f aca="false">'Clients &amp; revenue'!AF66/FX_EUR</f>
        <v>88954.5850594119</v>
      </c>
      <c r="AG37" s="32" t="n">
        <f aca="false">'Clients &amp; revenue'!AG66/FX_EUR</f>
        <v>95809.9751682967</v>
      </c>
      <c r="AH37" s="32" t="n">
        <f aca="false">'Clients &amp; revenue'!AH66/FX_EUR</f>
        <v>102699.599364505</v>
      </c>
      <c r="AI37" s="32" t="n">
        <f aca="false">'Clients &amp; revenue'!AI66/FX_EUR</f>
        <v>109968.808573837</v>
      </c>
      <c r="AJ37" s="32" t="n">
        <f aca="false">'Clients &amp; revenue'!AJ66/FX_EUR</f>
        <v>117281.378520766</v>
      </c>
      <c r="AK37" s="32" t="n">
        <f aca="false">'Clients &amp; revenue'!AK66/FX_EUR</f>
        <v>124644.329147381</v>
      </c>
      <c r="AL37" s="32" t="n">
        <f aca="false">'Clients &amp; revenue'!AL66/FX_EUR</f>
        <v>132065.044431575</v>
      </c>
      <c r="AM37" s="32" t="n">
        <f aca="false">'Clients &amp; revenue'!AM66/FX_EUR</f>
        <v>139890.341684913</v>
      </c>
      <c r="AN37" s="32" t="n">
        <f aca="false">'Clients &amp; revenue'!AN66/FX_EUR</f>
        <v>147785.550612971</v>
      </c>
      <c r="AO37" s="32" t="n">
        <f aca="false">'Clients &amp; revenue'!AO66/FX_EUR</f>
        <v>156804.731719093</v>
      </c>
      <c r="AP37" s="32" t="n">
        <f aca="false">'Clients &amp; revenue'!AP66/FX_EUR</f>
        <v>166238.934650688</v>
      </c>
      <c r="AQ37" s="32" t="n">
        <f aca="false">'Clients &amp; revenue'!AQ66/FX_EUR</f>
        <v>175755.079405225</v>
      </c>
      <c r="AR37" s="32" t="n">
        <f aca="false">'Clients &amp; revenue'!AR66/FX_EUR</f>
        <v>185363.505960064</v>
      </c>
      <c r="AS37" s="32" t="n">
        <f aca="false">'Clients &amp; revenue'!AS66/FX_EUR</f>
        <v>195414.151436946</v>
      </c>
      <c r="AT37" s="32" t="n">
        <f aca="false">'Clients &amp; revenue'!AT66/FX_EUR</f>
        <v>205575.639187932</v>
      </c>
      <c r="AU37" s="32" t="n">
        <f aca="false">'Clients &amp; revenue'!AU66/FX_EUR</f>
        <v>215860.114095569</v>
      </c>
      <c r="AV37" s="32" t="n">
        <f aca="false">'Clients &amp; revenue'!AV66/FX_EUR</f>
        <v>226924.567789325</v>
      </c>
      <c r="AW37" s="32" t="n">
        <f aca="false">'Clients &amp; revenue'!AW66/FX_EUR</f>
        <v>238034.212023788</v>
      </c>
      <c r="AX37" s="32" t="n">
        <f aca="false">'Clients &amp; revenue'!AX66/FX_EUR</f>
        <v>249431.148761595</v>
      </c>
      <c r="AY37" s="32" t="n">
        <f aca="false">'Clients &amp; revenue'!AY66/FX_EUR</f>
        <v>260777.42860641</v>
      </c>
      <c r="AZ37" s="32" t="n">
        <f aca="false">'Clients &amp; revenue'!AZ66/FX_EUR</f>
        <v>272078.194541972</v>
      </c>
      <c r="BA37" s="32" t="n">
        <f aca="false">'Clients &amp; revenue'!BA66/FX_EUR</f>
        <v>284728.884457437</v>
      </c>
      <c r="BB37" s="32" t="n">
        <f aca="false">'Clients &amp; revenue'!BB66/FX_EUR</f>
        <v>297329.370524383</v>
      </c>
      <c r="BC37" s="32" t="n">
        <f aca="false">'Clients &amp; revenue'!BC66/FX_EUR</f>
        <v>310224.697157525</v>
      </c>
      <c r="BD37" s="32" t="n">
        <f aca="false">'Clients &amp; revenue'!BD66/FX_EUR</f>
        <v>323078.254961329</v>
      </c>
      <c r="BE37" s="32" t="n">
        <f aca="false">'Clients &amp; revenue'!BE66/FX_EUR</f>
        <v>336201.738254214</v>
      </c>
      <c r="BF37" s="32" t="n">
        <f aca="false">'Clients &amp; revenue'!BF66/FX_EUR</f>
        <v>349632.456935196</v>
      </c>
      <c r="BG37" s="32" t="n">
        <f aca="false">'Clients &amp; revenue'!BG66/FX_EUR</f>
        <v>363034.72914055</v>
      </c>
      <c r="BH37" s="32" t="n">
        <f aca="false">'Clients &amp; revenue'!BH66/FX_EUR</f>
        <v>376755.135055396</v>
      </c>
      <c r="BI37" s="32" t="n">
        <f aca="false">'Clients &amp; revenue'!BI66/FX_EUR</f>
        <v>390763.83286624</v>
      </c>
      <c r="BJ37" s="32" t="n">
        <f aca="false">'Clients &amp; revenue'!BJ66/FX_EUR</f>
        <v>405099.575889422</v>
      </c>
      <c r="BK37" s="32" t="n">
        <f aca="false">'Clients &amp; revenue'!BK66/FX_EUR</f>
        <v>419355.554588213</v>
      </c>
      <c r="BL37" s="32" t="n">
        <f aca="false">'Clients &amp; revenue'!BL66/FX_EUR</f>
        <v>433796.501912036</v>
      </c>
    </row>
    <row r="38" customFormat="false" ht="15" hidden="false" customHeight="false" outlineLevel="0" collapsed="false">
      <c r="A38" s="12" t="s">
        <v>174</v>
      </c>
      <c r="B38" s="14" t="s">
        <v>79</v>
      </c>
      <c r="D38" s="55" t="n">
        <f aca="false">'Clients &amp; revenue'!D67/FX_EUR</f>
        <v>2484837.92811611</v>
      </c>
      <c r="E38" s="32" t="n">
        <f aca="false">'Clients &amp; revenue'!E67/FX_EUR</f>
        <v>0</v>
      </c>
      <c r="F38" s="32" t="n">
        <f aca="false">'Clients &amp; revenue'!F67/FX_EUR</f>
        <v>0</v>
      </c>
      <c r="G38" s="32" t="n">
        <f aca="false">'Clients &amp; revenue'!G67/FX_EUR</f>
        <v>0</v>
      </c>
      <c r="H38" s="32" t="n">
        <f aca="false">'Clients &amp; revenue'!H67/FX_EUR</f>
        <v>0</v>
      </c>
      <c r="I38" s="32" t="n">
        <f aca="false">'Clients &amp; revenue'!I67/FX_EUR</f>
        <v>0</v>
      </c>
      <c r="J38" s="32" t="n">
        <f aca="false">'Clients &amp; revenue'!J67/FX_EUR</f>
        <v>0</v>
      </c>
      <c r="K38" s="32" t="n">
        <f aca="false">'Clients &amp; revenue'!K67/FX_EUR</f>
        <v>0</v>
      </c>
      <c r="L38" s="32" t="n">
        <f aca="false">'Clients &amp; revenue'!L67/FX_EUR</f>
        <v>0</v>
      </c>
      <c r="M38" s="32" t="n">
        <f aca="false">'Clients &amp; revenue'!M67/FX_EUR</f>
        <v>0</v>
      </c>
      <c r="N38" s="32" t="n">
        <f aca="false">'Clients &amp; revenue'!N67/FX_EUR</f>
        <v>0</v>
      </c>
      <c r="O38" s="32" t="n">
        <f aca="false">'Clients &amp; revenue'!O67/FX_EUR</f>
        <v>356.254436301581</v>
      </c>
      <c r="P38" s="32" t="n">
        <f aca="false">'Clients &amp; revenue'!P67/FX_EUR</f>
        <v>814.925085620694</v>
      </c>
      <c r="Q38" s="32" t="n">
        <f aca="false">'Clients &amp; revenue'!Q67/FX_EUR</f>
        <v>1430.51541186287</v>
      </c>
      <c r="R38" s="32" t="n">
        <f aca="false">'Clients &amp; revenue'!R67/FX_EUR</f>
        <v>2185.02821548865</v>
      </c>
      <c r="S38" s="32" t="n">
        <f aca="false">'Clients &amp; revenue'!S67/FX_EUR</f>
        <v>3078.83105378128</v>
      </c>
      <c r="T38" s="32" t="n">
        <f aca="false">'Clients &amp; revenue'!T67/FX_EUR</f>
        <v>4112.49694555962</v>
      </c>
      <c r="U38" s="32" t="n">
        <f aca="false">'Clients &amp; revenue'!U67/FX_EUR</f>
        <v>5286.81688588245</v>
      </c>
      <c r="V38" s="32" t="n">
        <f aca="false">'Clients &amp; revenue'!V67/FX_EUR</f>
        <v>6602.81330765319</v>
      </c>
      <c r="W38" s="32" t="n">
        <f aca="false">'Clients &amp; revenue'!W67/FX_EUR</f>
        <v>8412.44827455447</v>
      </c>
      <c r="X38" s="32" t="n">
        <f aca="false">'Clients &amp; revenue'!X67/FX_EUR</f>
        <v>10443.9730141465</v>
      </c>
      <c r="Y38" s="32" t="n">
        <f aca="false">'Clients &amp; revenue'!Y67/FX_EUR</f>
        <v>12789.8535872771</v>
      </c>
      <c r="Z38" s="32" t="n">
        <f aca="false">'Clients &amp; revenue'!Z67/FX_EUR</f>
        <v>15377.2438193968</v>
      </c>
      <c r="AA38" s="32" t="n">
        <f aca="false">'Clients &amp; revenue'!AA67/FX_EUR</f>
        <v>16807.9691929281</v>
      </c>
      <c r="AB38" s="32" t="n">
        <f aca="false">'Clients &amp; revenue'!AB67/FX_EUR</f>
        <v>18245.9756624022</v>
      </c>
      <c r="AC38" s="32" t="n">
        <f aca="false">'Clients &amp; revenue'!AC67/FX_EUR</f>
        <v>20125.574348584</v>
      </c>
      <c r="AD38" s="32" t="n">
        <f aca="false">'Clients &amp; revenue'!AD67/FX_EUR</f>
        <v>22010.419861986</v>
      </c>
      <c r="AE38" s="32" t="n">
        <f aca="false">'Clients &amp; revenue'!AE67/FX_EUR</f>
        <v>24000.790655732</v>
      </c>
      <c r="AF38" s="32" t="n">
        <f aca="false">'Clients &amp; revenue'!AF67/FX_EUR</f>
        <v>25998.395684441</v>
      </c>
      <c r="AG38" s="32" t="n">
        <f aca="false">'Clients &amp; revenue'!AG67/FX_EUR</f>
        <v>28004.8937479457</v>
      </c>
      <c r="AH38" s="32" t="n">
        <f aca="false">'Clients &amp; revenue'!AH67/FX_EUR</f>
        <v>30022.0277373876</v>
      </c>
      <c r="AI38" s="32" t="n">
        <f aca="false">'Clients &amp; revenue'!AI67/FX_EUR</f>
        <v>32150.4168669663</v>
      </c>
      <c r="AJ38" s="32" t="n">
        <f aca="false">'Clients &amp; revenue'!AJ67/FX_EUR</f>
        <v>34292.1311734261</v>
      </c>
      <c r="AK38" s="32" t="n">
        <f aca="false">'Clients &amp; revenue'!AK67/FX_EUR</f>
        <v>36449.2120795944</v>
      </c>
      <c r="AL38" s="32" t="n">
        <f aca="false">'Clients &amp; revenue'!AL67/FX_EUR</f>
        <v>38623.8079334929</v>
      </c>
      <c r="AM38" s="32" t="n">
        <f aca="false">'Clients &amp; revenue'!AM67/FX_EUR</f>
        <v>40916.9676106914</v>
      </c>
      <c r="AN38" s="32" t="n">
        <f aca="false">'Clients &amp; revenue'!AN67/FX_EUR</f>
        <v>43231.2164666386</v>
      </c>
      <c r="AO38" s="32" t="n">
        <f aca="false">'Clients &amp; revenue'!AO67/FX_EUR</f>
        <v>45873.6715766643</v>
      </c>
      <c r="AP38" s="32" t="n">
        <f aca="false">'Clients &amp; revenue'!AP67/FX_EUR</f>
        <v>48637.8867023895</v>
      </c>
      <c r="AQ38" s="32" t="n">
        <f aca="false">'Clients &amp; revenue'!AQ67/FX_EUR</f>
        <v>51426.8497539438</v>
      </c>
      <c r="AR38" s="32" t="n">
        <f aca="false">'Clients &amp; revenue'!AR67/FX_EUR</f>
        <v>54243.5715750865</v>
      </c>
      <c r="AS38" s="32" t="n">
        <f aca="false">'Clients &amp; revenue'!AS67/FX_EUR</f>
        <v>57190.011587993</v>
      </c>
      <c r="AT38" s="32" t="n">
        <f aca="false">'Clients &amp; revenue'!AT67/FX_EUR</f>
        <v>60169.6566810996</v>
      </c>
      <c r="AU38" s="32" t="n">
        <f aca="false">'Clients &amp; revenue'!AU67/FX_EUR</f>
        <v>63186.0464234747</v>
      </c>
      <c r="AV38" s="32" t="n">
        <f aca="false">'Clients &amp; revenue'!AV67/FX_EUR</f>
        <v>66430.6087630199</v>
      </c>
      <c r="AW38" s="32" t="n">
        <f aca="false">'Clients &amp; revenue'!AW67/FX_EUR</f>
        <v>69689.3276272739</v>
      </c>
      <c r="AX38" s="32" t="n">
        <f aca="false">'Clients &amp; revenue'!AX67/FX_EUR</f>
        <v>73032.7359990372</v>
      </c>
      <c r="AY38" s="32" t="n">
        <f aca="false">'Clients &amp; revenue'!AY67/FX_EUR</f>
        <v>76362.3866891788</v>
      </c>
      <c r="AZ38" s="32" t="n">
        <f aca="false">'Clients &amp; revenue'!AZ67/FX_EUR</f>
        <v>79679.7596514257</v>
      </c>
      <c r="BA38" s="32" t="n">
        <f aca="false">'Clients &amp; revenue'!BA67/FX_EUR</f>
        <v>83391.421602126</v>
      </c>
      <c r="BB38" s="32" t="n">
        <f aca="false">'Clients &amp; revenue'!BB67/FX_EUR</f>
        <v>87089.5626054381</v>
      </c>
      <c r="BC38" s="32" t="n">
        <f aca="false">'Clients &amp; revenue'!BC67/FX_EUR</f>
        <v>90874.6973605538</v>
      </c>
      <c r="BD38" s="32" t="n">
        <f aca="false">'Clients &amp; revenue'!BD67/FX_EUR</f>
        <v>94648.768652668</v>
      </c>
      <c r="BE38" s="32" t="n">
        <f aca="false">'Clients &amp; revenue'!BE67/FX_EUR</f>
        <v>98502.5750508858</v>
      </c>
      <c r="BF38" s="32" t="n">
        <f aca="false">'Clients &amp; revenue'!BF67/FX_EUR</f>
        <v>102447.00423296</v>
      </c>
      <c r="BG38" s="32" t="n">
        <f aca="false">'Clients &amp; revenue'!BG67/FX_EUR</f>
        <v>106384.270448928</v>
      </c>
      <c r="BH38" s="32" t="n">
        <f aca="false">'Clients &amp; revenue'!BH67/FX_EUR</f>
        <v>110415.338156942</v>
      </c>
      <c r="BI38" s="32" t="n">
        <f aca="false">'Clients &amp; revenue'!BI67/FX_EUR</f>
        <v>114531.534493782</v>
      </c>
      <c r="BJ38" s="32" t="n">
        <f aca="false">'Clients &amp; revenue'!BJ67/FX_EUR</f>
        <v>118744.169282121</v>
      </c>
      <c r="BK38" s="32" t="n">
        <f aca="false">'Clients &amp; revenue'!BK67/FX_EUR</f>
        <v>122934.734246029</v>
      </c>
      <c r="BL38" s="32" t="n">
        <f aca="false">'Clients &amp; revenue'!BL67/FX_EUR</f>
        <v>127180.339893345</v>
      </c>
    </row>
    <row r="39" customFormat="false" ht="15" hidden="false" customHeight="false" outlineLevel="0" collapsed="false">
      <c r="A39" s="12" t="s">
        <v>800</v>
      </c>
      <c r="B39" s="14" t="s">
        <v>79</v>
      </c>
      <c r="D39" s="55" t="n">
        <f aca="false">'Clients &amp; revenue'!D68/FX_EUR</f>
        <v>2989047.81645513</v>
      </c>
      <c r="E39" s="32" t="n">
        <f aca="false">'Clients &amp; revenue'!E68/FX_EUR</f>
        <v>0</v>
      </c>
      <c r="F39" s="32" t="n">
        <f aca="false">'Clients &amp; revenue'!F68/FX_EUR</f>
        <v>0</v>
      </c>
      <c r="G39" s="32" t="n">
        <f aca="false">'Clients &amp; revenue'!G68/FX_EUR</f>
        <v>0</v>
      </c>
      <c r="H39" s="32" t="n">
        <f aca="false">'Clients &amp; revenue'!H68/FX_EUR</f>
        <v>0</v>
      </c>
      <c r="I39" s="32" t="n">
        <f aca="false">'Clients &amp; revenue'!I68/FX_EUR</f>
        <v>0</v>
      </c>
      <c r="J39" s="32" t="n">
        <f aca="false">'Clients &amp; revenue'!J68/FX_EUR</f>
        <v>0</v>
      </c>
      <c r="K39" s="32" t="n">
        <f aca="false">'Clients &amp; revenue'!K68/FX_EUR</f>
        <v>0</v>
      </c>
      <c r="L39" s="32" t="n">
        <f aca="false">'Clients &amp; revenue'!L68/FX_EUR</f>
        <v>0</v>
      </c>
      <c r="M39" s="32" t="n">
        <f aca="false">'Clients &amp; revenue'!M68/FX_EUR</f>
        <v>0</v>
      </c>
      <c r="N39" s="32" t="n">
        <f aca="false">'Clients &amp; revenue'!N68/FX_EUR</f>
        <v>0</v>
      </c>
      <c r="O39" s="32" t="n">
        <f aca="false">'Clients &amp; revenue'!O68/FX_EUR</f>
        <v>0</v>
      </c>
      <c r="P39" s="32" t="n">
        <f aca="false">'Clients &amp; revenue'!P68/FX_EUR</f>
        <v>0</v>
      </c>
      <c r="Q39" s="32" t="n">
        <f aca="false">'Clients &amp; revenue'!Q68/FX_EUR</f>
        <v>585.493243611847</v>
      </c>
      <c r="R39" s="32" t="n">
        <f aca="false">'Clients &amp; revenue'!R68/FX_EUR</f>
        <v>1340.7655360987</v>
      </c>
      <c r="S39" s="32" t="n">
        <f aca="false">'Clients &amp; revenue'!S68/FX_EUR</f>
        <v>2265.81406819541</v>
      </c>
      <c r="T39" s="32" t="n">
        <f aca="false">'Clients &amp; revenue'!T68/FX_EUR</f>
        <v>3360.89052007758</v>
      </c>
      <c r="U39" s="32" t="n">
        <f aca="false">'Clients &amp; revenue'!U68/FX_EUR</f>
        <v>4626.51555809875</v>
      </c>
      <c r="V39" s="32" t="n">
        <f aca="false">'Clients &amp; revenue'!V68/FX_EUR</f>
        <v>6063.49446427448</v>
      </c>
      <c r="W39" s="32" t="n">
        <f aca="false">'Clients &amp; revenue'!W68/FX_EUR</f>
        <v>8009.67691628799</v>
      </c>
      <c r="X39" s="32" t="n">
        <f aca="false">'Clients &amp; revenue'!X68/FX_EUR</f>
        <v>10224.8837008086</v>
      </c>
      <c r="Y39" s="32" t="n">
        <f aca="false">'Clients &amp; revenue'!Y68/FX_EUR</f>
        <v>12802.2185789833</v>
      </c>
      <c r="Z39" s="32" t="n">
        <f aca="false">'Clients &amp; revenue'!Z68/FX_EUR</f>
        <v>15671.4164714473</v>
      </c>
      <c r="AA39" s="32" t="n">
        <f aca="false">'Clients &amp; revenue'!AA68/FX_EUR</f>
        <v>18834.7730626174</v>
      </c>
      <c r="AB39" s="32" t="n">
        <f aca="false">'Clients &amp; revenue'!AB68/FX_EUR</f>
        <v>22295.1461153893</v>
      </c>
      <c r="AC39" s="32" t="n">
        <f aca="false">'Clients &amp; revenue'!AC68/FX_EUR</f>
        <v>24586.2707419539</v>
      </c>
      <c r="AD39" s="32" t="n">
        <f aca="false">'Clients &amp; revenue'!AD68/FX_EUR</f>
        <v>26880.9357866379</v>
      </c>
      <c r="AE39" s="32" t="n">
        <f aca="false">'Clients &amp; revenue'!AE68/FX_EUR</f>
        <v>29302.9788634954</v>
      </c>
      <c r="AF39" s="32" t="n">
        <f aca="false">'Clients &amp; revenue'!AF68/FX_EUR</f>
        <v>31730.9078526067</v>
      </c>
      <c r="AG39" s="32" t="n">
        <f aca="false">'Clients &amp; revenue'!AG68/FX_EUR</f>
        <v>34166.8057630165</v>
      </c>
      <c r="AH39" s="32" t="n">
        <f aca="false">'Clients &amp; revenue'!AH68/FX_EUR</f>
        <v>36612.8558163187</v>
      </c>
      <c r="AI39" s="32" t="n">
        <f aca="false">'Clients &amp; revenue'!AI68/FX_EUR</f>
        <v>39193.3070712476</v>
      </c>
      <c r="AJ39" s="32" t="n">
        <f aca="false">'Clients &amp; revenue'!AJ68/FX_EUR</f>
        <v>41787.1034724906</v>
      </c>
      <c r="AK39" s="32" t="n">
        <f aca="false">'Clients &amp; revenue'!AK68/FX_EUR</f>
        <v>44396.7901901051</v>
      </c>
      <c r="AL39" s="32" t="n">
        <f aca="false">'Clients &amp; revenue'!AL68/FX_EUR</f>
        <v>47025.0402682026</v>
      </c>
      <c r="AM39" s="32" t="n">
        <f aca="false">'Clients &amp; revenue'!AM68/FX_EUR</f>
        <v>49796.6219085791</v>
      </c>
      <c r="AN39" s="32" t="n">
        <f aca="false">'Clients &amp; revenue'!AN68/FX_EUR</f>
        <v>52591.029278142</v>
      </c>
      <c r="AO39" s="32" t="n">
        <f aca="false">'Clients &amp; revenue'!AO68/FX_EUR</f>
        <v>55787.4316216744</v>
      </c>
      <c r="AP39" s="32" t="n">
        <f aca="false">'Clients &amp; revenue'!AP68/FX_EUR</f>
        <v>59130.4130696123</v>
      </c>
      <c r="AQ39" s="32" t="n">
        <f aca="false">'Clients &amp; revenue'!AQ68/FX_EUR</f>
        <v>62500.0441098915</v>
      </c>
      <c r="AR39" s="32" t="n">
        <f aca="false">'Clients &amp; revenue'!AR68/FX_EUR</f>
        <v>65900.0585304418</v>
      </c>
      <c r="AS39" s="32" t="n">
        <f aca="false">'Clients &amp; revenue'!AS68/FX_EUR</f>
        <v>69456.3430929781</v>
      </c>
      <c r="AT39" s="32" t="n">
        <f aca="false">'Clients &amp; revenue'!AT68/FX_EUR</f>
        <v>73049.5719016457</v>
      </c>
      <c r="AU39" s="32" t="n">
        <f aca="false">'Clients &amp; revenue'!AU68/FX_EUR</f>
        <v>76684.1183798995</v>
      </c>
      <c r="AV39" s="32" t="n">
        <f aca="false">'Clients &amp; revenue'!AV68/FX_EUR</f>
        <v>80596.3103995687</v>
      </c>
      <c r="AW39" s="32" t="n">
        <f aca="false">'Clients &amp; revenue'!AW68/FX_EUR</f>
        <v>84521.5810414173</v>
      </c>
      <c r="AX39" s="32" t="n">
        <f aca="false">'Clients &amp; revenue'!AX68/FX_EUR</f>
        <v>88547.0515769017</v>
      </c>
      <c r="AY39" s="32" t="n">
        <f aca="false">'Clients &amp; revenue'!AY68/FX_EUR</f>
        <v>92551.0973215327</v>
      </c>
      <c r="AZ39" s="32" t="n">
        <f aca="false">'Clients &amp; revenue'!AZ68/FX_EUR</f>
        <v>96535.6400011671</v>
      </c>
      <c r="BA39" s="32" t="n">
        <f aca="false">'Clients &amp; revenue'!BA68/FX_EUR</f>
        <v>101002.704214307</v>
      </c>
      <c r="BB39" s="32" t="n">
        <f aca="false">'Clients &amp; revenue'!BB68/FX_EUR</f>
        <v>105448.173622872</v>
      </c>
      <c r="BC39" s="32" t="n">
        <f aca="false">'Clients &amp; revenue'!BC68/FX_EUR</f>
        <v>109996.241889183</v>
      </c>
      <c r="BD39" s="32" t="n">
        <f aca="false">'Clients &amp; revenue'!BD68/FX_EUR</f>
        <v>114525.768486583</v>
      </c>
      <c r="BE39" s="32" t="n">
        <f aca="false">'Clients &amp; revenue'!BE68/FX_EUR</f>
        <v>119148.946991695</v>
      </c>
      <c r="BF39" s="32" t="n">
        <f aca="false">'Clients &amp; revenue'!BF68/FX_EUR</f>
        <v>123879.14955427</v>
      </c>
      <c r="BG39" s="32" t="n">
        <f aca="false">'Clients &amp; revenue'!BG68/FX_EUR</f>
        <v>128595.564943359</v>
      </c>
      <c r="BH39" s="32" t="n">
        <f aca="false">'Clients &amp; revenue'!BH68/FX_EUR</f>
        <v>133422.930972954</v>
      </c>
      <c r="BI39" s="32" t="n">
        <f aca="false">'Clients &amp; revenue'!BI68/FX_EUR</f>
        <v>138350.446427406</v>
      </c>
      <c r="BJ39" s="32" t="n">
        <f aca="false">'Clients &amp; revenue'!BJ68/FX_EUR</f>
        <v>143391.997230224</v>
      </c>
      <c r="BK39" s="32" t="n">
        <f aca="false">'Clients &amp; revenue'!BK68/FX_EUR</f>
        <v>148401.18074633</v>
      </c>
      <c r="BL39" s="32" t="n">
        <f aca="false">'Clients &amp; revenue'!BL68/FX_EUR</f>
        <v>153473.315080532</v>
      </c>
    </row>
    <row r="40" customFormat="false" ht="15" hidden="false" customHeight="false" outlineLevel="0" collapsed="false">
      <c r="A40" s="12" t="s">
        <v>1037</v>
      </c>
      <c r="B40" s="14" t="s">
        <v>79</v>
      </c>
      <c r="D40" s="55" t="n">
        <f aca="false">'Clients &amp; revenue'!D69/FX_EUR</f>
        <v>0</v>
      </c>
      <c r="E40" s="32" t="n">
        <f aca="false">'Clients &amp; revenue'!E69/FX_EUR</f>
        <v>0</v>
      </c>
      <c r="F40" s="32" t="n">
        <f aca="false">'Clients &amp; revenue'!F69/FX_EUR</f>
        <v>0</v>
      </c>
      <c r="G40" s="32" t="n">
        <f aca="false">'Clients &amp; revenue'!G69/FX_EUR</f>
        <v>0</v>
      </c>
      <c r="H40" s="32" t="n">
        <f aca="false">'Clients &amp; revenue'!H69/FX_EUR</f>
        <v>0</v>
      </c>
      <c r="I40" s="32" t="n">
        <f aca="false">'Clients &amp; revenue'!I69/FX_EUR</f>
        <v>0</v>
      </c>
      <c r="J40" s="32" t="n">
        <f aca="false">'Clients &amp; revenue'!J69/FX_EUR</f>
        <v>0</v>
      </c>
      <c r="K40" s="32" t="n">
        <f aca="false">'Clients &amp; revenue'!K69/FX_EUR</f>
        <v>0</v>
      </c>
      <c r="L40" s="32" t="n">
        <f aca="false">'Clients &amp; revenue'!L69/FX_EUR</f>
        <v>0</v>
      </c>
      <c r="M40" s="32" t="n">
        <f aca="false">'Clients &amp; revenue'!M69/FX_EUR</f>
        <v>0</v>
      </c>
      <c r="N40" s="32" t="n">
        <f aca="false">'Clients &amp; revenue'!N69/FX_EUR</f>
        <v>0</v>
      </c>
      <c r="O40" s="32" t="n">
        <f aca="false">'Clients &amp; revenue'!O69/FX_EUR</f>
        <v>0</v>
      </c>
      <c r="P40" s="32" t="n">
        <f aca="false">'Clients &amp; revenue'!P69/FX_EUR</f>
        <v>0</v>
      </c>
      <c r="Q40" s="32" t="n">
        <f aca="false">'Clients &amp; revenue'!Q69/FX_EUR</f>
        <v>0</v>
      </c>
      <c r="R40" s="32" t="n">
        <f aca="false">'Clients &amp; revenue'!R69/FX_EUR</f>
        <v>0</v>
      </c>
      <c r="S40" s="32" t="n">
        <f aca="false">'Clients &amp; revenue'!S69/FX_EUR</f>
        <v>0</v>
      </c>
      <c r="T40" s="32" t="n">
        <f aca="false">'Clients &amp; revenue'!T69/FX_EUR</f>
        <v>0</v>
      </c>
      <c r="U40" s="32" t="n">
        <f aca="false">'Clients &amp; revenue'!U69/FX_EUR</f>
        <v>0</v>
      </c>
      <c r="V40" s="32" t="n">
        <f aca="false">'Clients &amp; revenue'!V69/FX_EUR</f>
        <v>0</v>
      </c>
      <c r="W40" s="32" t="n">
        <f aca="false">'Clients &amp; revenue'!W69/FX_EUR</f>
        <v>0</v>
      </c>
      <c r="X40" s="32" t="n">
        <f aca="false">'Clients &amp; revenue'!X69/FX_EUR</f>
        <v>0</v>
      </c>
      <c r="Y40" s="32" t="n">
        <f aca="false">'Clients &amp; revenue'!Y69/FX_EUR</f>
        <v>0</v>
      </c>
      <c r="Z40" s="32" t="n">
        <f aca="false">'Clients &amp; revenue'!Z69/FX_EUR</f>
        <v>0</v>
      </c>
      <c r="AA40" s="32" t="n">
        <f aca="false">'Clients &amp; revenue'!AA69/FX_EUR</f>
        <v>0</v>
      </c>
      <c r="AB40" s="32" t="n">
        <f aca="false">'Clients &amp; revenue'!AB69/FX_EUR</f>
        <v>0</v>
      </c>
      <c r="AC40" s="32" t="n">
        <f aca="false">'Clients &amp; revenue'!AC69/FX_EUR</f>
        <v>0</v>
      </c>
      <c r="AD40" s="32" t="n">
        <f aca="false">'Clients &amp; revenue'!AD69/FX_EUR</f>
        <v>0</v>
      </c>
      <c r="AE40" s="32" t="n">
        <f aca="false">'Clients &amp; revenue'!AE69/FX_EUR</f>
        <v>0</v>
      </c>
      <c r="AF40" s="32" t="n">
        <f aca="false">'Clients &amp; revenue'!AF69/FX_EUR</f>
        <v>0</v>
      </c>
      <c r="AG40" s="32" t="n">
        <f aca="false">'Clients &amp; revenue'!AG69/FX_EUR</f>
        <v>0</v>
      </c>
      <c r="AH40" s="32" t="n">
        <f aca="false">'Clients &amp; revenue'!AH69/FX_EUR</f>
        <v>0</v>
      </c>
      <c r="AI40" s="32" t="n">
        <f aca="false">'Clients &amp; revenue'!AI69/FX_EUR</f>
        <v>0</v>
      </c>
      <c r="AJ40" s="32" t="n">
        <f aca="false">'Clients &amp; revenue'!AJ69/FX_EUR</f>
        <v>0</v>
      </c>
      <c r="AK40" s="32" t="n">
        <f aca="false">'Clients &amp; revenue'!AK69/FX_EUR</f>
        <v>0</v>
      </c>
      <c r="AL40" s="32" t="n">
        <f aca="false">'Clients &amp; revenue'!AL69/FX_EUR</f>
        <v>0</v>
      </c>
      <c r="AM40" s="32" t="n">
        <f aca="false">'Clients &amp; revenue'!AM69/FX_EUR</f>
        <v>0</v>
      </c>
      <c r="AN40" s="32" t="n">
        <f aca="false">'Clients &amp; revenue'!AN69/FX_EUR</f>
        <v>0</v>
      </c>
      <c r="AO40" s="32" t="n">
        <f aca="false">'Clients &amp; revenue'!AO69/FX_EUR</f>
        <v>0</v>
      </c>
      <c r="AP40" s="32" t="n">
        <f aca="false">'Clients &amp; revenue'!AP69/FX_EUR</f>
        <v>0</v>
      </c>
      <c r="AQ40" s="32" t="n">
        <f aca="false">'Clients &amp; revenue'!AQ69/FX_EUR</f>
        <v>0</v>
      </c>
      <c r="AR40" s="32" t="n">
        <f aca="false">'Clients &amp; revenue'!AR69/FX_EUR</f>
        <v>0</v>
      </c>
      <c r="AS40" s="32" t="n">
        <f aca="false">'Clients &amp; revenue'!AS69/FX_EUR</f>
        <v>0</v>
      </c>
      <c r="AT40" s="32" t="n">
        <f aca="false">'Clients &amp; revenue'!AT69/FX_EUR</f>
        <v>0</v>
      </c>
      <c r="AU40" s="32" t="n">
        <f aca="false">'Clients &amp; revenue'!AU69/FX_EUR</f>
        <v>0</v>
      </c>
      <c r="AV40" s="32" t="n">
        <f aca="false">'Clients &amp; revenue'!AV69/FX_EUR</f>
        <v>0</v>
      </c>
      <c r="AW40" s="32" t="n">
        <f aca="false">'Clients &amp; revenue'!AW69/FX_EUR</f>
        <v>0</v>
      </c>
      <c r="AX40" s="32" t="n">
        <f aca="false">'Clients &amp; revenue'!AX69/FX_EUR</f>
        <v>0</v>
      </c>
      <c r="AY40" s="32" t="n">
        <f aca="false">'Clients &amp; revenue'!AY69/FX_EUR</f>
        <v>0</v>
      </c>
      <c r="AZ40" s="32" t="n">
        <f aca="false">'Clients &amp; revenue'!AZ69/FX_EUR</f>
        <v>0</v>
      </c>
      <c r="BA40" s="32" t="n">
        <f aca="false">'Clients &amp; revenue'!BA69/FX_EUR</f>
        <v>0</v>
      </c>
      <c r="BB40" s="32" t="n">
        <f aca="false">'Clients &amp; revenue'!BB69/FX_EUR</f>
        <v>0</v>
      </c>
      <c r="BC40" s="32" t="n">
        <f aca="false">'Clients &amp; revenue'!BC69/FX_EUR</f>
        <v>0</v>
      </c>
      <c r="BD40" s="32" t="n">
        <f aca="false">'Clients &amp; revenue'!BD69/FX_EUR</f>
        <v>0</v>
      </c>
      <c r="BE40" s="32" t="n">
        <f aca="false">'Clients &amp; revenue'!BE69/FX_EUR</f>
        <v>0</v>
      </c>
      <c r="BF40" s="32" t="n">
        <f aca="false">'Clients &amp; revenue'!BF69/FX_EUR</f>
        <v>0</v>
      </c>
      <c r="BG40" s="32" t="n">
        <f aca="false">'Clients &amp; revenue'!BG69/FX_EUR</f>
        <v>0</v>
      </c>
      <c r="BH40" s="32" t="n">
        <f aca="false">'Clients &amp; revenue'!BH69/FX_EUR</f>
        <v>0</v>
      </c>
      <c r="BI40" s="32" t="n">
        <f aca="false">'Clients &amp; revenue'!BI69/FX_EUR</f>
        <v>0</v>
      </c>
      <c r="BJ40" s="32" t="n">
        <f aca="false">'Clients &amp; revenue'!BJ69/FX_EUR</f>
        <v>0</v>
      </c>
      <c r="BK40" s="32" t="n">
        <f aca="false">'Clients &amp; revenue'!BK69/FX_EUR</f>
        <v>0</v>
      </c>
      <c r="BL40" s="32" t="n">
        <f aca="false">'Clients &amp; revenue'!BL69/FX_EUR</f>
        <v>0</v>
      </c>
    </row>
    <row r="41" customFormat="false" ht="15" hidden="false" customHeight="false" outlineLevel="0" collapsed="false">
      <c r="A41" s="8" t="s">
        <v>1038</v>
      </c>
      <c r="B41" s="14" t="s">
        <v>79</v>
      </c>
      <c r="D41" s="55" t="n">
        <f aca="false">'Clients &amp; revenue'!D70/FX_EUR</f>
        <v>28147666.9816555</v>
      </c>
      <c r="E41" s="16" t="n">
        <f aca="false">'Clients &amp; revenue'!E70/FX_EUR</f>
        <v>0</v>
      </c>
      <c r="F41" s="16" t="n">
        <f aca="false">'Clients &amp; revenue'!F70/FX_EUR</f>
        <v>0</v>
      </c>
      <c r="G41" s="16" t="n">
        <f aca="false">'Clients &amp; revenue'!G70/FX_EUR</f>
        <v>0</v>
      </c>
      <c r="H41" s="16" t="n">
        <f aca="false">'Clients &amp; revenue'!H70/FX_EUR</f>
        <v>0</v>
      </c>
      <c r="I41" s="16" t="n">
        <f aca="false">'Clients &amp; revenue'!I70/FX_EUR</f>
        <v>3919.50996787899</v>
      </c>
      <c r="J41" s="16" t="n">
        <f aca="false">'Clients &amp; revenue'!J70/FX_EUR</f>
        <v>9156.75501087216</v>
      </c>
      <c r="K41" s="16" t="n">
        <f aca="false">'Clients &amp; revenue'!K70/FX_EUR</f>
        <v>14384.7508955554</v>
      </c>
      <c r="L41" s="16" t="n">
        <f aca="false">'Clients &amp; revenue'!L70/FX_EUR</f>
        <v>19606.9128403257</v>
      </c>
      <c r="M41" s="16" t="n">
        <f aca="false">'Clients &amp; revenue'!M70/FX_EUR</f>
        <v>24826.8048353628</v>
      </c>
      <c r="N41" s="16" t="n">
        <f aca="false">'Clients &amp; revenue'!N70/FX_EUR</f>
        <v>30048.1494608511</v>
      </c>
      <c r="O41" s="16" t="n">
        <f aca="false">'Clients &amp; revenue'!O70/FX_EUR</f>
        <v>35631.0927151953</v>
      </c>
      <c r="P41" s="16" t="n">
        <f aca="false">'Clients &amp; revenue'!P70/FX_EUR</f>
        <v>41325.8679194419</v>
      </c>
      <c r="Q41" s="16" t="n">
        <f aca="false">'Clients &amp; revenue'!Q70/FX_EUR</f>
        <v>49160.712866336</v>
      </c>
      <c r="R41" s="16" t="n">
        <f aca="false">'Clients &amp; revenue'!R70/FX_EUR</f>
        <v>57774.2678423672</v>
      </c>
      <c r="S41" s="16" t="n">
        <f aca="false">'Clients &amp; revenue'!S70/FX_EUR</f>
        <v>66697.833546888</v>
      </c>
      <c r="T41" s="16" t="n">
        <f aca="false">'Clients &amp; revenue'!T70/FX_EUR</f>
        <v>75937.4507474497</v>
      </c>
      <c r="U41" s="16" t="n">
        <f aca="false">'Clients &amp; revenue'!U70/FX_EUR</f>
        <v>85499.8879711606</v>
      </c>
      <c r="V41" s="16" t="n">
        <f aca="false">'Clients &amp; revenue'!V70/FX_EUR</f>
        <v>95898.8724660974</v>
      </c>
      <c r="W41" s="16" t="n">
        <f aca="false">'Clients &amp; revenue'!W70/FX_EUR</f>
        <v>110458.354132966</v>
      </c>
      <c r="X41" s="16" t="n">
        <f aca="false">'Clients &amp; revenue'!X70/FX_EUR</f>
        <v>126680.826130807</v>
      </c>
      <c r="Y41" s="16" t="n">
        <f aca="false">'Clients &amp; revenue'!Y70/FX_EUR</f>
        <v>144397.22107848</v>
      </c>
      <c r="Z41" s="16" t="n">
        <f aca="false">'Clients &amp; revenue'!Z70/FX_EUR</f>
        <v>163037.372179401</v>
      </c>
      <c r="AA41" s="16" t="n">
        <f aca="false">'Clients &amp; revenue'!AA70/FX_EUR</f>
        <v>180999.276586562</v>
      </c>
      <c r="AB41" s="16" t="n">
        <f aca="false">'Clients &amp; revenue'!AB70/FX_EUR</f>
        <v>199461.490774377</v>
      </c>
      <c r="AC41" s="16" t="n">
        <f aca="false">'Clients &amp; revenue'!AC70/FX_EUR</f>
        <v>220361.259204708</v>
      </c>
      <c r="AD41" s="16" t="n">
        <f aca="false">'Clients &amp; revenue'!AD70/FX_EUR</f>
        <v>242441.10231286</v>
      </c>
      <c r="AE41" s="16" t="n">
        <f aca="false">'Clients &amp; revenue'!AE70/FX_EUR</f>
        <v>265672.251475168</v>
      </c>
      <c r="AF41" s="16" t="n">
        <f aca="false">'Clients &amp; revenue'!AF70/FX_EUR</f>
        <v>289381.827346048</v>
      </c>
      <c r="AG41" s="16" t="n">
        <f aca="false">'Clients &amp; revenue'!AG70/FX_EUR</f>
        <v>313372.572651286</v>
      </c>
      <c r="AH41" s="16" t="n">
        <f aca="false">'Clients &amp; revenue'!AH70/FX_EUR</f>
        <v>336135.808685433</v>
      </c>
      <c r="AI41" s="16" t="n">
        <f aca="false">'Clients &amp; revenue'!AI70/FX_EUR</f>
        <v>359933.633230397</v>
      </c>
      <c r="AJ41" s="16" t="n">
        <f aca="false">'Clients &amp; revenue'!AJ70/FX_EUR</f>
        <v>384076.122172781</v>
      </c>
      <c r="AK41" s="16" t="n">
        <f aca="false">'Clients &amp; revenue'!AK70/FX_EUR</f>
        <v>408369.448423559</v>
      </c>
      <c r="AL41" s="16" t="n">
        <f aca="false">'Clients &amp; revenue'!AL70/FX_EUR</f>
        <v>432838.091523747</v>
      </c>
      <c r="AM41" s="16" t="n">
        <f aca="false">'Clients &amp; revenue'!AM70/FX_EUR</f>
        <v>458423.372365264</v>
      </c>
      <c r="AN41" s="16" t="n">
        <f aca="false">'Clients &amp; revenue'!AN70/FX_EUR</f>
        <v>484440.442211483</v>
      </c>
      <c r="AO41" s="16" t="n">
        <f aca="false">'Clients &amp; revenue'!AO70/FX_EUR</f>
        <v>513523.904882769</v>
      </c>
      <c r="AP41" s="16" t="n">
        <f aca="false">'Clients &amp; revenue'!AP70/FX_EUR</f>
        <v>544424.435790745</v>
      </c>
      <c r="AQ41" s="16" t="n">
        <f aca="false">'Clients &amp; revenue'!AQ70/FX_EUR</f>
        <v>575792.996476751</v>
      </c>
      <c r="AR41" s="16" t="n">
        <f aca="false">'Clients &amp; revenue'!AR70/FX_EUR</f>
        <v>607446.684148875</v>
      </c>
      <c r="AS41" s="16" t="n">
        <f aca="false">'Clients &amp; revenue'!AS70/FX_EUR</f>
        <v>640337.095177547</v>
      </c>
      <c r="AT41" s="16" t="n">
        <f aca="false">'Clients &amp; revenue'!AT70/FX_EUR</f>
        <v>673790.222935885</v>
      </c>
      <c r="AU41" s="16" t="n">
        <f aca="false">'Clients &amp; revenue'!AU70/FX_EUR</f>
        <v>707629.062831148</v>
      </c>
      <c r="AV41" s="16" t="n">
        <f aca="false">'Clients &amp; revenue'!AV70/FX_EUR</f>
        <v>743635.487333539</v>
      </c>
      <c r="AW41" s="16" t="n">
        <f aca="false">'Clients &amp; revenue'!AW70/FX_EUR</f>
        <v>780239.785346658</v>
      </c>
      <c r="AX41" s="16" t="n">
        <f aca="false">'Clients &amp; revenue'!AX70/FX_EUR</f>
        <v>817630.672015032</v>
      </c>
      <c r="AY41" s="16" t="n">
        <f aca="false">'Clients &amp; revenue'!AY70/FX_EUR</f>
        <v>855048.481237833</v>
      </c>
      <c r="AZ41" s="16" t="n">
        <f aca="false">'Clients &amp; revenue'!AZ70/FX_EUR</f>
        <v>892293.517352203</v>
      </c>
      <c r="BA41" s="16" t="n">
        <f aca="false">'Clients &amp; revenue'!BA70/FX_EUR</f>
        <v>933137.757787369</v>
      </c>
      <c r="BB41" s="16" t="n">
        <f aca="false">'Clients &amp; revenue'!BB70/FX_EUR</f>
        <v>974681.106607345</v>
      </c>
      <c r="BC41" s="16" t="n">
        <f aca="false">'Clients &amp; revenue'!BC70/FX_EUR</f>
        <v>1016969.2230416</v>
      </c>
      <c r="BD41" s="16" t="n">
        <f aca="false">'Clients &amp; revenue'!BD70/FX_EUR</f>
        <v>1059311.25438171</v>
      </c>
      <c r="BE41" s="16" t="n">
        <f aca="false">'Clients &amp; revenue'!BE70/FX_EUR</f>
        <v>1102336.19424786</v>
      </c>
      <c r="BF41" s="16" t="n">
        <f aca="false">'Clients &amp; revenue'!BF70/FX_EUR</f>
        <v>1146341.88265124</v>
      </c>
      <c r="BG41" s="16" t="n">
        <f aca="false">'Clients &amp; revenue'!BG70/FX_EUR</f>
        <v>1190445.09074861</v>
      </c>
      <c r="BH41" s="16" t="n">
        <f aca="false">'Clients &amp; revenue'!BH70/FX_EUR</f>
        <v>1235369.58141824</v>
      </c>
      <c r="BI41" s="16" t="n">
        <f aca="false">'Clients &amp; revenue'!BI70/FX_EUR</f>
        <v>1281253.84093191</v>
      </c>
      <c r="BJ41" s="16" t="n">
        <f aca="false">'Clients &amp; revenue'!BJ70/FX_EUR</f>
        <v>1328183.31701654</v>
      </c>
      <c r="BK41" s="16" t="n">
        <f aca="false">'Clients &amp; revenue'!BK70/FX_EUR</f>
        <v>1375083.58335178</v>
      </c>
      <c r="BL41" s="16" t="n">
        <f aca="false">'Clients &amp; revenue'!BL70/FX_EUR</f>
        <v>1422412.46237122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1041</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268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1042</v>
      </c>
      <c r="B9" s="14" t="s">
        <v>89</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1009</v>
      </c>
      <c r="B10" s="14" t="s">
        <v>586</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1043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833</v>
      </c>
      <c r="B13" s="14" t="s">
        <v>96</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246</v>
      </c>
      <c r="B14" s="14" t="s">
        <v>96</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248</v>
      </c>
      <c r="B15" s="14" t="s">
        <v>96</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834</v>
      </c>
      <c r="B16" s="14" t="s">
        <v>96</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835</v>
      </c>
      <c r="B17" s="14" t="s">
        <v>96</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1044</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833</v>
      </c>
      <c r="B20" s="14" t="s">
        <v>77</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246</v>
      </c>
      <c r="B21" s="14" t="s">
        <v>77</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248</v>
      </c>
      <c r="B22" s="14" t="s">
        <v>77</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834</v>
      </c>
      <c r="B23" s="14" t="s">
        <v>77</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835</v>
      </c>
      <c r="B24" s="14" t="s">
        <v>77</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1045</v>
      </c>
      <c r="B25" s="14" t="s">
        <v>77</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1046</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833</v>
      </c>
      <c r="B28" s="14" t="s">
        <v>77</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246</v>
      </c>
      <c r="B29" s="14" t="s">
        <v>77</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248</v>
      </c>
      <c r="B30" s="14" t="s">
        <v>77</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834</v>
      </c>
      <c r="B31" s="14" t="s">
        <v>77</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835</v>
      </c>
      <c r="B32" s="14" t="s">
        <v>77</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1047</v>
      </c>
      <c r="B33" s="14" t="s">
        <v>77</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1048</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1049</v>
      </c>
      <c r="B36" s="14" t="s">
        <v>77</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565</v>
      </c>
      <c r="B37" s="14" t="s">
        <v>77</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825</v>
      </c>
      <c r="B38" s="14" t="s">
        <v>77</v>
      </c>
      <c r="D38" s="55" t="n">
        <f aca="false">SUM(E38:BL38)</f>
        <v>-301156693.048517</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-218286.355625448</v>
      </c>
      <c r="Z38" s="32" t="n">
        <f aca="false">-(Z28*CoR_Factoring+Z29*CoR_Bridge+Z30*CoR_Line+Z31*CoR_Term+Z32*CoR_Advance)*CoR_Mult/12</f>
        <v>-346136.519545368</v>
      </c>
      <c r="AA38" s="32" t="n">
        <f aca="false">-(AA28*CoR_Factoring+AA29*CoR_Bridge+AA30*CoR_Line+AA31*CoR_Term+AA32*CoR_Advance)*CoR_Mult/12</f>
        <v>-494057.474894771</v>
      </c>
      <c r="AB38" s="32" t="n">
        <f aca="false">-(AB28*CoR_Factoring+AB29*CoR_Bridge+AB30*CoR_Line+AB31*CoR_Term+AB32*CoR_Advance)*CoR_Mult/12</f>
        <v>-662067.130607405</v>
      </c>
      <c r="AC38" s="32" t="n">
        <f aca="false">-(AC28*CoR_Factoring+AC29*CoR_Bridge+AC30*CoR_Line+AC31*CoR_Term+AC32*CoR_Advance)*CoR_Mult/12</f>
        <v>-861109.37199433</v>
      </c>
      <c r="AD38" s="32" t="n">
        <f aca="false">-(AD28*CoR_Factoring+AD29*CoR_Bridge+AD30*CoR_Line+AD31*CoR_Term+AD32*CoR_Advance)*CoR_Mult/12</f>
        <v>-1094293.9774856</v>
      </c>
      <c r="AE38" s="32" t="n">
        <f aca="false">-(AE28*CoR_Factoring+AE29*CoR_Bridge+AE30*CoR_Line+AE31*CoR_Term+AE32*CoR_Advance)*CoR_Mult/12</f>
        <v>-1408727.73979744</v>
      </c>
      <c r="AF38" s="32" t="n">
        <f aca="false">-(AF28*CoR_Factoring+AF29*CoR_Bridge+AF30*CoR_Line+AF31*CoR_Term+AF32*CoR_Advance)*CoR_Mult/12</f>
        <v>-1813582.67630315</v>
      </c>
      <c r="AG38" s="32" t="n">
        <f aca="false">-(AG28*CoR_Factoring+AG29*CoR_Bridge+AG30*CoR_Line+AG31*CoR_Term+AG32*CoR_Advance)*CoR_Mult/12</f>
        <v>-2263152.31586347</v>
      </c>
      <c r="AH38" s="32" t="n">
        <f aca="false">-(AH28*CoR_Factoring+AH29*CoR_Bridge+AH30*CoR_Line+AH31*CoR_Term+AH32*CoR_Advance)*CoR_Mult/12</f>
        <v>-2697652.49426658</v>
      </c>
      <c r="AI38" s="32" t="n">
        <f aca="false">-(AI28*CoR_Factoring+AI29*CoR_Bridge+AI30*CoR_Line+AI31*CoR_Term+AI32*CoR_Advance)*CoR_Mult/12</f>
        <v>-3114816.13183541</v>
      </c>
      <c r="AJ38" s="32" t="n">
        <f aca="false">-(AJ28*CoR_Factoring+AJ29*CoR_Bridge+AJ30*CoR_Line+AJ31*CoR_Term+AJ32*CoR_Advance)*CoR_Mult/12</f>
        <v>-3567650.79452406</v>
      </c>
      <c r="AK38" s="32" t="n">
        <f aca="false">-(AK28*CoR_Factoring+AK29*CoR_Bridge+AK30*CoR_Line+AK31*CoR_Term+AK32*CoR_Advance)*CoR_Mult/12</f>
        <v>-3999279.62459462</v>
      </c>
      <c r="AL38" s="32" t="n">
        <f aca="false">-(AL28*CoR_Factoring+AL29*CoR_Bridge+AL30*CoR_Line+AL31*CoR_Term+AL32*CoR_Advance)*CoR_Mult/12</f>
        <v>-4404025.62895798</v>
      </c>
      <c r="AM38" s="32" t="n">
        <f aca="false">-(AM28*CoR_Factoring+AM29*CoR_Bridge+AM30*CoR_Line+AM31*CoR_Term+AM32*CoR_Advance)*CoR_Mult/12</f>
        <v>-4835202.93539596</v>
      </c>
      <c r="AN38" s="32" t="n">
        <f aca="false">-(AN28*CoR_Factoring+AN29*CoR_Bridge+AN30*CoR_Line+AN31*CoR_Term+AN32*CoR_Advance)*CoR_Mult/12</f>
        <v>-5293615.87685723</v>
      </c>
      <c r="AO38" s="32" t="n">
        <f aca="false">-(AO28*CoR_Factoring+AO29*CoR_Bridge+AO30*CoR_Line+AO31*CoR_Term+AO32*CoR_Advance)*CoR_Mult/12</f>
        <v>-5794997.88843347</v>
      </c>
      <c r="AP38" s="32" t="n">
        <f aca="false">-(AP28*CoR_Factoring+AP29*CoR_Bridge+AP30*CoR_Line+AP31*CoR_Term+AP32*CoR_Advance)*CoR_Mult/12</f>
        <v>-6348121.62442247</v>
      </c>
      <c r="AQ38" s="32" t="n">
        <f aca="false">-(AQ28*CoR_Factoring+AQ29*CoR_Bridge+AQ30*CoR_Line+AQ31*CoR_Term+AQ32*CoR_Advance)*CoR_Mult/12</f>
        <v>-6824885.43654674</v>
      </c>
      <c r="AR38" s="32" t="n">
        <f aca="false">-(AR28*CoR_Factoring+AR29*CoR_Bridge+AR30*CoR_Line+AR31*CoR_Term+AR32*CoR_Advance)*CoR_Mult/12</f>
        <v>-7207516.94740631</v>
      </c>
      <c r="AS38" s="32" t="n">
        <f aca="false">-(AS28*CoR_Factoring+AS29*CoR_Bridge+AS30*CoR_Line+AS31*CoR_Term+AS32*CoR_Advance)*CoR_Mult/12</f>
        <v>-7600942.34548257</v>
      </c>
      <c r="AT38" s="32" t="n">
        <f aca="false">-(AT28*CoR_Factoring+AT29*CoR_Bridge+AT30*CoR_Line+AT31*CoR_Term+AT32*CoR_Advance)*CoR_Mult/12</f>
        <v>-7999847.67557595</v>
      </c>
      <c r="AU38" s="32" t="n">
        <f aca="false">-(AU28*CoR_Factoring+AU29*CoR_Bridge+AU30*CoR_Line+AU31*CoR_Term+AU32*CoR_Advance)*CoR_Mult/12</f>
        <v>-8396904.7432082</v>
      </c>
      <c r="AV38" s="32" t="n">
        <f aca="false">-(AV28*CoR_Factoring+AV29*CoR_Bridge+AV30*CoR_Line+AV31*CoR_Term+AV32*CoR_Advance)*CoR_Mult/12</f>
        <v>-8811431.65247608</v>
      </c>
      <c r="AW38" s="32" t="n">
        <f aca="false">-(AW28*CoR_Factoring+AW29*CoR_Bridge+AW30*CoR_Line+AW31*CoR_Term+AW32*CoR_Advance)*CoR_Mult/12</f>
        <v>-9241709.18704295</v>
      </c>
      <c r="AX38" s="32" t="n">
        <f aca="false">-(AX28*CoR_Factoring+AX29*CoR_Bridge+AX30*CoR_Line+AX31*CoR_Term+AX32*CoR_Advance)*CoR_Mult/12</f>
        <v>-9677242.75623255</v>
      </c>
      <c r="AY38" s="32" t="n">
        <f aca="false">-(AY28*CoR_Factoring+AY29*CoR_Bridge+AY30*CoR_Line+AY31*CoR_Term+AY32*CoR_Advance)*CoR_Mult/12</f>
        <v>-10115995.8131842</v>
      </c>
      <c r="AZ38" s="32" t="n">
        <f aca="false">-(AZ28*CoR_Factoring+AZ29*CoR_Bridge+AZ30*CoR_Line+AZ31*CoR_Term+AZ32*CoR_Advance)*CoR_Mult/12</f>
        <v>-10550924.9372171</v>
      </c>
      <c r="BA38" s="32" t="n">
        <f aca="false">-(BA28*CoR_Factoring+BA29*CoR_Bridge+BA30*CoR_Line+BA31*CoR_Term+BA32*CoR_Advance)*CoR_Mult/12</f>
        <v>-11011726.9247323</v>
      </c>
      <c r="BB38" s="32" t="n">
        <f aca="false">-(BB28*CoR_Factoring+BB29*CoR_Bridge+BB30*CoR_Line+BB31*CoR_Term+BB32*CoR_Advance)*CoR_Mult/12</f>
        <v>-11498188.0132396</v>
      </c>
      <c r="BC38" s="32" t="n">
        <f aca="false">-(BC28*CoR_Factoring+BC29*CoR_Bridge+BC30*CoR_Line+BC31*CoR_Term+BC32*CoR_Advance)*CoR_Mult/12</f>
        <v>-11987855.2267747</v>
      </c>
      <c r="BD38" s="32" t="n">
        <f aca="false">-(BD28*CoR_Factoring+BD29*CoR_Bridge+BD30*CoR_Line+BD31*CoR_Term+BD32*CoR_Advance)*CoR_Mult/12</f>
        <v>-12480912.9059463</v>
      </c>
      <c r="BE38" s="32" t="n">
        <f aca="false">-(BE28*CoR_Factoring+BE29*CoR_Bridge+BE30*CoR_Line+BE31*CoR_Term+BE32*CoR_Advance)*CoR_Mult/12</f>
        <v>-12976838.1771767</v>
      </c>
      <c r="BF38" s="32" t="n">
        <f aca="false">-(BF28*CoR_Factoring+BF29*CoR_Bridge+BF30*CoR_Line+BF31*CoR_Term+BF32*CoR_Advance)*CoR_Mult/12</f>
        <v>-13483028.3888706</v>
      </c>
      <c r="BG38" s="32" t="n">
        <f aca="false">-(BG28*CoR_Factoring+BG29*CoR_Bridge+BG30*CoR_Line+BG31*CoR_Term+BG32*CoR_Advance)*CoR_Mult/12</f>
        <v>-13993134.4958241</v>
      </c>
      <c r="BH38" s="32" t="n">
        <f aca="false">-(BH28*CoR_Factoring+BH29*CoR_Bridge+BH30*CoR_Line+BH31*CoR_Term+BH32*CoR_Advance)*CoR_Mult/12</f>
        <v>-14507389.4021741</v>
      </c>
      <c r="BI38" s="32" t="n">
        <f aca="false">-(BI28*CoR_Factoring+BI29*CoR_Bridge+BI30*CoR_Line+BI31*CoR_Term+BI32*CoR_Advance)*CoR_Mult/12</f>
        <v>-15032500.7940769</v>
      </c>
      <c r="BJ38" s="32" t="n">
        <f aca="false">-(BJ28*CoR_Factoring+BJ29*CoR_Bridge+BJ30*CoR_Line+BJ31*CoR_Term+BJ32*CoR_Advance)*CoR_Mult/12</f>
        <v>-15568623.4282078</v>
      </c>
      <c r="BK38" s="32" t="n">
        <f aca="false">-(BK28*CoR_Factoring+BK29*CoR_Bridge+BK30*CoR_Line+BK31*CoR_Term+BK32*CoR_Advance)*CoR_Mult/12</f>
        <v>-16107929.5047105</v>
      </c>
      <c r="BL38" s="32" t="n">
        <f aca="false">-(BL28*CoR_Factoring+BL29*CoR_Bridge+BL30*CoR_Line+BL31*CoR_Term+BL32*CoR_Advance)*CoR_Mult/12</f>
        <v>-16647417.2385813</v>
      </c>
    </row>
    <row r="39" customFormat="false" ht="15" hidden="false" customHeight="false" outlineLevel="0" collapsed="false">
      <c r="A39" s="12" t="s">
        <v>567</v>
      </c>
      <c r="B39" s="14" t="s">
        <v>77</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1050</v>
      </c>
      <c r="B40" s="14" t="s">
        <v>77</v>
      </c>
      <c r="D40" s="55" t="n">
        <f aca="false">SUM(E40:BL40)</f>
        <v>1209752777.71247</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1456461.85012558</v>
      </c>
      <c r="Z40" s="16" t="n">
        <f aca="false">SUM(Z36:Z39)</f>
        <v>2135175.83849608</v>
      </c>
      <c r="AA40" s="16" t="n">
        <f aca="false">SUM(AA36:AA39)</f>
        <v>2914354.26019423</v>
      </c>
      <c r="AB40" s="16" t="n">
        <f aca="false">SUM(AB36:AB39)</f>
        <v>3794123.38187308</v>
      </c>
      <c r="AC40" s="16" t="n">
        <f aca="false">SUM(AC36:AC39)</f>
        <v>4835475.23346623</v>
      </c>
      <c r="AD40" s="16" t="n">
        <f aca="false">SUM(AD36:AD39)</f>
        <v>6053920.45169343</v>
      </c>
      <c r="AE40" s="16" t="n">
        <f aca="false">SUM(AE36:AE39)</f>
        <v>7525064.09593586</v>
      </c>
      <c r="AF40" s="16" t="n">
        <f aca="false">SUM(AF36:AF39)</f>
        <v>9269437.70352771</v>
      </c>
      <c r="AG40" s="16" t="n">
        <f aca="false">SUM(AG36:AG39)</f>
        <v>11186851.5132645</v>
      </c>
      <c r="AH40" s="16" t="n">
        <f aca="false">SUM(AH36:AH39)</f>
        <v>12850008.1362651</v>
      </c>
      <c r="AI40" s="16" t="n">
        <f aca="false">SUM(AI36:AI39)</f>
        <v>14227839.0480723</v>
      </c>
      <c r="AJ40" s="16" t="n">
        <f aca="false">SUM(AJ36:AJ39)</f>
        <v>15694506.2681935</v>
      </c>
      <c r="AK40" s="16" t="n">
        <f aca="false">SUM(AK36:AK39)</f>
        <v>17129185.4089561</v>
      </c>
      <c r="AL40" s="16" t="n">
        <f aca="false">SUM(AL36:AL39)</f>
        <v>18521829.9838287</v>
      </c>
      <c r="AM40" s="16" t="n">
        <f aca="false">SUM(AM36:AM39)</f>
        <v>19988132.1739583</v>
      </c>
      <c r="AN40" s="16" t="n">
        <f aca="false">SUM(AN36:AN39)</f>
        <v>21530296.9311144</v>
      </c>
      <c r="AO40" s="16" t="n">
        <f aca="false">SUM(AO36:AO39)</f>
        <v>23208991.2458635</v>
      </c>
      <c r="AP40" s="16" t="n">
        <f aca="false">SUM(AP36:AP39)</f>
        <v>25055910.7606022</v>
      </c>
      <c r="AQ40" s="16" t="n">
        <f aca="false">SUM(AQ36:AQ39)</f>
        <v>26773112.7802672</v>
      </c>
      <c r="AR40" s="16" t="n">
        <f aca="false">SUM(AR36:AR39)</f>
        <v>28312134.3796755</v>
      </c>
      <c r="AS40" s="16" t="n">
        <f aca="false">SUM(AS36:AS39)</f>
        <v>29897663.9867573</v>
      </c>
      <c r="AT40" s="16" t="n">
        <f aca="false">SUM(AT36:AT39)</f>
        <v>31487616.9063907</v>
      </c>
      <c r="AU40" s="16" t="n">
        <f aca="false">SUM(AU36:AU39)</f>
        <v>33051183.5950386</v>
      </c>
      <c r="AV40" s="16" t="n">
        <f aca="false">SUM(AV36:AV39)</f>
        <v>34683549.3428287</v>
      </c>
      <c r="AW40" s="16" t="n">
        <f aca="false">SUM(AW36:AW39)</f>
        <v>36377958.6449312</v>
      </c>
      <c r="AX40" s="16" t="n">
        <f aca="false">SUM(AX36:AX39)</f>
        <v>38093149.7679379</v>
      </c>
      <c r="AY40" s="16" t="n">
        <f aca="false">SUM(AY36:AY39)</f>
        <v>39821115.2873121</v>
      </c>
      <c r="AZ40" s="16" t="n">
        <f aca="false">SUM(AZ36:AZ39)</f>
        <v>41534159.5944056</v>
      </c>
      <c r="BA40" s="16" t="n">
        <f aca="false">SUM(BA36:BA39)</f>
        <v>43349050.7787695</v>
      </c>
      <c r="BB40" s="16" t="n">
        <f aca="false">SUM(BB36:BB39)</f>
        <v>45264955.643344</v>
      </c>
      <c r="BC40" s="16" t="n">
        <f aca="false">SUM(BC36:BC39)</f>
        <v>47193594.133987</v>
      </c>
      <c r="BD40" s="16" t="n">
        <f aca="false">SUM(BD36:BD39)</f>
        <v>49135690.7538194</v>
      </c>
      <c r="BE40" s="16" t="n">
        <f aca="false">SUM(BE36:BE39)</f>
        <v>51089189.2385628</v>
      </c>
      <c r="BF40" s="16" t="n">
        <f aca="false">SUM(BF36:BF39)</f>
        <v>53083176.2214448</v>
      </c>
      <c r="BG40" s="16" t="n">
        <f aca="false">SUM(BG36:BG39)</f>
        <v>55092688.6668443</v>
      </c>
      <c r="BH40" s="16" t="n">
        <f aca="false">SUM(BH36:BH39)</f>
        <v>57118642.2632016</v>
      </c>
      <c r="BI40" s="16" t="n">
        <f aca="false">SUM(BI36:BI39)</f>
        <v>59187412.2377162</v>
      </c>
      <c r="BJ40" s="16" t="n">
        <f aca="false">SUM(BJ36:BJ39)</f>
        <v>61299609.3009972</v>
      </c>
      <c r="BK40" s="16" t="n">
        <f aca="false">SUM(BK36:BK39)</f>
        <v>63424456.0191231</v>
      </c>
      <c r="BL40" s="16" t="n">
        <f aca="false">SUM(BL36:BL39)</f>
        <v>65550148.6879689</v>
      </c>
    </row>
    <row r="41" customFormat="false" ht="15" hidden="false" customHeight="false" outlineLevel="0" collapsed="false">
      <c r="A41" s="12" t="s">
        <v>1051</v>
      </c>
      <c r="B41" s="14" t="s">
        <v>96</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1052</v>
      </c>
      <c r="B42" s="14" t="s">
        <v>96</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1053</v>
      </c>
      <c r="B43" s="14" t="s">
        <v>77</v>
      </c>
      <c r="D43" s="55" t="n">
        <f aca="false">SUM(E43:BL43)</f>
        <v>1030885274.04224</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728230.92506279</v>
      </c>
      <c r="Z43" s="16" t="n">
        <f aca="false">Z40*Z42</f>
        <v>1067587.91924804</v>
      </c>
      <c r="AA43" s="16" t="n">
        <f aca="false">AA40*AA42</f>
        <v>1457177.13009712</v>
      </c>
      <c r="AB43" s="16" t="n">
        <f aca="false">AB40*AB42</f>
        <v>1897061.69093654</v>
      </c>
      <c r="AC43" s="16" t="n">
        <f aca="false">AC40*AC42</f>
        <v>4405571.52790202</v>
      </c>
      <c r="AD43" s="16" t="n">
        <f aca="false">AD40*AD42</f>
        <v>5465847.01820029</v>
      </c>
      <c r="AE43" s="16" t="n">
        <f aca="false">AE40*AE42</f>
        <v>6745769.47521033</v>
      </c>
      <c r="AF43" s="16" t="n">
        <f aca="false">AF40*AF42</f>
        <v>8259586.45900485</v>
      </c>
      <c r="AG43" s="16" t="n">
        <f aca="false">AG40*AG42</f>
        <v>9916990.0376909</v>
      </c>
      <c r="AH43" s="16" t="n">
        <f aca="false">AH40*AH42</f>
        <v>11341023.5725647</v>
      </c>
      <c r="AI43" s="16" t="n">
        <f aca="false">AI40*AI42</f>
        <v>12514443.7462178</v>
      </c>
      <c r="AJ43" s="16" t="n">
        <f aca="false">AJ40*AJ42</f>
        <v>13763809.7424567</v>
      </c>
      <c r="AK43" s="16" t="n">
        <f aca="false">AK40*AK42</f>
        <v>14983322.7024906</v>
      </c>
      <c r="AL43" s="16" t="n">
        <f aca="false">AL40*AL42</f>
        <v>16164869.8762673</v>
      </c>
      <c r="AM43" s="16" t="n">
        <f aca="false">AM40*AM42</f>
        <v>17416387.3965291</v>
      </c>
      <c r="AN43" s="16" t="n">
        <f aca="false">AN40*AN42</f>
        <v>18733453.4317916</v>
      </c>
      <c r="AO43" s="16" t="n">
        <f aca="false">AO40*AO42</f>
        <v>20137074.7588092</v>
      </c>
      <c r="AP43" s="16" t="n">
        <f aca="false">AP40*AP42</f>
        <v>21692978.8732878</v>
      </c>
      <c r="AQ43" s="16" t="n">
        <f aca="false">AQ40*AQ42</f>
        <v>23136226.6368429</v>
      </c>
      <c r="AR43" s="16" t="n">
        <f aca="false">AR40*AR42</f>
        <v>24425883.7468583</v>
      </c>
      <c r="AS43" s="16" t="n">
        <f aca="false">AS40*AS42</f>
        <v>25764034.1838644</v>
      </c>
      <c r="AT43" s="16" t="n">
        <f aca="false">AT40*AT42</f>
        <v>27106801.3854495</v>
      </c>
      <c r="AU43" s="16" t="n">
        <f aca="false">AU40*AU42</f>
        <v>28427747.6202571</v>
      </c>
      <c r="AV43" s="16" t="n">
        <f aca="false">AV40*AV42</f>
        <v>29798673.0076211</v>
      </c>
      <c r="AW43" s="16" t="n">
        <f aca="false">AW40*AW42</f>
        <v>31221871.1474886</v>
      </c>
      <c r="AX43" s="16" t="n">
        <f aca="false">AX40*AX42</f>
        <v>32667153.6714084</v>
      </c>
      <c r="AY43" s="16" t="n">
        <f aca="false">AY40*AY42</f>
        <v>34119455.1077584</v>
      </c>
      <c r="AZ43" s="16" t="n">
        <f aca="false">AZ40*AZ42</f>
        <v>35554804.4981029</v>
      </c>
      <c r="BA43" s="16" t="n">
        <f aca="false">BA40*BA42</f>
        <v>37050290.6175537</v>
      </c>
      <c r="BB43" s="16" t="n">
        <f aca="false">BB40*BB42</f>
        <v>38627949.2896547</v>
      </c>
      <c r="BC43" s="16" t="n">
        <f aca="false">BC40*BC42</f>
        <v>40220089.7533686</v>
      </c>
      <c r="BD43" s="16" t="n">
        <f aca="false">BD40*BD42</f>
        <v>41818770.0642175</v>
      </c>
      <c r="BE43" s="16" t="n">
        <f aca="false">BE40*BE42</f>
        <v>43404337.3507768</v>
      </c>
      <c r="BF43" s="16" t="n">
        <f aca="false">BF40*BF42</f>
        <v>45027478.87575</v>
      </c>
      <c r="BG43" s="16" t="n">
        <f aca="false">BG40*BG42</f>
        <v>46658100.9234667</v>
      </c>
      <c r="BH43" s="16" t="n">
        <f aca="false">BH40*BH42</f>
        <v>48305173.6987893</v>
      </c>
      <c r="BI43" s="16" t="n">
        <f aca="false">BI40*BI42</f>
        <v>49964620.2717144</v>
      </c>
      <c r="BJ43" s="16" t="n">
        <f aca="false">BJ40*BJ42</f>
        <v>51662875.3129049</v>
      </c>
      <c r="BK43" s="16" t="n">
        <f aca="false">BK40*BK42</f>
        <v>53368776.5516927</v>
      </c>
      <c r="BL43" s="16" t="n">
        <f aca="false">BL40*BL42</f>
        <v>55085496.445073</v>
      </c>
    </row>
    <row r="45" customFormat="false" ht="15" hidden="false" customHeight="false" outlineLevel="0" collapsed="false">
      <c r="A45" s="10" t="s">
        <v>1054</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1055</v>
      </c>
      <c r="B46" s="14" t="s">
        <v>77</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1056</v>
      </c>
    </row>
    <row r="2" customFormat="false" ht="15" hidden="false" customHeight="false" outlineLevel="0" collapsed="false">
      <c r="A2" s="2" t="s">
        <v>1057</v>
      </c>
    </row>
    <row r="3" customFormat="false" ht="15" hidden="false" customHeight="false" outlineLevel="0" collapsed="false">
      <c r="A3" s="8" t="s">
        <v>917</v>
      </c>
      <c r="D3" s="8" t="s">
        <v>918</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919</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87</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268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1043</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1044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833</v>
      </c>
      <c r="B13" s="14" t="s">
        <v>79</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246</v>
      </c>
      <c r="B14" s="14" t="s">
        <v>79</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248</v>
      </c>
      <c r="B15" s="14" t="s">
        <v>79</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834</v>
      </c>
      <c r="B16" s="14" t="s">
        <v>79</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835</v>
      </c>
      <c r="B17" s="14" t="s">
        <v>79</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1045</v>
      </c>
      <c r="B18" s="14" t="s">
        <v>79</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1046</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833</v>
      </c>
      <c r="B21" s="14" t="s">
        <v>79</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246</v>
      </c>
      <c r="B22" s="14" t="s">
        <v>79</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248</v>
      </c>
      <c r="B23" s="14" t="s">
        <v>79</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834</v>
      </c>
      <c r="B24" s="14" t="s">
        <v>79</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835</v>
      </c>
      <c r="B25" s="14" t="s">
        <v>79</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1047</v>
      </c>
      <c r="B26" s="14" t="s">
        <v>79</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1048</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1049</v>
      </c>
      <c r="B29" s="14" t="s">
        <v>79</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565</v>
      </c>
      <c r="B30" s="14" t="s">
        <v>79</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825</v>
      </c>
      <c r="B31" s="14" t="s">
        <v>79</v>
      </c>
      <c r="D31" s="55" t="n">
        <f aca="false">Credit!D38/FX_EUR</f>
        <v>-459110.418897149</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-332.775403914354</v>
      </c>
      <c r="Z31" s="32" t="n">
        <f aca="false">Credit!Z38/FX_EUR</f>
        <v>-527.68172234669</v>
      </c>
      <c r="AA31" s="32" t="n">
        <f aca="false">Credit!AA38/FX_EUR</f>
        <v>-753.185765065045</v>
      </c>
      <c r="AB31" s="32" t="n">
        <f aca="false">Credit!AB38/FX_EUR</f>
        <v>-1009.31483406291</v>
      </c>
      <c r="AC31" s="32" t="n">
        <f aca="false">Credit!AC38/FX_EUR</f>
        <v>-1312.75277494459</v>
      </c>
      <c r="AD31" s="32" t="n">
        <f aca="false">Credit!AD38/FX_EUR</f>
        <v>-1668.24041436496</v>
      </c>
      <c r="AE31" s="32" t="n">
        <f aca="false">Credit!AE38/FX_EUR</f>
        <v>-2147.59159487198</v>
      </c>
      <c r="AF31" s="32" t="n">
        <f aca="false">Credit!AF38/FX_EUR</f>
        <v>-2764.78896681207</v>
      </c>
      <c r="AG31" s="32" t="n">
        <f aca="false">Credit!AG38/FX_EUR</f>
        <v>-3450.15346411956</v>
      </c>
      <c r="AH31" s="32" t="n">
        <f aca="false">Credit!AH38/FX_EUR</f>
        <v>-4112.54471598989</v>
      </c>
      <c r="AI31" s="32" t="n">
        <f aca="false">Credit!AI38/FX_EUR</f>
        <v>-4748.50658173541</v>
      </c>
      <c r="AJ31" s="32" t="n">
        <f aca="false">Credit!AJ38/FX_EUR</f>
        <v>-5438.84857471459</v>
      </c>
      <c r="AK31" s="32" t="n">
        <f aca="false">Credit!AK38/FX_EUR</f>
        <v>-6096.86248427049</v>
      </c>
      <c r="AL31" s="32" t="n">
        <f aca="false">Credit!AL38/FX_EUR</f>
        <v>-6713.89379023013</v>
      </c>
      <c r="AM31" s="32" t="n">
        <f aca="false">Credit!AM38/FX_EUR</f>
        <v>-7371.21935644557</v>
      </c>
      <c r="AN31" s="32" t="n">
        <f aca="false">Credit!AN38/FX_EUR</f>
        <v>-8070.06538059236</v>
      </c>
      <c r="AO31" s="32" t="n">
        <f aca="false">Credit!AO38/FX_EUR</f>
        <v>-8834.4173298455</v>
      </c>
      <c r="AP31" s="32" t="n">
        <f aca="false">Credit!AP38/FX_EUR</f>
        <v>-9677.64902946759</v>
      </c>
      <c r="AQ31" s="32" t="n">
        <f aca="false">Credit!AQ38/FX_EUR</f>
        <v>-10404.4707755946</v>
      </c>
      <c r="AR31" s="32" t="n">
        <f aca="false">Credit!AR38/FX_EUR</f>
        <v>-10987.7887535407</v>
      </c>
      <c r="AS31" s="32" t="n">
        <f aca="false">Credit!AS38/FX_EUR</f>
        <v>-11587.5619064703</v>
      </c>
      <c r="AT31" s="32" t="n">
        <f aca="false">Credit!AT38/FX_EUR</f>
        <v>-12195.6891619054</v>
      </c>
      <c r="AU31" s="32" t="n">
        <f aca="false">Credit!AU38/FX_EUR</f>
        <v>-12800.9987593824</v>
      </c>
      <c r="AV31" s="32" t="n">
        <f aca="false">Credit!AV38/FX_EUR</f>
        <v>-13432.9409587459</v>
      </c>
      <c r="AW31" s="32" t="n">
        <f aca="false">Credit!AW38/FX_EUR</f>
        <v>-14088.8948315864</v>
      </c>
      <c r="AX31" s="32" t="n">
        <f aca="false">Credit!AX38/FX_EUR</f>
        <v>-14752.861477555</v>
      </c>
      <c r="AY31" s="32" t="n">
        <f aca="false">Credit!AY38/FX_EUR</f>
        <v>-15421.7362009769</v>
      </c>
      <c r="AZ31" s="32" t="n">
        <f aca="false">Credit!AZ38/FX_EUR</f>
        <v>-16084.7813762443</v>
      </c>
      <c r="BA31" s="32" t="n">
        <f aca="false">Credit!BA38/FX_EUR</f>
        <v>-16787.2694776218</v>
      </c>
      <c r="BB31" s="32" t="n">
        <f aca="false">Credit!BB38/FX_EUR</f>
        <v>-17528.8746262934</v>
      </c>
      <c r="BC31" s="32" t="n">
        <f aca="false">Credit!BC38/FX_EUR</f>
        <v>-18275.3674810615</v>
      </c>
      <c r="BD31" s="32" t="n">
        <f aca="false">Credit!BD38/FX_EUR</f>
        <v>-19027.0290673722</v>
      </c>
      <c r="BE31" s="32" t="n">
        <f aca="false">Credit!BE38/FX_EUR</f>
        <v>-19783.0622695949</v>
      </c>
      <c r="BF31" s="32" t="n">
        <f aca="false">Credit!BF38/FX_EUR</f>
        <v>-20554.7442726742</v>
      </c>
      <c r="BG31" s="32" t="n">
        <f aca="false">Credit!BG38/FX_EUR</f>
        <v>-21332.3960195929</v>
      </c>
      <c r="BH31" s="32" t="n">
        <f aca="false">Credit!BH38/FX_EUR</f>
        <v>-22116.3725704186</v>
      </c>
      <c r="BI31" s="32" t="n">
        <f aca="false">Credit!BI38/FX_EUR</f>
        <v>-22916.8997267761</v>
      </c>
      <c r="BJ31" s="32" t="n">
        <f aca="false">Credit!BJ38/FX_EUR</f>
        <v>-23734.213413696</v>
      </c>
      <c r="BK31" s="32" t="n">
        <f aca="false">Credit!BK38/FX_EUR</f>
        <v>-24556.3802272261</v>
      </c>
      <c r="BL31" s="32" t="n">
        <f aca="false">Credit!BL38/FX_EUR</f>
        <v>-25378.8239756285</v>
      </c>
    </row>
    <row r="32" customFormat="false" ht="15" hidden="false" customHeight="false" outlineLevel="0" collapsed="false">
      <c r="A32" s="12" t="s">
        <v>567</v>
      </c>
      <c r="B32" s="14" t="s">
        <v>79</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1050</v>
      </c>
      <c r="B33" s="14" t="s">
        <v>79</v>
      </c>
      <c r="D33" s="55" t="n">
        <f aca="false">Credit!D40/FX_EUR</f>
        <v>1844256.22062493</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2220.36177695425</v>
      </c>
      <c r="Z33" s="16" t="n">
        <f aca="false">Credit!Z40/FX_EUR</f>
        <v>3255.05458207792</v>
      </c>
      <c r="AA33" s="16" t="n">
        <f aca="false">Credit!AA40/FX_EUR</f>
        <v>4442.90442848271</v>
      </c>
      <c r="AB33" s="16" t="n">
        <f aca="false">Credit!AB40/FX_EUR</f>
        <v>5784.10380844031</v>
      </c>
      <c r="AC33" s="16" t="n">
        <f aca="false">Credit!AC40/FX_EUR</f>
        <v>7371.63447217765</v>
      </c>
      <c r="AD33" s="16" t="n">
        <f aca="false">Credit!AD40/FX_EUR</f>
        <v>9229.14223294123</v>
      </c>
      <c r="AE33" s="16" t="n">
        <f aca="false">Credit!AE40/FX_EUR</f>
        <v>11471.8862607394</v>
      </c>
      <c r="AF33" s="16" t="n">
        <f aca="false">Credit!AF40/FX_EUR</f>
        <v>14131.166682462</v>
      </c>
      <c r="AG33" s="16" t="n">
        <f aca="false">Credit!AG40/FX_EUR</f>
        <v>17054.24519178</v>
      </c>
      <c r="AH33" s="16" t="n">
        <f aca="false">Credit!AH40/FX_EUR</f>
        <v>19589.7111186635</v>
      </c>
      <c r="AI33" s="16" t="n">
        <f aca="false">Credit!AI40/FX_EUR</f>
        <v>21690.2008029067</v>
      </c>
      <c r="AJ33" s="16" t="n">
        <f aca="false">Credit!AJ40/FX_EUR</f>
        <v>23926.1205661248</v>
      </c>
      <c r="AK33" s="16" t="n">
        <f aca="false">Credit!AK40/FX_EUR</f>
        <v>26113.2748167275</v>
      </c>
      <c r="AL33" s="16" t="n">
        <f aca="false">Credit!AL40/FX_EUR</f>
        <v>28236.3477847309</v>
      </c>
      <c r="AM33" s="16" t="n">
        <f aca="false">Credit!AM40/FX_EUR</f>
        <v>30471.7110633141</v>
      </c>
      <c r="AN33" s="16" t="n">
        <f aca="false">Credit!AN40/FX_EUR</f>
        <v>32822.7260797802</v>
      </c>
      <c r="AO33" s="16" t="n">
        <f aca="false">Credit!AO40/FX_EUR</f>
        <v>35381.8790650355</v>
      </c>
      <c r="AP33" s="16" t="n">
        <f aca="false">Credit!AP40/FX_EUR</f>
        <v>38197.4897144207</v>
      </c>
      <c r="AQ33" s="16" t="n">
        <f aca="false">Credit!AQ40/FX_EUR</f>
        <v>40815.3473173808</v>
      </c>
      <c r="AR33" s="16" t="n">
        <f aca="false">Credit!AR40/FX_EUR</f>
        <v>43161.5706207503</v>
      </c>
      <c r="AS33" s="16" t="n">
        <f aca="false">Credit!AS40/FX_EUR</f>
        <v>45578.6949247546</v>
      </c>
      <c r="AT33" s="16" t="n">
        <f aca="false">Credit!AT40/FX_EUR</f>
        <v>48002.5625252733</v>
      </c>
      <c r="AU33" s="16" t="n">
        <f aca="false">Credit!AU40/FX_EUR</f>
        <v>50386.2045759686</v>
      </c>
      <c r="AV33" s="16" t="n">
        <f aca="false">Credit!AV40/FX_EUR</f>
        <v>52874.7301161947</v>
      </c>
      <c r="AW33" s="16" t="n">
        <f aca="false">Credit!AW40/FX_EUR</f>
        <v>55457.8404452292</v>
      </c>
      <c r="AX33" s="16" t="n">
        <f aca="false">Credit!AX40/FX_EUR</f>
        <v>58072.6324559963</v>
      </c>
      <c r="AY33" s="16" t="n">
        <f aca="false">Credit!AY40/FX_EUR</f>
        <v>60706.8989084835</v>
      </c>
      <c r="AZ33" s="16" t="n">
        <f aca="false">Credit!AZ40/FX_EUR</f>
        <v>63318.418119489</v>
      </c>
      <c r="BA33" s="16" t="n">
        <f aca="false">Credit!BA40/FX_EUR</f>
        <v>66085.2018939801</v>
      </c>
      <c r="BB33" s="16" t="n">
        <f aca="false">Credit!BB40/FX_EUR</f>
        <v>69005.9800312277</v>
      </c>
      <c r="BC33" s="16" t="n">
        <f aca="false">Credit!BC40/FX_EUR</f>
        <v>71946.1704562754</v>
      </c>
      <c r="BD33" s="16" t="n">
        <f aca="false">Credit!BD40/FX_EUR</f>
        <v>74906.8776670108</v>
      </c>
      <c r="BE33" s="16" t="n">
        <f aca="false">Credit!BE40/FX_EUR</f>
        <v>77884.9669087498</v>
      </c>
      <c r="BF33" s="16" t="n">
        <f aca="false">Credit!BF40/FX_EUR</f>
        <v>80924.7804679953</v>
      </c>
      <c r="BG33" s="16" t="n">
        <f aca="false">Credit!BG40/FX_EUR</f>
        <v>83988.2624422704</v>
      </c>
      <c r="BH33" s="16" t="n">
        <f aca="false">Credit!BH40/FX_EUR</f>
        <v>87076.808789603</v>
      </c>
      <c r="BI33" s="16" t="n">
        <f aca="false">Credit!BI40/FX_EUR</f>
        <v>90230.6282846531</v>
      </c>
      <c r="BJ33" s="16" t="n">
        <f aca="false">Credit!BJ40/FX_EUR</f>
        <v>93450.6519497424</v>
      </c>
      <c r="BK33" s="16" t="n">
        <f aca="false">Credit!BK40/FX_EUR</f>
        <v>96689.9598893267</v>
      </c>
      <c r="BL33" s="16" t="n">
        <f aca="false">Credit!BL40/FX_EUR</f>
        <v>99930.5574724699</v>
      </c>
    </row>
    <row r="34" customFormat="false" ht="15" hidden="false" customHeight="false" outlineLevel="0" collapsed="false">
      <c r="A34" s="8" t="s">
        <v>1053</v>
      </c>
      <c r="B34" s="14" t="s">
        <v>79</v>
      </c>
      <c r="D34" s="55" t="n">
        <f aca="false">Credit!D43/FX_EUR</f>
        <v>1571574.46912258</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1110.18088847713</v>
      </c>
      <c r="Z34" s="16" t="n">
        <f aca="false">Credit!Z43/FX_EUR</f>
        <v>1627.52729103896</v>
      </c>
      <c r="AA34" s="16" t="n">
        <f aca="false">Credit!AA43/FX_EUR</f>
        <v>2221.45221424136</v>
      </c>
      <c r="AB34" s="16" t="n">
        <f aca="false">Credit!AB43/FX_EUR</f>
        <v>2892.05190422016</v>
      </c>
      <c r="AC34" s="16" t="n">
        <f aca="false">Credit!AC43/FX_EUR</f>
        <v>6716.25049797779</v>
      </c>
      <c r="AD34" s="16" t="n">
        <f aca="false">Credit!AD43/FX_EUR</f>
        <v>8332.63006294664</v>
      </c>
      <c r="AE34" s="16" t="n">
        <f aca="false">Credit!AE43/FX_EUR</f>
        <v>10283.8592700594</v>
      </c>
      <c r="AF34" s="16" t="n">
        <f aca="false">Credit!AF43/FX_EUR</f>
        <v>12591.6583846271</v>
      </c>
      <c r="AG34" s="16" t="n">
        <f aca="false">Credit!AG43/FX_EUR</f>
        <v>15118.3538519917</v>
      </c>
      <c r="AH34" s="16" t="n">
        <f aca="false">Credit!AH43/FX_EUR</f>
        <v>17289.2789810379</v>
      </c>
      <c r="AI34" s="16" t="n">
        <f aca="false">Credit!AI43/FX_EUR</f>
        <v>19078.1465038376</v>
      </c>
      <c r="AJ34" s="16" t="n">
        <f aca="false">Credit!AJ43/FX_EUR</f>
        <v>20982.7926868022</v>
      </c>
      <c r="AK34" s="16" t="n">
        <f aca="false">Credit!AK43/FX_EUR</f>
        <v>22841.9282094568</v>
      </c>
      <c r="AL34" s="16" t="n">
        <f aca="false">Credit!AL43/FX_EUR</f>
        <v>24643.1852640757</v>
      </c>
      <c r="AM34" s="16" t="n">
        <f aca="false">Credit!AM43/FX_EUR</f>
        <v>26551.1114242688</v>
      </c>
      <c r="AN34" s="16" t="n">
        <f aca="false">Credit!AN43/FX_EUR</f>
        <v>28558.9656513943</v>
      </c>
      <c r="AO34" s="16" t="n">
        <f aca="false">Credit!AO43/FX_EUR</f>
        <v>30698.7725701673</v>
      </c>
      <c r="AP34" s="16" t="n">
        <f aca="false">Credit!AP43/FX_EUR</f>
        <v>33070.7331018463</v>
      </c>
      <c r="AQ34" s="16" t="n">
        <f aca="false">Credit!AQ43/FX_EUR</f>
        <v>35270.950133687</v>
      </c>
      <c r="AR34" s="16" t="n">
        <f aca="false">Credit!AR43/FX_EUR</f>
        <v>37237.0197236379</v>
      </c>
      <c r="AS34" s="16" t="n">
        <f aca="false">Credit!AS43/FX_EUR</f>
        <v>39277.0169140118</v>
      </c>
      <c r="AT34" s="16" t="n">
        <f aca="false">Credit!AT43/FX_EUR</f>
        <v>41324.0523166146</v>
      </c>
      <c r="AU34" s="16" t="n">
        <f aca="false">Credit!AU43/FX_EUR</f>
        <v>43337.8218698133</v>
      </c>
      <c r="AV34" s="16" t="n">
        <f aca="false">Credit!AV43/FX_EUR</f>
        <v>45427.7841499078</v>
      </c>
      <c r="AW34" s="16" t="n">
        <f aca="false">Credit!AW43/FX_EUR</f>
        <v>47597.435727477</v>
      </c>
      <c r="AX34" s="16" t="n">
        <f aca="false">Credit!AX43/FX_EUR</f>
        <v>49800.7547314968</v>
      </c>
      <c r="AY34" s="16" t="n">
        <f aca="false">Credit!AY43/FX_EUR</f>
        <v>52014.773998537</v>
      </c>
      <c r="AZ34" s="16" t="n">
        <f aca="false">Credit!AZ43/FX_EUR</f>
        <v>54202.9500380405</v>
      </c>
      <c r="BA34" s="16" t="n">
        <f aca="false">Credit!BA43/FX_EUR</f>
        <v>56482.8039300651</v>
      </c>
      <c r="BB34" s="16" t="n">
        <f aca="false">Credit!BB43/FX_EUR</f>
        <v>58887.9290710439</v>
      </c>
      <c r="BC34" s="16" t="n">
        <f aca="false">Credit!BC43/FX_EUR</f>
        <v>61315.1315610148</v>
      </c>
      <c r="BD34" s="16" t="n">
        <f aca="false">Credit!BD43/FX_EUR</f>
        <v>63752.303983672</v>
      </c>
      <c r="BE34" s="16" t="n">
        <f aca="false">Credit!BE43/FX_EUR</f>
        <v>66169.4857296695</v>
      </c>
      <c r="BF34" s="16" t="n">
        <f aca="false">Credit!BF43/FX_EUR</f>
        <v>68643.9490328635</v>
      </c>
      <c r="BG34" s="16" t="n">
        <f aca="false">Credit!BG43/FX_EUR</f>
        <v>71129.8163194641</v>
      </c>
      <c r="BH34" s="16" t="n">
        <f aca="false">Credit!BH43/FX_EUR</f>
        <v>73640.7625786283</v>
      </c>
      <c r="BI34" s="16" t="n">
        <f aca="false">Credit!BI43/FX_EUR</f>
        <v>76170.5725706325</v>
      </c>
      <c r="BJ34" s="16" t="n">
        <f aca="false">Credit!BJ43/FX_EUR</f>
        <v>78759.5456911122</v>
      </c>
      <c r="BK34" s="16" t="n">
        <f aca="false">Credit!BK43/FX_EUR</f>
        <v>81360.175364685</v>
      </c>
      <c r="BL34" s="16" t="n">
        <f aca="false">Credit!BL43/FX_EUR</f>
        <v>83977.2979708625</v>
      </c>
    </row>
    <row r="36" customFormat="false" ht="15" hidden="false" customHeight="false" outlineLevel="0" collapsed="false">
      <c r="A36" s="10" t="s">
        <v>1054</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1055</v>
      </c>
      <c r="B37" s="14" t="s">
        <v>79</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1058</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1059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488</v>
      </c>
      <c r="B9" s="14" t="s">
        <v>77</v>
      </c>
      <c r="D9" s="55" t="n">
        <f aca="false">SUM(E9:BL9)</f>
        <v>478594563.518326</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123666.666666667</v>
      </c>
      <c r="J9" s="32" t="n">
        <f aca="false">'Clients &amp; revenue'!J17*Bank_Fee</f>
        <v>246492.833333333</v>
      </c>
      <c r="K9" s="32" t="n">
        <f aca="false">'Clients &amp; revenue'!K17*Bank_Fee</f>
        <v>368566.8725</v>
      </c>
      <c r="L9" s="32" t="n">
        <f aca="false">'Clients &amp; revenue'!L17*Bank_Fee</f>
        <v>489979.968388542</v>
      </c>
      <c r="M9" s="32" t="n">
        <f aca="false">'Clients &amp; revenue'!M17*Bank_Fee</f>
        <v>610826.332225849</v>
      </c>
      <c r="N9" s="32" t="n">
        <f aca="false">'Clients &amp; revenue'!N17*Bank_Fee</f>
        <v>731203.429550257</v>
      </c>
      <c r="O9" s="32" t="n">
        <f aca="false">'Clients &amp; revenue'!O17*Bank_Fee</f>
        <v>851212.220280079</v>
      </c>
      <c r="P9" s="32" t="n">
        <f aca="false">'Clients &amp; revenue'!P17*Bank_Fee</f>
        <v>970957.412327047</v>
      </c>
      <c r="Q9" s="32" t="n">
        <f aca="false">'Clients &amp; revenue'!Q17*Bank_Fee</f>
        <v>1134214.39625076</v>
      </c>
      <c r="R9" s="32" t="n">
        <f aca="false">'Clients &amp; revenue'!R17*Bank_Fee</f>
        <v>1296709.02849969</v>
      </c>
      <c r="S9" s="32" t="n">
        <f aca="false">'Clients &amp; revenue'!S17*Bank_Fee</f>
        <v>1458571.70333665</v>
      </c>
      <c r="T9" s="32" t="n">
        <f aca="false">'Clients &amp; revenue'!T17*Bank_Fee</f>
        <v>1619937.49324085</v>
      </c>
      <c r="U9" s="32" t="n">
        <f aca="false">'Clients &amp; revenue'!U17*Bank_Fee</f>
        <v>1780946.48824744</v>
      </c>
      <c r="V9" s="32" t="n">
        <f aca="false">'Clients &amp; revenue'!V17*Bank_Fee</f>
        <v>1941744.15452435</v>
      </c>
      <c r="W9" s="32" t="n">
        <f aca="false">'Clients &amp; revenue'!W17*Bank_Fee</f>
        <v>2197148.38002925</v>
      </c>
      <c r="X9" s="32" t="n">
        <f aca="false">'Clients &amp; revenue'!X17*Bank_Fee</f>
        <v>2451987.87515948</v>
      </c>
      <c r="Y9" s="32" t="n">
        <f aca="false">'Clients &amp; revenue'!Y17*Bank_Fee</f>
        <v>2726493.43638226</v>
      </c>
      <c r="Z9" s="32" t="n">
        <f aca="false">'Clients &amp; revenue'!Z17*Bank_Fee</f>
        <v>3000574.98596534</v>
      </c>
      <c r="AA9" s="32" t="n">
        <f aca="false">'Clients &amp; revenue'!AA17*Bank_Fee</f>
        <v>3274488.0575105</v>
      </c>
      <c r="AB9" s="32" t="n">
        <f aca="false">'Clients &amp; revenue'!AB17*Bank_Fee</f>
        <v>3548498.50937231</v>
      </c>
      <c r="AC9" s="32" t="n">
        <f aca="false">'Clients &amp; revenue'!AC17*Bank_Fee</f>
        <v>3910549.90404639</v>
      </c>
      <c r="AD9" s="32" t="n">
        <f aca="false">'Clients &amp; revenue'!AD17*Bank_Fee</f>
        <v>4271817.76187021</v>
      </c>
      <c r="AE9" s="32" t="n">
        <f aca="false">'Clients &amp; revenue'!AE17*Bank_Fee</f>
        <v>4652629.00069687</v>
      </c>
      <c r="AF9" s="32" t="n">
        <f aca="false">'Clients &amp; revenue'!AF17*Bank_Fee</f>
        <v>5032993.49415168</v>
      </c>
      <c r="AG9" s="32" t="n">
        <f aca="false">'Clients &amp; revenue'!AG17*Bank_Fee</f>
        <v>5413270.82292242</v>
      </c>
      <c r="AH9" s="32" t="n">
        <f aca="false">'Clients &amp; revenue'!AH17*Bank_Fee</f>
        <v>5793835.26919363</v>
      </c>
      <c r="AI9" s="32" t="n">
        <f aca="false">'Clients &amp; revenue'!AI17*Bank_Fee</f>
        <v>6195076.82657132</v>
      </c>
      <c r="AJ9" s="32" t="n">
        <f aca="false">'Clients &amp; revenue'!AJ17*Bank_Fee</f>
        <v>6597072.268159</v>
      </c>
      <c r="AK9" s="32" t="n">
        <f aca="false">'Clients &amp; revenue'!AK17*Bank_Fee</f>
        <v>7000252.12632165</v>
      </c>
      <c r="AL9" s="32" t="n">
        <f aca="false">'Clients &amp; revenue'!AL17*Bank_Fee</f>
        <v>7405065.929323</v>
      </c>
      <c r="AM9" s="32" t="n">
        <f aca="false">'Clients &amp; revenue'!AM17*Bank_Fee</f>
        <v>7831983.4680058</v>
      </c>
      <c r="AN9" s="32" t="n">
        <f aca="false">'Clients &amp; revenue'!AN17*Bank_Fee</f>
        <v>8261166.13604871</v>
      </c>
      <c r="AO9" s="32" t="n">
        <f aca="false">'Clients &amp; revenue'!AO17*Bank_Fee</f>
        <v>8754800.86492815</v>
      </c>
      <c r="AP9" s="32" t="n">
        <f aca="false">'Clients &amp; revenue'!AP17*Bank_Fee</f>
        <v>9270748.16641789</v>
      </c>
      <c r="AQ9" s="32" t="n">
        <f aca="false">'Clients &amp; revenue'!AQ17*Bank_Fee</f>
        <v>9789266.76100195</v>
      </c>
      <c r="AR9" s="32" t="n">
        <f aca="false">'Clients &amp; revenue'!AR17*Bank_Fee</f>
        <v>10310978.5729355</v>
      </c>
      <c r="AS9" s="32" t="n">
        <f aca="false">'Clients &amp; revenue'!AS17*Bank_Fee</f>
        <v>10856534.5607141</v>
      </c>
      <c r="AT9" s="32" t="n">
        <f aca="false">'Clients &amp; revenue'!AT17*Bank_Fee</f>
        <v>11406286.6126987</v>
      </c>
      <c r="AU9" s="32" t="n">
        <f aca="false">'Clients &amp; revenue'!AU17*Bank_Fee</f>
        <v>11960955.4035482</v>
      </c>
      <c r="AV9" s="32" t="n">
        <f aca="false">'Clients &amp; revenue'!AV17*Bank_Fee</f>
        <v>12559296.5596007</v>
      </c>
      <c r="AW9" s="32" t="n">
        <f aca="false">'Clients &amp; revenue'!AW17*Bank_Fee</f>
        <v>13157761.5507667</v>
      </c>
      <c r="AX9" s="32" t="n">
        <f aca="false">'Clients &amp; revenue'!AX17*Bank_Fee</f>
        <v>13770659.6898967</v>
      </c>
      <c r="AY9" s="32" t="n">
        <f aca="false">'Clients &amp; revenue'!AY17*Bank_Fee</f>
        <v>14378007.8214088</v>
      </c>
      <c r="AZ9" s="32" t="n">
        <f aca="false">'Clients &amp; revenue'!AZ17*Bank_Fee</f>
        <v>14980167.422547</v>
      </c>
      <c r="BA9" s="32" t="n">
        <f aca="false">'Clients &amp; revenue'!BA17*Bank_Fee</f>
        <v>15659509.3944946</v>
      </c>
      <c r="BB9" s="32" t="n">
        <f aca="false">'Clients &amp; revenue'!BB17*Bank_Fee</f>
        <v>16333061.8548576</v>
      </c>
      <c r="BC9" s="32" t="n">
        <f aca="false">'Clients &amp; revenue'!BC17*Bank_Fee</f>
        <v>17021240.9583681</v>
      </c>
      <c r="BD9" s="32" t="n">
        <f aca="false">'Clients &amp; revenue'!BD17*Bank_Fee</f>
        <v>17704144.3483802</v>
      </c>
      <c r="BE9" s="32" t="n">
        <f aca="false">'Clients &amp; revenue'!BE17*Bank_Fee</f>
        <v>18400217.945704</v>
      </c>
      <c r="BF9" s="32" t="n">
        <f aca="false">'Clients &amp; revenue'!BF17*Bank_Fee</f>
        <v>19111623.9804514</v>
      </c>
      <c r="BG9" s="32" t="n">
        <f aca="false">'Clients &amp; revenue'!BG17*Bank_Fee</f>
        <v>19818511.3042782</v>
      </c>
      <c r="BH9" s="32" t="n">
        <f aca="false">'Clients &amp; revenue'!BH17*Bank_Fee</f>
        <v>20541379.9830154</v>
      </c>
      <c r="BI9" s="32" t="n">
        <f aca="false">'Clients &amp; revenue'!BI17*Bank_Fee</f>
        <v>21278416.5069852</v>
      </c>
      <c r="BJ9" s="32" t="n">
        <f aca="false">'Clients &amp; revenue'!BJ17*Bank_Fee</f>
        <v>22031863.8773798</v>
      </c>
      <c r="BK9" s="32" t="n">
        <f aca="false">'Clients &amp; revenue'!BK17*Bank_Fee</f>
        <v>22777670.4494267</v>
      </c>
      <c r="BL9" s="32" t="n">
        <f aca="false">'Clients &amp; revenue'!BL17*Bank_Fee</f>
        <v>23531525.6774188</v>
      </c>
    </row>
    <row r="10" customFormat="false" ht="15" hidden="false" customHeight="false" outlineLevel="0" collapsed="false">
      <c r="A10" s="12" t="s">
        <v>1060</v>
      </c>
      <c r="B10" s="14" t="s">
        <v>77</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1061</v>
      </c>
      <c r="B11" s="14" t="s">
        <v>77</v>
      </c>
      <c r="D11" s="55" t="n">
        <f aca="false">SUM(E11:BL11)</f>
        <v>901669871.500618</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222600</v>
      </c>
      <c r="J11" s="32" t="n">
        <f aca="false">'Clients &amp; revenue'!J35*Card_Proc_Fee</f>
        <v>444503.3</v>
      </c>
      <c r="K11" s="32" t="n">
        <f aca="false">'Clients &amp; revenue'!K35*Card_Proc_Fee</f>
        <v>665853.61025</v>
      </c>
      <c r="L11" s="32" t="n">
        <f aca="false">'Clients &amp; revenue'!L35*Card_Proc_Fee</f>
        <v>886800.479610625</v>
      </c>
      <c r="M11" s="32" t="n">
        <f aca="false">'Clients &amp; revenue'!M35*Card_Proc_Fee</f>
        <v>1107499.69198208</v>
      </c>
      <c r="N11" s="32" t="n">
        <f aca="false">'Clients &amp; revenue'!N35*Card_Proc_Fee</f>
        <v>1328113.6857011</v>
      </c>
      <c r="O11" s="32" t="n">
        <f aca="false">'Clients &amp; revenue'!O35*Card_Proc_Fee</f>
        <v>1548811.99729918</v>
      </c>
      <c r="P11" s="32" t="n">
        <f aca="false">'Clients &amp; revenue'!P35*Card_Proc_Fee</f>
        <v>1769771.73109859</v>
      </c>
      <c r="Q11" s="32" t="n">
        <f aca="false">'Clients &amp; revenue'!Q35*Card_Proc_Fee</f>
        <v>2069778.05621105</v>
      </c>
      <c r="R11" s="32" t="n">
        <f aca="false">'Clients &amp; revenue'!R35*Card_Proc_Fee</f>
        <v>2369416.03259749</v>
      </c>
      <c r="S11" s="32" t="n">
        <f aca="false">'Clients &amp; revenue'!S35*Card_Proc_Fee</f>
        <v>2668903.33819676</v>
      </c>
      <c r="T11" s="32" t="n">
        <f aca="false">'Clients &amp; revenue'!T35*Card_Proc_Fee</f>
        <v>2968467.14809652</v>
      </c>
      <c r="U11" s="32" t="n">
        <f aca="false">'Clients &amp; revenue'!U35*Card_Proc_Fee</f>
        <v>3268344.76295392</v>
      </c>
      <c r="V11" s="32" t="n">
        <f aca="false">'Clients &amp; revenue'!V35*Card_Proc_Fee</f>
        <v>3568784.27408756</v>
      </c>
      <c r="W11" s="32" t="n">
        <f aca="false">'Clients &amp; revenue'!W35*Card_Proc_Fee</f>
        <v>4040445.26746051</v>
      </c>
      <c r="X11" s="32" t="n">
        <f aca="false">'Clients &amp; revenue'!X35*Card_Proc_Fee</f>
        <v>4512632.7689062</v>
      </c>
      <c r="Y11" s="32" t="n">
        <f aca="false">'Clients &amp; revenue'!Y35*Card_Proc_Fee</f>
        <v>5021740.06409051</v>
      </c>
      <c r="Z11" s="32" t="n">
        <f aca="false">'Clients &amp; revenue'!Z35*Card_Proc_Fee</f>
        <v>5531716.67126941</v>
      </c>
      <c r="AA11" s="32" t="n">
        <f aca="false">'Clients &amp; revenue'!AA35*Card_Proc_Fee</f>
        <v>6043000.28831409</v>
      </c>
      <c r="AB11" s="32" t="n">
        <f aca="false">'Clients &amp; revenue'!AB35*Card_Proc_Fee</f>
        <v>6556049.16911777</v>
      </c>
      <c r="AC11" s="32" t="n">
        <f aca="false">'Clients &amp; revenue'!AC35*Card_Proc_Fee</f>
        <v>7229143.4504757</v>
      </c>
      <c r="AD11" s="32" t="n">
        <f aca="false">'Clients &amp; revenue'!AD35*Card_Proc_Fee</f>
        <v>7902961.45693155</v>
      </c>
      <c r="AE11" s="32" t="n">
        <f aca="false">'Clients &amp; revenue'!AE35*Card_Proc_Fee</f>
        <v>8614061.0415487</v>
      </c>
      <c r="AF11" s="32" t="n">
        <f aca="false">'Clients &amp; revenue'!AF35*Card_Proc_Fee</f>
        <v>9326563.92573454</v>
      </c>
      <c r="AG11" s="32" t="n">
        <f aca="false">'Clients &amp; revenue'!AG35*Card_Proc_Fee</f>
        <v>10041088.1408214</v>
      </c>
      <c r="AH11" s="32" t="n">
        <f aca="false">'Clients &amp; revenue'!AH35*Card_Proc_Fee</f>
        <v>10758280.9280645</v>
      </c>
      <c r="AI11" s="32" t="n">
        <f aca="false">'Clients &amp; revenue'!AI35*Card_Proc_Fee</f>
        <v>11514820.6199032</v>
      </c>
      <c r="AJ11" s="32" t="n">
        <f aca="false">'Clients &amp; revenue'!AJ35*Card_Proc_Fee</f>
        <v>12274956.631837</v>
      </c>
      <c r="AK11" s="32" t="n">
        <f aca="false">'Clients &amp; revenue'!AK35*Card_Proc_Fee</f>
        <v>13039442.336594</v>
      </c>
      <c r="AL11" s="32" t="n">
        <f aca="false">'Clients &amp; revenue'!AL35*Card_Proc_Fee</f>
        <v>13809068.4226856</v>
      </c>
      <c r="AM11" s="32" t="n">
        <f aca="false">'Clients &amp; revenue'!AM35*Card_Proc_Fee</f>
        <v>14620665.2617466</v>
      </c>
      <c r="AN11" s="32" t="n">
        <f aca="false">'Clients &amp; revenue'!AN35*Card_Proc_Fee</f>
        <v>15438643.4156678</v>
      </c>
      <c r="AO11" s="32" t="n">
        <f aca="false">'Clients &amp; revenue'!AO35*Card_Proc_Fee</f>
        <v>16374927.0569463</v>
      </c>
      <c r="AP11" s="32" t="n">
        <f aca="false">'Clients &amp; revenue'!AP35*Card_Proc_Fee</f>
        <v>17354063.4062036</v>
      </c>
      <c r="AQ11" s="32" t="n">
        <f aca="false">'Clients &amp; revenue'!AQ35*Card_Proc_Fee</f>
        <v>18340633.571987</v>
      </c>
      <c r="AR11" s="32" t="n">
        <f aca="false">'Clients &amp; revenue'!AR35*Card_Proc_Fee</f>
        <v>19335740.7755683</v>
      </c>
      <c r="AS11" s="32" t="n">
        <f aca="false">'Clients &amp; revenue'!AS35*Card_Proc_Fee</f>
        <v>20376544.8268299</v>
      </c>
      <c r="AT11" s="32" t="n">
        <f aca="false">'Clients &amp; revenue'!AT35*Card_Proc_Fee</f>
        <v>21427803.6754949</v>
      </c>
      <c r="AU11" s="32" t="n">
        <f aca="false">'Clients &amp; revenue'!AU35*Card_Proc_Fee</f>
        <v>22490807.9377027</v>
      </c>
      <c r="AV11" s="32" t="n">
        <f aca="false">'Clients &amp; revenue'!AV35*Card_Proc_Fee</f>
        <v>23635316.0056161</v>
      </c>
      <c r="AW11" s="32" t="n">
        <f aca="false">'Clients &amp; revenue'!AW35*Card_Proc_Fee</f>
        <v>24783194.624654</v>
      </c>
      <c r="AX11" s="32" t="n">
        <f aca="false">'Clients &amp; revenue'!AX35*Card_Proc_Fee</f>
        <v>25960164.2087596</v>
      </c>
      <c r="AY11" s="32" t="n">
        <f aca="false">'Clients &amp; revenue'!AY35*Card_Proc_Fee</f>
        <v>27130313.6363584</v>
      </c>
      <c r="AZ11" s="32" t="n">
        <f aca="false">'Clients &amp; revenue'!AZ35*Card_Proc_Fee</f>
        <v>28294219.5605211</v>
      </c>
      <c r="BA11" s="32" t="n">
        <f aca="false">'Clients &amp; revenue'!BA35*Card_Proc_Fee</f>
        <v>29600078.901692</v>
      </c>
      <c r="BB11" s="32" t="n">
        <f aca="false">'Clients &amp; revenue'!BB35*Card_Proc_Fee</f>
        <v>30899016.0954308</v>
      </c>
      <c r="BC11" s="32" t="n">
        <f aca="false">'Clients &amp; revenue'!BC35*Card_Proc_Fee</f>
        <v>32227700.7594794</v>
      </c>
      <c r="BD11" s="32" t="n">
        <f aca="false">'Clients &amp; revenue'!BD35*Card_Proc_Fee</f>
        <v>33550364.9247472</v>
      </c>
      <c r="BE11" s="32" t="n">
        <f aca="false">'Clients &amp; revenue'!BE35*Card_Proc_Fee</f>
        <v>34900135.5198533</v>
      </c>
      <c r="BF11" s="32" t="n">
        <f aca="false">'Clients &amp; revenue'!BF35*Card_Proc_Fee</f>
        <v>36280951.5144119</v>
      </c>
      <c r="BG11" s="32" t="n">
        <f aca="false">'Clients &amp; revenue'!BG35*Card_Proc_Fee</f>
        <v>37657141.5324686</v>
      </c>
      <c r="BH11" s="32" t="n">
        <f aca="false">'Clients &amp; revenue'!BH35*Card_Proc_Fee</f>
        <v>39065534.6660122</v>
      </c>
      <c r="BI11" s="32" t="n">
        <f aca="false">'Clients &amp; revenue'!BI35*Card_Proc_Fee</f>
        <v>40502931.7555332</v>
      </c>
      <c r="BJ11" s="32" t="n">
        <f aca="false">'Clients &amp; revenue'!BJ35*Card_Proc_Fee</f>
        <v>41973422.6374205</v>
      </c>
      <c r="BK11" s="32" t="n">
        <f aca="false">'Clients &amp; revenue'!BK35*Card_Proc_Fee</f>
        <v>43433780.9880374</v>
      </c>
      <c r="BL11" s="32" t="n">
        <f aca="false">'Clients &amp; revenue'!BL35*Card_Proc_Fee</f>
        <v>44912154.949636</v>
      </c>
    </row>
    <row r="12" customFormat="false" ht="15" hidden="false" customHeight="false" outlineLevel="0" collapsed="false">
      <c r="A12" s="12" t="s">
        <v>814</v>
      </c>
      <c r="B12" s="14" t="s">
        <v>77</v>
      </c>
      <c r="D12" s="55" t="n">
        <f aca="false">SUM(E12:BL12)</f>
        <v>128033648.818159</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511980</v>
      </c>
      <c r="J12" s="32" t="n">
        <f aca="false">'Clients &amp; revenue'!J33*Card_Prod_Cost</f>
        <v>516948</v>
      </c>
      <c r="K12" s="32" t="n">
        <f aca="false">'Clients &amp; revenue'!K33*Card_Prod_Cost</f>
        <v>522214.08</v>
      </c>
      <c r="L12" s="32" t="n">
        <f aca="false">'Clients &amp; revenue'!L33*Card_Prod_Cost</f>
        <v>527796.1248</v>
      </c>
      <c r="M12" s="32" t="n">
        <f aca="false">'Clients &amp; revenue'!M33*Card_Prod_Cost</f>
        <v>533713.092288</v>
      </c>
      <c r="N12" s="32" t="n">
        <f aca="false">'Clients &amp; revenue'!N33*Card_Prod_Cost</f>
        <v>539985.07782528</v>
      </c>
      <c r="O12" s="32" t="n">
        <f aca="false">'Clients &amp; revenue'!O33*Card_Prod_Cost</f>
        <v>546633.382494797</v>
      </c>
      <c r="P12" s="32" t="n">
        <f aca="false">'Clients &amp; revenue'!P33*Card_Prod_Cost</f>
        <v>553680.585444485</v>
      </c>
      <c r="Q12" s="32" t="n">
        <f aca="false">'Clients &amp; revenue'!Q33*Card_Prod_Cost</f>
        <v>741930.620571154</v>
      </c>
      <c r="R12" s="32" t="n">
        <f aca="false">'Clients &amp; revenue'!R33*Card_Prod_Cost</f>
        <v>749848.857805423</v>
      </c>
      <c r="S12" s="32" t="n">
        <f aca="false">'Clients &amp; revenue'!S33*Card_Prod_Cost</f>
        <v>758242.189273749</v>
      </c>
      <c r="T12" s="32" t="n">
        <f aca="false">'Clients &amp; revenue'!T33*Card_Prod_Cost</f>
        <v>767139.120630173</v>
      </c>
      <c r="U12" s="32" t="n">
        <f aca="false">'Clients &amp; revenue'!U33*Card_Prod_Cost</f>
        <v>776569.867867984</v>
      </c>
      <c r="V12" s="32" t="n">
        <f aca="false">'Clients &amp; revenue'!V33*Card_Prod_Cost</f>
        <v>786566.459940063</v>
      </c>
      <c r="W12" s="32" t="n">
        <f aca="false">'Clients &amp; revenue'!W33*Card_Prod_Cost</f>
        <v>1189082.84753647</v>
      </c>
      <c r="X12" s="32" t="n">
        <f aca="false">'Clients &amp; revenue'!X33*Card_Prod_Cost</f>
        <v>1204041.01838865</v>
      </c>
      <c r="Y12" s="32" t="n">
        <f aca="false">'Clients &amp; revenue'!Y33*Card_Prod_Cost</f>
        <v>1302696.67949197</v>
      </c>
      <c r="Z12" s="32" t="n">
        <f aca="false">'Clients &amp; revenue'!Z33*Card_Prod_Cost</f>
        <v>1319503.68026149</v>
      </c>
      <c r="AA12" s="32" t="n">
        <f aca="false">'Clients &amp; revenue'!AA33*Card_Prod_Cost</f>
        <v>1337319.10107718</v>
      </c>
      <c r="AB12" s="32" t="n">
        <f aca="false">'Clients &amp; revenue'!AB33*Card_Prod_Cost</f>
        <v>1356203.44714181</v>
      </c>
      <c r="AC12" s="32" t="n">
        <f aca="false">'Clients &amp; revenue'!AC33*Card_Prod_Cost</f>
        <v>1739160.85397032</v>
      </c>
      <c r="AD12" s="32" t="n">
        <f aca="false">'Clients &amp; revenue'!AD33*Card_Prod_Cost</f>
        <v>1760379.30520854</v>
      </c>
      <c r="AE12" s="32" t="n">
        <f aca="false">'Clients &amp; revenue'!AE33*Card_Prod_Cost</f>
        <v>1865670.86352105</v>
      </c>
      <c r="AF12" s="32" t="n">
        <f aca="false">'Clients &amp; revenue'!AF33*Card_Prod_Cost</f>
        <v>1889511.91533232</v>
      </c>
      <c r="AG12" s="32" t="n">
        <f aca="false">'Clients &amp; revenue'!AG33*Card_Prod_Cost</f>
        <v>1914783.43025226</v>
      </c>
      <c r="AH12" s="32" t="n">
        <f aca="false">'Clients &amp; revenue'!AH33*Card_Prod_Cost</f>
        <v>1941571.23606739</v>
      </c>
      <c r="AI12" s="32" t="n">
        <f aca="false">'Clients &amp; revenue'!AI33*Card_Prod_Cost</f>
        <v>2052766.31023143</v>
      </c>
      <c r="AJ12" s="32" t="n">
        <f aca="false">'Clients &amp; revenue'!AJ33*Card_Prod_Cost</f>
        <v>2082865.08884532</v>
      </c>
      <c r="AK12" s="32" t="n">
        <f aca="false">'Clients &amp; revenue'!AK33*Card_Prod_Cost</f>
        <v>2114769.79417604</v>
      </c>
      <c r="AL12" s="32" t="n">
        <f aca="false">'Clients &amp; revenue'!AL33*Card_Prod_Cost</f>
        <v>2148588.7818266</v>
      </c>
      <c r="AM12" s="32" t="n">
        <f aca="false">'Clients &amp; revenue'!AM33*Card_Prod_Cost</f>
        <v>2267236.9087362</v>
      </c>
      <c r="AN12" s="32" t="n">
        <f aca="false">'Clients &amp; revenue'!AN33*Card_Prod_Cost</f>
        <v>2305235.92326037</v>
      </c>
      <c r="AO12" s="32" t="n">
        <f aca="false">'Clients &amp; revenue'!AO33*Card_Prod_Cost</f>
        <v>2600814.87865599</v>
      </c>
      <c r="AP12" s="32" t="n">
        <f aca="false">'Clients &amp; revenue'!AP33*Card_Prod_Cost</f>
        <v>2726310.57137535</v>
      </c>
      <c r="AQ12" s="32" t="n">
        <f aca="false">'Clients &amp; revenue'!AQ33*Card_Prod_Cost</f>
        <v>2771568.00565787</v>
      </c>
      <c r="AR12" s="32" t="n">
        <f aca="false">'Clients &amp; revenue'!AR33*Card_Prod_Cost</f>
        <v>2819540.88599735</v>
      </c>
      <c r="AS12" s="32" t="n">
        <f aca="false">'Clients &amp; revenue'!AS33*Card_Prod_Cost</f>
        <v>2953192.13915719</v>
      </c>
      <c r="AT12" s="32" t="n">
        <f aca="false">'Clients &amp; revenue'!AT33*Card_Prod_Cost</f>
        <v>3007094.46750662</v>
      </c>
      <c r="AU12" s="32" t="n">
        <f aca="false">'Clients &amp; revenue'!AU33*Card_Prod_Cost</f>
        <v>3064230.93555702</v>
      </c>
      <c r="AV12" s="32" t="n">
        <f aca="false">'Clients &amp; revenue'!AV33*Card_Prod_Cost</f>
        <v>3282115.59169044</v>
      </c>
      <c r="AW12" s="32" t="n">
        <f aca="false">'Clients &amp; revenue'!AW33*Card_Prod_Cost</f>
        <v>3322656.68199783</v>
      </c>
      <c r="AX12" s="32" t="n">
        <f aca="false">'Clients &amp; revenue'!AX33*Card_Prod_Cost</f>
        <v>3422407.6829177</v>
      </c>
      <c r="AY12" s="32" t="n">
        <f aca="false">'Clients &amp; revenue'!AY33*Card_Prod_Cost</f>
        <v>3440375.74389277</v>
      </c>
      <c r="AZ12" s="32" t="n">
        <f aca="false">'Clients &amp; revenue'!AZ33*Card_Prod_Cost</f>
        <v>3459421.88852633</v>
      </c>
      <c r="BA12" s="32" t="n">
        <f aca="false">'Clients &amp; revenue'!BA33*Card_Prod_Cost</f>
        <v>3819090.80183791</v>
      </c>
      <c r="BB12" s="32" t="n">
        <f aca="false">'Clients &amp; revenue'!BB33*Card_Prod_Cost</f>
        <v>3840491.04994819</v>
      </c>
      <c r="BC12" s="32" t="n">
        <f aca="false">'Clients &amp; revenue'!BC33*Card_Prod_Cost</f>
        <v>3945975.31294508</v>
      </c>
      <c r="BD12" s="32" t="n">
        <f aca="false">'Clients &amp; revenue'!BD33*Card_Prod_Cost</f>
        <v>3970020.63172178</v>
      </c>
      <c r="BE12" s="32" t="n">
        <f aca="false">'Clients &amp; revenue'!BE33*Card_Prod_Cost</f>
        <v>4070028.66962509</v>
      </c>
      <c r="BF12" s="32" t="n">
        <f aca="false">'Clients &amp; revenue'!BF33*Card_Prod_Cost</f>
        <v>4179845.9898026</v>
      </c>
      <c r="BG12" s="32" t="n">
        <f aca="false">'Clients &amp; revenue'!BG33*Card_Prod_Cost</f>
        <v>4208484.34919075</v>
      </c>
      <c r="BH12" s="32" t="n">
        <f aca="false">'Clients &amp; revenue'!BH33*Card_Prod_Cost</f>
        <v>4321641.0101422</v>
      </c>
      <c r="BI12" s="32" t="n">
        <f aca="false">'Clients &amp; revenue'!BI33*Card_Prod_Cost</f>
        <v>4428339.07075073</v>
      </c>
      <c r="BJ12" s="32" t="n">
        <f aca="false">'Clients &amp; revenue'!BJ33*Card_Prod_Cost</f>
        <v>4545247.81499577</v>
      </c>
      <c r="BK12" s="32" t="n">
        <f aca="false">'Clients &amp; revenue'!BK33*Card_Prod_Cost</f>
        <v>4563660</v>
      </c>
      <c r="BL12" s="32" t="n">
        <f aca="false">'Clients &amp; revenue'!BL33*Card_Prod_Cost</f>
        <v>4646460</v>
      </c>
    </row>
    <row r="13" customFormat="false" ht="15" hidden="false" customHeight="false" outlineLevel="0" collapsed="false">
      <c r="A13" s="12" t="s">
        <v>501</v>
      </c>
      <c r="B13" s="14" t="s">
        <v>77</v>
      </c>
      <c r="D13" s="55" t="n">
        <f aca="false">SUM(E13:BL13)</f>
        <v>2160504148.59745</v>
      </c>
      <c r="E13" s="32" t="n">
        <f aca="false">'Clients &amp; revenue'!E37*Scheme_Rate</f>
        <v>0</v>
      </c>
      <c r="F13" s="32" t="n">
        <f aca="false">'Clients &amp; revenue'!F37*Scheme_Rate</f>
        <v>0</v>
      </c>
      <c r="G13" s="32" t="n">
        <f aca="false">'Clients &amp; revenue'!G37*Scheme_Rate</f>
        <v>0</v>
      </c>
      <c r="H13" s="32" t="n">
        <f aca="false">'Clients &amp; revenue'!H37*Scheme_Rate</f>
        <v>0</v>
      </c>
      <c r="I13" s="32" t="n">
        <f aca="false">'Clients &amp; revenue'!I37*Scheme_Rate</f>
        <v>528304</v>
      </c>
      <c r="J13" s="32" t="n">
        <f aca="false">'Clients &amp; revenue'!J37*Scheme_Rate</f>
        <v>1055368.04</v>
      </c>
      <c r="K13" s="32" t="n">
        <f aca="false">'Clients &amp; revenue'!K37*Scheme_Rate</f>
        <v>1581525.7437</v>
      </c>
      <c r="L13" s="32" t="n">
        <f aca="false">'Clients &amp; revenue'!L37*Scheme_Rate</f>
        <v>2107124.97559225</v>
      </c>
      <c r="M13" s="32" t="n">
        <f aca="false">'Clients &amp; revenue'!M37*Scheme_Rate</f>
        <v>2632528.78677258</v>
      </c>
      <c r="N13" s="32" t="n">
        <f aca="false">'Clients &amp; revenue'!N37*Scheme_Rate</f>
        <v>3158116.41593305</v>
      </c>
      <c r="O13" s="32" t="n">
        <f aca="false">'Clients &amp; revenue'!O37*Scheme_Rate</f>
        <v>3684284.34887513</v>
      </c>
      <c r="P13" s="32" t="n">
        <f aca="false">'Clients &amp; revenue'!P37*Scheme_Rate</f>
        <v>4211447.4400827</v>
      </c>
      <c r="Q13" s="32" t="n">
        <f aca="false">'Clients &amp; revenue'!Q37*Scheme_Rate</f>
        <v>4926584.10010557</v>
      </c>
      <c r="R13" s="32" t="n">
        <f aca="false">'Clients &amp; revenue'!R37*Scheme_Rate</f>
        <v>5641357.59272925</v>
      </c>
      <c r="S13" s="32" t="n">
        <f aca="false">'Clients &amp; revenue'!S37*Scheme_Rate</f>
        <v>6356276.29384426</v>
      </c>
      <c r="T13" s="32" t="n">
        <f aca="false">'Clients &amp; revenue'!T37*Scheme_Rate</f>
        <v>7071871.65323324</v>
      </c>
      <c r="U13" s="32" t="n">
        <f aca="false">'Clients &amp; revenue'!U37*Scheme_Rate</f>
        <v>7788699.69551531</v>
      </c>
      <c r="V13" s="32" t="n">
        <f aca="false">'Clients &amp; revenue'!V37*Scheme_Rate</f>
        <v>8507342.60916048</v>
      </c>
      <c r="W13" s="32" t="n">
        <f aca="false">'Clients &amp; revenue'!W37*Scheme_Rate</f>
        <v>9632826.42889423</v>
      </c>
      <c r="X13" s="32" t="n">
        <f aca="false">'Clients &amp; revenue'!X37*Scheme_Rate</f>
        <v>10760346.1771308</v>
      </c>
      <c r="Y13" s="32" t="n">
        <f aca="false">'Clients &amp; revenue'!Y37*Scheme_Rate</f>
        <v>11976264.6092116</v>
      </c>
      <c r="Z13" s="32" t="n">
        <f aca="false">'Clients &amp; revenue'!Z37*Scheme_Rate</f>
        <v>13195079.0519016</v>
      </c>
      <c r="AA13" s="32" t="n">
        <f aca="false">'Clients &amp; revenue'!AA37*Scheme_Rate</f>
        <v>14417817.6309339</v>
      </c>
      <c r="AB13" s="32" t="n">
        <f aca="false">'Clients &amp; revenue'!AB37*Scheme_Rate</f>
        <v>15645558.2411883</v>
      </c>
      <c r="AC13" s="32" t="n">
        <f aca="false">'Clients &amp; revenue'!AC37*Scheme_Rate</f>
        <v>17253943.7190934</v>
      </c>
      <c r="AD13" s="32" t="n">
        <f aca="false">'Clients &amp; revenue'!AD37*Scheme_Rate</f>
        <v>18865136.1222064</v>
      </c>
      <c r="AE13" s="32" t="n">
        <f aca="false">'Clients &amp; revenue'!AE37*Scheme_Rate</f>
        <v>20565884.699357</v>
      </c>
      <c r="AF13" s="32" t="n">
        <f aca="false">'Clients &amp; revenue'!AF37*Scheme_Rate</f>
        <v>22271091.7630591</v>
      </c>
      <c r="AG13" s="32" t="n">
        <f aca="false">'Clients &amp; revenue'!AG37*Scheme_Rate</f>
        <v>23982210.0993754</v>
      </c>
      <c r="AH13" s="32" t="n">
        <f aca="false">'Clients &amp; revenue'!AH37*Scheme_Rate</f>
        <v>25700763.1901247</v>
      </c>
      <c r="AI13" s="32" t="n">
        <f aca="false">'Clients &amp; revenue'!AI37*Scheme_Rate</f>
        <v>27513789.7112276</v>
      </c>
      <c r="AJ13" s="32" t="n">
        <f aca="false">'Clients &amp; revenue'!AJ37*Scheme_Rate</f>
        <v>29336498.6965994</v>
      </c>
      <c r="AK13" s="32" t="n">
        <f aca="false">'Clients &amp; revenue'!AK37*Scheme_Rate</f>
        <v>31170667.9856014</v>
      </c>
      <c r="AL13" s="32" t="n">
        <f aca="false">'Clients &amp; revenue'!AL37*Scheme_Rate</f>
        <v>33018165.5451051</v>
      </c>
      <c r="AM13" s="32" t="n">
        <f aca="false">'Clients &amp; revenue'!AM37*Scheme_Rate</f>
        <v>34966395.1337033</v>
      </c>
      <c r="AN13" s="32" t="n">
        <f aca="false">'Clients &amp; revenue'!AN37*Scheme_Rate</f>
        <v>36930952.7014339</v>
      </c>
      <c r="AO13" s="32" t="n">
        <f aca="false">'Clients &amp; revenue'!AO37*Scheme_Rate</f>
        <v>39177466.1472276</v>
      </c>
      <c r="AP13" s="32" t="n">
        <f aca="false">'Clients &amp; revenue'!AP37*Scheme_Rate</f>
        <v>41527063.4295826</v>
      </c>
      <c r="AQ13" s="32" t="n">
        <f aca="false">'Clients &amp; revenue'!AQ37*Scheme_Rate</f>
        <v>43895743.0922156</v>
      </c>
      <c r="AR13" s="32" t="n">
        <f aca="false">'Clients &amp; revenue'!AR37*Scheme_Rate</f>
        <v>46286116.1584852</v>
      </c>
      <c r="AS13" s="32" t="n">
        <f aca="false">'Clients &amp; revenue'!AS37*Scheme_Rate</f>
        <v>48786370.1302784</v>
      </c>
      <c r="AT13" s="32" t="n">
        <f aca="false">'Clients &amp; revenue'!AT37*Scheme_Rate</f>
        <v>51312927.8887096</v>
      </c>
      <c r="AU13" s="32" t="n">
        <f aca="false">'Clients &amp; revenue'!AU37*Scheme_Rate</f>
        <v>53868850.1015996</v>
      </c>
      <c r="AV13" s="32" t="n">
        <f aca="false">'Clients &amp; revenue'!AV37*Scheme_Rate</f>
        <v>56619696.7421985</v>
      </c>
      <c r="AW13" s="32" t="n">
        <f aca="false">'Clients &amp; revenue'!AW37*Scheme_Rate</f>
        <v>59380161.2203532</v>
      </c>
      <c r="AX13" s="32" t="n">
        <f aca="false">'Clients &amp; revenue'!AX37*Scheme_Rate</f>
        <v>62211269.2518498</v>
      </c>
      <c r="AY13" s="32" t="n">
        <f aca="false">'Clients &amp; revenue'!AY37*Scheme_Rate</f>
        <v>65027822.4348512</v>
      </c>
      <c r="AZ13" s="32" t="n">
        <f aca="false">'Clients &amp; revenue'!AZ37*Scheme_Rate</f>
        <v>67831152.8659503</v>
      </c>
      <c r="BA13" s="32" t="n">
        <f aca="false">'Clients &amp; revenue'!BA37*Scheme_Rate</f>
        <v>70972946.375356</v>
      </c>
      <c r="BB13" s="32" t="n">
        <f aca="false">'Clients &amp; revenue'!BB37*Scheme_Rate</f>
        <v>74100112.615477</v>
      </c>
      <c r="BC13" s="32" t="n">
        <f aca="false">'Clients &amp; revenue'!BC37*Scheme_Rate</f>
        <v>77299641.6568108</v>
      </c>
      <c r="BD13" s="32" t="n">
        <f aca="false">'Clients &amp; revenue'!BD37*Scheme_Rate</f>
        <v>80486673.7569713</v>
      </c>
      <c r="BE13" s="32" t="n">
        <f aca="false">'Clients &amp; revenue'!BE37*Scheme_Rate</f>
        <v>83739792.8607982</v>
      </c>
      <c r="BF13" s="32" t="n">
        <f aca="false">'Clients &amp; revenue'!BF37*Scheme_Rate</f>
        <v>87068372.2738515</v>
      </c>
      <c r="BG13" s="32" t="n">
        <f aca="false">'Clients &amp; revenue'!BG37*Scheme_Rate</f>
        <v>90387783.7150273</v>
      </c>
      <c r="BH13" s="32" t="n">
        <f aca="false">'Clients &amp; revenue'!BH37*Scheme_Rate</f>
        <v>93785399.9565283</v>
      </c>
      <c r="BI13" s="32" t="n">
        <f aca="false">'Clients &amp; revenue'!BI37*Scheme_Rate</f>
        <v>97253662.3460283</v>
      </c>
      <c r="BJ13" s="32" t="n">
        <f aca="false">'Clients &amp; revenue'!BJ37*Scheme_Rate</f>
        <v>100802305.016582</v>
      </c>
      <c r="BK13" s="32" t="n">
        <f aca="false">'Clients &amp; revenue'!BK37*Scheme_Rate</f>
        <v>104328772.28722</v>
      </c>
      <c r="BL13" s="32" t="n">
        <f aca="false">'Clients &amp; revenue'!BL37*Scheme_Rate</f>
        <v>107899823.071809</v>
      </c>
    </row>
    <row r="14" customFormat="false" ht="15" hidden="false" customHeight="false" outlineLevel="0" collapsed="false">
      <c r="A14" s="12" t="s">
        <v>503</v>
      </c>
      <c r="B14" s="14" t="s">
        <v>77</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794</v>
      </c>
      <c r="B15" s="14" t="s">
        <v>77</v>
      </c>
      <c r="D15" s="55" t="n">
        <f aca="false">SUM(E15:BL15)</f>
        <v>2729055705.54594</v>
      </c>
      <c r="E15" s="32" t="n">
        <f aca="false">'Clients &amp; revenue'!E31*Wallet_Share*(IF(MM_Cost_Cap&gt;0,MIN(MM_Cost_Pct*Avg_Salary,MM_Cost_Cap),MM_Cost_Pct*Avg_Salary)+MM_Cost_Flat)+'Clients &amp; revenue'!E40*Sup_Wallet_Share*(IF(MM_Cost_Cap&gt;0,MIN(MM_Cost_Pct*Sup_Avg_Amount,MM_Cost_Cap),MM_Cost_Pct*Sup_Avg_Amount)+MM_Cost_Flat)</f>
        <v>0</v>
      </c>
      <c r="F15" s="32" t="n">
        <f aca="false">'Clients &amp; revenue'!F31*Wallet_Share*(IF(MM_Cost_Cap&gt;0,MIN(MM_Cost_Pct*Avg_Salary,MM_Cost_Cap),MM_Cost_Pct*Avg_Salary)+MM_Cost_Flat)+'Clients &amp; revenue'!F40*Sup_Wallet_Share*(IF(MM_Cost_Cap&gt;0,MIN(MM_Cost_Pct*Sup_Avg_Amount,MM_Cost_Cap),MM_Cost_Pct*Sup_Avg_Amount)+MM_Cost_Flat)</f>
        <v>0</v>
      </c>
      <c r="G15" s="32" t="n">
        <f aca="false">'Clients &amp; revenue'!G31*Wallet_Share*(IF(MM_Cost_Cap&gt;0,MIN(MM_Cost_Pct*Avg_Salary,MM_Cost_Cap),MM_Cost_Pct*Avg_Salary)+MM_Cost_Flat)+'Clients &amp; revenue'!G40*Sup_Wallet_Share*(IF(MM_Cost_Cap&gt;0,MIN(MM_Cost_Pct*Sup_Avg_Amount,MM_Cost_Cap),MM_Cost_Pct*Sup_Avg_Amount)+MM_Cost_Flat)</f>
        <v>0</v>
      </c>
      <c r="H15" s="32" t="n">
        <f aca="false">'Clients &amp; revenue'!H31*Wallet_Share*(IF(MM_Cost_Cap&gt;0,MIN(MM_Cost_Pct*Avg_Salary,MM_Cost_Cap),MM_Cost_Pct*Avg_Salary)+MM_Cost_Flat)+'Clients &amp; revenue'!H40*Sup_Wallet_Share*(IF(MM_Cost_Cap&gt;0,MIN(MM_Cost_Pct*Sup_Avg_Amount,MM_Cost_Cap),MM_Cost_Pct*Sup_Avg_Amount)+MM_Cost_Flat)</f>
        <v>0</v>
      </c>
      <c r="I15" s="32" t="n">
        <f aca="false">'Clients &amp; revenue'!I31*Wallet_Share*(IF(MM_Cost_Cap&gt;0,MIN(MM_Cost_Pct*Avg_Salary,MM_Cost_Cap),MM_Cost_Pct*Avg_Salary)+MM_Cost_Flat)+'Clients &amp; revenue'!I40*Sup_Wallet_Share*(IF(MM_Cost_Cap&gt;0,MIN(MM_Cost_Pct*Sup_Avg_Amount,MM_Cost_Cap),MM_Cost_Pct*Sup_Avg_Amount)+MM_Cost_Flat)</f>
        <v>660380</v>
      </c>
      <c r="J15" s="32" t="n">
        <f aca="false">'Clients &amp; revenue'!J31*Wallet_Share*(IF(MM_Cost_Cap&gt;0,MIN(MM_Cost_Pct*Avg_Salary,MM_Cost_Cap),MM_Cost_Pct*Avg_Salary)+MM_Cost_Flat)+'Clients &amp; revenue'!J40*Sup_Wallet_Share*(IF(MM_Cost_Cap&gt;0,MIN(MM_Cost_Pct*Sup_Avg_Amount,MM_Cost_Cap),MM_Cost_Pct*Sup_Avg_Amount)+MM_Cost_Flat)</f>
        <v>1319766.55</v>
      </c>
      <c r="K15" s="32" t="n">
        <f aca="false">'Clients &amp; revenue'!K31*Wallet_Share*(IF(MM_Cost_Cap&gt;0,MIN(MM_Cost_Pct*Avg_Salary,MM_Cost_Cap),MM_Cost_Pct*Avg_Salary)+MM_Cost_Flat)+'Clients &amp; revenue'!K40*Sup_Wallet_Share*(IF(MM_Cost_Cap&gt;0,MIN(MM_Cost_Pct*Sup_Avg_Amount,MM_Cost_Cap),MM_Cost_Pct*Sup_Avg_Amount)+MM_Cost_Flat)</f>
        <v>1978568.167125</v>
      </c>
      <c r="L15" s="32" t="n">
        <f aca="false">'Clients &amp; revenue'!L31*Wallet_Share*(IF(MM_Cost_Cap&gt;0,MIN(MM_Cost_Pct*Avg_Salary,MM_Cost_Cap),MM_Cost_Pct*Avg_Salary)+MM_Cost_Flat)+'Clients &amp; revenue'!L40*Sup_Wallet_Share*(IF(MM_Cost_Cap&gt;0,MIN(MM_Cost_Pct*Sup_Avg_Amount,MM_Cost_Cap),MM_Cost_Pct*Sup_Avg_Amount)+MM_Cost_Flat)</f>
        <v>2637211.64021844</v>
      </c>
      <c r="M15" s="32" t="n">
        <f aca="false">'Clients &amp; revenue'!M31*Wallet_Share*(IF(MM_Cost_Cap&gt;0,MIN(MM_Cost_Pct*Avg_Salary,MM_Cost_Cap),MM_Cost_Pct*Avg_Salary)+MM_Cost_Flat)+'Clients &amp; revenue'!M40*Sup_Wallet_Share*(IF(MM_Cost_Cap&gt;0,MIN(MM_Cost_Pct*Sup_Avg_Amount,MM_Cost_Cap),MM_Cost_Pct*Sup_Avg_Amount)+MM_Cost_Flat)</f>
        <v>3296143.22073684</v>
      </c>
      <c r="N15" s="32" t="n">
        <f aca="false">'Clients &amp; revenue'!N31*Wallet_Share*(IF(MM_Cost_Cap&gt;0,MIN(MM_Cost_Pct*Avg_Salary,MM_Cost_Cap),MM_Cost_Pct*Avg_Salary)+MM_Cost_Flat)+'Clients &amp; revenue'!N40*Sup_Wallet_Share*(IF(MM_Cost_Cap&gt;0,MIN(MM_Cost_Pct*Sup_Avg_Amount,MM_Cost_Cap),MM_Cost_Pct*Sup_Avg_Amount)+MM_Cost_Flat)</f>
        <v>3955829.88351741</v>
      </c>
      <c r="O15" s="32" t="n">
        <f aca="false">'Clients &amp; revenue'!O31*Wallet_Share*(IF(MM_Cost_Cap&gt;0,MIN(MM_Cost_Pct*Avg_Salary,MM_Cost_Cap),MM_Cost_Pct*Avg_Salary)+MM_Cost_Flat)+'Clients &amp; revenue'!O40*Sup_Wallet_Share*(IF(MM_Cost_Cap&gt;0,MIN(MM_Cost_Pct*Sup_Avg_Amount,MM_Cost_Cap),MM_Cost_Pct*Sup_Avg_Amount)+MM_Cost_Flat)</f>
        <v>4616760.66163918</v>
      </c>
      <c r="P15" s="32" t="n">
        <f aca="false">'Clients &amp; revenue'!P31*Wallet_Share*(IF(MM_Cost_Cap&gt;0,MIN(MM_Cost_Pct*Avg_Salary,MM_Cost_Cap),MM_Cost_Pct*Avg_Salary)+MM_Cost_Flat)+'Clients &amp; revenue'!P40*Sup_Wallet_Share*(IF(MM_Cost_Cap&gt;0,MIN(MM_Cost_Pct*Sup_Avg_Amount,MM_Cost_Cap),MM_Cost_Pct*Sup_Avg_Amount)+MM_Cost_Flat)</f>
        <v>5279448.059851</v>
      </c>
      <c r="Q15" s="32" t="n">
        <f aca="false">'Clients &amp; revenue'!Q31*Wallet_Share*(IF(MM_Cost_Cap&gt;0,MIN(MM_Cost_Pct*Avg_Salary,MM_Cost_Cap),MM_Cost_Pct*Avg_Salary)+MM_Cost_Flat)+'Clients &amp; revenue'!Q40*Sup_Wallet_Share*(IF(MM_Cost_Cap&gt;0,MIN(MM_Cost_Pct*Sup_Avg_Amount,MM_Cost_Cap),MM_Cost_Pct*Sup_Avg_Amount)+MM_Cost_Flat)</f>
        <v>6177609.55130754</v>
      </c>
      <c r="R15" s="32" t="n">
        <f aca="false">'Clients &amp; revenue'!R31*Wallet_Share*(IF(MM_Cost_Cap&gt;0,MIN(MM_Cost_Pct*Avg_Salary,MM_Cost_Cap),MM_Cost_Pct*Avg_Salary)+MM_Cost_Flat)+'Clients &amp; revenue'!R40*Sup_Wallet_Share*(IF(MM_Cost_Cap&gt;0,MIN(MM_Cost_Pct*Sup_Avg_Amount,MM_Cost_Cap),MM_Cost_Pct*Sup_Avg_Amount)+MM_Cost_Flat)</f>
        <v>7076015.7126386</v>
      </c>
      <c r="S15" s="32" t="n">
        <f aca="false">'Clients &amp; revenue'!S31*Wallet_Share*(IF(MM_Cost_Cap&gt;0,MIN(MM_Cost_Pct*Avg_Salary,MM_Cost_Cap),MM_Cost_Pct*Avg_Salary)+MM_Cost_Flat)+'Clients &amp; revenue'!S40*Sup_Wallet_Share*(IF(MM_Cost_Cap&gt;0,MIN(MM_Cost_Pct*Sup_Avg_Amount,MM_Cost_Cap),MM_Cost_Pct*Sup_Avg_Amount)+MM_Cost_Flat)</f>
        <v>7975292.64980268</v>
      </c>
      <c r="T15" s="32" t="n">
        <f aca="false">'Clients &amp; revenue'!T31*Wallet_Share*(IF(MM_Cost_Cap&gt;0,MIN(MM_Cost_Pct*Avg_Salary,MM_Cost_Cap),MM_Cost_Pct*Avg_Salary)+MM_Cost_Flat)+'Clients &amp; revenue'!T40*Sup_Wallet_Share*(IF(MM_Cost_Cap&gt;0,MIN(MM_Cost_Pct*Sup_Avg_Amount,MM_Cost_Cap),MM_Cost_Pct*Sup_Avg_Amount)+MM_Cost_Flat)</f>
        <v>8876095.9782887</v>
      </c>
      <c r="U15" s="32" t="n">
        <f aca="false">'Clients &amp; revenue'!U31*Wallet_Share*(IF(MM_Cost_Cap&gt;0,MIN(MM_Cost_Pct*Avg_Salary,MM_Cost_Cap),MM_Cost_Pct*Avg_Salary)+MM_Cost_Flat)+'Clients &amp; revenue'!U40*Sup_Wallet_Share*(IF(MM_Cost_Cap&gt;0,MIN(MM_Cost_Pct*Sup_Avg_Amount,MM_Cost_Cap),MM_Cost_Pct*Sup_Avg_Amount)+MM_Cost_Flat)</f>
        <v>9779112.71465383</v>
      </c>
      <c r="V15" s="32" t="n">
        <f aca="false">'Clients &amp; revenue'!V31*Wallet_Share*(IF(MM_Cost_Cap&gt;0,MIN(MM_Cost_Pct*Avg_Salary,MM_Cost_Cap),MM_Cost_Pct*Avg_Salary)+MM_Cost_Flat)+'Clients &amp; revenue'!V40*Sup_Wallet_Share*(IF(MM_Cost_Cap&gt;0,MIN(MM_Cost_Pct*Sup_Avg_Amount,MM_Cost_Cap),MM_Cost_Pct*Sup_Avg_Amount)+MM_Cost_Flat)</f>
        <v>10685063.2795466</v>
      </c>
      <c r="W15" s="32" t="n">
        <f aca="false">'Clients &amp; revenue'!W31*Wallet_Share*(IF(MM_Cost_Cap&gt;0,MIN(MM_Cost_Pct*Avg_Salary,MM_Cost_Cap),MM_Cost_Pct*Avg_Salary)+MM_Cost_Flat)+'Clients &amp; revenue'!W40*Sup_Wallet_Share*(IF(MM_Cost_Cap&gt;0,MIN(MM_Cost_Pct*Sup_Avg_Amount,MM_Cost_Cap),MM_Cost_Pct*Sup_Avg_Amount)+MM_Cost_Flat)</f>
        <v>12100223.6189402</v>
      </c>
      <c r="X15" s="32" t="n">
        <f aca="false">'Clients &amp; revenue'!X31*Wallet_Share*(IF(MM_Cost_Cap&gt;0,MIN(MM_Cost_Pct*Avg_Salary,MM_Cost_Cap),MM_Cost_Pct*Avg_Salary)+MM_Cost_Flat)+'Clients &amp; revenue'!X40*Sup_Wallet_Share*(IF(MM_Cost_Cap&gt;0,MIN(MM_Cost_Pct*Sup_Avg_Amount,MM_Cost_Cap),MM_Cost_Pct*Sup_Avg_Amount)+MM_Cost_Flat)</f>
        <v>13519007.6507029</v>
      </c>
      <c r="Y15" s="32" t="n">
        <f aca="false">'Clients &amp; revenue'!Y31*Wallet_Share*(IF(MM_Cost_Cap&gt;0,MIN(MM_Cost_Pct*Avg_Salary,MM_Cost_Cap),MM_Cost_Pct*Avg_Salary)+MM_Cost_Flat)+'Clients &amp; revenue'!Y40*Sup_Wallet_Share*(IF(MM_Cost_Cap&gt;0,MIN(MM_Cost_Pct*Sup_Avg_Amount,MM_Cost_Cap),MM_Cost_Pct*Sup_Avg_Amount)+MM_Cost_Flat)</f>
        <v>15049357.1175616</v>
      </c>
      <c r="Z15" s="32" t="n">
        <f aca="false">'Clients &amp; revenue'!Z31*Wallet_Share*(IF(MM_Cost_Cap&gt;0,MIN(MM_Cost_Pct*Avg_Salary,MM_Cost_Cap),MM_Cost_Pct*Avg_Salary)+MM_Cost_Flat)+'Clients &amp; revenue'!Z40*Sup_Wallet_Share*(IF(MM_Cost_Cap&gt;0,MIN(MM_Cost_Pct*Sup_Avg_Amount,MM_Cost_Cap),MM_Cost_Pct*Sup_Avg_Amount)+MM_Cost_Flat)</f>
        <v>16584473.1157751</v>
      </c>
      <c r="AA15" s="32" t="n">
        <f aca="false">'Clients &amp; revenue'!AA31*Wallet_Share*(IF(MM_Cost_Cap&gt;0,MIN(MM_Cost_Pct*Avg_Salary,MM_Cost_Cap),MM_Cost_Pct*Avg_Salary)+MM_Cost_Flat)+'Clients &amp; revenue'!AA40*Sup_Wallet_Share*(IF(MM_Cost_Cap&gt;0,MIN(MM_Cost_Pct*Sup_Avg_Amount,MM_Cost_Cap),MM_Cost_Pct*Sup_Avg_Amount)+MM_Cost_Flat)</f>
        <v>18125629.1609152</v>
      </c>
      <c r="AB15" s="32" t="n">
        <f aca="false">'Clients &amp; revenue'!AB31*Wallet_Share*(IF(MM_Cost_Cap&gt;0,MIN(MM_Cost_Pct*Avg_Salary,MM_Cost_Cap),MM_Cost_Pct*Avg_Salary)+MM_Cost_Flat)+'Clients &amp; revenue'!AB40*Sup_Wallet_Share*(IF(MM_Cost_Cap&gt;0,MIN(MM_Cost_Pct*Sup_Avg_Amount,MM_Cost_Cap),MM_Cost_Pct*Sup_Avg_Amount)+MM_Cost_Flat)</f>
        <v>19674162.2300967</v>
      </c>
      <c r="AC15" s="32" t="n">
        <f aca="false">'Clients &amp; revenue'!AC31*Wallet_Share*(IF(MM_Cost_Cap&gt;0,MIN(MM_Cost_Pct*Avg_Salary,MM_Cost_Cap),MM_Cost_Pct*Avg_Salary)+MM_Cost_Flat)+'Clients &amp; revenue'!AC40*Sup_Wallet_Share*(IF(MM_Cost_Cap&gt;0,MIN(MM_Cost_Pct*Sup_Avg_Amount,MM_Cost_Cap),MM_Cost_Pct*Sup_Avg_Amount)+MM_Cost_Flat)</f>
        <v>21699616.7632826</v>
      </c>
      <c r="AD15" s="32" t="n">
        <f aca="false">'Clients &amp; revenue'!AD31*Wallet_Share*(IF(MM_Cost_Cap&gt;0,MIN(MM_Cost_Pct*Avg_Salary,MM_Cost_Cap),MM_Cost_Pct*Avg_Salary)+MM_Cost_Flat)+'Clients &amp; revenue'!AD40*Sup_Wallet_Share*(IF(MM_Cost_Cap&gt;0,MIN(MM_Cost_Pct*Sup_Avg_Amount,MM_Cost_Cap),MM_Cost_Pct*Sup_Avg_Amount)+MM_Cost_Flat)</f>
        <v>23730082.0514658</v>
      </c>
      <c r="AE15" s="32" t="n">
        <f aca="false">'Clients &amp; revenue'!AE31*Wallet_Share*(IF(MM_Cost_Cap&gt;0,MIN(MM_Cost_Pct*Avg_Salary,MM_Cost_Cap),MM_Cost_Pct*Avg_Salary)+MM_Cost_Flat)+'Clients &amp; revenue'!AE40*Sup_Wallet_Share*(IF(MM_Cost_Cap&gt;0,MIN(MM_Cost_Pct*Sup_Avg_Amount,MM_Cost_Cap),MM_Cost_Pct*Sup_Avg_Amount)+MM_Cost_Flat)</f>
        <v>25873978.3786208</v>
      </c>
      <c r="AF15" s="32" t="n">
        <f aca="false">'Clients &amp; revenue'!AF31*Wallet_Share*(IF(MM_Cost_Cap&gt;0,MIN(MM_Cost_Pct*Avg_Salary,MM_Cost_Cap),MM_Cost_Pct*Avg_Salary)+MM_Cost_Flat)+'Clients &amp; revenue'!AF40*Sup_Wallet_Share*(IF(MM_Cost_Cap&gt;0,MIN(MM_Cost_Pct*Sup_Avg_Amount,MM_Cost_Cap),MM_Cost_Pct*Sup_Avg_Amount)+MM_Cost_Flat)</f>
        <v>28025008.9694396</v>
      </c>
      <c r="AG15" s="32" t="n">
        <f aca="false">'Clients &amp; revenue'!AG31*Wallet_Share*(IF(MM_Cost_Cap&gt;0,MIN(MM_Cost_Pct*Avg_Salary,MM_Cost_Cap),MM_Cost_Pct*Avg_Salary)+MM_Cost_Flat)+'Clients &amp; revenue'!AG40*Sup_Wallet_Share*(IF(MM_Cost_Cap&gt;0,MIN(MM_Cost_Pct*Sup_Avg_Amount,MM_Cost_Cap),MM_Cost_Pct*Sup_Avg_Amount)+MM_Cost_Flat)</f>
        <v>30184974.5462251</v>
      </c>
      <c r="AH15" s="32" t="n">
        <f aca="false">'Clients &amp; revenue'!AH31*Wallet_Share*(IF(MM_Cost_Cap&gt;0,MIN(MM_Cost_Pct*Avg_Salary,MM_Cost_Cap),MM_Cost_Pct*Avg_Salary)+MM_Cost_Flat)+'Clients &amp; revenue'!AH40*Sup_Wallet_Share*(IF(MM_Cost_Cap&gt;0,MIN(MM_Cost_Pct*Sup_Avg_Amount,MM_Cost_Cap),MM_Cost_Pct*Sup_Avg_Amount)+MM_Cost_Flat)</f>
        <v>32355765.9504535</v>
      </c>
      <c r="AI15" s="32" t="n">
        <f aca="false">'Clients &amp; revenue'!AI31*Wallet_Share*(IF(MM_Cost_Cap&gt;0,MIN(MM_Cost_Pct*Avg_Salary,MM_Cost_Cap),MM_Cost_Pct*Avg_Salary)+MM_Cost_Flat)+'Clients &amp; revenue'!AI40*Sup_Wallet_Share*(IF(MM_Cost_Cap&gt;0,MIN(MM_Cost_Pct*Sup_Avg_Amount,MM_Cost_Cap),MM_Cost_Pct*Sup_Avg_Amount)+MM_Cost_Flat)</f>
        <v>34646169.8169489</v>
      </c>
      <c r="AJ15" s="32" t="n">
        <f aca="false">'Clients &amp; revenue'!AJ31*Wallet_Share*(IF(MM_Cost_Cap&gt;0,MIN(MM_Cost_Pct*Avg_Salary,MM_Cost_Cap),MM_Cost_Pct*Avg_Salary)+MM_Cost_Flat)+'Clients &amp; revenue'!AJ40*Sup_Wallet_Share*(IF(MM_Cost_Cap&gt;0,MIN(MM_Cost_Pct*Sup_Avg_Amount,MM_Cost_Cap),MM_Cost_Pct*Sup_Avg_Amount)+MM_Cost_Flat)</f>
        <v>36950277.5841038</v>
      </c>
      <c r="AK15" s="32" t="n">
        <f aca="false">'Clients &amp; revenue'!AK31*Wallet_Share*(IF(MM_Cost_Cap&gt;0,MIN(MM_Cost_Pct*Avg_Salary,MM_Cost_Cap),MM_Cost_Pct*Avg_Salary)+MM_Cost_Flat)+'Clients &amp; revenue'!AK40*Sup_Wallet_Share*(IF(MM_Cost_Cap&gt;0,MIN(MM_Cost_Pct*Sup_Avg_Amount,MM_Cost_Cap),MM_Cost_Pct*Sup_Avg_Amount)+MM_Cost_Flat)</f>
        <v>39270301.3628858</v>
      </c>
      <c r="AL15" s="32" t="n">
        <f aca="false">'Clients &amp; revenue'!AL31*Wallet_Share*(IF(MM_Cost_Cap&gt;0,MIN(MM_Cost_Pct*Avg_Salary,MM_Cost_Cap),MM_Cost_Pct*Avg_Salary)+MM_Cost_Flat)+'Clients &amp; revenue'!AL40*Sup_Wallet_Share*(IF(MM_Cost_Cap&gt;0,MIN(MM_Cost_Pct*Sup_Avg_Amount,MM_Cost_Cap),MM_Cost_Pct*Sup_Avg_Amount)+MM_Cost_Flat)</f>
        <v>41608567.9492535</v>
      </c>
      <c r="AM15" s="32" t="n">
        <f aca="false">'Clients &amp; revenue'!AM31*Wallet_Share*(IF(MM_Cost_Cap&gt;0,MIN(MM_Cost_Pct*Avg_Salary,MM_Cost_Cap),MM_Cost_Pct*Avg_Salary)+MM_Cost_Flat)+'Clients &amp; revenue'!AM40*Sup_Wallet_Share*(IF(MM_Cost_Cap&gt;0,MIN(MM_Cost_Pct*Sup_Avg_Amount,MM_Cost_Cap),MM_Cost_Pct*Sup_Avg_Amount)+MM_Cost_Flat)</f>
        <v>44074325.9726465</v>
      </c>
      <c r="AN15" s="32" t="n">
        <f aca="false">'Clients &amp; revenue'!AN31*Wallet_Share*(IF(MM_Cost_Cap&gt;0,MIN(MM_Cost_Pct*Avg_Salary,MM_Cost_Cap),MM_Cost_Pct*Avg_Salary)+MM_Cost_Flat)+'Clients &amp; revenue'!AN40*Sup_Wallet_Share*(IF(MM_Cost_Cap&gt;0,MIN(MM_Cost_Pct*Sup_Avg_Amount,MM_Cost_Cap),MM_Cost_Pct*Sup_Avg_Amount)+MM_Cost_Flat)</f>
        <v>46562156.4689912</v>
      </c>
      <c r="AO15" s="32" t="n">
        <f aca="false">'Clients &amp; revenue'!AO31*Wallet_Share*(IF(MM_Cost_Cap&gt;0,MIN(MM_Cost_Pct*Avg_Salary,MM_Cost_Cap),MM_Cost_Pct*Avg_Salary)+MM_Cost_Flat)+'Clients &amp; revenue'!AO40*Sup_Wallet_Share*(IF(MM_Cost_Cap&gt;0,MIN(MM_Cost_Pct*Sup_Avg_Amount,MM_Cost_Cap),MM_Cost_Pct*Sup_Avg_Amount)+MM_Cost_Flat)</f>
        <v>49404090.406271</v>
      </c>
      <c r="AP15" s="32" t="n">
        <f aca="false">'Clients &amp; revenue'!AP31*Wallet_Share*(IF(MM_Cost_Cap&gt;0,MIN(MM_Cost_Pct*Avg_Salary,MM_Cost_Cap),MM_Cost_Pct*Avg_Salary)+MM_Cost_Flat)+'Clients &amp; revenue'!AP40*Sup_Wallet_Share*(IF(MM_Cost_Cap&gt;0,MIN(MM_Cost_Pct*Sup_Avg_Amount,MM_Cost_Cap),MM_Cost_Pct*Sup_Avg_Amount)+MM_Cost_Flat)</f>
        <v>52376813.7029097</v>
      </c>
      <c r="AQ15" s="32" t="n">
        <f aca="false">'Clients &amp; revenue'!AQ31*Wallet_Share*(IF(MM_Cost_Cap&gt;0,MIN(MM_Cost_Pct*Avg_Salary,MM_Cost_Cap),MM_Cost_Pct*Avg_Salary)+MM_Cost_Flat)+'Clients &amp; revenue'!AQ40*Sup_Wallet_Share*(IF(MM_Cost_Cap&gt;0,MIN(MM_Cost_Pct*Sup_Avg_Amount,MM_Cost_Cap),MM_Cost_Pct*Sup_Avg_Amount)+MM_Cost_Flat)</f>
        <v>55375408.5369716</v>
      </c>
      <c r="AR15" s="32" t="n">
        <f aca="false">'Clients &amp; revenue'!AR31*Wallet_Share*(IF(MM_Cost_Cap&gt;0,MIN(MM_Cost_Pct*Avg_Salary,MM_Cost_Cap),MM_Cost_Pct*Avg_Salary)+MM_Cost_Flat)+'Clients &amp; revenue'!AR40*Sup_Wallet_Share*(IF(MM_Cost_Cap&gt;0,MIN(MM_Cost_Pct*Sup_Avg_Amount,MM_Cost_Cap),MM_Cost_Pct*Sup_Avg_Amount)+MM_Cost_Flat)</f>
        <v>58403133.1382131</v>
      </c>
      <c r="AS15" s="32" t="n">
        <f aca="false">'Clients &amp; revenue'!AS31*Wallet_Share*(IF(MM_Cost_Cap&gt;0,MIN(MM_Cost_Pct*Avg_Salary,MM_Cost_Cap),MM_Cost_Pct*Avg_Salary)+MM_Cost_Flat)+'Clients &amp; revenue'!AS40*Sup_Wallet_Share*(IF(MM_Cost_Cap&gt;0,MIN(MM_Cost_Pct*Sup_Avg_Amount,MM_Cost_Cap),MM_Cost_Pct*Sup_Avg_Amount)+MM_Cost_Flat)</f>
        <v>61570219.1823405</v>
      </c>
      <c r="AT15" s="32" t="n">
        <f aca="false">'Clients &amp; revenue'!AT31*Wallet_Share*(IF(MM_Cost_Cap&gt;0,MIN(MM_Cost_Pct*Avg_Salary,MM_Cost_Cap),MM_Cost_Pct*Avg_Salary)+MM_Cost_Flat)+'Clients &amp; revenue'!AT40*Sup_Wallet_Share*(IF(MM_Cost_Cap&gt;0,MIN(MM_Cost_Pct*Sup_Avg_Amount,MM_Cost_Cap),MM_Cost_Pct*Sup_Avg_Amount)+MM_Cost_Flat)</f>
        <v>64772285.5232962</v>
      </c>
      <c r="AU15" s="32" t="n">
        <f aca="false">'Clients &amp; revenue'!AU31*Wallet_Share*(IF(MM_Cost_Cap&gt;0,MIN(MM_Cost_Pct*Avg_Salary,MM_Cost_Cap),MM_Cost_Pct*Avg_Salary)+MM_Cost_Flat)+'Clients &amp; revenue'!AU40*Sup_Wallet_Share*(IF(MM_Cost_Cap&gt;0,MIN(MM_Cost_Pct*Sup_Avg_Amount,MM_Cost_Cap),MM_Cost_Pct*Sup_Avg_Amount)+MM_Cost_Flat)</f>
        <v>68013159.066648</v>
      </c>
      <c r="AV15" s="32" t="n">
        <f aca="false">'Clients &amp; revenue'!AV31*Wallet_Share*(IF(MM_Cost_Cap&gt;0,MIN(MM_Cost_Pct*Avg_Salary,MM_Cost_Cap),MM_Cost_Pct*Avg_Salary)+MM_Cost_Flat)+'Clients &amp; revenue'!AV40*Sup_Wallet_Share*(IF(MM_Cost_Cap&gt;0,MIN(MM_Cost_Pct*Sup_Avg_Amount,MM_Cost_Cap),MM_Cost_Pct*Sup_Avg_Amount)+MM_Cost_Flat)</f>
        <v>71499794.0856611</v>
      </c>
      <c r="AW15" s="32" t="n">
        <f aca="false">'Clients &amp; revenue'!AW31*Wallet_Share*(IF(MM_Cost_Cap&gt;0,MIN(MM_Cost_Pct*Avg_Salary,MM_Cost_Cap),MM_Cost_Pct*Avg_Salary)+MM_Cost_Flat)+'Clients &amp; revenue'!AW40*Sup_Wallet_Share*(IF(MM_Cost_Cap&gt;0,MIN(MM_Cost_Pct*Sup_Avg_Amount,MM_Cost_Cap),MM_Cost_Pct*Sup_Avg_Amount)+MM_Cost_Flat)</f>
        <v>75000736.0150062</v>
      </c>
      <c r="AX15" s="32" t="n">
        <f aca="false">'Clients &amp; revenue'!AX31*Wallet_Share*(IF(MM_Cost_Cap&gt;0,MIN(MM_Cost_Pct*Avg_Salary,MM_Cost_Cap),MM_Cost_Pct*Avg_Salary)+MM_Cost_Flat)+'Clients &amp; revenue'!AX40*Sup_Wallet_Share*(IF(MM_Cost_Cap&gt;0,MIN(MM_Cost_Pct*Sup_Avg_Amount,MM_Cost_Cap),MM_Cost_Pct*Sup_Avg_Amount)+MM_Cost_Flat)</f>
        <v>78592248.1866017</v>
      </c>
      <c r="AY15" s="32" t="n">
        <f aca="false">'Clients &amp; revenue'!AY31*Wallet_Share*(IF(MM_Cost_Cap&gt;0,MIN(MM_Cost_Pct*Avg_Salary,MM_Cost_Cap),MM_Cost_Pct*Avg_Salary)+MM_Cost_Flat)+'Clients &amp; revenue'!AY40*Sup_Wallet_Share*(IF(MM_Cost_Cap&gt;0,MIN(MM_Cost_Pct*Sup_Avg_Amount,MM_Cost_Cap),MM_Cost_Pct*Sup_Avg_Amount)+MM_Cost_Flat)</f>
        <v>82167878.3392724</v>
      </c>
      <c r="AZ15" s="32" t="n">
        <f aca="false">'Clients &amp; revenue'!AZ31*Wallet_Share*(IF(MM_Cost_Cap&gt;0,MIN(MM_Cost_Pct*Avg_Salary,MM_Cost_Cap),MM_Cost_Pct*Avg_Salary)+MM_Cost_Flat)+'Clients &amp; revenue'!AZ40*Sup_Wallet_Share*(IF(MM_Cost_Cap&gt;0,MIN(MM_Cost_Pct*Sup_Avg_Amount,MM_Cost_Cap),MM_Cost_Pct*Sup_Avg_Amount)+MM_Cost_Flat)</f>
        <v>85729247.0239443</v>
      </c>
      <c r="BA15" s="32" t="n">
        <f aca="false">'Clients &amp; revenue'!BA31*Wallet_Share*(IF(MM_Cost_Cap&gt;0,MIN(MM_Cost_Pct*Avg_Salary,MM_Cost_Cap),MM_Cost_Pct*Avg_Salary)+MM_Cost_Flat)+'Clients &amp; revenue'!BA40*Sup_Wallet_Share*(IF(MM_Cost_Cap&gt;0,MIN(MM_Cost_Pct*Sup_Avg_Amount,MM_Cost_Cap),MM_Cost_Pct*Sup_Avg_Amount)+MM_Cost_Flat)</f>
        <v>89715918.9661438</v>
      </c>
      <c r="BB15" s="32" t="n">
        <f aca="false">'Clients &amp; revenue'!BB31*Wallet_Share*(IF(MM_Cost_Cap&gt;0,MIN(MM_Cost_Pct*Avg_Salary,MM_Cost_Cap),MM_Cost_Pct*Avg_Salary)+MM_Cost_Flat)+'Clients &amp; revenue'!BB40*Sup_Wallet_Share*(IF(MM_Cost_Cap&gt;0,MIN(MM_Cost_Pct*Sup_Avg_Amount,MM_Cost_Cap),MM_Cost_Pct*Sup_Avg_Amount)+MM_Cost_Flat)</f>
        <v>93686859.7019842</v>
      </c>
      <c r="BC15" s="32" t="n">
        <f aca="false">'Clients &amp; revenue'!BC31*Wallet_Share*(IF(MM_Cost_Cap&gt;0,MIN(MM_Cost_Pct*Avg_Salary,MM_Cost_Cap),MM_Cost_Pct*Avg_Salary)+MM_Cost_Flat)+'Clients &amp; revenue'!BC40*Sup_Wallet_Share*(IF(MM_Cost_Cap&gt;0,MIN(MM_Cost_Pct*Sup_Avg_Amount,MM_Cost_Cap),MM_Cost_Pct*Sup_Avg_Amount)+MM_Cost_Flat)</f>
        <v>97750759.1266381</v>
      </c>
      <c r="BD15" s="32" t="n">
        <f aca="false">'Clients &amp; revenue'!BD31*Wallet_Share*(IF(MM_Cost_Cap&gt;0,MIN(MM_Cost_Pct*Avg_Salary,MM_Cost_Cap),MM_Cost_Pct*Avg_Salary)+MM_Cost_Flat)+'Clients &amp; revenue'!BD40*Sup_Wallet_Share*(IF(MM_Cost_Cap&gt;0,MIN(MM_Cost_Pct*Sup_Avg_Amount,MM_Cost_Cap),MM_Cost_Pct*Sup_Avg_Amount)+MM_Cost_Flat)</f>
        <v>101801587.149561</v>
      </c>
      <c r="BE15" s="32" t="n">
        <f aca="false">'Clients &amp; revenue'!BE31*Wallet_Share*(IF(MM_Cost_Cap&gt;0,MIN(MM_Cost_Pct*Avg_Salary,MM_Cost_Cap),MM_Cost_Pct*Avg_Salary)+MM_Cost_Flat)+'Clients &amp; revenue'!BE40*Sup_Wallet_Share*(IF(MM_Cost_Cap&gt;0,MIN(MM_Cost_Pct*Sup_Avg_Amount,MM_Cost_Cap),MM_Cost_Pct*Sup_Avg_Amount)+MM_Cost_Flat)</f>
        <v>105937528.351849</v>
      </c>
      <c r="BF15" s="32" t="n">
        <f aca="false">'Clients &amp; revenue'!BF31*Wallet_Share*(IF(MM_Cost_Cap&gt;0,MIN(MM_Cost_Pct*Avg_Salary,MM_Cost_Cap),MM_Cost_Pct*Avg_Salary)+MM_Cost_Flat)+'Clients &amp; revenue'!BF40*Sup_Wallet_Share*(IF(MM_Cost_Cap&gt;0,MIN(MM_Cost_Pct*Sup_Avg_Amount,MM_Cost_Cap),MM_Cost_Pct*Sup_Avg_Amount)+MM_Cost_Flat)</f>
        <v>110170337.409848</v>
      </c>
      <c r="BG15" s="32" t="n">
        <f aca="false">'Clients &amp; revenue'!BG31*Wallet_Share*(IF(MM_Cost_Cap&gt;0,MIN(MM_Cost_Pct*Avg_Salary,MM_Cost_Cap),MM_Cost_Pct*Avg_Salary)+MM_Cost_Flat)+'Clients &amp; revenue'!BG40*Sup_Wallet_Share*(IF(MM_Cost_Cap&gt;0,MIN(MM_Cost_Pct*Sup_Avg_Amount,MM_Cost_Cap),MM_Cost_Pct*Sup_Avg_Amount)+MM_Cost_Flat)</f>
        <v>114394276.425369</v>
      </c>
      <c r="BH15" s="32" t="n">
        <f aca="false">'Clients &amp; revenue'!BH31*Wallet_Share*(IF(MM_Cost_Cap&gt;0,MIN(MM_Cost_Pct*Avg_Salary,MM_Cost_Cap),MM_Cost_Pct*Avg_Salary)+MM_Cost_Flat)+'Clients &amp; revenue'!BH40*Sup_Wallet_Share*(IF(MM_Cost_Cap&gt;0,MIN(MM_Cost_Pct*Sup_Avg_Amount,MM_Cost_Cap),MM_Cost_Pct*Sup_Avg_Amount)+MM_Cost_Flat)</f>
        <v>118718519.085494</v>
      </c>
      <c r="BI15" s="32" t="n">
        <f aca="false">'Clients &amp; revenue'!BI31*Wallet_Share*(IF(MM_Cost_Cap&gt;0,MIN(MM_Cost_Pct*Avg_Salary,MM_Cost_Cap),MM_Cost_Pct*Avg_Salary)+MM_Cost_Flat)+'Clients &amp; revenue'!BI40*Sup_Wallet_Share*(IF(MM_Cost_Cap&gt;0,MIN(MM_Cost_Pct*Sup_Avg_Amount,MM_Cost_Cap),MM_Cost_Pct*Sup_Avg_Amount)+MM_Cost_Flat)</f>
        <v>123133667.408485</v>
      </c>
      <c r="BJ15" s="32" t="n">
        <f aca="false">'Clients &amp; revenue'!BJ31*Wallet_Share*(IF(MM_Cost_Cap&gt;0,MIN(MM_Cost_Pct*Avg_Salary,MM_Cost_Cap),MM_Cost_Pct*Avg_Salary)+MM_Cost_Flat)+'Clients &amp; revenue'!BJ40*Sup_Wallet_Share*(IF(MM_Cost_Cap&gt;0,MIN(MM_Cost_Pct*Sup_Avg_Amount,MM_Cost_Cap),MM_Cost_Pct*Sup_Avg_Amount)+MM_Cost_Flat)</f>
        <v>127651930.807798</v>
      </c>
      <c r="BK15" s="32" t="n">
        <f aca="false">'Clients &amp; revenue'!BK31*Wallet_Share*(IF(MM_Cost_Cap&gt;0,MIN(MM_Cost_Pct*Avg_Salary,MM_Cost_Cap),MM_Cost_Pct*Avg_Salary)+MM_Cost_Flat)+'Clients &amp; revenue'!BK40*Sup_Wallet_Share*(IF(MM_Cost_Cap&gt;0,MIN(MM_Cost_Pct*Sup_Avg_Amount,MM_Cost_Cap),MM_Cost_Pct*Sup_Avg_Amount)+MM_Cost_Flat)</f>
        <v>132145166.170138</v>
      </c>
      <c r="BL15" s="32" t="n">
        <f aca="false">'Clients &amp; revenue'!BL31*Wallet_Share*(IF(MM_Cost_Cap&gt;0,MIN(MM_Cost_Pct*Avg_Salary,MM_Cost_Cap),MM_Cost_Pct*Avg_Salary)+MM_Cost_Flat)+'Clients &amp; revenue'!BL40*Sup_Wallet_Share*(IF(MM_Cost_Cap&gt;0,MIN(MM_Cost_Pct*Sup_Avg_Amount,MM_Cost_Cap),MM_Cost_Pct*Sup_Avg_Amount)+MM_Cost_Flat)</f>
        <v>136696764.95786</v>
      </c>
    </row>
    <row r="16" customFormat="false" ht="15" hidden="false" customHeight="false" outlineLevel="0" collapsed="false">
      <c r="A16" s="12" t="s">
        <v>796</v>
      </c>
      <c r="B16" s="14" t="s">
        <v>77</v>
      </c>
      <c r="D16" s="55" t="n">
        <f aca="false">SUM(E16:BL16)</f>
        <v>369648674.533045</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89040</v>
      </c>
      <c r="J16" s="32" t="n">
        <f aca="false">'Clients &amp; revenue'!J31*(1-Wallet_Share)*Bank_Payout_Cost</f>
        <v>177979.4</v>
      </c>
      <c r="K16" s="32" t="n">
        <f aca="false">'Clients &amp; revenue'!K31*(1-Wallet_Share)*Bank_Payout_Cost</f>
        <v>266872.7375</v>
      </c>
      <c r="L16" s="32" t="n">
        <f aca="false">'Clients &amp; revenue'!L31*(1-Wallet_Share)*Bank_Payout_Cost</f>
        <v>355777.04282125</v>
      </c>
      <c r="M16" s="32" t="n">
        <f aca="false">'Clients &amp; revenue'!M31*(1-Wallet_Share)*Bank_Payout_Cost</f>
        <v>444752.000150134</v>
      </c>
      <c r="N16" s="32" t="n">
        <f aca="false">'Clients &amp; revenue'!N31*(1-Wallet_Share)*Bank_Payout_Cost</f>
        <v>533860.118056973</v>
      </c>
      <c r="O16" s="32" t="n">
        <f aca="false">'Clients &amp; revenue'!O31*(1-Wallet_Share)*Bank_Payout_Cost</f>
        <v>623166.910061536</v>
      </c>
      <c r="P16" s="32" t="n">
        <f aca="false">'Clients &amp; revenue'!P31*(1-Wallet_Share)*Bank_Payout_Cost</f>
        <v>712741.085851325</v>
      </c>
      <c r="Q16" s="32" t="n">
        <f aca="false">'Clients &amp; revenue'!Q31*(1-Wallet_Share)*Bank_Payout_Cost</f>
        <v>834094.753794963</v>
      </c>
      <c r="R16" s="32" t="n">
        <f aca="false">'Clients &amp; revenue'!R31*(1-Wallet_Share)*Bank_Payout_Cost</f>
        <v>955523.035431525</v>
      </c>
      <c r="S16" s="32" t="n">
        <f aca="false">'Clients &amp; revenue'!S31*(1-Wallet_Share)*Bank_Payout_Cost</f>
        <v>1077109.75015744</v>
      </c>
      <c r="T16" s="32" t="n">
        <f aca="false">'Clients &amp; revenue'!T31*(1-Wallet_Share)*Bank_Payout_Cost</f>
        <v>1198942.73729709</v>
      </c>
      <c r="U16" s="32" t="n">
        <f aca="false">'Clients &amp; revenue'!U31*(1-Wallet_Share)*Bank_Payout_Cost</f>
        <v>1321114.11200487</v>
      </c>
      <c r="V16" s="32" t="n">
        <f aca="false">'Clients &amp; revenue'!V31*(1-Wallet_Share)*Bank_Payout_Cost</f>
        <v>1443720.53628275</v>
      </c>
      <c r="W16" s="32" t="n">
        <f aca="false">'Clients &amp; revenue'!W31*(1-Wallet_Share)*Bank_Payout_Cost</f>
        <v>1635023.50602428</v>
      </c>
      <c r="X16" s="32" t="n">
        <f aca="false">'Clients &amp; revenue'!X31*(1-Wallet_Share)*Bank_Payout_Cost</f>
        <v>1826879.2550508</v>
      </c>
      <c r="Y16" s="32" t="n">
        <f aca="false">'Clients &amp; revenue'!Y31*(1-Wallet_Share)*Bank_Payout_Cost</f>
        <v>2033840.96716352</v>
      </c>
      <c r="Z16" s="32" t="n">
        <f aca="false">'Clients &amp; revenue'!Z31*(1-Wallet_Share)*Bank_Payout_Cost</f>
        <v>2241513.49423113</v>
      </c>
      <c r="AA16" s="32" t="n">
        <f aca="false">'Clients &amp; revenue'!AA31*(1-Wallet_Share)*Bank_Payout_Cost</f>
        <v>2450067.78841901</v>
      </c>
      <c r="AB16" s="32" t="n">
        <f aca="false">'Clients &amp; revenue'!AB31*(1-Wallet_Share)*Bank_Payout_Cost</f>
        <v>2659683.4350183</v>
      </c>
      <c r="AC16" s="32" t="n">
        <f aca="false">'Clients &amp; revenue'!AC31*(1-Wallet_Share)*Bank_Payout_Cost</f>
        <v>2933669.19399425</v>
      </c>
      <c r="AD16" s="32" t="n">
        <f aca="false">'Clients &amp; revenue'!AD31*(1-Wallet_Share)*Bank_Payout_Cost</f>
        <v>3208419.77364639</v>
      </c>
      <c r="AE16" s="32" t="n">
        <f aca="false">'Clients &amp; revenue'!AE31*(1-Wallet_Share)*Bank_Payout_Cost</f>
        <v>3498552.58581377</v>
      </c>
      <c r="AF16" s="32" t="n">
        <f aca="false">'Clients &amp; revenue'!AF31*(1-Wallet_Share)*Bank_Payout_Cost</f>
        <v>3789739.91955086</v>
      </c>
      <c r="AG16" s="32" t="n">
        <f aca="false">'Clients &amp; revenue'!AG31*(1-Wallet_Share)*Bank_Payout_Cost</f>
        <v>4082223.57516027</v>
      </c>
      <c r="AH16" s="32" t="n">
        <f aca="false">'Clients &amp; revenue'!AH31*(1-Wallet_Share)*Bank_Payout_Cost</f>
        <v>4376257.61078523</v>
      </c>
      <c r="AI16" s="32" t="n">
        <f aca="false">'Clients &amp; revenue'!AI31*(1-Wallet_Share)*Bank_Payout_Cost</f>
        <v>4686509.11040103</v>
      </c>
      <c r="AJ16" s="32" t="n">
        <f aca="false">'Clients &amp; revenue'!AJ31*(1-Wallet_Share)*Bank_Payout_Cost</f>
        <v>4998702.99736158</v>
      </c>
      <c r="AK16" s="32" t="n">
        <f aca="false">'Clients &amp; revenue'!AK31*(1-Wallet_Share)*Bank_Payout_Cost</f>
        <v>5313136.84624323</v>
      </c>
      <c r="AL16" s="32" t="n">
        <f aca="false">'Clients &amp; revenue'!AL31*(1-Wallet_Share)*Bank_Payout_Cost</f>
        <v>5630123.81791783</v>
      </c>
      <c r="AM16" s="32" t="n">
        <f aca="false">'Clients &amp; revenue'!AM31*(1-Wallet_Share)*Bank_Payout_Cost</f>
        <v>5964393.62733473</v>
      </c>
      <c r="AN16" s="32" t="n">
        <f aca="false">'Clients &amp; revenue'!AN31*(1-Wallet_Share)*Bank_Payout_Cost</f>
        <v>6301737.56884597</v>
      </c>
      <c r="AO16" s="32" t="n">
        <f aca="false">'Clients &amp; revenue'!AO31*(1-Wallet_Share)*Bank_Payout_Cost</f>
        <v>6686923.55253644</v>
      </c>
      <c r="AP16" s="32" t="n">
        <f aca="false">'Clients &amp; revenue'!AP31*(1-Wallet_Share)*Bank_Payout_Cost</f>
        <v>7089858.27725318</v>
      </c>
      <c r="AQ16" s="32" t="n">
        <f aca="false">'Clients &amp; revenue'!AQ31*(1-Wallet_Share)*Bank_Payout_Cost</f>
        <v>7496400.46312172</v>
      </c>
      <c r="AR16" s="32" t="n">
        <f aca="false">'Clients &amp; revenue'!AR31*(1-Wallet_Share)*Bank_Payout_Cost</f>
        <v>7906988.99548422</v>
      </c>
      <c r="AS16" s="32" t="n">
        <f aca="false">'Clients &amp; revenue'!AS31*(1-Wallet_Share)*Bank_Payout_Cost</f>
        <v>8336486.31805002</v>
      </c>
      <c r="AT16" s="32" t="n">
        <f aca="false">'Clients &amp; revenue'!AT31*(1-Wallet_Share)*Bank_Payout_Cost</f>
        <v>8770823.88612535</v>
      </c>
      <c r="AU16" s="32" t="n">
        <f aca="false">'Clients &amp; revenue'!AU31*(1-Wallet_Share)*Bank_Payout_Cost</f>
        <v>9210517.65640071</v>
      </c>
      <c r="AV16" s="32" t="n">
        <f aca="false">'Clients &amp; revenue'!AV31*(1-Wallet_Share)*Bank_Payout_Cost</f>
        <v>9683471.74052539</v>
      </c>
      <c r="AW16" s="32" t="n">
        <f aca="false">'Clients &amp; revenue'!AW31*(1-Wallet_Share)*Bank_Payout_Cost</f>
        <v>10158489.3960897</v>
      </c>
      <c r="AX16" s="32" t="n">
        <f aca="false">'Clients &amp; revenue'!AX31*(1-Wallet_Share)*Bank_Payout_Cost</f>
        <v>10645852.0906045</v>
      </c>
      <c r="AY16" s="32" t="n">
        <f aca="false">'Clients &amp; revenue'!AY31*(1-Wallet_Share)*Bank_Payout_Cost</f>
        <v>11131209.3523275</v>
      </c>
      <c r="AZ16" s="32" t="n">
        <f aca="false">'Clients &amp; revenue'!AZ31*(1-Wallet_Share)*Bank_Payout_Cost</f>
        <v>11614776.9114823</v>
      </c>
      <c r="BA16" s="32" t="n">
        <f aca="false">'Clients &amp; revenue'!BA31*(1-Wallet_Share)*Bank_Payout_Cost</f>
        <v>12155819.2755257</v>
      </c>
      <c r="BB16" s="32" t="n">
        <f aca="false">'Clients &amp; revenue'!BB31*(1-Wallet_Share)*Bank_Payout_Cost</f>
        <v>12694890.7151056</v>
      </c>
      <c r="BC16" s="32" t="n">
        <f aca="false">'Clients &amp; revenue'!BC31*(1-Wallet_Share)*Bank_Payout_Cost</f>
        <v>13246643.0792304</v>
      </c>
      <c r="BD16" s="32" t="n">
        <f aca="false">'Clients &amp; revenue'!BD31*(1-Wallet_Share)*Bank_Payout_Cost</f>
        <v>13796782.7420218</v>
      </c>
      <c r="BE16" s="32" t="n">
        <f aca="false">'Clients &amp; revenue'!BE31*(1-Wallet_Share)*Bank_Payout_Cost</f>
        <v>14358545.2494786</v>
      </c>
      <c r="BF16" s="32" t="n">
        <f aca="false">'Clients &amp; revenue'!BF31*(1-Wallet_Share)*Bank_Payout_Cost</f>
        <v>14933517.679031</v>
      </c>
      <c r="BG16" s="32" t="n">
        <f aca="false">'Clients &amp; revenue'!BG31*(1-Wallet_Share)*Bank_Payout_Cost</f>
        <v>15507445.9757483</v>
      </c>
      <c r="BH16" s="32" t="n">
        <f aca="false">'Clients &amp; revenue'!BH31*(1-Wallet_Share)*Bank_Payout_Cost</f>
        <v>16095047.5492029</v>
      </c>
      <c r="BI16" s="32" t="n">
        <f aca="false">'Clients &amp; revenue'!BI31*(1-Wallet_Share)*Bank_Payout_Cost</f>
        <v>16695058.1715418</v>
      </c>
      <c r="BJ16" s="32" t="n">
        <f aca="false">'Clients &amp; revenue'!BJ31*(1-Wallet_Share)*Bank_Payout_Cost</f>
        <v>17309126.4555094</v>
      </c>
      <c r="BK16" s="32" t="n">
        <f aca="false">'Clients &amp; revenue'!BK31*(1-Wallet_Share)*Bank_Payout_Cost</f>
        <v>17919977.6604051</v>
      </c>
      <c r="BL16" s="32" t="n">
        <f aca="false">'Clients &amp; revenue'!BL31*(1-Wallet_Share)*Bank_Payout_Cost</f>
        <v>18538852.0478709</v>
      </c>
    </row>
    <row r="17" customFormat="false" ht="15" hidden="false" customHeight="false" outlineLevel="0" collapsed="false">
      <c r="A17" s="12" t="s">
        <v>1062</v>
      </c>
      <c r="B17" s="14" t="s">
        <v>77</v>
      </c>
      <c r="D17" s="55" t="n">
        <f aca="false">SUM(E17:BL17)</f>
        <v>1208585858.44232</v>
      </c>
      <c r="E17" s="32" t="n">
        <f aca="false">'Clients &amp; revenue'!E40*(1-Sup_Wallet_Share)*Supplier_Payout_Cost</f>
        <v>0</v>
      </c>
      <c r="F17" s="32" t="n">
        <f aca="false">'Clients &amp; revenue'!F40*(1-Sup_Wallet_Share)*Supplier_Payout_Cost</f>
        <v>0</v>
      </c>
      <c r="G17" s="32" t="n">
        <f aca="false">'Clients &amp; revenue'!G40*(1-Sup_Wallet_Share)*Supplier_Payout_Cost</f>
        <v>0</v>
      </c>
      <c r="H17" s="32" t="n">
        <f aca="false">'Clients &amp; revenue'!H40*(1-Sup_Wallet_Share)*Supplier_Payout_Cost</f>
        <v>0</v>
      </c>
      <c r="I17" s="32" t="n">
        <f aca="false">'Clients &amp; revenue'!I40*(1-Sup_Wallet_Share)*Supplier_Payout_Cost</f>
        <v>293832</v>
      </c>
      <c r="J17" s="32" t="n">
        <f aca="false">'Clients &amp; revenue'!J40*(1-Sup_Wallet_Share)*Supplier_Payout_Cost</f>
        <v>587109.42</v>
      </c>
      <c r="K17" s="32" t="n">
        <f aca="false">'Clients &amp; revenue'!K40*(1-Sup_Wallet_Share)*Supplier_Payout_Cost</f>
        <v>880015.86135</v>
      </c>
      <c r="L17" s="32" t="n">
        <f aca="false">'Clients &amp; revenue'!L40*(1-Sup_Wallet_Share)*Supplier_Payout_Cost</f>
        <v>1172742.95667488</v>
      </c>
      <c r="M17" s="32" t="n">
        <f aca="false">'Clients &amp; revenue'!M40*(1-Sup_Wallet_Share)*Supplier_Payout_Cost</f>
        <v>1465490.89815645</v>
      </c>
      <c r="N17" s="32" t="n">
        <f aca="false">'Clients &amp; revenue'!N40*(1-Sup_Wallet_Share)*Supplier_Payout_Cost</f>
        <v>1758468.99672339</v>
      </c>
      <c r="O17" s="32" t="n">
        <f aca="false">'Clients &amp; revenue'!O40*(1-Sup_Wallet_Share)*Supplier_Payout_Cost</f>
        <v>2051896.27401758</v>
      </c>
      <c r="P17" s="32" t="n">
        <f aca="false">'Clients &amp; revenue'!P40*(1-Sup_Wallet_Share)*Supplier_Payout_Cost</f>
        <v>2346002.08911767</v>
      </c>
      <c r="Q17" s="32" t="n">
        <f aca="false">'Clients &amp; revenue'!Q40*(1-Sup_Wallet_Share)*Supplier_Payout_Cost</f>
        <v>2744778.80211879</v>
      </c>
      <c r="R17" s="32" t="n">
        <f aca="false">'Clients &amp; revenue'!R40*(1-Sup_Wallet_Share)*Supplier_Payout_Cost</f>
        <v>3143523.89679334</v>
      </c>
      <c r="S17" s="32" t="n">
        <f aca="false">'Clients &amp; revenue'!S40*(1-Sup_Wallet_Share)*Supplier_Payout_Cost</f>
        <v>3542517.97804104</v>
      </c>
      <c r="T17" s="32" t="n">
        <f aca="false">'Clients &amp; revenue'!T40*(1-Sup_Wallet_Share)*Supplier_Payout_Cost</f>
        <v>3942054.64208215</v>
      </c>
      <c r="U17" s="32" t="n">
        <f aca="false">'Clients &amp; revenue'!U40*(1-Sup_Wallet_Share)*Supplier_Payout_Cost</f>
        <v>4342441.315172</v>
      </c>
      <c r="V17" s="32" t="n">
        <f aca="false">'Clients &amp; revenue'!V40*(1-Sup_Wallet_Share)*Supplier_Payout_Cost</f>
        <v>4744000.14163768</v>
      </c>
      <c r="W17" s="32" t="n">
        <f aca="false">'Clients &amp; revenue'!W40*(1-Sup_Wallet_Share)*Supplier_Payout_Cost</f>
        <v>5371996.92421424</v>
      </c>
      <c r="X17" s="32" t="n">
        <f aca="false">'Clients &amp; revenue'!X40*(1-Sup_Wallet_Share)*Supplier_Payout_Cost</f>
        <v>6001389.39983617</v>
      </c>
      <c r="Y17" s="32" t="n">
        <f aca="false">'Clients &amp; revenue'!Y40*(1-Sup_Wallet_Share)*Supplier_Payout_Cost</f>
        <v>6680208.14162853</v>
      </c>
      <c r="Z17" s="32" t="n">
        <f aca="false">'Clients &amp; revenue'!Z40*(1-Sup_Wallet_Share)*Supplier_Payout_Cost</f>
        <v>7360917.76116751</v>
      </c>
      <c r="AA17" s="32" t="n">
        <f aca="false">'Clients &amp; revenue'!AA40*(1-Sup_Wallet_Share)*Supplier_Payout_Cost</f>
        <v>8044087.45890954</v>
      </c>
      <c r="AB17" s="32" t="n">
        <f aca="false">'Clients &amp; revenue'!AB40*(1-Sup_Wallet_Share)*Supplier_Payout_Cost</f>
        <v>8730314.41390029</v>
      </c>
      <c r="AC17" s="32" t="n">
        <f aca="false">'Clients &amp; revenue'!AC40*(1-Sup_Wallet_Share)*Supplier_Payout_Cost</f>
        <v>9628521.55722378</v>
      </c>
      <c r="AD17" s="32" t="n">
        <f aca="false">'Clients &amp; revenue'!AD40*(1-Sup_Wallet_Share)*Supplier_Payout_Cost</f>
        <v>10528657.1102627</v>
      </c>
      <c r="AE17" s="32" t="n">
        <f aca="false">'Clients &amp; revenue'!AE40*(1-Sup_Wallet_Share)*Supplier_Payout_Cost</f>
        <v>11478965.5636372</v>
      </c>
      <c r="AF17" s="32" t="n">
        <f aca="false">'Clients &amp; revenue'!AF40*(1-Sup_Wallet_Share)*Supplier_Payout_Cost</f>
        <v>12432135.8440115</v>
      </c>
      <c r="AG17" s="32" t="n">
        <f aca="false">'Clients &amp; revenue'!AG40*(1-Sup_Wallet_Share)*Supplier_Payout_Cost</f>
        <v>13388972.5254367</v>
      </c>
      <c r="AH17" s="32" t="n">
        <f aca="false">'Clients &amp; revenue'!AH40*(1-Sup_Wallet_Share)*Supplier_Payout_Cost</f>
        <v>14350319.919008</v>
      </c>
      <c r="AI17" s="32" t="n">
        <f aca="false">'Clients &amp; revenue'!AI40*(1-Sup_Wallet_Share)*Supplier_Payout_Cost</f>
        <v>15364584.5876505</v>
      </c>
      <c r="AJ17" s="32" t="n">
        <f aca="false">'Clients &amp; revenue'!AJ40*(1-Sup_Wallet_Share)*Supplier_Payout_Cost</f>
        <v>16384627.2095981</v>
      </c>
      <c r="AK17" s="32" t="n">
        <f aca="false">'Clients &amp; revenue'!AK40*(1-Sup_Wallet_Share)*Supplier_Payout_Cost</f>
        <v>17411434.3705263</v>
      </c>
      <c r="AL17" s="32" t="n">
        <f aca="false">'Clients &amp; revenue'!AL40*(1-Sup_Wallet_Share)*Supplier_Payout_Cost</f>
        <v>18446043.2688555</v>
      </c>
      <c r="AM17" s="32" t="n">
        <f aca="false">'Clients &amp; revenue'!AM40*(1-Sup_Wallet_Share)*Supplier_Payout_Cost</f>
        <v>19537064.8831271</v>
      </c>
      <c r="AN17" s="32" t="n">
        <f aca="false">'Clients &amp; revenue'!AN40*(1-Sup_Wallet_Share)*Supplier_Payout_Cost</f>
        <v>20637576.5272369</v>
      </c>
      <c r="AO17" s="32" t="n">
        <f aca="false">'Clients &amp; revenue'!AO40*(1-Sup_Wallet_Share)*Supplier_Payout_Cost</f>
        <v>21895314.3758334</v>
      </c>
      <c r="AP17" s="32" t="n">
        <f aca="false">'Clients &amp; revenue'!AP40*(1-Sup_Wallet_Share)*Supplier_Payout_Cost</f>
        <v>23210860.6468892</v>
      </c>
      <c r="AQ17" s="32" t="n">
        <f aca="false">'Clients &amp; revenue'!AQ40*(1-Sup_Wallet_Share)*Supplier_Payout_Cost</f>
        <v>24537516.1202386</v>
      </c>
      <c r="AR17" s="32" t="n">
        <f aca="false">'Clients &amp; revenue'!AR40*(1-Sup_Wallet_Share)*Supplier_Payout_Cost</f>
        <v>25876731.9646325</v>
      </c>
      <c r="AS17" s="32" t="n">
        <f aca="false">'Clients &amp; revenue'!AS40*(1-Sup_Wallet_Share)*Supplier_Payout_Cost</f>
        <v>27277555.9406876</v>
      </c>
      <c r="AT17" s="32" t="n">
        <f aca="false">'Clients &amp; revenue'!AT40*(1-Sup_Wallet_Share)*Supplier_Payout_Cost</f>
        <v>28693526.3552935</v>
      </c>
      <c r="AU17" s="32" t="n">
        <f aca="false">'Clients &amp; revenue'!AU40*(1-Sup_Wallet_Share)*Supplier_Payout_Cost</f>
        <v>30126346.0696308</v>
      </c>
      <c r="AV17" s="32" t="n">
        <f aca="false">'Clients &amp; revenue'!AV40*(1-Sup_Wallet_Share)*Supplier_Payout_Cost</f>
        <v>31668097.5528218</v>
      </c>
      <c r="AW17" s="32" t="n">
        <f aca="false">'Clients &amp; revenue'!AW40*(1-Sup_Wallet_Share)*Supplier_Payout_Cost</f>
        <v>33215760.7017028</v>
      </c>
      <c r="AX17" s="32" t="n">
        <f aca="false">'Clients &amp; revenue'!AX40*(1-Sup_Wallet_Share)*Supplier_Payout_Cost</f>
        <v>34803272.5621512</v>
      </c>
      <c r="AY17" s="32" t="n">
        <f aca="false">'Clients &amp; revenue'!AY40*(1-Sup_Wallet_Share)*Supplier_Payout_Cost</f>
        <v>36383258.9412399</v>
      </c>
      <c r="AZ17" s="32" t="n">
        <f aca="false">'Clients &amp; revenue'!AZ40*(1-Sup_Wallet_Share)*Supplier_Payout_Cost</f>
        <v>37956450.2452972</v>
      </c>
      <c r="BA17" s="32" t="n">
        <f aca="false">'Clients &amp; revenue'!BA40*(1-Sup_Wallet_Share)*Supplier_Payout_Cost</f>
        <v>39718437.0146301</v>
      </c>
      <c r="BB17" s="32" t="n">
        <f aca="false">'Clients &amp; revenue'!BB40*(1-Sup_Wallet_Share)*Supplier_Payout_Cost</f>
        <v>41472917.5683043</v>
      </c>
      <c r="BC17" s="32" t="n">
        <f aca="false">'Clients &amp; revenue'!BC40*(1-Sup_Wallet_Share)*Supplier_Payout_Cost</f>
        <v>43268262.8215717</v>
      </c>
      <c r="BD17" s="32" t="n">
        <f aca="false">'Clients &amp; revenue'!BD40*(1-Sup_Wallet_Share)*Supplier_Payout_Cost</f>
        <v>45057286.6802813</v>
      </c>
      <c r="BE17" s="32" t="n">
        <f aca="false">'Clients &amp; revenue'!BE40*(1-Sup_Wallet_Share)*Supplier_Payout_Cost</f>
        <v>46883685.2996741</v>
      </c>
      <c r="BF17" s="32" t="n">
        <f aca="false">'Clients &amp; revenue'!BF40*(1-Sup_Wallet_Share)*Supplier_Payout_Cost</f>
        <v>48752681.5021334</v>
      </c>
      <c r="BG17" s="32" t="n">
        <f aca="false">'Clients &amp; revenue'!BG40*(1-Sup_Wallet_Share)*Supplier_Payout_Cost</f>
        <v>50617218.6146817</v>
      </c>
      <c r="BH17" s="32" t="n">
        <f aca="false">'Clients &amp; revenue'!BH40*(1-Sup_Wallet_Share)*Supplier_Payout_Cost</f>
        <v>52525881.6983849</v>
      </c>
      <c r="BI17" s="32" t="n">
        <f aca="false">'Clients &amp; revenue'!BI40*(1-Sup_Wallet_Share)*Supplier_Payout_Cost</f>
        <v>54474479.3386833</v>
      </c>
      <c r="BJ17" s="32" t="n">
        <f aca="false">'Clients &amp; revenue'!BJ40*(1-Sup_Wallet_Share)*Supplier_Payout_Cost</f>
        <v>56468435.9396742</v>
      </c>
      <c r="BK17" s="32" t="n">
        <f aca="false">'Clients &amp; revenue'!BK40*(1-Sup_Wallet_Share)*Supplier_Payout_Cost</f>
        <v>58450724.9492575</v>
      </c>
      <c r="BL17" s="32" t="n">
        <f aca="false">'Clients &amp; revenue'!BL40*(1-Sup_Wallet_Share)*Supplier_Payout_Cost</f>
        <v>60458462.8005095</v>
      </c>
    </row>
    <row r="18" customFormat="false" ht="15" hidden="false" customHeight="false" outlineLevel="0" collapsed="false">
      <c r="A18" s="12" t="s">
        <v>803</v>
      </c>
      <c r="B18" s="14" t="s">
        <v>77</v>
      </c>
      <c r="D18" s="55" t="n">
        <f aca="false">SUM(E18:BL18)</f>
        <v>797330142.579157</v>
      </c>
      <c r="E18" s="32" t="n">
        <f aca="false">'Clients &amp; revenue'!E50*PL_Momo_Share*PL_Cost</f>
        <v>0</v>
      </c>
      <c r="F18" s="32" t="n">
        <f aca="false">'Clients &amp; revenue'!F50*PL_Momo_Share*PL_Cost</f>
        <v>0</v>
      </c>
      <c r="G18" s="32" t="n">
        <f aca="false">'Clients &amp; revenue'!G50*PL_Momo_Share*PL_Cost</f>
        <v>0</v>
      </c>
      <c r="H18" s="32" t="n">
        <f aca="false">'Clients &amp; revenue'!H50*PL_Momo_Share*PL_Cost</f>
        <v>0</v>
      </c>
      <c r="I18" s="32" t="n">
        <f aca="false">'Clients &amp; revenue'!I50*PL_Momo_Share*PL_Cost</f>
        <v>0</v>
      </c>
      <c r="J18" s="32" t="n">
        <f aca="false">'Clients &amp; revenue'!J50*PL_Momo_Share*PL_Cost</f>
        <v>0</v>
      </c>
      <c r="K18" s="32" t="n">
        <f aca="false">'Clients &amp; revenue'!K50*PL_Momo_Share*PL_Cost</f>
        <v>0</v>
      </c>
      <c r="L18" s="32" t="n">
        <f aca="false">'Clients &amp; revenue'!L50*PL_Momo_Share*PL_Cost</f>
        <v>0</v>
      </c>
      <c r="M18" s="32" t="n">
        <f aca="false">'Clients &amp; revenue'!M50*PL_Momo_Share*PL_Cost</f>
        <v>0</v>
      </c>
      <c r="N18" s="32" t="n">
        <f aca="false">'Clients &amp; revenue'!N50*PL_Momo_Share*PL_Cost</f>
        <v>0</v>
      </c>
      <c r="O18" s="32" t="n">
        <f aca="false">'Clients &amp; revenue'!O50*PL_Momo_Share*PL_Cost</f>
        <v>0</v>
      </c>
      <c r="P18" s="32" t="n">
        <f aca="false">'Clients &amp; revenue'!P50*PL_Momo_Share*PL_Cost</f>
        <v>0</v>
      </c>
      <c r="Q18" s="32" t="n">
        <f aca="false">'Clients &amp; revenue'!Q50*PL_Momo_Share*PL_Cost</f>
        <v>0</v>
      </c>
      <c r="R18" s="32" t="n">
        <f aca="false">'Clients &amp; revenue'!R50*PL_Momo_Share*PL_Cost</f>
        <v>0</v>
      </c>
      <c r="S18" s="32" t="n">
        <f aca="false">'Clients &amp; revenue'!S50*PL_Momo_Share*PL_Cost</f>
        <v>0</v>
      </c>
      <c r="T18" s="32" t="n">
        <f aca="false">'Clients &amp; revenue'!T50*PL_Momo_Share*PL_Cost</f>
        <v>0</v>
      </c>
      <c r="U18" s="32" t="n">
        <f aca="false">'Clients &amp; revenue'!U50*PL_Momo_Share*PL_Cost</f>
        <v>0</v>
      </c>
      <c r="V18" s="32" t="n">
        <f aca="false">'Clients &amp; revenue'!V50*PL_Momo_Share*PL_Cost</f>
        <v>276697.031265258</v>
      </c>
      <c r="W18" s="32" t="n">
        <f aca="false">'Clients &amp; revenue'!W50*PL_Momo_Share*PL_Cost</f>
        <v>626620.028320476</v>
      </c>
      <c r="X18" s="32" t="n">
        <f aca="false">'Clients &amp; revenue'!X50*PL_Momo_Share*PL_Cost</f>
        <v>1049981.79310067</v>
      </c>
      <c r="Y18" s="32" t="n">
        <f aca="false">'Clients &amp; revenue'!Y50*PL_Momo_Share*PL_Cost</f>
        <v>1558221.62253333</v>
      </c>
      <c r="Z18" s="32" t="n">
        <f aca="false">'Clients &amp; revenue'!Z50*PL_Momo_Share*PL_Cost</f>
        <v>2146080.46618781</v>
      </c>
      <c r="AA18" s="32" t="n">
        <f aca="false">'Clients &amp; revenue'!AA50*PL_Momo_Share*PL_Cost</f>
        <v>2814056.25799174</v>
      </c>
      <c r="AB18" s="32" t="n">
        <f aca="false">'Clients &amp; revenue'!AB50*PL_Momo_Share*PL_Cost</f>
        <v>3562791.81752879</v>
      </c>
      <c r="AC18" s="32" t="n">
        <f aca="false">'Clients &amp; revenue'!AC50*PL_Momo_Share*PL_Cost</f>
        <v>4490452.23197947</v>
      </c>
      <c r="AD18" s="32" t="n">
        <f aca="false">'Clients &amp; revenue'!AD50*PL_Momo_Share*PL_Cost</f>
        <v>5523666.43721037</v>
      </c>
      <c r="AE18" s="32" t="n">
        <f aca="false">'Clients &amp; revenue'!AE50*PL_Momo_Share*PL_Cost</f>
        <v>6690919.89640868</v>
      </c>
      <c r="AF18" s="32" t="n">
        <f aca="false">'Clients &amp; revenue'!AF50*PL_Momo_Share*PL_Cost</f>
        <v>7970546.73538596</v>
      </c>
      <c r="AG18" s="32" t="n">
        <f aca="false">'Clients &amp; revenue'!AG50*PL_Momo_Share*PL_Cost</f>
        <v>9363568.72426842</v>
      </c>
      <c r="AH18" s="32" t="n">
        <f aca="false">'Clients &amp; revenue'!AH50*PL_Momo_Share*PL_Cost</f>
        <v>10034978.1095905</v>
      </c>
      <c r="AI18" s="32" t="n">
        <f aca="false">'Clients &amp; revenue'!AI50*PL_Momo_Share*PL_Cost</f>
        <v>10743313.1986905</v>
      </c>
      <c r="AJ18" s="32" t="n">
        <f aca="false">'Clients &amp; revenue'!AJ50*PL_Momo_Share*PL_Cost</f>
        <v>11455511.5113977</v>
      </c>
      <c r="AK18" s="32" t="n">
        <f aca="false">'Clients &amp; revenue'!AK50*PL_Momo_Share*PL_Cost</f>
        <v>12172266.1532926</v>
      </c>
      <c r="AL18" s="32" t="n">
        <f aca="false">'Clients &amp; revenue'!AL50*PL_Momo_Share*PL_Cost</f>
        <v>12894305.4750915</v>
      </c>
      <c r="AM18" s="32" t="n">
        <f aca="false">'Clients &amp; revenue'!AM50*PL_Momo_Share*PL_Cost</f>
        <v>13655715.285673</v>
      </c>
      <c r="AN18" s="32" t="n">
        <f aca="false">'Clients &amp; revenue'!AN50*PL_Momo_Share*PL_Cost</f>
        <v>14423584.2962209</v>
      </c>
      <c r="AO18" s="32" t="n">
        <f aca="false">'Clients &amp; revenue'!AO50*PL_Momo_Share*PL_Cost</f>
        <v>15301502.5142947</v>
      </c>
      <c r="AP18" s="32" t="n">
        <f aca="false">'Clients &amp; revenue'!AP50*PL_Momo_Share*PL_Cost</f>
        <v>16219727.6708401</v>
      </c>
      <c r="AQ18" s="32" t="n">
        <f aca="false">'Clients &amp; revenue'!AQ50*PL_Momo_Share*PL_Cost</f>
        <v>17145505.4448428</v>
      </c>
      <c r="AR18" s="32" t="n">
        <f aca="false">'Clients &amp; revenue'!AR50*PL_Momo_Share*PL_Cost</f>
        <v>18079854.173474</v>
      </c>
      <c r="AS18" s="32" t="n">
        <f aca="false">'Clients &amp; revenue'!AS50*PL_Momo_Share*PL_Cost</f>
        <v>19057165.5574122</v>
      </c>
      <c r="AT18" s="32" t="n">
        <f aca="false">'Clients &amp; revenue'!AT50*PL_Momo_Share*PL_Cost</f>
        <v>20044851.0822043</v>
      </c>
      <c r="AU18" s="32" t="n">
        <f aca="false">'Clients &amp; revenue'!AU50*PL_Momo_Share*PL_Cost</f>
        <v>21044104.7811364</v>
      </c>
      <c r="AV18" s="32" t="n">
        <f aca="false">'Clients &amp; revenue'!AV50*PL_Momo_Share*PL_Cost</f>
        <v>22119492.534461</v>
      </c>
      <c r="AW18" s="32" t="n">
        <f aca="false">'Clients &amp; revenue'!AW50*PL_Momo_Share*PL_Cost</f>
        <v>23198757.7886268</v>
      </c>
      <c r="AX18" s="32" t="n">
        <f aca="false">'Clients &amp; revenue'!AX50*PL_Momo_Share*PL_Cost</f>
        <v>24305698.8654214</v>
      </c>
      <c r="AY18" s="32" t="n">
        <f aca="false">'Clients &amp; revenue'!AY50*PL_Momo_Share*PL_Cost</f>
        <v>25407092.7256964</v>
      </c>
      <c r="AZ18" s="32" t="n">
        <f aca="false">'Clients &amp; revenue'!AZ50*PL_Momo_Share*PL_Cost</f>
        <v>26503456.9685509</v>
      </c>
      <c r="BA18" s="32" t="n">
        <f aca="false">'Clients &amp; revenue'!BA50*PL_Momo_Share*PL_Cost</f>
        <v>27731940.6748998</v>
      </c>
      <c r="BB18" s="32" t="n">
        <f aca="false">'Clients &amp; revenue'!BB50*PL_Momo_Share*PL_Cost</f>
        <v>28954862.4643787</v>
      </c>
      <c r="BC18" s="32" t="n">
        <f aca="false">'Clients &amp; revenue'!BC50*PL_Momo_Share*PL_Cost</f>
        <v>30206144.821489</v>
      </c>
      <c r="BD18" s="32" t="n">
        <f aca="false">'Clients &amp; revenue'!BD50*PL_Momo_Share*PL_Cost</f>
        <v>31452696.7458997</v>
      </c>
      <c r="BE18" s="32" t="n">
        <f aca="false">'Clients &amp; revenue'!BE50*PL_Momo_Share*PL_Cost</f>
        <v>32725162.5973483</v>
      </c>
      <c r="BF18" s="32" t="n">
        <f aca="false">'Clients &amp; revenue'!BF50*PL_Momo_Share*PL_Cost</f>
        <v>34027200.1505071</v>
      </c>
      <c r="BG18" s="32" t="n">
        <f aca="false">'Clients &amp; revenue'!BG50*PL_Momo_Share*PL_Cost</f>
        <v>35325808.8079927</v>
      </c>
      <c r="BH18" s="32" t="n">
        <f aca="false">'Clients &amp; revenue'!BH50*PL_Momo_Share*PL_Cost</f>
        <v>36655060.5564257</v>
      </c>
      <c r="BI18" s="32" t="n">
        <f aca="false">'Clients &amp; revenue'!BI50*PL_Momo_Share*PL_Cost</f>
        <v>38012010.6472902</v>
      </c>
      <c r="BJ18" s="32" t="n">
        <f aca="false">'Clients &amp; revenue'!BJ50*PL_Momo_Share*PL_Cost</f>
        <v>39400457.7592818</v>
      </c>
      <c r="BK18" s="32" t="n">
        <f aca="false">'Clients &amp; revenue'!BK50*PL_Momo_Share*PL_Cost</f>
        <v>40780410.1508165</v>
      </c>
      <c r="BL18" s="32" t="n">
        <f aca="false">'Clients &amp; revenue'!BL50*PL_Momo_Share*PL_Cost</f>
        <v>42177900.0237286</v>
      </c>
    </row>
    <row r="19" customFormat="false" ht="15" hidden="false" customHeight="false" outlineLevel="0" collapsed="false">
      <c r="A19" s="12" t="s">
        <v>1063</v>
      </c>
      <c r="B19" s="14" t="s">
        <v>77</v>
      </c>
      <c r="D19" s="55" t="n">
        <f aca="false">SUM(E19:BL19)</f>
        <v>980343419.269229</v>
      </c>
      <c r="E19" s="32" t="n">
        <f aca="false">'Clients &amp; revenue'!E48*Intl_Cost</f>
        <v>0</v>
      </c>
      <c r="F19" s="32" t="n">
        <f aca="false">'Clients &amp; revenue'!F48*Intl_Cost</f>
        <v>0</v>
      </c>
      <c r="G19" s="32" t="n">
        <f aca="false">'Clients &amp; revenue'!G48*Intl_Cost</f>
        <v>0</v>
      </c>
      <c r="H19" s="32" t="n">
        <f aca="false">'Clients &amp; revenue'!H48*Intl_Cost</f>
        <v>0</v>
      </c>
      <c r="I19" s="32" t="n">
        <f aca="false">'Clients &amp; revenue'!I48*Intl_Cost</f>
        <v>0</v>
      </c>
      <c r="J19" s="32" t="n">
        <f aca="false">'Clients &amp; revenue'!J48*Intl_Cost</f>
        <v>0</v>
      </c>
      <c r="K19" s="32" t="n">
        <f aca="false">'Clients &amp; revenue'!K48*Intl_Cost</f>
        <v>0</v>
      </c>
      <c r="L19" s="32" t="n">
        <f aca="false">'Clients &amp; revenue'!L48*Intl_Cost</f>
        <v>0</v>
      </c>
      <c r="M19" s="32" t="n">
        <f aca="false">'Clients &amp; revenue'!M48*Intl_Cost</f>
        <v>0</v>
      </c>
      <c r="N19" s="32" t="n">
        <f aca="false">'Clients &amp; revenue'!N48*Intl_Cost</f>
        <v>0</v>
      </c>
      <c r="O19" s="32" t="n">
        <f aca="false">'Clients &amp; revenue'!O48*Intl_Cost</f>
        <v>0</v>
      </c>
      <c r="P19" s="32" t="n">
        <f aca="false">'Clients &amp; revenue'!P48*Intl_Cost</f>
        <v>0</v>
      </c>
      <c r="Q19" s="32" t="n">
        <f aca="false">'Clients &amp; revenue'!Q48*Intl_Cost</f>
        <v>192029.195799948</v>
      </c>
      <c r="R19" s="32" t="n">
        <f aca="false">'Clients &amp; revenue'!R48*Intl_Cost</f>
        <v>439742.269381348</v>
      </c>
      <c r="S19" s="32" t="n">
        <f aca="false">'Clients &amp; revenue'!S48*Intl_Cost</f>
        <v>743138.299365629</v>
      </c>
      <c r="T19" s="32" t="n">
        <f aca="false">'Clients &amp; revenue'!T48*Intl_Cost</f>
        <v>1102299.83143927</v>
      </c>
      <c r="U19" s="32" t="n">
        <f aca="false">'Clients &amp; revenue'!U48*Intl_Cost</f>
        <v>1517397.63297189</v>
      </c>
      <c r="V19" s="32" t="n">
        <f aca="false">'Clients &amp; revenue'!V48*Intl_Cost</f>
        <v>1988695.81915105</v>
      </c>
      <c r="W19" s="32" t="n">
        <f aca="false">'Clients &amp; revenue'!W48*Intl_Cost</f>
        <v>2627001.82048876</v>
      </c>
      <c r="X19" s="32" t="n">
        <f aca="false">'Clients &amp; revenue'!X48*Intl_Cost</f>
        <v>3353542.01886566</v>
      </c>
      <c r="Y19" s="32" t="n">
        <f aca="false">'Clients &amp; revenue'!Y48*Intl_Cost</f>
        <v>4198852.44620708</v>
      </c>
      <c r="Z19" s="32" t="n">
        <f aca="false">'Clients &amp; revenue'!Z48*Intl_Cost</f>
        <v>5139887.66718057</v>
      </c>
      <c r="AA19" s="32" t="n">
        <f aca="false">'Clients &amp; revenue'!AA48*Intl_Cost</f>
        <v>6177400.61691767</v>
      </c>
      <c r="AB19" s="32" t="n">
        <f aca="false">'Clients &amp; revenue'!AB48*Intl_Cost</f>
        <v>7312328.58020622</v>
      </c>
      <c r="AC19" s="32" t="n">
        <f aca="false">'Clients &amp; revenue'!AC48*Intl_Cost</f>
        <v>8063768.19853993</v>
      </c>
      <c r="AD19" s="32" t="n">
        <f aca="false">'Clients &amp; revenue'!AD48*Intl_Cost</f>
        <v>8816368.9978978</v>
      </c>
      <c r="AE19" s="32" t="n">
        <f aca="false">'Clients &amp; revenue'!AE48*Intl_Cost</f>
        <v>9610747.05318094</v>
      </c>
      <c r="AF19" s="32" t="n">
        <f aca="false">'Clients &amp; revenue'!AF48*Intl_Cost</f>
        <v>10407055.5611362</v>
      </c>
      <c r="AG19" s="32" t="n">
        <f aca="false">'Clients &amp; revenue'!AG48*Intl_Cost</f>
        <v>11205977.7039455</v>
      </c>
      <c r="AH19" s="32" t="n">
        <f aca="false">'Clients &amp; revenue'!AH48*Intl_Cost</f>
        <v>12008229.5313525</v>
      </c>
      <c r="AI19" s="32" t="n">
        <f aca="false">'Clients &amp; revenue'!AI48*Intl_Cost</f>
        <v>12854562.0632672</v>
      </c>
      <c r="AJ19" s="32" t="n">
        <f aca="false">'Clients &amp; revenue'!AJ48*Intl_Cost</f>
        <v>13705271.5162523</v>
      </c>
      <c r="AK19" s="32" t="n">
        <f aca="false">'Clients &amp; revenue'!AK48*Intl_Cost</f>
        <v>14561192.6513654</v>
      </c>
      <c r="AL19" s="32" t="n">
        <f aca="false">'Clients &amp; revenue'!AL48*Intl_Cost</f>
        <v>15423202.1696047</v>
      </c>
      <c r="AM19" s="32" t="n">
        <f aca="false">'Clients &amp; revenue'!AM48*Intl_Cost</f>
        <v>16332221.3586429</v>
      </c>
      <c r="AN19" s="32" t="n">
        <f aca="false">'Clients &amp; revenue'!AN48*Intl_Cost</f>
        <v>17248726.8961011</v>
      </c>
      <c r="AO19" s="32" t="n">
        <f aca="false">'Clients &amp; revenue'!AO48*Intl_Cost</f>
        <v>18297078.1421294</v>
      </c>
      <c r="AP19" s="32" t="n">
        <f aca="false">'Clients &amp; revenue'!AP48*Intl_Cost</f>
        <v>19393504.1829518</v>
      </c>
      <c r="AQ19" s="32" t="n">
        <f aca="false">'Clients &amp; revenue'!AQ48*Intl_Cost</f>
        <v>20498670.7170961</v>
      </c>
      <c r="AR19" s="32" t="n">
        <f aca="false">'Clients &amp; revenue'!AR48*Intl_Cost</f>
        <v>21613802.3467265</v>
      </c>
      <c r="AS19" s="32" t="n">
        <f aca="false">'Clients &amp; revenue'!AS48*Intl_Cost</f>
        <v>22780187.2231203</v>
      </c>
      <c r="AT19" s="32" t="n">
        <f aca="false">'Clients &amp; revenue'!AT48*Intl_Cost</f>
        <v>23958689.0179439</v>
      </c>
      <c r="AU19" s="32" t="n">
        <f aca="false">'Clients &amp; revenue'!AU48*Intl_Cost</f>
        <v>25150742.1200619</v>
      </c>
      <c r="AV19" s="32" t="n">
        <f aca="false">'Clients &amp; revenue'!AV48*Intl_Cost</f>
        <v>26433856.9903849</v>
      </c>
      <c r="AW19" s="32" t="n">
        <f aca="false">'Clients &amp; revenue'!AW48*Intl_Cost</f>
        <v>27721261.3675925</v>
      </c>
      <c r="AX19" s="32" t="n">
        <f aca="false">'Clients &amp; revenue'!AX48*Intl_Cost</f>
        <v>29041529.1556149</v>
      </c>
      <c r="AY19" s="32" t="n">
        <f aca="false">'Clients &amp; revenue'!AY48*Intl_Cost</f>
        <v>30354770.0728703</v>
      </c>
      <c r="AZ19" s="32" t="n">
        <f aca="false">'Clients &amp; revenue'!AZ48*Intl_Cost</f>
        <v>31661614.4041228</v>
      </c>
      <c r="BA19" s="32" t="n">
        <f aca="false">'Clients &amp; revenue'!BA48*Intl_Cost</f>
        <v>33126715.4241521</v>
      </c>
      <c r="BB19" s="32" t="n">
        <f aca="false">'Clients &amp; revenue'!BB48*Intl_Cost</f>
        <v>34584733.812569</v>
      </c>
      <c r="BC19" s="32" t="n">
        <f aca="false">'Clients &amp; revenue'!BC48*Intl_Cost</f>
        <v>36076402.4204513</v>
      </c>
      <c r="BD19" s="32" t="n">
        <f aca="false">'Clients &amp; revenue'!BD48*Intl_Cost</f>
        <v>37561989.7595769</v>
      </c>
      <c r="BE19" s="32" t="n">
        <f aca="false">'Clients &amp; revenue'!BE48*Intl_Cost</f>
        <v>39078292.9109157</v>
      </c>
      <c r="BF19" s="32" t="n">
        <f aca="false">'Clients &amp; revenue'!BF48*Intl_Cost</f>
        <v>40629697.652085</v>
      </c>
      <c r="BG19" s="32" t="n">
        <f aca="false">'Clients &amp; revenue'!BG48*Intl_Cost</f>
        <v>42176580.4967753</v>
      </c>
      <c r="BH19" s="32" t="n">
        <f aca="false">'Clients &amp; revenue'!BH48*Intl_Cost</f>
        <v>43759852.7661129</v>
      </c>
      <c r="BI19" s="32" t="n">
        <f aca="false">'Clients &amp; revenue'!BI48*Intl_Cost</f>
        <v>45375971.8935908</v>
      </c>
      <c r="BJ19" s="32" t="n">
        <f aca="false">'Clients &amp; revenue'!BJ48*Intl_Cost</f>
        <v>47029492.1635729</v>
      </c>
      <c r="BK19" s="32" t="n">
        <f aca="false">'Clients &amp; revenue'!BK48*Intl_Cost</f>
        <v>48672396.6594104</v>
      </c>
      <c r="BL19" s="32" t="n">
        <f aca="false">'Clients &amp; revenue'!BL48*Intl_Cost</f>
        <v>50335947.6701404</v>
      </c>
    </row>
    <row r="20" customFormat="false" ht="15" hidden="false" customHeight="false" outlineLevel="0" collapsed="false">
      <c r="A20" s="12" t="s">
        <v>1064</v>
      </c>
      <c r="B20" s="14" t="s">
        <v>77</v>
      </c>
      <c r="D20" s="55" t="n">
        <f aca="false">SUM(E20:BL20)</f>
        <v>27165780.5468876</v>
      </c>
      <c r="E20" s="32" t="n">
        <f aca="false">'Clients &amp; revenue'!E47*Payslip_Cost</f>
        <v>0</v>
      </c>
      <c r="F20" s="32" t="n">
        <f aca="false">'Clients &amp; revenue'!F47*Payslip_Cost</f>
        <v>0</v>
      </c>
      <c r="G20" s="32" t="n">
        <f aca="false">'Clients &amp; revenue'!G47*Payslip_Cost</f>
        <v>0</v>
      </c>
      <c r="H20" s="32" t="n">
        <f aca="false">'Clients &amp; revenue'!H47*Payslip_Cost</f>
        <v>0</v>
      </c>
      <c r="I20" s="32" t="n">
        <f aca="false">'Clients &amp; revenue'!I47*Payslip_Cost</f>
        <v>0</v>
      </c>
      <c r="J20" s="32" t="n">
        <f aca="false">'Clients &amp; revenue'!J47*Payslip_Cost</f>
        <v>0</v>
      </c>
      <c r="K20" s="32" t="n">
        <f aca="false">'Clients &amp; revenue'!K47*Payslip_Cost</f>
        <v>0</v>
      </c>
      <c r="L20" s="32" t="n">
        <f aca="false">'Clients &amp; revenue'!L47*Payslip_Cost</f>
        <v>0</v>
      </c>
      <c r="M20" s="32" t="n">
        <f aca="false">'Clients &amp; revenue'!M47*Payslip_Cost</f>
        <v>0</v>
      </c>
      <c r="N20" s="32" t="n">
        <f aca="false">'Clients &amp; revenue'!N47*Payslip_Cost</f>
        <v>0</v>
      </c>
      <c r="O20" s="32" t="n">
        <f aca="false">'Clients &amp; revenue'!O47*Payslip_Cost</f>
        <v>3894.7931878846</v>
      </c>
      <c r="P20" s="32" t="n">
        <f aca="false">'Clients &amp; revenue'!P47*Payslip_Cost</f>
        <v>8909.26357314156</v>
      </c>
      <c r="Q20" s="32" t="n">
        <f aca="false">'Clients &amp; revenue'!Q47*Payslip_Cost</f>
        <v>15639.2766336556</v>
      </c>
      <c r="R20" s="32" t="n">
        <f aca="false">'Clients &amp; revenue'!R47*Payslip_Cost</f>
        <v>23888.0758857881</v>
      </c>
      <c r="S20" s="32" t="n">
        <f aca="false">'Clients &amp; revenue'!S47*Payslip_Cost</f>
        <v>33659.6796924201</v>
      </c>
      <c r="T20" s="32" t="n">
        <f aca="false">'Clients &amp; revenue'!T47*Payslip_Cost</f>
        <v>44960.3526486409</v>
      </c>
      <c r="U20" s="32" t="n">
        <f aca="false">'Clients &amp; revenue'!U47*Payslip_Cost</f>
        <v>57798.7424002132</v>
      </c>
      <c r="V20" s="32" t="n">
        <f aca="false">'Clients &amp; revenue'!V47*Payslip_Cost</f>
        <v>72186.0268141377</v>
      </c>
      <c r="W20" s="32" t="n">
        <f aca="false">'Clients &amp; revenue'!W47*Payslip_Cost</f>
        <v>91970.0722138655</v>
      </c>
      <c r="X20" s="32" t="n">
        <f aca="false">'Clients &amp; revenue'!X47*Payslip_Cost</f>
        <v>114179.953440675</v>
      </c>
      <c r="Y20" s="32" t="n">
        <f aca="false">'Clients &amp; revenue'!Y47*Payslip_Cost</f>
        <v>139826.566492492</v>
      </c>
      <c r="Z20" s="32" t="n">
        <f aca="false">'Clients &amp; revenue'!Z47*Payslip_Cost</f>
        <v>168113.512067334</v>
      </c>
      <c r="AA20" s="32" t="n">
        <f aca="false">'Clients &amp; revenue'!AA47*Payslip_Cost</f>
        <v>183755.084131426</v>
      </c>
      <c r="AB20" s="32" t="n">
        <f aca="false">'Clients &amp; revenue'!AB47*Payslip_Cost</f>
        <v>199476.257626372</v>
      </c>
      <c r="AC20" s="32" t="n">
        <f aca="false">'Clients &amp; revenue'!AC47*Payslip_Cost</f>
        <v>220025.189549569</v>
      </c>
      <c r="AD20" s="32" t="n">
        <f aca="false">'Clients &amp; revenue'!AD47*Payslip_Cost</f>
        <v>240631.483023479</v>
      </c>
      <c r="AE20" s="32" t="n">
        <f aca="false">'Clients &amp; revenue'!AE47*Payslip_Cost</f>
        <v>262391.443936033</v>
      </c>
      <c r="AF20" s="32" t="n">
        <f aca="false">'Clients &amp; revenue'!AF47*Payslip_Cost</f>
        <v>284230.493966314</v>
      </c>
      <c r="AG20" s="32" t="n">
        <f aca="false">'Clients &amp; revenue'!AG47*Payslip_Cost</f>
        <v>306166.768137021</v>
      </c>
      <c r="AH20" s="32" t="n">
        <f aca="false">'Clients &amp; revenue'!AH47*Payslip_Cost</f>
        <v>328219.320808892</v>
      </c>
      <c r="AI20" s="32" t="n">
        <f aca="false">'Clients &amp; revenue'!AI47*Payslip_Cost</f>
        <v>351488.183280077</v>
      </c>
      <c r="AJ20" s="32" t="n">
        <f aca="false">'Clients &amp; revenue'!AJ47*Payslip_Cost</f>
        <v>374902.724802118</v>
      </c>
      <c r="AK20" s="32" t="n">
        <f aca="false">'Clients &amp; revenue'!AK47*Payslip_Cost</f>
        <v>398485.263468242</v>
      </c>
      <c r="AL20" s="32" t="n">
        <f aca="false">'Clients &amp; revenue'!AL47*Payslip_Cost</f>
        <v>422259.286343837</v>
      </c>
      <c r="AM20" s="32" t="n">
        <f aca="false">'Clients &amp; revenue'!AM47*Payslip_Cost</f>
        <v>447329.522050105</v>
      </c>
      <c r="AN20" s="32" t="n">
        <f aca="false">'Clients &amp; revenue'!AN47*Payslip_Cost</f>
        <v>472630.317663447</v>
      </c>
      <c r="AO20" s="32" t="n">
        <f aca="false">'Clients &amp; revenue'!AO47*Payslip_Cost</f>
        <v>501519.266440233</v>
      </c>
      <c r="AP20" s="32" t="n">
        <f aca="false">'Clients &amp; revenue'!AP47*Payslip_Cost</f>
        <v>531739.370793988</v>
      </c>
      <c r="AQ20" s="32" t="n">
        <f aca="false">'Clients &amp; revenue'!AQ47*Payslip_Cost</f>
        <v>562230.034734129</v>
      </c>
      <c r="AR20" s="32" t="n">
        <f aca="false">'Clients &amp; revenue'!AR47*Payslip_Cost</f>
        <v>593024.174661317</v>
      </c>
      <c r="AS20" s="32" t="n">
        <f aca="false">'Clients &amp; revenue'!AS47*Payslip_Cost</f>
        <v>625236.473853752</v>
      </c>
      <c r="AT20" s="32" t="n">
        <f aca="false">'Clients &amp; revenue'!AT47*Payslip_Cost</f>
        <v>657811.791459401</v>
      </c>
      <c r="AU20" s="32" t="n">
        <f aca="false">'Clients &amp; revenue'!AU47*Payslip_Cost</f>
        <v>690788.824230053</v>
      </c>
      <c r="AV20" s="32" t="n">
        <f aca="false">'Clients &amp; revenue'!AV47*Payslip_Cost</f>
        <v>726260.380539404</v>
      </c>
      <c r="AW20" s="32" t="n">
        <f aca="false">'Clients &amp; revenue'!AW47*Payslip_Cost</f>
        <v>761886.704706729</v>
      </c>
      <c r="AX20" s="32" t="n">
        <f aca="false">'Clients &amp; revenue'!AX47*Payslip_Cost</f>
        <v>798438.906795341</v>
      </c>
      <c r="AY20" s="32" t="n">
        <f aca="false">'Clients &amp; revenue'!AY47*Payslip_Cost</f>
        <v>834840.701424561</v>
      </c>
      <c r="AZ20" s="32" t="n">
        <f aca="false">'Clients &amp; revenue'!AZ47*Payslip_Cost</f>
        <v>871108.26836117</v>
      </c>
      <c r="BA20" s="32" t="n">
        <f aca="false">'Clients &amp; revenue'!BA47*Payslip_Cost</f>
        <v>911686.44566443</v>
      </c>
      <c r="BB20" s="32" t="n">
        <f aca="false">'Clients &amp; revenue'!BB47*Payslip_Cost</f>
        <v>952116.803632923</v>
      </c>
      <c r="BC20" s="32" t="n">
        <f aca="false">'Clients &amp; revenue'!BC47*Payslip_Cost</f>
        <v>993498.23094228</v>
      </c>
      <c r="BD20" s="32" t="n">
        <f aca="false">'Clients &amp; revenue'!BD47*Payslip_Cost</f>
        <v>1034758.70565164</v>
      </c>
      <c r="BE20" s="32" t="n">
        <f aca="false">'Clients &amp; revenue'!BE47*Payslip_Cost</f>
        <v>1076890.8937109</v>
      </c>
      <c r="BF20" s="32" t="n">
        <f aca="false">'Clients &amp; revenue'!BF47*Payslip_Cost</f>
        <v>1120013.82592733</v>
      </c>
      <c r="BG20" s="32" t="n">
        <f aca="false">'Clients &amp; revenue'!BG47*Payslip_Cost</f>
        <v>1163058.44818112</v>
      </c>
      <c r="BH20" s="32" t="n">
        <f aca="false">'Clients &amp; revenue'!BH47*Payslip_Cost</f>
        <v>1207128.56619022</v>
      </c>
      <c r="BI20" s="32" t="n">
        <f aca="false">'Clients &amp; revenue'!BI47*Payslip_Cost</f>
        <v>1252129.36286563</v>
      </c>
      <c r="BJ20" s="32" t="n">
        <f aca="false">'Clients &amp; revenue'!BJ47*Payslip_Cost</f>
        <v>1298184.4841632</v>
      </c>
      <c r="BK20" s="32" t="n">
        <f aca="false">'Clients &amp; revenue'!BK47*Payslip_Cost</f>
        <v>1343998.32453038</v>
      </c>
      <c r="BL20" s="32" t="n">
        <f aca="false">'Clients &amp; revenue'!BL47*Payslip_Cost</f>
        <v>1390413.90359032</v>
      </c>
    </row>
    <row r="21" customFormat="false" ht="15" hidden="false" customHeight="false" outlineLevel="0" collapsed="false">
      <c r="A21" s="12" t="s">
        <v>805</v>
      </c>
      <c r="B21" s="14" t="s">
        <v>77</v>
      </c>
      <c r="D21" s="55" t="n">
        <f aca="false">SUM(E21:BL21)</f>
        <v>92003483.1721698</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17313.3333333333</v>
      </c>
      <c r="J21" s="32" t="n">
        <f aca="false">'Clients &amp; revenue'!J17*Notif_Cost+'Clients &amp; revenue'!J32*Emp_Notif</f>
        <v>34508.9966666667</v>
      </c>
      <c r="K21" s="32" t="n">
        <f aca="false">'Clients &amp; revenue'!K17*Notif_Cost+'Clients &amp; revenue'!K32*Emp_Notif</f>
        <v>51599.36215</v>
      </c>
      <c r="L21" s="32" t="n">
        <f aca="false">'Clients &amp; revenue'!L17*Notif_Cost+'Clients &amp; revenue'!L32*Emp_Notif</f>
        <v>68597.1955743958</v>
      </c>
      <c r="M21" s="32" t="n">
        <f aca="false">'Clients &amp; revenue'!M17*Notif_Cost+'Clients &amp; revenue'!M32*Emp_Notif</f>
        <v>85515.6865116189</v>
      </c>
      <c r="N21" s="32" t="n">
        <f aca="false">'Clients &amp; revenue'!N17*Notif_Cost+'Clients &amp; revenue'!N32*Emp_Notif</f>
        <v>102368.480137036</v>
      </c>
      <c r="O21" s="32" t="n">
        <f aca="false">'Clients &amp; revenue'!O17*Notif_Cost+'Clients &amp; revenue'!O32*Emp_Notif</f>
        <v>119169.710839211</v>
      </c>
      <c r="P21" s="32" t="n">
        <f aca="false">'Clients &amp; revenue'!P17*Notif_Cost+'Clients &amp; revenue'!P32*Emp_Notif</f>
        <v>135934.037725787</v>
      </c>
      <c r="Q21" s="32" t="n">
        <f aca="false">'Clients &amp; revenue'!Q17*Notif_Cost+'Clients &amp; revenue'!Q32*Emp_Notif</f>
        <v>158790.015475107</v>
      </c>
      <c r="R21" s="32" t="n">
        <f aca="false">'Clients &amp; revenue'!R17*Notif_Cost+'Clients &amp; revenue'!R32*Emp_Notif</f>
        <v>181539.263989957</v>
      </c>
      <c r="S21" s="32" t="n">
        <f aca="false">'Clients &amp; revenue'!S17*Notif_Cost+'Clients &amp; revenue'!S32*Emp_Notif</f>
        <v>204200.038467131</v>
      </c>
      <c r="T21" s="32" t="n">
        <f aca="false">'Clients &amp; revenue'!T17*Notif_Cost+'Clients &amp; revenue'!T32*Emp_Notif</f>
        <v>226791.24905372</v>
      </c>
      <c r="U21" s="32" t="n">
        <f aca="false">'Clients &amp; revenue'!U17*Notif_Cost+'Clients &amp; revenue'!U32*Emp_Notif</f>
        <v>249332.508354642</v>
      </c>
      <c r="V21" s="32" t="n">
        <f aca="false">'Clients &amp; revenue'!V17*Notif_Cost+'Clients &amp; revenue'!V32*Emp_Notif</f>
        <v>271844.181633409</v>
      </c>
      <c r="W21" s="32" t="n">
        <f aca="false">'Clients &amp; revenue'!W17*Notif_Cost+'Clients &amp; revenue'!W32*Emp_Notif</f>
        <v>307600.773204094</v>
      </c>
      <c r="X21" s="32" t="n">
        <f aca="false">'Clients &amp; revenue'!X17*Notif_Cost+'Clients &amp; revenue'!X32*Emp_Notif</f>
        <v>343278.302522327</v>
      </c>
      <c r="Y21" s="32" t="n">
        <f aca="false">'Clients &amp; revenue'!Y17*Notif_Cost+'Clients &amp; revenue'!Y32*Emp_Notif</f>
        <v>381709.081093517</v>
      </c>
      <c r="Z21" s="32" t="n">
        <f aca="false">'Clients &amp; revenue'!Z17*Notif_Cost+'Clients &amp; revenue'!Z32*Emp_Notif</f>
        <v>420080.498035148</v>
      </c>
      <c r="AA21" s="32" t="n">
        <f aca="false">'Clients &amp; revenue'!AA17*Notif_Cost+'Clients &amp; revenue'!AA32*Emp_Notif</f>
        <v>458428.32805147</v>
      </c>
      <c r="AB21" s="32" t="n">
        <f aca="false">'Clients &amp; revenue'!AB17*Notif_Cost+'Clients &amp; revenue'!AB32*Emp_Notif</f>
        <v>496789.791312124</v>
      </c>
      <c r="AC21" s="32" t="n">
        <f aca="false">'Clients &amp; revenue'!AC17*Notif_Cost+'Clients &amp; revenue'!AC32*Emp_Notif</f>
        <v>547476.986566494</v>
      </c>
      <c r="AD21" s="32" t="n">
        <f aca="false">'Clients &amp; revenue'!AD17*Notif_Cost+'Clients &amp; revenue'!AD32*Emp_Notif</f>
        <v>598054.486661829</v>
      </c>
      <c r="AE21" s="32" t="n">
        <f aca="false">'Clients &amp; revenue'!AE17*Notif_Cost+'Clients &amp; revenue'!AE32*Emp_Notif</f>
        <v>651368.060097561</v>
      </c>
      <c r="AF21" s="32" t="n">
        <f aca="false">'Clients &amp; revenue'!AF17*Notif_Cost+'Clients &amp; revenue'!AF32*Emp_Notif</f>
        <v>704619.089181235</v>
      </c>
      <c r="AG21" s="32" t="n">
        <f aca="false">'Clients &amp; revenue'!AG17*Notif_Cost+'Clients &amp; revenue'!AG32*Emp_Notif</f>
        <v>1064024.68334616</v>
      </c>
      <c r="AH21" s="32" t="n">
        <f aca="false">'Clients &amp; revenue'!AH17*Notif_Cost+'Clients &amp; revenue'!AH32*Emp_Notif</f>
        <v>1139356.258496</v>
      </c>
      <c r="AI21" s="32" t="n">
        <f aca="false">'Clients &amp; revenue'!AI17*Notif_Cost+'Clients &amp; revenue'!AI32*Emp_Notif</f>
        <v>1218798.93900006</v>
      </c>
      <c r="AJ21" s="32" t="n">
        <f aca="false">'Clients &amp; revenue'!AJ17*Notif_Cost+'Clients &amp; revenue'!AJ32*Emp_Notif</f>
        <v>1298492.84234438</v>
      </c>
      <c r="AK21" s="32" t="n">
        <f aca="false">'Clients &amp; revenue'!AK17*Notif_Cost+'Clients &amp; revenue'!AK32*Emp_Notif</f>
        <v>1378520.56115327</v>
      </c>
      <c r="AL21" s="32" t="n">
        <f aca="false">'Clients &amp; revenue'!AL17*Notif_Cost+'Clients &amp; revenue'!AL32*Emp_Notif</f>
        <v>1458968.51644906</v>
      </c>
      <c r="AM21" s="32" t="n">
        <f aca="false">'Clients &amp; revenue'!AM17*Notif_Cost+'Clients &amp; revenue'!AM32*Emp_Notif</f>
        <v>1543807.20757092</v>
      </c>
      <c r="AN21" s="32" t="n">
        <f aca="false">'Clients &amp; revenue'!AN17*Notif_Cost+'Clients &amp; revenue'!AN32*Emp_Notif</f>
        <v>1629193.57671027</v>
      </c>
      <c r="AO21" s="32" t="n">
        <f aca="false">'Clients &amp; revenue'!AO17*Notif_Cost+'Clients &amp; revenue'!AO32*Emp_Notif</f>
        <v>1727191.38753017</v>
      </c>
      <c r="AP21" s="32" t="n">
        <f aca="false">'Clients &amp; revenue'!AP17*Notif_Cost+'Clients &amp; revenue'!AP32*Emp_Notif</f>
        <v>1829644.11409249</v>
      </c>
      <c r="AQ21" s="32" t="n">
        <f aca="false">'Clients &amp; revenue'!AQ17*Notif_Cost+'Clients &amp; revenue'!AQ32*Emp_Notif</f>
        <v>1932727.3812744</v>
      </c>
      <c r="AR21" s="32" t="n">
        <f aca="false">'Clients &amp; revenue'!AR17*Notif_Cost+'Clients &amp; revenue'!AR32*Emp_Notif</f>
        <v>2036561.17487229</v>
      </c>
      <c r="AS21" s="32" t="n">
        <f aca="false">'Clients &amp; revenue'!AS17*Notif_Cost+'Clients &amp; revenue'!AS32*Emp_Notif</f>
        <v>2145151.31235372</v>
      </c>
      <c r="AT21" s="32" t="n">
        <f aca="false">'Clients &amp; revenue'!AT17*Notif_Cost+'Clients &amp; revenue'!AT32*Emp_Notif</f>
        <v>2254691.91723721</v>
      </c>
      <c r="AU21" s="32" t="n">
        <f aca="false">'Clients &amp; revenue'!AU17*Notif_Cost+'Clients &amp; revenue'!AU32*Emp_Notif</f>
        <v>2365322.5807268</v>
      </c>
      <c r="AV21" s="32" t="n">
        <f aca="false">'Clients &amp; revenue'!AV17*Notif_Cost+'Clients &amp; revenue'!AV32*Emp_Notif</f>
        <v>2484561.8988835</v>
      </c>
      <c r="AW21" s="32" t="n">
        <f aca="false">'Clients &amp; revenue'!AW17*Notif_Cost+'Clients &amp; revenue'!AW32*Emp_Notif</f>
        <v>2603973.32181407</v>
      </c>
      <c r="AX21" s="32" t="n">
        <f aca="false">'Clients &amp; revenue'!AX17*Notif_Cost+'Clients &amp; revenue'!AX32*Emp_Notif</f>
        <v>2726331.26338089</v>
      </c>
      <c r="AY21" s="32" t="n">
        <f aca="false">'Clients &amp; revenue'!AY17*Notif_Cost+'Clients &amp; revenue'!AY32*Emp_Notif</f>
        <v>2847761.7964218</v>
      </c>
      <c r="AZ21" s="32" t="n">
        <f aca="false">'Clients &amp; revenue'!AZ17*Notif_Cost+'Clients &amp; revenue'!AZ32*Emp_Notif</f>
        <v>2968331.70751775</v>
      </c>
      <c r="BA21" s="32" t="n">
        <f aca="false">'Clients &amp; revenue'!BA17*Notif_Cost+'Clients &amp; revenue'!BA32*Emp_Notif</f>
        <v>3104017.76089367</v>
      </c>
      <c r="BB21" s="32" t="n">
        <f aca="false">'Clients &amp; revenue'!BB17*Notif_Cost+'Clients &amp; revenue'!BB32*Emp_Notif</f>
        <v>3238745.46331298</v>
      </c>
      <c r="BC21" s="32" t="n">
        <f aca="false">'Clients &amp; revenue'!BC17*Notif_Cost+'Clients &amp; revenue'!BC32*Emp_Notif</f>
        <v>3376471.96511382</v>
      </c>
      <c r="BD21" s="32" t="n">
        <f aca="false">'Clients &amp; revenue'!BD17*Notif_Cost+'Clients &amp; revenue'!BD32*Emp_Notif</f>
        <v>3513338.91442487</v>
      </c>
      <c r="BE21" s="32" t="n">
        <f aca="false">'Clients &amp; revenue'!BE17*Notif_Cost+'Clients &amp; revenue'!BE32*Emp_Notif</f>
        <v>3652921.40610945</v>
      </c>
      <c r="BF21" s="32" t="n">
        <f aca="false">'Clients &amp; revenue'!BF17*Notif_Cost+'Clients &amp; revenue'!BF32*Emp_Notif</f>
        <v>3795641.18319052</v>
      </c>
      <c r="BG21" s="32" t="n">
        <f aca="false">'Clients &amp; revenue'!BG17*Notif_Cost+'Clients &amp; revenue'!BG32*Emp_Notif</f>
        <v>3937650.03078007</v>
      </c>
      <c r="BH21" s="32" t="n">
        <f aca="false">'Clients &amp; revenue'!BH17*Notif_Cost+'Clients &amp; revenue'!BH32*Emp_Notif</f>
        <v>4082921.76381238</v>
      </c>
      <c r="BI21" s="32" t="n">
        <f aca="false">'Clients &amp; revenue'!BI17*Notif_Cost+'Clients &amp; revenue'!BI32*Emp_Notif</f>
        <v>4231107.67384356</v>
      </c>
      <c r="BJ21" s="32" t="n">
        <f aca="false">'Clients &amp; revenue'!BJ17*Notif_Cost+'Clients &amp; revenue'!BJ32*Emp_Notif</f>
        <v>4382645.42699637</v>
      </c>
      <c r="BK21" s="32" t="n">
        <f aca="false">'Clients &amp; revenue'!BK17*Notif_Cost+'Clients &amp; revenue'!BK32*Emp_Notif</f>
        <v>4532872.18745012</v>
      </c>
      <c r="BL21" s="32" t="n">
        <f aca="false">'Clients &amp; revenue'!BL17*Notif_Cost+'Clients &amp; revenue'!BL32*Emp_Notif</f>
        <v>4684827.49842895</v>
      </c>
    </row>
    <row r="22" customFormat="false" ht="15" hidden="false" customHeight="false" outlineLevel="0" collapsed="false">
      <c r="A22" s="12" t="s">
        <v>1065</v>
      </c>
      <c r="B22" s="14" t="s">
        <v>77</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1066</v>
      </c>
      <c r="B23" s="14" t="s">
        <v>77</v>
      </c>
      <c r="D23" s="55" t="n">
        <f aca="false">SUM(E23:BL23)</f>
        <v>10552403195.6979</v>
      </c>
      <c r="E23" s="16" t="n">
        <f aca="false">SUM(E9:E22)</f>
        <v>0</v>
      </c>
      <c r="F23" s="16" t="n">
        <f aca="false">SUM(F9:F22)</f>
        <v>0</v>
      </c>
      <c r="G23" s="16" t="n">
        <f aca="false">SUM(G9:G22)</f>
        <v>0</v>
      </c>
      <c r="H23" s="16" t="n">
        <f aca="false">SUM(H9:H22)</f>
        <v>0</v>
      </c>
      <c r="I23" s="16" t="n">
        <f aca="false">SUM(I9:I22)</f>
        <v>2726108</v>
      </c>
      <c r="J23" s="16" t="n">
        <f aca="false">SUM(J9:J22)</f>
        <v>4778703.1</v>
      </c>
      <c r="K23" s="16" t="n">
        <f aca="false">SUM(K9:K22)</f>
        <v>6828144.867875</v>
      </c>
      <c r="L23" s="16" t="n">
        <f aca="false">SUM(L9:L22)</f>
        <v>8875810.50940938</v>
      </c>
      <c r="M23" s="16" t="n">
        <f aca="false">SUM(M9:M22)</f>
        <v>10923137.4911883</v>
      </c>
      <c r="N23" s="16" t="n">
        <f aca="false">SUM(N9:N22)</f>
        <v>12971627.514524</v>
      </c>
      <c r="O23" s="16" t="n">
        <f aca="false">SUM(O9:O22)</f>
        <v>15026745.5147842</v>
      </c>
      <c r="P23" s="16" t="n">
        <f aca="false">SUM(P9:P22)</f>
        <v>17087359.411425</v>
      </c>
      <c r="Q23" s="16" t="n">
        <f aca="false">SUM(Q9:Q22)</f>
        <v>20310402.9079859</v>
      </c>
      <c r="R23" s="16" t="n">
        <f aca="false">SUM(R9:R22)</f>
        <v>23351391.4695149</v>
      </c>
      <c r="S23" s="16" t="n">
        <f aca="false">SUM(S9:S22)</f>
        <v>26450760.9638324</v>
      </c>
      <c r="T23" s="16" t="n">
        <f aca="false">SUM(T9:T22)</f>
        <v>29610704.5393931</v>
      </c>
      <c r="U23" s="16" t="n">
        <f aca="false">SUM(U9:U22)</f>
        <v>32833603.4750801</v>
      </c>
      <c r="V23" s="16" t="n">
        <f aca="false">SUM(V9:V22)</f>
        <v>36398735.7926104</v>
      </c>
      <c r="W23" s="16" t="n">
        <f aca="false">SUM(W9:W22)</f>
        <v>42306533.9326988</v>
      </c>
      <c r="X23" s="16" t="n">
        <f aca="false">SUM(X9:X22)</f>
        <v>47875184.7467134</v>
      </c>
      <c r="Y23" s="16" t="n">
        <f aca="false">SUM(Y9:Y22)</f>
        <v>54104453.339164</v>
      </c>
      <c r="Z23" s="16" t="n">
        <f aca="false">SUM(Z9:Z22)</f>
        <v>60414986.8506287</v>
      </c>
      <c r="AA23" s="16" t="n">
        <f aca="false">SUM(AA9:AA22)</f>
        <v>66906022.7002625</v>
      </c>
      <c r="AB23" s="16" t="n">
        <f aca="false">SUM(AB9:AB22)</f>
        <v>73596135.7388527</v>
      </c>
      <c r="AC23" s="16" t="n">
        <f aca="false">SUM(AC9:AC22)</f>
        <v>82044339.7316243</v>
      </c>
      <c r="AD23" s="16" t="n">
        <f aca="false">SUM(AD9:AD22)</f>
        <v>90133119.9666907</v>
      </c>
      <c r="AE23" s="16" t="n">
        <f aca="false">SUM(AE9:AE22)</f>
        <v>98857399.4062294</v>
      </c>
      <c r="AF23" s="16" t="n">
        <f aca="false">SUM(AF9:AF22)</f>
        <v>107605942.603792</v>
      </c>
      <c r="AG23" s="16" t="n">
        <f aca="false">SUM(AG9:AG22)</f>
        <v>127517430.42676</v>
      </c>
      <c r="AH23" s="16" t="n">
        <f aca="false">SUM(AH9:AH22)</f>
        <v>127328506.471522</v>
      </c>
      <c r="AI23" s="16" t="n">
        <f aca="false">SUM(AI9:AI22)</f>
        <v>136267101.641984</v>
      </c>
      <c r="AJ23" s="16" t="n">
        <f aca="false">SUM(AJ9:AJ22)</f>
        <v>145113489.044509</v>
      </c>
      <c r="AK23" s="16" t="n">
        <f aca="false">SUM(AK9:AK22)</f>
        <v>154018384.785481</v>
      </c>
      <c r="AL23" s="16" t="n">
        <f aca="false">SUM(AL9:AL22)</f>
        <v>162990994.644814</v>
      </c>
      <c r="AM23" s="16" t="n">
        <f aca="false">SUM(AM9:AM22)</f>
        <v>172595157.500043</v>
      </c>
      <c r="AN23" s="16" t="n">
        <f aca="false">SUM(AN9:AN22)</f>
        <v>182139971.155612</v>
      </c>
      <c r="AO23" s="16" t="n">
        <f aca="false">SUM(AO9:AO22)</f>
        <v>193486835.89165</v>
      </c>
      <c r="AP23" s="16" t="n">
        <f aca="false">SUM(AP9:AP22)</f>
        <v>205039587.763282</v>
      </c>
      <c r="AQ23" s="16" t="n">
        <f aca="false">SUM(AQ9:AQ22)</f>
        <v>216547004.662283</v>
      </c>
      <c r="AR23" s="16" t="n">
        <f aca="false">SUM(AR9:AR22)</f>
        <v>228163912.376223</v>
      </c>
      <c r="AS23" s="16" t="n">
        <f aca="false">SUM(AS9:AS22)</f>
        <v>240458015.274981</v>
      </c>
      <c r="AT23" s="16" t="n">
        <f aca="false">SUM(AT9:AT22)</f>
        <v>252742489.941897</v>
      </c>
      <c r="AU23" s="16" t="n">
        <f aca="false">SUM(AU9:AU22)</f>
        <v>265174381.808953</v>
      </c>
      <c r="AV23" s="16" t="n">
        <f aca="false">SUM(AV9:AV22)</f>
        <v>278822491.372779</v>
      </c>
      <c r="AW23" s="16" t="n">
        <f aca="false">SUM(AW9:AW22)</f>
        <v>292213178.908877</v>
      </c>
      <c r="AX23" s="16" t="n">
        <f aca="false">SUM(AX9:AX22)</f>
        <v>306046429.599908</v>
      </c>
      <c r="AY23" s="16" t="n">
        <f aca="false">SUM(AY9:AY22)</f>
        <v>319669490.889481</v>
      </c>
      <c r="AZ23" s="16" t="n">
        <f aca="false">SUM(AZ9:AZ22)</f>
        <v>333230860.606164</v>
      </c>
      <c r="BA23" s="16" t="n">
        <f aca="false">SUM(BA9:BA22)</f>
        <v>349009382.88088</v>
      </c>
      <c r="BB23" s="16" t="n">
        <f aca="false">SUM(BB9:BB22)</f>
        <v>364137665.051638</v>
      </c>
      <c r="BC23" s="16" t="n">
        <f aca="false">SUM(BC9:BC22)</f>
        <v>379759499.548106</v>
      </c>
      <c r="BD23" s="16" t="n">
        <f aca="false">SUM(BD9:BD22)</f>
        <v>395181713.065927</v>
      </c>
      <c r="BE23" s="16" t="n">
        <f aca="false">SUM(BE9:BE22)</f>
        <v>411053300.321761</v>
      </c>
      <c r="BF23" s="16" t="n">
        <f aca="false">SUM(BF9:BF22)</f>
        <v>427306077.147203</v>
      </c>
      <c r="BG23" s="16" t="n">
        <f aca="false">SUM(BG9:BG22)</f>
        <v>443375771.760797</v>
      </c>
      <c r="BH23" s="16" t="n">
        <f aca="false">SUM(BH9:BH22)</f>
        <v>459968002.51372</v>
      </c>
      <c r="BI23" s="16" t="n">
        <f aca="false">SUM(BI9:BI22)</f>
        <v>476890338.5031</v>
      </c>
      <c r="BJ23" s="16" t="n">
        <f aca="false">SUM(BJ9:BJ22)</f>
        <v>494218330.672549</v>
      </c>
      <c r="BK23" s="16" t="n">
        <f aca="false">SUM(BK9:BK22)</f>
        <v>511270838.448313</v>
      </c>
      <c r="BL23" s="16" t="n">
        <f aca="false">SUM(BL9:BL22)</f>
        <v>528649206.442384</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890</v>
      </c>
      <c r="B26" s="14" t="s">
        <v>77</v>
      </c>
      <c r="D26" s="55"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894</v>
      </c>
      <c r="B27" s="14" t="s">
        <v>77</v>
      </c>
      <c r="D27" s="55"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912</v>
      </c>
      <c r="B28" s="14" t="s">
        <v>77</v>
      </c>
      <c r="D28" s="55"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28</v>
      </c>
      <c r="B29" s="14" t="s">
        <v>77</v>
      </c>
      <c r="D29" s="55"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1067</v>
      </c>
      <c r="B30" s="14" t="s">
        <v>77</v>
      </c>
      <c r="D30" s="55"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900</v>
      </c>
      <c r="B31" s="14" t="s">
        <v>77</v>
      </c>
      <c r="D31" s="55"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905</v>
      </c>
      <c r="B32" s="14" t="s">
        <v>77</v>
      </c>
      <c r="D32" s="55"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897</v>
      </c>
      <c r="B33" s="14" t="s">
        <v>77</v>
      </c>
      <c r="D33" s="55"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1068</v>
      </c>
      <c r="B34" s="14" t="s">
        <v>77</v>
      </c>
      <c r="D34" s="55"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1069</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1070</v>
      </c>
      <c r="B37" s="14" t="s">
        <v>77</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1071</v>
      </c>
      <c r="B38" s="14" t="s">
        <v>77</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1072</v>
      </c>
      <c r="B39" s="14" t="s">
        <v>77</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1073</v>
      </c>
      <c r="B40" s="14" t="s">
        <v>77</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1074</v>
      </c>
      <c r="B41" s="14" t="s">
        <v>77</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670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852</v>
      </c>
      <c r="B44" s="14" t="s">
        <v>77</v>
      </c>
      <c r="D44" s="55" t="n">
        <f aca="false">SUM(E44:BL44)</f>
        <v>229584950</v>
      </c>
      <c r="E44" s="32" t="n">
        <f aca="false">IF(Maak_Option=1,Maak_Lease_EUR*FX_EUR/12,0)</f>
        <v>3826415.83333333</v>
      </c>
      <c r="F44" s="32" t="n">
        <f aca="false">IF(Maak_Option=1,Maak_Lease_EUR*FX_EUR/12,0)</f>
        <v>3826415.83333333</v>
      </c>
      <c r="G44" s="32" t="n">
        <f aca="false">IF(Maak_Option=1,Maak_Lease_EUR*FX_EUR/12,0)</f>
        <v>3826415.83333333</v>
      </c>
      <c r="H44" s="32" t="n">
        <f aca="false">IF(Maak_Option=1,Maak_Lease_EUR*FX_EUR/12,0)</f>
        <v>3826415.83333333</v>
      </c>
      <c r="I44" s="32" t="n">
        <f aca="false">IF(Maak_Option=1,Maak_Lease_EUR*FX_EUR/12,0)</f>
        <v>3826415.83333333</v>
      </c>
      <c r="J44" s="32" t="n">
        <f aca="false">IF(Maak_Option=1,Maak_Lease_EUR*FX_EUR/12,0)</f>
        <v>3826415.83333333</v>
      </c>
      <c r="K44" s="32" t="n">
        <f aca="false">IF(Maak_Option=1,Maak_Lease_EUR*FX_EUR/12,0)</f>
        <v>3826415.83333333</v>
      </c>
      <c r="L44" s="32" t="n">
        <f aca="false">IF(Maak_Option=1,Maak_Lease_EUR*FX_EUR/12,0)</f>
        <v>3826415.83333333</v>
      </c>
      <c r="M44" s="32" t="n">
        <f aca="false">IF(Maak_Option=1,Maak_Lease_EUR*FX_EUR/12,0)</f>
        <v>3826415.83333333</v>
      </c>
      <c r="N44" s="32" t="n">
        <f aca="false">IF(Maak_Option=1,Maak_Lease_EUR*FX_EUR/12,0)</f>
        <v>3826415.83333333</v>
      </c>
      <c r="O44" s="32" t="n">
        <f aca="false">IF(Maak_Option=1,Maak_Lease_EUR*FX_EUR/12,0)</f>
        <v>3826415.83333333</v>
      </c>
      <c r="P44" s="32" t="n">
        <f aca="false">IF(Maak_Option=1,Maak_Lease_EUR*FX_EUR/12,0)</f>
        <v>3826415.83333333</v>
      </c>
      <c r="Q44" s="32" t="n">
        <f aca="false">IF(Maak_Option=1,Maak_Lease_EUR*FX_EUR/12,0)</f>
        <v>3826415.83333333</v>
      </c>
      <c r="R44" s="32" t="n">
        <f aca="false">IF(Maak_Option=1,Maak_Lease_EUR*FX_EUR/12,0)</f>
        <v>3826415.83333333</v>
      </c>
      <c r="S44" s="32" t="n">
        <f aca="false">IF(Maak_Option=1,Maak_Lease_EUR*FX_EUR/12,0)</f>
        <v>3826415.83333333</v>
      </c>
      <c r="T44" s="32" t="n">
        <f aca="false">IF(Maak_Option=1,Maak_Lease_EUR*FX_EUR/12,0)</f>
        <v>3826415.83333333</v>
      </c>
      <c r="U44" s="32" t="n">
        <f aca="false">IF(Maak_Option=1,Maak_Lease_EUR*FX_EUR/12,0)</f>
        <v>3826415.83333333</v>
      </c>
      <c r="V44" s="32" t="n">
        <f aca="false">IF(Maak_Option=1,Maak_Lease_EUR*FX_EUR/12,0)</f>
        <v>3826415.83333333</v>
      </c>
      <c r="W44" s="32" t="n">
        <f aca="false">IF(Maak_Option=1,Maak_Lease_EUR*FX_EUR/12,0)</f>
        <v>3826415.83333333</v>
      </c>
      <c r="X44" s="32" t="n">
        <f aca="false">IF(Maak_Option=1,Maak_Lease_EUR*FX_EUR/12,0)</f>
        <v>3826415.83333333</v>
      </c>
      <c r="Y44" s="32" t="n">
        <f aca="false">IF(Maak_Option=1,Maak_Lease_EUR*FX_EUR/12,0)</f>
        <v>3826415.83333333</v>
      </c>
      <c r="Z44" s="32" t="n">
        <f aca="false">IF(Maak_Option=1,Maak_Lease_EUR*FX_EUR/12,0)</f>
        <v>3826415.83333333</v>
      </c>
      <c r="AA44" s="32" t="n">
        <f aca="false">IF(Maak_Option=1,Maak_Lease_EUR*FX_EUR/12,0)</f>
        <v>3826415.83333333</v>
      </c>
      <c r="AB44" s="32" t="n">
        <f aca="false">IF(Maak_Option=1,Maak_Lease_EUR*FX_EUR/12,0)</f>
        <v>3826415.83333333</v>
      </c>
      <c r="AC44" s="32" t="n">
        <f aca="false">IF(Maak_Option=1,Maak_Lease_EUR*FX_EUR/12,0)</f>
        <v>3826415.83333333</v>
      </c>
      <c r="AD44" s="32" t="n">
        <f aca="false">IF(Maak_Option=1,Maak_Lease_EUR*FX_EUR/12,0)</f>
        <v>3826415.83333333</v>
      </c>
      <c r="AE44" s="32" t="n">
        <f aca="false">IF(Maak_Option=1,Maak_Lease_EUR*FX_EUR/12,0)</f>
        <v>3826415.83333333</v>
      </c>
      <c r="AF44" s="32" t="n">
        <f aca="false">IF(Maak_Option=1,Maak_Lease_EUR*FX_EUR/12,0)</f>
        <v>3826415.83333333</v>
      </c>
      <c r="AG44" s="32" t="n">
        <f aca="false">IF(Maak_Option=1,Maak_Lease_EUR*FX_EUR/12,0)</f>
        <v>3826415.83333333</v>
      </c>
      <c r="AH44" s="32" t="n">
        <f aca="false">IF(Maak_Option=1,Maak_Lease_EUR*FX_EUR/12,0)</f>
        <v>3826415.83333333</v>
      </c>
      <c r="AI44" s="32" t="n">
        <f aca="false">IF(Maak_Option=1,Maak_Lease_EUR*FX_EUR/12,0)</f>
        <v>3826415.83333333</v>
      </c>
      <c r="AJ44" s="32" t="n">
        <f aca="false">IF(Maak_Option=1,Maak_Lease_EUR*FX_EUR/12,0)</f>
        <v>3826415.83333333</v>
      </c>
      <c r="AK44" s="32" t="n">
        <f aca="false">IF(Maak_Option=1,Maak_Lease_EUR*FX_EUR/12,0)</f>
        <v>3826415.83333333</v>
      </c>
      <c r="AL44" s="32" t="n">
        <f aca="false">IF(Maak_Option=1,Maak_Lease_EUR*FX_EUR/12,0)</f>
        <v>3826415.83333333</v>
      </c>
      <c r="AM44" s="32" t="n">
        <f aca="false">IF(Maak_Option=1,Maak_Lease_EUR*FX_EUR/12,0)</f>
        <v>3826415.83333333</v>
      </c>
      <c r="AN44" s="32" t="n">
        <f aca="false">IF(Maak_Option=1,Maak_Lease_EUR*FX_EUR/12,0)</f>
        <v>3826415.83333333</v>
      </c>
      <c r="AO44" s="32" t="n">
        <f aca="false">IF(Maak_Option=1,Maak_Lease_EUR*FX_EUR/12,0)</f>
        <v>3826415.83333333</v>
      </c>
      <c r="AP44" s="32" t="n">
        <f aca="false">IF(Maak_Option=1,Maak_Lease_EUR*FX_EUR/12,0)</f>
        <v>3826415.83333333</v>
      </c>
      <c r="AQ44" s="32" t="n">
        <f aca="false">IF(Maak_Option=1,Maak_Lease_EUR*FX_EUR/12,0)</f>
        <v>3826415.83333333</v>
      </c>
      <c r="AR44" s="32" t="n">
        <f aca="false">IF(Maak_Option=1,Maak_Lease_EUR*FX_EUR/12,0)</f>
        <v>3826415.83333333</v>
      </c>
      <c r="AS44" s="32" t="n">
        <f aca="false">IF(Maak_Option=1,Maak_Lease_EUR*FX_EUR/12,0)</f>
        <v>3826415.83333333</v>
      </c>
      <c r="AT44" s="32" t="n">
        <f aca="false">IF(Maak_Option=1,Maak_Lease_EUR*FX_EUR/12,0)</f>
        <v>3826415.83333333</v>
      </c>
      <c r="AU44" s="32" t="n">
        <f aca="false">IF(Maak_Option=1,Maak_Lease_EUR*FX_EUR/12,0)</f>
        <v>3826415.83333333</v>
      </c>
      <c r="AV44" s="32" t="n">
        <f aca="false">IF(Maak_Option=1,Maak_Lease_EUR*FX_EUR/12,0)</f>
        <v>3826415.83333333</v>
      </c>
      <c r="AW44" s="32" t="n">
        <f aca="false">IF(Maak_Option=1,Maak_Lease_EUR*FX_EUR/12,0)</f>
        <v>3826415.83333333</v>
      </c>
      <c r="AX44" s="32" t="n">
        <f aca="false">IF(Maak_Option=1,Maak_Lease_EUR*FX_EUR/12,0)</f>
        <v>3826415.83333333</v>
      </c>
      <c r="AY44" s="32" t="n">
        <f aca="false">IF(Maak_Option=1,Maak_Lease_EUR*FX_EUR/12,0)</f>
        <v>3826415.83333333</v>
      </c>
      <c r="AZ44" s="32" t="n">
        <f aca="false">IF(Maak_Option=1,Maak_Lease_EUR*FX_EUR/12,0)</f>
        <v>3826415.83333333</v>
      </c>
      <c r="BA44" s="32" t="n">
        <f aca="false">IF(Maak_Option=1,Maak_Lease_EUR*FX_EUR/12,0)</f>
        <v>3826415.83333333</v>
      </c>
      <c r="BB44" s="32" t="n">
        <f aca="false">IF(Maak_Option=1,Maak_Lease_EUR*FX_EUR/12,0)</f>
        <v>3826415.83333333</v>
      </c>
      <c r="BC44" s="32" t="n">
        <f aca="false">IF(Maak_Option=1,Maak_Lease_EUR*FX_EUR/12,0)</f>
        <v>3826415.83333333</v>
      </c>
      <c r="BD44" s="32" t="n">
        <f aca="false">IF(Maak_Option=1,Maak_Lease_EUR*FX_EUR/12,0)</f>
        <v>3826415.83333333</v>
      </c>
      <c r="BE44" s="32" t="n">
        <f aca="false">IF(Maak_Option=1,Maak_Lease_EUR*FX_EUR/12,0)</f>
        <v>3826415.83333333</v>
      </c>
      <c r="BF44" s="32" t="n">
        <f aca="false">IF(Maak_Option=1,Maak_Lease_EUR*FX_EUR/12,0)</f>
        <v>3826415.83333333</v>
      </c>
      <c r="BG44" s="32" t="n">
        <f aca="false">IF(Maak_Option=1,Maak_Lease_EUR*FX_EUR/12,0)</f>
        <v>3826415.83333333</v>
      </c>
      <c r="BH44" s="32" t="n">
        <f aca="false">IF(Maak_Option=1,Maak_Lease_EUR*FX_EUR/12,0)</f>
        <v>3826415.83333333</v>
      </c>
      <c r="BI44" s="32" t="n">
        <f aca="false">IF(Maak_Option=1,Maak_Lease_EUR*FX_EUR/12,0)</f>
        <v>3826415.83333333</v>
      </c>
      <c r="BJ44" s="32" t="n">
        <f aca="false">IF(Maak_Option=1,Maak_Lease_EUR*FX_EUR/12,0)</f>
        <v>3826415.83333333</v>
      </c>
      <c r="BK44" s="32" t="n">
        <f aca="false">IF(Maak_Option=1,Maak_Lease_EUR*FX_EUR/12,0)</f>
        <v>3826415.83333333</v>
      </c>
      <c r="BL44" s="32" t="n">
        <f aca="false">IF(Maak_Option=1,Maak_Lease_EUR*FX_EUR/12,0)</f>
        <v>3826415.83333333</v>
      </c>
    </row>
    <row r="45" customFormat="false" ht="15" hidden="false" customHeight="false" outlineLevel="0" collapsed="false">
      <c r="A45" s="12" t="s">
        <v>671</v>
      </c>
      <c r="B45" s="14" t="s">
        <v>77</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678</v>
      </c>
      <c r="B46" s="14" t="s">
        <v>77</v>
      </c>
      <c r="D46" s="55" t="n">
        <f aca="false">SUM(E46:BL46)</f>
        <v>86420000</v>
      </c>
      <c r="E46" s="32" t="n">
        <f aca="false">INDEX(Monitoring_USD,1,E$5)*FX_USD/12</f>
        <v>435000</v>
      </c>
      <c r="F46" s="32" t="n">
        <f aca="false">INDEX(Monitoring_USD,1,F$5)*FX_USD/12</f>
        <v>435000</v>
      </c>
      <c r="G46" s="32" t="n">
        <f aca="false">INDEX(Monitoring_USD,1,G$5)*FX_USD/12</f>
        <v>435000</v>
      </c>
      <c r="H46" s="32" t="n">
        <f aca="false">INDEX(Monitoring_USD,1,H$5)*FX_USD/12</f>
        <v>435000</v>
      </c>
      <c r="I46" s="32" t="n">
        <f aca="false">INDEX(Monitoring_USD,1,I$5)*FX_USD/12</f>
        <v>435000</v>
      </c>
      <c r="J46" s="32" t="n">
        <f aca="false">INDEX(Monitoring_USD,1,J$5)*FX_USD/12</f>
        <v>435000</v>
      </c>
      <c r="K46" s="32" t="n">
        <f aca="false">INDEX(Monitoring_USD,1,K$5)*FX_USD/12</f>
        <v>435000</v>
      </c>
      <c r="L46" s="32" t="n">
        <f aca="false">INDEX(Monitoring_USD,1,L$5)*FX_USD/12</f>
        <v>435000</v>
      </c>
      <c r="M46" s="32" t="n">
        <f aca="false">INDEX(Monitoring_USD,1,M$5)*FX_USD/12</f>
        <v>435000</v>
      </c>
      <c r="N46" s="32" t="n">
        <f aca="false">INDEX(Monitoring_USD,1,N$5)*FX_USD/12</f>
        <v>435000</v>
      </c>
      <c r="O46" s="32" t="n">
        <f aca="false">INDEX(Monitoring_USD,1,O$5)*FX_USD/12</f>
        <v>435000</v>
      </c>
      <c r="P46" s="32" t="n">
        <f aca="false">INDEX(Monitoring_USD,1,P$5)*FX_USD/12</f>
        <v>435000</v>
      </c>
      <c r="Q46" s="32" t="n">
        <f aca="false">INDEX(Monitoring_USD,1,Q$5)*FX_USD/12</f>
        <v>966666.666666667</v>
      </c>
      <c r="R46" s="32" t="n">
        <f aca="false">INDEX(Monitoring_USD,1,R$5)*FX_USD/12</f>
        <v>966666.666666667</v>
      </c>
      <c r="S46" s="32" t="n">
        <f aca="false">INDEX(Monitoring_USD,1,S$5)*FX_USD/12</f>
        <v>966666.666666667</v>
      </c>
      <c r="T46" s="32" t="n">
        <f aca="false">INDEX(Monitoring_USD,1,T$5)*FX_USD/12</f>
        <v>966666.666666667</v>
      </c>
      <c r="U46" s="32" t="n">
        <f aca="false">INDEX(Monitoring_USD,1,U$5)*FX_USD/12</f>
        <v>966666.666666667</v>
      </c>
      <c r="V46" s="32" t="n">
        <f aca="false">INDEX(Monitoring_USD,1,V$5)*FX_USD/12</f>
        <v>966666.666666667</v>
      </c>
      <c r="W46" s="32" t="n">
        <f aca="false">INDEX(Monitoring_USD,1,W$5)*FX_USD/12</f>
        <v>966666.666666667</v>
      </c>
      <c r="X46" s="32" t="n">
        <f aca="false">INDEX(Monitoring_USD,1,X$5)*FX_USD/12</f>
        <v>966666.666666667</v>
      </c>
      <c r="Y46" s="32" t="n">
        <f aca="false">INDEX(Monitoring_USD,1,Y$5)*FX_USD/12</f>
        <v>966666.666666667</v>
      </c>
      <c r="Z46" s="32" t="n">
        <f aca="false">INDEX(Monitoring_USD,1,Z$5)*FX_USD/12</f>
        <v>966666.666666667</v>
      </c>
      <c r="AA46" s="32" t="n">
        <f aca="false">INDEX(Monitoring_USD,1,AA$5)*FX_USD/12</f>
        <v>966666.666666667</v>
      </c>
      <c r="AB46" s="32" t="n">
        <f aca="false">INDEX(Monitoring_USD,1,AB$5)*FX_USD/12</f>
        <v>966666.666666667</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1075</v>
      </c>
      <c r="B47" s="14" t="s">
        <v>77</v>
      </c>
      <c r="D47" s="55" t="n">
        <f aca="false">SUM(E47:BL47)</f>
        <v>87000</v>
      </c>
      <c r="E47" s="32" t="n">
        <f aca="false">IF(E$3&gt;=Launch_SN-1,MAX(0,KYC_Min_USD*FX_USD-E10),0)</f>
        <v>0</v>
      </c>
      <c r="F47" s="32" t="n">
        <f aca="false">IF(F$3&gt;=Launch_SN-1,MAX(0,KYC_Min_USD*FX_USD-F10),0)</f>
        <v>0</v>
      </c>
      <c r="G47" s="32" t="n">
        <f aca="false">IF(G$3&gt;=Launch_SN-1,MAX(0,KYC_Min_USD*FX_USD-G10),0)</f>
        <v>0</v>
      </c>
      <c r="H47" s="32" t="n">
        <f aca="false">IF(H$3&gt;=Launch_SN-1,MAX(0,KYC_Min_USD*FX_USD-H10),0)</f>
        <v>87000</v>
      </c>
      <c r="I47" s="32" t="n">
        <f aca="false">IF(I$3&gt;=Launch_SN-1,MAX(0,KYC_Min_USD*FX_USD-I10),0)</f>
        <v>0</v>
      </c>
      <c r="J47" s="32" t="n">
        <f aca="false">IF(J$3&gt;=Launch_SN-1,MAX(0,KYC_Min_USD*FX_USD-J10),0)</f>
        <v>0</v>
      </c>
      <c r="K47" s="32" t="n">
        <f aca="false">IF(K$3&gt;=Launch_SN-1,MAX(0,KYC_Min_USD*FX_USD-K10),0)</f>
        <v>0</v>
      </c>
      <c r="L47" s="32" t="n">
        <f aca="false">IF(L$3&gt;=Launch_SN-1,MAX(0,KYC_Min_USD*FX_USD-L10),0)</f>
        <v>0</v>
      </c>
      <c r="M47" s="32" t="n">
        <f aca="false">IF(M$3&gt;=Launch_SN-1,MAX(0,KYC_Min_USD*FX_USD-M10),0)</f>
        <v>0</v>
      </c>
      <c r="N47" s="32" t="n">
        <f aca="false">IF(N$3&gt;=Launch_SN-1,MAX(0,KYC_Min_USD*FX_USD-N10),0)</f>
        <v>0</v>
      </c>
      <c r="O47" s="32" t="n">
        <f aca="false">IF(O$3&gt;=Launch_SN-1,MAX(0,KYC_Min_USD*FX_USD-O10),0)</f>
        <v>0</v>
      </c>
      <c r="P47" s="32" t="n">
        <f aca="false">IF(P$3&gt;=Launch_SN-1,MAX(0,KYC_Min_USD*FX_USD-P10),0)</f>
        <v>0</v>
      </c>
      <c r="Q47" s="32" t="n">
        <f aca="false">IF(Q$3&gt;=Launch_SN-1,MAX(0,KYC_Min_USD*FX_USD-Q10),0)</f>
        <v>0</v>
      </c>
      <c r="R47" s="32" t="n">
        <f aca="false">IF(R$3&gt;=Launch_SN-1,MAX(0,KYC_Min_USD*FX_USD-R10),0)</f>
        <v>0</v>
      </c>
      <c r="S47" s="32" t="n">
        <f aca="false">IF(S$3&gt;=Launch_SN-1,MAX(0,KYC_Min_USD*FX_USD-S10),0)</f>
        <v>0</v>
      </c>
      <c r="T47" s="32" t="n">
        <f aca="false">IF(T$3&gt;=Launch_SN-1,MAX(0,KYC_Min_USD*FX_USD-T10),0)</f>
        <v>0</v>
      </c>
      <c r="U47" s="32" t="n">
        <f aca="false">IF(U$3&gt;=Launch_SN-1,MAX(0,KYC_Min_USD*FX_USD-U10),0)</f>
        <v>0</v>
      </c>
      <c r="V47" s="32" t="n">
        <f aca="false">IF(V$3&gt;=Launch_SN-1,MAX(0,KYC_Min_USD*FX_USD-V10),0)</f>
        <v>0</v>
      </c>
      <c r="W47" s="32" t="n">
        <f aca="false">IF(W$3&gt;=Launch_SN-1,MAX(0,KYC_Min_USD*FX_USD-W10),0)</f>
        <v>0</v>
      </c>
      <c r="X47" s="32" t="n">
        <f aca="false">IF(X$3&gt;=Launch_SN-1,MAX(0,KYC_Min_USD*FX_USD-X10),0)</f>
        <v>0</v>
      </c>
      <c r="Y47" s="32" t="n">
        <f aca="false">IF(Y$3&gt;=Launch_SN-1,MAX(0,KYC_Min_USD*FX_USD-Y10),0)</f>
        <v>0</v>
      </c>
      <c r="Z47" s="32" t="n">
        <f aca="false">IF(Z$3&gt;=Launch_SN-1,MAX(0,KYC_Min_USD*FX_USD-Z10),0)</f>
        <v>0</v>
      </c>
      <c r="AA47" s="32" t="n">
        <f aca="false">IF(AA$3&gt;=Launch_SN-1,MAX(0,KYC_Min_USD*FX_USD-AA10),0)</f>
        <v>0</v>
      </c>
      <c r="AB47" s="32" t="n">
        <f aca="false">IF(AB$3&gt;=Launch_SN-1,MAX(0,KYC_Min_USD*FX_USD-AB10),0)</f>
        <v>0</v>
      </c>
      <c r="AC47" s="32" t="n">
        <f aca="false">IF(AC$3&gt;=Launch_SN-1,MAX(0,KYC_Min_USD*FX_USD-AC10),0)</f>
        <v>0</v>
      </c>
      <c r="AD47" s="32" t="n">
        <f aca="false">IF(AD$3&gt;=Launch_SN-1,MAX(0,KYC_Min_USD*FX_USD-AD10),0)</f>
        <v>0</v>
      </c>
      <c r="AE47" s="32" t="n">
        <f aca="false">IF(AE$3&gt;=Launch_SN-1,MAX(0,KYC_Min_USD*FX_USD-AE10),0)</f>
        <v>0</v>
      </c>
      <c r="AF47" s="32" t="n">
        <f aca="false">IF(AF$3&gt;=Launch_SN-1,MAX(0,KYC_Min_USD*FX_USD-AF10),0)</f>
        <v>0</v>
      </c>
      <c r="AG47" s="32" t="n">
        <f aca="false">IF(AG$3&gt;=Launch_SN-1,MAX(0,KYC_Min_USD*FX_USD-AG10),0)</f>
        <v>0</v>
      </c>
      <c r="AH47" s="32" t="n">
        <f aca="false">IF(AH$3&gt;=Launch_SN-1,MAX(0,KYC_Min_USD*FX_USD-AH10),0)</f>
        <v>0</v>
      </c>
      <c r="AI47" s="32" t="n">
        <f aca="false">IF(AI$3&gt;=Launch_SN-1,MAX(0,KYC_Min_USD*FX_USD-AI10),0)</f>
        <v>0</v>
      </c>
      <c r="AJ47" s="32" t="n">
        <f aca="false">IF(AJ$3&gt;=Launch_SN-1,MAX(0,KYC_Min_USD*FX_USD-AJ10),0)</f>
        <v>0</v>
      </c>
      <c r="AK47" s="32" t="n">
        <f aca="false">IF(AK$3&gt;=Launch_SN-1,MAX(0,KYC_Min_USD*FX_USD-AK10),0)</f>
        <v>0</v>
      </c>
      <c r="AL47" s="32" t="n">
        <f aca="false">IF(AL$3&gt;=Launch_SN-1,MAX(0,KYC_Min_USD*FX_USD-AL10),0)</f>
        <v>0</v>
      </c>
      <c r="AM47" s="32" t="n">
        <f aca="false">IF(AM$3&gt;=Launch_SN-1,MAX(0,KYC_Min_USD*FX_USD-AM10),0)</f>
        <v>0</v>
      </c>
      <c r="AN47" s="32" t="n">
        <f aca="false">IF(AN$3&gt;=Launch_SN-1,MAX(0,KYC_Min_USD*FX_USD-AN10),0)</f>
        <v>0</v>
      </c>
      <c r="AO47" s="32" t="n">
        <f aca="false">IF(AO$3&gt;=Launch_SN-1,MAX(0,KYC_Min_USD*FX_USD-AO10),0)</f>
        <v>0</v>
      </c>
      <c r="AP47" s="32" t="n">
        <f aca="false">IF(AP$3&gt;=Launch_SN-1,MAX(0,KYC_Min_USD*FX_USD-AP10),0)</f>
        <v>0</v>
      </c>
      <c r="AQ47" s="32" t="n">
        <f aca="false">IF(AQ$3&gt;=Launch_SN-1,MAX(0,KYC_Min_USD*FX_USD-AQ10),0)</f>
        <v>0</v>
      </c>
      <c r="AR47" s="32" t="n">
        <f aca="false">IF(AR$3&gt;=Launch_SN-1,MAX(0,KYC_Min_USD*FX_USD-AR10),0)</f>
        <v>0</v>
      </c>
      <c r="AS47" s="32" t="n">
        <f aca="false">IF(AS$3&gt;=Launch_SN-1,MAX(0,KYC_Min_USD*FX_USD-AS10),0)</f>
        <v>0</v>
      </c>
      <c r="AT47" s="32" t="n">
        <f aca="false">IF(AT$3&gt;=Launch_SN-1,MAX(0,KYC_Min_USD*FX_USD-AT10),0)</f>
        <v>0</v>
      </c>
      <c r="AU47" s="32" t="n">
        <f aca="false">IF(AU$3&gt;=Launch_SN-1,MAX(0,KYC_Min_USD*FX_USD-AU10),0)</f>
        <v>0</v>
      </c>
      <c r="AV47" s="32" t="n">
        <f aca="false">IF(AV$3&gt;=Launch_SN-1,MAX(0,KYC_Min_USD*FX_USD-AV10),0)</f>
        <v>0</v>
      </c>
      <c r="AW47" s="32" t="n">
        <f aca="false">IF(AW$3&gt;=Launch_SN-1,MAX(0,KYC_Min_USD*FX_USD-AW10),0)</f>
        <v>0</v>
      </c>
      <c r="AX47" s="32" t="n">
        <f aca="false">IF(AX$3&gt;=Launch_SN-1,MAX(0,KYC_Min_USD*FX_USD-AX10),0)</f>
        <v>0</v>
      </c>
      <c r="AY47" s="32" t="n">
        <f aca="false">IF(AY$3&gt;=Launch_SN-1,MAX(0,KYC_Min_USD*FX_USD-AY10),0)</f>
        <v>0</v>
      </c>
      <c r="AZ47" s="32" t="n">
        <f aca="false">IF(AZ$3&gt;=Launch_SN-1,MAX(0,KYC_Min_USD*FX_USD-AZ10),0)</f>
        <v>0</v>
      </c>
      <c r="BA47" s="32" t="n">
        <f aca="false">IF(BA$3&gt;=Launch_SN-1,MAX(0,KYC_Min_USD*FX_USD-BA10),0)</f>
        <v>0</v>
      </c>
      <c r="BB47" s="32" t="n">
        <f aca="false">IF(BB$3&gt;=Launch_SN-1,MAX(0,KYC_Min_USD*FX_USD-BB10),0)</f>
        <v>0</v>
      </c>
      <c r="BC47" s="32" t="n">
        <f aca="false">IF(BC$3&gt;=Launch_SN-1,MAX(0,KYC_Min_USD*FX_USD-BC10),0)</f>
        <v>0</v>
      </c>
      <c r="BD47" s="32" t="n">
        <f aca="false">IF(BD$3&gt;=Launch_SN-1,MAX(0,KYC_Min_USD*FX_USD-BD10),0)</f>
        <v>0</v>
      </c>
      <c r="BE47" s="32" t="n">
        <f aca="false">IF(BE$3&gt;=Launch_SN-1,MAX(0,KYC_Min_USD*FX_USD-BE10),0)</f>
        <v>0</v>
      </c>
      <c r="BF47" s="32" t="n">
        <f aca="false">IF(BF$3&gt;=Launch_SN-1,MAX(0,KYC_Min_USD*FX_USD-BF10),0)</f>
        <v>0</v>
      </c>
      <c r="BG47" s="32" t="n">
        <f aca="false">IF(BG$3&gt;=Launch_SN-1,MAX(0,KYC_Min_USD*FX_USD-BG10),0)</f>
        <v>0</v>
      </c>
      <c r="BH47" s="32" t="n">
        <f aca="false">IF(BH$3&gt;=Launch_SN-1,MAX(0,KYC_Min_USD*FX_USD-BH10),0)</f>
        <v>0</v>
      </c>
      <c r="BI47" s="32" t="n">
        <f aca="false">IF(BI$3&gt;=Launch_SN-1,MAX(0,KYC_Min_USD*FX_USD-BI10),0)</f>
        <v>0</v>
      </c>
      <c r="BJ47" s="32" t="n">
        <f aca="false">IF(BJ$3&gt;=Launch_SN-1,MAX(0,KYC_Min_USD*FX_USD-BJ10),0)</f>
        <v>0</v>
      </c>
      <c r="BK47" s="32" t="n">
        <f aca="false">IF(BK$3&gt;=Launch_SN-1,MAX(0,KYC_Min_USD*FX_USD-BK10),0)</f>
        <v>0</v>
      </c>
      <c r="BL47" s="32" t="n">
        <f aca="false">IF(BL$3&gt;=Launch_SN-1,MAX(0,KYC_Min_USD*FX_USD-BL10),0)</f>
        <v>0</v>
      </c>
    </row>
    <row r="48" customFormat="false" ht="15" hidden="false" customHeight="false" outlineLevel="0" collapsed="false">
      <c r="A48" s="12" t="s">
        <v>1076</v>
      </c>
      <c r="B48" s="14" t="s">
        <v>77</v>
      </c>
      <c r="D48" s="55" t="n">
        <f aca="false">SUM(E48:BL48)</f>
        <v>19762920</v>
      </c>
      <c r="E48" s="32" t="n">
        <f aca="false">Staff!E82*(Gmail_USD+ClickUp_USD)*FX_USD</f>
        <v>52200</v>
      </c>
      <c r="F48" s="32" t="n">
        <f aca="false">Staff!F82*(Gmail_USD+ClickUp_USD)*FX_USD</f>
        <v>52200</v>
      </c>
      <c r="G48" s="32" t="n">
        <f aca="false">Staff!G82*(Gmail_USD+ClickUp_USD)*FX_USD</f>
        <v>52200</v>
      </c>
      <c r="H48" s="32" t="n">
        <f aca="false">Staff!H82*(Gmail_USD+ClickUp_USD)*FX_USD</f>
        <v>104400</v>
      </c>
      <c r="I48" s="32" t="n">
        <f aca="false">Staff!I82*(Gmail_USD+ClickUp_USD)*FX_USD</f>
        <v>114840</v>
      </c>
      <c r="J48" s="32" t="n">
        <f aca="false">Staff!J82*(Gmail_USD+ClickUp_USD)*FX_USD</f>
        <v>114840</v>
      </c>
      <c r="K48" s="32" t="n">
        <f aca="false">Staff!K82*(Gmail_USD+ClickUp_USD)*FX_USD</f>
        <v>114840</v>
      </c>
      <c r="L48" s="32" t="n">
        <f aca="false">Staff!L82*(Gmail_USD+ClickUp_USD)*FX_USD</f>
        <v>114840</v>
      </c>
      <c r="M48" s="32" t="n">
        <f aca="false">Staff!M82*(Gmail_USD+ClickUp_USD)*FX_USD</f>
        <v>114840</v>
      </c>
      <c r="N48" s="32" t="n">
        <f aca="false">Staff!N82*(Gmail_USD+ClickUp_USD)*FX_USD</f>
        <v>114840</v>
      </c>
      <c r="O48" s="32" t="n">
        <f aca="false">Staff!O82*(Gmail_USD+ClickUp_USD)*FX_USD</f>
        <v>114840</v>
      </c>
      <c r="P48" s="32" t="n">
        <f aca="false">Staff!P82*(Gmail_USD+ClickUp_USD)*FX_USD</f>
        <v>114840</v>
      </c>
      <c r="Q48" s="32" t="n">
        <f aca="false">Staff!Q82*(Gmail_USD+ClickUp_USD)*FX_USD</f>
        <v>125280</v>
      </c>
      <c r="R48" s="32" t="n">
        <f aca="false">Staff!R82*(Gmail_USD+ClickUp_USD)*FX_USD</f>
        <v>125280</v>
      </c>
      <c r="S48" s="32" t="n">
        <f aca="false">Staff!S82*(Gmail_USD+ClickUp_USD)*FX_USD</f>
        <v>125280</v>
      </c>
      <c r="T48" s="32" t="n">
        <f aca="false">Staff!T82*(Gmail_USD+ClickUp_USD)*FX_USD</f>
        <v>135720</v>
      </c>
      <c r="U48" s="32" t="n">
        <f aca="false">Staff!U82*(Gmail_USD+ClickUp_USD)*FX_USD</f>
        <v>135720</v>
      </c>
      <c r="V48" s="32" t="n">
        <f aca="false">Staff!V82*(Gmail_USD+ClickUp_USD)*FX_USD</f>
        <v>167040</v>
      </c>
      <c r="W48" s="32" t="n">
        <f aca="false">Staff!W82*(Gmail_USD+ClickUp_USD)*FX_USD</f>
        <v>167040</v>
      </c>
      <c r="X48" s="32" t="n">
        <f aca="false">Staff!X82*(Gmail_USD+ClickUp_USD)*FX_USD</f>
        <v>177480</v>
      </c>
      <c r="Y48" s="32" t="n">
        <f aca="false">Staff!Y82*(Gmail_USD+ClickUp_USD)*FX_USD</f>
        <v>187920</v>
      </c>
      <c r="Z48" s="32" t="n">
        <f aca="false">Staff!Z82*(Gmail_USD+ClickUp_USD)*FX_USD</f>
        <v>187920</v>
      </c>
      <c r="AA48" s="32" t="n">
        <f aca="false">Staff!AA82*(Gmail_USD+ClickUp_USD)*FX_USD</f>
        <v>187920</v>
      </c>
      <c r="AB48" s="32" t="n">
        <f aca="false">Staff!AB82*(Gmail_USD+ClickUp_USD)*FX_USD</f>
        <v>198360</v>
      </c>
      <c r="AC48" s="32" t="n">
        <f aca="false">Staff!AC82*(Gmail_USD+ClickUp_USD)*FX_USD</f>
        <v>208800</v>
      </c>
      <c r="AD48" s="32" t="n">
        <f aca="false">Staff!AD82*(Gmail_USD+ClickUp_USD)*FX_USD</f>
        <v>219240</v>
      </c>
      <c r="AE48" s="32" t="n">
        <f aca="false">Staff!AE82*(Gmail_USD+ClickUp_USD)*FX_USD</f>
        <v>219240</v>
      </c>
      <c r="AF48" s="32" t="n">
        <f aca="false">Staff!AF82*(Gmail_USD+ClickUp_USD)*FX_USD</f>
        <v>240120</v>
      </c>
      <c r="AG48" s="32" t="n">
        <f aca="false">Staff!AG82*(Gmail_USD+ClickUp_USD)*FX_USD</f>
        <v>271440</v>
      </c>
      <c r="AH48" s="32" t="n">
        <f aca="false">Staff!AH82*(Gmail_USD+ClickUp_USD)*FX_USD</f>
        <v>281880</v>
      </c>
      <c r="AI48" s="32" t="n">
        <f aca="false">Staff!AI82*(Gmail_USD+ClickUp_USD)*FX_USD</f>
        <v>292320</v>
      </c>
      <c r="AJ48" s="32" t="n">
        <f aca="false">Staff!AJ82*(Gmail_USD+ClickUp_USD)*FX_USD</f>
        <v>292320</v>
      </c>
      <c r="AK48" s="32" t="n">
        <f aca="false">Staff!AK82*(Gmail_USD+ClickUp_USD)*FX_USD</f>
        <v>302760</v>
      </c>
      <c r="AL48" s="32" t="n">
        <f aca="false">Staff!AL82*(Gmail_USD+ClickUp_USD)*FX_USD</f>
        <v>323640</v>
      </c>
      <c r="AM48" s="32" t="n">
        <f aca="false">Staff!AM82*(Gmail_USD+ClickUp_USD)*FX_USD</f>
        <v>334080</v>
      </c>
      <c r="AN48" s="32" t="n">
        <f aca="false">Staff!AN82*(Gmail_USD+ClickUp_USD)*FX_USD</f>
        <v>344520</v>
      </c>
      <c r="AO48" s="32" t="n">
        <f aca="false">Staff!AO82*(Gmail_USD+ClickUp_USD)*FX_USD</f>
        <v>365400</v>
      </c>
      <c r="AP48" s="32" t="n">
        <f aca="false">Staff!AP82*(Gmail_USD+ClickUp_USD)*FX_USD</f>
        <v>365400</v>
      </c>
      <c r="AQ48" s="32" t="n">
        <f aca="false">Staff!AQ82*(Gmail_USD+ClickUp_USD)*FX_USD</f>
        <v>386280</v>
      </c>
      <c r="AR48" s="32" t="n">
        <f aca="false">Staff!AR82*(Gmail_USD+ClickUp_USD)*FX_USD</f>
        <v>417600</v>
      </c>
      <c r="AS48" s="32" t="n">
        <f aca="false">Staff!AS82*(Gmail_USD+ClickUp_USD)*FX_USD</f>
        <v>417600</v>
      </c>
      <c r="AT48" s="32" t="n">
        <f aca="false">Staff!AT82*(Gmail_USD+ClickUp_USD)*FX_USD</f>
        <v>428040</v>
      </c>
      <c r="AU48" s="32" t="n">
        <f aca="false">Staff!AU82*(Gmail_USD+ClickUp_USD)*FX_USD</f>
        <v>459360</v>
      </c>
      <c r="AV48" s="32" t="n">
        <f aca="false">Staff!AV82*(Gmail_USD+ClickUp_USD)*FX_USD</f>
        <v>459360</v>
      </c>
      <c r="AW48" s="32" t="n">
        <f aca="false">Staff!AW82*(Gmail_USD+ClickUp_USD)*FX_USD</f>
        <v>490680</v>
      </c>
      <c r="AX48" s="32" t="n">
        <f aca="false">Staff!AX82*(Gmail_USD+ClickUp_USD)*FX_USD</f>
        <v>501120</v>
      </c>
      <c r="AY48" s="32" t="n">
        <f aca="false">Staff!AY82*(Gmail_USD+ClickUp_USD)*FX_USD</f>
        <v>511560</v>
      </c>
      <c r="AZ48" s="32" t="n">
        <f aca="false">Staff!AZ82*(Gmail_USD+ClickUp_USD)*FX_USD</f>
        <v>532440</v>
      </c>
      <c r="BA48" s="32" t="n">
        <f aca="false">Staff!BA82*(Gmail_USD+ClickUp_USD)*FX_USD</f>
        <v>553320</v>
      </c>
      <c r="BB48" s="32" t="n">
        <f aca="false">Staff!BB82*(Gmail_USD+ClickUp_USD)*FX_USD</f>
        <v>584640</v>
      </c>
      <c r="BC48" s="32" t="n">
        <f aca="false">Staff!BC82*(Gmail_USD+ClickUp_USD)*FX_USD</f>
        <v>595080</v>
      </c>
      <c r="BD48" s="32" t="n">
        <f aca="false">Staff!BD82*(Gmail_USD+ClickUp_USD)*FX_USD</f>
        <v>615960</v>
      </c>
      <c r="BE48" s="32" t="n">
        <f aca="false">Staff!BE82*(Gmail_USD+ClickUp_USD)*FX_USD</f>
        <v>626400</v>
      </c>
      <c r="BF48" s="32" t="n">
        <f aca="false">Staff!BF82*(Gmail_USD+ClickUp_USD)*FX_USD</f>
        <v>647280</v>
      </c>
      <c r="BG48" s="32" t="n">
        <f aca="false">Staff!BG82*(Gmail_USD+ClickUp_USD)*FX_USD</f>
        <v>668160</v>
      </c>
      <c r="BH48" s="32" t="n">
        <f aca="false">Staff!BH82*(Gmail_USD+ClickUp_USD)*FX_USD</f>
        <v>699480</v>
      </c>
      <c r="BI48" s="32" t="n">
        <f aca="false">Staff!BI82*(Gmail_USD+ClickUp_USD)*FX_USD</f>
        <v>720360</v>
      </c>
      <c r="BJ48" s="32" t="n">
        <f aca="false">Staff!BJ82*(Gmail_USD+ClickUp_USD)*FX_USD</f>
        <v>741240</v>
      </c>
      <c r="BK48" s="32" t="n">
        <f aca="false">Staff!BK82*(Gmail_USD+ClickUp_USD)*FX_USD</f>
        <v>762120</v>
      </c>
      <c r="BL48" s="32" t="n">
        <f aca="false">Staff!BL82*(Gmail_USD+ClickUp_USD)*FX_USD</f>
        <v>783000</v>
      </c>
    </row>
    <row r="49" customFormat="false" ht="15" hidden="false" customHeight="false" outlineLevel="0" collapsed="false">
      <c r="A49" s="12" t="s">
        <v>1077</v>
      </c>
      <c r="B49" s="14" t="s">
        <v>77</v>
      </c>
      <c r="D49" s="55" t="n">
        <f aca="false">SUM(E49:BL49)</f>
        <v>5379500</v>
      </c>
      <c r="E49" s="32" t="n">
        <f aca="false">(Staff!E85+Claude_Shared)*Claude_USD*FX_USD</f>
        <v>72500</v>
      </c>
      <c r="F49" s="32" t="n">
        <f aca="false">(Staff!F85+Claude_Shared)*Claude_USD*FX_USD</f>
        <v>72500</v>
      </c>
      <c r="G49" s="32" t="n">
        <f aca="false">(Staff!G85+Claude_Shared)*Claude_USD*FX_USD</f>
        <v>72500</v>
      </c>
      <c r="H49" s="32" t="n">
        <f aca="false">(Staff!H85+Claude_Shared)*Claude_USD*FX_USD</f>
        <v>72500</v>
      </c>
      <c r="I49" s="32" t="n">
        <f aca="false">(Staff!I85+Claude_Shared)*Claude_USD*FX_USD</f>
        <v>72500</v>
      </c>
      <c r="J49" s="32" t="n">
        <f aca="false">(Staff!J85+Claude_Shared)*Claude_USD*FX_USD</f>
        <v>72500</v>
      </c>
      <c r="K49" s="32" t="n">
        <f aca="false">(Staff!K85+Claude_Shared)*Claude_USD*FX_USD</f>
        <v>72500</v>
      </c>
      <c r="L49" s="32" t="n">
        <f aca="false">(Staff!L85+Claude_Shared)*Claude_USD*FX_USD</f>
        <v>72500</v>
      </c>
      <c r="M49" s="32" t="n">
        <f aca="false">(Staff!M85+Claude_Shared)*Claude_USD*FX_USD</f>
        <v>72500</v>
      </c>
      <c r="N49" s="32" t="n">
        <f aca="false">(Staff!N85+Claude_Shared)*Claude_USD*FX_USD</f>
        <v>72500</v>
      </c>
      <c r="O49" s="32" t="n">
        <f aca="false">(Staff!O85+Claude_Shared)*Claude_USD*FX_USD</f>
        <v>72500</v>
      </c>
      <c r="P49" s="32" t="n">
        <f aca="false">(Staff!P85+Claude_Shared)*Claude_USD*FX_USD</f>
        <v>72500</v>
      </c>
      <c r="Q49" s="32" t="n">
        <f aca="false">(Staff!Q85+Claude_Shared)*Claude_USD*FX_USD</f>
        <v>72500</v>
      </c>
      <c r="R49" s="32" t="n">
        <f aca="false">(Staff!R85+Claude_Shared)*Claude_USD*FX_USD</f>
        <v>72500</v>
      </c>
      <c r="S49" s="32" t="n">
        <f aca="false">(Staff!S85+Claude_Shared)*Claude_USD*FX_USD</f>
        <v>72500</v>
      </c>
      <c r="T49" s="32" t="n">
        <f aca="false">(Staff!T85+Claude_Shared)*Claude_USD*FX_USD</f>
        <v>72500</v>
      </c>
      <c r="U49" s="32" t="n">
        <f aca="false">(Staff!U85+Claude_Shared)*Claude_USD*FX_USD</f>
        <v>72500</v>
      </c>
      <c r="V49" s="32" t="n">
        <f aca="false">(Staff!V85+Claude_Shared)*Claude_USD*FX_USD</f>
        <v>72500</v>
      </c>
      <c r="W49" s="32" t="n">
        <f aca="false">(Staff!W85+Claude_Shared)*Claude_USD*FX_USD</f>
        <v>72500</v>
      </c>
      <c r="X49" s="32" t="n">
        <f aca="false">(Staff!X85+Claude_Shared)*Claude_USD*FX_USD</f>
        <v>72500</v>
      </c>
      <c r="Y49" s="32" t="n">
        <f aca="false">(Staff!Y85+Claude_Shared)*Claude_USD*FX_USD</f>
        <v>72500</v>
      </c>
      <c r="Z49" s="32" t="n">
        <f aca="false">(Staff!Z85+Claude_Shared)*Claude_USD*FX_USD</f>
        <v>72500</v>
      </c>
      <c r="AA49" s="32" t="n">
        <f aca="false">(Staff!AA85+Claude_Shared)*Claude_USD*FX_USD</f>
        <v>72500</v>
      </c>
      <c r="AB49" s="32" t="n">
        <f aca="false">(Staff!AB85+Claude_Shared)*Claude_USD*FX_USD</f>
        <v>72500</v>
      </c>
      <c r="AC49" s="32" t="n">
        <f aca="false">(Staff!AC85+Claude_Shared)*Claude_USD*FX_USD</f>
        <v>72500</v>
      </c>
      <c r="AD49" s="32" t="n">
        <f aca="false">(Staff!AD85+Claude_Shared)*Claude_USD*FX_USD</f>
        <v>72500</v>
      </c>
      <c r="AE49" s="32" t="n">
        <f aca="false">(Staff!AE85+Claude_Shared)*Claude_USD*FX_USD</f>
        <v>72500</v>
      </c>
      <c r="AF49" s="32" t="n">
        <f aca="false">(Staff!AF85+Claude_Shared)*Claude_USD*FX_USD</f>
        <v>87000</v>
      </c>
      <c r="AG49" s="32" t="n">
        <f aca="false">(Staff!AG85+Claude_Shared)*Claude_USD*FX_USD</f>
        <v>87000</v>
      </c>
      <c r="AH49" s="32" t="n">
        <f aca="false">(Staff!AH85+Claude_Shared)*Claude_USD*FX_USD</f>
        <v>87000</v>
      </c>
      <c r="AI49" s="32" t="n">
        <f aca="false">(Staff!AI85+Claude_Shared)*Claude_USD*FX_USD</f>
        <v>87000</v>
      </c>
      <c r="AJ49" s="32" t="n">
        <f aca="false">(Staff!AJ85+Claude_Shared)*Claude_USD*FX_USD</f>
        <v>87000</v>
      </c>
      <c r="AK49" s="32" t="n">
        <f aca="false">(Staff!AK85+Claude_Shared)*Claude_USD*FX_USD</f>
        <v>87000</v>
      </c>
      <c r="AL49" s="32" t="n">
        <f aca="false">(Staff!AL85+Claude_Shared)*Claude_USD*FX_USD</f>
        <v>87000</v>
      </c>
      <c r="AM49" s="32" t="n">
        <f aca="false">(Staff!AM85+Claude_Shared)*Claude_USD*FX_USD</f>
        <v>87000</v>
      </c>
      <c r="AN49" s="32" t="n">
        <f aca="false">(Staff!AN85+Claude_Shared)*Claude_USD*FX_USD</f>
        <v>87000</v>
      </c>
      <c r="AO49" s="32" t="n">
        <f aca="false">(Staff!AO85+Claude_Shared)*Claude_USD*FX_USD</f>
        <v>87000</v>
      </c>
      <c r="AP49" s="32" t="n">
        <f aca="false">(Staff!AP85+Claude_Shared)*Claude_USD*FX_USD</f>
        <v>87000</v>
      </c>
      <c r="AQ49" s="32" t="n">
        <f aca="false">(Staff!AQ85+Claude_Shared)*Claude_USD*FX_USD</f>
        <v>87000</v>
      </c>
      <c r="AR49" s="32" t="n">
        <f aca="false">(Staff!AR85+Claude_Shared)*Claude_USD*FX_USD</f>
        <v>101500</v>
      </c>
      <c r="AS49" s="32" t="n">
        <f aca="false">(Staff!AS85+Claude_Shared)*Claude_USD*FX_USD</f>
        <v>101500</v>
      </c>
      <c r="AT49" s="32" t="n">
        <f aca="false">(Staff!AT85+Claude_Shared)*Claude_USD*FX_USD</f>
        <v>101500</v>
      </c>
      <c r="AU49" s="32" t="n">
        <f aca="false">(Staff!AU85+Claude_Shared)*Claude_USD*FX_USD</f>
        <v>101500</v>
      </c>
      <c r="AV49" s="32" t="n">
        <f aca="false">(Staff!AV85+Claude_Shared)*Claude_USD*FX_USD</f>
        <v>101500</v>
      </c>
      <c r="AW49" s="32" t="n">
        <f aca="false">(Staff!AW85+Claude_Shared)*Claude_USD*FX_USD</f>
        <v>101500</v>
      </c>
      <c r="AX49" s="32" t="n">
        <f aca="false">(Staff!AX85+Claude_Shared)*Claude_USD*FX_USD</f>
        <v>101500</v>
      </c>
      <c r="AY49" s="32" t="n">
        <f aca="false">(Staff!AY85+Claude_Shared)*Claude_USD*FX_USD</f>
        <v>101500</v>
      </c>
      <c r="AZ49" s="32" t="n">
        <f aca="false">(Staff!AZ85+Claude_Shared)*Claude_USD*FX_USD</f>
        <v>101500</v>
      </c>
      <c r="BA49" s="32" t="n">
        <f aca="false">(Staff!BA85+Claude_Shared)*Claude_USD*FX_USD</f>
        <v>116000</v>
      </c>
      <c r="BB49" s="32" t="n">
        <f aca="false">(Staff!BB85+Claude_Shared)*Claude_USD*FX_USD</f>
        <v>116000</v>
      </c>
      <c r="BC49" s="32" t="n">
        <f aca="false">(Staff!BC85+Claude_Shared)*Claude_USD*FX_USD</f>
        <v>116000</v>
      </c>
      <c r="BD49" s="32" t="n">
        <f aca="false">(Staff!BD85+Claude_Shared)*Claude_USD*FX_USD</f>
        <v>116000</v>
      </c>
      <c r="BE49" s="32" t="n">
        <f aca="false">(Staff!BE85+Claude_Shared)*Claude_USD*FX_USD</f>
        <v>116000</v>
      </c>
      <c r="BF49" s="32" t="n">
        <f aca="false">(Staff!BF85+Claude_Shared)*Claude_USD*FX_USD</f>
        <v>116000</v>
      </c>
      <c r="BG49" s="32" t="n">
        <f aca="false">(Staff!BG85+Claude_Shared)*Claude_USD*FX_USD</f>
        <v>116000</v>
      </c>
      <c r="BH49" s="32" t="n">
        <f aca="false">(Staff!BH85+Claude_Shared)*Claude_USD*FX_USD</f>
        <v>130500</v>
      </c>
      <c r="BI49" s="32" t="n">
        <f aca="false">(Staff!BI85+Claude_Shared)*Claude_USD*FX_USD</f>
        <v>130500</v>
      </c>
      <c r="BJ49" s="32" t="n">
        <f aca="false">(Staff!BJ85+Claude_Shared)*Claude_USD*FX_USD</f>
        <v>130500</v>
      </c>
      <c r="BK49" s="32" t="n">
        <f aca="false">(Staff!BK85+Claude_Shared)*Claude_USD*FX_USD</f>
        <v>130500</v>
      </c>
      <c r="BL49" s="32" t="n">
        <f aca="false">(Staff!BL85+Claude_Shared)*Claude_USD*FX_USD</f>
        <v>130500</v>
      </c>
    </row>
    <row r="50" customFormat="false" ht="15" hidden="false" customHeight="false" outlineLevel="0" collapsed="false">
      <c r="A50" s="12" t="s">
        <v>1078</v>
      </c>
      <c r="B50" s="14" t="s">
        <v>77</v>
      </c>
      <c r="D50" s="55" t="n">
        <f aca="false">SUM(E50:BL50)</f>
        <v>928000</v>
      </c>
      <c r="E50" s="32" t="n">
        <f aca="false">(Website_USD+Domain_USD/12)*FX_USD</f>
        <v>15466.6666666667</v>
      </c>
      <c r="F50" s="32" t="n">
        <f aca="false">(Website_USD+Domain_USD/12)*FX_USD</f>
        <v>15466.6666666667</v>
      </c>
      <c r="G50" s="32" t="n">
        <f aca="false">(Website_USD+Domain_USD/12)*FX_USD</f>
        <v>15466.6666666667</v>
      </c>
      <c r="H50" s="32" t="n">
        <f aca="false">(Website_USD+Domain_USD/12)*FX_USD</f>
        <v>15466.6666666667</v>
      </c>
      <c r="I50" s="32" t="n">
        <f aca="false">(Website_USD+Domain_USD/12)*FX_USD</f>
        <v>15466.6666666667</v>
      </c>
      <c r="J50" s="32" t="n">
        <f aca="false">(Website_USD+Domain_USD/12)*FX_USD</f>
        <v>15466.6666666667</v>
      </c>
      <c r="K50" s="32" t="n">
        <f aca="false">(Website_USD+Domain_USD/12)*FX_USD</f>
        <v>15466.6666666667</v>
      </c>
      <c r="L50" s="32" t="n">
        <f aca="false">(Website_USD+Domain_USD/12)*FX_USD</f>
        <v>15466.6666666667</v>
      </c>
      <c r="M50" s="32" t="n">
        <f aca="false">(Website_USD+Domain_USD/12)*FX_USD</f>
        <v>15466.6666666667</v>
      </c>
      <c r="N50" s="32" t="n">
        <f aca="false">(Website_USD+Domain_USD/12)*FX_USD</f>
        <v>15466.6666666667</v>
      </c>
      <c r="O50" s="32" t="n">
        <f aca="false">(Website_USD+Domain_USD/12)*FX_USD</f>
        <v>15466.6666666667</v>
      </c>
      <c r="P50" s="32" t="n">
        <f aca="false">(Website_USD+Domain_USD/12)*FX_USD</f>
        <v>15466.6666666667</v>
      </c>
      <c r="Q50" s="32" t="n">
        <f aca="false">(Website_USD+Domain_USD/12)*FX_USD</f>
        <v>15466.6666666667</v>
      </c>
      <c r="R50" s="32" t="n">
        <f aca="false">(Website_USD+Domain_USD/12)*FX_USD</f>
        <v>15466.6666666667</v>
      </c>
      <c r="S50" s="32" t="n">
        <f aca="false">(Website_USD+Domain_USD/12)*FX_USD</f>
        <v>15466.6666666667</v>
      </c>
      <c r="T50" s="32" t="n">
        <f aca="false">(Website_USD+Domain_USD/12)*FX_USD</f>
        <v>15466.6666666667</v>
      </c>
      <c r="U50" s="32" t="n">
        <f aca="false">(Website_USD+Domain_USD/12)*FX_USD</f>
        <v>15466.6666666667</v>
      </c>
      <c r="V50" s="32" t="n">
        <f aca="false">(Website_USD+Domain_USD/12)*FX_USD</f>
        <v>15466.6666666667</v>
      </c>
      <c r="W50" s="32" t="n">
        <f aca="false">(Website_USD+Domain_USD/12)*FX_USD</f>
        <v>15466.6666666667</v>
      </c>
      <c r="X50" s="32" t="n">
        <f aca="false">(Website_USD+Domain_USD/12)*FX_USD</f>
        <v>15466.6666666667</v>
      </c>
      <c r="Y50" s="32" t="n">
        <f aca="false">(Website_USD+Domain_USD/12)*FX_USD</f>
        <v>15466.6666666667</v>
      </c>
      <c r="Z50" s="32" t="n">
        <f aca="false">(Website_USD+Domain_USD/12)*FX_USD</f>
        <v>15466.6666666667</v>
      </c>
      <c r="AA50" s="32" t="n">
        <f aca="false">(Website_USD+Domain_USD/12)*FX_USD</f>
        <v>15466.6666666667</v>
      </c>
      <c r="AB50" s="32" t="n">
        <f aca="false">(Website_USD+Domain_USD/12)*FX_USD</f>
        <v>15466.6666666667</v>
      </c>
      <c r="AC50" s="32" t="n">
        <f aca="false">(Website_USD+Domain_USD/12)*FX_USD</f>
        <v>15466.6666666667</v>
      </c>
      <c r="AD50" s="32" t="n">
        <f aca="false">(Website_USD+Domain_USD/12)*FX_USD</f>
        <v>15466.6666666667</v>
      </c>
      <c r="AE50" s="32" t="n">
        <f aca="false">(Website_USD+Domain_USD/12)*FX_USD</f>
        <v>15466.6666666667</v>
      </c>
      <c r="AF50" s="32" t="n">
        <f aca="false">(Website_USD+Domain_USD/12)*FX_USD</f>
        <v>15466.6666666667</v>
      </c>
      <c r="AG50" s="32" t="n">
        <f aca="false">(Website_USD+Domain_USD/12)*FX_USD</f>
        <v>15466.6666666667</v>
      </c>
      <c r="AH50" s="32" t="n">
        <f aca="false">(Website_USD+Domain_USD/12)*FX_USD</f>
        <v>15466.6666666667</v>
      </c>
      <c r="AI50" s="32" t="n">
        <f aca="false">(Website_USD+Domain_USD/12)*FX_USD</f>
        <v>15466.6666666667</v>
      </c>
      <c r="AJ50" s="32" t="n">
        <f aca="false">(Website_USD+Domain_USD/12)*FX_USD</f>
        <v>15466.6666666667</v>
      </c>
      <c r="AK50" s="32" t="n">
        <f aca="false">(Website_USD+Domain_USD/12)*FX_USD</f>
        <v>15466.6666666667</v>
      </c>
      <c r="AL50" s="32" t="n">
        <f aca="false">(Website_USD+Domain_USD/12)*FX_USD</f>
        <v>15466.6666666667</v>
      </c>
      <c r="AM50" s="32" t="n">
        <f aca="false">(Website_USD+Domain_USD/12)*FX_USD</f>
        <v>15466.6666666667</v>
      </c>
      <c r="AN50" s="32" t="n">
        <f aca="false">(Website_USD+Domain_USD/12)*FX_USD</f>
        <v>15466.6666666667</v>
      </c>
      <c r="AO50" s="32" t="n">
        <f aca="false">(Website_USD+Domain_USD/12)*FX_USD</f>
        <v>15466.6666666667</v>
      </c>
      <c r="AP50" s="32" t="n">
        <f aca="false">(Website_USD+Domain_USD/12)*FX_USD</f>
        <v>15466.6666666667</v>
      </c>
      <c r="AQ50" s="32" t="n">
        <f aca="false">(Website_USD+Domain_USD/12)*FX_USD</f>
        <v>15466.6666666667</v>
      </c>
      <c r="AR50" s="32" t="n">
        <f aca="false">(Website_USD+Domain_USD/12)*FX_USD</f>
        <v>15466.6666666667</v>
      </c>
      <c r="AS50" s="32" t="n">
        <f aca="false">(Website_USD+Domain_USD/12)*FX_USD</f>
        <v>15466.6666666667</v>
      </c>
      <c r="AT50" s="32" t="n">
        <f aca="false">(Website_USD+Domain_USD/12)*FX_USD</f>
        <v>15466.6666666667</v>
      </c>
      <c r="AU50" s="32" t="n">
        <f aca="false">(Website_USD+Domain_USD/12)*FX_USD</f>
        <v>15466.6666666667</v>
      </c>
      <c r="AV50" s="32" t="n">
        <f aca="false">(Website_USD+Domain_USD/12)*FX_USD</f>
        <v>15466.6666666667</v>
      </c>
      <c r="AW50" s="32" t="n">
        <f aca="false">(Website_USD+Domain_USD/12)*FX_USD</f>
        <v>15466.6666666667</v>
      </c>
      <c r="AX50" s="32" t="n">
        <f aca="false">(Website_USD+Domain_USD/12)*FX_USD</f>
        <v>15466.6666666667</v>
      </c>
      <c r="AY50" s="32" t="n">
        <f aca="false">(Website_USD+Domain_USD/12)*FX_USD</f>
        <v>15466.6666666667</v>
      </c>
      <c r="AZ50" s="32" t="n">
        <f aca="false">(Website_USD+Domain_USD/12)*FX_USD</f>
        <v>15466.6666666667</v>
      </c>
      <c r="BA50" s="32" t="n">
        <f aca="false">(Website_USD+Domain_USD/12)*FX_USD</f>
        <v>15466.6666666667</v>
      </c>
      <c r="BB50" s="32" t="n">
        <f aca="false">(Website_USD+Domain_USD/12)*FX_USD</f>
        <v>15466.6666666667</v>
      </c>
      <c r="BC50" s="32" t="n">
        <f aca="false">(Website_USD+Domain_USD/12)*FX_USD</f>
        <v>15466.6666666667</v>
      </c>
      <c r="BD50" s="32" t="n">
        <f aca="false">(Website_USD+Domain_USD/12)*FX_USD</f>
        <v>15466.6666666667</v>
      </c>
      <c r="BE50" s="32" t="n">
        <f aca="false">(Website_USD+Domain_USD/12)*FX_USD</f>
        <v>15466.6666666667</v>
      </c>
      <c r="BF50" s="32" t="n">
        <f aca="false">(Website_USD+Domain_USD/12)*FX_USD</f>
        <v>15466.6666666667</v>
      </c>
      <c r="BG50" s="32" t="n">
        <f aca="false">(Website_USD+Domain_USD/12)*FX_USD</f>
        <v>15466.6666666667</v>
      </c>
      <c r="BH50" s="32" t="n">
        <f aca="false">(Website_USD+Domain_USD/12)*FX_USD</f>
        <v>15466.6666666667</v>
      </c>
      <c r="BI50" s="32" t="n">
        <f aca="false">(Website_USD+Domain_USD/12)*FX_USD</f>
        <v>15466.6666666667</v>
      </c>
      <c r="BJ50" s="32" t="n">
        <f aca="false">(Website_USD+Domain_USD/12)*FX_USD</f>
        <v>15466.6666666667</v>
      </c>
      <c r="BK50" s="32" t="n">
        <f aca="false">(Website_USD+Domain_USD/12)*FX_USD</f>
        <v>15466.6666666667</v>
      </c>
      <c r="BL50" s="32" t="n">
        <f aca="false">(Website_USD+Domain_USD/12)*FX_USD</f>
        <v>15466.6666666667</v>
      </c>
    </row>
    <row r="51" customFormat="false" ht="15" hidden="false" customHeight="false" outlineLevel="0" collapsed="false">
      <c r="A51" s="12" t="s">
        <v>680</v>
      </c>
      <c r="B51" s="14" t="s">
        <v>77</v>
      </c>
      <c r="D51" s="55" t="n">
        <f aca="false">SUM(E51:BL51)</f>
        <v>35400000</v>
      </c>
      <c r="E51" s="32" t="n">
        <f aca="false">INDEX(Freelance,1,E$5)/12</f>
        <v>658333.333333333</v>
      </c>
      <c r="F51" s="32" t="n">
        <f aca="false">INDEX(Freelance,1,F$5)/12</f>
        <v>658333.333333333</v>
      </c>
      <c r="G51" s="32" t="n">
        <f aca="false">INDEX(Freelance,1,G$5)/12</f>
        <v>658333.333333333</v>
      </c>
      <c r="H51" s="32" t="n">
        <f aca="false">INDEX(Freelance,1,H$5)/12</f>
        <v>658333.333333333</v>
      </c>
      <c r="I51" s="32" t="n">
        <f aca="false">INDEX(Freelance,1,I$5)/12</f>
        <v>658333.333333333</v>
      </c>
      <c r="J51" s="32" t="n">
        <f aca="false">INDEX(Freelance,1,J$5)/12</f>
        <v>658333.333333333</v>
      </c>
      <c r="K51" s="32" t="n">
        <f aca="false">INDEX(Freelance,1,K$5)/12</f>
        <v>658333.333333333</v>
      </c>
      <c r="L51" s="32" t="n">
        <f aca="false">INDEX(Freelance,1,L$5)/12</f>
        <v>658333.333333333</v>
      </c>
      <c r="M51" s="32" t="n">
        <f aca="false">INDEX(Freelance,1,M$5)/12</f>
        <v>658333.333333333</v>
      </c>
      <c r="N51" s="32" t="n">
        <f aca="false">INDEX(Freelance,1,N$5)/12</f>
        <v>658333.333333333</v>
      </c>
      <c r="O51" s="32" t="n">
        <f aca="false">INDEX(Freelance,1,O$5)/12</f>
        <v>658333.333333333</v>
      </c>
      <c r="P51" s="32" t="n">
        <f aca="false">INDEX(Freelance,1,P$5)/12</f>
        <v>658333.333333333</v>
      </c>
      <c r="Q51" s="32" t="n">
        <f aca="false">INDEX(Freelance,1,Q$5)/12</f>
        <v>816666.666666667</v>
      </c>
      <c r="R51" s="32" t="n">
        <f aca="false">INDEX(Freelance,1,R$5)/12</f>
        <v>816666.666666667</v>
      </c>
      <c r="S51" s="32" t="n">
        <f aca="false">INDEX(Freelance,1,S$5)/12</f>
        <v>816666.666666667</v>
      </c>
      <c r="T51" s="32" t="n">
        <f aca="false">INDEX(Freelance,1,T$5)/12</f>
        <v>816666.666666667</v>
      </c>
      <c r="U51" s="32" t="n">
        <f aca="false">INDEX(Freelance,1,U$5)/12</f>
        <v>816666.666666667</v>
      </c>
      <c r="V51" s="32" t="n">
        <f aca="false">INDEX(Freelance,1,V$5)/12</f>
        <v>816666.666666667</v>
      </c>
      <c r="W51" s="32" t="n">
        <f aca="false">INDEX(Freelance,1,W$5)/12</f>
        <v>816666.666666667</v>
      </c>
      <c r="X51" s="32" t="n">
        <f aca="false">INDEX(Freelance,1,X$5)/12</f>
        <v>816666.666666667</v>
      </c>
      <c r="Y51" s="32" t="n">
        <f aca="false">INDEX(Freelance,1,Y$5)/12</f>
        <v>816666.666666667</v>
      </c>
      <c r="Z51" s="32" t="n">
        <f aca="false">INDEX(Freelance,1,Z$5)/12</f>
        <v>816666.666666667</v>
      </c>
      <c r="AA51" s="32" t="n">
        <f aca="false">INDEX(Freelance,1,AA$5)/12</f>
        <v>816666.666666667</v>
      </c>
      <c r="AB51" s="32" t="n">
        <f aca="false">INDEX(Freelance,1,AB$5)/12</f>
        <v>816666.666666667</v>
      </c>
      <c r="AC51" s="32" t="n">
        <f aca="false">INDEX(Freelance,1,AC$5)/12</f>
        <v>491666.666666667</v>
      </c>
      <c r="AD51" s="32" t="n">
        <f aca="false">INDEX(Freelance,1,AD$5)/12</f>
        <v>491666.666666667</v>
      </c>
      <c r="AE51" s="32" t="n">
        <f aca="false">INDEX(Freelance,1,AE$5)/12</f>
        <v>491666.666666667</v>
      </c>
      <c r="AF51" s="32" t="n">
        <f aca="false">INDEX(Freelance,1,AF$5)/12</f>
        <v>491666.666666667</v>
      </c>
      <c r="AG51" s="32" t="n">
        <f aca="false">INDEX(Freelance,1,AG$5)/12</f>
        <v>491666.666666667</v>
      </c>
      <c r="AH51" s="32" t="n">
        <f aca="false">INDEX(Freelance,1,AH$5)/12</f>
        <v>491666.666666667</v>
      </c>
      <c r="AI51" s="32" t="n">
        <f aca="false">INDEX(Freelance,1,AI$5)/12</f>
        <v>491666.666666667</v>
      </c>
      <c r="AJ51" s="32" t="n">
        <f aca="false">INDEX(Freelance,1,AJ$5)/12</f>
        <v>491666.666666667</v>
      </c>
      <c r="AK51" s="32" t="n">
        <f aca="false">INDEX(Freelance,1,AK$5)/12</f>
        <v>491666.666666667</v>
      </c>
      <c r="AL51" s="32" t="n">
        <f aca="false">INDEX(Freelance,1,AL$5)/12</f>
        <v>491666.666666667</v>
      </c>
      <c r="AM51" s="32" t="n">
        <f aca="false">INDEX(Freelance,1,AM$5)/12</f>
        <v>491666.666666667</v>
      </c>
      <c r="AN51" s="32" t="n">
        <f aca="false">INDEX(Freelance,1,AN$5)/12</f>
        <v>491666.666666667</v>
      </c>
      <c r="AO51" s="32" t="n">
        <f aca="false">INDEX(Freelance,1,AO$5)/12</f>
        <v>491666.666666667</v>
      </c>
      <c r="AP51" s="32" t="n">
        <f aca="false">INDEX(Freelance,1,AP$5)/12</f>
        <v>491666.666666667</v>
      </c>
      <c r="AQ51" s="32" t="n">
        <f aca="false">INDEX(Freelance,1,AQ$5)/12</f>
        <v>491666.666666667</v>
      </c>
      <c r="AR51" s="32" t="n">
        <f aca="false">INDEX(Freelance,1,AR$5)/12</f>
        <v>491666.666666667</v>
      </c>
      <c r="AS51" s="32" t="n">
        <f aca="false">INDEX(Freelance,1,AS$5)/12</f>
        <v>491666.666666667</v>
      </c>
      <c r="AT51" s="32" t="n">
        <f aca="false">INDEX(Freelance,1,AT$5)/12</f>
        <v>491666.666666667</v>
      </c>
      <c r="AU51" s="32" t="n">
        <f aca="false">INDEX(Freelance,1,AU$5)/12</f>
        <v>491666.666666667</v>
      </c>
      <c r="AV51" s="32" t="n">
        <f aca="false">INDEX(Freelance,1,AV$5)/12</f>
        <v>491666.666666667</v>
      </c>
      <c r="AW51" s="32" t="n">
        <f aca="false">INDEX(Freelance,1,AW$5)/12</f>
        <v>491666.666666667</v>
      </c>
      <c r="AX51" s="32" t="n">
        <f aca="false">INDEX(Freelance,1,AX$5)/12</f>
        <v>491666.666666667</v>
      </c>
      <c r="AY51" s="32" t="n">
        <f aca="false">INDEX(Freelance,1,AY$5)/12</f>
        <v>491666.666666667</v>
      </c>
      <c r="AZ51" s="32" t="n">
        <f aca="false">INDEX(Freelance,1,AZ$5)/12</f>
        <v>491666.666666667</v>
      </c>
      <c r="BA51" s="32" t="n">
        <f aca="false">INDEX(Freelance,1,BA$5)/12</f>
        <v>491666.666666667</v>
      </c>
      <c r="BB51" s="32" t="n">
        <f aca="false">INDEX(Freelance,1,BB$5)/12</f>
        <v>491666.666666667</v>
      </c>
      <c r="BC51" s="32" t="n">
        <f aca="false">INDEX(Freelance,1,BC$5)/12</f>
        <v>491666.666666667</v>
      </c>
      <c r="BD51" s="32" t="n">
        <f aca="false">INDEX(Freelance,1,BD$5)/12</f>
        <v>491666.666666667</v>
      </c>
      <c r="BE51" s="32" t="n">
        <f aca="false">INDEX(Freelance,1,BE$5)/12</f>
        <v>491666.666666667</v>
      </c>
      <c r="BF51" s="32" t="n">
        <f aca="false">INDEX(Freelance,1,BF$5)/12</f>
        <v>491666.666666667</v>
      </c>
      <c r="BG51" s="32" t="n">
        <f aca="false">INDEX(Freelance,1,BG$5)/12</f>
        <v>491666.666666667</v>
      </c>
      <c r="BH51" s="32" t="n">
        <f aca="false">INDEX(Freelance,1,BH$5)/12</f>
        <v>491666.666666667</v>
      </c>
      <c r="BI51" s="32" t="n">
        <f aca="false">INDEX(Freelance,1,BI$5)/12</f>
        <v>491666.666666667</v>
      </c>
      <c r="BJ51" s="32" t="n">
        <f aca="false">INDEX(Freelance,1,BJ$5)/12</f>
        <v>491666.666666667</v>
      </c>
      <c r="BK51" s="32" t="n">
        <f aca="false">INDEX(Freelance,1,BK$5)/12</f>
        <v>491666.666666667</v>
      </c>
      <c r="BL51" s="32" t="n">
        <f aca="false">INDEX(Freelance,1,BL$5)/12</f>
        <v>491666.666666667</v>
      </c>
    </row>
    <row r="52" customFormat="false" ht="15" hidden="false" customHeight="false" outlineLevel="0" collapsed="false">
      <c r="A52" s="12" t="s">
        <v>656</v>
      </c>
      <c r="B52" s="14" t="s">
        <v>77</v>
      </c>
      <c r="D52" s="55" t="n">
        <f aca="false">SUM(E52:BL52)</f>
        <v>29000000</v>
      </c>
      <c r="E52" s="32" t="n">
        <f aca="false">IF(AND(E$3&gt;=Audit_Month,MOD(E$3-Audit_Month,12)=0),Tech_Audit_USD*FX_USD,0)</f>
        <v>0</v>
      </c>
      <c r="F52" s="32" t="n">
        <f aca="false">IF(AND(F$3&gt;=Audit_Month,MOD(F$3-Audit_Month,12)=0),Tech_Audit_USD*FX_USD,0)</f>
        <v>0</v>
      </c>
      <c r="G52" s="32" t="n">
        <f aca="false">IF(AND(G$3&gt;=Audit_Month,MOD(G$3-Audit_Month,12)=0),Tech_Audit_USD*FX_USD,0)</f>
        <v>0</v>
      </c>
      <c r="H52" s="32" t="n">
        <f aca="false">IF(AND(H$3&gt;=Audit_Month,MOD(H$3-Audit_Month,12)=0),Tech_Audit_USD*FX_USD,0)</f>
        <v>5800000</v>
      </c>
      <c r="I52" s="32" t="n">
        <f aca="false">IF(AND(I$3&gt;=Audit_Month,MOD(I$3-Audit_Month,12)=0),Tech_Audit_USD*FX_USD,0)</f>
        <v>0</v>
      </c>
      <c r="J52" s="32" t="n">
        <f aca="false">IF(AND(J$3&gt;=Audit_Month,MOD(J$3-Audit_Month,12)=0),Tech_Audit_USD*FX_USD,0)</f>
        <v>0</v>
      </c>
      <c r="K52" s="32" t="n">
        <f aca="false">IF(AND(K$3&gt;=Audit_Month,MOD(K$3-Audit_Month,12)=0),Tech_Audit_USD*FX_USD,0)</f>
        <v>0</v>
      </c>
      <c r="L52" s="32" t="n">
        <f aca="false">IF(AND(L$3&gt;=Audit_Month,MOD(L$3-Audit_Month,12)=0),Tech_Audit_USD*FX_USD,0)</f>
        <v>0</v>
      </c>
      <c r="M52" s="32" t="n">
        <f aca="false">IF(AND(M$3&gt;=Audit_Month,MOD(M$3-Audit_Month,12)=0),Tech_Audit_USD*FX_USD,0)</f>
        <v>0</v>
      </c>
      <c r="N52" s="32" t="n">
        <f aca="false">IF(AND(N$3&gt;=Audit_Month,MOD(N$3-Audit_Month,12)=0),Tech_Audit_USD*FX_USD,0)</f>
        <v>0</v>
      </c>
      <c r="O52" s="32" t="n">
        <f aca="false">IF(AND(O$3&gt;=Audit_Month,MOD(O$3-Audit_Month,12)=0),Tech_Audit_USD*FX_USD,0)</f>
        <v>0</v>
      </c>
      <c r="P52" s="32" t="n">
        <f aca="false">IF(AND(P$3&gt;=Audit_Month,MOD(P$3-Audit_Month,12)=0),Tech_Audit_USD*FX_USD,0)</f>
        <v>0</v>
      </c>
      <c r="Q52" s="32" t="n">
        <f aca="false">IF(AND(Q$3&gt;=Audit_Month,MOD(Q$3-Audit_Month,12)=0),Tech_Audit_USD*FX_USD,0)</f>
        <v>0</v>
      </c>
      <c r="R52" s="32" t="n">
        <f aca="false">IF(AND(R$3&gt;=Audit_Month,MOD(R$3-Audit_Month,12)=0),Tech_Audit_USD*FX_USD,0)</f>
        <v>0</v>
      </c>
      <c r="S52" s="32" t="n">
        <f aca="false">IF(AND(S$3&gt;=Audit_Month,MOD(S$3-Audit_Month,12)=0),Tech_Audit_USD*FX_USD,0)</f>
        <v>0</v>
      </c>
      <c r="T52" s="32" t="n">
        <f aca="false">IF(AND(T$3&gt;=Audit_Month,MOD(T$3-Audit_Month,12)=0),Tech_Audit_USD*FX_USD,0)</f>
        <v>5800000</v>
      </c>
      <c r="U52" s="32" t="n">
        <f aca="false">IF(AND(U$3&gt;=Audit_Month,MOD(U$3-Audit_Month,12)=0),Tech_Audit_USD*FX_USD,0)</f>
        <v>0</v>
      </c>
      <c r="V52" s="32" t="n">
        <f aca="false">IF(AND(V$3&gt;=Audit_Month,MOD(V$3-Audit_Month,12)=0),Tech_Audit_USD*FX_USD,0)</f>
        <v>0</v>
      </c>
      <c r="W52" s="32" t="n">
        <f aca="false">IF(AND(W$3&gt;=Audit_Month,MOD(W$3-Audit_Month,12)=0),Tech_Audit_USD*FX_USD,0)</f>
        <v>0</v>
      </c>
      <c r="X52" s="32" t="n">
        <f aca="false">IF(AND(X$3&gt;=Audit_Month,MOD(X$3-Audit_Month,12)=0),Tech_Audit_USD*FX_USD,0)</f>
        <v>0</v>
      </c>
      <c r="Y52" s="32" t="n">
        <f aca="false">IF(AND(Y$3&gt;=Audit_Month,MOD(Y$3-Audit_Month,12)=0),Tech_Audit_USD*FX_USD,0)</f>
        <v>0</v>
      </c>
      <c r="Z52" s="32" t="n">
        <f aca="false">IF(AND(Z$3&gt;=Audit_Month,MOD(Z$3-Audit_Month,12)=0),Tech_Audit_USD*FX_USD,0)</f>
        <v>0</v>
      </c>
      <c r="AA52" s="32" t="n">
        <f aca="false">IF(AND(AA$3&gt;=Audit_Month,MOD(AA$3-Audit_Month,12)=0),Tech_Audit_USD*FX_USD,0)</f>
        <v>0</v>
      </c>
      <c r="AB52" s="32" t="n">
        <f aca="false">IF(AND(AB$3&gt;=Audit_Month,MOD(AB$3-Audit_Month,12)=0),Tech_Audit_USD*FX_USD,0)</f>
        <v>0</v>
      </c>
      <c r="AC52" s="32" t="n">
        <f aca="false">IF(AND(AC$3&gt;=Audit_Month,MOD(AC$3-Audit_Month,12)=0),Tech_Audit_USD*FX_USD,0)</f>
        <v>0</v>
      </c>
      <c r="AD52" s="32" t="n">
        <f aca="false">IF(AND(AD$3&gt;=Audit_Month,MOD(AD$3-Audit_Month,12)=0),Tech_Audit_USD*FX_USD,0)</f>
        <v>0</v>
      </c>
      <c r="AE52" s="32" t="n">
        <f aca="false">IF(AND(AE$3&gt;=Audit_Month,MOD(AE$3-Audit_Month,12)=0),Tech_Audit_USD*FX_USD,0)</f>
        <v>0</v>
      </c>
      <c r="AF52" s="32" t="n">
        <f aca="false">IF(AND(AF$3&gt;=Audit_Month,MOD(AF$3-Audit_Month,12)=0),Tech_Audit_USD*FX_USD,0)</f>
        <v>5800000</v>
      </c>
      <c r="AG52" s="32" t="n">
        <f aca="false">IF(AND(AG$3&gt;=Audit_Month,MOD(AG$3-Audit_Month,12)=0),Tech_Audit_USD*FX_USD,0)</f>
        <v>0</v>
      </c>
      <c r="AH52" s="32" t="n">
        <f aca="false">IF(AND(AH$3&gt;=Audit_Month,MOD(AH$3-Audit_Month,12)=0),Tech_Audit_USD*FX_USD,0)</f>
        <v>0</v>
      </c>
      <c r="AI52" s="32" t="n">
        <f aca="false">IF(AND(AI$3&gt;=Audit_Month,MOD(AI$3-Audit_Month,12)=0),Tech_Audit_USD*FX_USD,0)</f>
        <v>0</v>
      </c>
      <c r="AJ52" s="32" t="n">
        <f aca="false">IF(AND(AJ$3&gt;=Audit_Month,MOD(AJ$3-Audit_Month,12)=0),Tech_Audit_USD*FX_USD,0)</f>
        <v>0</v>
      </c>
      <c r="AK52" s="32" t="n">
        <f aca="false">IF(AND(AK$3&gt;=Audit_Month,MOD(AK$3-Audit_Month,12)=0),Tech_Audit_USD*FX_USD,0)</f>
        <v>0</v>
      </c>
      <c r="AL52" s="32" t="n">
        <f aca="false">IF(AND(AL$3&gt;=Audit_Month,MOD(AL$3-Audit_Month,12)=0),Tech_Audit_USD*FX_USD,0)</f>
        <v>0</v>
      </c>
      <c r="AM52" s="32" t="n">
        <f aca="false">IF(AND(AM$3&gt;=Audit_Month,MOD(AM$3-Audit_Month,12)=0),Tech_Audit_USD*FX_USD,0)</f>
        <v>0</v>
      </c>
      <c r="AN52" s="32" t="n">
        <f aca="false">IF(AND(AN$3&gt;=Audit_Month,MOD(AN$3-Audit_Month,12)=0),Tech_Audit_USD*FX_USD,0)</f>
        <v>0</v>
      </c>
      <c r="AO52" s="32" t="n">
        <f aca="false">IF(AND(AO$3&gt;=Audit_Month,MOD(AO$3-Audit_Month,12)=0),Tech_Audit_USD*FX_USD,0)</f>
        <v>0</v>
      </c>
      <c r="AP52" s="32" t="n">
        <f aca="false">IF(AND(AP$3&gt;=Audit_Month,MOD(AP$3-Audit_Month,12)=0),Tech_Audit_USD*FX_USD,0)</f>
        <v>0</v>
      </c>
      <c r="AQ52" s="32" t="n">
        <f aca="false">IF(AND(AQ$3&gt;=Audit_Month,MOD(AQ$3-Audit_Month,12)=0),Tech_Audit_USD*FX_USD,0)</f>
        <v>0</v>
      </c>
      <c r="AR52" s="32" t="n">
        <f aca="false">IF(AND(AR$3&gt;=Audit_Month,MOD(AR$3-Audit_Month,12)=0),Tech_Audit_USD*FX_USD,0)</f>
        <v>5800000</v>
      </c>
      <c r="AS52" s="32" t="n">
        <f aca="false">IF(AND(AS$3&gt;=Audit_Month,MOD(AS$3-Audit_Month,12)=0),Tech_Audit_USD*FX_USD,0)</f>
        <v>0</v>
      </c>
      <c r="AT52" s="32" t="n">
        <f aca="false">IF(AND(AT$3&gt;=Audit_Month,MOD(AT$3-Audit_Month,12)=0),Tech_Audit_USD*FX_USD,0)</f>
        <v>0</v>
      </c>
      <c r="AU52" s="32" t="n">
        <f aca="false">IF(AND(AU$3&gt;=Audit_Month,MOD(AU$3-Audit_Month,12)=0),Tech_Audit_USD*FX_USD,0)</f>
        <v>0</v>
      </c>
      <c r="AV52" s="32" t="n">
        <f aca="false">IF(AND(AV$3&gt;=Audit_Month,MOD(AV$3-Audit_Month,12)=0),Tech_Audit_USD*FX_USD,0)</f>
        <v>0</v>
      </c>
      <c r="AW52" s="32" t="n">
        <f aca="false">IF(AND(AW$3&gt;=Audit_Month,MOD(AW$3-Audit_Month,12)=0),Tech_Audit_USD*FX_USD,0)</f>
        <v>0</v>
      </c>
      <c r="AX52" s="32" t="n">
        <f aca="false">IF(AND(AX$3&gt;=Audit_Month,MOD(AX$3-Audit_Month,12)=0),Tech_Audit_USD*FX_USD,0)</f>
        <v>0</v>
      </c>
      <c r="AY52" s="32" t="n">
        <f aca="false">IF(AND(AY$3&gt;=Audit_Month,MOD(AY$3-Audit_Month,12)=0),Tech_Audit_USD*FX_USD,0)</f>
        <v>0</v>
      </c>
      <c r="AZ52" s="32" t="n">
        <f aca="false">IF(AND(AZ$3&gt;=Audit_Month,MOD(AZ$3-Audit_Month,12)=0),Tech_Audit_USD*FX_USD,0)</f>
        <v>0</v>
      </c>
      <c r="BA52" s="32" t="n">
        <f aca="false">IF(AND(BA$3&gt;=Audit_Month,MOD(BA$3-Audit_Month,12)=0),Tech_Audit_USD*FX_USD,0)</f>
        <v>0</v>
      </c>
      <c r="BB52" s="32" t="n">
        <f aca="false">IF(AND(BB$3&gt;=Audit_Month,MOD(BB$3-Audit_Month,12)=0),Tech_Audit_USD*FX_USD,0)</f>
        <v>0</v>
      </c>
      <c r="BC52" s="32" t="n">
        <f aca="false">IF(AND(BC$3&gt;=Audit_Month,MOD(BC$3-Audit_Month,12)=0),Tech_Audit_USD*FX_USD,0)</f>
        <v>0</v>
      </c>
      <c r="BD52" s="32" t="n">
        <f aca="false">IF(AND(BD$3&gt;=Audit_Month,MOD(BD$3-Audit_Month,12)=0),Tech_Audit_USD*FX_USD,0)</f>
        <v>5800000</v>
      </c>
      <c r="BE52" s="32" t="n">
        <f aca="false">IF(AND(BE$3&gt;=Audit_Month,MOD(BE$3-Audit_Month,12)=0),Tech_Audit_USD*FX_USD,0)</f>
        <v>0</v>
      </c>
      <c r="BF52" s="32" t="n">
        <f aca="false">IF(AND(BF$3&gt;=Audit_Month,MOD(BF$3-Audit_Month,12)=0),Tech_Audit_USD*FX_USD,0)</f>
        <v>0</v>
      </c>
      <c r="BG52" s="32" t="n">
        <f aca="false">IF(AND(BG$3&gt;=Audit_Month,MOD(BG$3-Audit_Month,12)=0),Tech_Audit_USD*FX_USD,0)</f>
        <v>0</v>
      </c>
      <c r="BH52" s="32" t="n">
        <f aca="false">IF(AND(BH$3&gt;=Audit_Month,MOD(BH$3-Audit_Month,12)=0),Tech_Audit_USD*FX_USD,0)</f>
        <v>0</v>
      </c>
      <c r="BI52" s="32" t="n">
        <f aca="false">IF(AND(BI$3&gt;=Audit_Month,MOD(BI$3-Audit_Month,12)=0),Tech_Audit_USD*FX_USD,0)</f>
        <v>0</v>
      </c>
      <c r="BJ52" s="32" t="n">
        <f aca="false">IF(AND(BJ$3&gt;=Audit_Month,MOD(BJ$3-Audit_Month,12)=0),Tech_Audit_USD*FX_USD,0)</f>
        <v>0</v>
      </c>
      <c r="BK52" s="32" t="n">
        <f aca="false">IF(AND(BK$3&gt;=Audit_Month,MOD(BK$3-Audit_Month,12)=0),Tech_Audit_USD*FX_USD,0)</f>
        <v>0</v>
      </c>
      <c r="BL52" s="32" t="n">
        <f aca="false">IF(AND(BL$3&gt;=Audit_Month,MOD(BL$3-Audit_Month,12)=0),Tech_Audit_USD*FX_USD,0)</f>
        <v>0</v>
      </c>
    </row>
    <row r="53" customFormat="false" ht="15" hidden="false" customHeight="false" outlineLevel="0" collapsed="false">
      <c r="A53" s="12" t="s">
        <v>1079</v>
      </c>
      <c r="B53" s="14" t="s">
        <v>77</v>
      </c>
      <c r="D53" s="55" t="n">
        <f aca="false">SUM(E53:BL53)</f>
        <v>29000000</v>
      </c>
      <c r="E53" s="32" t="n">
        <f aca="false">IF(E$3=Proc_Setup_Month,Proc_Setup_USD*FX_USD,0)</f>
        <v>0</v>
      </c>
      <c r="F53" s="32" t="n">
        <f aca="false">IF(F$3=Proc_Setup_Month,Proc_Setup_USD*FX_USD,0)</f>
        <v>0</v>
      </c>
      <c r="G53" s="32" t="n">
        <f aca="false">IF(G$3=Proc_Setup_Month,Proc_Setup_USD*FX_USD,0)</f>
        <v>29000000</v>
      </c>
      <c r="H53" s="32" t="n">
        <f aca="false">IF(H$3=Proc_Setup_Month,Proc_Setup_USD*FX_USD,0)</f>
        <v>0</v>
      </c>
      <c r="I53" s="32" t="n">
        <f aca="false">IF(I$3=Proc_Setup_Month,Proc_Setup_USD*FX_USD,0)</f>
        <v>0</v>
      </c>
      <c r="J53" s="32" t="n">
        <f aca="false">IF(J$3=Proc_Setup_Month,Proc_Setup_USD*FX_USD,0)</f>
        <v>0</v>
      </c>
      <c r="K53" s="32" t="n">
        <f aca="false">IF(K$3=Proc_Setup_Month,Proc_Setup_USD*FX_USD,0)</f>
        <v>0</v>
      </c>
      <c r="L53" s="32" t="n">
        <f aca="false">IF(L$3=Proc_Setup_Month,Proc_Setup_USD*FX_USD,0)</f>
        <v>0</v>
      </c>
      <c r="M53" s="32" t="n">
        <f aca="false">IF(M$3=Proc_Setup_Month,Proc_Setup_USD*FX_USD,0)</f>
        <v>0</v>
      </c>
      <c r="N53" s="32" t="n">
        <f aca="false">IF(N$3=Proc_Setup_Month,Proc_Setup_USD*FX_USD,0)</f>
        <v>0</v>
      </c>
      <c r="O53" s="32" t="n">
        <f aca="false">IF(O$3=Proc_Setup_Month,Proc_Setup_USD*FX_USD,0)</f>
        <v>0</v>
      </c>
      <c r="P53" s="32" t="n">
        <f aca="false">IF(P$3=Proc_Setup_Month,Proc_Setup_USD*FX_USD,0)</f>
        <v>0</v>
      </c>
      <c r="Q53" s="32" t="n">
        <f aca="false">IF(Q$3=Proc_Setup_Month,Proc_Setup_USD*FX_USD,0)</f>
        <v>0</v>
      </c>
      <c r="R53" s="32" t="n">
        <f aca="false">IF(R$3=Proc_Setup_Month,Proc_Setup_USD*FX_USD,0)</f>
        <v>0</v>
      </c>
      <c r="S53" s="32" t="n">
        <f aca="false">IF(S$3=Proc_Setup_Month,Proc_Setup_USD*FX_USD,0)</f>
        <v>0</v>
      </c>
      <c r="T53" s="32" t="n">
        <f aca="false">IF(T$3=Proc_Setup_Month,Proc_Setup_USD*FX_USD,0)</f>
        <v>0</v>
      </c>
      <c r="U53" s="32" t="n">
        <f aca="false">IF(U$3=Proc_Setup_Month,Proc_Setup_USD*FX_USD,0)</f>
        <v>0</v>
      </c>
      <c r="V53" s="32" t="n">
        <f aca="false">IF(V$3=Proc_Setup_Month,Proc_Setup_USD*FX_USD,0)</f>
        <v>0</v>
      </c>
      <c r="W53" s="32" t="n">
        <f aca="false">IF(W$3=Proc_Setup_Month,Proc_Setup_USD*FX_USD,0)</f>
        <v>0</v>
      </c>
      <c r="X53" s="32" t="n">
        <f aca="false">IF(X$3=Proc_Setup_Month,Proc_Setup_USD*FX_USD,0)</f>
        <v>0</v>
      </c>
      <c r="Y53" s="32" t="n">
        <f aca="false">IF(Y$3=Proc_Setup_Month,Proc_Setup_USD*FX_USD,0)</f>
        <v>0</v>
      </c>
      <c r="Z53" s="32" t="n">
        <f aca="false">IF(Z$3=Proc_Setup_Month,Proc_Setup_USD*FX_USD,0)</f>
        <v>0</v>
      </c>
      <c r="AA53" s="32" t="n">
        <f aca="false">IF(AA$3=Proc_Setup_Month,Proc_Setup_USD*FX_USD,0)</f>
        <v>0</v>
      </c>
      <c r="AB53" s="32" t="n">
        <f aca="false">IF(AB$3=Proc_Setup_Month,Proc_Setup_USD*FX_USD,0)</f>
        <v>0</v>
      </c>
      <c r="AC53" s="32" t="n">
        <f aca="false">IF(AC$3=Proc_Setup_Month,Proc_Setup_USD*FX_USD,0)</f>
        <v>0</v>
      </c>
      <c r="AD53" s="32" t="n">
        <f aca="false">IF(AD$3=Proc_Setup_Month,Proc_Setup_USD*FX_USD,0)</f>
        <v>0</v>
      </c>
      <c r="AE53" s="32" t="n">
        <f aca="false">IF(AE$3=Proc_Setup_Month,Proc_Setup_USD*FX_USD,0)</f>
        <v>0</v>
      </c>
      <c r="AF53" s="32" t="n">
        <f aca="false">IF(AF$3=Proc_Setup_Month,Proc_Setup_USD*FX_USD,0)</f>
        <v>0</v>
      </c>
      <c r="AG53" s="32" t="n">
        <f aca="false">IF(AG$3=Proc_Setup_Month,Proc_Setup_USD*FX_USD,0)</f>
        <v>0</v>
      </c>
      <c r="AH53" s="32" t="n">
        <f aca="false">IF(AH$3=Proc_Setup_Month,Proc_Setup_USD*FX_USD,0)</f>
        <v>0</v>
      </c>
      <c r="AI53" s="32" t="n">
        <f aca="false">IF(AI$3=Proc_Setup_Month,Proc_Setup_USD*FX_USD,0)</f>
        <v>0</v>
      </c>
      <c r="AJ53" s="32" t="n">
        <f aca="false">IF(AJ$3=Proc_Setup_Month,Proc_Setup_USD*FX_USD,0)</f>
        <v>0</v>
      </c>
      <c r="AK53" s="32" t="n">
        <f aca="false">IF(AK$3=Proc_Setup_Month,Proc_Setup_USD*FX_USD,0)</f>
        <v>0</v>
      </c>
      <c r="AL53" s="32" t="n">
        <f aca="false">IF(AL$3=Proc_Setup_Month,Proc_Setup_USD*FX_USD,0)</f>
        <v>0</v>
      </c>
      <c r="AM53" s="32" t="n">
        <f aca="false">IF(AM$3=Proc_Setup_Month,Proc_Setup_USD*FX_USD,0)</f>
        <v>0</v>
      </c>
      <c r="AN53" s="32" t="n">
        <f aca="false">IF(AN$3=Proc_Setup_Month,Proc_Setup_USD*FX_USD,0)</f>
        <v>0</v>
      </c>
      <c r="AO53" s="32" t="n">
        <f aca="false">IF(AO$3=Proc_Setup_Month,Proc_Setup_USD*FX_USD,0)</f>
        <v>0</v>
      </c>
      <c r="AP53" s="32" t="n">
        <f aca="false">IF(AP$3=Proc_Setup_Month,Proc_Setup_USD*FX_USD,0)</f>
        <v>0</v>
      </c>
      <c r="AQ53" s="32" t="n">
        <f aca="false">IF(AQ$3=Proc_Setup_Month,Proc_Setup_USD*FX_USD,0)</f>
        <v>0</v>
      </c>
      <c r="AR53" s="32" t="n">
        <f aca="false">IF(AR$3=Proc_Setup_Month,Proc_Setup_USD*FX_USD,0)</f>
        <v>0</v>
      </c>
      <c r="AS53" s="32" t="n">
        <f aca="false">IF(AS$3=Proc_Setup_Month,Proc_Setup_USD*FX_USD,0)</f>
        <v>0</v>
      </c>
      <c r="AT53" s="32" t="n">
        <f aca="false">IF(AT$3=Proc_Setup_Month,Proc_Setup_USD*FX_USD,0)</f>
        <v>0</v>
      </c>
      <c r="AU53" s="32" t="n">
        <f aca="false">IF(AU$3=Proc_Setup_Month,Proc_Setup_USD*FX_USD,0)</f>
        <v>0</v>
      </c>
      <c r="AV53" s="32" t="n">
        <f aca="false">IF(AV$3=Proc_Setup_Month,Proc_Setup_USD*FX_USD,0)</f>
        <v>0</v>
      </c>
      <c r="AW53" s="32" t="n">
        <f aca="false">IF(AW$3=Proc_Setup_Month,Proc_Setup_USD*FX_USD,0)</f>
        <v>0</v>
      </c>
      <c r="AX53" s="32" t="n">
        <f aca="false">IF(AX$3=Proc_Setup_Month,Proc_Setup_USD*FX_USD,0)</f>
        <v>0</v>
      </c>
      <c r="AY53" s="32" t="n">
        <f aca="false">IF(AY$3=Proc_Setup_Month,Proc_Setup_USD*FX_USD,0)</f>
        <v>0</v>
      </c>
      <c r="AZ53" s="32" t="n">
        <f aca="false">IF(AZ$3=Proc_Setup_Month,Proc_Setup_USD*FX_USD,0)</f>
        <v>0</v>
      </c>
      <c r="BA53" s="32" t="n">
        <f aca="false">IF(BA$3=Proc_Setup_Month,Proc_Setup_USD*FX_USD,0)</f>
        <v>0</v>
      </c>
      <c r="BB53" s="32" t="n">
        <f aca="false">IF(BB$3=Proc_Setup_Month,Proc_Setup_USD*FX_USD,0)</f>
        <v>0</v>
      </c>
      <c r="BC53" s="32" t="n">
        <f aca="false">IF(BC$3=Proc_Setup_Month,Proc_Setup_USD*FX_USD,0)</f>
        <v>0</v>
      </c>
      <c r="BD53" s="32" t="n">
        <f aca="false">IF(BD$3=Proc_Setup_Month,Proc_Setup_USD*FX_USD,0)</f>
        <v>0</v>
      </c>
      <c r="BE53" s="32" t="n">
        <f aca="false">IF(BE$3=Proc_Setup_Month,Proc_Setup_USD*FX_USD,0)</f>
        <v>0</v>
      </c>
      <c r="BF53" s="32" t="n">
        <f aca="false">IF(BF$3=Proc_Setup_Month,Proc_Setup_USD*FX_USD,0)</f>
        <v>0</v>
      </c>
      <c r="BG53" s="32" t="n">
        <f aca="false">IF(BG$3=Proc_Setup_Month,Proc_Setup_USD*FX_USD,0)</f>
        <v>0</v>
      </c>
      <c r="BH53" s="32" t="n">
        <f aca="false">IF(BH$3=Proc_Setup_Month,Proc_Setup_USD*FX_USD,0)</f>
        <v>0</v>
      </c>
      <c r="BI53" s="32" t="n">
        <f aca="false">IF(BI$3=Proc_Setup_Month,Proc_Setup_USD*FX_USD,0)</f>
        <v>0</v>
      </c>
      <c r="BJ53" s="32" t="n">
        <f aca="false">IF(BJ$3=Proc_Setup_Month,Proc_Setup_USD*FX_USD,0)</f>
        <v>0</v>
      </c>
      <c r="BK53" s="32" t="n">
        <f aca="false">IF(BK$3=Proc_Setup_Month,Proc_Setup_USD*FX_USD,0)</f>
        <v>0</v>
      </c>
      <c r="BL53" s="32" t="n">
        <f aca="false">IF(BL$3=Proc_Setup_Month,Proc_Setup_USD*FX_USD,0)</f>
        <v>0</v>
      </c>
    </row>
    <row r="54" customFormat="false" ht="15" hidden="false" customHeight="false" outlineLevel="0" collapsed="false">
      <c r="A54" s="12" t="s">
        <v>1080</v>
      </c>
      <c r="B54" s="14" t="s">
        <v>77</v>
      </c>
      <c r="D54" s="55" t="n">
        <f aca="false">SUM(E54:BL54)</f>
        <v>16817948.0770531</v>
      </c>
      <c r="E54" s="32" t="n">
        <f aca="false">IF(E$3&gt;=Proc_Min_Start,MAX(0,INDEX(Proc_Min_USD,1,E$5)*FX_USD-E11),0)</f>
        <v>0</v>
      </c>
      <c r="F54" s="32" t="n">
        <f aca="false">IF(F$3&gt;=Proc_Min_Start,MAX(0,INDEX(Proc_Min_USD,1,F$5)*FX_USD-F11),0)</f>
        <v>0</v>
      </c>
      <c r="G54" s="32" t="n">
        <f aca="false">IF(G$3&gt;=Proc_Min_Start,MAX(0,INDEX(Proc_Min_USD,1,G$5)*FX_USD-G11),0)</f>
        <v>0</v>
      </c>
      <c r="H54" s="32" t="n">
        <f aca="false">IF(H$3&gt;=Proc_Min_Start,MAX(0,INDEX(Proc_Min_USD,1,H$5)*FX_USD-H11),0)</f>
        <v>0</v>
      </c>
      <c r="I54" s="32" t="n">
        <f aca="false">IF(I$3&gt;=Proc_Min_Start,MAX(0,INDEX(Proc_Min_USD,1,I$5)*FX_USD-I11),0)</f>
        <v>2677400</v>
      </c>
      <c r="J54" s="32" t="n">
        <f aca="false">IF(J$3&gt;=Proc_Min_Start,MAX(0,INDEX(Proc_Min_USD,1,J$5)*FX_USD-J11),0)</f>
        <v>2455496.7</v>
      </c>
      <c r="K54" s="32" t="n">
        <f aca="false">IF(K$3&gt;=Proc_Min_Start,MAX(0,INDEX(Proc_Min_USD,1,K$5)*FX_USD-K11),0)</f>
        <v>2234146.38975</v>
      </c>
      <c r="L54" s="32" t="n">
        <f aca="false">IF(L$3&gt;=Proc_Min_Start,MAX(0,INDEX(Proc_Min_USD,1,L$5)*FX_USD-L11),0)</f>
        <v>2013199.52038938</v>
      </c>
      <c r="M54" s="32" t="n">
        <f aca="false">IF(M$3&gt;=Proc_Min_Start,MAX(0,INDEX(Proc_Min_USD,1,M$5)*FX_USD-M11),0)</f>
        <v>1792500.30801792</v>
      </c>
      <c r="N54" s="32" t="n">
        <f aca="false">IF(N$3&gt;=Proc_Min_Start,MAX(0,INDEX(Proc_Min_USD,1,N$5)*FX_USD-N11),0)</f>
        <v>1571886.3142989</v>
      </c>
      <c r="O54" s="32" t="n">
        <f aca="false">IF(O$3&gt;=Proc_Min_Start,MAX(0,INDEX(Proc_Min_USD,1,O$5)*FX_USD-O11),0)</f>
        <v>1351188.00270082</v>
      </c>
      <c r="P54" s="32" t="n">
        <f aca="false">IF(P$3&gt;=Proc_Min_Start,MAX(0,INDEX(Proc_Min_USD,1,P$5)*FX_USD-P11),0)</f>
        <v>1130228.26890141</v>
      </c>
      <c r="Q54" s="32" t="n">
        <f aca="false">IF(Q$3&gt;=Proc_Min_Start,MAX(0,INDEX(Proc_Min_USD,1,Q$5)*FX_USD-Q11),0)</f>
        <v>830221.943788954</v>
      </c>
      <c r="R54" s="32" t="n">
        <f aca="false">IF(R$3&gt;=Proc_Min_Start,MAX(0,INDEX(Proc_Min_USD,1,R$5)*FX_USD-R11),0)</f>
        <v>530583.967402508</v>
      </c>
      <c r="S54" s="32" t="n">
        <f aca="false">IF(S$3&gt;=Proc_Min_Start,MAX(0,INDEX(Proc_Min_USD,1,S$5)*FX_USD-S11),0)</f>
        <v>231096.661803242</v>
      </c>
      <c r="T54" s="32" t="n">
        <f aca="false">IF(T$3&gt;=Proc_Min_Start,MAX(0,INDEX(Proc_Min_USD,1,T$5)*FX_USD-T11),0)</f>
        <v>0</v>
      </c>
      <c r="U54" s="32" t="n">
        <f aca="false">IF(U$3&gt;=Proc_Min_Start,MAX(0,INDEX(Proc_Min_USD,1,U$5)*FX_USD-U11),0)</f>
        <v>0</v>
      </c>
      <c r="V54" s="32" t="n">
        <f aca="false">IF(V$3&gt;=Proc_Min_Start,MAX(0,INDEX(Proc_Min_USD,1,V$5)*FX_USD-V11),0)</f>
        <v>0</v>
      </c>
      <c r="W54" s="32" t="n">
        <f aca="false">IF(W$3&gt;=Proc_Min_Start,MAX(0,INDEX(Proc_Min_USD,1,W$5)*FX_USD-W11),0)</f>
        <v>0</v>
      </c>
      <c r="X54" s="32" t="n">
        <f aca="false">IF(X$3&gt;=Proc_Min_Start,MAX(0,INDEX(Proc_Min_USD,1,X$5)*FX_USD-X11),0)</f>
        <v>0</v>
      </c>
      <c r="Y54" s="32" t="n">
        <f aca="false">IF(Y$3&gt;=Proc_Min_Start,MAX(0,INDEX(Proc_Min_USD,1,Y$5)*FX_USD-Y11),0)</f>
        <v>0</v>
      </c>
      <c r="Z54" s="32" t="n">
        <f aca="false">IF(Z$3&gt;=Proc_Min_Start,MAX(0,INDEX(Proc_Min_USD,1,Z$5)*FX_USD-Z11),0)</f>
        <v>0</v>
      </c>
      <c r="AA54" s="32" t="n">
        <f aca="false">IF(AA$3&gt;=Proc_Min_Start,MAX(0,INDEX(Proc_Min_USD,1,AA$5)*FX_USD-AA11),0)</f>
        <v>0</v>
      </c>
      <c r="AB54" s="32" t="n">
        <f aca="false">IF(AB$3&gt;=Proc_Min_Start,MAX(0,INDEX(Proc_Min_USD,1,AB$5)*FX_USD-AB11),0)</f>
        <v>0</v>
      </c>
      <c r="AC54" s="32" t="n">
        <f aca="false">IF(AC$3&gt;=Proc_Min_Start,MAX(0,INDEX(Proc_Min_USD,1,AC$5)*FX_USD-AC11),0)</f>
        <v>0</v>
      </c>
      <c r="AD54" s="32" t="n">
        <f aca="false">IF(AD$3&gt;=Proc_Min_Start,MAX(0,INDEX(Proc_Min_USD,1,AD$5)*FX_USD-AD11),0)</f>
        <v>0</v>
      </c>
      <c r="AE54" s="32" t="n">
        <f aca="false">IF(AE$3&gt;=Proc_Min_Start,MAX(0,INDEX(Proc_Min_USD,1,AE$5)*FX_USD-AE11),0)</f>
        <v>0</v>
      </c>
      <c r="AF54" s="32" t="n">
        <f aca="false">IF(AF$3&gt;=Proc_Min_Start,MAX(0,INDEX(Proc_Min_USD,1,AF$5)*FX_USD-AF11),0)</f>
        <v>0</v>
      </c>
      <c r="AG54" s="32" t="n">
        <f aca="false">IF(AG$3&gt;=Proc_Min_Start,MAX(0,INDEX(Proc_Min_USD,1,AG$5)*FX_USD-AG11),0)</f>
        <v>0</v>
      </c>
      <c r="AH54" s="32" t="n">
        <f aca="false">IF(AH$3&gt;=Proc_Min_Start,MAX(0,INDEX(Proc_Min_USD,1,AH$5)*FX_USD-AH11),0)</f>
        <v>0</v>
      </c>
      <c r="AI54" s="32" t="n">
        <f aca="false">IF(AI$3&gt;=Proc_Min_Start,MAX(0,INDEX(Proc_Min_USD,1,AI$5)*FX_USD-AI11),0)</f>
        <v>0</v>
      </c>
      <c r="AJ54" s="32" t="n">
        <f aca="false">IF(AJ$3&gt;=Proc_Min_Start,MAX(0,INDEX(Proc_Min_USD,1,AJ$5)*FX_USD-AJ11),0)</f>
        <v>0</v>
      </c>
      <c r="AK54" s="32" t="n">
        <f aca="false">IF(AK$3&gt;=Proc_Min_Start,MAX(0,INDEX(Proc_Min_USD,1,AK$5)*FX_USD-AK11),0)</f>
        <v>0</v>
      </c>
      <c r="AL54" s="32" t="n">
        <f aca="false">IF(AL$3&gt;=Proc_Min_Start,MAX(0,INDEX(Proc_Min_USD,1,AL$5)*FX_USD-AL11),0)</f>
        <v>0</v>
      </c>
      <c r="AM54" s="32" t="n">
        <f aca="false">IF(AM$3&gt;=Proc_Min_Start,MAX(0,INDEX(Proc_Min_USD,1,AM$5)*FX_USD-AM11),0)</f>
        <v>0</v>
      </c>
      <c r="AN54" s="32" t="n">
        <f aca="false">IF(AN$3&gt;=Proc_Min_Start,MAX(0,INDEX(Proc_Min_USD,1,AN$5)*FX_USD-AN11),0)</f>
        <v>0</v>
      </c>
      <c r="AO54" s="32" t="n">
        <f aca="false">IF(AO$3&gt;=Proc_Min_Start,MAX(0,INDEX(Proc_Min_USD,1,AO$5)*FX_USD-AO11),0)</f>
        <v>0</v>
      </c>
      <c r="AP54" s="32" t="n">
        <f aca="false">IF(AP$3&gt;=Proc_Min_Start,MAX(0,INDEX(Proc_Min_USD,1,AP$5)*FX_USD-AP11),0)</f>
        <v>0</v>
      </c>
      <c r="AQ54" s="32" t="n">
        <f aca="false">IF(AQ$3&gt;=Proc_Min_Start,MAX(0,INDEX(Proc_Min_USD,1,AQ$5)*FX_USD-AQ11),0)</f>
        <v>0</v>
      </c>
      <c r="AR54" s="32" t="n">
        <f aca="false">IF(AR$3&gt;=Proc_Min_Start,MAX(0,INDEX(Proc_Min_USD,1,AR$5)*FX_USD-AR11),0)</f>
        <v>0</v>
      </c>
      <c r="AS54" s="32" t="n">
        <f aca="false">IF(AS$3&gt;=Proc_Min_Start,MAX(0,INDEX(Proc_Min_USD,1,AS$5)*FX_USD-AS11),0)</f>
        <v>0</v>
      </c>
      <c r="AT54" s="32" t="n">
        <f aca="false">IF(AT$3&gt;=Proc_Min_Start,MAX(0,INDEX(Proc_Min_USD,1,AT$5)*FX_USD-AT11),0)</f>
        <v>0</v>
      </c>
      <c r="AU54" s="32" t="n">
        <f aca="false">IF(AU$3&gt;=Proc_Min_Start,MAX(0,INDEX(Proc_Min_USD,1,AU$5)*FX_USD-AU11),0)</f>
        <v>0</v>
      </c>
      <c r="AV54" s="32" t="n">
        <f aca="false">IF(AV$3&gt;=Proc_Min_Start,MAX(0,INDEX(Proc_Min_USD,1,AV$5)*FX_USD-AV11),0)</f>
        <v>0</v>
      </c>
      <c r="AW54" s="32" t="n">
        <f aca="false">IF(AW$3&gt;=Proc_Min_Start,MAX(0,INDEX(Proc_Min_USD,1,AW$5)*FX_USD-AW11),0)</f>
        <v>0</v>
      </c>
      <c r="AX54" s="32" t="n">
        <f aca="false">IF(AX$3&gt;=Proc_Min_Start,MAX(0,INDEX(Proc_Min_USD,1,AX$5)*FX_USD-AX11),0)</f>
        <v>0</v>
      </c>
      <c r="AY54" s="32" t="n">
        <f aca="false">IF(AY$3&gt;=Proc_Min_Start,MAX(0,INDEX(Proc_Min_USD,1,AY$5)*FX_USD-AY11),0)</f>
        <v>0</v>
      </c>
      <c r="AZ54" s="32" t="n">
        <f aca="false">IF(AZ$3&gt;=Proc_Min_Start,MAX(0,INDEX(Proc_Min_USD,1,AZ$5)*FX_USD-AZ11),0)</f>
        <v>0</v>
      </c>
      <c r="BA54" s="32" t="n">
        <f aca="false">IF(BA$3&gt;=Proc_Min_Start,MAX(0,INDEX(Proc_Min_USD,1,BA$5)*FX_USD-BA11),0)</f>
        <v>0</v>
      </c>
      <c r="BB54" s="32" t="n">
        <f aca="false">IF(BB$3&gt;=Proc_Min_Start,MAX(0,INDEX(Proc_Min_USD,1,BB$5)*FX_USD-BB11),0)</f>
        <v>0</v>
      </c>
      <c r="BC54" s="32" t="n">
        <f aca="false">IF(BC$3&gt;=Proc_Min_Start,MAX(0,INDEX(Proc_Min_USD,1,BC$5)*FX_USD-BC11),0)</f>
        <v>0</v>
      </c>
      <c r="BD54" s="32" t="n">
        <f aca="false">IF(BD$3&gt;=Proc_Min_Start,MAX(0,INDEX(Proc_Min_USD,1,BD$5)*FX_USD-BD11),0)</f>
        <v>0</v>
      </c>
      <c r="BE54" s="32" t="n">
        <f aca="false">IF(BE$3&gt;=Proc_Min_Start,MAX(0,INDEX(Proc_Min_USD,1,BE$5)*FX_USD-BE11),0)</f>
        <v>0</v>
      </c>
      <c r="BF54" s="32" t="n">
        <f aca="false">IF(BF$3&gt;=Proc_Min_Start,MAX(0,INDEX(Proc_Min_USD,1,BF$5)*FX_USD-BF11),0)</f>
        <v>0</v>
      </c>
      <c r="BG54" s="32" t="n">
        <f aca="false">IF(BG$3&gt;=Proc_Min_Start,MAX(0,INDEX(Proc_Min_USD,1,BG$5)*FX_USD-BG11),0)</f>
        <v>0</v>
      </c>
      <c r="BH54" s="32" t="n">
        <f aca="false">IF(BH$3&gt;=Proc_Min_Start,MAX(0,INDEX(Proc_Min_USD,1,BH$5)*FX_USD-BH11),0)</f>
        <v>0</v>
      </c>
      <c r="BI54" s="32" t="n">
        <f aca="false">IF(BI$3&gt;=Proc_Min_Start,MAX(0,INDEX(Proc_Min_USD,1,BI$5)*FX_USD-BI11),0)</f>
        <v>0</v>
      </c>
      <c r="BJ54" s="32" t="n">
        <f aca="false">IF(BJ$3&gt;=Proc_Min_Start,MAX(0,INDEX(Proc_Min_USD,1,BJ$5)*FX_USD-BJ11),0)</f>
        <v>0</v>
      </c>
      <c r="BK54" s="32" t="n">
        <f aca="false">IF(BK$3&gt;=Proc_Min_Start,MAX(0,INDEX(Proc_Min_USD,1,BK$5)*FX_USD-BK11),0)</f>
        <v>0</v>
      </c>
      <c r="BL54" s="32" t="n">
        <f aca="false">IF(BL$3&gt;=Proc_Min_Start,MAX(0,INDEX(Proc_Min_USD,1,BL$5)*FX_USD-BL11),0)</f>
        <v>0</v>
      </c>
    </row>
    <row r="55" customFormat="false" ht="15" hidden="false" customHeight="false" outlineLevel="0" collapsed="false">
      <c r="A55" s="8" t="s">
        <v>1081</v>
      </c>
      <c r="B55" s="14" t="s">
        <v>77</v>
      </c>
      <c r="D55" s="55" t="n">
        <f aca="false">SUM(E55:BL55)</f>
        <v>715120318.077053</v>
      </c>
      <c r="E55" s="16" t="n">
        <f aca="false">SUM(E44:E54)</f>
        <v>5059915.83333333</v>
      </c>
      <c r="F55" s="16" t="n">
        <f aca="false">SUM(F44:F54)</f>
        <v>6799915.83333333</v>
      </c>
      <c r="G55" s="16" t="n">
        <f aca="false">SUM(G44:G54)</f>
        <v>35799915.8333333</v>
      </c>
      <c r="H55" s="16" t="n">
        <f aca="false">SUM(H44:H54)</f>
        <v>12739115.8333333</v>
      </c>
      <c r="I55" s="16" t="n">
        <f aca="false">SUM(I44:I54)</f>
        <v>9539955.83333333</v>
      </c>
      <c r="J55" s="16" t="n">
        <f aca="false">SUM(J44:J54)</f>
        <v>9318052.53333334</v>
      </c>
      <c r="K55" s="16" t="n">
        <f aca="false">SUM(K44:K54)</f>
        <v>9096702.22308333</v>
      </c>
      <c r="L55" s="16" t="n">
        <f aca="false">SUM(L44:L54)</f>
        <v>8875755.35372271</v>
      </c>
      <c r="M55" s="16" t="n">
        <f aca="false">SUM(M44:M54)</f>
        <v>8655056.14135126</v>
      </c>
      <c r="N55" s="16" t="n">
        <f aca="false">SUM(N44:N54)</f>
        <v>8434442.14763224</v>
      </c>
      <c r="O55" s="16" t="n">
        <f aca="false">SUM(O44:O54)</f>
        <v>8213743.83603416</v>
      </c>
      <c r="P55" s="16" t="n">
        <f aca="false">SUM(P44:P54)</f>
        <v>7992784.10223474</v>
      </c>
      <c r="Q55" s="16" t="n">
        <f aca="false">SUM(Q44:Q54)</f>
        <v>9553217.77712229</v>
      </c>
      <c r="R55" s="16" t="n">
        <f aca="false">SUM(R44:R54)</f>
        <v>9253579.80073584</v>
      </c>
      <c r="S55" s="16" t="n">
        <f aca="false">SUM(S44:S54)</f>
        <v>8954092.49513658</v>
      </c>
      <c r="T55" s="16" t="n">
        <f aca="false">SUM(T44:T54)</f>
        <v>14533435.8333333</v>
      </c>
      <c r="U55" s="16" t="n">
        <f aca="false">SUM(U44:U54)</f>
        <v>8733435.83333333</v>
      </c>
      <c r="V55" s="16" t="n">
        <f aca="false">SUM(V44:V54)</f>
        <v>8764755.83333333</v>
      </c>
      <c r="W55" s="16" t="n">
        <f aca="false">SUM(W44:W54)</f>
        <v>8764755.83333333</v>
      </c>
      <c r="X55" s="16" t="n">
        <f aca="false">SUM(X44:X54)</f>
        <v>8775195.83333333</v>
      </c>
      <c r="Y55" s="16" t="n">
        <f aca="false">SUM(Y44:Y54)</f>
        <v>8785635.83333333</v>
      </c>
      <c r="Z55" s="16" t="n">
        <f aca="false">SUM(Z44:Z54)</f>
        <v>8785635.83333333</v>
      </c>
      <c r="AA55" s="16" t="n">
        <f aca="false">SUM(AA44:AA54)</f>
        <v>8785635.83333333</v>
      </c>
      <c r="AB55" s="16" t="n">
        <f aca="false">SUM(AB44:AB54)</f>
        <v>8796075.83333333</v>
      </c>
      <c r="AC55" s="16" t="n">
        <f aca="false">SUM(AC44:AC54)</f>
        <v>10704849.1666667</v>
      </c>
      <c r="AD55" s="16" t="n">
        <f aca="false">SUM(AD44:AD54)</f>
        <v>10715289.1666667</v>
      </c>
      <c r="AE55" s="16" t="n">
        <f aca="false">SUM(AE44:AE54)</f>
        <v>10715289.1666667</v>
      </c>
      <c r="AF55" s="16" t="n">
        <f aca="false">SUM(AF44:AF54)</f>
        <v>16550669.1666667</v>
      </c>
      <c r="AG55" s="16" t="n">
        <f aca="false">SUM(AG44:AG54)</f>
        <v>10781989.1666667</v>
      </c>
      <c r="AH55" s="16" t="n">
        <f aca="false">SUM(AH44:AH54)</f>
        <v>10792429.1666667</v>
      </c>
      <c r="AI55" s="16" t="n">
        <f aca="false">SUM(AI44:AI54)</f>
        <v>10802869.1666667</v>
      </c>
      <c r="AJ55" s="16" t="n">
        <f aca="false">SUM(AJ44:AJ54)</f>
        <v>10802869.1666667</v>
      </c>
      <c r="AK55" s="16" t="n">
        <f aca="false">SUM(AK44:AK54)</f>
        <v>10813309.1666667</v>
      </c>
      <c r="AL55" s="16" t="n">
        <f aca="false">SUM(AL44:AL54)</f>
        <v>10834189.1666667</v>
      </c>
      <c r="AM55" s="16" t="n">
        <f aca="false">SUM(AM44:AM54)</f>
        <v>10844629.1666667</v>
      </c>
      <c r="AN55" s="16" t="n">
        <f aca="false">SUM(AN44:AN54)</f>
        <v>10855069.1666667</v>
      </c>
      <c r="AO55" s="16" t="n">
        <f aca="false">SUM(AO44:AO54)</f>
        <v>12519282.5</v>
      </c>
      <c r="AP55" s="16" t="n">
        <f aca="false">SUM(AP44:AP54)</f>
        <v>12519282.5</v>
      </c>
      <c r="AQ55" s="16" t="n">
        <f aca="false">SUM(AQ44:AQ54)</f>
        <v>12540162.5</v>
      </c>
      <c r="AR55" s="16" t="n">
        <f aca="false">SUM(AR44:AR54)</f>
        <v>18385982.5</v>
      </c>
      <c r="AS55" s="16" t="n">
        <f aca="false">SUM(AS44:AS54)</f>
        <v>12585982.5</v>
      </c>
      <c r="AT55" s="16" t="n">
        <f aca="false">SUM(AT44:AT54)</f>
        <v>12596422.5</v>
      </c>
      <c r="AU55" s="16" t="n">
        <f aca="false">SUM(AU44:AU54)</f>
        <v>12627742.5</v>
      </c>
      <c r="AV55" s="16" t="n">
        <f aca="false">SUM(AV44:AV54)</f>
        <v>12627742.5</v>
      </c>
      <c r="AW55" s="16" t="n">
        <f aca="false">SUM(AW44:AW54)</f>
        <v>12659062.5</v>
      </c>
      <c r="AX55" s="16" t="n">
        <f aca="false">SUM(AX44:AX54)</f>
        <v>12669502.5</v>
      </c>
      <c r="AY55" s="16" t="n">
        <f aca="false">SUM(AY44:AY54)</f>
        <v>12679942.5</v>
      </c>
      <c r="AZ55" s="16" t="n">
        <f aca="false">SUM(AZ44:AZ54)</f>
        <v>12700822.5</v>
      </c>
      <c r="BA55" s="16" t="n">
        <f aca="false">SUM(BA44:BA54)</f>
        <v>14379535.8333333</v>
      </c>
      <c r="BB55" s="16" t="n">
        <f aca="false">SUM(BB44:BB54)</f>
        <v>14410855.8333333</v>
      </c>
      <c r="BC55" s="16" t="n">
        <f aca="false">SUM(BC44:BC54)</f>
        <v>14421295.8333333</v>
      </c>
      <c r="BD55" s="16" t="n">
        <f aca="false">SUM(BD44:BD54)</f>
        <v>20242175.8333333</v>
      </c>
      <c r="BE55" s="16" t="n">
        <f aca="false">SUM(BE44:BE54)</f>
        <v>14452615.8333333</v>
      </c>
      <c r="BF55" s="16" t="n">
        <f aca="false">SUM(BF44:BF54)</f>
        <v>14473495.8333333</v>
      </c>
      <c r="BG55" s="16" t="n">
        <f aca="false">SUM(BG44:BG54)</f>
        <v>14494375.8333333</v>
      </c>
      <c r="BH55" s="16" t="n">
        <f aca="false">SUM(BH44:BH54)</f>
        <v>14540195.8333333</v>
      </c>
      <c r="BI55" s="16" t="n">
        <f aca="false">SUM(BI44:BI54)</f>
        <v>14561075.8333333</v>
      </c>
      <c r="BJ55" s="16" t="n">
        <f aca="false">SUM(BJ44:BJ54)</f>
        <v>14581955.8333333</v>
      </c>
      <c r="BK55" s="16" t="n">
        <f aca="false">SUM(BK44:BK54)</f>
        <v>14602835.8333333</v>
      </c>
      <c r="BL55" s="16" t="n">
        <f aca="false">SUM(BL44:BL54)</f>
        <v>14623715.8333333</v>
      </c>
    </row>
    <row r="57" customFormat="false" ht="15" hidden="false" customHeight="false" outlineLevel="0" collapsed="false">
      <c r="A57" s="10" t="s">
        <v>686</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1082</v>
      </c>
      <c r="B58" s="14" t="s">
        <v>77</v>
      </c>
      <c r="D58" s="55" t="n">
        <f aca="false">SUM(E58:BL58)</f>
        <v>15000000</v>
      </c>
      <c r="E58" s="32" t="n">
        <f aca="false">IF(E$3=Bank_Setup_Month,Bank_Setup_SN,0)</f>
        <v>0</v>
      </c>
      <c r="F58" s="32" t="n">
        <f aca="false">IF(F$3=Bank_Setup_Month,Bank_Setup_SN,0)</f>
        <v>15000000</v>
      </c>
      <c r="G58" s="32" t="n">
        <f aca="false">IF(G$3=Bank_Setup_Month,Bank_Setup_SN,0)</f>
        <v>0</v>
      </c>
      <c r="H58" s="32" t="n">
        <f aca="false">IF(H$3=Bank_Setup_Month,Bank_Setup_SN,0)</f>
        <v>0</v>
      </c>
      <c r="I58" s="32" t="n">
        <f aca="false">IF(I$3=Bank_Setup_Month,Bank_Setup_SN,0)</f>
        <v>0</v>
      </c>
      <c r="J58" s="32" t="n">
        <f aca="false">IF(J$3=Bank_Setup_Month,Bank_Setup_SN,0)</f>
        <v>0</v>
      </c>
      <c r="K58" s="32" t="n">
        <f aca="false">IF(K$3=Bank_Setup_Month,Bank_Setup_SN,0)</f>
        <v>0</v>
      </c>
      <c r="L58" s="32" t="n">
        <f aca="false">IF(L$3=Bank_Setup_Month,Bank_Setup_SN,0)</f>
        <v>0</v>
      </c>
      <c r="M58" s="32" t="n">
        <f aca="false">IF(M$3=Bank_Setup_Month,Bank_Setup_SN,0)</f>
        <v>0</v>
      </c>
      <c r="N58" s="32" t="n">
        <f aca="false">IF(N$3=Bank_Setup_Month,Bank_Setup_SN,0)</f>
        <v>0</v>
      </c>
      <c r="O58" s="32" t="n">
        <f aca="false">IF(O$3=Bank_Setup_Month,Bank_Setup_SN,0)</f>
        <v>0</v>
      </c>
      <c r="P58" s="32" t="n">
        <f aca="false">IF(P$3=Bank_Setup_Month,Bank_Setup_SN,0)</f>
        <v>0</v>
      </c>
      <c r="Q58" s="32" t="n">
        <f aca="false">IF(Q$3=Bank_Setup_Month,Bank_Setup_SN,0)</f>
        <v>0</v>
      </c>
      <c r="R58" s="32" t="n">
        <f aca="false">IF(R$3=Bank_Setup_Month,Bank_Setup_SN,0)</f>
        <v>0</v>
      </c>
      <c r="S58" s="32" t="n">
        <f aca="false">IF(S$3=Bank_Setup_Month,Bank_Setup_SN,0)</f>
        <v>0</v>
      </c>
      <c r="T58" s="32" t="n">
        <f aca="false">IF(T$3=Bank_Setup_Month,Bank_Setup_SN,0)</f>
        <v>0</v>
      </c>
      <c r="U58" s="32" t="n">
        <f aca="false">IF(U$3=Bank_Setup_Month,Bank_Setup_SN,0)</f>
        <v>0</v>
      </c>
      <c r="V58" s="32" t="n">
        <f aca="false">IF(V$3=Bank_Setup_Month,Bank_Setup_SN,0)</f>
        <v>0</v>
      </c>
      <c r="W58" s="32" t="n">
        <f aca="false">IF(W$3=Bank_Setup_Month,Bank_Setup_SN,0)</f>
        <v>0</v>
      </c>
      <c r="X58" s="32" t="n">
        <f aca="false">IF(X$3=Bank_Setup_Month,Bank_Setup_SN,0)</f>
        <v>0</v>
      </c>
      <c r="Y58" s="32" t="n">
        <f aca="false">IF(Y$3=Bank_Setup_Month,Bank_Setup_SN,0)</f>
        <v>0</v>
      </c>
      <c r="Z58" s="32" t="n">
        <f aca="false">IF(Z$3=Bank_Setup_Month,Bank_Setup_SN,0)</f>
        <v>0</v>
      </c>
      <c r="AA58" s="32" t="n">
        <f aca="false">IF(AA$3=Bank_Setup_Month,Bank_Setup_SN,0)</f>
        <v>0</v>
      </c>
      <c r="AB58" s="32" t="n">
        <f aca="false">IF(AB$3=Bank_Setup_Month,Bank_Setup_SN,0)</f>
        <v>0</v>
      </c>
      <c r="AC58" s="32" t="n">
        <f aca="false">IF(AC$3=Bank_Setup_Month,Bank_Setup_SN,0)</f>
        <v>0</v>
      </c>
      <c r="AD58" s="32" t="n">
        <f aca="false">IF(AD$3=Bank_Setup_Month,Bank_Setup_SN,0)</f>
        <v>0</v>
      </c>
      <c r="AE58" s="32" t="n">
        <f aca="false">IF(AE$3=Bank_Setup_Month,Bank_Setup_SN,0)</f>
        <v>0</v>
      </c>
      <c r="AF58" s="32" t="n">
        <f aca="false">IF(AF$3=Bank_Setup_Month,Bank_Setup_SN,0)</f>
        <v>0</v>
      </c>
      <c r="AG58" s="32" t="n">
        <f aca="false">IF(AG$3=Bank_Setup_Month,Bank_Setup_SN,0)</f>
        <v>0</v>
      </c>
      <c r="AH58" s="32" t="n">
        <f aca="false">IF(AH$3=Bank_Setup_Month,Bank_Setup_SN,0)</f>
        <v>0</v>
      </c>
      <c r="AI58" s="32" t="n">
        <f aca="false">IF(AI$3=Bank_Setup_Month,Bank_Setup_SN,0)</f>
        <v>0</v>
      </c>
      <c r="AJ58" s="32" t="n">
        <f aca="false">IF(AJ$3=Bank_Setup_Month,Bank_Setup_SN,0)</f>
        <v>0</v>
      </c>
      <c r="AK58" s="32" t="n">
        <f aca="false">IF(AK$3=Bank_Setup_Month,Bank_Setup_SN,0)</f>
        <v>0</v>
      </c>
      <c r="AL58" s="32" t="n">
        <f aca="false">IF(AL$3=Bank_Setup_Month,Bank_Setup_SN,0)</f>
        <v>0</v>
      </c>
      <c r="AM58" s="32" t="n">
        <f aca="false">IF(AM$3=Bank_Setup_Month,Bank_Setup_SN,0)</f>
        <v>0</v>
      </c>
      <c r="AN58" s="32" t="n">
        <f aca="false">IF(AN$3=Bank_Setup_Month,Bank_Setup_SN,0)</f>
        <v>0</v>
      </c>
      <c r="AO58" s="32" t="n">
        <f aca="false">IF(AO$3=Bank_Setup_Month,Bank_Setup_SN,0)</f>
        <v>0</v>
      </c>
      <c r="AP58" s="32" t="n">
        <f aca="false">IF(AP$3=Bank_Setup_Month,Bank_Setup_SN,0)</f>
        <v>0</v>
      </c>
      <c r="AQ58" s="32" t="n">
        <f aca="false">IF(AQ$3=Bank_Setup_Month,Bank_Setup_SN,0)</f>
        <v>0</v>
      </c>
      <c r="AR58" s="32" t="n">
        <f aca="false">IF(AR$3=Bank_Setup_Month,Bank_Setup_SN,0)</f>
        <v>0</v>
      </c>
      <c r="AS58" s="32" t="n">
        <f aca="false">IF(AS$3=Bank_Setup_Month,Bank_Setup_SN,0)</f>
        <v>0</v>
      </c>
      <c r="AT58" s="32" t="n">
        <f aca="false">IF(AT$3=Bank_Setup_Month,Bank_Setup_SN,0)</f>
        <v>0</v>
      </c>
      <c r="AU58" s="32" t="n">
        <f aca="false">IF(AU$3=Bank_Setup_Month,Bank_Setup_SN,0)</f>
        <v>0</v>
      </c>
      <c r="AV58" s="32" t="n">
        <f aca="false">IF(AV$3=Bank_Setup_Month,Bank_Setup_SN,0)</f>
        <v>0</v>
      </c>
      <c r="AW58" s="32" t="n">
        <f aca="false">IF(AW$3=Bank_Setup_Month,Bank_Setup_SN,0)</f>
        <v>0</v>
      </c>
      <c r="AX58" s="32" t="n">
        <f aca="false">IF(AX$3=Bank_Setup_Month,Bank_Setup_SN,0)</f>
        <v>0</v>
      </c>
      <c r="AY58" s="32" t="n">
        <f aca="false">IF(AY$3=Bank_Setup_Month,Bank_Setup_SN,0)</f>
        <v>0</v>
      </c>
      <c r="AZ58" s="32" t="n">
        <f aca="false">IF(AZ$3=Bank_Setup_Month,Bank_Setup_SN,0)</f>
        <v>0</v>
      </c>
      <c r="BA58" s="32" t="n">
        <f aca="false">IF(BA$3=Bank_Setup_Month,Bank_Setup_SN,0)</f>
        <v>0</v>
      </c>
      <c r="BB58" s="32" t="n">
        <f aca="false">IF(BB$3=Bank_Setup_Month,Bank_Setup_SN,0)</f>
        <v>0</v>
      </c>
      <c r="BC58" s="32" t="n">
        <f aca="false">IF(BC$3=Bank_Setup_Month,Bank_Setup_SN,0)</f>
        <v>0</v>
      </c>
      <c r="BD58" s="32" t="n">
        <f aca="false">IF(BD$3=Bank_Setup_Month,Bank_Setup_SN,0)</f>
        <v>0</v>
      </c>
      <c r="BE58" s="32" t="n">
        <f aca="false">IF(BE$3=Bank_Setup_Month,Bank_Setup_SN,0)</f>
        <v>0</v>
      </c>
      <c r="BF58" s="32" t="n">
        <f aca="false">IF(BF$3=Bank_Setup_Month,Bank_Setup_SN,0)</f>
        <v>0</v>
      </c>
      <c r="BG58" s="32" t="n">
        <f aca="false">IF(BG$3=Bank_Setup_Month,Bank_Setup_SN,0)</f>
        <v>0</v>
      </c>
      <c r="BH58" s="32" t="n">
        <f aca="false">IF(BH$3=Bank_Setup_Month,Bank_Setup_SN,0)</f>
        <v>0</v>
      </c>
      <c r="BI58" s="32" t="n">
        <f aca="false">IF(BI$3=Bank_Setup_Month,Bank_Setup_SN,0)</f>
        <v>0</v>
      </c>
      <c r="BJ58" s="32" t="n">
        <f aca="false">IF(BJ$3=Bank_Setup_Month,Bank_Setup_SN,0)</f>
        <v>0</v>
      </c>
      <c r="BK58" s="32" t="n">
        <f aca="false">IF(BK$3=Bank_Setup_Month,Bank_Setup_SN,0)</f>
        <v>0</v>
      </c>
      <c r="BL58" s="32" t="n">
        <f aca="false">IF(BL$3=Bank_Setup_Month,Bank_Setup_SN,0)</f>
        <v>0</v>
      </c>
    </row>
    <row r="59" customFormat="false" ht="15" hidden="false" customHeight="false" outlineLevel="0" collapsed="false">
      <c r="A59" s="12" t="s">
        <v>691</v>
      </c>
      <c r="B59" s="14" t="s">
        <v>77</v>
      </c>
      <c r="D59" s="55" t="n">
        <f aca="false">SUM(E59:BL59)</f>
        <v>102000000</v>
      </c>
      <c r="E59" s="32" t="n">
        <f aca="false">IF(E$3&gt;=Launch_SN,INDEX(Bank_Min_SN,1,E$5),0)</f>
        <v>0</v>
      </c>
      <c r="F59" s="32" t="n">
        <f aca="false">IF(F$3&gt;=Launch_SN,INDEX(Bank_Min_SN,1,F$5),0)</f>
        <v>0</v>
      </c>
      <c r="G59" s="32" t="n">
        <f aca="false">IF(G$3&gt;=Launch_SN,INDEX(Bank_Min_SN,1,G$5),0)</f>
        <v>0</v>
      </c>
      <c r="H59" s="32" t="n">
        <f aca="false">IF(H$3&gt;=Launch_SN,INDEX(Bank_Min_SN,1,H$5),0)</f>
        <v>0</v>
      </c>
      <c r="I59" s="32" t="n">
        <f aca="false">IF(I$3&gt;=Launch_SN,INDEX(Bank_Min_SN,1,I$5),0)</f>
        <v>1500000</v>
      </c>
      <c r="J59" s="32" t="n">
        <f aca="false">IF(J$3&gt;=Launch_SN,INDEX(Bank_Min_SN,1,J$5),0)</f>
        <v>1500000</v>
      </c>
      <c r="K59" s="32" t="n">
        <f aca="false">IF(K$3&gt;=Launch_SN,INDEX(Bank_Min_SN,1,K$5),0)</f>
        <v>1500000</v>
      </c>
      <c r="L59" s="32" t="n">
        <f aca="false">IF(L$3&gt;=Launch_SN,INDEX(Bank_Min_SN,1,L$5),0)</f>
        <v>1500000</v>
      </c>
      <c r="M59" s="32" t="n">
        <f aca="false">IF(M$3&gt;=Launch_SN,INDEX(Bank_Min_SN,1,M$5),0)</f>
        <v>1500000</v>
      </c>
      <c r="N59" s="32" t="n">
        <f aca="false">IF(N$3&gt;=Launch_SN,INDEX(Bank_Min_SN,1,N$5),0)</f>
        <v>1500000</v>
      </c>
      <c r="O59" s="32" t="n">
        <f aca="false">IF(O$3&gt;=Launch_SN,INDEX(Bank_Min_SN,1,O$5),0)</f>
        <v>1500000</v>
      </c>
      <c r="P59" s="32" t="n">
        <f aca="false">IF(P$3&gt;=Launch_SN,INDEX(Bank_Min_SN,1,P$5),0)</f>
        <v>1500000</v>
      </c>
      <c r="Q59" s="32" t="n">
        <f aca="false">IF(Q$3&gt;=Launch_SN,INDEX(Bank_Min_SN,1,Q$5),0)</f>
        <v>1500000</v>
      </c>
      <c r="R59" s="32" t="n">
        <f aca="false">IF(R$3&gt;=Launch_SN,INDEX(Bank_Min_SN,1,R$5),0)</f>
        <v>1500000</v>
      </c>
      <c r="S59" s="32" t="n">
        <f aca="false">IF(S$3&gt;=Launch_SN,INDEX(Bank_Min_SN,1,S$5),0)</f>
        <v>1500000</v>
      </c>
      <c r="T59" s="32" t="n">
        <f aca="false">IF(T$3&gt;=Launch_SN,INDEX(Bank_Min_SN,1,T$5),0)</f>
        <v>1500000</v>
      </c>
      <c r="U59" s="32" t="n">
        <f aca="false">IF(U$3&gt;=Launch_SN,INDEX(Bank_Min_SN,1,U$5),0)</f>
        <v>1500000</v>
      </c>
      <c r="V59" s="32" t="n">
        <f aca="false">IF(V$3&gt;=Launch_SN,INDEX(Bank_Min_SN,1,V$5),0)</f>
        <v>1500000</v>
      </c>
      <c r="W59" s="32" t="n">
        <f aca="false">IF(W$3&gt;=Launch_SN,INDEX(Bank_Min_SN,1,W$5),0)</f>
        <v>1500000</v>
      </c>
      <c r="X59" s="32" t="n">
        <f aca="false">IF(X$3&gt;=Launch_SN,INDEX(Bank_Min_SN,1,X$5),0)</f>
        <v>1500000</v>
      </c>
      <c r="Y59" s="32" t="n">
        <f aca="false">IF(Y$3&gt;=Launch_SN,INDEX(Bank_Min_SN,1,Y$5),0)</f>
        <v>1500000</v>
      </c>
      <c r="Z59" s="32" t="n">
        <f aca="false">IF(Z$3&gt;=Launch_SN,INDEX(Bank_Min_SN,1,Z$5),0)</f>
        <v>1500000</v>
      </c>
      <c r="AA59" s="32" t="n">
        <f aca="false">IF(AA$3&gt;=Launch_SN,INDEX(Bank_Min_SN,1,AA$5),0)</f>
        <v>1500000</v>
      </c>
      <c r="AB59" s="32" t="n">
        <f aca="false">IF(AB$3&gt;=Launch_SN,INDEX(Bank_Min_SN,1,AB$5),0)</f>
        <v>1500000</v>
      </c>
      <c r="AC59" s="32" t="n">
        <f aca="false">IF(AC$3&gt;=Launch_SN,INDEX(Bank_Min_SN,1,AC$5),0)</f>
        <v>2000000</v>
      </c>
      <c r="AD59" s="32" t="n">
        <f aca="false">IF(AD$3&gt;=Launch_SN,INDEX(Bank_Min_SN,1,AD$5),0)</f>
        <v>2000000</v>
      </c>
      <c r="AE59" s="32" t="n">
        <f aca="false">IF(AE$3&gt;=Launch_SN,INDEX(Bank_Min_SN,1,AE$5),0)</f>
        <v>2000000</v>
      </c>
      <c r="AF59" s="32" t="n">
        <f aca="false">IF(AF$3&gt;=Launch_SN,INDEX(Bank_Min_SN,1,AF$5),0)</f>
        <v>2000000</v>
      </c>
      <c r="AG59" s="32" t="n">
        <f aca="false">IF(AG$3&gt;=Launch_SN,INDEX(Bank_Min_SN,1,AG$5),0)</f>
        <v>2000000</v>
      </c>
      <c r="AH59" s="32" t="n">
        <f aca="false">IF(AH$3&gt;=Launch_SN,INDEX(Bank_Min_SN,1,AH$5),0)</f>
        <v>2000000</v>
      </c>
      <c r="AI59" s="32" t="n">
        <f aca="false">IF(AI$3&gt;=Launch_SN,INDEX(Bank_Min_SN,1,AI$5),0)</f>
        <v>2000000</v>
      </c>
      <c r="AJ59" s="32" t="n">
        <f aca="false">IF(AJ$3&gt;=Launch_SN,INDEX(Bank_Min_SN,1,AJ$5),0)</f>
        <v>2000000</v>
      </c>
      <c r="AK59" s="32" t="n">
        <f aca="false">IF(AK$3&gt;=Launch_SN,INDEX(Bank_Min_SN,1,AK$5),0)</f>
        <v>2000000</v>
      </c>
      <c r="AL59" s="32" t="n">
        <f aca="false">IF(AL$3&gt;=Launch_SN,INDEX(Bank_Min_SN,1,AL$5),0)</f>
        <v>2000000</v>
      </c>
      <c r="AM59" s="32" t="n">
        <f aca="false">IF(AM$3&gt;=Launch_SN,INDEX(Bank_Min_SN,1,AM$5),0)</f>
        <v>2000000</v>
      </c>
      <c r="AN59" s="32" t="n">
        <f aca="false">IF(AN$3&gt;=Launch_SN,INDEX(Bank_Min_SN,1,AN$5),0)</f>
        <v>2000000</v>
      </c>
      <c r="AO59" s="32" t="n">
        <f aca="false">IF(AO$3&gt;=Launch_SN,INDEX(Bank_Min_SN,1,AO$5),0)</f>
        <v>2000000</v>
      </c>
      <c r="AP59" s="32" t="n">
        <f aca="false">IF(AP$3&gt;=Launch_SN,INDEX(Bank_Min_SN,1,AP$5),0)</f>
        <v>2000000</v>
      </c>
      <c r="AQ59" s="32" t="n">
        <f aca="false">IF(AQ$3&gt;=Launch_SN,INDEX(Bank_Min_SN,1,AQ$5),0)</f>
        <v>2000000</v>
      </c>
      <c r="AR59" s="32" t="n">
        <f aca="false">IF(AR$3&gt;=Launch_SN,INDEX(Bank_Min_SN,1,AR$5),0)</f>
        <v>2000000</v>
      </c>
      <c r="AS59" s="32" t="n">
        <f aca="false">IF(AS$3&gt;=Launch_SN,INDEX(Bank_Min_SN,1,AS$5),0)</f>
        <v>2000000</v>
      </c>
      <c r="AT59" s="32" t="n">
        <f aca="false">IF(AT$3&gt;=Launch_SN,INDEX(Bank_Min_SN,1,AT$5),0)</f>
        <v>2000000</v>
      </c>
      <c r="AU59" s="32" t="n">
        <f aca="false">IF(AU$3&gt;=Launch_SN,INDEX(Bank_Min_SN,1,AU$5),0)</f>
        <v>2000000</v>
      </c>
      <c r="AV59" s="32" t="n">
        <f aca="false">IF(AV$3&gt;=Launch_SN,INDEX(Bank_Min_SN,1,AV$5),0)</f>
        <v>2000000</v>
      </c>
      <c r="AW59" s="32" t="n">
        <f aca="false">IF(AW$3&gt;=Launch_SN,INDEX(Bank_Min_SN,1,AW$5),0)</f>
        <v>2000000</v>
      </c>
      <c r="AX59" s="32" t="n">
        <f aca="false">IF(AX$3&gt;=Launch_SN,INDEX(Bank_Min_SN,1,AX$5),0)</f>
        <v>2000000</v>
      </c>
      <c r="AY59" s="32" t="n">
        <f aca="false">IF(AY$3&gt;=Launch_SN,INDEX(Bank_Min_SN,1,AY$5),0)</f>
        <v>2000000</v>
      </c>
      <c r="AZ59" s="32" t="n">
        <f aca="false">IF(AZ$3&gt;=Launch_SN,INDEX(Bank_Min_SN,1,AZ$5),0)</f>
        <v>2000000</v>
      </c>
      <c r="BA59" s="32" t="n">
        <f aca="false">IF(BA$3&gt;=Launch_SN,INDEX(Bank_Min_SN,1,BA$5),0)</f>
        <v>2000000</v>
      </c>
      <c r="BB59" s="32" t="n">
        <f aca="false">IF(BB$3&gt;=Launch_SN,INDEX(Bank_Min_SN,1,BB$5),0)</f>
        <v>2000000</v>
      </c>
      <c r="BC59" s="32" t="n">
        <f aca="false">IF(BC$3&gt;=Launch_SN,INDEX(Bank_Min_SN,1,BC$5),0)</f>
        <v>2000000</v>
      </c>
      <c r="BD59" s="32" t="n">
        <f aca="false">IF(BD$3&gt;=Launch_SN,INDEX(Bank_Min_SN,1,BD$5),0)</f>
        <v>2000000</v>
      </c>
      <c r="BE59" s="32" t="n">
        <f aca="false">IF(BE$3&gt;=Launch_SN,INDEX(Bank_Min_SN,1,BE$5),0)</f>
        <v>2000000</v>
      </c>
      <c r="BF59" s="32" t="n">
        <f aca="false">IF(BF$3&gt;=Launch_SN,INDEX(Bank_Min_SN,1,BF$5),0)</f>
        <v>2000000</v>
      </c>
      <c r="BG59" s="32" t="n">
        <f aca="false">IF(BG$3&gt;=Launch_SN,INDEX(Bank_Min_SN,1,BG$5),0)</f>
        <v>2000000</v>
      </c>
      <c r="BH59" s="32" t="n">
        <f aca="false">IF(BH$3&gt;=Launch_SN,INDEX(Bank_Min_SN,1,BH$5),0)</f>
        <v>2000000</v>
      </c>
      <c r="BI59" s="32" t="n">
        <f aca="false">IF(BI$3&gt;=Launch_SN,INDEX(Bank_Min_SN,1,BI$5),0)</f>
        <v>2000000</v>
      </c>
      <c r="BJ59" s="32" t="n">
        <f aca="false">IF(BJ$3&gt;=Launch_SN,INDEX(Bank_Min_SN,1,BJ$5),0)</f>
        <v>2000000</v>
      </c>
      <c r="BK59" s="32" t="n">
        <f aca="false">IF(BK$3&gt;=Launch_SN,INDEX(Bank_Min_SN,1,BK$5),0)</f>
        <v>2000000</v>
      </c>
      <c r="BL59" s="32" t="n">
        <f aca="false">IF(BL$3&gt;=Launch_SN,INDEX(Bank_Min_SN,1,BL$5),0)</f>
        <v>2000000</v>
      </c>
    </row>
    <row r="60" customFormat="false" ht="15" hidden="false" customHeight="false" outlineLevel="0" collapsed="false">
      <c r="A60" s="12" t="s">
        <v>1083</v>
      </c>
      <c r="B60" s="14" t="s">
        <v>77</v>
      </c>
      <c r="D60" s="55" t="n">
        <f aca="false">SUM(E60:BL60)</f>
        <v>15000000</v>
      </c>
      <c r="E60" s="32" t="n">
        <f aca="false">IF(E$3=CI_Bank_Setup_Month,Bank_Setup_CI,0)</f>
        <v>0</v>
      </c>
      <c r="F60" s="32" t="n">
        <f aca="false">IF(F$3=CI_Bank_Setup_Month,Bank_Setup_CI,0)</f>
        <v>0</v>
      </c>
      <c r="G60" s="32" t="n">
        <f aca="false">IF(G$3=CI_Bank_Setup_Month,Bank_Setup_CI,0)</f>
        <v>0</v>
      </c>
      <c r="H60" s="32" t="n">
        <f aca="false">IF(H$3=CI_Bank_Setup_Month,Bank_Setup_CI,0)</f>
        <v>0</v>
      </c>
      <c r="I60" s="32" t="n">
        <f aca="false">IF(I$3=CI_Bank_Setup_Month,Bank_Setup_CI,0)</f>
        <v>0</v>
      </c>
      <c r="J60" s="32" t="n">
        <f aca="false">IF(J$3=CI_Bank_Setup_Month,Bank_Setup_CI,0)</f>
        <v>0</v>
      </c>
      <c r="K60" s="32" t="n">
        <f aca="false">IF(K$3=CI_Bank_Setup_Month,Bank_Setup_CI,0)</f>
        <v>0</v>
      </c>
      <c r="L60" s="32" t="n">
        <f aca="false">IF(L$3=CI_Bank_Setup_Month,Bank_Setup_CI,0)</f>
        <v>0</v>
      </c>
      <c r="M60" s="32" t="n">
        <f aca="false">IF(M$3=CI_Bank_Setup_Month,Bank_Setup_CI,0)</f>
        <v>0</v>
      </c>
      <c r="N60" s="32" t="n">
        <f aca="false">IF(N$3=CI_Bank_Setup_Month,Bank_Setup_CI,0)</f>
        <v>0</v>
      </c>
      <c r="O60" s="32" t="n">
        <f aca="false">IF(O$3=CI_Bank_Setup_Month,Bank_Setup_CI,0)</f>
        <v>0</v>
      </c>
      <c r="P60" s="32" t="n">
        <f aca="false">IF(P$3=CI_Bank_Setup_Month,Bank_Setup_CI,0)</f>
        <v>0</v>
      </c>
      <c r="Q60" s="32" t="n">
        <f aca="false">IF(Q$3=CI_Bank_Setup_Month,Bank_Setup_CI,0)</f>
        <v>0</v>
      </c>
      <c r="R60" s="32" t="n">
        <f aca="false">IF(R$3=CI_Bank_Setup_Month,Bank_Setup_CI,0)</f>
        <v>0</v>
      </c>
      <c r="S60" s="32" t="n">
        <f aca="false">IF(S$3=CI_Bank_Setup_Month,Bank_Setup_CI,0)</f>
        <v>0</v>
      </c>
      <c r="T60" s="32" t="n">
        <f aca="false">IF(T$3=CI_Bank_Setup_Month,Bank_Setup_CI,0)</f>
        <v>15000000</v>
      </c>
      <c r="U60" s="32" t="n">
        <f aca="false">IF(U$3=CI_Bank_Setup_Month,Bank_Setup_CI,0)</f>
        <v>0</v>
      </c>
      <c r="V60" s="32" t="n">
        <f aca="false">IF(V$3=CI_Bank_Setup_Month,Bank_Setup_CI,0)</f>
        <v>0</v>
      </c>
      <c r="W60" s="32" t="n">
        <f aca="false">IF(W$3=CI_Bank_Setup_Month,Bank_Setup_CI,0)</f>
        <v>0</v>
      </c>
      <c r="X60" s="32" t="n">
        <f aca="false">IF(X$3=CI_Bank_Setup_Month,Bank_Setup_CI,0)</f>
        <v>0</v>
      </c>
      <c r="Y60" s="32" t="n">
        <f aca="false">IF(Y$3=CI_Bank_Setup_Month,Bank_Setup_CI,0)</f>
        <v>0</v>
      </c>
      <c r="Z60" s="32" t="n">
        <f aca="false">IF(Z$3=CI_Bank_Setup_Month,Bank_Setup_CI,0)</f>
        <v>0</v>
      </c>
      <c r="AA60" s="32" t="n">
        <f aca="false">IF(AA$3=CI_Bank_Setup_Month,Bank_Setup_CI,0)</f>
        <v>0</v>
      </c>
      <c r="AB60" s="32" t="n">
        <f aca="false">IF(AB$3=CI_Bank_Setup_Month,Bank_Setup_CI,0)</f>
        <v>0</v>
      </c>
      <c r="AC60" s="32" t="n">
        <f aca="false">IF(AC$3=CI_Bank_Setup_Month,Bank_Setup_CI,0)</f>
        <v>0</v>
      </c>
      <c r="AD60" s="32" t="n">
        <f aca="false">IF(AD$3=CI_Bank_Setup_Month,Bank_Setup_CI,0)</f>
        <v>0</v>
      </c>
      <c r="AE60" s="32" t="n">
        <f aca="false">IF(AE$3=CI_Bank_Setup_Month,Bank_Setup_CI,0)</f>
        <v>0</v>
      </c>
      <c r="AF60" s="32" t="n">
        <f aca="false">IF(AF$3=CI_Bank_Setup_Month,Bank_Setup_CI,0)</f>
        <v>0</v>
      </c>
      <c r="AG60" s="32" t="n">
        <f aca="false">IF(AG$3=CI_Bank_Setup_Month,Bank_Setup_CI,0)</f>
        <v>0</v>
      </c>
      <c r="AH60" s="32" t="n">
        <f aca="false">IF(AH$3=CI_Bank_Setup_Month,Bank_Setup_CI,0)</f>
        <v>0</v>
      </c>
      <c r="AI60" s="32" t="n">
        <f aca="false">IF(AI$3=CI_Bank_Setup_Month,Bank_Setup_CI,0)</f>
        <v>0</v>
      </c>
      <c r="AJ60" s="32" t="n">
        <f aca="false">IF(AJ$3=CI_Bank_Setup_Month,Bank_Setup_CI,0)</f>
        <v>0</v>
      </c>
      <c r="AK60" s="32" t="n">
        <f aca="false">IF(AK$3=CI_Bank_Setup_Month,Bank_Setup_CI,0)</f>
        <v>0</v>
      </c>
      <c r="AL60" s="32" t="n">
        <f aca="false">IF(AL$3=CI_Bank_Setup_Month,Bank_Setup_CI,0)</f>
        <v>0</v>
      </c>
      <c r="AM60" s="32" t="n">
        <f aca="false">IF(AM$3=CI_Bank_Setup_Month,Bank_Setup_CI,0)</f>
        <v>0</v>
      </c>
      <c r="AN60" s="32" t="n">
        <f aca="false">IF(AN$3=CI_Bank_Setup_Month,Bank_Setup_CI,0)</f>
        <v>0</v>
      </c>
      <c r="AO60" s="32" t="n">
        <f aca="false">IF(AO$3=CI_Bank_Setup_Month,Bank_Setup_CI,0)</f>
        <v>0</v>
      </c>
      <c r="AP60" s="32" t="n">
        <f aca="false">IF(AP$3=CI_Bank_Setup_Month,Bank_Setup_CI,0)</f>
        <v>0</v>
      </c>
      <c r="AQ60" s="32" t="n">
        <f aca="false">IF(AQ$3=CI_Bank_Setup_Month,Bank_Setup_CI,0)</f>
        <v>0</v>
      </c>
      <c r="AR60" s="32" t="n">
        <f aca="false">IF(AR$3=CI_Bank_Setup_Month,Bank_Setup_CI,0)</f>
        <v>0</v>
      </c>
      <c r="AS60" s="32" t="n">
        <f aca="false">IF(AS$3=CI_Bank_Setup_Month,Bank_Setup_CI,0)</f>
        <v>0</v>
      </c>
      <c r="AT60" s="32" t="n">
        <f aca="false">IF(AT$3=CI_Bank_Setup_Month,Bank_Setup_CI,0)</f>
        <v>0</v>
      </c>
      <c r="AU60" s="32" t="n">
        <f aca="false">IF(AU$3=CI_Bank_Setup_Month,Bank_Setup_CI,0)</f>
        <v>0</v>
      </c>
      <c r="AV60" s="32" t="n">
        <f aca="false">IF(AV$3=CI_Bank_Setup_Month,Bank_Setup_CI,0)</f>
        <v>0</v>
      </c>
      <c r="AW60" s="32" t="n">
        <f aca="false">IF(AW$3=CI_Bank_Setup_Month,Bank_Setup_CI,0)</f>
        <v>0</v>
      </c>
      <c r="AX60" s="32" t="n">
        <f aca="false">IF(AX$3=CI_Bank_Setup_Month,Bank_Setup_CI,0)</f>
        <v>0</v>
      </c>
      <c r="AY60" s="32" t="n">
        <f aca="false">IF(AY$3=CI_Bank_Setup_Month,Bank_Setup_CI,0)</f>
        <v>0</v>
      </c>
      <c r="AZ60" s="32" t="n">
        <f aca="false">IF(AZ$3=CI_Bank_Setup_Month,Bank_Setup_CI,0)</f>
        <v>0</v>
      </c>
      <c r="BA60" s="32" t="n">
        <f aca="false">IF(BA$3=CI_Bank_Setup_Month,Bank_Setup_CI,0)</f>
        <v>0</v>
      </c>
      <c r="BB60" s="32" t="n">
        <f aca="false">IF(BB$3=CI_Bank_Setup_Month,Bank_Setup_CI,0)</f>
        <v>0</v>
      </c>
      <c r="BC60" s="32" t="n">
        <f aca="false">IF(BC$3=CI_Bank_Setup_Month,Bank_Setup_CI,0)</f>
        <v>0</v>
      </c>
      <c r="BD60" s="32" t="n">
        <f aca="false">IF(BD$3=CI_Bank_Setup_Month,Bank_Setup_CI,0)</f>
        <v>0</v>
      </c>
      <c r="BE60" s="32" t="n">
        <f aca="false">IF(BE$3=CI_Bank_Setup_Month,Bank_Setup_CI,0)</f>
        <v>0</v>
      </c>
      <c r="BF60" s="32" t="n">
        <f aca="false">IF(BF$3=CI_Bank_Setup_Month,Bank_Setup_CI,0)</f>
        <v>0</v>
      </c>
      <c r="BG60" s="32" t="n">
        <f aca="false">IF(BG$3=CI_Bank_Setup_Month,Bank_Setup_CI,0)</f>
        <v>0</v>
      </c>
      <c r="BH60" s="32" t="n">
        <f aca="false">IF(BH$3=CI_Bank_Setup_Month,Bank_Setup_CI,0)</f>
        <v>0</v>
      </c>
      <c r="BI60" s="32" t="n">
        <f aca="false">IF(BI$3=CI_Bank_Setup_Month,Bank_Setup_CI,0)</f>
        <v>0</v>
      </c>
      <c r="BJ60" s="32" t="n">
        <f aca="false">IF(BJ$3=CI_Bank_Setup_Month,Bank_Setup_CI,0)</f>
        <v>0</v>
      </c>
      <c r="BK60" s="32" t="n">
        <f aca="false">IF(BK$3=CI_Bank_Setup_Month,Bank_Setup_CI,0)</f>
        <v>0</v>
      </c>
      <c r="BL60" s="32" t="n">
        <f aca="false">IF(BL$3=CI_Bank_Setup_Month,Bank_Setup_CI,0)</f>
        <v>0</v>
      </c>
    </row>
    <row r="61" customFormat="false" ht="15" hidden="false" customHeight="false" outlineLevel="0" collapsed="false">
      <c r="A61" s="12" t="s">
        <v>693</v>
      </c>
      <c r="B61" s="14" t="s">
        <v>77</v>
      </c>
      <c r="D61" s="55" t="n">
        <f aca="false">SUM(E61:BL61)</f>
        <v>81000000</v>
      </c>
      <c r="E61" s="32" t="n">
        <f aca="false">IF(E$3&gt;=Launch_CI,INDEX(Bank_Min_CI,1,E$5),0)</f>
        <v>0</v>
      </c>
      <c r="F61" s="32" t="n">
        <f aca="false">IF(F$3&gt;=Launch_CI,INDEX(Bank_Min_CI,1,F$5),0)</f>
        <v>0</v>
      </c>
      <c r="G61" s="32" t="n">
        <f aca="false">IF(G$3&gt;=Launch_CI,INDEX(Bank_Min_CI,1,G$5),0)</f>
        <v>0</v>
      </c>
      <c r="H61" s="32" t="n">
        <f aca="false">IF(H$3&gt;=Launch_CI,INDEX(Bank_Min_CI,1,H$5),0)</f>
        <v>0</v>
      </c>
      <c r="I61" s="32" t="n">
        <f aca="false">IF(I$3&gt;=Launch_CI,INDEX(Bank_Min_CI,1,I$5),0)</f>
        <v>0</v>
      </c>
      <c r="J61" s="32" t="n">
        <f aca="false">IF(J$3&gt;=Launch_CI,INDEX(Bank_Min_CI,1,J$5),0)</f>
        <v>0</v>
      </c>
      <c r="K61" s="32" t="n">
        <f aca="false">IF(K$3&gt;=Launch_CI,INDEX(Bank_Min_CI,1,K$5),0)</f>
        <v>0</v>
      </c>
      <c r="L61" s="32" t="n">
        <f aca="false">IF(L$3&gt;=Launch_CI,INDEX(Bank_Min_CI,1,L$5),0)</f>
        <v>0</v>
      </c>
      <c r="M61" s="32" t="n">
        <f aca="false">IF(M$3&gt;=Launch_CI,INDEX(Bank_Min_CI,1,M$5),0)</f>
        <v>0</v>
      </c>
      <c r="N61" s="32" t="n">
        <f aca="false">IF(N$3&gt;=Launch_CI,INDEX(Bank_Min_CI,1,N$5),0)</f>
        <v>0</v>
      </c>
      <c r="O61" s="32" t="n">
        <f aca="false">IF(O$3&gt;=Launch_CI,INDEX(Bank_Min_CI,1,O$5),0)</f>
        <v>0</v>
      </c>
      <c r="P61" s="32" t="n">
        <f aca="false">IF(P$3&gt;=Launch_CI,INDEX(Bank_Min_CI,1,P$5),0)</f>
        <v>0</v>
      </c>
      <c r="Q61" s="32" t="n">
        <f aca="false">IF(Q$3&gt;=Launch_CI,INDEX(Bank_Min_CI,1,Q$5),0)</f>
        <v>0</v>
      </c>
      <c r="R61" s="32" t="n">
        <f aca="false">IF(R$3&gt;=Launch_CI,INDEX(Bank_Min_CI,1,R$5),0)</f>
        <v>0</v>
      </c>
      <c r="S61" s="32" t="n">
        <f aca="false">IF(S$3&gt;=Launch_CI,INDEX(Bank_Min_CI,1,S$5),0)</f>
        <v>0</v>
      </c>
      <c r="T61" s="32" t="n">
        <f aca="false">IF(T$3&gt;=Launch_CI,INDEX(Bank_Min_CI,1,T$5),0)</f>
        <v>0</v>
      </c>
      <c r="U61" s="32" t="n">
        <f aca="false">IF(U$3&gt;=Launch_CI,INDEX(Bank_Min_CI,1,U$5),0)</f>
        <v>0</v>
      </c>
      <c r="V61" s="32" t="n">
        <f aca="false">IF(V$3&gt;=Launch_CI,INDEX(Bank_Min_CI,1,V$5),0)</f>
        <v>0</v>
      </c>
      <c r="W61" s="32" t="n">
        <f aca="false">IF(W$3&gt;=Launch_CI,INDEX(Bank_Min_CI,1,W$5),0)</f>
        <v>1500000</v>
      </c>
      <c r="X61" s="32" t="n">
        <f aca="false">IF(X$3&gt;=Launch_CI,INDEX(Bank_Min_CI,1,X$5),0)</f>
        <v>1500000</v>
      </c>
      <c r="Y61" s="32" t="n">
        <f aca="false">IF(Y$3&gt;=Launch_CI,INDEX(Bank_Min_CI,1,Y$5),0)</f>
        <v>1500000</v>
      </c>
      <c r="Z61" s="32" t="n">
        <f aca="false">IF(Z$3&gt;=Launch_CI,INDEX(Bank_Min_CI,1,Z$5),0)</f>
        <v>1500000</v>
      </c>
      <c r="AA61" s="32" t="n">
        <f aca="false">IF(AA$3&gt;=Launch_CI,INDEX(Bank_Min_CI,1,AA$5),0)</f>
        <v>1500000</v>
      </c>
      <c r="AB61" s="32" t="n">
        <f aca="false">IF(AB$3&gt;=Launch_CI,INDEX(Bank_Min_CI,1,AB$5),0)</f>
        <v>1500000</v>
      </c>
      <c r="AC61" s="32" t="n">
        <f aca="false">IF(AC$3&gt;=Launch_CI,INDEX(Bank_Min_CI,1,AC$5),0)</f>
        <v>2000000</v>
      </c>
      <c r="AD61" s="32" t="n">
        <f aca="false">IF(AD$3&gt;=Launch_CI,INDEX(Bank_Min_CI,1,AD$5),0)</f>
        <v>2000000</v>
      </c>
      <c r="AE61" s="32" t="n">
        <f aca="false">IF(AE$3&gt;=Launch_CI,INDEX(Bank_Min_CI,1,AE$5),0)</f>
        <v>2000000</v>
      </c>
      <c r="AF61" s="32" t="n">
        <f aca="false">IF(AF$3&gt;=Launch_CI,INDEX(Bank_Min_CI,1,AF$5),0)</f>
        <v>2000000</v>
      </c>
      <c r="AG61" s="32" t="n">
        <f aca="false">IF(AG$3&gt;=Launch_CI,INDEX(Bank_Min_CI,1,AG$5),0)</f>
        <v>2000000</v>
      </c>
      <c r="AH61" s="32" t="n">
        <f aca="false">IF(AH$3&gt;=Launch_CI,INDEX(Bank_Min_CI,1,AH$5),0)</f>
        <v>2000000</v>
      </c>
      <c r="AI61" s="32" t="n">
        <f aca="false">IF(AI$3&gt;=Launch_CI,INDEX(Bank_Min_CI,1,AI$5),0)</f>
        <v>2000000</v>
      </c>
      <c r="AJ61" s="32" t="n">
        <f aca="false">IF(AJ$3&gt;=Launch_CI,INDEX(Bank_Min_CI,1,AJ$5),0)</f>
        <v>2000000</v>
      </c>
      <c r="AK61" s="32" t="n">
        <f aca="false">IF(AK$3&gt;=Launch_CI,INDEX(Bank_Min_CI,1,AK$5),0)</f>
        <v>2000000</v>
      </c>
      <c r="AL61" s="32" t="n">
        <f aca="false">IF(AL$3&gt;=Launch_CI,INDEX(Bank_Min_CI,1,AL$5),0)</f>
        <v>2000000</v>
      </c>
      <c r="AM61" s="32" t="n">
        <f aca="false">IF(AM$3&gt;=Launch_CI,INDEX(Bank_Min_CI,1,AM$5),0)</f>
        <v>2000000</v>
      </c>
      <c r="AN61" s="32" t="n">
        <f aca="false">IF(AN$3&gt;=Launch_CI,INDEX(Bank_Min_CI,1,AN$5),0)</f>
        <v>2000000</v>
      </c>
      <c r="AO61" s="32" t="n">
        <f aca="false">IF(AO$3&gt;=Launch_CI,INDEX(Bank_Min_CI,1,AO$5),0)</f>
        <v>2000000</v>
      </c>
      <c r="AP61" s="32" t="n">
        <f aca="false">IF(AP$3&gt;=Launch_CI,INDEX(Bank_Min_CI,1,AP$5),0)</f>
        <v>2000000</v>
      </c>
      <c r="AQ61" s="32" t="n">
        <f aca="false">IF(AQ$3&gt;=Launch_CI,INDEX(Bank_Min_CI,1,AQ$5),0)</f>
        <v>2000000</v>
      </c>
      <c r="AR61" s="32" t="n">
        <f aca="false">IF(AR$3&gt;=Launch_CI,INDEX(Bank_Min_CI,1,AR$5),0)</f>
        <v>2000000</v>
      </c>
      <c r="AS61" s="32" t="n">
        <f aca="false">IF(AS$3&gt;=Launch_CI,INDEX(Bank_Min_CI,1,AS$5),0)</f>
        <v>2000000</v>
      </c>
      <c r="AT61" s="32" t="n">
        <f aca="false">IF(AT$3&gt;=Launch_CI,INDEX(Bank_Min_CI,1,AT$5),0)</f>
        <v>2000000</v>
      </c>
      <c r="AU61" s="32" t="n">
        <f aca="false">IF(AU$3&gt;=Launch_CI,INDEX(Bank_Min_CI,1,AU$5),0)</f>
        <v>2000000</v>
      </c>
      <c r="AV61" s="32" t="n">
        <f aca="false">IF(AV$3&gt;=Launch_CI,INDEX(Bank_Min_CI,1,AV$5),0)</f>
        <v>2000000</v>
      </c>
      <c r="AW61" s="32" t="n">
        <f aca="false">IF(AW$3&gt;=Launch_CI,INDEX(Bank_Min_CI,1,AW$5),0)</f>
        <v>2000000</v>
      </c>
      <c r="AX61" s="32" t="n">
        <f aca="false">IF(AX$3&gt;=Launch_CI,INDEX(Bank_Min_CI,1,AX$5),0)</f>
        <v>2000000</v>
      </c>
      <c r="AY61" s="32" t="n">
        <f aca="false">IF(AY$3&gt;=Launch_CI,INDEX(Bank_Min_CI,1,AY$5),0)</f>
        <v>2000000</v>
      </c>
      <c r="AZ61" s="32" t="n">
        <f aca="false">IF(AZ$3&gt;=Launch_CI,INDEX(Bank_Min_CI,1,AZ$5),0)</f>
        <v>2000000</v>
      </c>
      <c r="BA61" s="32" t="n">
        <f aca="false">IF(BA$3&gt;=Launch_CI,INDEX(Bank_Min_CI,1,BA$5),0)</f>
        <v>2000000</v>
      </c>
      <c r="BB61" s="32" t="n">
        <f aca="false">IF(BB$3&gt;=Launch_CI,INDEX(Bank_Min_CI,1,BB$5),0)</f>
        <v>2000000</v>
      </c>
      <c r="BC61" s="32" t="n">
        <f aca="false">IF(BC$3&gt;=Launch_CI,INDEX(Bank_Min_CI,1,BC$5),0)</f>
        <v>2000000</v>
      </c>
      <c r="BD61" s="32" t="n">
        <f aca="false">IF(BD$3&gt;=Launch_CI,INDEX(Bank_Min_CI,1,BD$5),0)</f>
        <v>2000000</v>
      </c>
      <c r="BE61" s="32" t="n">
        <f aca="false">IF(BE$3&gt;=Launch_CI,INDEX(Bank_Min_CI,1,BE$5),0)</f>
        <v>2000000</v>
      </c>
      <c r="BF61" s="32" t="n">
        <f aca="false">IF(BF$3&gt;=Launch_CI,INDEX(Bank_Min_CI,1,BF$5),0)</f>
        <v>2000000</v>
      </c>
      <c r="BG61" s="32" t="n">
        <f aca="false">IF(BG$3&gt;=Launch_CI,INDEX(Bank_Min_CI,1,BG$5),0)</f>
        <v>2000000</v>
      </c>
      <c r="BH61" s="32" t="n">
        <f aca="false">IF(BH$3&gt;=Launch_CI,INDEX(Bank_Min_CI,1,BH$5),0)</f>
        <v>2000000</v>
      </c>
      <c r="BI61" s="32" t="n">
        <f aca="false">IF(BI$3&gt;=Launch_CI,INDEX(Bank_Min_CI,1,BI$5),0)</f>
        <v>2000000</v>
      </c>
      <c r="BJ61" s="32" t="n">
        <f aca="false">IF(BJ$3&gt;=Launch_CI,INDEX(Bank_Min_CI,1,BJ$5),0)</f>
        <v>2000000</v>
      </c>
      <c r="BK61" s="32" t="n">
        <f aca="false">IF(BK$3&gt;=Launch_CI,INDEX(Bank_Min_CI,1,BK$5),0)</f>
        <v>2000000</v>
      </c>
      <c r="BL61" s="32" t="n">
        <f aca="false">IF(BL$3&gt;=Launch_CI,INDEX(Bank_Min_CI,1,BL$5),0)</f>
        <v>2000000</v>
      </c>
    </row>
    <row r="62" customFormat="false" ht="15" hidden="false" customHeight="false" outlineLevel="0" collapsed="false">
      <c r="A62" s="12" t="s">
        <v>1084</v>
      </c>
      <c r="B62" s="14" t="s">
        <v>77</v>
      </c>
      <c r="D62" s="55" t="n">
        <f aca="false">SUM(E62:BL62)</f>
        <v>17000000</v>
      </c>
      <c r="E62" s="32" t="n">
        <f aca="false">IF(E$3=SFD_Setup_Month,SFD_Setup,0)+INDEX(SFD_Annual,1,E$5)/12</f>
        <v>0</v>
      </c>
      <c r="F62" s="32" t="n">
        <f aca="false">IF(F$3=SFD_Setup_Month,SFD_Setup,0)+INDEX(SFD_Annual,1,F$5)/12</f>
        <v>0</v>
      </c>
      <c r="G62" s="32" t="n">
        <f aca="false">IF(G$3=SFD_Setup_Month,SFD_Setup,0)+INDEX(SFD_Annual,1,G$5)/12</f>
        <v>0</v>
      </c>
      <c r="H62" s="32" t="n">
        <f aca="false">IF(H$3=SFD_Setup_Month,SFD_Setup,0)+INDEX(SFD_Annual,1,H$5)/12</f>
        <v>0</v>
      </c>
      <c r="I62" s="32" t="n">
        <f aca="false">IF(I$3=SFD_Setup_Month,SFD_Setup,0)+INDEX(SFD_Annual,1,I$5)/12</f>
        <v>0</v>
      </c>
      <c r="J62" s="32" t="n">
        <f aca="false">IF(J$3=SFD_Setup_Month,SFD_Setup,0)+INDEX(SFD_Annual,1,J$5)/12</f>
        <v>0</v>
      </c>
      <c r="K62" s="32" t="n">
        <f aca="false">IF(K$3=SFD_Setup_Month,SFD_Setup,0)+INDEX(SFD_Annual,1,K$5)/12</f>
        <v>0</v>
      </c>
      <c r="L62" s="32" t="n">
        <f aca="false">IF(L$3=SFD_Setup_Month,SFD_Setup,0)+INDEX(SFD_Annual,1,L$5)/12</f>
        <v>0</v>
      </c>
      <c r="M62" s="32" t="n">
        <f aca="false">IF(M$3=SFD_Setup_Month,SFD_Setup,0)+INDEX(SFD_Annual,1,M$5)/12</f>
        <v>0</v>
      </c>
      <c r="N62" s="32" t="n">
        <f aca="false">IF(N$3=SFD_Setup_Month,SFD_Setup,0)+INDEX(SFD_Annual,1,N$5)/12</f>
        <v>0</v>
      </c>
      <c r="O62" s="32" t="n">
        <f aca="false">IF(O$3=SFD_Setup_Month,SFD_Setup,0)+INDEX(SFD_Annual,1,O$5)/12</f>
        <v>0</v>
      </c>
      <c r="P62" s="32" t="n">
        <f aca="false">IF(P$3=SFD_Setup_Month,SFD_Setup,0)+INDEX(SFD_Annual,1,P$5)/12</f>
        <v>0</v>
      </c>
      <c r="Q62" s="32" t="n">
        <f aca="false">IF(Q$3=SFD_Setup_Month,SFD_Setup,0)+INDEX(SFD_Annual,1,Q$5)/12</f>
        <v>250000</v>
      </c>
      <c r="R62" s="32" t="n">
        <f aca="false">IF(R$3=SFD_Setup_Month,SFD_Setup,0)+INDEX(SFD_Annual,1,R$5)/12</f>
        <v>250000</v>
      </c>
      <c r="S62" s="32" t="n">
        <f aca="false">IF(S$3=SFD_Setup_Month,SFD_Setup,0)+INDEX(SFD_Annual,1,S$5)/12</f>
        <v>5250000</v>
      </c>
      <c r="T62" s="32" t="n">
        <f aca="false">IF(T$3=SFD_Setup_Month,SFD_Setup,0)+INDEX(SFD_Annual,1,T$5)/12</f>
        <v>250000</v>
      </c>
      <c r="U62" s="32" t="n">
        <f aca="false">IF(U$3=SFD_Setup_Month,SFD_Setup,0)+INDEX(SFD_Annual,1,U$5)/12</f>
        <v>250000</v>
      </c>
      <c r="V62" s="32" t="n">
        <f aca="false">IF(V$3=SFD_Setup_Month,SFD_Setup,0)+INDEX(SFD_Annual,1,V$5)/12</f>
        <v>250000</v>
      </c>
      <c r="W62" s="32" t="n">
        <f aca="false">IF(W$3=SFD_Setup_Month,SFD_Setup,0)+INDEX(SFD_Annual,1,W$5)/12</f>
        <v>250000</v>
      </c>
      <c r="X62" s="32" t="n">
        <f aca="false">IF(X$3=SFD_Setup_Month,SFD_Setup,0)+INDEX(SFD_Annual,1,X$5)/12</f>
        <v>250000</v>
      </c>
      <c r="Y62" s="32" t="n">
        <f aca="false">IF(Y$3=SFD_Setup_Month,SFD_Setup,0)+INDEX(SFD_Annual,1,Y$5)/12</f>
        <v>250000</v>
      </c>
      <c r="Z62" s="32" t="n">
        <f aca="false">IF(Z$3=SFD_Setup_Month,SFD_Setup,0)+INDEX(SFD_Annual,1,Z$5)/12</f>
        <v>250000</v>
      </c>
      <c r="AA62" s="32" t="n">
        <f aca="false">IF(AA$3=SFD_Setup_Month,SFD_Setup,0)+INDEX(SFD_Annual,1,AA$5)/12</f>
        <v>250000</v>
      </c>
      <c r="AB62" s="32" t="n">
        <f aca="false">IF(AB$3=SFD_Setup_Month,SFD_Setup,0)+INDEX(SFD_Annual,1,AB$5)/12</f>
        <v>250000</v>
      </c>
      <c r="AC62" s="32" t="n">
        <f aca="false">IF(AC$3=SFD_Setup_Month,SFD_Setup,0)+INDEX(SFD_Annual,1,AC$5)/12</f>
        <v>250000</v>
      </c>
      <c r="AD62" s="32" t="n">
        <f aca="false">IF(AD$3=SFD_Setup_Month,SFD_Setup,0)+INDEX(SFD_Annual,1,AD$5)/12</f>
        <v>250000</v>
      </c>
      <c r="AE62" s="32" t="n">
        <f aca="false">IF(AE$3=SFD_Setup_Month,SFD_Setup,0)+INDEX(SFD_Annual,1,AE$5)/12</f>
        <v>250000</v>
      </c>
      <c r="AF62" s="32" t="n">
        <f aca="false">IF(AF$3=SFD_Setup_Month,SFD_Setup,0)+INDEX(SFD_Annual,1,AF$5)/12</f>
        <v>250000</v>
      </c>
      <c r="AG62" s="32" t="n">
        <f aca="false">IF(AG$3=SFD_Setup_Month,SFD_Setup,0)+INDEX(SFD_Annual,1,AG$5)/12</f>
        <v>250000</v>
      </c>
      <c r="AH62" s="32" t="n">
        <f aca="false">IF(AH$3=SFD_Setup_Month,SFD_Setup,0)+INDEX(SFD_Annual,1,AH$5)/12</f>
        <v>250000</v>
      </c>
      <c r="AI62" s="32" t="n">
        <f aca="false">IF(AI$3=SFD_Setup_Month,SFD_Setup,0)+INDEX(SFD_Annual,1,AI$5)/12</f>
        <v>250000</v>
      </c>
      <c r="AJ62" s="32" t="n">
        <f aca="false">IF(AJ$3=SFD_Setup_Month,SFD_Setup,0)+INDEX(SFD_Annual,1,AJ$5)/12</f>
        <v>250000</v>
      </c>
      <c r="AK62" s="32" t="n">
        <f aca="false">IF(AK$3=SFD_Setup_Month,SFD_Setup,0)+INDEX(SFD_Annual,1,AK$5)/12</f>
        <v>250000</v>
      </c>
      <c r="AL62" s="32" t="n">
        <f aca="false">IF(AL$3=SFD_Setup_Month,SFD_Setup,0)+INDEX(SFD_Annual,1,AL$5)/12</f>
        <v>250000</v>
      </c>
      <c r="AM62" s="32" t="n">
        <f aca="false">IF(AM$3=SFD_Setup_Month,SFD_Setup,0)+INDEX(SFD_Annual,1,AM$5)/12</f>
        <v>250000</v>
      </c>
      <c r="AN62" s="32" t="n">
        <f aca="false">IF(AN$3=SFD_Setup_Month,SFD_Setup,0)+INDEX(SFD_Annual,1,AN$5)/12</f>
        <v>250000</v>
      </c>
      <c r="AO62" s="32" t="n">
        <f aca="false">IF(AO$3=SFD_Setup_Month,SFD_Setup,0)+INDEX(SFD_Annual,1,AO$5)/12</f>
        <v>250000</v>
      </c>
      <c r="AP62" s="32" t="n">
        <f aca="false">IF(AP$3=SFD_Setup_Month,SFD_Setup,0)+INDEX(SFD_Annual,1,AP$5)/12</f>
        <v>250000</v>
      </c>
      <c r="AQ62" s="32" t="n">
        <f aca="false">IF(AQ$3=SFD_Setup_Month,SFD_Setup,0)+INDEX(SFD_Annual,1,AQ$5)/12</f>
        <v>250000</v>
      </c>
      <c r="AR62" s="32" t="n">
        <f aca="false">IF(AR$3=SFD_Setup_Month,SFD_Setup,0)+INDEX(SFD_Annual,1,AR$5)/12</f>
        <v>250000</v>
      </c>
      <c r="AS62" s="32" t="n">
        <f aca="false">IF(AS$3=SFD_Setup_Month,SFD_Setup,0)+INDEX(SFD_Annual,1,AS$5)/12</f>
        <v>250000</v>
      </c>
      <c r="AT62" s="32" t="n">
        <f aca="false">IF(AT$3=SFD_Setup_Month,SFD_Setup,0)+INDEX(SFD_Annual,1,AT$5)/12</f>
        <v>250000</v>
      </c>
      <c r="AU62" s="32" t="n">
        <f aca="false">IF(AU$3=SFD_Setup_Month,SFD_Setup,0)+INDEX(SFD_Annual,1,AU$5)/12</f>
        <v>250000</v>
      </c>
      <c r="AV62" s="32" t="n">
        <f aca="false">IF(AV$3=SFD_Setup_Month,SFD_Setup,0)+INDEX(SFD_Annual,1,AV$5)/12</f>
        <v>250000</v>
      </c>
      <c r="AW62" s="32" t="n">
        <f aca="false">IF(AW$3=SFD_Setup_Month,SFD_Setup,0)+INDEX(SFD_Annual,1,AW$5)/12</f>
        <v>250000</v>
      </c>
      <c r="AX62" s="32" t="n">
        <f aca="false">IF(AX$3=SFD_Setup_Month,SFD_Setup,0)+INDEX(SFD_Annual,1,AX$5)/12</f>
        <v>250000</v>
      </c>
      <c r="AY62" s="32" t="n">
        <f aca="false">IF(AY$3=SFD_Setup_Month,SFD_Setup,0)+INDEX(SFD_Annual,1,AY$5)/12</f>
        <v>250000</v>
      </c>
      <c r="AZ62" s="32" t="n">
        <f aca="false">IF(AZ$3=SFD_Setup_Month,SFD_Setup,0)+INDEX(SFD_Annual,1,AZ$5)/12</f>
        <v>250000</v>
      </c>
      <c r="BA62" s="32" t="n">
        <f aca="false">IF(BA$3=SFD_Setup_Month,SFD_Setup,0)+INDEX(SFD_Annual,1,BA$5)/12</f>
        <v>250000</v>
      </c>
      <c r="BB62" s="32" t="n">
        <f aca="false">IF(BB$3=SFD_Setup_Month,SFD_Setup,0)+INDEX(SFD_Annual,1,BB$5)/12</f>
        <v>250000</v>
      </c>
      <c r="BC62" s="32" t="n">
        <f aca="false">IF(BC$3=SFD_Setup_Month,SFD_Setup,0)+INDEX(SFD_Annual,1,BC$5)/12</f>
        <v>250000</v>
      </c>
      <c r="BD62" s="32" t="n">
        <f aca="false">IF(BD$3=SFD_Setup_Month,SFD_Setup,0)+INDEX(SFD_Annual,1,BD$5)/12</f>
        <v>250000</v>
      </c>
      <c r="BE62" s="32" t="n">
        <f aca="false">IF(BE$3=SFD_Setup_Month,SFD_Setup,0)+INDEX(SFD_Annual,1,BE$5)/12</f>
        <v>250000</v>
      </c>
      <c r="BF62" s="32" t="n">
        <f aca="false">IF(BF$3=SFD_Setup_Month,SFD_Setup,0)+INDEX(SFD_Annual,1,BF$5)/12</f>
        <v>250000</v>
      </c>
      <c r="BG62" s="32" t="n">
        <f aca="false">IF(BG$3=SFD_Setup_Month,SFD_Setup,0)+INDEX(SFD_Annual,1,BG$5)/12</f>
        <v>250000</v>
      </c>
      <c r="BH62" s="32" t="n">
        <f aca="false">IF(BH$3=SFD_Setup_Month,SFD_Setup,0)+INDEX(SFD_Annual,1,BH$5)/12</f>
        <v>250000</v>
      </c>
      <c r="BI62" s="32" t="n">
        <f aca="false">IF(BI$3=SFD_Setup_Month,SFD_Setup,0)+INDEX(SFD_Annual,1,BI$5)/12</f>
        <v>250000</v>
      </c>
      <c r="BJ62" s="32" t="n">
        <f aca="false">IF(BJ$3=SFD_Setup_Month,SFD_Setup,0)+INDEX(SFD_Annual,1,BJ$5)/12</f>
        <v>250000</v>
      </c>
      <c r="BK62" s="32" t="n">
        <f aca="false">IF(BK$3=SFD_Setup_Month,SFD_Setup,0)+INDEX(SFD_Annual,1,BK$5)/12</f>
        <v>250000</v>
      </c>
      <c r="BL62" s="32" t="n">
        <f aca="false">IF(BL$3=SFD_Setup_Month,SFD_Setup,0)+INDEX(SFD_Annual,1,BL$5)/12</f>
        <v>250000</v>
      </c>
    </row>
    <row r="63" customFormat="false" ht="15" hidden="false" customHeight="false" outlineLevel="0" collapsed="false">
      <c r="A63" s="8" t="s">
        <v>1085</v>
      </c>
      <c r="B63" s="14" t="s">
        <v>77</v>
      </c>
      <c r="D63" s="55" t="n">
        <f aca="false">SUM(E63:BL63)</f>
        <v>230000000</v>
      </c>
      <c r="E63" s="16" t="n">
        <f aca="false">SUM(E58:E62)</f>
        <v>0</v>
      </c>
      <c r="F63" s="16" t="n">
        <f aca="false">SUM(F58:F62)</f>
        <v>15000000</v>
      </c>
      <c r="G63" s="16" t="n">
        <f aca="false">SUM(G58:G62)</f>
        <v>0</v>
      </c>
      <c r="H63" s="16" t="n">
        <f aca="false">SUM(H58:H62)</f>
        <v>0</v>
      </c>
      <c r="I63" s="16" t="n">
        <f aca="false">SUM(I58:I62)</f>
        <v>1500000</v>
      </c>
      <c r="J63" s="16" t="n">
        <f aca="false">SUM(J58:J62)</f>
        <v>1500000</v>
      </c>
      <c r="K63" s="16" t="n">
        <f aca="false">SUM(K58:K62)</f>
        <v>1500000</v>
      </c>
      <c r="L63" s="16" t="n">
        <f aca="false">SUM(L58:L62)</f>
        <v>1500000</v>
      </c>
      <c r="M63" s="16" t="n">
        <f aca="false">SUM(M58:M62)</f>
        <v>1500000</v>
      </c>
      <c r="N63" s="16" t="n">
        <f aca="false">SUM(N58:N62)</f>
        <v>1500000</v>
      </c>
      <c r="O63" s="16" t="n">
        <f aca="false">SUM(O58:O62)</f>
        <v>1500000</v>
      </c>
      <c r="P63" s="16" t="n">
        <f aca="false">SUM(P58:P62)</f>
        <v>1500000</v>
      </c>
      <c r="Q63" s="16" t="n">
        <f aca="false">SUM(Q58:Q62)</f>
        <v>1750000</v>
      </c>
      <c r="R63" s="16" t="n">
        <f aca="false">SUM(R58:R62)</f>
        <v>1750000</v>
      </c>
      <c r="S63" s="16" t="n">
        <f aca="false">SUM(S58:S62)</f>
        <v>6750000</v>
      </c>
      <c r="T63" s="16" t="n">
        <f aca="false">SUM(T58:T62)</f>
        <v>16750000</v>
      </c>
      <c r="U63" s="16" t="n">
        <f aca="false">SUM(U58:U62)</f>
        <v>1750000</v>
      </c>
      <c r="V63" s="16" t="n">
        <f aca="false">SUM(V58:V62)</f>
        <v>1750000</v>
      </c>
      <c r="W63" s="16" t="n">
        <f aca="false">SUM(W58:W62)</f>
        <v>3250000</v>
      </c>
      <c r="X63" s="16" t="n">
        <f aca="false">SUM(X58:X62)</f>
        <v>3250000</v>
      </c>
      <c r="Y63" s="16" t="n">
        <f aca="false">SUM(Y58:Y62)</f>
        <v>3250000</v>
      </c>
      <c r="Z63" s="16" t="n">
        <f aca="false">SUM(Z58:Z62)</f>
        <v>3250000</v>
      </c>
      <c r="AA63" s="16" t="n">
        <f aca="false">SUM(AA58:AA62)</f>
        <v>3250000</v>
      </c>
      <c r="AB63" s="16" t="n">
        <f aca="false">SUM(AB58:AB62)</f>
        <v>3250000</v>
      </c>
      <c r="AC63" s="16" t="n">
        <f aca="false">SUM(AC58:AC62)</f>
        <v>4250000</v>
      </c>
      <c r="AD63" s="16" t="n">
        <f aca="false">SUM(AD58:AD62)</f>
        <v>4250000</v>
      </c>
      <c r="AE63" s="16" t="n">
        <f aca="false">SUM(AE58:AE62)</f>
        <v>4250000</v>
      </c>
      <c r="AF63" s="16" t="n">
        <f aca="false">SUM(AF58:AF62)</f>
        <v>4250000</v>
      </c>
      <c r="AG63" s="16" t="n">
        <f aca="false">SUM(AG58:AG62)</f>
        <v>4250000</v>
      </c>
      <c r="AH63" s="16" t="n">
        <f aca="false">SUM(AH58:AH62)</f>
        <v>4250000</v>
      </c>
      <c r="AI63" s="16" t="n">
        <f aca="false">SUM(AI58:AI62)</f>
        <v>4250000</v>
      </c>
      <c r="AJ63" s="16" t="n">
        <f aca="false">SUM(AJ58:AJ62)</f>
        <v>4250000</v>
      </c>
      <c r="AK63" s="16" t="n">
        <f aca="false">SUM(AK58:AK62)</f>
        <v>4250000</v>
      </c>
      <c r="AL63" s="16" t="n">
        <f aca="false">SUM(AL58:AL62)</f>
        <v>4250000</v>
      </c>
      <c r="AM63" s="16" t="n">
        <f aca="false">SUM(AM58:AM62)</f>
        <v>4250000</v>
      </c>
      <c r="AN63" s="16" t="n">
        <f aca="false">SUM(AN58:AN62)</f>
        <v>4250000</v>
      </c>
      <c r="AO63" s="16" t="n">
        <f aca="false">SUM(AO58:AO62)</f>
        <v>4250000</v>
      </c>
      <c r="AP63" s="16" t="n">
        <f aca="false">SUM(AP58:AP62)</f>
        <v>4250000</v>
      </c>
      <c r="AQ63" s="16" t="n">
        <f aca="false">SUM(AQ58:AQ62)</f>
        <v>4250000</v>
      </c>
      <c r="AR63" s="16" t="n">
        <f aca="false">SUM(AR58:AR62)</f>
        <v>4250000</v>
      </c>
      <c r="AS63" s="16" t="n">
        <f aca="false">SUM(AS58:AS62)</f>
        <v>4250000</v>
      </c>
      <c r="AT63" s="16" t="n">
        <f aca="false">SUM(AT58:AT62)</f>
        <v>4250000</v>
      </c>
      <c r="AU63" s="16" t="n">
        <f aca="false">SUM(AU58:AU62)</f>
        <v>4250000</v>
      </c>
      <c r="AV63" s="16" t="n">
        <f aca="false">SUM(AV58:AV62)</f>
        <v>4250000</v>
      </c>
      <c r="AW63" s="16" t="n">
        <f aca="false">SUM(AW58:AW62)</f>
        <v>4250000</v>
      </c>
      <c r="AX63" s="16" t="n">
        <f aca="false">SUM(AX58:AX62)</f>
        <v>4250000</v>
      </c>
      <c r="AY63" s="16" t="n">
        <f aca="false">SUM(AY58:AY62)</f>
        <v>4250000</v>
      </c>
      <c r="AZ63" s="16" t="n">
        <f aca="false">SUM(AZ58:AZ62)</f>
        <v>4250000</v>
      </c>
      <c r="BA63" s="16" t="n">
        <f aca="false">SUM(BA58:BA62)</f>
        <v>4250000</v>
      </c>
      <c r="BB63" s="16" t="n">
        <f aca="false">SUM(BB58:BB62)</f>
        <v>4250000</v>
      </c>
      <c r="BC63" s="16" t="n">
        <f aca="false">SUM(BC58:BC62)</f>
        <v>4250000</v>
      </c>
      <c r="BD63" s="16" t="n">
        <f aca="false">SUM(BD58:BD62)</f>
        <v>4250000</v>
      </c>
      <c r="BE63" s="16" t="n">
        <f aca="false">SUM(BE58:BE62)</f>
        <v>4250000</v>
      </c>
      <c r="BF63" s="16" t="n">
        <f aca="false">SUM(BF58:BF62)</f>
        <v>4250000</v>
      </c>
      <c r="BG63" s="16" t="n">
        <f aca="false">SUM(BG58:BG62)</f>
        <v>4250000</v>
      </c>
      <c r="BH63" s="16" t="n">
        <f aca="false">SUM(BH58:BH62)</f>
        <v>4250000</v>
      </c>
      <c r="BI63" s="16" t="n">
        <f aca="false">SUM(BI58:BI62)</f>
        <v>4250000</v>
      </c>
      <c r="BJ63" s="16" t="n">
        <f aca="false">SUM(BJ58:BJ62)</f>
        <v>4250000</v>
      </c>
      <c r="BK63" s="16" t="n">
        <f aca="false">SUM(BK58:BK62)</f>
        <v>4250000</v>
      </c>
      <c r="BL63" s="16" t="n">
        <f aca="false">SUM(BL58:BL62)</f>
        <v>4250000</v>
      </c>
    </row>
    <row r="65" customFormat="false" ht="15" hidden="false" customHeight="false" outlineLevel="0" collapsed="false">
      <c r="A65" s="10" t="s">
        <v>697</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1086</v>
      </c>
      <c r="B66" s="14" t="s">
        <v>77</v>
      </c>
      <c r="D66" s="55" t="n">
        <f aca="false">SUM(E66:BL66)</f>
        <v>5500000</v>
      </c>
      <c r="E66" s="32" t="n">
        <f aca="false">IF(E$3=1,Company_Setup_SN,0)+IF(E$3=CI_Company_Month,Company_Setup_CI,0)</f>
        <v>2500000</v>
      </c>
      <c r="F66" s="32" t="n">
        <f aca="false">IF(F$3=1,Company_Setup_SN,0)+IF(F$3=CI_Company_Month,Company_Setup_CI,0)</f>
        <v>0</v>
      </c>
      <c r="G66" s="32" t="n">
        <f aca="false">IF(G$3=1,Company_Setup_SN,0)+IF(G$3=CI_Company_Month,Company_Setup_CI,0)</f>
        <v>0</v>
      </c>
      <c r="H66" s="32" t="n">
        <f aca="false">IF(H$3=1,Company_Setup_SN,0)+IF(H$3=CI_Company_Month,Company_Setup_CI,0)</f>
        <v>0</v>
      </c>
      <c r="I66" s="32" t="n">
        <f aca="false">IF(I$3=1,Company_Setup_SN,0)+IF(I$3=CI_Company_Month,Company_Setup_CI,0)</f>
        <v>0</v>
      </c>
      <c r="J66" s="32" t="n">
        <f aca="false">IF(J$3=1,Company_Setup_SN,0)+IF(J$3=CI_Company_Month,Company_Setup_CI,0)</f>
        <v>0</v>
      </c>
      <c r="K66" s="32" t="n">
        <f aca="false">IF(K$3=1,Company_Setup_SN,0)+IF(K$3=CI_Company_Month,Company_Setup_CI,0)</f>
        <v>0</v>
      </c>
      <c r="L66" s="32" t="n">
        <f aca="false">IF(L$3=1,Company_Setup_SN,0)+IF(L$3=CI_Company_Month,Company_Setup_CI,0)</f>
        <v>0</v>
      </c>
      <c r="M66" s="32" t="n">
        <f aca="false">IF(M$3=1,Company_Setup_SN,0)+IF(M$3=CI_Company_Month,Company_Setup_CI,0)</f>
        <v>0</v>
      </c>
      <c r="N66" s="32" t="n">
        <f aca="false">IF(N$3=1,Company_Setup_SN,0)+IF(N$3=CI_Company_Month,Company_Setup_CI,0)</f>
        <v>0</v>
      </c>
      <c r="O66" s="32" t="n">
        <f aca="false">IF(O$3=1,Company_Setup_SN,0)+IF(O$3=CI_Company_Month,Company_Setup_CI,0)</f>
        <v>0</v>
      </c>
      <c r="P66" s="32" t="n">
        <f aca="false">IF(P$3=1,Company_Setup_SN,0)+IF(P$3=CI_Company_Month,Company_Setup_CI,0)</f>
        <v>0</v>
      </c>
      <c r="Q66" s="32" t="n">
        <f aca="false">IF(Q$3=1,Company_Setup_SN,0)+IF(Q$3=CI_Company_Month,Company_Setup_CI,0)</f>
        <v>0</v>
      </c>
      <c r="R66" s="32" t="n">
        <f aca="false">IF(R$3=1,Company_Setup_SN,0)+IF(R$3=CI_Company_Month,Company_Setup_CI,0)</f>
        <v>0</v>
      </c>
      <c r="S66" s="32" t="n">
        <f aca="false">IF(S$3=1,Company_Setup_SN,0)+IF(S$3=CI_Company_Month,Company_Setup_CI,0)</f>
        <v>0</v>
      </c>
      <c r="T66" s="32" t="n">
        <f aca="false">IF(T$3=1,Company_Setup_SN,0)+IF(T$3=CI_Company_Month,Company_Setup_CI,0)</f>
        <v>3000000</v>
      </c>
      <c r="U66" s="32" t="n">
        <f aca="false">IF(U$3=1,Company_Setup_SN,0)+IF(U$3=CI_Company_Month,Company_Setup_CI,0)</f>
        <v>0</v>
      </c>
      <c r="V66" s="32" t="n">
        <f aca="false">IF(V$3=1,Company_Setup_SN,0)+IF(V$3=CI_Company_Month,Company_Setup_CI,0)</f>
        <v>0</v>
      </c>
      <c r="W66" s="32" t="n">
        <f aca="false">IF(W$3=1,Company_Setup_SN,0)+IF(W$3=CI_Company_Month,Company_Setup_CI,0)</f>
        <v>0</v>
      </c>
      <c r="X66" s="32" t="n">
        <f aca="false">IF(X$3=1,Company_Setup_SN,0)+IF(X$3=CI_Company_Month,Company_Setup_CI,0)</f>
        <v>0</v>
      </c>
      <c r="Y66" s="32" t="n">
        <f aca="false">IF(Y$3=1,Company_Setup_SN,0)+IF(Y$3=CI_Company_Month,Company_Setup_CI,0)</f>
        <v>0</v>
      </c>
      <c r="Z66" s="32" t="n">
        <f aca="false">IF(Z$3=1,Company_Setup_SN,0)+IF(Z$3=CI_Company_Month,Company_Setup_CI,0)</f>
        <v>0</v>
      </c>
      <c r="AA66" s="32" t="n">
        <f aca="false">IF(AA$3=1,Company_Setup_SN,0)+IF(AA$3=CI_Company_Month,Company_Setup_CI,0)</f>
        <v>0</v>
      </c>
      <c r="AB66" s="32" t="n">
        <f aca="false">IF(AB$3=1,Company_Setup_SN,0)+IF(AB$3=CI_Company_Month,Company_Setup_CI,0)</f>
        <v>0</v>
      </c>
      <c r="AC66" s="32" t="n">
        <f aca="false">IF(AC$3=1,Company_Setup_SN,0)+IF(AC$3=CI_Company_Month,Company_Setup_CI,0)</f>
        <v>0</v>
      </c>
      <c r="AD66" s="32" t="n">
        <f aca="false">IF(AD$3=1,Company_Setup_SN,0)+IF(AD$3=CI_Company_Month,Company_Setup_CI,0)</f>
        <v>0</v>
      </c>
      <c r="AE66" s="32" t="n">
        <f aca="false">IF(AE$3=1,Company_Setup_SN,0)+IF(AE$3=CI_Company_Month,Company_Setup_CI,0)</f>
        <v>0</v>
      </c>
      <c r="AF66" s="32" t="n">
        <f aca="false">IF(AF$3=1,Company_Setup_SN,0)+IF(AF$3=CI_Company_Month,Company_Setup_CI,0)</f>
        <v>0</v>
      </c>
      <c r="AG66" s="32" t="n">
        <f aca="false">IF(AG$3=1,Company_Setup_SN,0)+IF(AG$3=CI_Company_Month,Company_Setup_CI,0)</f>
        <v>0</v>
      </c>
      <c r="AH66" s="32" t="n">
        <f aca="false">IF(AH$3=1,Company_Setup_SN,0)+IF(AH$3=CI_Company_Month,Company_Setup_CI,0)</f>
        <v>0</v>
      </c>
      <c r="AI66" s="32" t="n">
        <f aca="false">IF(AI$3=1,Company_Setup_SN,0)+IF(AI$3=CI_Company_Month,Company_Setup_CI,0)</f>
        <v>0</v>
      </c>
      <c r="AJ66" s="32" t="n">
        <f aca="false">IF(AJ$3=1,Company_Setup_SN,0)+IF(AJ$3=CI_Company_Month,Company_Setup_CI,0)</f>
        <v>0</v>
      </c>
      <c r="AK66" s="32" t="n">
        <f aca="false">IF(AK$3=1,Company_Setup_SN,0)+IF(AK$3=CI_Company_Month,Company_Setup_CI,0)</f>
        <v>0</v>
      </c>
      <c r="AL66" s="32" t="n">
        <f aca="false">IF(AL$3=1,Company_Setup_SN,0)+IF(AL$3=CI_Company_Month,Company_Setup_CI,0)</f>
        <v>0</v>
      </c>
      <c r="AM66" s="32" t="n">
        <f aca="false">IF(AM$3=1,Company_Setup_SN,0)+IF(AM$3=CI_Company_Month,Company_Setup_CI,0)</f>
        <v>0</v>
      </c>
      <c r="AN66" s="32" t="n">
        <f aca="false">IF(AN$3=1,Company_Setup_SN,0)+IF(AN$3=CI_Company_Month,Company_Setup_CI,0)</f>
        <v>0</v>
      </c>
      <c r="AO66" s="32" t="n">
        <f aca="false">IF(AO$3=1,Company_Setup_SN,0)+IF(AO$3=CI_Company_Month,Company_Setup_CI,0)</f>
        <v>0</v>
      </c>
      <c r="AP66" s="32" t="n">
        <f aca="false">IF(AP$3=1,Company_Setup_SN,0)+IF(AP$3=CI_Company_Month,Company_Setup_CI,0)</f>
        <v>0</v>
      </c>
      <c r="AQ66" s="32" t="n">
        <f aca="false">IF(AQ$3=1,Company_Setup_SN,0)+IF(AQ$3=CI_Company_Month,Company_Setup_CI,0)</f>
        <v>0</v>
      </c>
      <c r="AR66" s="32" t="n">
        <f aca="false">IF(AR$3=1,Company_Setup_SN,0)+IF(AR$3=CI_Company_Month,Company_Setup_CI,0)</f>
        <v>0</v>
      </c>
      <c r="AS66" s="32" t="n">
        <f aca="false">IF(AS$3=1,Company_Setup_SN,0)+IF(AS$3=CI_Company_Month,Company_Setup_CI,0)</f>
        <v>0</v>
      </c>
      <c r="AT66" s="32" t="n">
        <f aca="false">IF(AT$3=1,Company_Setup_SN,0)+IF(AT$3=CI_Company_Month,Company_Setup_CI,0)</f>
        <v>0</v>
      </c>
      <c r="AU66" s="32" t="n">
        <f aca="false">IF(AU$3=1,Company_Setup_SN,0)+IF(AU$3=CI_Company_Month,Company_Setup_CI,0)</f>
        <v>0</v>
      </c>
      <c r="AV66" s="32" t="n">
        <f aca="false">IF(AV$3=1,Company_Setup_SN,0)+IF(AV$3=CI_Company_Month,Company_Setup_CI,0)</f>
        <v>0</v>
      </c>
      <c r="AW66" s="32" t="n">
        <f aca="false">IF(AW$3=1,Company_Setup_SN,0)+IF(AW$3=CI_Company_Month,Company_Setup_CI,0)</f>
        <v>0</v>
      </c>
      <c r="AX66" s="32" t="n">
        <f aca="false">IF(AX$3=1,Company_Setup_SN,0)+IF(AX$3=CI_Company_Month,Company_Setup_CI,0)</f>
        <v>0</v>
      </c>
      <c r="AY66" s="32" t="n">
        <f aca="false">IF(AY$3=1,Company_Setup_SN,0)+IF(AY$3=CI_Company_Month,Company_Setup_CI,0)</f>
        <v>0</v>
      </c>
      <c r="AZ66" s="32" t="n">
        <f aca="false">IF(AZ$3=1,Company_Setup_SN,0)+IF(AZ$3=CI_Company_Month,Company_Setup_CI,0)</f>
        <v>0</v>
      </c>
      <c r="BA66" s="32" t="n">
        <f aca="false">IF(BA$3=1,Company_Setup_SN,0)+IF(BA$3=CI_Company_Month,Company_Setup_CI,0)</f>
        <v>0</v>
      </c>
      <c r="BB66" s="32" t="n">
        <f aca="false">IF(BB$3=1,Company_Setup_SN,0)+IF(BB$3=CI_Company_Month,Company_Setup_CI,0)</f>
        <v>0</v>
      </c>
      <c r="BC66" s="32" t="n">
        <f aca="false">IF(BC$3=1,Company_Setup_SN,0)+IF(BC$3=CI_Company_Month,Company_Setup_CI,0)</f>
        <v>0</v>
      </c>
      <c r="BD66" s="32" t="n">
        <f aca="false">IF(BD$3=1,Company_Setup_SN,0)+IF(BD$3=CI_Company_Month,Company_Setup_CI,0)</f>
        <v>0</v>
      </c>
      <c r="BE66" s="32" t="n">
        <f aca="false">IF(BE$3=1,Company_Setup_SN,0)+IF(BE$3=CI_Company_Month,Company_Setup_CI,0)</f>
        <v>0</v>
      </c>
      <c r="BF66" s="32" t="n">
        <f aca="false">IF(BF$3=1,Company_Setup_SN,0)+IF(BF$3=CI_Company_Month,Company_Setup_CI,0)</f>
        <v>0</v>
      </c>
      <c r="BG66" s="32" t="n">
        <f aca="false">IF(BG$3=1,Company_Setup_SN,0)+IF(BG$3=CI_Company_Month,Company_Setup_CI,0)</f>
        <v>0</v>
      </c>
      <c r="BH66" s="32" t="n">
        <f aca="false">IF(BH$3=1,Company_Setup_SN,0)+IF(BH$3=CI_Company_Month,Company_Setup_CI,0)</f>
        <v>0</v>
      </c>
      <c r="BI66" s="32" t="n">
        <f aca="false">IF(BI$3=1,Company_Setup_SN,0)+IF(BI$3=CI_Company_Month,Company_Setup_CI,0)</f>
        <v>0</v>
      </c>
      <c r="BJ66" s="32" t="n">
        <f aca="false">IF(BJ$3=1,Company_Setup_SN,0)+IF(BJ$3=CI_Company_Month,Company_Setup_CI,0)</f>
        <v>0</v>
      </c>
      <c r="BK66" s="32" t="n">
        <f aca="false">IF(BK$3=1,Company_Setup_SN,0)+IF(BK$3=CI_Company_Month,Company_Setup_CI,0)</f>
        <v>0</v>
      </c>
      <c r="BL66" s="32" t="n">
        <f aca="false">IF(BL$3=1,Company_Setup_SN,0)+IF(BL$3=CI_Company_Month,Company_Setup_CI,0)</f>
        <v>0</v>
      </c>
    </row>
    <row r="67" customFormat="false" ht="15" hidden="false" customHeight="false" outlineLevel="0" collapsed="false">
      <c r="A67" s="12" t="s">
        <v>1087</v>
      </c>
      <c r="B67" s="14" t="s">
        <v>77</v>
      </c>
      <c r="D67" s="55" t="n">
        <f aca="false">SUM(E67:BL67)</f>
        <v>50000000</v>
      </c>
      <c r="E67" s="32" t="n">
        <f aca="false">INDEX(SFD_Project,1,E$5)/12</f>
        <v>0</v>
      </c>
      <c r="F67" s="32" t="n">
        <f aca="false">INDEX(SFD_Project,1,F$5)/12</f>
        <v>0</v>
      </c>
      <c r="G67" s="32" t="n">
        <f aca="false">INDEX(SFD_Project,1,G$5)/12</f>
        <v>0</v>
      </c>
      <c r="H67" s="32" t="n">
        <f aca="false">INDEX(SFD_Project,1,H$5)/12</f>
        <v>0</v>
      </c>
      <c r="I67" s="32" t="n">
        <f aca="false">INDEX(SFD_Project,1,I$5)/12</f>
        <v>0</v>
      </c>
      <c r="J67" s="32" t="n">
        <f aca="false">INDEX(SFD_Project,1,J$5)/12</f>
        <v>0</v>
      </c>
      <c r="K67" s="32" t="n">
        <f aca="false">INDEX(SFD_Project,1,K$5)/12</f>
        <v>0</v>
      </c>
      <c r="L67" s="32" t="n">
        <f aca="false">INDEX(SFD_Project,1,L$5)/12</f>
        <v>0</v>
      </c>
      <c r="M67" s="32" t="n">
        <f aca="false">INDEX(SFD_Project,1,M$5)/12</f>
        <v>0</v>
      </c>
      <c r="N67" s="32" t="n">
        <f aca="false">INDEX(SFD_Project,1,N$5)/12</f>
        <v>0</v>
      </c>
      <c r="O67" s="32" t="n">
        <f aca="false">INDEX(SFD_Project,1,O$5)/12</f>
        <v>0</v>
      </c>
      <c r="P67" s="32" t="n">
        <f aca="false">INDEX(SFD_Project,1,P$5)/12</f>
        <v>0</v>
      </c>
      <c r="Q67" s="32" t="n">
        <f aca="false">INDEX(SFD_Project,1,Q$5)/12</f>
        <v>3333333.33333333</v>
      </c>
      <c r="R67" s="32" t="n">
        <f aca="false">INDEX(SFD_Project,1,R$5)/12</f>
        <v>3333333.33333333</v>
      </c>
      <c r="S67" s="32" t="n">
        <f aca="false">INDEX(SFD_Project,1,S$5)/12</f>
        <v>3333333.33333333</v>
      </c>
      <c r="T67" s="32" t="n">
        <f aca="false">INDEX(SFD_Project,1,T$5)/12</f>
        <v>3333333.33333333</v>
      </c>
      <c r="U67" s="32" t="n">
        <f aca="false">INDEX(SFD_Project,1,U$5)/12</f>
        <v>3333333.33333333</v>
      </c>
      <c r="V67" s="32" t="n">
        <f aca="false">INDEX(SFD_Project,1,V$5)/12</f>
        <v>3333333.33333333</v>
      </c>
      <c r="W67" s="32" t="n">
        <f aca="false">INDEX(SFD_Project,1,W$5)/12</f>
        <v>3333333.33333333</v>
      </c>
      <c r="X67" s="32" t="n">
        <f aca="false">INDEX(SFD_Project,1,X$5)/12</f>
        <v>3333333.33333333</v>
      </c>
      <c r="Y67" s="32" t="n">
        <f aca="false">INDEX(SFD_Project,1,Y$5)/12</f>
        <v>3333333.33333333</v>
      </c>
      <c r="Z67" s="32" t="n">
        <f aca="false">INDEX(SFD_Project,1,Z$5)/12</f>
        <v>3333333.33333333</v>
      </c>
      <c r="AA67" s="32" t="n">
        <f aca="false">INDEX(SFD_Project,1,AA$5)/12</f>
        <v>3333333.33333333</v>
      </c>
      <c r="AB67" s="32" t="n">
        <f aca="false">INDEX(SFD_Project,1,AB$5)/12</f>
        <v>3333333.33333333</v>
      </c>
      <c r="AC67" s="32" t="n">
        <f aca="false">INDEX(SFD_Project,1,AC$5)/12</f>
        <v>833333.333333333</v>
      </c>
      <c r="AD67" s="32" t="n">
        <f aca="false">INDEX(SFD_Project,1,AD$5)/12</f>
        <v>833333.333333333</v>
      </c>
      <c r="AE67" s="32" t="n">
        <f aca="false">INDEX(SFD_Project,1,AE$5)/12</f>
        <v>833333.333333333</v>
      </c>
      <c r="AF67" s="32" t="n">
        <f aca="false">INDEX(SFD_Project,1,AF$5)/12</f>
        <v>833333.333333333</v>
      </c>
      <c r="AG67" s="32" t="n">
        <f aca="false">INDEX(SFD_Project,1,AG$5)/12</f>
        <v>833333.333333333</v>
      </c>
      <c r="AH67" s="32" t="n">
        <f aca="false">INDEX(SFD_Project,1,AH$5)/12</f>
        <v>833333.333333333</v>
      </c>
      <c r="AI67" s="32" t="n">
        <f aca="false">INDEX(SFD_Project,1,AI$5)/12</f>
        <v>833333.333333333</v>
      </c>
      <c r="AJ67" s="32" t="n">
        <f aca="false">INDEX(SFD_Project,1,AJ$5)/12</f>
        <v>833333.333333333</v>
      </c>
      <c r="AK67" s="32" t="n">
        <f aca="false">INDEX(SFD_Project,1,AK$5)/12</f>
        <v>833333.333333333</v>
      </c>
      <c r="AL67" s="32" t="n">
        <f aca="false">INDEX(SFD_Project,1,AL$5)/12</f>
        <v>833333.333333333</v>
      </c>
      <c r="AM67" s="32" t="n">
        <f aca="false">INDEX(SFD_Project,1,AM$5)/12</f>
        <v>833333.333333333</v>
      </c>
      <c r="AN67" s="32" t="n">
        <f aca="false">INDEX(SFD_Project,1,AN$5)/12</f>
        <v>833333.333333333</v>
      </c>
      <c r="AO67" s="32" t="n">
        <f aca="false">INDEX(SFD_Project,1,AO$5)/12</f>
        <v>0</v>
      </c>
      <c r="AP67" s="32" t="n">
        <f aca="false">INDEX(SFD_Project,1,AP$5)/12</f>
        <v>0</v>
      </c>
      <c r="AQ67" s="32" t="n">
        <f aca="false">INDEX(SFD_Project,1,AQ$5)/12</f>
        <v>0</v>
      </c>
      <c r="AR67" s="32" t="n">
        <f aca="false">INDEX(SFD_Project,1,AR$5)/12</f>
        <v>0</v>
      </c>
      <c r="AS67" s="32" t="n">
        <f aca="false">INDEX(SFD_Project,1,AS$5)/12</f>
        <v>0</v>
      </c>
      <c r="AT67" s="32" t="n">
        <f aca="false">INDEX(SFD_Project,1,AT$5)/12</f>
        <v>0</v>
      </c>
      <c r="AU67" s="32" t="n">
        <f aca="false">INDEX(SFD_Project,1,AU$5)/12</f>
        <v>0</v>
      </c>
      <c r="AV67" s="32" t="n">
        <f aca="false">INDEX(SFD_Project,1,AV$5)/12</f>
        <v>0</v>
      </c>
      <c r="AW67" s="32" t="n">
        <f aca="false">INDEX(SFD_Project,1,AW$5)/12</f>
        <v>0</v>
      </c>
      <c r="AX67" s="32" t="n">
        <f aca="false">INDEX(SFD_Project,1,AX$5)/12</f>
        <v>0</v>
      </c>
      <c r="AY67" s="32" t="n">
        <f aca="false">INDEX(SFD_Project,1,AY$5)/12</f>
        <v>0</v>
      </c>
      <c r="AZ67" s="32" t="n">
        <f aca="false">INDEX(SFD_Project,1,AZ$5)/12</f>
        <v>0</v>
      </c>
      <c r="BA67" s="32" t="n">
        <f aca="false">INDEX(SFD_Project,1,BA$5)/12</f>
        <v>0</v>
      </c>
      <c r="BB67" s="32" t="n">
        <f aca="false">INDEX(SFD_Project,1,BB$5)/12</f>
        <v>0</v>
      </c>
      <c r="BC67" s="32" t="n">
        <f aca="false">INDEX(SFD_Project,1,BC$5)/12</f>
        <v>0</v>
      </c>
      <c r="BD67" s="32" t="n">
        <f aca="false">INDEX(SFD_Project,1,BD$5)/12</f>
        <v>0</v>
      </c>
      <c r="BE67" s="32" t="n">
        <f aca="false">INDEX(SFD_Project,1,BE$5)/12</f>
        <v>0</v>
      </c>
      <c r="BF67" s="32" t="n">
        <f aca="false">INDEX(SFD_Project,1,BF$5)/12</f>
        <v>0</v>
      </c>
      <c r="BG67" s="32" t="n">
        <f aca="false">INDEX(SFD_Project,1,BG$5)/12</f>
        <v>0</v>
      </c>
      <c r="BH67" s="32" t="n">
        <f aca="false">INDEX(SFD_Project,1,BH$5)/12</f>
        <v>0</v>
      </c>
      <c r="BI67" s="32" t="n">
        <f aca="false">INDEX(SFD_Project,1,BI$5)/12</f>
        <v>0</v>
      </c>
      <c r="BJ67" s="32" t="n">
        <f aca="false">INDEX(SFD_Project,1,BJ$5)/12</f>
        <v>0</v>
      </c>
      <c r="BK67" s="32" t="n">
        <f aca="false">INDEX(SFD_Project,1,BK$5)/12</f>
        <v>0</v>
      </c>
      <c r="BL67" s="32" t="n">
        <f aca="false">INDEX(SFD_Project,1,BL$5)/12</f>
        <v>0</v>
      </c>
    </row>
    <row r="68" customFormat="false" ht="15" hidden="false" customHeight="false" outlineLevel="0" collapsed="false">
      <c r="A68" s="12" t="s">
        <v>1088</v>
      </c>
      <c r="B68" s="14" t="s">
        <v>77</v>
      </c>
      <c r="D68" s="55" t="n">
        <f aca="false">SUM(E68:BL68)</f>
        <v>147000000</v>
      </c>
      <c r="E68" s="32" t="n">
        <f aca="false">IF(E$3&gt;=SFD_Acq_Month,INDEX(SFD_Running,1,E$5)/12,0)</f>
        <v>0</v>
      </c>
      <c r="F68" s="32" t="n">
        <f aca="false">IF(F$3&gt;=SFD_Acq_Month,INDEX(SFD_Running,1,F$5)/12,0)</f>
        <v>0</v>
      </c>
      <c r="G68" s="32" t="n">
        <f aca="false">IF(G$3&gt;=SFD_Acq_Month,INDEX(SFD_Running,1,G$5)/12,0)</f>
        <v>0</v>
      </c>
      <c r="H68" s="32" t="n">
        <f aca="false">IF(H$3&gt;=SFD_Acq_Month,INDEX(SFD_Running,1,H$5)/12,0)</f>
        <v>0</v>
      </c>
      <c r="I68" s="32" t="n">
        <f aca="false">IF(I$3&gt;=SFD_Acq_Month,INDEX(SFD_Running,1,I$5)/12,0)</f>
        <v>0</v>
      </c>
      <c r="J68" s="32" t="n">
        <f aca="false">IF(J$3&gt;=SFD_Acq_Month,INDEX(SFD_Running,1,J$5)/12,0)</f>
        <v>0</v>
      </c>
      <c r="K68" s="32" t="n">
        <f aca="false">IF(K$3&gt;=SFD_Acq_Month,INDEX(SFD_Running,1,K$5)/12,0)</f>
        <v>0</v>
      </c>
      <c r="L68" s="32" t="n">
        <f aca="false">IF(L$3&gt;=SFD_Acq_Month,INDEX(SFD_Running,1,L$5)/12,0)</f>
        <v>0</v>
      </c>
      <c r="M68" s="32" t="n">
        <f aca="false">IF(M$3&gt;=SFD_Acq_Month,INDEX(SFD_Running,1,M$5)/12,0)</f>
        <v>0</v>
      </c>
      <c r="N68" s="32" t="n">
        <f aca="false">IF(N$3&gt;=SFD_Acq_Month,INDEX(SFD_Running,1,N$5)/12,0)</f>
        <v>0</v>
      </c>
      <c r="O68" s="32" t="n">
        <f aca="false">IF(O$3&gt;=SFD_Acq_Month,INDEX(SFD_Running,1,O$5)/12,0)</f>
        <v>0</v>
      </c>
      <c r="P68" s="32" t="n">
        <f aca="false">IF(P$3&gt;=SFD_Acq_Month,INDEX(SFD_Running,1,P$5)/12,0)</f>
        <v>0</v>
      </c>
      <c r="Q68" s="32" t="n">
        <f aca="false">IF(Q$3&gt;=SFD_Acq_Month,INDEX(SFD_Running,1,Q$5)/12,0)</f>
        <v>0</v>
      </c>
      <c r="R68" s="32" t="n">
        <f aca="false">IF(R$3&gt;=SFD_Acq_Month,INDEX(SFD_Running,1,R$5)/12,0)</f>
        <v>0</v>
      </c>
      <c r="S68" s="32" t="n">
        <f aca="false">IF(S$3&gt;=SFD_Acq_Month,INDEX(SFD_Running,1,S$5)/12,0)</f>
        <v>0</v>
      </c>
      <c r="T68" s="32" t="n">
        <f aca="false">IF(T$3&gt;=SFD_Acq_Month,INDEX(SFD_Running,1,T$5)/12,0)</f>
        <v>0</v>
      </c>
      <c r="U68" s="32" t="n">
        <f aca="false">IF(U$3&gt;=SFD_Acq_Month,INDEX(SFD_Running,1,U$5)/12,0)</f>
        <v>0</v>
      </c>
      <c r="V68" s="32" t="n">
        <f aca="false">IF(V$3&gt;=SFD_Acq_Month,INDEX(SFD_Running,1,V$5)/12,0)</f>
        <v>0</v>
      </c>
      <c r="W68" s="32" t="n">
        <f aca="false">IF(W$3&gt;=SFD_Acq_Month,INDEX(SFD_Running,1,W$5)/12,0)</f>
        <v>0</v>
      </c>
      <c r="X68" s="32" t="n">
        <f aca="false">IF(X$3&gt;=SFD_Acq_Month,INDEX(SFD_Running,1,X$5)/12,0)</f>
        <v>0</v>
      </c>
      <c r="Y68" s="32" t="n">
        <f aca="false">IF(Y$3&gt;=SFD_Acq_Month,INDEX(SFD_Running,1,Y$5)/12,0)</f>
        <v>0</v>
      </c>
      <c r="Z68" s="32" t="n">
        <f aca="false">IF(Z$3&gt;=SFD_Acq_Month,INDEX(SFD_Running,1,Z$5)/12,0)</f>
        <v>0</v>
      </c>
      <c r="AA68" s="32" t="n">
        <f aca="false">IF(AA$3&gt;=SFD_Acq_Month,INDEX(SFD_Running,1,AA$5)/12,0)</f>
        <v>0</v>
      </c>
      <c r="AB68" s="32" t="n">
        <f aca="false">IF(AB$3&gt;=SFD_Acq_Month,INDEX(SFD_Running,1,AB$5)/12,0)</f>
        <v>3000000</v>
      </c>
      <c r="AC68" s="32" t="n">
        <f aca="false">IF(AC$3&gt;=SFD_Acq_Month,INDEX(SFD_Running,1,AC$5)/12,0)</f>
        <v>3500000</v>
      </c>
      <c r="AD68" s="32" t="n">
        <f aca="false">IF(AD$3&gt;=SFD_Acq_Month,INDEX(SFD_Running,1,AD$5)/12,0)</f>
        <v>3500000</v>
      </c>
      <c r="AE68" s="32" t="n">
        <f aca="false">IF(AE$3&gt;=SFD_Acq_Month,INDEX(SFD_Running,1,AE$5)/12,0)</f>
        <v>3500000</v>
      </c>
      <c r="AF68" s="32" t="n">
        <f aca="false">IF(AF$3&gt;=SFD_Acq_Month,INDEX(SFD_Running,1,AF$5)/12,0)</f>
        <v>3500000</v>
      </c>
      <c r="AG68" s="32" t="n">
        <f aca="false">IF(AG$3&gt;=SFD_Acq_Month,INDEX(SFD_Running,1,AG$5)/12,0)</f>
        <v>3500000</v>
      </c>
      <c r="AH68" s="32" t="n">
        <f aca="false">IF(AH$3&gt;=SFD_Acq_Month,INDEX(SFD_Running,1,AH$5)/12,0)</f>
        <v>3500000</v>
      </c>
      <c r="AI68" s="32" t="n">
        <f aca="false">IF(AI$3&gt;=SFD_Acq_Month,INDEX(SFD_Running,1,AI$5)/12,0)</f>
        <v>3500000</v>
      </c>
      <c r="AJ68" s="32" t="n">
        <f aca="false">IF(AJ$3&gt;=SFD_Acq_Month,INDEX(SFD_Running,1,AJ$5)/12,0)</f>
        <v>3500000</v>
      </c>
      <c r="AK68" s="32" t="n">
        <f aca="false">IF(AK$3&gt;=SFD_Acq_Month,INDEX(SFD_Running,1,AK$5)/12,0)</f>
        <v>3500000</v>
      </c>
      <c r="AL68" s="32" t="n">
        <f aca="false">IF(AL$3&gt;=SFD_Acq_Month,INDEX(SFD_Running,1,AL$5)/12,0)</f>
        <v>3500000</v>
      </c>
      <c r="AM68" s="32" t="n">
        <f aca="false">IF(AM$3&gt;=SFD_Acq_Month,INDEX(SFD_Running,1,AM$5)/12,0)</f>
        <v>3500000</v>
      </c>
      <c r="AN68" s="32" t="n">
        <f aca="false">IF(AN$3&gt;=SFD_Acq_Month,INDEX(SFD_Running,1,AN$5)/12,0)</f>
        <v>3500000</v>
      </c>
      <c r="AO68" s="32" t="n">
        <f aca="false">IF(AO$3&gt;=SFD_Acq_Month,INDEX(SFD_Running,1,AO$5)/12,0)</f>
        <v>4000000</v>
      </c>
      <c r="AP68" s="32" t="n">
        <f aca="false">IF(AP$3&gt;=SFD_Acq_Month,INDEX(SFD_Running,1,AP$5)/12,0)</f>
        <v>4000000</v>
      </c>
      <c r="AQ68" s="32" t="n">
        <f aca="false">IF(AQ$3&gt;=SFD_Acq_Month,INDEX(SFD_Running,1,AQ$5)/12,0)</f>
        <v>4000000</v>
      </c>
      <c r="AR68" s="32" t="n">
        <f aca="false">IF(AR$3&gt;=SFD_Acq_Month,INDEX(SFD_Running,1,AR$5)/12,0)</f>
        <v>4000000</v>
      </c>
      <c r="AS68" s="32" t="n">
        <f aca="false">IF(AS$3&gt;=SFD_Acq_Month,INDEX(SFD_Running,1,AS$5)/12,0)</f>
        <v>4000000</v>
      </c>
      <c r="AT68" s="32" t="n">
        <f aca="false">IF(AT$3&gt;=SFD_Acq_Month,INDEX(SFD_Running,1,AT$5)/12,0)</f>
        <v>4000000</v>
      </c>
      <c r="AU68" s="32" t="n">
        <f aca="false">IF(AU$3&gt;=SFD_Acq_Month,INDEX(SFD_Running,1,AU$5)/12,0)</f>
        <v>4000000</v>
      </c>
      <c r="AV68" s="32" t="n">
        <f aca="false">IF(AV$3&gt;=SFD_Acq_Month,INDEX(SFD_Running,1,AV$5)/12,0)</f>
        <v>4000000</v>
      </c>
      <c r="AW68" s="32" t="n">
        <f aca="false">IF(AW$3&gt;=SFD_Acq_Month,INDEX(SFD_Running,1,AW$5)/12,0)</f>
        <v>4000000</v>
      </c>
      <c r="AX68" s="32" t="n">
        <f aca="false">IF(AX$3&gt;=SFD_Acq_Month,INDEX(SFD_Running,1,AX$5)/12,0)</f>
        <v>4000000</v>
      </c>
      <c r="AY68" s="32" t="n">
        <f aca="false">IF(AY$3&gt;=SFD_Acq_Month,INDEX(SFD_Running,1,AY$5)/12,0)</f>
        <v>4000000</v>
      </c>
      <c r="AZ68" s="32" t="n">
        <f aca="false">IF(AZ$3&gt;=SFD_Acq_Month,INDEX(SFD_Running,1,AZ$5)/12,0)</f>
        <v>4000000</v>
      </c>
      <c r="BA68" s="32" t="n">
        <f aca="false">IF(BA$3&gt;=SFD_Acq_Month,INDEX(SFD_Running,1,BA$5)/12,0)</f>
        <v>4500000</v>
      </c>
      <c r="BB68" s="32" t="n">
        <f aca="false">IF(BB$3&gt;=SFD_Acq_Month,INDEX(SFD_Running,1,BB$5)/12,0)</f>
        <v>4500000</v>
      </c>
      <c r="BC68" s="32" t="n">
        <f aca="false">IF(BC$3&gt;=SFD_Acq_Month,INDEX(SFD_Running,1,BC$5)/12,0)</f>
        <v>4500000</v>
      </c>
      <c r="BD68" s="32" t="n">
        <f aca="false">IF(BD$3&gt;=SFD_Acq_Month,INDEX(SFD_Running,1,BD$5)/12,0)</f>
        <v>4500000</v>
      </c>
      <c r="BE68" s="32" t="n">
        <f aca="false">IF(BE$3&gt;=SFD_Acq_Month,INDEX(SFD_Running,1,BE$5)/12,0)</f>
        <v>4500000</v>
      </c>
      <c r="BF68" s="32" t="n">
        <f aca="false">IF(BF$3&gt;=SFD_Acq_Month,INDEX(SFD_Running,1,BF$5)/12,0)</f>
        <v>4500000</v>
      </c>
      <c r="BG68" s="32" t="n">
        <f aca="false">IF(BG$3&gt;=SFD_Acq_Month,INDEX(SFD_Running,1,BG$5)/12,0)</f>
        <v>4500000</v>
      </c>
      <c r="BH68" s="32" t="n">
        <f aca="false">IF(BH$3&gt;=SFD_Acq_Month,INDEX(SFD_Running,1,BH$5)/12,0)</f>
        <v>4500000</v>
      </c>
      <c r="BI68" s="32" t="n">
        <f aca="false">IF(BI$3&gt;=SFD_Acq_Month,INDEX(SFD_Running,1,BI$5)/12,0)</f>
        <v>4500000</v>
      </c>
      <c r="BJ68" s="32" t="n">
        <f aca="false">IF(BJ$3&gt;=SFD_Acq_Month,INDEX(SFD_Running,1,BJ$5)/12,0)</f>
        <v>4500000</v>
      </c>
      <c r="BK68" s="32" t="n">
        <f aca="false">IF(BK$3&gt;=SFD_Acq_Month,INDEX(SFD_Running,1,BK$5)/12,0)</f>
        <v>4500000</v>
      </c>
      <c r="BL68" s="32" t="n">
        <f aca="false">IF(BL$3&gt;=SFD_Acq_Month,INDEX(SFD_Running,1,BL$5)/12,0)</f>
        <v>4500000</v>
      </c>
    </row>
    <row r="69" customFormat="false" ht="15" hidden="false" customHeight="false" outlineLevel="0" collapsed="false">
      <c r="A69" s="12" t="s">
        <v>705</v>
      </c>
      <c r="B69" s="14" t="s">
        <v>77</v>
      </c>
      <c r="D69" s="55" t="n">
        <f aca="false">SUM(E69:BL69)</f>
        <v>120000000</v>
      </c>
      <c r="E69" s="32" t="n">
        <f aca="false">INDEX(Legal_Counsel,1,E$5)</f>
        <v>1000000</v>
      </c>
      <c r="F69" s="32" t="n">
        <f aca="false">INDEX(Legal_Counsel,1,F$5)</f>
        <v>1000000</v>
      </c>
      <c r="G69" s="32" t="n">
        <f aca="false">INDEX(Legal_Counsel,1,G$5)</f>
        <v>1000000</v>
      </c>
      <c r="H69" s="32" t="n">
        <f aca="false">INDEX(Legal_Counsel,1,H$5)</f>
        <v>1000000</v>
      </c>
      <c r="I69" s="32" t="n">
        <f aca="false">INDEX(Legal_Counsel,1,I$5)</f>
        <v>1000000</v>
      </c>
      <c r="J69" s="32" t="n">
        <f aca="false">INDEX(Legal_Counsel,1,J$5)</f>
        <v>1000000</v>
      </c>
      <c r="K69" s="32" t="n">
        <f aca="false">INDEX(Legal_Counsel,1,K$5)</f>
        <v>1000000</v>
      </c>
      <c r="L69" s="32" t="n">
        <f aca="false">INDEX(Legal_Counsel,1,L$5)</f>
        <v>1000000</v>
      </c>
      <c r="M69" s="32" t="n">
        <f aca="false">INDEX(Legal_Counsel,1,M$5)</f>
        <v>1000000</v>
      </c>
      <c r="N69" s="32" t="n">
        <f aca="false">INDEX(Legal_Counsel,1,N$5)</f>
        <v>1000000</v>
      </c>
      <c r="O69" s="32" t="n">
        <f aca="false">INDEX(Legal_Counsel,1,O$5)</f>
        <v>1000000</v>
      </c>
      <c r="P69" s="32" t="n">
        <f aca="false">INDEX(Legal_Counsel,1,P$5)</f>
        <v>1000000</v>
      </c>
      <c r="Q69" s="32" t="n">
        <f aca="false">INDEX(Legal_Counsel,1,Q$5)</f>
        <v>1500000</v>
      </c>
      <c r="R69" s="32" t="n">
        <f aca="false">INDEX(Legal_Counsel,1,R$5)</f>
        <v>1500000</v>
      </c>
      <c r="S69" s="32" t="n">
        <f aca="false">INDEX(Legal_Counsel,1,S$5)</f>
        <v>1500000</v>
      </c>
      <c r="T69" s="32" t="n">
        <f aca="false">INDEX(Legal_Counsel,1,T$5)</f>
        <v>1500000</v>
      </c>
      <c r="U69" s="32" t="n">
        <f aca="false">INDEX(Legal_Counsel,1,U$5)</f>
        <v>1500000</v>
      </c>
      <c r="V69" s="32" t="n">
        <f aca="false">INDEX(Legal_Counsel,1,V$5)</f>
        <v>1500000</v>
      </c>
      <c r="W69" s="32" t="n">
        <f aca="false">INDEX(Legal_Counsel,1,W$5)</f>
        <v>1500000</v>
      </c>
      <c r="X69" s="32" t="n">
        <f aca="false">INDEX(Legal_Counsel,1,X$5)</f>
        <v>1500000</v>
      </c>
      <c r="Y69" s="32" t="n">
        <f aca="false">INDEX(Legal_Counsel,1,Y$5)</f>
        <v>1500000</v>
      </c>
      <c r="Z69" s="32" t="n">
        <f aca="false">INDEX(Legal_Counsel,1,Z$5)</f>
        <v>1500000</v>
      </c>
      <c r="AA69" s="32" t="n">
        <f aca="false">INDEX(Legal_Counsel,1,AA$5)</f>
        <v>1500000</v>
      </c>
      <c r="AB69" s="32" t="n">
        <f aca="false">INDEX(Legal_Counsel,1,AB$5)</f>
        <v>1500000</v>
      </c>
      <c r="AC69" s="32" t="n">
        <f aca="false">INDEX(Legal_Counsel,1,AC$5)</f>
        <v>2000000</v>
      </c>
      <c r="AD69" s="32" t="n">
        <f aca="false">INDEX(Legal_Counsel,1,AD$5)</f>
        <v>2000000</v>
      </c>
      <c r="AE69" s="32" t="n">
        <f aca="false">INDEX(Legal_Counsel,1,AE$5)</f>
        <v>2000000</v>
      </c>
      <c r="AF69" s="32" t="n">
        <f aca="false">INDEX(Legal_Counsel,1,AF$5)</f>
        <v>2000000</v>
      </c>
      <c r="AG69" s="32" t="n">
        <f aca="false">INDEX(Legal_Counsel,1,AG$5)</f>
        <v>2000000</v>
      </c>
      <c r="AH69" s="32" t="n">
        <f aca="false">INDEX(Legal_Counsel,1,AH$5)</f>
        <v>2000000</v>
      </c>
      <c r="AI69" s="32" t="n">
        <f aca="false">INDEX(Legal_Counsel,1,AI$5)</f>
        <v>2000000</v>
      </c>
      <c r="AJ69" s="32" t="n">
        <f aca="false">INDEX(Legal_Counsel,1,AJ$5)</f>
        <v>2000000</v>
      </c>
      <c r="AK69" s="32" t="n">
        <f aca="false">INDEX(Legal_Counsel,1,AK$5)</f>
        <v>2000000</v>
      </c>
      <c r="AL69" s="32" t="n">
        <f aca="false">INDEX(Legal_Counsel,1,AL$5)</f>
        <v>2000000</v>
      </c>
      <c r="AM69" s="32" t="n">
        <f aca="false">INDEX(Legal_Counsel,1,AM$5)</f>
        <v>2000000</v>
      </c>
      <c r="AN69" s="32" t="n">
        <f aca="false">INDEX(Legal_Counsel,1,AN$5)</f>
        <v>2000000</v>
      </c>
      <c r="AO69" s="32" t="n">
        <f aca="false">INDEX(Legal_Counsel,1,AO$5)</f>
        <v>2500000</v>
      </c>
      <c r="AP69" s="32" t="n">
        <f aca="false">INDEX(Legal_Counsel,1,AP$5)</f>
        <v>2500000</v>
      </c>
      <c r="AQ69" s="32" t="n">
        <f aca="false">INDEX(Legal_Counsel,1,AQ$5)</f>
        <v>2500000</v>
      </c>
      <c r="AR69" s="32" t="n">
        <f aca="false">INDEX(Legal_Counsel,1,AR$5)</f>
        <v>2500000</v>
      </c>
      <c r="AS69" s="32" t="n">
        <f aca="false">INDEX(Legal_Counsel,1,AS$5)</f>
        <v>2500000</v>
      </c>
      <c r="AT69" s="32" t="n">
        <f aca="false">INDEX(Legal_Counsel,1,AT$5)</f>
        <v>2500000</v>
      </c>
      <c r="AU69" s="32" t="n">
        <f aca="false">INDEX(Legal_Counsel,1,AU$5)</f>
        <v>2500000</v>
      </c>
      <c r="AV69" s="32" t="n">
        <f aca="false">INDEX(Legal_Counsel,1,AV$5)</f>
        <v>2500000</v>
      </c>
      <c r="AW69" s="32" t="n">
        <f aca="false">INDEX(Legal_Counsel,1,AW$5)</f>
        <v>2500000</v>
      </c>
      <c r="AX69" s="32" t="n">
        <f aca="false">INDEX(Legal_Counsel,1,AX$5)</f>
        <v>2500000</v>
      </c>
      <c r="AY69" s="32" t="n">
        <f aca="false">INDEX(Legal_Counsel,1,AY$5)</f>
        <v>2500000</v>
      </c>
      <c r="AZ69" s="32" t="n">
        <f aca="false">INDEX(Legal_Counsel,1,AZ$5)</f>
        <v>2500000</v>
      </c>
      <c r="BA69" s="32" t="n">
        <f aca="false">INDEX(Legal_Counsel,1,BA$5)</f>
        <v>3000000</v>
      </c>
      <c r="BB69" s="32" t="n">
        <f aca="false">INDEX(Legal_Counsel,1,BB$5)</f>
        <v>3000000</v>
      </c>
      <c r="BC69" s="32" t="n">
        <f aca="false">INDEX(Legal_Counsel,1,BC$5)</f>
        <v>3000000</v>
      </c>
      <c r="BD69" s="32" t="n">
        <f aca="false">INDEX(Legal_Counsel,1,BD$5)</f>
        <v>3000000</v>
      </c>
      <c r="BE69" s="32" t="n">
        <f aca="false">INDEX(Legal_Counsel,1,BE$5)</f>
        <v>3000000</v>
      </c>
      <c r="BF69" s="32" t="n">
        <f aca="false">INDEX(Legal_Counsel,1,BF$5)</f>
        <v>3000000</v>
      </c>
      <c r="BG69" s="32" t="n">
        <f aca="false">INDEX(Legal_Counsel,1,BG$5)</f>
        <v>3000000</v>
      </c>
      <c r="BH69" s="32" t="n">
        <f aca="false">INDEX(Legal_Counsel,1,BH$5)</f>
        <v>3000000</v>
      </c>
      <c r="BI69" s="32" t="n">
        <f aca="false">INDEX(Legal_Counsel,1,BI$5)</f>
        <v>3000000</v>
      </c>
      <c r="BJ69" s="32" t="n">
        <f aca="false">INDEX(Legal_Counsel,1,BJ$5)</f>
        <v>3000000</v>
      </c>
      <c r="BK69" s="32" t="n">
        <f aca="false">INDEX(Legal_Counsel,1,BK$5)</f>
        <v>3000000</v>
      </c>
      <c r="BL69" s="32" t="n">
        <f aca="false">INDEX(Legal_Counsel,1,BL$5)</f>
        <v>3000000</v>
      </c>
    </row>
    <row r="70" customFormat="false" ht="15" hidden="false" customHeight="false" outlineLevel="0" collapsed="false">
      <c r="A70" s="12" t="s">
        <v>706</v>
      </c>
      <c r="B70" s="14" t="s">
        <v>77</v>
      </c>
      <c r="D70" s="55" t="n">
        <f aca="false">SUM(E70:BL70)</f>
        <v>105000000</v>
      </c>
      <c r="E70" s="32" t="n">
        <f aca="false">INDEX(Auditor,1,E$5)/12</f>
        <v>416666.666666667</v>
      </c>
      <c r="F70" s="32" t="n">
        <f aca="false">INDEX(Auditor,1,F$5)/12</f>
        <v>416666.666666667</v>
      </c>
      <c r="G70" s="32" t="n">
        <f aca="false">INDEX(Auditor,1,G$5)/12</f>
        <v>416666.666666667</v>
      </c>
      <c r="H70" s="32" t="n">
        <f aca="false">INDEX(Auditor,1,H$5)/12</f>
        <v>416666.666666667</v>
      </c>
      <c r="I70" s="32" t="n">
        <f aca="false">INDEX(Auditor,1,I$5)/12</f>
        <v>416666.666666667</v>
      </c>
      <c r="J70" s="32" t="n">
        <f aca="false">INDEX(Auditor,1,J$5)/12</f>
        <v>416666.666666667</v>
      </c>
      <c r="K70" s="32" t="n">
        <f aca="false">INDEX(Auditor,1,K$5)/12</f>
        <v>416666.666666667</v>
      </c>
      <c r="L70" s="32" t="n">
        <f aca="false">INDEX(Auditor,1,L$5)/12</f>
        <v>416666.666666667</v>
      </c>
      <c r="M70" s="32" t="n">
        <f aca="false">INDEX(Auditor,1,M$5)/12</f>
        <v>416666.666666667</v>
      </c>
      <c r="N70" s="32" t="n">
        <f aca="false">INDEX(Auditor,1,N$5)/12</f>
        <v>416666.666666667</v>
      </c>
      <c r="O70" s="32" t="n">
        <f aca="false">INDEX(Auditor,1,O$5)/12</f>
        <v>416666.666666667</v>
      </c>
      <c r="P70" s="32" t="n">
        <f aca="false">INDEX(Auditor,1,P$5)/12</f>
        <v>416666.666666667</v>
      </c>
      <c r="Q70" s="32" t="n">
        <f aca="false">INDEX(Auditor,1,Q$5)/12</f>
        <v>833333.333333333</v>
      </c>
      <c r="R70" s="32" t="n">
        <f aca="false">INDEX(Auditor,1,R$5)/12</f>
        <v>833333.333333333</v>
      </c>
      <c r="S70" s="32" t="n">
        <f aca="false">INDEX(Auditor,1,S$5)/12</f>
        <v>833333.333333333</v>
      </c>
      <c r="T70" s="32" t="n">
        <f aca="false">INDEX(Auditor,1,T$5)/12</f>
        <v>833333.333333333</v>
      </c>
      <c r="U70" s="32" t="n">
        <f aca="false">INDEX(Auditor,1,U$5)/12</f>
        <v>833333.333333333</v>
      </c>
      <c r="V70" s="32" t="n">
        <f aca="false">INDEX(Auditor,1,V$5)/12</f>
        <v>833333.333333333</v>
      </c>
      <c r="W70" s="32" t="n">
        <f aca="false">INDEX(Auditor,1,W$5)/12</f>
        <v>833333.333333333</v>
      </c>
      <c r="X70" s="32" t="n">
        <f aca="false">INDEX(Auditor,1,X$5)/12</f>
        <v>833333.333333333</v>
      </c>
      <c r="Y70" s="32" t="n">
        <f aca="false">INDEX(Auditor,1,Y$5)/12</f>
        <v>833333.333333333</v>
      </c>
      <c r="Z70" s="32" t="n">
        <f aca="false">INDEX(Auditor,1,Z$5)/12</f>
        <v>833333.333333333</v>
      </c>
      <c r="AA70" s="32" t="n">
        <f aca="false">INDEX(Auditor,1,AA$5)/12</f>
        <v>833333.333333333</v>
      </c>
      <c r="AB70" s="32" t="n">
        <f aca="false">INDEX(Auditor,1,AB$5)/12</f>
        <v>833333.333333333</v>
      </c>
      <c r="AC70" s="32" t="n">
        <f aca="false">INDEX(Auditor,1,AC$5)/12</f>
        <v>2083333.33333333</v>
      </c>
      <c r="AD70" s="32" t="n">
        <f aca="false">INDEX(Auditor,1,AD$5)/12</f>
        <v>2083333.33333333</v>
      </c>
      <c r="AE70" s="32" t="n">
        <f aca="false">INDEX(Auditor,1,AE$5)/12</f>
        <v>2083333.33333333</v>
      </c>
      <c r="AF70" s="32" t="n">
        <f aca="false">INDEX(Auditor,1,AF$5)/12</f>
        <v>2083333.33333333</v>
      </c>
      <c r="AG70" s="32" t="n">
        <f aca="false">INDEX(Auditor,1,AG$5)/12</f>
        <v>2083333.33333333</v>
      </c>
      <c r="AH70" s="32" t="n">
        <f aca="false">INDEX(Auditor,1,AH$5)/12</f>
        <v>2083333.33333333</v>
      </c>
      <c r="AI70" s="32" t="n">
        <f aca="false">INDEX(Auditor,1,AI$5)/12</f>
        <v>2083333.33333333</v>
      </c>
      <c r="AJ70" s="32" t="n">
        <f aca="false">INDEX(Auditor,1,AJ$5)/12</f>
        <v>2083333.33333333</v>
      </c>
      <c r="AK70" s="32" t="n">
        <f aca="false">INDEX(Auditor,1,AK$5)/12</f>
        <v>2083333.33333333</v>
      </c>
      <c r="AL70" s="32" t="n">
        <f aca="false">INDEX(Auditor,1,AL$5)/12</f>
        <v>2083333.33333333</v>
      </c>
      <c r="AM70" s="32" t="n">
        <f aca="false">INDEX(Auditor,1,AM$5)/12</f>
        <v>2083333.33333333</v>
      </c>
      <c r="AN70" s="32" t="n">
        <f aca="false">INDEX(Auditor,1,AN$5)/12</f>
        <v>2083333.33333333</v>
      </c>
      <c r="AO70" s="32" t="n">
        <f aca="false">INDEX(Auditor,1,AO$5)/12</f>
        <v>2500000</v>
      </c>
      <c r="AP70" s="32" t="n">
        <f aca="false">INDEX(Auditor,1,AP$5)/12</f>
        <v>2500000</v>
      </c>
      <c r="AQ70" s="32" t="n">
        <f aca="false">INDEX(Auditor,1,AQ$5)/12</f>
        <v>2500000</v>
      </c>
      <c r="AR70" s="32" t="n">
        <f aca="false">INDEX(Auditor,1,AR$5)/12</f>
        <v>2500000</v>
      </c>
      <c r="AS70" s="32" t="n">
        <f aca="false">INDEX(Auditor,1,AS$5)/12</f>
        <v>2500000</v>
      </c>
      <c r="AT70" s="32" t="n">
        <f aca="false">INDEX(Auditor,1,AT$5)/12</f>
        <v>2500000</v>
      </c>
      <c r="AU70" s="32" t="n">
        <f aca="false">INDEX(Auditor,1,AU$5)/12</f>
        <v>2500000</v>
      </c>
      <c r="AV70" s="32" t="n">
        <f aca="false">INDEX(Auditor,1,AV$5)/12</f>
        <v>2500000</v>
      </c>
      <c r="AW70" s="32" t="n">
        <f aca="false">INDEX(Auditor,1,AW$5)/12</f>
        <v>2500000</v>
      </c>
      <c r="AX70" s="32" t="n">
        <f aca="false">INDEX(Auditor,1,AX$5)/12</f>
        <v>2500000</v>
      </c>
      <c r="AY70" s="32" t="n">
        <f aca="false">INDEX(Auditor,1,AY$5)/12</f>
        <v>2500000</v>
      </c>
      <c r="AZ70" s="32" t="n">
        <f aca="false">INDEX(Auditor,1,AZ$5)/12</f>
        <v>2500000</v>
      </c>
      <c r="BA70" s="32" t="n">
        <f aca="false">INDEX(Auditor,1,BA$5)/12</f>
        <v>2916666.66666667</v>
      </c>
      <c r="BB70" s="32" t="n">
        <f aca="false">INDEX(Auditor,1,BB$5)/12</f>
        <v>2916666.66666667</v>
      </c>
      <c r="BC70" s="32" t="n">
        <f aca="false">INDEX(Auditor,1,BC$5)/12</f>
        <v>2916666.66666667</v>
      </c>
      <c r="BD70" s="32" t="n">
        <f aca="false">INDEX(Auditor,1,BD$5)/12</f>
        <v>2916666.66666667</v>
      </c>
      <c r="BE70" s="32" t="n">
        <f aca="false">INDEX(Auditor,1,BE$5)/12</f>
        <v>2916666.66666667</v>
      </c>
      <c r="BF70" s="32" t="n">
        <f aca="false">INDEX(Auditor,1,BF$5)/12</f>
        <v>2916666.66666667</v>
      </c>
      <c r="BG70" s="32" t="n">
        <f aca="false">INDEX(Auditor,1,BG$5)/12</f>
        <v>2916666.66666667</v>
      </c>
      <c r="BH70" s="32" t="n">
        <f aca="false">INDEX(Auditor,1,BH$5)/12</f>
        <v>2916666.66666667</v>
      </c>
      <c r="BI70" s="32" t="n">
        <f aca="false">INDEX(Auditor,1,BI$5)/12</f>
        <v>2916666.66666667</v>
      </c>
      <c r="BJ70" s="32" t="n">
        <f aca="false">INDEX(Auditor,1,BJ$5)/12</f>
        <v>2916666.66666667</v>
      </c>
      <c r="BK70" s="32" t="n">
        <f aca="false">INDEX(Auditor,1,BK$5)/12</f>
        <v>2916666.66666667</v>
      </c>
      <c r="BL70" s="32" t="n">
        <f aca="false">INDEX(Auditor,1,BL$5)/12</f>
        <v>2916666.66666667</v>
      </c>
    </row>
    <row r="71" customFormat="false" ht="15" hidden="false" customHeight="false" outlineLevel="0" collapsed="false">
      <c r="A71" s="12" t="s">
        <v>868</v>
      </c>
      <c r="B71" s="14" t="s">
        <v>77</v>
      </c>
      <c r="D71" s="55" t="n">
        <f aca="false">SUM(E71:BL71)</f>
        <v>43200000</v>
      </c>
      <c r="E71" s="32" t="n">
        <f aca="false">INDEX(Accountant_Ext,1,E$5)</f>
        <v>300000</v>
      </c>
      <c r="F71" s="32" t="n">
        <f aca="false">INDEX(Accountant_Ext,1,F$5)</f>
        <v>300000</v>
      </c>
      <c r="G71" s="32" t="n">
        <f aca="false">INDEX(Accountant_Ext,1,G$5)</f>
        <v>300000</v>
      </c>
      <c r="H71" s="32" t="n">
        <f aca="false">INDEX(Accountant_Ext,1,H$5)</f>
        <v>300000</v>
      </c>
      <c r="I71" s="32" t="n">
        <f aca="false">INDEX(Accountant_Ext,1,I$5)</f>
        <v>300000</v>
      </c>
      <c r="J71" s="32" t="n">
        <f aca="false">INDEX(Accountant_Ext,1,J$5)</f>
        <v>300000</v>
      </c>
      <c r="K71" s="32" t="n">
        <f aca="false">INDEX(Accountant_Ext,1,K$5)</f>
        <v>300000</v>
      </c>
      <c r="L71" s="32" t="n">
        <f aca="false">INDEX(Accountant_Ext,1,L$5)</f>
        <v>300000</v>
      </c>
      <c r="M71" s="32" t="n">
        <f aca="false">INDEX(Accountant_Ext,1,M$5)</f>
        <v>300000</v>
      </c>
      <c r="N71" s="32" t="n">
        <f aca="false">INDEX(Accountant_Ext,1,N$5)</f>
        <v>300000</v>
      </c>
      <c r="O71" s="32" t="n">
        <f aca="false">INDEX(Accountant_Ext,1,O$5)</f>
        <v>300000</v>
      </c>
      <c r="P71" s="32" t="n">
        <f aca="false">INDEX(Accountant_Ext,1,P$5)</f>
        <v>300000</v>
      </c>
      <c r="Q71" s="32" t="n">
        <f aca="false">INDEX(Accountant_Ext,1,Q$5)</f>
        <v>600000</v>
      </c>
      <c r="R71" s="32" t="n">
        <f aca="false">INDEX(Accountant_Ext,1,R$5)</f>
        <v>600000</v>
      </c>
      <c r="S71" s="32" t="n">
        <f aca="false">INDEX(Accountant_Ext,1,S$5)</f>
        <v>600000</v>
      </c>
      <c r="T71" s="32" t="n">
        <f aca="false">INDEX(Accountant_Ext,1,T$5)</f>
        <v>600000</v>
      </c>
      <c r="U71" s="32" t="n">
        <f aca="false">INDEX(Accountant_Ext,1,U$5)</f>
        <v>600000</v>
      </c>
      <c r="V71" s="32" t="n">
        <f aca="false">INDEX(Accountant_Ext,1,V$5)</f>
        <v>600000</v>
      </c>
      <c r="W71" s="32" t="n">
        <f aca="false">INDEX(Accountant_Ext,1,W$5)</f>
        <v>600000</v>
      </c>
      <c r="X71" s="32" t="n">
        <f aca="false">INDEX(Accountant_Ext,1,X$5)</f>
        <v>600000</v>
      </c>
      <c r="Y71" s="32" t="n">
        <f aca="false">INDEX(Accountant_Ext,1,Y$5)</f>
        <v>600000</v>
      </c>
      <c r="Z71" s="32" t="n">
        <f aca="false">INDEX(Accountant_Ext,1,Z$5)</f>
        <v>600000</v>
      </c>
      <c r="AA71" s="32" t="n">
        <f aca="false">INDEX(Accountant_Ext,1,AA$5)</f>
        <v>600000</v>
      </c>
      <c r="AB71" s="32" t="n">
        <f aca="false">INDEX(Accountant_Ext,1,AB$5)</f>
        <v>600000</v>
      </c>
      <c r="AC71" s="32" t="n">
        <f aca="false">INDEX(Accountant_Ext,1,AC$5)</f>
        <v>800000</v>
      </c>
      <c r="AD71" s="32" t="n">
        <f aca="false">INDEX(Accountant_Ext,1,AD$5)</f>
        <v>800000</v>
      </c>
      <c r="AE71" s="32" t="n">
        <f aca="false">INDEX(Accountant_Ext,1,AE$5)</f>
        <v>800000</v>
      </c>
      <c r="AF71" s="32" t="n">
        <f aca="false">INDEX(Accountant_Ext,1,AF$5)</f>
        <v>800000</v>
      </c>
      <c r="AG71" s="32" t="n">
        <f aca="false">INDEX(Accountant_Ext,1,AG$5)</f>
        <v>800000</v>
      </c>
      <c r="AH71" s="32" t="n">
        <f aca="false">INDEX(Accountant_Ext,1,AH$5)</f>
        <v>800000</v>
      </c>
      <c r="AI71" s="32" t="n">
        <f aca="false">INDEX(Accountant_Ext,1,AI$5)</f>
        <v>800000</v>
      </c>
      <c r="AJ71" s="32" t="n">
        <f aca="false">INDEX(Accountant_Ext,1,AJ$5)</f>
        <v>800000</v>
      </c>
      <c r="AK71" s="32" t="n">
        <f aca="false">INDEX(Accountant_Ext,1,AK$5)</f>
        <v>800000</v>
      </c>
      <c r="AL71" s="32" t="n">
        <f aca="false">INDEX(Accountant_Ext,1,AL$5)</f>
        <v>800000</v>
      </c>
      <c r="AM71" s="32" t="n">
        <f aca="false">INDEX(Accountant_Ext,1,AM$5)</f>
        <v>800000</v>
      </c>
      <c r="AN71" s="32" t="n">
        <f aca="false">INDEX(Accountant_Ext,1,AN$5)</f>
        <v>800000</v>
      </c>
      <c r="AO71" s="32" t="n">
        <f aca="false">INDEX(Accountant_Ext,1,AO$5)</f>
        <v>900000</v>
      </c>
      <c r="AP71" s="32" t="n">
        <f aca="false">INDEX(Accountant_Ext,1,AP$5)</f>
        <v>900000</v>
      </c>
      <c r="AQ71" s="32" t="n">
        <f aca="false">INDEX(Accountant_Ext,1,AQ$5)</f>
        <v>900000</v>
      </c>
      <c r="AR71" s="32" t="n">
        <f aca="false">INDEX(Accountant_Ext,1,AR$5)</f>
        <v>900000</v>
      </c>
      <c r="AS71" s="32" t="n">
        <f aca="false">INDEX(Accountant_Ext,1,AS$5)</f>
        <v>900000</v>
      </c>
      <c r="AT71" s="32" t="n">
        <f aca="false">INDEX(Accountant_Ext,1,AT$5)</f>
        <v>900000</v>
      </c>
      <c r="AU71" s="32" t="n">
        <f aca="false">INDEX(Accountant_Ext,1,AU$5)</f>
        <v>900000</v>
      </c>
      <c r="AV71" s="32" t="n">
        <f aca="false">INDEX(Accountant_Ext,1,AV$5)</f>
        <v>900000</v>
      </c>
      <c r="AW71" s="32" t="n">
        <f aca="false">INDEX(Accountant_Ext,1,AW$5)</f>
        <v>900000</v>
      </c>
      <c r="AX71" s="32" t="n">
        <f aca="false">INDEX(Accountant_Ext,1,AX$5)</f>
        <v>900000</v>
      </c>
      <c r="AY71" s="32" t="n">
        <f aca="false">INDEX(Accountant_Ext,1,AY$5)</f>
        <v>900000</v>
      </c>
      <c r="AZ71" s="32" t="n">
        <f aca="false">INDEX(Accountant_Ext,1,AZ$5)</f>
        <v>900000</v>
      </c>
      <c r="BA71" s="32" t="n">
        <f aca="false">INDEX(Accountant_Ext,1,BA$5)</f>
        <v>1000000</v>
      </c>
      <c r="BB71" s="32" t="n">
        <f aca="false">INDEX(Accountant_Ext,1,BB$5)</f>
        <v>1000000</v>
      </c>
      <c r="BC71" s="32" t="n">
        <f aca="false">INDEX(Accountant_Ext,1,BC$5)</f>
        <v>1000000</v>
      </c>
      <c r="BD71" s="32" t="n">
        <f aca="false">INDEX(Accountant_Ext,1,BD$5)</f>
        <v>1000000</v>
      </c>
      <c r="BE71" s="32" t="n">
        <f aca="false">INDEX(Accountant_Ext,1,BE$5)</f>
        <v>1000000</v>
      </c>
      <c r="BF71" s="32" t="n">
        <f aca="false">INDEX(Accountant_Ext,1,BF$5)</f>
        <v>1000000</v>
      </c>
      <c r="BG71" s="32" t="n">
        <f aca="false">INDEX(Accountant_Ext,1,BG$5)</f>
        <v>1000000</v>
      </c>
      <c r="BH71" s="32" t="n">
        <f aca="false">INDEX(Accountant_Ext,1,BH$5)</f>
        <v>1000000</v>
      </c>
      <c r="BI71" s="32" t="n">
        <f aca="false">INDEX(Accountant_Ext,1,BI$5)</f>
        <v>1000000</v>
      </c>
      <c r="BJ71" s="32" t="n">
        <f aca="false">INDEX(Accountant_Ext,1,BJ$5)</f>
        <v>1000000</v>
      </c>
      <c r="BK71" s="32" t="n">
        <f aca="false">INDEX(Accountant_Ext,1,BK$5)</f>
        <v>1000000</v>
      </c>
      <c r="BL71" s="32" t="n">
        <f aca="false">INDEX(Accountant_Ext,1,BL$5)</f>
        <v>1000000</v>
      </c>
    </row>
    <row r="72" customFormat="false" ht="15" hidden="false" customHeight="false" outlineLevel="0" collapsed="false">
      <c r="A72" s="12" t="s">
        <v>709</v>
      </c>
      <c r="B72" s="14" t="s">
        <v>77</v>
      </c>
      <c r="D72" s="55" t="n">
        <f aca="false">SUM(E72:BL72)</f>
        <v>42000000</v>
      </c>
      <c r="E72" s="32" t="n">
        <f aca="false">INDEX(AML_Audit,1,E$5)/12</f>
        <v>0</v>
      </c>
      <c r="F72" s="32" t="n">
        <f aca="false">INDEX(AML_Audit,1,F$5)/12</f>
        <v>0</v>
      </c>
      <c r="G72" s="32" t="n">
        <f aca="false">INDEX(AML_Audit,1,G$5)/12</f>
        <v>0</v>
      </c>
      <c r="H72" s="32" t="n">
        <f aca="false">INDEX(AML_Audit,1,H$5)/12</f>
        <v>0</v>
      </c>
      <c r="I72" s="32" t="n">
        <f aca="false">INDEX(AML_Audit,1,I$5)/12</f>
        <v>0</v>
      </c>
      <c r="J72" s="32" t="n">
        <f aca="false">INDEX(AML_Audit,1,J$5)/12</f>
        <v>0</v>
      </c>
      <c r="K72" s="32" t="n">
        <f aca="false">INDEX(AML_Audit,1,K$5)/12</f>
        <v>0</v>
      </c>
      <c r="L72" s="32" t="n">
        <f aca="false">INDEX(AML_Audit,1,L$5)/12</f>
        <v>0</v>
      </c>
      <c r="M72" s="32" t="n">
        <f aca="false">INDEX(AML_Audit,1,M$5)/12</f>
        <v>0</v>
      </c>
      <c r="N72" s="32" t="n">
        <f aca="false">INDEX(AML_Audit,1,N$5)/12</f>
        <v>0</v>
      </c>
      <c r="O72" s="32" t="n">
        <f aca="false">INDEX(AML_Audit,1,O$5)/12</f>
        <v>0</v>
      </c>
      <c r="P72" s="32" t="n">
        <f aca="false">INDEX(AML_Audit,1,P$5)/12</f>
        <v>0</v>
      </c>
      <c r="Q72" s="32" t="n">
        <f aca="false">INDEX(AML_Audit,1,Q$5)/12</f>
        <v>0</v>
      </c>
      <c r="R72" s="32" t="n">
        <f aca="false">INDEX(AML_Audit,1,R$5)/12</f>
        <v>0</v>
      </c>
      <c r="S72" s="32" t="n">
        <f aca="false">INDEX(AML_Audit,1,S$5)/12</f>
        <v>0</v>
      </c>
      <c r="T72" s="32" t="n">
        <f aca="false">INDEX(AML_Audit,1,T$5)/12</f>
        <v>0</v>
      </c>
      <c r="U72" s="32" t="n">
        <f aca="false">INDEX(AML_Audit,1,U$5)/12</f>
        <v>0</v>
      </c>
      <c r="V72" s="32" t="n">
        <f aca="false">INDEX(AML_Audit,1,V$5)/12</f>
        <v>0</v>
      </c>
      <c r="W72" s="32" t="n">
        <f aca="false">INDEX(AML_Audit,1,W$5)/12</f>
        <v>0</v>
      </c>
      <c r="X72" s="32" t="n">
        <f aca="false">INDEX(AML_Audit,1,X$5)/12</f>
        <v>0</v>
      </c>
      <c r="Y72" s="32" t="n">
        <f aca="false">INDEX(AML_Audit,1,Y$5)/12</f>
        <v>0</v>
      </c>
      <c r="Z72" s="32" t="n">
        <f aca="false">INDEX(AML_Audit,1,Z$5)/12</f>
        <v>0</v>
      </c>
      <c r="AA72" s="32" t="n">
        <f aca="false">INDEX(AML_Audit,1,AA$5)/12</f>
        <v>0</v>
      </c>
      <c r="AB72" s="32" t="n">
        <f aca="false">INDEX(AML_Audit,1,AB$5)/12</f>
        <v>0</v>
      </c>
      <c r="AC72" s="32" t="n">
        <f aca="false">INDEX(AML_Audit,1,AC$5)/12</f>
        <v>1000000</v>
      </c>
      <c r="AD72" s="32" t="n">
        <f aca="false">INDEX(AML_Audit,1,AD$5)/12</f>
        <v>1000000</v>
      </c>
      <c r="AE72" s="32" t="n">
        <f aca="false">INDEX(AML_Audit,1,AE$5)/12</f>
        <v>1000000</v>
      </c>
      <c r="AF72" s="32" t="n">
        <f aca="false">INDEX(AML_Audit,1,AF$5)/12</f>
        <v>1000000</v>
      </c>
      <c r="AG72" s="32" t="n">
        <f aca="false">INDEX(AML_Audit,1,AG$5)/12</f>
        <v>1000000</v>
      </c>
      <c r="AH72" s="32" t="n">
        <f aca="false">INDEX(AML_Audit,1,AH$5)/12</f>
        <v>1000000</v>
      </c>
      <c r="AI72" s="32" t="n">
        <f aca="false">INDEX(AML_Audit,1,AI$5)/12</f>
        <v>1000000</v>
      </c>
      <c r="AJ72" s="32" t="n">
        <f aca="false">INDEX(AML_Audit,1,AJ$5)/12</f>
        <v>1000000</v>
      </c>
      <c r="AK72" s="32" t="n">
        <f aca="false">INDEX(AML_Audit,1,AK$5)/12</f>
        <v>1000000</v>
      </c>
      <c r="AL72" s="32" t="n">
        <f aca="false">INDEX(AML_Audit,1,AL$5)/12</f>
        <v>1000000</v>
      </c>
      <c r="AM72" s="32" t="n">
        <f aca="false">INDEX(AML_Audit,1,AM$5)/12</f>
        <v>1000000</v>
      </c>
      <c r="AN72" s="32" t="n">
        <f aca="false">INDEX(AML_Audit,1,AN$5)/12</f>
        <v>1000000</v>
      </c>
      <c r="AO72" s="32" t="n">
        <f aca="false">INDEX(AML_Audit,1,AO$5)/12</f>
        <v>1166666.66666667</v>
      </c>
      <c r="AP72" s="32" t="n">
        <f aca="false">INDEX(AML_Audit,1,AP$5)/12</f>
        <v>1166666.66666667</v>
      </c>
      <c r="AQ72" s="32" t="n">
        <f aca="false">INDEX(AML_Audit,1,AQ$5)/12</f>
        <v>1166666.66666667</v>
      </c>
      <c r="AR72" s="32" t="n">
        <f aca="false">INDEX(AML_Audit,1,AR$5)/12</f>
        <v>1166666.66666667</v>
      </c>
      <c r="AS72" s="32" t="n">
        <f aca="false">INDEX(AML_Audit,1,AS$5)/12</f>
        <v>1166666.66666667</v>
      </c>
      <c r="AT72" s="32" t="n">
        <f aca="false">INDEX(AML_Audit,1,AT$5)/12</f>
        <v>1166666.66666667</v>
      </c>
      <c r="AU72" s="32" t="n">
        <f aca="false">INDEX(AML_Audit,1,AU$5)/12</f>
        <v>1166666.66666667</v>
      </c>
      <c r="AV72" s="32" t="n">
        <f aca="false">INDEX(AML_Audit,1,AV$5)/12</f>
        <v>1166666.66666667</v>
      </c>
      <c r="AW72" s="32" t="n">
        <f aca="false">INDEX(AML_Audit,1,AW$5)/12</f>
        <v>1166666.66666667</v>
      </c>
      <c r="AX72" s="32" t="n">
        <f aca="false">INDEX(AML_Audit,1,AX$5)/12</f>
        <v>1166666.66666667</v>
      </c>
      <c r="AY72" s="32" t="n">
        <f aca="false">INDEX(AML_Audit,1,AY$5)/12</f>
        <v>1166666.66666667</v>
      </c>
      <c r="AZ72" s="32" t="n">
        <f aca="false">INDEX(AML_Audit,1,AZ$5)/12</f>
        <v>1166666.66666667</v>
      </c>
      <c r="BA72" s="32" t="n">
        <f aca="false">INDEX(AML_Audit,1,BA$5)/12</f>
        <v>1333333.33333333</v>
      </c>
      <c r="BB72" s="32" t="n">
        <f aca="false">INDEX(AML_Audit,1,BB$5)/12</f>
        <v>1333333.33333333</v>
      </c>
      <c r="BC72" s="32" t="n">
        <f aca="false">INDEX(AML_Audit,1,BC$5)/12</f>
        <v>1333333.33333333</v>
      </c>
      <c r="BD72" s="32" t="n">
        <f aca="false">INDEX(AML_Audit,1,BD$5)/12</f>
        <v>1333333.33333333</v>
      </c>
      <c r="BE72" s="32" t="n">
        <f aca="false">INDEX(AML_Audit,1,BE$5)/12</f>
        <v>1333333.33333333</v>
      </c>
      <c r="BF72" s="32" t="n">
        <f aca="false">INDEX(AML_Audit,1,BF$5)/12</f>
        <v>1333333.33333333</v>
      </c>
      <c r="BG72" s="32" t="n">
        <f aca="false">INDEX(AML_Audit,1,BG$5)/12</f>
        <v>1333333.33333333</v>
      </c>
      <c r="BH72" s="32" t="n">
        <f aca="false">INDEX(AML_Audit,1,BH$5)/12</f>
        <v>1333333.33333333</v>
      </c>
      <c r="BI72" s="32" t="n">
        <f aca="false">INDEX(AML_Audit,1,BI$5)/12</f>
        <v>1333333.33333333</v>
      </c>
      <c r="BJ72" s="32" t="n">
        <f aca="false">INDEX(AML_Audit,1,BJ$5)/12</f>
        <v>1333333.33333333</v>
      </c>
      <c r="BK72" s="32" t="n">
        <f aca="false">INDEX(AML_Audit,1,BK$5)/12</f>
        <v>1333333.33333333</v>
      </c>
      <c r="BL72" s="32" t="n">
        <f aca="false">INDEX(AML_Audit,1,BL$5)/12</f>
        <v>1333333.33333333</v>
      </c>
    </row>
    <row r="73" customFormat="false" ht="15" hidden="false" customHeight="false" outlineLevel="0" collapsed="false">
      <c r="A73" s="12" t="s">
        <v>869</v>
      </c>
      <c r="B73" s="14" t="s">
        <v>77</v>
      </c>
      <c r="D73" s="55" t="n">
        <f aca="false">SUM(E73:BL73)</f>
        <v>11000000</v>
      </c>
      <c r="E73" s="32" t="n">
        <f aca="false">INDEX(Data_Protection,1,E$5)/12</f>
        <v>291666.666666667</v>
      </c>
      <c r="F73" s="32" t="n">
        <f aca="false">INDEX(Data_Protection,1,F$5)/12</f>
        <v>291666.666666667</v>
      </c>
      <c r="G73" s="32" t="n">
        <f aca="false">INDEX(Data_Protection,1,G$5)/12</f>
        <v>291666.666666667</v>
      </c>
      <c r="H73" s="32" t="n">
        <f aca="false">INDEX(Data_Protection,1,H$5)/12</f>
        <v>291666.666666667</v>
      </c>
      <c r="I73" s="32" t="n">
        <f aca="false">INDEX(Data_Protection,1,I$5)/12</f>
        <v>291666.666666667</v>
      </c>
      <c r="J73" s="32" t="n">
        <f aca="false">INDEX(Data_Protection,1,J$5)/12</f>
        <v>291666.666666667</v>
      </c>
      <c r="K73" s="32" t="n">
        <f aca="false">INDEX(Data_Protection,1,K$5)/12</f>
        <v>291666.666666667</v>
      </c>
      <c r="L73" s="32" t="n">
        <f aca="false">INDEX(Data_Protection,1,L$5)/12</f>
        <v>291666.666666667</v>
      </c>
      <c r="M73" s="32" t="n">
        <f aca="false">INDEX(Data_Protection,1,M$5)/12</f>
        <v>291666.666666667</v>
      </c>
      <c r="N73" s="32" t="n">
        <f aca="false">INDEX(Data_Protection,1,N$5)/12</f>
        <v>291666.666666667</v>
      </c>
      <c r="O73" s="32" t="n">
        <f aca="false">INDEX(Data_Protection,1,O$5)/12</f>
        <v>291666.666666667</v>
      </c>
      <c r="P73" s="32" t="n">
        <f aca="false">INDEX(Data_Protection,1,P$5)/12</f>
        <v>291666.666666667</v>
      </c>
      <c r="Q73" s="32" t="n">
        <f aca="false">INDEX(Data_Protection,1,Q$5)/12</f>
        <v>250000</v>
      </c>
      <c r="R73" s="32" t="n">
        <f aca="false">INDEX(Data_Protection,1,R$5)/12</f>
        <v>250000</v>
      </c>
      <c r="S73" s="32" t="n">
        <f aca="false">INDEX(Data_Protection,1,S$5)/12</f>
        <v>250000</v>
      </c>
      <c r="T73" s="32" t="n">
        <f aca="false">INDEX(Data_Protection,1,T$5)/12</f>
        <v>250000</v>
      </c>
      <c r="U73" s="32" t="n">
        <f aca="false">INDEX(Data_Protection,1,U$5)/12</f>
        <v>250000</v>
      </c>
      <c r="V73" s="32" t="n">
        <f aca="false">INDEX(Data_Protection,1,V$5)/12</f>
        <v>250000</v>
      </c>
      <c r="W73" s="32" t="n">
        <f aca="false">INDEX(Data_Protection,1,W$5)/12</f>
        <v>250000</v>
      </c>
      <c r="X73" s="32" t="n">
        <f aca="false">INDEX(Data_Protection,1,X$5)/12</f>
        <v>250000</v>
      </c>
      <c r="Y73" s="32" t="n">
        <f aca="false">INDEX(Data_Protection,1,Y$5)/12</f>
        <v>250000</v>
      </c>
      <c r="Z73" s="32" t="n">
        <f aca="false">INDEX(Data_Protection,1,Z$5)/12</f>
        <v>250000</v>
      </c>
      <c r="AA73" s="32" t="n">
        <f aca="false">INDEX(Data_Protection,1,AA$5)/12</f>
        <v>250000</v>
      </c>
      <c r="AB73" s="32" t="n">
        <f aca="false">INDEX(Data_Protection,1,AB$5)/12</f>
        <v>250000</v>
      </c>
      <c r="AC73" s="32" t="n">
        <f aca="false">INDEX(Data_Protection,1,AC$5)/12</f>
        <v>125000</v>
      </c>
      <c r="AD73" s="32" t="n">
        <f aca="false">INDEX(Data_Protection,1,AD$5)/12</f>
        <v>125000</v>
      </c>
      <c r="AE73" s="32" t="n">
        <f aca="false">INDEX(Data_Protection,1,AE$5)/12</f>
        <v>125000</v>
      </c>
      <c r="AF73" s="32" t="n">
        <f aca="false">INDEX(Data_Protection,1,AF$5)/12</f>
        <v>125000</v>
      </c>
      <c r="AG73" s="32" t="n">
        <f aca="false">INDEX(Data_Protection,1,AG$5)/12</f>
        <v>125000</v>
      </c>
      <c r="AH73" s="32" t="n">
        <f aca="false">INDEX(Data_Protection,1,AH$5)/12</f>
        <v>125000</v>
      </c>
      <c r="AI73" s="32" t="n">
        <f aca="false">INDEX(Data_Protection,1,AI$5)/12</f>
        <v>125000</v>
      </c>
      <c r="AJ73" s="32" t="n">
        <f aca="false">INDEX(Data_Protection,1,AJ$5)/12</f>
        <v>125000</v>
      </c>
      <c r="AK73" s="32" t="n">
        <f aca="false">INDEX(Data_Protection,1,AK$5)/12</f>
        <v>125000</v>
      </c>
      <c r="AL73" s="32" t="n">
        <f aca="false">INDEX(Data_Protection,1,AL$5)/12</f>
        <v>125000</v>
      </c>
      <c r="AM73" s="32" t="n">
        <f aca="false">INDEX(Data_Protection,1,AM$5)/12</f>
        <v>125000</v>
      </c>
      <c r="AN73" s="32" t="n">
        <f aca="false">INDEX(Data_Protection,1,AN$5)/12</f>
        <v>125000</v>
      </c>
      <c r="AO73" s="32" t="n">
        <f aca="false">INDEX(Data_Protection,1,AO$5)/12</f>
        <v>125000</v>
      </c>
      <c r="AP73" s="32" t="n">
        <f aca="false">INDEX(Data_Protection,1,AP$5)/12</f>
        <v>125000</v>
      </c>
      <c r="AQ73" s="32" t="n">
        <f aca="false">INDEX(Data_Protection,1,AQ$5)/12</f>
        <v>125000</v>
      </c>
      <c r="AR73" s="32" t="n">
        <f aca="false">INDEX(Data_Protection,1,AR$5)/12</f>
        <v>125000</v>
      </c>
      <c r="AS73" s="32" t="n">
        <f aca="false">INDEX(Data_Protection,1,AS$5)/12</f>
        <v>125000</v>
      </c>
      <c r="AT73" s="32" t="n">
        <f aca="false">INDEX(Data_Protection,1,AT$5)/12</f>
        <v>125000</v>
      </c>
      <c r="AU73" s="32" t="n">
        <f aca="false">INDEX(Data_Protection,1,AU$5)/12</f>
        <v>125000</v>
      </c>
      <c r="AV73" s="32" t="n">
        <f aca="false">INDEX(Data_Protection,1,AV$5)/12</f>
        <v>125000</v>
      </c>
      <c r="AW73" s="32" t="n">
        <f aca="false">INDEX(Data_Protection,1,AW$5)/12</f>
        <v>125000</v>
      </c>
      <c r="AX73" s="32" t="n">
        <f aca="false">INDEX(Data_Protection,1,AX$5)/12</f>
        <v>125000</v>
      </c>
      <c r="AY73" s="32" t="n">
        <f aca="false">INDEX(Data_Protection,1,AY$5)/12</f>
        <v>125000</v>
      </c>
      <c r="AZ73" s="32" t="n">
        <f aca="false">INDEX(Data_Protection,1,AZ$5)/12</f>
        <v>125000</v>
      </c>
      <c r="BA73" s="32" t="n">
        <f aca="false">INDEX(Data_Protection,1,BA$5)/12</f>
        <v>125000</v>
      </c>
      <c r="BB73" s="32" t="n">
        <f aca="false">INDEX(Data_Protection,1,BB$5)/12</f>
        <v>125000</v>
      </c>
      <c r="BC73" s="32" t="n">
        <f aca="false">INDEX(Data_Protection,1,BC$5)/12</f>
        <v>125000</v>
      </c>
      <c r="BD73" s="32" t="n">
        <f aca="false">INDEX(Data_Protection,1,BD$5)/12</f>
        <v>125000</v>
      </c>
      <c r="BE73" s="32" t="n">
        <f aca="false">INDEX(Data_Protection,1,BE$5)/12</f>
        <v>125000</v>
      </c>
      <c r="BF73" s="32" t="n">
        <f aca="false">INDEX(Data_Protection,1,BF$5)/12</f>
        <v>125000</v>
      </c>
      <c r="BG73" s="32" t="n">
        <f aca="false">INDEX(Data_Protection,1,BG$5)/12</f>
        <v>125000</v>
      </c>
      <c r="BH73" s="32" t="n">
        <f aca="false">INDEX(Data_Protection,1,BH$5)/12</f>
        <v>125000</v>
      </c>
      <c r="BI73" s="32" t="n">
        <f aca="false">INDEX(Data_Protection,1,BI$5)/12</f>
        <v>125000</v>
      </c>
      <c r="BJ73" s="32" t="n">
        <f aca="false">INDEX(Data_Protection,1,BJ$5)/12</f>
        <v>125000</v>
      </c>
      <c r="BK73" s="32" t="n">
        <f aca="false">INDEX(Data_Protection,1,BK$5)/12</f>
        <v>125000</v>
      </c>
      <c r="BL73" s="32" t="n">
        <f aca="false">INDEX(Data_Protection,1,BL$5)/12</f>
        <v>125000</v>
      </c>
    </row>
    <row r="74" customFormat="false" ht="15" hidden="false" customHeight="false" outlineLevel="0" collapsed="false">
      <c r="A74" s="12" t="s">
        <v>675</v>
      </c>
      <c r="B74" s="14" t="s">
        <v>77</v>
      </c>
      <c r="D74" s="55" t="n">
        <f aca="false">SUM(E74:BL74)</f>
        <v>28500000</v>
      </c>
      <c r="E74" s="32" t="n">
        <f aca="false">INDEX(Credit_Bureau,1,E$5)/12</f>
        <v>0</v>
      </c>
      <c r="F74" s="32" t="n">
        <f aca="false">INDEX(Credit_Bureau,1,F$5)/12</f>
        <v>0</v>
      </c>
      <c r="G74" s="32" t="n">
        <f aca="false">INDEX(Credit_Bureau,1,G$5)/12</f>
        <v>0</v>
      </c>
      <c r="H74" s="32" t="n">
        <f aca="false">INDEX(Credit_Bureau,1,H$5)/12</f>
        <v>0</v>
      </c>
      <c r="I74" s="32" t="n">
        <f aca="false">INDEX(Credit_Bureau,1,I$5)/12</f>
        <v>0</v>
      </c>
      <c r="J74" s="32" t="n">
        <f aca="false">INDEX(Credit_Bureau,1,J$5)/12</f>
        <v>0</v>
      </c>
      <c r="K74" s="32" t="n">
        <f aca="false">INDEX(Credit_Bureau,1,K$5)/12</f>
        <v>0</v>
      </c>
      <c r="L74" s="32" t="n">
        <f aca="false">INDEX(Credit_Bureau,1,L$5)/12</f>
        <v>0</v>
      </c>
      <c r="M74" s="32" t="n">
        <f aca="false">INDEX(Credit_Bureau,1,M$5)/12</f>
        <v>0</v>
      </c>
      <c r="N74" s="32" t="n">
        <f aca="false">INDEX(Credit_Bureau,1,N$5)/12</f>
        <v>0</v>
      </c>
      <c r="O74" s="32" t="n">
        <f aca="false">INDEX(Credit_Bureau,1,O$5)/12</f>
        <v>0</v>
      </c>
      <c r="P74" s="32" t="n">
        <f aca="false">INDEX(Credit_Bureau,1,P$5)/12</f>
        <v>0</v>
      </c>
      <c r="Q74" s="32" t="n">
        <f aca="false">INDEX(Credit_Bureau,1,Q$5)/12</f>
        <v>375000</v>
      </c>
      <c r="R74" s="32" t="n">
        <f aca="false">INDEX(Credit_Bureau,1,R$5)/12</f>
        <v>375000</v>
      </c>
      <c r="S74" s="32" t="n">
        <f aca="false">INDEX(Credit_Bureau,1,S$5)/12</f>
        <v>375000</v>
      </c>
      <c r="T74" s="32" t="n">
        <f aca="false">INDEX(Credit_Bureau,1,T$5)/12</f>
        <v>375000</v>
      </c>
      <c r="U74" s="32" t="n">
        <f aca="false">INDEX(Credit_Bureau,1,U$5)/12</f>
        <v>375000</v>
      </c>
      <c r="V74" s="32" t="n">
        <f aca="false">INDEX(Credit_Bureau,1,V$5)/12</f>
        <v>375000</v>
      </c>
      <c r="W74" s="32" t="n">
        <f aca="false">INDEX(Credit_Bureau,1,W$5)/12</f>
        <v>375000</v>
      </c>
      <c r="X74" s="32" t="n">
        <f aca="false">INDEX(Credit_Bureau,1,X$5)/12</f>
        <v>375000</v>
      </c>
      <c r="Y74" s="32" t="n">
        <f aca="false">INDEX(Credit_Bureau,1,Y$5)/12</f>
        <v>375000</v>
      </c>
      <c r="Z74" s="32" t="n">
        <f aca="false">INDEX(Credit_Bureau,1,Z$5)/12</f>
        <v>375000</v>
      </c>
      <c r="AA74" s="32" t="n">
        <f aca="false">INDEX(Credit_Bureau,1,AA$5)/12</f>
        <v>375000</v>
      </c>
      <c r="AB74" s="32" t="n">
        <f aca="false">INDEX(Credit_Bureau,1,AB$5)/12</f>
        <v>375000</v>
      </c>
      <c r="AC74" s="32" t="n">
        <f aca="false">INDEX(Credit_Bureau,1,AC$5)/12</f>
        <v>500000</v>
      </c>
      <c r="AD74" s="32" t="n">
        <f aca="false">INDEX(Credit_Bureau,1,AD$5)/12</f>
        <v>500000</v>
      </c>
      <c r="AE74" s="32" t="n">
        <f aca="false">INDEX(Credit_Bureau,1,AE$5)/12</f>
        <v>500000</v>
      </c>
      <c r="AF74" s="32" t="n">
        <f aca="false">INDEX(Credit_Bureau,1,AF$5)/12</f>
        <v>500000</v>
      </c>
      <c r="AG74" s="32" t="n">
        <f aca="false">INDEX(Credit_Bureau,1,AG$5)/12</f>
        <v>500000</v>
      </c>
      <c r="AH74" s="32" t="n">
        <f aca="false">INDEX(Credit_Bureau,1,AH$5)/12</f>
        <v>500000</v>
      </c>
      <c r="AI74" s="32" t="n">
        <f aca="false">INDEX(Credit_Bureau,1,AI$5)/12</f>
        <v>500000</v>
      </c>
      <c r="AJ74" s="32" t="n">
        <f aca="false">INDEX(Credit_Bureau,1,AJ$5)/12</f>
        <v>500000</v>
      </c>
      <c r="AK74" s="32" t="n">
        <f aca="false">INDEX(Credit_Bureau,1,AK$5)/12</f>
        <v>500000</v>
      </c>
      <c r="AL74" s="32" t="n">
        <f aca="false">INDEX(Credit_Bureau,1,AL$5)/12</f>
        <v>500000</v>
      </c>
      <c r="AM74" s="32" t="n">
        <f aca="false">INDEX(Credit_Bureau,1,AM$5)/12</f>
        <v>500000</v>
      </c>
      <c r="AN74" s="32" t="n">
        <f aca="false">INDEX(Credit_Bureau,1,AN$5)/12</f>
        <v>500000</v>
      </c>
      <c r="AO74" s="32" t="n">
        <f aca="false">INDEX(Credit_Bureau,1,AO$5)/12</f>
        <v>666666.666666667</v>
      </c>
      <c r="AP74" s="32" t="n">
        <f aca="false">INDEX(Credit_Bureau,1,AP$5)/12</f>
        <v>666666.666666667</v>
      </c>
      <c r="AQ74" s="32" t="n">
        <f aca="false">INDEX(Credit_Bureau,1,AQ$5)/12</f>
        <v>666666.666666667</v>
      </c>
      <c r="AR74" s="32" t="n">
        <f aca="false">INDEX(Credit_Bureau,1,AR$5)/12</f>
        <v>666666.666666667</v>
      </c>
      <c r="AS74" s="32" t="n">
        <f aca="false">INDEX(Credit_Bureau,1,AS$5)/12</f>
        <v>666666.666666667</v>
      </c>
      <c r="AT74" s="32" t="n">
        <f aca="false">INDEX(Credit_Bureau,1,AT$5)/12</f>
        <v>666666.666666667</v>
      </c>
      <c r="AU74" s="32" t="n">
        <f aca="false">INDEX(Credit_Bureau,1,AU$5)/12</f>
        <v>666666.666666667</v>
      </c>
      <c r="AV74" s="32" t="n">
        <f aca="false">INDEX(Credit_Bureau,1,AV$5)/12</f>
        <v>666666.666666667</v>
      </c>
      <c r="AW74" s="32" t="n">
        <f aca="false">INDEX(Credit_Bureau,1,AW$5)/12</f>
        <v>666666.666666667</v>
      </c>
      <c r="AX74" s="32" t="n">
        <f aca="false">INDEX(Credit_Bureau,1,AX$5)/12</f>
        <v>666666.666666667</v>
      </c>
      <c r="AY74" s="32" t="n">
        <f aca="false">INDEX(Credit_Bureau,1,AY$5)/12</f>
        <v>666666.666666667</v>
      </c>
      <c r="AZ74" s="32" t="n">
        <f aca="false">INDEX(Credit_Bureau,1,AZ$5)/12</f>
        <v>666666.666666667</v>
      </c>
      <c r="BA74" s="32" t="n">
        <f aca="false">INDEX(Credit_Bureau,1,BA$5)/12</f>
        <v>833333.333333333</v>
      </c>
      <c r="BB74" s="32" t="n">
        <f aca="false">INDEX(Credit_Bureau,1,BB$5)/12</f>
        <v>833333.333333333</v>
      </c>
      <c r="BC74" s="32" t="n">
        <f aca="false">INDEX(Credit_Bureau,1,BC$5)/12</f>
        <v>833333.333333333</v>
      </c>
      <c r="BD74" s="32" t="n">
        <f aca="false">INDEX(Credit_Bureau,1,BD$5)/12</f>
        <v>833333.333333333</v>
      </c>
      <c r="BE74" s="32" t="n">
        <f aca="false">INDEX(Credit_Bureau,1,BE$5)/12</f>
        <v>833333.333333333</v>
      </c>
      <c r="BF74" s="32" t="n">
        <f aca="false">INDEX(Credit_Bureau,1,BF$5)/12</f>
        <v>833333.333333333</v>
      </c>
      <c r="BG74" s="32" t="n">
        <f aca="false">INDEX(Credit_Bureau,1,BG$5)/12</f>
        <v>833333.333333333</v>
      </c>
      <c r="BH74" s="32" t="n">
        <f aca="false">INDEX(Credit_Bureau,1,BH$5)/12</f>
        <v>833333.333333333</v>
      </c>
      <c r="BI74" s="32" t="n">
        <f aca="false">INDEX(Credit_Bureau,1,BI$5)/12</f>
        <v>833333.333333333</v>
      </c>
      <c r="BJ74" s="32" t="n">
        <f aca="false">INDEX(Credit_Bureau,1,BJ$5)/12</f>
        <v>833333.333333333</v>
      </c>
      <c r="BK74" s="32" t="n">
        <f aca="false">INDEX(Credit_Bureau,1,BK$5)/12</f>
        <v>833333.333333333</v>
      </c>
      <c r="BL74" s="32" t="n">
        <f aca="false">INDEX(Credit_Bureau,1,BL$5)/12</f>
        <v>833333.333333333</v>
      </c>
    </row>
    <row r="75" customFormat="false" ht="15" hidden="false" customHeight="false" outlineLevel="0" collapsed="false">
      <c r="A75" s="12" t="s">
        <v>870</v>
      </c>
      <c r="B75" s="14" t="s">
        <v>77</v>
      </c>
      <c r="D75" s="55" t="n">
        <f aca="false">SUM(E75:BL75)</f>
        <v>104400000</v>
      </c>
      <c r="E75" s="32" t="n">
        <f aca="false">INDEX(Insurance_USD,1,E$5)*FX_USD/12</f>
        <v>966666.666666667</v>
      </c>
      <c r="F75" s="32" t="n">
        <f aca="false">INDEX(Insurance_USD,1,F$5)*FX_USD/12</f>
        <v>966666.666666667</v>
      </c>
      <c r="G75" s="32" t="n">
        <f aca="false">INDEX(Insurance_USD,1,G$5)*FX_USD/12</f>
        <v>966666.666666667</v>
      </c>
      <c r="H75" s="32" t="n">
        <f aca="false">INDEX(Insurance_USD,1,H$5)*FX_USD/12</f>
        <v>966666.666666667</v>
      </c>
      <c r="I75" s="32" t="n">
        <f aca="false">INDEX(Insurance_USD,1,I$5)*FX_USD/12</f>
        <v>966666.666666667</v>
      </c>
      <c r="J75" s="32" t="n">
        <f aca="false">INDEX(Insurance_USD,1,J$5)*FX_USD/12</f>
        <v>966666.666666667</v>
      </c>
      <c r="K75" s="32" t="n">
        <f aca="false">INDEX(Insurance_USD,1,K$5)*FX_USD/12</f>
        <v>966666.666666667</v>
      </c>
      <c r="L75" s="32" t="n">
        <f aca="false">INDEX(Insurance_USD,1,L$5)*FX_USD/12</f>
        <v>966666.666666667</v>
      </c>
      <c r="M75" s="32" t="n">
        <f aca="false">INDEX(Insurance_USD,1,M$5)*FX_USD/12</f>
        <v>966666.666666667</v>
      </c>
      <c r="N75" s="32" t="n">
        <f aca="false">INDEX(Insurance_USD,1,N$5)*FX_USD/12</f>
        <v>966666.666666667</v>
      </c>
      <c r="O75" s="32" t="n">
        <f aca="false">INDEX(Insurance_USD,1,O$5)*FX_USD/12</f>
        <v>966666.666666667</v>
      </c>
      <c r="P75" s="32" t="n">
        <f aca="false">INDEX(Insurance_USD,1,P$5)*FX_USD/12</f>
        <v>966666.666666667</v>
      </c>
      <c r="Q75" s="32" t="n">
        <f aca="false">INDEX(Insurance_USD,1,Q$5)*FX_USD/12</f>
        <v>1208333.33333333</v>
      </c>
      <c r="R75" s="32" t="n">
        <f aca="false">INDEX(Insurance_USD,1,R$5)*FX_USD/12</f>
        <v>1208333.33333333</v>
      </c>
      <c r="S75" s="32" t="n">
        <f aca="false">INDEX(Insurance_USD,1,S$5)*FX_USD/12</f>
        <v>1208333.33333333</v>
      </c>
      <c r="T75" s="32" t="n">
        <f aca="false">INDEX(Insurance_USD,1,T$5)*FX_USD/12</f>
        <v>1208333.33333333</v>
      </c>
      <c r="U75" s="32" t="n">
        <f aca="false">INDEX(Insurance_USD,1,U$5)*FX_USD/12</f>
        <v>1208333.33333333</v>
      </c>
      <c r="V75" s="32" t="n">
        <f aca="false">INDEX(Insurance_USD,1,V$5)*FX_USD/12</f>
        <v>1208333.33333333</v>
      </c>
      <c r="W75" s="32" t="n">
        <f aca="false">INDEX(Insurance_USD,1,W$5)*FX_USD/12</f>
        <v>1208333.33333333</v>
      </c>
      <c r="X75" s="32" t="n">
        <f aca="false">INDEX(Insurance_USD,1,X$5)*FX_USD/12</f>
        <v>1208333.33333333</v>
      </c>
      <c r="Y75" s="32" t="n">
        <f aca="false">INDEX(Insurance_USD,1,Y$5)*FX_USD/12</f>
        <v>1208333.33333333</v>
      </c>
      <c r="Z75" s="32" t="n">
        <f aca="false">INDEX(Insurance_USD,1,Z$5)*FX_USD/12</f>
        <v>1208333.33333333</v>
      </c>
      <c r="AA75" s="32" t="n">
        <f aca="false">INDEX(Insurance_USD,1,AA$5)*FX_USD/12</f>
        <v>1208333.33333333</v>
      </c>
      <c r="AB75" s="32" t="n">
        <f aca="false">INDEX(Insurance_USD,1,AB$5)*FX_USD/12</f>
        <v>1208333.33333333</v>
      </c>
      <c r="AC75" s="32" t="n">
        <f aca="false">INDEX(Insurance_USD,1,AC$5)*FX_USD/12</f>
        <v>1691666.66666667</v>
      </c>
      <c r="AD75" s="32" t="n">
        <f aca="false">INDEX(Insurance_USD,1,AD$5)*FX_USD/12</f>
        <v>1691666.66666667</v>
      </c>
      <c r="AE75" s="32" t="n">
        <f aca="false">INDEX(Insurance_USD,1,AE$5)*FX_USD/12</f>
        <v>1691666.66666667</v>
      </c>
      <c r="AF75" s="32" t="n">
        <f aca="false">INDEX(Insurance_USD,1,AF$5)*FX_USD/12</f>
        <v>1691666.66666667</v>
      </c>
      <c r="AG75" s="32" t="n">
        <f aca="false">INDEX(Insurance_USD,1,AG$5)*FX_USD/12</f>
        <v>1691666.66666667</v>
      </c>
      <c r="AH75" s="32" t="n">
        <f aca="false">INDEX(Insurance_USD,1,AH$5)*FX_USD/12</f>
        <v>1691666.66666667</v>
      </c>
      <c r="AI75" s="32" t="n">
        <f aca="false">INDEX(Insurance_USD,1,AI$5)*FX_USD/12</f>
        <v>1691666.66666667</v>
      </c>
      <c r="AJ75" s="32" t="n">
        <f aca="false">INDEX(Insurance_USD,1,AJ$5)*FX_USD/12</f>
        <v>1691666.66666667</v>
      </c>
      <c r="AK75" s="32" t="n">
        <f aca="false">INDEX(Insurance_USD,1,AK$5)*FX_USD/12</f>
        <v>1691666.66666667</v>
      </c>
      <c r="AL75" s="32" t="n">
        <f aca="false">INDEX(Insurance_USD,1,AL$5)*FX_USD/12</f>
        <v>1691666.66666667</v>
      </c>
      <c r="AM75" s="32" t="n">
        <f aca="false">INDEX(Insurance_USD,1,AM$5)*FX_USD/12</f>
        <v>1691666.66666667</v>
      </c>
      <c r="AN75" s="32" t="n">
        <f aca="false">INDEX(Insurance_USD,1,AN$5)*FX_USD/12</f>
        <v>1691666.66666667</v>
      </c>
      <c r="AO75" s="32" t="n">
        <f aca="false">INDEX(Insurance_USD,1,AO$5)*FX_USD/12</f>
        <v>2175000</v>
      </c>
      <c r="AP75" s="32" t="n">
        <f aca="false">INDEX(Insurance_USD,1,AP$5)*FX_USD/12</f>
        <v>2175000</v>
      </c>
      <c r="AQ75" s="32" t="n">
        <f aca="false">INDEX(Insurance_USD,1,AQ$5)*FX_USD/12</f>
        <v>2175000</v>
      </c>
      <c r="AR75" s="32" t="n">
        <f aca="false">INDEX(Insurance_USD,1,AR$5)*FX_USD/12</f>
        <v>2175000</v>
      </c>
      <c r="AS75" s="32" t="n">
        <f aca="false">INDEX(Insurance_USD,1,AS$5)*FX_USD/12</f>
        <v>2175000</v>
      </c>
      <c r="AT75" s="32" t="n">
        <f aca="false">INDEX(Insurance_USD,1,AT$5)*FX_USD/12</f>
        <v>2175000</v>
      </c>
      <c r="AU75" s="32" t="n">
        <f aca="false">INDEX(Insurance_USD,1,AU$5)*FX_USD/12</f>
        <v>2175000</v>
      </c>
      <c r="AV75" s="32" t="n">
        <f aca="false">INDEX(Insurance_USD,1,AV$5)*FX_USD/12</f>
        <v>2175000</v>
      </c>
      <c r="AW75" s="32" t="n">
        <f aca="false">INDEX(Insurance_USD,1,AW$5)*FX_USD/12</f>
        <v>2175000</v>
      </c>
      <c r="AX75" s="32" t="n">
        <f aca="false">INDEX(Insurance_USD,1,AX$5)*FX_USD/12</f>
        <v>2175000</v>
      </c>
      <c r="AY75" s="32" t="n">
        <f aca="false">INDEX(Insurance_USD,1,AY$5)*FX_USD/12</f>
        <v>2175000</v>
      </c>
      <c r="AZ75" s="32" t="n">
        <f aca="false">INDEX(Insurance_USD,1,AZ$5)*FX_USD/12</f>
        <v>2175000</v>
      </c>
      <c r="BA75" s="32" t="n">
        <f aca="false">INDEX(Insurance_USD,1,BA$5)*FX_USD/12</f>
        <v>2658333.33333333</v>
      </c>
      <c r="BB75" s="32" t="n">
        <f aca="false">INDEX(Insurance_USD,1,BB$5)*FX_USD/12</f>
        <v>2658333.33333333</v>
      </c>
      <c r="BC75" s="32" t="n">
        <f aca="false">INDEX(Insurance_USD,1,BC$5)*FX_USD/12</f>
        <v>2658333.33333333</v>
      </c>
      <c r="BD75" s="32" t="n">
        <f aca="false">INDEX(Insurance_USD,1,BD$5)*FX_USD/12</f>
        <v>2658333.33333333</v>
      </c>
      <c r="BE75" s="32" t="n">
        <f aca="false">INDEX(Insurance_USD,1,BE$5)*FX_USD/12</f>
        <v>2658333.33333333</v>
      </c>
      <c r="BF75" s="32" t="n">
        <f aca="false">INDEX(Insurance_USD,1,BF$5)*FX_USD/12</f>
        <v>2658333.33333333</v>
      </c>
      <c r="BG75" s="32" t="n">
        <f aca="false">INDEX(Insurance_USD,1,BG$5)*FX_USD/12</f>
        <v>2658333.33333333</v>
      </c>
      <c r="BH75" s="32" t="n">
        <f aca="false">INDEX(Insurance_USD,1,BH$5)*FX_USD/12</f>
        <v>2658333.33333333</v>
      </c>
      <c r="BI75" s="32" t="n">
        <f aca="false">INDEX(Insurance_USD,1,BI$5)*FX_USD/12</f>
        <v>2658333.33333333</v>
      </c>
      <c r="BJ75" s="32" t="n">
        <f aca="false">INDEX(Insurance_USD,1,BJ$5)*FX_USD/12</f>
        <v>2658333.33333333</v>
      </c>
      <c r="BK75" s="32" t="n">
        <f aca="false">INDEX(Insurance_USD,1,BK$5)*FX_USD/12</f>
        <v>2658333.33333333</v>
      </c>
      <c r="BL75" s="32" t="n">
        <f aca="false">INDEX(Insurance_USD,1,BL$5)*FX_USD/12</f>
        <v>2658333.33333333</v>
      </c>
    </row>
    <row r="76" customFormat="false" ht="15" hidden="false" customHeight="false" outlineLevel="0" collapsed="false">
      <c r="A76" s="8" t="s">
        <v>1089</v>
      </c>
      <c r="B76" s="14" t="s">
        <v>77</v>
      </c>
      <c r="D76" s="55" t="n">
        <f aca="false">SUM(E76:BL76)</f>
        <v>656600000</v>
      </c>
      <c r="E76" s="16" t="n">
        <f aca="false">SUM(E66:E75)</f>
        <v>5475000</v>
      </c>
      <c r="F76" s="16" t="n">
        <f aca="false">SUM(F66:F75)</f>
        <v>2975000</v>
      </c>
      <c r="G76" s="16" t="n">
        <f aca="false">SUM(G66:G75)</f>
        <v>2975000</v>
      </c>
      <c r="H76" s="16" t="n">
        <f aca="false">SUM(H66:H75)</f>
        <v>2975000</v>
      </c>
      <c r="I76" s="16" t="n">
        <f aca="false">SUM(I66:I75)</f>
        <v>2975000</v>
      </c>
      <c r="J76" s="16" t="n">
        <f aca="false">SUM(J66:J75)</f>
        <v>2975000</v>
      </c>
      <c r="K76" s="16" t="n">
        <f aca="false">SUM(K66:K75)</f>
        <v>2975000</v>
      </c>
      <c r="L76" s="16" t="n">
        <f aca="false">SUM(L66:L75)</f>
        <v>2975000</v>
      </c>
      <c r="M76" s="16" t="n">
        <f aca="false">SUM(M66:M75)</f>
        <v>2975000</v>
      </c>
      <c r="N76" s="16" t="n">
        <f aca="false">SUM(N66:N75)</f>
        <v>2975000</v>
      </c>
      <c r="O76" s="16" t="n">
        <f aca="false">SUM(O66:O75)</f>
        <v>2975000</v>
      </c>
      <c r="P76" s="16" t="n">
        <f aca="false">SUM(P66:P75)</f>
        <v>2975000</v>
      </c>
      <c r="Q76" s="16" t="n">
        <f aca="false">SUM(Q66:Q75)</f>
        <v>8100000</v>
      </c>
      <c r="R76" s="16" t="n">
        <f aca="false">SUM(R66:R75)</f>
        <v>8100000</v>
      </c>
      <c r="S76" s="16" t="n">
        <f aca="false">SUM(S66:S75)</f>
        <v>8100000</v>
      </c>
      <c r="T76" s="16" t="n">
        <f aca="false">SUM(T66:T75)</f>
        <v>11100000</v>
      </c>
      <c r="U76" s="16" t="n">
        <f aca="false">SUM(U66:U75)</f>
        <v>8100000</v>
      </c>
      <c r="V76" s="16" t="n">
        <f aca="false">SUM(V66:V75)</f>
        <v>8100000</v>
      </c>
      <c r="W76" s="16" t="n">
        <f aca="false">SUM(W66:W75)</f>
        <v>8100000</v>
      </c>
      <c r="X76" s="16" t="n">
        <f aca="false">SUM(X66:X75)</f>
        <v>8100000</v>
      </c>
      <c r="Y76" s="16" t="n">
        <f aca="false">SUM(Y66:Y75)</f>
        <v>8100000</v>
      </c>
      <c r="Z76" s="16" t="n">
        <f aca="false">SUM(Z66:Z75)</f>
        <v>8100000</v>
      </c>
      <c r="AA76" s="16" t="n">
        <f aca="false">SUM(AA66:AA75)</f>
        <v>8100000</v>
      </c>
      <c r="AB76" s="16" t="n">
        <f aca="false">SUM(AB66:AB75)</f>
        <v>11100000</v>
      </c>
      <c r="AC76" s="16" t="n">
        <f aca="false">SUM(AC66:AC75)</f>
        <v>12533333.3333333</v>
      </c>
      <c r="AD76" s="16" t="n">
        <f aca="false">SUM(AD66:AD75)</f>
        <v>12533333.3333333</v>
      </c>
      <c r="AE76" s="16" t="n">
        <f aca="false">SUM(AE66:AE75)</f>
        <v>12533333.3333333</v>
      </c>
      <c r="AF76" s="16" t="n">
        <f aca="false">SUM(AF66:AF75)</f>
        <v>12533333.3333333</v>
      </c>
      <c r="AG76" s="16" t="n">
        <f aca="false">SUM(AG66:AG75)</f>
        <v>12533333.3333333</v>
      </c>
      <c r="AH76" s="16" t="n">
        <f aca="false">SUM(AH66:AH75)</f>
        <v>12533333.3333333</v>
      </c>
      <c r="AI76" s="16" t="n">
        <f aca="false">SUM(AI66:AI75)</f>
        <v>12533333.3333333</v>
      </c>
      <c r="AJ76" s="16" t="n">
        <f aca="false">SUM(AJ66:AJ75)</f>
        <v>12533333.3333333</v>
      </c>
      <c r="AK76" s="16" t="n">
        <f aca="false">SUM(AK66:AK75)</f>
        <v>12533333.3333333</v>
      </c>
      <c r="AL76" s="16" t="n">
        <f aca="false">SUM(AL66:AL75)</f>
        <v>12533333.3333333</v>
      </c>
      <c r="AM76" s="16" t="n">
        <f aca="false">SUM(AM66:AM75)</f>
        <v>12533333.3333333</v>
      </c>
      <c r="AN76" s="16" t="n">
        <f aca="false">SUM(AN66:AN75)</f>
        <v>12533333.3333333</v>
      </c>
      <c r="AO76" s="16" t="n">
        <f aca="false">SUM(AO66:AO75)</f>
        <v>14033333.3333333</v>
      </c>
      <c r="AP76" s="16" t="n">
        <f aca="false">SUM(AP66:AP75)</f>
        <v>14033333.3333333</v>
      </c>
      <c r="AQ76" s="16" t="n">
        <f aca="false">SUM(AQ66:AQ75)</f>
        <v>14033333.3333333</v>
      </c>
      <c r="AR76" s="16" t="n">
        <f aca="false">SUM(AR66:AR75)</f>
        <v>14033333.3333333</v>
      </c>
      <c r="AS76" s="16" t="n">
        <f aca="false">SUM(AS66:AS75)</f>
        <v>14033333.3333333</v>
      </c>
      <c r="AT76" s="16" t="n">
        <f aca="false">SUM(AT66:AT75)</f>
        <v>14033333.3333333</v>
      </c>
      <c r="AU76" s="16" t="n">
        <f aca="false">SUM(AU66:AU75)</f>
        <v>14033333.3333333</v>
      </c>
      <c r="AV76" s="16" t="n">
        <f aca="false">SUM(AV66:AV75)</f>
        <v>14033333.3333333</v>
      </c>
      <c r="AW76" s="16" t="n">
        <f aca="false">SUM(AW66:AW75)</f>
        <v>14033333.3333333</v>
      </c>
      <c r="AX76" s="16" t="n">
        <f aca="false">SUM(AX66:AX75)</f>
        <v>14033333.3333333</v>
      </c>
      <c r="AY76" s="16" t="n">
        <f aca="false">SUM(AY66:AY75)</f>
        <v>14033333.3333333</v>
      </c>
      <c r="AZ76" s="16" t="n">
        <f aca="false">SUM(AZ66:AZ75)</f>
        <v>14033333.3333333</v>
      </c>
      <c r="BA76" s="16" t="n">
        <f aca="false">SUM(BA66:BA75)</f>
        <v>16366666.6666667</v>
      </c>
      <c r="BB76" s="16" t="n">
        <f aca="false">SUM(BB66:BB75)</f>
        <v>16366666.6666667</v>
      </c>
      <c r="BC76" s="16" t="n">
        <f aca="false">SUM(BC66:BC75)</f>
        <v>16366666.6666667</v>
      </c>
      <c r="BD76" s="16" t="n">
        <f aca="false">SUM(BD66:BD75)</f>
        <v>16366666.6666667</v>
      </c>
      <c r="BE76" s="16" t="n">
        <f aca="false">SUM(BE66:BE75)</f>
        <v>16366666.6666667</v>
      </c>
      <c r="BF76" s="16" t="n">
        <f aca="false">SUM(BF66:BF75)</f>
        <v>16366666.6666667</v>
      </c>
      <c r="BG76" s="16" t="n">
        <f aca="false">SUM(BG66:BG75)</f>
        <v>16366666.6666667</v>
      </c>
      <c r="BH76" s="16" t="n">
        <f aca="false">SUM(BH66:BH75)</f>
        <v>16366666.6666667</v>
      </c>
      <c r="BI76" s="16" t="n">
        <f aca="false">SUM(BI66:BI75)</f>
        <v>16366666.6666667</v>
      </c>
      <c r="BJ76" s="16" t="n">
        <f aca="false">SUM(BJ66:BJ75)</f>
        <v>16366666.6666667</v>
      </c>
      <c r="BK76" s="16" t="n">
        <f aca="false">SUM(BK66:BK75)</f>
        <v>16366666.6666667</v>
      </c>
      <c r="BL76" s="16" t="n">
        <f aca="false">SUM(BL66:BL75)</f>
        <v>16366666.6666667</v>
      </c>
    </row>
    <row r="78" customFormat="false" ht="15" hidden="false" customHeight="false" outlineLevel="0" collapsed="false">
      <c r="A78" s="10" t="s">
        <v>713</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978</v>
      </c>
      <c r="B79" s="14" t="s">
        <v>77</v>
      </c>
      <c r="D79" s="55" t="n">
        <f aca="false">SUM(E79:BL79)</f>
        <v>333220000</v>
      </c>
      <c r="E79" s="23" t="n">
        <f aca="false">'Sales &amp; marketing'!E40</f>
        <v>0</v>
      </c>
      <c r="F79" s="23" t="n">
        <f aca="false">'Sales &amp; marketing'!F40</f>
        <v>0</v>
      </c>
      <c r="G79" s="23" t="n">
        <f aca="false">'Sales &amp; marketing'!G40</f>
        <v>0</v>
      </c>
      <c r="H79" s="23" t="n">
        <f aca="false">'Sales &amp; marketing'!H40</f>
        <v>0</v>
      </c>
      <c r="I79" s="23" t="n">
        <f aca="false">'Sales &amp; marketing'!I40</f>
        <v>1310000</v>
      </c>
      <c r="J79" s="23" t="n">
        <f aca="false">'Sales &amp; marketing'!J40</f>
        <v>1310000</v>
      </c>
      <c r="K79" s="23" t="n">
        <f aca="false">'Sales &amp; marketing'!K40</f>
        <v>1310000</v>
      </c>
      <c r="L79" s="23" t="n">
        <f aca="false">'Sales &amp; marketing'!L40</f>
        <v>1310000</v>
      </c>
      <c r="M79" s="23" t="n">
        <f aca="false">'Sales &amp; marketing'!M40</f>
        <v>1310000</v>
      </c>
      <c r="N79" s="23" t="n">
        <f aca="false">'Sales &amp; marketing'!N40</f>
        <v>1310000</v>
      </c>
      <c r="O79" s="23" t="n">
        <f aca="false">'Sales &amp; marketing'!O40</f>
        <v>1310000</v>
      </c>
      <c r="P79" s="23" t="n">
        <f aca="false">'Sales &amp; marketing'!P40</f>
        <v>1310000</v>
      </c>
      <c r="Q79" s="23" t="n">
        <f aca="false">'Sales &amp; marketing'!Q40</f>
        <v>2620000</v>
      </c>
      <c r="R79" s="23" t="n">
        <f aca="false">'Sales &amp; marketing'!R40</f>
        <v>2620000</v>
      </c>
      <c r="S79" s="23" t="n">
        <f aca="false">'Sales &amp; marketing'!S40</f>
        <v>2620000</v>
      </c>
      <c r="T79" s="23" t="n">
        <f aca="false">'Sales &amp; marketing'!T40</f>
        <v>2620000</v>
      </c>
      <c r="U79" s="23" t="n">
        <f aca="false">'Sales &amp; marketing'!U40</f>
        <v>2620000</v>
      </c>
      <c r="V79" s="23" t="n">
        <f aca="false">'Sales &amp; marketing'!V40</f>
        <v>2620000</v>
      </c>
      <c r="W79" s="23" t="n">
        <f aca="false">'Sales &amp; marketing'!W40</f>
        <v>3930000</v>
      </c>
      <c r="X79" s="23" t="n">
        <f aca="false">'Sales &amp; marketing'!X40</f>
        <v>3930000</v>
      </c>
      <c r="Y79" s="23" t="n">
        <f aca="false">'Sales &amp; marketing'!Y40</f>
        <v>3930000</v>
      </c>
      <c r="Z79" s="23" t="n">
        <f aca="false">'Sales &amp; marketing'!Z40</f>
        <v>3930000</v>
      </c>
      <c r="AA79" s="23" t="n">
        <f aca="false">'Sales &amp; marketing'!AA40</f>
        <v>3930000</v>
      </c>
      <c r="AB79" s="23" t="n">
        <f aca="false">'Sales &amp; marketing'!AB40</f>
        <v>3930000</v>
      </c>
      <c r="AC79" s="23" t="n">
        <f aca="false">'Sales &amp; marketing'!AC40</f>
        <v>6560000</v>
      </c>
      <c r="AD79" s="23" t="n">
        <f aca="false">'Sales &amp; marketing'!AD40</f>
        <v>6560000</v>
      </c>
      <c r="AE79" s="23" t="n">
        <f aca="false">'Sales &amp; marketing'!AE40</f>
        <v>6560000</v>
      </c>
      <c r="AF79" s="23" t="n">
        <f aca="false">'Sales &amp; marketing'!AF40</f>
        <v>6560000</v>
      </c>
      <c r="AG79" s="23" t="n">
        <f aca="false">'Sales &amp; marketing'!AG40</f>
        <v>6560000</v>
      </c>
      <c r="AH79" s="23" t="n">
        <f aca="false">'Sales &amp; marketing'!AH40</f>
        <v>6560000</v>
      </c>
      <c r="AI79" s="23" t="n">
        <f aca="false">'Sales &amp; marketing'!AI40</f>
        <v>6560000</v>
      </c>
      <c r="AJ79" s="23" t="n">
        <f aca="false">'Sales &amp; marketing'!AJ40</f>
        <v>6560000</v>
      </c>
      <c r="AK79" s="23" t="n">
        <f aca="false">'Sales &amp; marketing'!AK40</f>
        <v>6560000</v>
      </c>
      <c r="AL79" s="23" t="n">
        <f aca="false">'Sales &amp; marketing'!AL40</f>
        <v>6560000</v>
      </c>
      <c r="AM79" s="23" t="n">
        <f aca="false">'Sales &amp; marketing'!AM40</f>
        <v>6560000</v>
      </c>
      <c r="AN79" s="23" t="n">
        <f aca="false">'Sales &amp; marketing'!AN40</f>
        <v>6560000</v>
      </c>
      <c r="AO79" s="23" t="n">
        <f aca="false">'Sales &amp; marketing'!AO40</f>
        <v>7870000</v>
      </c>
      <c r="AP79" s="23" t="n">
        <f aca="false">'Sales &amp; marketing'!AP40</f>
        <v>7870000</v>
      </c>
      <c r="AQ79" s="23" t="n">
        <f aca="false">'Sales &amp; marketing'!AQ40</f>
        <v>7870000</v>
      </c>
      <c r="AR79" s="23" t="n">
        <f aca="false">'Sales &amp; marketing'!AR40</f>
        <v>7870000</v>
      </c>
      <c r="AS79" s="23" t="n">
        <f aca="false">'Sales &amp; marketing'!AS40</f>
        <v>7870000</v>
      </c>
      <c r="AT79" s="23" t="n">
        <f aca="false">'Sales &amp; marketing'!AT40</f>
        <v>7870000</v>
      </c>
      <c r="AU79" s="23" t="n">
        <f aca="false">'Sales &amp; marketing'!AU40</f>
        <v>7870000</v>
      </c>
      <c r="AV79" s="23" t="n">
        <f aca="false">'Sales &amp; marketing'!AV40</f>
        <v>7870000</v>
      </c>
      <c r="AW79" s="23" t="n">
        <f aca="false">'Sales &amp; marketing'!AW40</f>
        <v>7870000</v>
      </c>
      <c r="AX79" s="23" t="n">
        <f aca="false">'Sales &amp; marketing'!AX40</f>
        <v>7870000</v>
      </c>
      <c r="AY79" s="23" t="n">
        <f aca="false">'Sales &amp; marketing'!AY40</f>
        <v>7870000</v>
      </c>
      <c r="AZ79" s="23" t="n">
        <f aca="false">'Sales &amp; marketing'!AZ40</f>
        <v>7870000</v>
      </c>
      <c r="BA79" s="23" t="n">
        <f aca="false">'Sales &amp; marketing'!BA40</f>
        <v>9190000</v>
      </c>
      <c r="BB79" s="23" t="n">
        <f aca="false">'Sales &amp; marketing'!BB40</f>
        <v>9190000</v>
      </c>
      <c r="BC79" s="23" t="n">
        <f aca="false">'Sales &amp; marketing'!BC40</f>
        <v>9190000</v>
      </c>
      <c r="BD79" s="23" t="n">
        <f aca="false">'Sales &amp; marketing'!BD40</f>
        <v>9190000</v>
      </c>
      <c r="BE79" s="23" t="n">
        <f aca="false">'Sales &amp; marketing'!BE40</f>
        <v>9190000</v>
      </c>
      <c r="BF79" s="23" t="n">
        <f aca="false">'Sales &amp; marketing'!BF40</f>
        <v>9190000</v>
      </c>
      <c r="BG79" s="23" t="n">
        <f aca="false">'Sales &amp; marketing'!BG40</f>
        <v>9190000</v>
      </c>
      <c r="BH79" s="23" t="n">
        <f aca="false">'Sales &amp; marketing'!BH40</f>
        <v>9190000</v>
      </c>
      <c r="BI79" s="23" t="n">
        <f aca="false">'Sales &amp; marketing'!BI40</f>
        <v>9190000</v>
      </c>
      <c r="BJ79" s="23" t="n">
        <f aca="false">'Sales &amp; marketing'!BJ40</f>
        <v>9190000</v>
      </c>
      <c r="BK79" s="23" t="n">
        <f aca="false">'Sales &amp; marketing'!BK40</f>
        <v>9190000</v>
      </c>
      <c r="BL79" s="23" t="n">
        <f aca="false">'Sales &amp; marketing'!BL40</f>
        <v>9190000</v>
      </c>
    </row>
    <row r="80" customFormat="false" ht="15" hidden="false" customHeight="false" outlineLevel="0" collapsed="false">
      <c r="A80" s="12" t="s">
        <v>717</v>
      </c>
      <c r="B80" s="14" t="s">
        <v>77</v>
      </c>
      <c r="D80" s="55" t="n">
        <f aca="false">SUM(E80:BL80)</f>
        <v>41330000</v>
      </c>
      <c r="E80" s="23" t="n">
        <f aca="false">'Sales &amp; marketing'!E41</f>
        <v>1366666.66666667</v>
      </c>
      <c r="F80" s="23" t="n">
        <f aca="false">'Sales &amp; marketing'!F41</f>
        <v>1366666.66666667</v>
      </c>
      <c r="G80" s="23" t="n">
        <f aca="false">'Sales &amp; marketing'!G41</f>
        <v>1366666.66666667</v>
      </c>
      <c r="H80" s="23" t="n">
        <f aca="false">'Sales &amp; marketing'!H41</f>
        <v>1366666.66666667</v>
      </c>
      <c r="I80" s="23" t="n">
        <f aca="false">'Sales &amp; marketing'!I41</f>
        <v>1366666.66666667</v>
      </c>
      <c r="J80" s="23" t="n">
        <f aca="false">'Sales &amp; marketing'!J41</f>
        <v>1366666.66666667</v>
      </c>
      <c r="K80" s="23" t="n">
        <f aca="false">'Sales &amp; marketing'!K41</f>
        <v>1366666.66666667</v>
      </c>
      <c r="L80" s="23" t="n">
        <f aca="false">'Sales &amp; marketing'!L41</f>
        <v>1366666.66666667</v>
      </c>
      <c r="M80" s="23" t="n">
        <f aca="false">'Sales &amp; marketing'!M41</f>
        <v>1366666.66666667</v>
      </c>
      <c r="N80" s="23" t="n">
        <f aca="false">'Sales &amp; marketing'!N41</f>
        <v>1366666.66666667</v>
      </c>
      <c r="O80" s="23" t="n">
        <f aca="false">'Sales &amp; marketing'!O41</f>
        <v>1366666.66666667</v>
      </c>
      <c r="P80" s="23" t="n">
        <f aca="false">'Sales &amp; marketing'!P41</f>
        <v>1366666.66666667</v>
      </c>
      <c r="Q80" s="23" t="n">
        <f aca="false">'Sales &amp; marketing'!Q41</f>
        <v>437500</v>
      </c>
      <c r="R80" s="23" t="n">
        <f aca="false">'Sales &amp; marketing'!R41</f>
        <v>437500</v>
      </c>
      <c r="S80" s="23" t="n">
        <f aca="false">'Sales &amp; marketing'!S41</f>
        <v>437500</v>
      </c>
      <c r="T80" s="23" t="n">
        <f aca="false">'Sales &amp; marketing'!T41</f>
        <v>437500</v>
      </c>
      <c r="U80" s="23" t="n">
        <f aca="false">'Sales &amp; marketing'!U41</f>
        <v>437500</v>
      </c>
      <c r="V80" s="23" t="n">
        <f aca="false">'Sales &amp; marketing'!V41</f>
        <v>437500</v>
      </c>
      <c r="W80" s="23" t="n">
        <f aca="false">'Sales &amp; marketing'!W41</f>
        <v>437500</v>
      </c>
      <c r="X80" s="23" t="n">
        <f aca="false">'Sales &amp; marketing'!X41</f>
        <v>437500</v>
      </c>
      <c r="Y80" s="23" t="n">
        <f aca="false">'Sales &amp; marketing'!Y41</f>
        <v>437500</v>
      </c>
      <c r="Z80" s="23" t="n">
        <f aca="false">'Sales &amp; marketing'!Z41</f>
        <v>437500</v>
      </c>
      <c r="AA80" s="23" t="n">
        <f aca="false">'Sales &amp; marketing'!AA41</f>
        <v>437500</v>
      </c>
      <c r="AB80" s="23" t="n">
        <f aca="false">'Sales &amp; marketing'!AB41</f>
        <v>437500</v>
      </c>
      <c r="AC80" s="23" t="n">
        <f aca="false">'Sales &amp; marketing'!AC41</f>
        <v>546666.666666667</v>
      </c>
      <c r="AD80" s="23" t="n">
        <f aca="false">'Sales &amp; marketing'!AD41</f>
        <v>546666.666666667</v>
      </c>
      <c r="AE80" s="23" t="n">
        <f aca="false">'Sales &amp; marketing'!AE41</f>
        <v>546666.666666667</v>
      </c>
      <c r="AF80" s="23" t="n">
        <f aca="false">'Sales &amp; marketing'!AF41</f>
        <v>546666.666666667</v>
      </c>
      <c r="AG80" s="23" t="n">
        <f aca="false">'Sales &amp; marketing'!AG41</f>
        <v>546666.666666667</v>
      </c>
      <c r="AH80" s="23" t="n">
        <f aca="false">'Sales &amp; marketing'!AH41</f>
        <v>546666.666666667</v>
      </c>
      <c r="AI80" s="23" t="n">
        <f aca="false">'Sales &amp; marketing'!AI41</f>
        <v>546666.666666667</v>
      </c>
      <c r="AJ80" s="23" t="n">
        <f aca="false">'Sales &amp; marketing'!AJ41</f>
        <v>546666.666666667</v>
      </c>
      <c r="AK80" s="23" t="n">
        <f aca="false">'Sales &amp; marketing'!AK41</f>
        <v>546666.666666667</v>
      </c>
      <c r="AL80" s="23" t="n">
        <f aca="false">'Sales &amp; marketing'!AL41</f>
        <v>546666.666666667</v>
      </c>
      <c r="AM80" s="23" t="n">
        <f aca="false">'Sales &amp; marketing'!AM41</f>
        <v>546666.666666667</v>
      </c>
      <c r="AN80" s="23" t="n">
        <f aca="false">'Sales &amp; marketing'!AN41</f>
        <v>546666.666666667</v>
      </c>
      <c r="AO80" s="23" t="n">
        <f aca="false">'Sales &amp; marketing'!AO41</f>
        <v>546666.666666667</v>
      </c>
      <c r="AP80" s="23" t="n">
        <f aca="false">'Sales &amp; marketing'!AP41</f>
        <v>546666.666666667</v>
      </c>
      <c r="AQ80" s="23" t="n">
        <f aca="false">'Sales &amp; marketing'!AQ41</f>
        <v>546666.666666667</v>
      </c>
      <c r="AR80" s="23" t="n">
        <f aca="false">'Sales &amp; marketing'!AR41</f>
        <v>546666.666666667</v>
      </c>
      <c r="AS80" s="23" t="n">
        <f aca="false">'Sales &amp; marketing'!AS41</f>
        <v>546666.666666667</v>
      </c>
      <c r="AT80" s="23" t="n">
        <f aca="false">'Sales &amp; marketing'!AT41</f>
        <v>546666.666666667</v>
      </c>
      <c r="AU80" s="23" t="n">
        <f aca="false">'Sales &amp; marketing'!AU41</f>
        <v>546666.666666667</v>
      </c>
      <c r="AV80" s="23" t="n">
        <f aca="false">'Sales &amp; marketing'!AV41</f>
        <v>546666.666666667</v>
      </c>
      <c r="AW80" s="23" t="n">
        <f aca="false">'Sales &amp; marketing'!AW41</f>
        <v>546666.666666667</v>
      </c>
      <c r="AX80" s="23" t="n">
        <f aca="false">'Sales &amp; marketing'!AX41</f>
        <v>546666.666666667</v>
      </c>
      <c r="AY80" s="23" t="n">
        <f aca="false">'Sales &amp; marketing'!AY41</f>
        <v>546666.666666667</v>
      </c>
      <c r="AZ80" s="23" t="n">
        <f aca="false">'Sales &amp; marketing'!AZ41</f>
        <v>546666.666666667</v>
      </c>
      <c r="BA80" s="23" t="n">
        <f aca="false">'Sales &amp; marketing'!BA41</f>
        <v>546666.666666667</v>
      </c>
      <c r="BB80" s="23" t="n">
        <f aca="false">'Sales &amp; marketing'!BB41</f>
        <v>546666.666666667</v>
      </c>
      <c r="BC80" s="23" t="n">
        <f aca="false">'Sales &amp; marketing'!BC41</f>
        <v>546666.666666667</v>
      </c>
      <c r="BD80" s="23" t="n">
        <f aca="false">'Sales &amp; marketing'!BD41</f>
        <v>546666.666666667</v>
      </c>
      <c r="BE80" s="23" t="n">
        <f aca="false">'Sales &amp; marketing'!BE41</f>
        <v>546666.666666667</v>
      </c>
      <c r="BF80" s="23" t="n">
        <f aca="false">'Sales &amp; marketing'!BF41</f>
        <v>546666.666666667</v>
      </c>
      <c r="BG80" s="23" t="n">
        <f aca="false">'Sales &amp; marketing'!BG41</f>
        <v>546666.666666667</v>
      </c>
      <c r="BH80" s="23" t="n">
        <f aca="false">'Sales &amp; marketing'!BH41</f>
        <v>546666.666666667</v>
      </c>
      <c r="BI80" s="23" t="n">
        <f aca="false">'Sales &amp; marketing'!BI41</f>
        <v>546666.666666667</v>
      </c>
      <c r="BJ80" s="23" t="n">
        <f aca="false">'Sales &amp; marketing'!BJ41</f>
        <v>546666.666666667</v>
      </c>
      <c r="BK80" s="23" t="n">
        <f aca="false">'Sales &amp; marketing'!BK41</f>
        <v>546666.666666667</v>
      </c>
      <c r="BL80" s="23" t="n">
        <f aca="false">'Sales &amp; marketing'!BL41</f>
        <v>546666.666666667</v>
      </c>
    </row>
    <row r="81" customFormat="false" ht="15" hidden="false" customHeight="false" outlineLevel="0" collapsed="false">
      <c r="A81" s="12" t="s">
        <v>719</v>
      </c>
      <c r="B81" s="14" t="s">
        <v>77</v>
      </c>
      <c r="D81" s="55" t="n">
        <f aca="false">SUM(E81:BL81)</f>
        <v>137740000</v>
      </c>
      <c r="E81" s="23" t="n">
        <f aca="false">'Sales &amp; marketing'!E42</f>
        <v>820000</v>
      </c>
      <c r="F81" s="23" t="n">
        <f aca="false">'Sales &amp; marketing'!F42</f>
        <v>820000</v>
      </c>
      <c r="G81" s="23" t="n">
        <f aca="false">'Sales &amp; marketing'!G42</f>
        <v>820000</v>
      </c>
      <c r="H81" s="23" t="n">
        <f aca="false">'Sales &amp; marketing'!H42</f>
        <v>820000</v>
      </c>
      <c r="I81" s="23" t="n">
        <f aca="false">'Sales &amp; marketing'!I42</f>
        <v>820000</v>
      </c>
      <c r="J81" s="23" t="n">
        <f aca="false">'Sales &amp; marketing'!J42</f>
        <v>820000</v>
      </c>
      <c r="K81" s="23" t="n">
        <f aca="false">'Sales &amp; marketing'!K42</f>
        <v>820000</v>
      </c>
      <c r="L81" s="23" t="n">
        <f aca="false">'Sales &amp; marketing'!L42</f>
        <v>820000</v>
      </c>
      <c r="M81" s="23" t="n">
        <f aca="false">'Sales &amp; marketing'!M42</f>
        <v>820000</v>
      </c>
      <c r="N81" s="23" t="n">
        <f aca="false">'Sales &amp; marketing'!N42</f>
        <v>820000</v>
      </c>
      <c r="O81" s="23" t="n">
        <f aca="false">'Sales &amp; marketing'!O42</f>
        <v>820000</v>
      </c>
      <c r="P81" s="23" t="n">
        <f aca="false">'Sales &amp; marketing'!P42</f>
        <v>820000</v>
      </c>
      <c r="Q81" s="23" t="n">
        <f aca="false">'Sales &amp; marketing'!Q42</f>
        <v>1641666.66666667</v>
      </c>
      <c r="R81" s="23" t="n">
        <f aca="false">'Sales &amp; marketing'!R42</f>
        <v>1641666.66666667</v>
      </c>
      <c r="S81" s="23" t="n">
        <f aca="false">'Sales &amp; marketing'!S42</f>
        <v>1641666.66666667</v>
      </c>
      <c r="T81" s="23" t="n">
        <f aca="false">'Sales &amp; marketing'!T42</f>
        <v>1641666.66666667</v>
      </c>
      <c r="U81" s="23" t="n">
        <f aca="false">'Sales &amp; marketing'!U42</f>
        <v>1641666.66666667</v>
      </c>
      <c r="V81" s="23" t="n">
        <f aca="false">'Sales &amp; marketing'!V42</f>
        <v>1641666.66666667</v>
      </c>
      <c r="W81" s="23" t="n">
        <f aca="false">'Sales &amp; marketing'!W42</f>
        <v>1641666.66666667</v>
      </c>
      <c r="X81" s="23" t="n">
        <f aca="false">'Sales &amp; marketing'!X42</f>
        <v>1641666.66666667</v>
      </c>
      <c r="Y81" s="23" t="n">
        <f aca="false">'Sales &amp; marketing'!Y42</f>
        <v>1641666.66666667</v>
      </c>
      <c r="Z81" s="23" t="n">
        <f aca="false">'Sales &amp; marketing'!Z42</f>
        <v>1641666.66666667</v>
      </c>
      <c r="AA81" s="23" t="n">
        <f aca="false">'Sales &amp; marketing'!AA42</f>
        <v>1641666.66666667</v>
      </c>
      <c r="AB81" s="23" t="n">
        <f aca="false">'Sales &amp; marketing'!AB42</f>
        <v>1641666.66666667</v>
      </c>
      <c r="AC81" s="23" t="n">
        <f aca="false">'Sales &amp; marketing'!AC42</f>
        <v>2458333.33333333</v>
      </c>
      <c r="AD81" s="23" t="n">
        <f aca="false">'Sales &amp; marketing'!AD42</f>
        <v>2458333.33333333</v>
      </c>
      <c r="AE81" s="23" t="n">
        <f aca="false">'Sales &amp; marketing'!AE42</f>
        <v>2458333.33333333</v>
      </c>
      <c r="AF81" s="23" t="n">
        <f aca="false">'Sales &amp; marketing'!AF42</f>
        <v>2458333.33333333</v>
      </c>
      <c r="AG81" s="23" t="n">
        <f aca="false">'Sales &amp; marketing'!AG42</f>
        <v>2458333.33333333</v>
      </c>
      <c r="AH81" s="23" t="n">
        <f aca="false">'Sales &amp; marketing'!AH42</f>
        <v>2458333.33333333</v>
      </c>
      <c r="AI81" s="23" t="n">
        <f aca="false">'Sales &amp; marketing'!AI42</f>
        <v>2458333.33333333</v>
      </c>
      <c r="AJ81" s="23" t="n">
        <f aca="false">'Sales &amp; marketing'!AJ42</f>
        <v>2458333.33333333</v>
      </c>
      <c r="AK81" s="23" t="n">
        <f aca="false">'Sales &amp; marketing'!AK42</f>
        <v>2458333.33333333</v>
      </c>
      <c r="AL81" s="23" t="n">
        <f aca="false">'Sales &amp; marketing'!AL42</f>
        <v>2458333.33333333</v>
      </c>
      <c r="AM81" s="23" t="n">
        <f aca="false">'Sales &amp; marketing'!AM42</f>
        <v>2458333.33333333</v>
      </c>
      <c r="AN81" s="23" t="n">
        <f aca="false">'Sales &amp; marketing'!AN42</f>
        <v>2458333.33333333</v>
      </c>
      <c r="AO81" s="23" t="n">
        <f aca="false">'Sales &amp; marketing'!AO42</f>
        <v>3008333.33333333</v>
      </c>
      <c r="AP81" s="23" t="n">
        <f aca="false">'Sales &amp; marketing'!AP42</f>
        <v>3008333.33333333</v>
      </c>
      <c r="AQ81" s="23" t="n">
        <f aca="false">'Sales &amp; marketing'!AQ42</f>
        <v>3008333.33333333</v>
      </c>
      <c r="AR81" s="23" t="n">
        <f aca="false">'Sales &amp; marketing'!AR42</f>
        <v>3008333.33333333</v>
      </c>
      <c r="AS81" s="23" t="n">
        <f aca="false">'Sales &amp; marketing'!AS42</f>
        <v>3008333.33333333</v>
      </c>
      <c r="AT81" s="23" t="n">
        <f aca="false">'Sales &amp; marketing'!AT42</f>
        <v>3008333.33333333</v>
      </c>
      <c r="AU81" s="23" t="n">
        <f aca="false">'Sales &amp; marketing'!AU42</f>
        <v>3008333.33333333</v>
      </c>
      <c r="AV81" s="23" t="n">
        <f aca="false">'Sales &amp; marketing'!AV42</f>
        <v>3008333.33333333</v>
      </c>
      <c r="AW81" s="23" t="n">
        <f aca="false">'Sales &amp; marketing'!AW42</f>
        <v>3008333.33333333</v>
      </c>
      <c r="AX81" s="23" t="n">
        <f aca="false">'Sales &amp; marketing'!AX42</f>
        <v>3008333.33333333</v>
      </c>
      <c r="AY81" s="23" t="n">
        <f aca="false">'Sales &amp; marketing'!AY42</f>
        <v>3008333.33333333</v>
      </c>
      <c r="AZ81" s="23" t="n">
        <f aca="false">'Sales &amp; marketing'!AZ42</f>
        <v>3008333.33333333</v>
      </c>
      <c r="BA81" s="23" t="n">
        <f aca="false">'Sales &amp; marketing'!BA42</f>
        <v>3550000</v>
      </c>
      <c r="BB81" s="23" t="n">
        <f aca="false">'Sales &amp; marketing'!BB42</f>
        <v>3550000</v>
      </c>
      <c r="BC81" s="23" t="n">
        <f aca="false">'Sales &amp; marketing'!BC42</f>
        <v>3550000</v>
      </c>
      <c r="BD81" s="23" t="n">
        <f aca="false">'Sales &amp; marketing'!BD42</f>
        <v>3550000</v>
      </c>
      <c r="BE81" s="23" t="n">
        <f aca="false">'Sales &amp; marketing'!BE42</f>
        <v>3550000</v>
      </c>
      <c r="BF81" s="23" t="n">
        <f aca="false">'Sales &amp; marketing'!BF42</f>
        <v>3550000</v>
      </c>
      <c r="BG81" s="23" t="n">
        <f aca="false">'Sales &amp; marketing'!BG42</f>
        <v>3550000</v>
      </c>
      <c r="BH81" s="23" t="n">
        <f aca="false">'Sales &amp; marketing'!BH42</f>
        <v>3550000</v>
      </c>
      <c r="BI81" s="23" t="n">
        <f aca="false">'Sales &amp; marketing'!BI42</f>
        <v>3550000</v>
      </c>
      <c r="BJ81" s="23" t="n">
        <f aca="false">'Sales &amp; marketing'!BJ42</f>
        <v>3550000</v>
      </c>
      <c r="BK81" s="23" t="n">
        <f aca="false">'Sales &amp; marketing'!BK42</f>
        <v>3550000</v>
      </c>
      <c r="BL81" s="23" t="n">
        <f aca="false">'Sales &amp; marketing'!BL42</f>
        <v>3550000</v>
      </c>
    </row>
    <row r="82" customFormat="false" ht="15" hidden="false" customHeight="false" outlineLevel="0" collapsed="false">
      <c r="A82" s="12" t="s">
        <v>979</v>
      </c>
      <c r="B82" s="14" t="s">
        <v>77</v>
      </c>
      <c r="D82" s="55" t="n">
        <f aca="false">SUM(E82:BL82)</f>
        <v>89166687.9665679</v>
      </c>
      <c r="E82" s="23" t="n">
        <f aca="false">'Sales &amp; marketing'!E43</f>
        <v>0</v>
      </c>
      <c r="F82" s="23" t="n">
        <f aca="false">'Sales &amp; marketing'!F43</f>
        <v>0</v>
      </c>
      <c r="G82" s="23" t="n">
        <f aca="false">'Sales &amp; marketing'!G43</f>
        <v>0</v>
      </c>
      <c r="H82" s="23" t="n">
        <f aca="false">'Sales &amp; marketing'!H43</f>
        <v>0</v>
      </c>
      <c r="I82" s="23" t="n">
        <f aca="false">'Sales &amp; marketing'!I43</f>
        <v>200000</v>
      </c>
      <c r="J82" s="23" t="n">
        <f aca="false">'Sales &amp; marketing'!J43</f>
        <v>212000</v>
      </c>
      <c r="K82" s="23" t="n">
        <f aca="false">'Sales &amp; marketing'!K43</f>
        <v>224720</v>
      </c>
      <c r="L82" s="23" t="n">
        <f aca="false">'Sales &amp; marketing'!L43</f>
        <v>238203.2</v>
      </c>
      <c r="M82" s="23" t="n">
        <f aca="false">'Sales &amp; marketing'!M43</f>
        <v>252495.392</v>
      </c>
      <c r="N82" s="23" t="n">
        <f aca="false">'Sales &amp; marketing'!N43</f>
        <v>267645.11552</v>
      </c>
      <c r="O82" s="23" t="n">
        <f aca="false">'Sales &amp; marketing'!O43</f>
        <v>283703.8224512</v>
      </c>
      <c r="P82" s="23" t="n">
        <f aca="false">'Sales &amp; marketing'!P43</f>
        <v>300726.051798272</v>
      </c>
      <c r="Q82" s="23" t="n">
        <f aca="false">'Sales &amp; marketing'!Q43</f>
        <v>318769.614906169</v>
      </c>
      <c r="R82" s="23" t="n">
        <f aca="false">'Sales &amp; marketing'!R43</f>
        <v>337895.791800539</v>
      </c>
      <c r="S82" s="23" t="n">
        <f aca="false">'Sales &amp; marketing'!S43</f>
        <v>358169.539308571</v>
      </c>
      <c r="T82" s="23" t="n">
        <f aca="false">'Sales &amp; marketing'!T43</f>
        <v>379659.711667085</v>
      </c>
      <c r="U82" s="23" t="n">
        <f aca="false">'Sales &amp; marketing'!U43</f>
        <v>402439.29436711</v>
      </c>
      <c r="V82" s="23" t="n">
        <f aca="false">'Sales &amp; marketing'!V43</f>
        <v>426585.652029137</v>
      </c>
      <c r="W82" s="23" t="n">
        <f aca="false">'Sales &amp; marketing'!W43</f>
        <v>602180.791150885</v>
      </c>
      <c r="X82" s="23" t="n">
        <f aca="false">'Sales &amp; marketing'!X43</f>
        <v>638311.638619938</v>
      </c>
      <c r="Y82" s="23" t="n">
        <f aca="false">'Sales &amp; marketing'!Y43</f>
        <v>676610.336937135</v>
      </c>
      <c r="Z82" s="23" t="n">
        <f aca="false">'Sales &amp; marketing'!Z43</f>
        <v>717206.957153363</v>
      </c>
      <c r="AA82" s="23" t="n">
        <f aca="false">'Sales &amp; marketing'!AA43</f>
        <v>760239.374582565</v>
      </c>
      <c r="AB82" s="23" t="n">
        <f aca="false">'Sales &amp; marketing'!AB43</f>
        <v>805853.737057518</v>
      </c>
      <c r="AC82" s="23" t="n">
        <f aca="false">'Sales &amp; marketing'!AC43</f>
        <v>854204.96128097</v>
      </c>
      <c r="AD82" s="23" t="n">
        <f aca="false">'Sales &amp; marketing'!AD43</f>
        <v>905457.258957828</v>
      </c>
      <c r="AE82" s="23" t="n">
        <f aca="false">'Sales &amp; marketing'!AE43</f>
        <v>959784.694495298</v>
      </c>
      <c r="AF82" s="23" t="n">
        <f aca="false">'Sales &amp; marketing'!AF43</f>
        <v>1017371.77616502</v>
      </c>
      <c r="AG82" s="23" t="n">
        <f aca="false">'Sales &amp; marketing'!AG43</f>
        <v>1078414.08273492</v>
      </c>
      <c r="AH82" s="23" t="n">
        <f aca="false">'Sales &amp; marketing'!AH43</f>
        <v>1143118.92769901</v>
      </c>
      <c r="AI82" s="23" t="n">
        <f aca="false">'Sales &amp; marketing'!AI43</f>
        <v>1211706.06336095</v>
      </c>
      <c r="AJ82" s="23" t="n">
        <f aca="false">'Sales &amp; marketing'!AJ43</f>
        <v>1284408.42716261</v>
      </c>
      <c r="AK82" s="23" t="n">
        <f aca="false">'Sales &amp; marketing'!AK43</f>
        <v>1361472.93279237</v>
      </c>
      <c r="AL82" s="23" t="n">
        <f aca="false">'Sales &amp; marketing'!AL43</f>
        <v>1443161.30875991</v>
      </c>
      <c r="AM82" s="23" t="n">
        <f aca="false">'Sales &amp; marketing'!AM43</f>
        <v>1529750.9872855</v>
      </c>
      <c r="AN82" s="23" t="n">
        <f aca="false">'Sales &amp; marketing'!AN43</f>
        <v>1621536.04652263</v>
      </c>
      <c r="AO82" s="23" t="n">
        <f aca="false">'Sales &amp; marketing'!AO43</f>
        <v>1718828.20931399</v>
      </c>
      <c r="AP82" s="23" t="n">
        <f aca="false">'Sales &amp; marketing'!AP43</f>
        <v>1821957.90187283</v>
      </c>
      <c r="AQ82" s="23" t="n">
        <f aca="false">'Sales &amp; marketing'!AQ43</f>
        <v>1931275.3759852</v>
      </c>
      <c r="AR82" s="23" t="n">
        <f aca="false">'Sales &amp; marketing'!AR43</f>
        <v>2047151.89854431</v>
      </c>
      <c r="AS82" s="23" t="n">
        <f aca="false">'Sales &amp; marketing'!AS43</f>
        <v>2169981.01245697</v>
      </c>
      <c r="AT82" s="23" t="n">
        <f aca="false">'Sales &amp; marketing'!AT43</f>
        <v>2300179.87320439</v>
      </c>
      <c r="AU82" s="23" t="n">
        <f aca="false">'Sales &amp; marketing'!AU43</f>
        <v>2438190.66559665</v>
      </c>
      <c r="AV82" s="23" t="n">
        <f aca="false">'Sales &amp; marketing'!AV43</f>
        <v>2584482.10553245</v>
      </c>
      <c r="AW82" s="23" t="n">
        <f aca="false">'Sales &amp; marketing'!AW43</f>
        <v>2682407.44443921</v>
      </c>
      <c r="AX82" s="23" t="n">
        <f aca="false">'Sales &amp; marketing'!AX43</f>
        <v>2723351.89110557</v>
      </c>
      <c r="AY82" s="23" t="n">
        <f aca="false">'Sales &amp; marketing'!AY43</f>
        <v>2766753.0045719</v>
      </c>
      <c r="AZ82" s="23" t="n">
        <f aca="false">'Sales &amp; marketing'!AZ43</f>
        <v>2812758.18484622</v>
      </c>
      <c r="BA82" s="23" t="n">
        <f aca="false">'Sales &amp; marketing'!BA43</f>
        <v>2861523.67593699</v>
      </c>
      <c r="BB82" s="23" t="n">
        <f aca="false">'Sales &amp; marketing'!BB43</f>
        <v>2913215.09649321</v>
      </c>
      <c r="BC82" s="23" t="n">
        <f aca="false">'Sales &amp; marketing'!BC43</f>
        <v>2968008.0022828</v>
      </c>
      <c r="BD82" s="23" t="n">
        <f aca="false">'Sales &amp; marketing'!BD43</f>
        <v>3026088.48241977</v>
      </c>
      <c r="BE82" s="23" t="n">
        <f aca="false">'Sales &amp; marketing'!BE43</f>
        <v>3087653.79136496</v>
      </c>
      <c r="BF82" s="23" t="n">
        <f aca="false">'Sales &amp; marketing'!BF43</f>
        <v>3152913.01884685</v>
      </c>
      <c r="BG82" s="23" t="n">
        <f aca="false">'Sales &amp; marketing'!BG43</f>
        <v>3222087.79997766</v>
      </c>
      <c r="BH82" s="23" t="n">
        <f aca="false">'Sales &amp; marketing'!BH43</f>
        <v>3295413.06797632</v>
      </c>
      <c r="BI82" s="23" t="n">
        <f aca="false">'Sales &amp; marketing'!BI43</f>
        <v>3373137.8520549</v>
      </c>
      <c r="BJ82" s="23" t="n">
        <f aca="false">'Sales &amp; marketing'!BJ43</f>
        <v>3455526.1231782</v>
      </c>
      <c r="BK82" s="23" t="n">
        <f aca="false">'Sales &amp; marketing'!BK43</f>
        <v>3500000</v>
      </c>
      <c r="BL82" s="23" t="n">
        <f aca="false">'Sales &amp; marketing'!BL43</f>
        <v>3500000</v>
      </c>
    </row>
    <row r="83" customFormat="false" ht="15" hidden="false" customHeight="false" outlineLevel="0" collapsed="false">
      <c r="A83" s="12" t="s">
        <v>980</v>
      </c>
      <c r="B83" s="14" t="s">
        <v>77</v>
      </c>
      <c r="D83" s="55" t="n">
        <f aca="false">SUM(E83:BL83)</f>
        <v>44100000</v>
      </c>
      <c r="E83" s="23" t="n">
        <f aca="false">'Sales &amp; marketing'!E44</f>
        <v>75000</v>
      </c>
      <c r="F83" s="23" t="n">
        <f aca="false">'Sales &amp; marketing'!F44</f>
        <v>75000</v>
      </c>
      <c r="G83" s="23" t="n">
        <f aca="false">'Sales &amp; marketing'!G44</f>
        <v>75000</v>
      </c>
      <c r="H83" s="23" t="n">
        <f aca="false">'Sales &amp; marketing'!H44</f>
        <v>225000</v>
      </c>
      <c r="I83" s="23" t="n">
        <f aca="false">'Sales &amp; marketing'!I44</f>
        <v>225000</v>
      </c>
      <c r="J83" s="23" t="n">
        <f aca="false">'Sales &amp; marketing'!J44</f>
        <v>225000</v>
      </c>
      <c r="K83" s="23" t="n">
        <f aca="false">'Sales &amp; marketing'!K44</f>
        <v>225000</v>
      </c>
      <c r="L83" s="23" t="n">
        <f aca="false">'Sales &amp; marketing'!L44</f>
        <v>225000</v>
      </c>
      <c r="M83" s="23" t="n">
        <f aca="false">'Sales &amp; marketing'!M44</f>
        <v>225000</v>
      </c>
      <c r="N83" s="23" t="n">
        <f aca="false">'Sales &amp; marketing'!N44</f>
        <v>225000</v>
      </c>
      <c r="O83" s="23" t="n">
        <f aca="false">'Sales &amp; marketing'!O44</f>
        <v>225000</v>
      </c>
      <c r="P83" s="23" t="n">
        <f aca="false">'Sales &amp; marketing'!P44</f>
        <v>225000</v>
      </c>
      <c r="Q83" s="23" t="n">
        <f aca="false">'Sales &amp; marketing'!Q44</f>
        <v>225000</v>
      </c>
      <c r="R83" s="23" t="n">
        <f aca="false">'Sales &amp; marketing'!R44</f>
        <v>225000</v>
      </c>
      <c r="S83" s="23" t="n">
        <f aca="false">'Sales &amp; marketing'!S44</f>
        <v>225000</v>
      </c>
      <c r="T83" s="23" t="n">
        <f aca="false">'Sales &amp; marketing'!T44</f>
        <v>225000</v>
      </c>
      <c r="U83" s="23" t="n">
        <f aca="false">'Sales &amp; marketing'!U44</f>
        <v>225000</v>
      </c>
      <c r="V83" s="23" t="n">
        <f aca="false">'Sales &amp; marketing'!V44</f>
        <v>375000</v>
      </c>
      <c r="W83" s="23" t="n">
        <f aca="false">'Sales &amp; marketing'!W44</f>
        <v>375000</v>
      </c>
      <c r="X83" s="23" t="n">
        <f aca="false">'Sales &amp; marketing'!X44</f>
        <v>450000</v>
      </c>
      <c r="Y83" s="23" t="n">
        <f aca="false">'Sales &amp; marketing'!Y44</f>
        <v>450000</v>
      </c>
      <c r="Z83" s="23" t="n">
        <f aca="false">'Sales &amp; marketing'!Z44</f>
        <v>450000</v>
      </c>
      <c r="AA83" s="23" t="n">
        <f aca="false">'Sales &amp; marketing'!AA44</f>
        <v>450000</v>
      </c>
      <c r="AB83" s="23" t="n">
        <f aca="false">'Sales &amp; marketing'!AB44</f>
        <v>450000</v>
      </c>
      <c r="AC83" s="23" t="n">
        <f aca="false">'Sales &amp; marketing'!AC44</f>
        <v>450000</v>
      </c>
      <c r="AD83" s="23" t="n">
        <f aca="false">'Sales &amp; marketing'!AD44</f>
        <v>525000</v>
      </c>
      <c r="AE83" s="23" t="n">
        <f aca="false">'Sales &amp; marketing'!AE44</f>
        <v>525000</v>
      </c>
      <c r="AF83" s="23" t="n">
        <f aca="false">'Sales &amp; marketing'!AF44</f>
        <v>525000</v>
      </c>
      <c r="AG83" s="23" t="n">
        <f aca="false">'Sales &amp; marketing'!AG44</f>
        <v>525000</v>
      </c>
      <c r="AH83" s="23" t="n">
        <f aca="false">'Sales &amp; marketing'!AH44</f>
        <v>600000</v>
      </c>
      <c r="AI83" s="23" t="n">
        <f aca="false">'Sales &amp; marketing'!AI44</f>
        <v>600000</v>
      </c>
      <c r="AJ83" s="23" t="n">
        <f aca="false">'Sales &amp; marketing'!AJ44</f>
        <v>600000</v>
      </c>
      <c r="AK83" s="23" t="n">
        <f aca="false">'Sales &amp; marketing'!AK44</f>
        <v>600000</v>
      </c>
      <c r="AL83" s="23" t="n">
        <f aca="false">'Sales &amp; marketing'!AL44</f>
        <v>675000</v>
      </c>
      <c r="AM83" s="23" t="n">
        <f aca="false">'Sales &amp; marketing'!AM44</f>
        <v>675000</v>
      </c>
      <c r="AN83" s="23" t="n">
        <f aca="false">'Sales &amp; marketing'!AN44</f>
        <v>750000</v>
      </c>
      <c r="AO83" s="23" t="n">
        <f aca="false">'Sales &amp; marketing'!AO44</f>
        <v>825000</v>
      </c>
      <c r="AP83" s="23" t="n">
        <f aca="false">'Sales &amp; marketing'!AP44</f>
        <v>825000</v>
      </c>
      <c r="AQ83" s="23" t="n">
        <f aca="false">'Sales &amp; marketing'!AQ44</f>
        <v>825000</v>
      </c>
      <c r="AR83" s="23" t="n">
        <f aca="false">'Sales &amp; marketing'!AR44</f>
        <v>900000</v>
      </c>
      <c r="AS83" s="23" t="n">
        <f aca="false">'Sales &amp; marketing'!AS44</f>
        <v>900000</v>
      </c>
      <c r="AT83" s="23" t="n">
        <f aca="false">'Sales &amp; marketing'!AT44</f>
        <v>900000</v>
      </c>
      <c r="AU83" s="23" t="n">
        <f aca="false">'Sales &amp; marketing'!AU44</f>
        <v>1050000</v>
      </c>
      <c r="AV83" s="23" t="n">
        <f aca="false">'Sales &amp; marketing'!AV44</f>
        <v>1050000</v>
      </c>
      <c r="AW83" s="23" t="n">
        <f aca="false">'Sales &amp; marketing'!AW44</f>
        <v>1125000</v>
      </c>
      <c r="AX83" s="23" t="n">
        <f aca="false">'Sales &amp; marketing'!AX44</f>
        <v>1125000</v>
      </c>
      <c r="AY83" s="23" t="n">
        <f aca="false">'Sales &amp; marketing'!AY44</f>
        <v>1125000</v>
      </c>
      <c r="AZ83" s="23" t="n">
        <f aca="false">'Sales &amp; marketing'!AZ44</f>
        <v>1275000</v>
      </c>
      <c r="BA83" s="23" t="n">
        <f aca="false">'Sales &amp; marketing'!BA44</f>
        <v>1275000</v>
      </c>
      <c r="BB83" s="23" t="n">
        <f aca="false">'Sales &amp; marketing'!BB44</f>
        <v>1350000</v>
      </c>
      <c r="BC83" s="23" t="n">
        <f aca="false">'Sales &amp; marketing'!BC44</f>
        <v>1350000</v>
      </c>
      <c r="BD83" s="23" t="n">
        <f aca="false">'Sales &amp; marketing'!BD44</f>
        <v>1425000</v>
      </c>
      <c r="BE83" s="23" t="n">
        <f aca="false">'Sales &amp; marketing'!BE44</f>
        <v>1500000</v>
      </c>
      <c r="BF83" s="23" t="n">
        <f aca="false">'Sales &amp; marketing'!BF44</f>
        <v>1500000</v>
      </c>
      <c r="BG83" s="23" t="n">
        <f aca="false">'Sales &amp; marketing'!BG44</f>
        <v>1575000</v>
      </c>
      <c r="BH83" s="23" t="n">
        <f aca="false">'Sales &amp; marketing'!BH44</f>
        <v>1650000</v>
      </c>
      <c r="BI83" s="23" t="n">
        <f aca="false">'Sales &amp; marketing'!BI44</f>
        <v>1725000</v>
      </c>
      <c r="BJ83" s="23" t="n">
        <f aca="false">'Sales &amp; marketing'!BJ44</f>
        <v>1725000</v>
      </c>
      <c r="BK83" s="23" t="n">
        <f aca="false">'Sales &amp; marketing'!BK44</f>
        <v>1800000</v>
      </c>
      <c r="BL83" s="23" t="n">
        <f aca="false">'Sales &amp; marketing'!BL44</f>
        <v>1875000</v>
      </c>
    </row>
    <row r="84" customFormat="false" ht="15" hidden="false" customHeight="false" outlineLevel="0" collapsed="false">
      <c r="A84" s="8" t="s">
        <v>1090</v>
      </c>
      <c r="B84" s="14" t="s">
        <v>77</v>
      </c>
      <c r="D84" s="55" t="n">
        <f aca="false">SUM(E84:BL84)</f>
        <v>645556687.966568</v>
      </c>
      <c r="E84" s="16" t="n">
        <f aca="false">SUM(E79:E83)</f>
        <v>2261666.66666667</v>
      </c>
      <c r="F84" s="16" t="n">
        <f aca="false">SUM(F79:F83)</f>
        <v>2261666.66666667</v>
      </c>
      <c r="G84" s="16" t="n">
        <f aca="false">SUM(G79:G83)</f>
        <v>2261666.66666667</v>
      </c>
      <c r="H84" s="16" t="n">
        <f aca="false">SUM(H79:H83)</f>
        <v>2411666.66666667</v>
      </c>
      <c r="I84" s="16" t="n">
        <f aca="false">SUM(I79:I83)</f>
        <v>3921666.66666667</v>
      </c>
      <c r="J84" s="16" t="n">
        <f aca="false">SUM(J79:J83)</f>
        <v>3933666.66666667</v>
      </c>
      <c r="K84" s="16" t="n">
        <f aca="false">SUM(K79:K83)</f>
        <v>3946386.66666667</v>
      </c>
      <c r="L84" s="16" t="n">
        <f aca="false">SUM(L79:L83)</f>
        <v>3959869.86666667</v>
      </c>
      <c r="M84" s="16" t="n">
        <f aca="false">SUM(M79:M83)</f>
        <v>3974162.05866667</v>
      </c>
      <c r="N84" s="16" t="n">
        <f aca="false">SUM(N79:N83)</f>
        <v>3989311.78218667</v>
      </c>
      <c r="O84" s="16" t="n">
        <f aca="false">SUM(O79:O83)</f>
        <v>4005370.48911787</v>
      </c>
      <c r="P84" s="16" t="n">
        <f aca="false">SUM(P79:P83)</f>
        <v>4022392.71846494</v>
      </c>
      <c r="Q84" s="16" t="n">
        <f aca="false">SUM(Q79:Q83)</f>
        <v>5242936.28157284</v>
      </c>
      <c r="R84" s="16" t="n">
        <f aca="false">SUM(R79:R83)</f>
        <v>5262062.45846721</v>
      </c>
      <c r="S84" s="16" t="n">
        <f aca="false">SUM(S79:S83)</f>
        <v>5282336.20597524</v>
      </c>
      <c r="T84" s="16" t="n">
        <f aca="false">SUM(T79:T83)</f>
        <v>5303826.37833375</v>
      </c>
      <c r="U84" s="16" t="n">
        <f aca="false">SUM(U79:U83)</f>
        <v>5326605.96103378</v>
      </c>
      <c r="V84" s="16" t="n">
        <f aca="false">SUM(V79:V83)</f>
        <v>5500752.3186958</v>
      </c>
      <c r="W84" s="16" t="n">
        <f aca="false">SUM(W79:W83)</f>
        <v>6986347.45781755</v>
      </c>
      <c r="X84" s="16" t="n">
        <f aca="false">SUM(X79:X83)</f>
        <v>7097478.30528661</v>
      </c>
      <c r="Y84" s="16" t="n">
        <f aca="false">SUM(Y79:Y83)</f>
        <v>7135777.0036038</v>
      </c>
      <c r="Z84" s="16" t="n">
        <f aca="false">SUM(Z79:Z83)</f>
        <v>7176373.62382003</v>
      </c>
      <c r="AA84" s="16" t="n">
        <f aca="false">SUM(AA79:AA83)</f>
        <v>7219406.04124923</v>
      </c>
      <c r="AB84" s="16" t="n">
        <f aca="false">SUM(AB79:AB83)</f>
        <v>7265020.40372419</v>
      </c>
      <c r="AC84" s="16" t="n">
        <f aca="false">SUM(AC79:AC83)</f>
        <v>10869204.961281</v>
      </c>
      <c r="AD84" s="16" t="n">
        <f aca="false">SUM(AD79:AD83)</f>
        <v>10995457.2589578</v>
      </c>
      <c r="AE84" s="16" t="n">
        <f aca="false">SUM(AE79:AE83)</f>
        <v>11049784.6944953</v>
      </c>
      <c r="AF84" s="16" t="n">
        <f aca="false">SUM(AF79:AF83)</f>
        <v>11107371.776165</v>
      </c>
      <c r="AG84" s="16" t="n">
        <f aca="false">SUM(AG79:AG83)</f>
        <v>11168414.0827349</v>
      </c>
      <c r="AH84" s="16" t="n">
        <f aca="false">SUM(AH79:AH83)</f>
        <v>11308118.927699</v>
      </c>
      <c r="AI84" s="16" t="n">
        <f aca="false">SUM(AI79:AI83)</f>
        <v>11376706.063361</v>
      </c>
      <c r="AJ84" s="16" t="n">
        <f aca="false">SUM(AJ79:AJ83)</f>
        <v>11449408.4271626</v>
      </c>
      <c r="AK84" s="16" t="n">
        <f aca="false">SUM(AK79:AK83)</f>
        <v>11526472.9327924</v>
      </c>
      <c r="AL84" s="16" t="n">
        <f aca="false">SUM(AL79:AL83)</f>
        <v>11683161.3087599</v>
      </c>
      <c r="AM84" s="16" t="n">
        <f aca="false">SUM(AM79:AM83)</f>
        <v>11769750.9872855</v>
      </c>
      <c r="AN84" s="16" t="n">
        <f aca="false">SUM(AN79:AN83)</f>
        <v>11936536.0465226</v>
      </c>
      <c r="AO84" s="16" t="n">
        <f aca="false">SUM(AO79:AO83)</f>
        <v>13968828.209314</v>
      </c>
      <c r="AP84" s="16" t="n">
        <f aca="false">SUM(AP79:AP83)</f>
        <v>14071957.9018728</v>
      </c>
      <c r="AQ84" s="16" t="n">
        <f aca="false">SUM(AQ79:AQ83)</f>
        <v>14181275.3759852</v>
      </c>
      <c r="AR84" s="16" t="n">
        <f aca="false">SUM(AR79:AR83)</f>
        <v>14372151.8985443</v>
      </c>
      <c r="AS84" s="16" t="n">
        <f aca="false">SUM(AS79:AS83)</f>
        <v>14494981.012457</v>
      </c>
      <c r="AT84" s="16" t="n">
        <f aca="false">SUM(AT79:AT83)</f>
        <v>14625179.8732044</v>
      </c>
      <c r="AU84" s="16" t="n">
        <f aca="false">SUM(AU79:AU83)</f>
        <v>14913190.6655967</v>
      </c>
      <c r="AV84" s="16" t="n">
        <f aca="false">SUM(AV79:AV83)</f>
        <v>15059482.1055325</v>
      </c>
      <c r="AW84" s="16" t="n">
        <f aca="false">SUM(AW79:AW83)</f>
        <v>15232407.4444392</v>
      </c>
      <c r="AX84" s="16" t="n">
        <f aca="false">SUM(AX79:AX83)</f>
        <v>15273351.8911056</v>
      </c>
      <c r="AY84" s="16" t="n">
        <f aca="false">SUM(AY79:AY83)</f>
        <v>15316753.0045719</v>
      </c>
      <c r="AZ84" s="16" t="n">
        <f aca="false">SUM(AZ79:AZ83)</f>
        <v>15512758.1848462</v>
      </c>
      <c r="BA84" s="16" t="n">
        <f aca="false">SUM(BA79:BA83)</f>
        <v>17423190.3426037</v>
      </c>
      <c r="BB84" s="16" t="n">
        <f aca="false">SUM(BB79:BB83)</f>
        <v>17549881.7631599</v>
      </c>
      <c r="BC84" s="16" t="n">
        <f aca="false">SUM(BC79:BC83)</f>
        <v>17604674.6689495</v>
      </c>
      <c r="BD84" s="16" t="n">
        <f aca="false">SUM(BD79:BD83)</f>
        <v>17737755.1490864</v>
      </c>
      <c r="BE84" s="16" t="n">
        <f aca="false">SUM(BE79:BE83)</f>
        <v>17874320.4580316</v>
      </c>
      <c r="BF84" s="16" t="n">
        <f aca="false">SUM(BF79:BF83)</f>
        <v>17939579.6855135</v>
      </c>
      <c r="BG84" s="16" t="n">
        <f aca="false">SUM(BG79:BG83)</f>
        <v>18083754.4666443</v>
      </c>
      <c r="BH84" s="16" t="n">
        <f aca="false">SUM(BH79:BH83)</f>
        <v>18232079.734643</v>
      </c>
      <c r="BI84" s="16" t="n">
        <f aca="false">SUM(BI79:BI83)</f>
        <v>18384804.5187216</v>
      </c>
      <c r="BJ84" s="16" t="n">
        <f aca="false">SUM(BJ79:BJ83)</f>
        <v>18467192.7898449</v>
      </c>
      <c r="BK84" s="16" t="n">
        <f aca="false">SUM(BK79:BK83)</f>
        <v>18586666.6666667</v>
      </c>
      <c r="BL84" s="16" t="n">
        <f aca="false">SUM(BL79:BL83)</f>
        <v>18661666.6666667</v>
      </c>
    </row>
    <row r="86" customFormat="false" ht="15" hidden="false" customHeight="false" outlineLevel="0" collapsed="false">
      <c r="A86" s="10" t="s">
        <v>720</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1091</v>
      </c>
      <c r="B87" s="14" t="s">
        <v>77</v>
      </c>
      <c r="D87" s="55" t="n">
        <f aca="false">SUM(E87:BL87)</f>
        <v>9970546.4</v>
      </c>
      <c r="E87" s="32" t="n">
        <f aca="false">Agency_Fee_EUR*FX_EUR*(SUMPRODUCT(--('Hiring plan'!$G$5:$G$32=E$3),--('Hiring plan'!$J$5:$J$32="Y"),'Hiring plan'!$F$5:$F$32)+Agency_Dev*Staff!E70+Agency_Credit*Staff!E73+Agency_Support*Staff!E69+Agency_Rep*(Staff!E71+Staff!E72))</f>
        <v>2099062.4</v>
      </c>
      <c r="F87" s="32" t="n">
        <f aca="false">Agency_Fee_EUR*FX_EUR*(SUMPRODUCT(--('Hiring plan'!$G$5:$G$32=F$3),--('Hiring plan'!$J$5:$J$32="Y"),'Hiring plan'!$F$5:$F$32)+Agency_Dev*MAX(0,Staff!F70-Staff!E70)+Agency_Credit*MAX(0,Staff!F73-Staff!E73)+Agency_Support*MAX(0,Staff!F69-Staff!E69)+Agency_Rep*(MAX(0,Staff!F71-Staff!E71)+MAX(0,Staff!F72-Staff!E72)))</f>
        <v>0</v>
      </c>
      <c r="G87" s="32" t="n">
        <f aca="false">Agency_Fee_EUR*FX_EUR*(SUMPRODUCT(--('Hiring plan'!$G$5:$G$32=G$3),--('Hiring plan'!$J$5:$J$32="Y"),'Hiring plan'!$F$5:$F$32)+Agency_Dev*MAX(0,Staff!G70-Staff!F70)+Agency_Credit*MAX(0,Staff!G73-Staff!F73)+Agency_Support*MAX(0,Staff!G69-Staff!F69)+Agency_Rep*(MAX(0,Staff!G71-Staff!F71)+MAX(0,Staff!G72-Staff!F72)))</f>
        <v>0</v>
      </c>
      <c r="H87" s="32" t="n">
        <f aca="false">Agency_Fee_EUR*FX_EUR*(SUMPRODUCT(--('Hiring plan'!$G$5:$G$32=H$3),--('Hiring plan'!$J$5:$J$32="Y"),'Hiring plan'!$F$5:$F$32)+Agency_Dev*MAX(0,Staff!H70-Staff!G70)+Agency_Credit*MAX(0,Staff!H73-Staff!G73)+Agency_Support*MAX(0,Staff!H69-Staff!G69)+Agency_Rep*(MAX(0,Staff!H71-Staff!G71)+MAX(0,Staff!H72-Staff!G72)))</f>
        <v>0</v>
      </c>
      <c r="I87" s="32" t="n">
        <f aca="false">Agency_Fee_EUR*FX_EUR*(SUMPRODUCT(--('Hiring plan'!$G$5:$G$32=I$3),--('Hiring plan'!$J$5:$J$32="Y"),'Hiring plan'!$F$5:$F$32)+Agency_Dev*MAX(0,Staff!I70-Staff!H70)+Agency_Credit*MAX(0,Staff!I73-Staff!H73)+Agency_Support*MAX(0,Staff!I69-Staff!H69)+Agency_Rep*(MAX(0,Staff!I71-Staff!H71)+MAX(0,Staff!I72-Staff!H72)))</f>
        <v>0</v>
      </c>
      <c r="J87" s="32" t="n">
        <f aca="false">Agency_Fee_EUR*FX_EUR*(SUMPRODUCT(--('Hiring plan'!$G$5:$G$32=J$3),--('Hiring plan'!$J$5:$J$32="Y"),'Hiring plan'!$F$5:$F$32)+Agency_Dev*MAX(0,Staff!J70-Staff!I70)+Agency_Credit*MAX(0,Staff!J73-Staff!I73)+Agency_Support*MAX(0,Staff!J69-Staff!I69)+Agency_Rep*(MAX(0,Staff!J71-Staff!I71)+MAX(0,Staff!J72-Staff!I72)))</f>
        <v>0</v>
      </c>
      <c r="K87" s="32" t="n">
        <f aca="false">Agency_Fee_EUR*FX_EUR*(SUMPRODUCT(--('Hiring plan'!$G$5:$G$32=K$3),--('Hiring plan'!$J$5:$J$32="Y"),'Hiring plan'!$F$5:$F$32)+Agency_Dev*MAX(0,Staff!K70-Staff!J70)+Agency_Credit*MAX(0,Staff!K73-Staff!J73)+Agency_Support*MAX(0,Staff!K69-Staff!J69)+Agency_Rep*(MAX(0,Staff!K71-Staff!J71)+MAX(0,Staff!K72-Staff!J72)))</f>
        <v>0</v>
      </c>
      <c r="L87" s="32" t="n">
        <f aca="false">Agency_Fee_EUR*FX_EUR*(SUMPRODUCT(--('Hiring plan'!$G$5:$G$32=L$3),--('Hiring plan'!$J$5:$J$32="Y"),'Hiring plan'!$F$5:$F$32)+Agency_Dev*MAX(0,Staff!L70-Staff!K70)+Agency_Credit*MAX(0,Staff!L73-Staff!K73)+Agency_Support*MAX(0,Staff!L69-Staff!K69)+Agency_Rep*(MAX(0,Staff!L71-Staff!K71)+MAX(0,Staff!L72-Staff!K72)))</f>
        <v>0</v>
      </c>
      <c r="M87" s="32" t="n">
        <f aca="false">Agency_Fee_EUR*FX_EUR*(SUMPRODUCT(--('Hiring plan'!$G$5:$G$32=M$3),--('Hiring plan'!$J$5:$J$32="Y"),'Hiring plan'!$F$5:$F$32)+Agency_Dev*MAX(0,Staff!M70-Staff!L70)+Agency_Credit*MAX(0,Staff!M73-Staff!L73)+Agency_Support*MAX(0,Staff!M69-Staff!L69)+Agency_Rep*(MAX(0,Staff!M71-Staff!L71)+MAX(0,Staff!M72-Staff!L72)))</f>
        <v>0</v>
      </c>
      <c r="N87" s="32" t="n">
        <f aca="false">Agency_Fee_EUR*FX_EUR*(SUMPRODUCT(--('Hiring plan'!$G$5:$G$32=N$3),--('Hiring plan'!$J$5:$J$32="Y"),'Hiring plan'!$F$5:$F$32)+Agency_Dev*MAX(0,Staff!N70-Staff!M70)+Agency_Credit*MAX(0,Staff!N73-Staff!M73)+Agency_Support*MAX(0,Staff!N69-Staff!M69)+Agency_Rep*(MAX(0,Staff!N71-Staff!M71)+MAX(0,Staff!N72-Staff!M72)))</f>
        <v>0</v>
      </c>
      <c r="O87" s="32" t="n">
        <f aca="false">Agency_Fee_EUR*FX_EUR*(SUMPRODUCT(--('Hiring plan'!$G$5:$G$32=O$3),--('Hiring plan'!$J$5:$J$32="Y"),'Hiring plan'!$F$5:$F$32)+Agency_Dev*MAX(0,Staff!O70-Staff!N70)+Agency_Credit*MAX(0,Staff!O73-Staff!N73)+Agency_Support*MAX(0,Staff!O69-Staff!N69)+Agency_Rep*(MAX(0,Staff!O71-Staff!N71)+MAX(0,Staff!O72-Staff!N72)))</f>
        <v>0</v>
      </c>
      <c r="P87" s="32" t="n">
        <f aca="false">Agency_Fee_EUR*FX_EUR*(SUMPRODUCT(--('Hiring plan'!$G$5:$G$32=P$3),--('Hiring plan'!$J$5:$J$32="Y"),'Hiring plan'!$F$5:$F$32)+Agency_Dev*MAX(0,Staff!P70-Staff!O70)+Agency_Credit*MAX(0,Staff!P73-Staff!O73)+Agency_Support*MAX(0,Staff!P69-Staff!O69)+Agency_Rep*(MAX(0,Staff!P71-Staff!O71)+MAX(0,Staff!P72-Staff!O72)))</f>
        <v>0</v>
      </c>
      <c r="Q87" s="32" t="n">
        <f aca="false">Agency_Fee_EUR*FX_EUR*(SUMPRODUCT(--('Hiring plan'!$G$5:$G$32=Q$3),--('Hiring plan'!$J$5:$J$32="Y"),'Hiring plan'!$F$5:$F$32)+Agency_Dev*MAX(0,Staff!Q70-Staff!P70)+Agency_Credit*MAX(0,Staff!Q73-Staff!P73)+Agency_Support*MAX(0,Staff!Q69-Staff!P69)+Agency_Rep*(MAX(0,Staff!Q71-Staff!P71)+MAX(0,Staff!Q72-Staff!P72)))</f>
        <v>524765.6</v>
      </c>
      <c r="R87" s="32" t="n">
        <f aca="false">Agency_Fee_EUR*FX_EUR*(SUMPRODUCT(--('Hiring plan'!$G$5:$G$32=R$3),--('Hiring plan'!$J$5:$J$32="Y"),'Hiring plan'!$F$5:$F$32)+Agency_Dev*MAX(0,Staff!R70-Staff!Q70)+Agency_Credit*MAX(0,Staff!R73-Staff!Q73)+Agency_Support*MAX(0,Staff!R69-Staff!Q69)+Agency_Rep*(MAX(0,Staff!R71-Staff!Q71)+MAX(0,Staff!R72-Staff!Q72)))</f>
        <v>0</v>
      </c>
      <c r="S87" s="32" t="n">
        <f aca="false">Agency_Fee_EUR*FX_EUR*(SUMPRODUCT(--('Hiring plan'!$G$5:$G$32=S$3),--('Hiring plan'!$J$5:$J$32="Y"),'Hiring plan'!$F$5:$F$32)+Agency_Dev*MAX(0,Staff!S70-Staff!R70)+Agency_Credit*MAX(0,Staff!S73-Staff!R73)+Agency_Support*MAX(0,Staff!S69-Staff!R69)+Agency_Rep*(MAX(0,Staff!S71-Staff!R71)+MAX(0,Staff!S72-Staff!R72)))</f>
        <v>0</v>
      </c>
      <c r="T87" s="32" t="n">
        <f aca="false">Agency_Fee_EUR*FX_EUR*(SUMPRODUCT(--('Hiring plan'!$G$5:$G$32=T$3),--('Hiring plan'!$J$5:$J$32="Y"),'Hiring plan'!$F$5:$F$32)+Agency_Dev*MAX(0,Staff!T70-Staff!S70)+Agency_Credit*MAX(0,Staff!T73-Staff!S73)+Agency_Support*MAX(0,Staff!T69-Staff!S69)+Agency_Rep*(MAX(0,Staff!T71-Staff!S71)+MAX(0,Staff!T72-Staff!S72)))</f>
        <v>524765.6</v>
      </c>
      <c r="U87" s="32" t="n">
        <f aca="false">Agency_Fee_EUR*FX_EUR*(SUMPRODUCT(--('Hiring plan'!$G$5:$G$32=U$3),--('Hiring plan'!$J$5:$J$32="Y"),'Hiring plan'!$F$5:$F$32)+Agency_Dev*MAX(0,Staff!U70-Staff!T70)+Agency_Credit*MAX(0,Staff!U73-Staff!T73)+Agency_Support*MAX(0,Staff!U69-Staff!T69)+Agency_Rep*(MAX(0,Staff!U71-Staff!T71)+MAX(0,Staff!U72-Staff!T72)))</f>
        <v>0</v>
      </c>
      <c r="V87" s="32" t="n">
        <f aca="false">Agency_Fee_EUR*FX_EUR*(SUMPRODUCT(--('Hiring plan'!$G$5:$G$32=V$3),--('Hiring plan'!$J$5:$J$32="Y"),'Hiring plan'!$F$5:$F$32)+Agency_Dev*MAX(0,Staff!V70-Staff!U70)+Agency_Credit*MAX(0,Staff!V73-Staff!U73)+Agency_Support*MAX(0,Staff!V69-Staff!U69)+Agency_Rep*(MAX(0,Staff!V71-Staff!U71)+MAX(0,Staff!V72-Staff!U72)))</f>
        <v>524765.6</v>
      </c>
      <c r="W87" s="32" t="n">
        <f aca="false">Agency_Fee_EUR*FX_EUR*(SUMPRODUCT(--('Hiring plan'!$G$5:$G$32=W$3),--('Hiring plan'!$J$5:$J$32="Y"),'Hiring plan'!$F$5:$F$32)+Agency_Dev*MAX(0,Staff!W70-Staff!V70)+Agency_Credit*MAX(0,Staff!W73-Staff!V73)+Agency_Support*MAX(0,Staff!W69-Staff!V69)+Agency_Rep*(MAX(0,Staff!W71-Staff!V71)+MAX(0,Staff!W72-Staff!V72)))</f>
        <v>0</v>
      </c>
      <c r="X87" s="32" t="n">
        <f aca="false">Agency_Fee_EUR*FX_EUR*(SUMPRODUCT(--('Hiring plan'!$G$5:$G$32=X$3),--('Hiring plan'!$J$5:$J$32="Y"),'Hiring plan'!$F$5:$F$32)+Agency_Dev*MAX(0,Staff!X70-Staff!W70)+Agency_Credit*MAX(0,Staff!X73-Staff!W73)+Agency_Support*MAX(0,Staff!X69-Staff!W69)+Agency_Rep*(MAX(0,Staff!X71-Staff!W71)+MAX(0,Staff!X72-Staff!W72)))</f>
        <v>0</v>
      </c>
      <c r="Y87" s="32" t="n">
        <f aca="false">Agency_Fee_EUR*FX_EUR*(SUMPRODUCT(--('Hiring plan'!$G$5:$G$32=Y$3),--('Hiring plan'!$J$5:$J$32="Y"),'Hiring plan'!$F$5:$F$32)+Agency_Dev*MAX(0,Staff!Y70-Staff!X70)+Agency_Credit*MAX(0,Staff!Y73-Staff!X73)+Agency_Support*MAX(0,Staff!Y69-Staff!X69)+Agency_Rep*(MAX(0,Staff!Y71-Staff!X71)+MAX(0,Staff!Y72-Staff!X72)))</f>
        <v>0</v>
      </c>
      <c r="Z87" s="32" t="n">
        <f aca="false">Agency_Fee_EUR*FX_EUR*(SUMPRODUCT(--('Hiring plan'!$G$5:$G$32=Z$3),--('Hiring plan'!$J$5:$J$32="Y"),'Hiring plan'!$F$5:$F$32)+Agency_Dev*MAX(0,Staff!Z70-Staff!Y70)+Agency_Credit*MAX(0,Staff!Z73-Staff!Y73)+Agency_Support*MAX(0,Staff!Z69-Staff!Y69)+Agency_Rep*(MAX(0,Staff!Z71-Staff!Y71)+MAX(0,Staff!Z72-Staff!Y72)))</f>
        <v>0</v>
      </c>
      <c r="AA87" s="32" t="n">
        <f aca="false">Agency_Fee_EUR*FX_EUR*(SUMPRODUCT(--('Hiring plan'!$G$5:$G$32=AA$3),--('Hiring plan'!$J$5:$J$32="Y"),'Hiring plan'!$F$5:$F$32)+Agency_Dev*MAX(0,Staff!AA70-Staff!Z70)+Agency_Credit*MAX(0,Staff!AA73-Staff!Z73)+Agency_Support*MAX(0,Staff!AA69-Staff!Z69)+Agency_Rep*(MAX(0,Staff!AA71-Staff!Z71)+MAX(0,Staff!AA72-Staff!Z72)))</f>
        <v>0</v>
      </c>
      <c r="AB87" s="32" t="n">
        <f aca="false">Agency_Fee_EUR*FX_EUR*(SUMPRODUCT(--('Hiring plan'!$G$5:$G$32=AB$3),--('Hiring plan'!$J$5:$J$32="Y"),'Hiring plan'!$F$5:$F$32)+Agency_Dev*MAX(0,Staff!AB70-Staff!AA70)+Agency_Credit*MAX(0,Staff!AB73-Staff!AA73)+Agency_Support*MAX(0,Staff!AB69-Staff!AA69)+Agency_Rep*(MAX(0,Staff!AB71-Staff!AA71)+MAX(0,Staff!AB72-Staff!AA72)))</f>
        <v>524765.6</v>
      </c>
      <c r="AC87" s="32" t="n">
        <f aca="false">Agency_Fee_EUR*FX_EUR*(SUMPRODUCT(--('Hiring plan'!$G$5:$G$32=AC$3),--('Hiring plan'!$J$5:$J$32="Y"),'Hiring plan'!$F$5:$F$32)+Agency_Dev*MAX(0,Staff!AC70-Staff!AB70)+Agency_Credit*MAX(0,Staff!AC73-Staff!AB73)+Agency_Support*MAX(0,Staff!AC69-Staff!AB69)+Agency_Rep*(MAX(0,Staff!AC71-Staff!AB71)+MAX(0,Staff!AC72-Staff!AB72)))</f>
        <v>0</v>
      </c>
      <c r="AD87" s="32" t="n">
        <f aca="false">Agency_Fee_EUR*FX_EUR*(SUMPRODUCT(--('Hiring plan'!$G$5:$G$32=AD$3),--('Hiring plan'!$J$5:$J$32="Y"),'Hiring plan'!$F$5:$F$32)+Agency_Dev*MAX(0,Staff!AD70-Staff!AC70)+Agency_Credit*MAX(0,Staff!AD73-Staff!AC73)+Agency_Support*MAX(0,Staff!AD69-Staff!AC69)+Agency_Rep*(MAX(0,Staff!AD71-Staff!AC71)+MAX(0,Staff!AD72-Staff!AC72)))</f>
        <v>0</v>
      </c>
      <c r="AE87" s="32" t="n">
        <f aca="false">Agency_Fee_EUR*FX_EUR*(SUMPRODUCT(--('Hiring plan'!$G$5:$G$32=AE$3),--('Hiring plan'!$J$5:$J$32="Y"),'Hiring plan'!$F$5:$F$32)+Agency_Dev*MAX(0,Staff!AE70-Staff!AD70)+Agency_Credit*MAX(0,Staff!AE73-Staff!AD73)+Agency_Support*MAX(0,Staff!AE69-Staff!AD69)+Agency_Rep*(MAX(0,Staff!AE71-Staff!AD71)+MAX(0,Staff!AE72-Staff!AD72)))</f>
        <v>0</v>
      </c>
      <c r="AF87" s="32" t="n">
        <f aca="false">Agency_Fee_EUR*FX_EUR*(SUMPRODUCT(--('Hiring plan'!$G$5:$G$32=AF$3),--('Hiring plan'!$J$5:$J$32="Y"),'Hiring plan'!$F$5:$F$32)+Agency_Dev*MAX(0,Staff!AF70-Staff!AE70)+Agency_Credit*MAX(0,Staff!AF73-Staff!AE73)+Agency_Support*MAX(0,Staff!AF69-Staff!AE69)+Agency_Rep*(MAX(0,Staff!AF71-Staff!AE71)+MAX(0,Staff!AF72-Staff!AE72)))</f>
        <v>524765.6</v>
      </c>
      <c r="AG87" s="32" t="n">
        <f aca="false">Agency_Fee_EUR*FX_EUR*(SUMPRODUCT(--('Hiring plan'!$G$5:$G$32=AG$3),--('Hiring plan'!$J$5:$J$32="Y"),'Hiring plan'!$F$5:$F$32)+Agency_Dev*MAX(0,Staff!AG70-Staff!AF70)+Agency_Credit*MAX(0,Staff!AG73-Staff!AF73)+Agency_Support*MAX(0,Staff!AG69-Staff!AF69)+Agency_Rep*(MAX(0,Staff!AG71-Staff!AF71)+MAX(0,Staff!AG72-Staff!AF72)))</f>
        <v>524765.6</v>
      </c>
      <c r="AH87" s="32" t="n">
        <f aca="false">Agency_Fee_EUR*FX_EUR*(SUMPRODUCT(--('Hiring plan'!$G$5:$G$32=AH$3),--('Hiring plan'!$J$5:$J$32="Y"),'Hiring plan'!$F$5:$F$32)+Agency_Dev*MAX(0,Staff!AH70-Staff!AG70)+Agency_Credit*MAX(0,Staff!AH73-Staff!AG73)+Agency_Support*MAX(0,Staff!AH69-Staff!AG69)+Agency_Rep*(MAX(0,Staff!AH71-Staff!AG71)+MAX(0,Staff!AH72-Staff!AG72)))</f>
        <v>0</v>
      </c>
      <c r="AI87" s="32" t="n">
        <f aca="false">Agency_Fee_EUR*FX_EUR*(SUMPRODUCT(--('Hiring plan'!$G$5:$G$32=AI$3),--('Hiring plan'!$J$5:$J$32="Y"),'Hiring plan'!$F$5:$F$32)+Agency_Dev*MAX(0,Staff!AI70-Staff!AH70)+Agency_Credit*MAX(0,Staff!AI73-Staff!AH73)+Agency_Support*MAX(0,Staff!AI69-Staff!AH69)+Agency_Rep*(MAX(0,Staff!AI71-Staff!AH71)+MAX(0,Staff!AI72-Staff!AH72)))</f>
        <v>0</v>
      </c>
      <c r="AJ87" s="32" t="n">
        <f aca="false">Agency_Fee_EUR*FX_EUR*(SUMPRODUCT(--('Hiring plan'!$G$5:$G$32=AJ$3),--('Hiring plan'!$J$5:$J$32="Y"),'Hiring plan'!$F$5:$F$32)+Agency_Dev*MAX(0,Staff!AJ70-Staff!AI70)+Agency_Credit*MAX(0,Staff!AJ73-Staff!AI73)+Agency_Support*MAX(0,Staff!AJ69-Staff!AI69)+Agency_Rep*(MAX(0,Staff!AJ71-Staff!AI71)+MAX(0,Staff!AJ72-Staff!AI72)))</f>
        <v>0</v>
      </c>
      <c r="AK87" s="32" t="n">
        <f aca="false">Agency_Fee_EUR*FX_EUR*(SUMPRODUCT(--('Hiring plan'!$G$5:$G$32=AK$3),--('Hiring plan'!$J$5:$J$32="Y"),'Hiring plan'!$F$5:$F$32)+Agency_Dev*MAX(0,Staff!AK70-Staff!AJ70)+Agency_Credit*MAX(0,Staff!AK73-Staff!AJ73)+Agency_Support*MAX(0,Staff!AK69-Staff!AJ69)+Agency_Rep*(MAX(0,Staff!AK71-Staff!AJ71)+MAX(0,Staff!AK72-Staff!AJ72)))</f>
        <v>0</v>
      </c>
      <c r="AL87" s="32" t="n">
        <f aca="false">Agency_Fee_EUR*FX_EUR*(SUMPRODUCT(--('Hiring plan'!$G$5:$G$32=AL$3),--('Hiring plan'!$J$5:$J$32="Y"),'Hiring plan'!$F$5:$F$32)+Agency_Dev*MAX(0,Staff!AL70-Staff!AK70)+Agency_Credit*MAX(0,Staff!AL73-Staff!AK73)+Agency_Support*MAX(0,Staff!AL69-Staff!AK69)+Agency_Rep*(MAX(0,Staff!AL71-Staff!AK71)+MAX(0,Staff!AL72-Staff!AK72)))</f>
        <v>524765.6</v>
      </c>
      <c r="AM87" s="32" t="n">
        <f aca="false">Agency_Fee_EUR*FX_EUR*(SUMPRODUCT(--('Hiring plan'!$G$5:$G$32=AM$3),--('Hiring plan'!$J$5:$J$32="Y"),'Hiring plan'!$F$5:$F$32)+Agency_Dev*MAX(0,Staff!AM70-Staff!AL70)+Agency_Credit*MAX(0,Staff!AM73-Staff!AL73)+Agency_Support*MAX(0,Staff!AM69-Staff!AL69)+Agency_Rep*(MAX(0,Staff!AM71-Staff!AL71)+MAX(0,Staff!AM72-Staff!AL72)))</f>
        <v>0</v>
      </c>
      <c r="AN87" s="32" t="n">
        <f aca="false">Agency_Fee_EUR*FX_EUR*(SUMPRODUCT(--('Hiring plan'!$G$5:$G$32=AN$3),--('Hiring plan'!$J$5:$J$32="Y"),'Hiring plan'!$F$5:$F$32)+Agency_Dev*MAX(0,Staff!AN70-Staff!AM70)+Agency_Credit*MAX(0,Staff!AN73-Staff!AM73)+Agency_Support*MAX(0,Staff!AN69-Staff!AM69)+Agency_Rep*(MAX(0,Staff!AN71-Staff!AM71)+MAX(0,Staff!AN72-Staff!AM72)))</f>
        <v>0</v>
      </c>
      <c r="AO87" s="32" t="n">
        <f aca="false">Agency_Fee_EUR*FX_EUR*(SUMPRODUCT(--('Hiring plan'!$G$5:$G$32=AO$3),--('Hiring plan'!$J$5:$J$32="Y"),'Hiring plan'!$F$5:$F$32)+Agency_Dev*MAX(0,Staff!AO70-Staff!AN70)+Agency_Credit*MAX(0,Staff!AO73-Staff!AN73)+Agency_Support*MAX(0,Staff!AO69-Staff!AN69)+Agency_Rep*(MAX(0,Staff!AO71-Staff!AN71)+MAX(0,Staff!AO72-Staff!AN72)))</f>
        <v>0</v>
      </c>
      <c r="AP87" s="32" t="n">
        <f aca="false">Agency_Fee_EUR*FX_EUR*(SUMPRODUCT(--('Hiring plan'!$G$5:$G$32=AP$3),--('Hiring plan'!$J$5:$J$32="Y"),'Hiring plan'!$F$5:$F$32)+Agency_Dev*MAX(0,Staff!AP70-Staff!AO70)+Agency_Credit*MAX(0,Staff!AP73-Staff!AO73)+Agency_Support*MAX(0,Staff!AP69-Staff!AO69)+Agency_Rep*(MAX(0,Staff!AP71-Staff!AO71)+MAX(0,Staff!AP72-Staff!AO72)))</f>
        <v>0</v>
      </c>
      <c r="AQ87" s="32" t="n">
        <f aca="false">Agency_Fee_EUR*FX_EUR*(SUMPRODUCT(--('Hiring plan'!$G$5:$G$32=AQ$3),--('Hiring plan'!$J$5:$J$32="Y"),'Hiring plan'!$F$5:$F$32)+Agency_Dev*MAX(0,Staff!AQ70-Staff!AP70)+Agency_Credit*MAX(0,Staff!AQ73-Staff!AP73)+Agency_Support*MAX(0,Staff!AQ69-Staff!AP69)+Agency_Rep*(MAX(0,Staff!AQ71-Staff!AP71)+MAX(0,Staff!AQ72-Staff!AP72)))</f>
        <v>524765.6</v>
      </c>
      <c r="AR87" s="32" t="n">
        <f aca="false">Agency_Fee_EUR*FX_EUR*(SUMPRODUCT(--('Hiring plan'!$G$5:$G$32=AR$3),--('Hiring plan'!$J$5:$J$32="Y"),'Hiring plan'!$F$5:$F$32)+Agency_Dev*MAX(0,Staff!AR70-Staff!AQ70)+Agency_Credit*MAX(0,Staff!AR73-Staff!AQ73)+Agency_Support*MAX(0,Staff!AR69-Staff!AQ69)+Agency_Rep*(MAX(0,Staff!AR71-Staff!AQ71)+MAX(0,Staff!AR72-Staff!AQ72)))</f>
        <v>524765.6</v>
      </c>
      <c r="AS87" s="32" t="n">
        <f aca="false">Agency_Fee_EUR*FX_EUR*(SUMPRODUCT(--('Hiring plan'!$G$5:$G$32=AS$3),--('Hiring plan'!$J$5:$J$32="Y"),'Hiring plan'!$F$5:$F$32)+Agency_Dev*MAX(0,Staff!AS70-Staff!AR70)+Agency_Credit*MAX(0,Staff!AS73-Staff!AR73)+Agency_Support*MAX(0,Staff!AS69-Staff!AR69)+Agency_Rep*(MAX(0,Staff!AS71-Staff!AR71)+MAX(0,Staff!AS72-Staff!AR72)))</f>
        <v>0</v>
      </c>
      <c r="AT87" s="32" t="n">
        <f aca="false">Agency_Fee_EUR*FX_EUR*(SUMPRODUCT(--('Hiring plan'!$G$5:$G$32=AT$3),--('Hiring plan'!$J$5:$J$32="Y"),'Hiring plan'!$F$5:$F$32)+Agency_Dev*MAX(0,Staff!AT70-Staff!AS70)+Agency_Credit*MAX(0,Staff!AT73-Staff!AS73)+Agency_Support*MAX(0,Staff!AT69-Staff!AS69)+Agency_Rep*(MAX(0,Staff!AT71-Staff!AS71)+MAX(0,Staff!AT72-Staff!AS72)))</f>
        <v>0</v>
      </c>
      <c r="AU87" s="32" t="n">
        <f aca="false">Agency_Fee_EUR*FX_EUR*(SUMPRODUCT(--('Hiring plan'!$G$5:$G$32=AU$3),--('Hiring plan'!$J$5:$J$32="Y"),'Hiring plan'!$F$5:$F$32)+Agency_Dev*MAX(0,Staff!AU70-Staff!AT70)+Agency_Credit*MAX(0,Staff!AU73-Staff!AT73)+Agency_Support*MAX(0,Staff!AU69-Staff!AT69)+Agency_Rep*(MAX(0,Staff!AU71-Staff!AT71)+MAX(0,Staff!AU72-Staff!AT72)))</f>
        <v>0</v>
      </c>
      <c r="AV87" s="32" t="n">
        <f aca="false">Agency_Fee_EUR*FX_EUR*(SUMPRODUCT(--('Hiring plan'!$G$5:$G$32=AV$3),--('Hiring plan'!$J$5:$J$32="Y"),'Hiring plan'!$F$5:$F$32)+Agency_Dev*MAX(0,Staff!AV70-Staff!AU70)+Agency_Credit*MAX(0,Staff!AV73-Staff!AU73)+Agency_Support*MAX(0,Staff!AV69-Staff!AU69)+Agency_Rep*(MAX(0,Staff!AV71-Staff!AU71)+MAX(0,Staff!AV72-Staff!AU72)))</f>
        <v>0</v>
      </c>
      <c r="AW87" s="32" t="n">
        <f aca="false">Agency_Fee_EUR*FX_EUR*(SUMPRODUCT(--('Hiring plan'!$G$5:$G$32=AW$3),--('Hiring plan'!$J$5:$J$32="Y"),'Hiring plan'!$F$5:$F$32)+Agency_Dev*MAX(0,Staff!AW70-Staff!AV70)+Agency_Credit*MAX(0,Staff!AW73-Staff!AV73)+Agency_Support*MAX(0,Staff!AW69-Staff!AV69)+Agency_Rep*(MAX(0,Staff!AW71-Staff!AV71)+MAX(0,Staff!AW72-Staff!AV72)))</f>
        <v>524765.6</v>
      </c>
      <c r="AX87" s="32" t="n">
        <f aca="false">Agency_Fee_EUR*FX_EUR*(SUMPRODUCT(--('Hiring plan'!$G$5:$G$32=AX$3),--('Hiring plan'!$J$5:$J$32="Y"),'Hiring plan'!$F$5:$F$32)+Agency_Dev*MAX(0,Staff!AX70-Staff!AW70)+Agency_Credit*MAX(0,Staff!AX73-Staff!AW73)+Agency_Support*MAX(0,Staff!AX69-Staff!AW69)+Agency_Rep*(MAX(0,Staff!AX71-Staff!AW71)+MAX(0,Staff!AX72-Staff!AW72)))</f>
        <v>0</v>
      </c>
      <c r="AY87" s="32" t="n">
        <f aca="false">Agency_Fee_EUR*FX_EUR*(SUMPRODUCT(--('Hiring plan'!$G$5:$G$32=AY$3),--('Hiring plan'!$J$5:$J$32="Y"),'Hiring plan'!$F$5:$F$32)+Agency_Dev*MAX(0,Staff!AY70-Staff!AX70)+Agency_Credit*MAX(0,Staff!AY73-Staff!AX73)+Agency_Support*MAX(0,Staff!AY69-Staff!AX69)+Agency_Rep*(MAX(0,Staff!AY71-Staff!AX71)+MAX(0,Staff!AY72-Staff!AX72)))</f>
        <v>0</v>
      </c>
      <c r="AZ87" s="32" t="n">
        <f aca="false">Agency_Fee_EUR*FX_EUR*(SUMPRODUCT(--('Hiring plan'!$G$5:$G$32=AZ$3),--('Hiring plan'!$J$5:$J$32="Y"),'Hiring plan'!$F$5:$F$32)+Agency_Dev*MAX(0,Staff!AZ70-Staff!AY70)+Agency_Credit*MAX(0,Staff!AZ73-Staff!AY73)+Agency_Support*MAX(0,Staff!AZ69-Staff!AY69)+Agency_Rep*(MAX(0,Staff!AZ71-Staff!AY71)+MAX(0,Staff!AZ72-Staff!AY72)))</f>
        <v>0</v>
      </c>
      <c r="BA87" s="32" t="n">
        <f aca="false">Agency_Fee_EUR*FX_EUR*(SUMPRODUCT(--('Hiring plan'!$G$5:$G$32=BA$3),--('Hiring plan'!$J$5:$J$32="Y"),'Hiring plan'!$F$5:$F$32)+Agency_Dev*MAX(0,Staff!BA70-Staff!AZ70)+Agency_Credit*MAX(0,Staff!BA73-Staff!AZ73)+Agency_Support*MAX(0,Staff!BA69-Staff!AZ69)+Agency_Rep*(MAX(0,Staff!BA71-Staff!AZ71)+MAX(0,Staff!BA72-Staff!AZ72)))</f>
        <v>524765.6</v>
      </c>
      <c r="BB87" s="32" t="n">
        <f aca="false">Agency_Fee_EUR*FX_EUR*(SUMPRODUCT(--('Hiring plan'!$G$5:$G$32=BB$3),--('Hiring plan'!$J$5:$J$32="Y"),'Hiring plan'!$F$5:$F$32)+Agency_Dev*MAX(0,Staff!BB70-Staff!BA70)+Agency_Credit*MAX(0,Staff!BB73-Staff!BA73)+Agency_Support*MAX(0,Staff!BB69-Staff!BA69)+Agency_Rep*(MAX(0,Staff!BB71-Staff!BA71)+MAX(0,Staff!BB72-Staff!BA72)))</f>
        <v>524765.6</v>
      </c>
      <c r="BC87" s="32" t="n">
        <f aca="false">Agency_Fee_EUR*FX_EUR*(SUMPRODUCT(--('Hiring plan'!$G$5:$G$32=BC$3),--('Hiring plan'!$J$5:$J$32="Y"),'Hiring plan'!$F$5:$F$32)+Agency_Dev*MAX(0,Staff!BC70-Staff!BB70)+Agency_Credit*MAX(0,Staff!BC73-Staff!BB73)+Agency_Support*MAX(0,Staff!BC69-Staff!BB69)+Agency_Rep*(MAX(0,Staff!BC71-Staff!BB71)+MAX(0,Staff!BC72-Staff!BB72)))</f>
        <v>0</v>
      </c>
      <c r="BD87" s="32" t="n">
        <f aca="false">Agency_Fee_EUR*FX_EUR*(SUMPRODUCT(--('Hiring plan'!$G$5:$G$32=BD$3),--('Hiring plan'!$J$5:$J$32="Y"),'Hiring plan'!$F$5:$F$32)+Agency_Dev*MAX(0,Staff!BD70-Staff!BC70)+Agency_Credit*MAX(0,Staff!BD73-Staff!BC73)+Agency_Support*MAX(0,Staff!BD69-Staff!BC69)+Agency_Rep*(MAX(0,Staff!BD71-Staff!BC71)+MAX(0,Staff!BD72-Staff!BC72)))</f>
        <v>0</v>
      </c>
      <c r="BE87" s="32" t="n">
        <f aca="false">Agency_Fee_EUR*FX_EUR*(SUMPRODUCT(--('Hiring plan'!$G$5:$G$32=BE$3),--('Hiring plan'!$J$5:$J$32="Y"),'Hiring plan'!$F$5:$F$32)+Agency_Dev*MAX(0,Staff!BE70-Staff!BD70)+Agency_Credit*MAX(0,Staff!BE73-Staff!BD73)+Agency_Support*MAX(0,Staff!BE69-Staff!BD69)+Agency_Rep*(MAX(0,Staff!BE71-Staff!BD71)+MAX(0,Staff!BE72-Staff!BD72)))</f>
        <v>0</v>
      </c>
      <c r="BF87" s="32" t="n">
        <f aca="false">Agency_Fee_EUR*FX_EUR*(SUMPRODUCT(--('Hiring plan'!$G$5:$G$32=BF$3),--('Hiring plan'!$J$5:$J$32="Y"),'Hiring plan'!$F$5:$F$32)+Agency_Dev*MAX(0,Staff!BF70-Staff!BE70)+Agency_Credit*MAX(0,Staff!BF73-Staff!BE73)+Agency_Support*MAX(0,Staff!BF69-Staff!BE69)+Agency_Rep*(MAX(0,Staff!BF71-Staff!BE71)+MAX(0,Staff!BF72-Staff!BE72)))</f>
        <v>524765.6</v>
      </c>
      <c r="BG87" s="32" t="n">
        <f aca="false">Agency_Fee_EUR*FX_EUR*(SUMPRODUCT(--('Hiring plan'!$G$5:$G$32=BG$3),--('Hiring plan'!$J$5:$J$32="Y"),'Hiring plan'!$F$5:$F$32)+Agency_Dev*MAX(0,Staff!BG70-Staff!BF70)+Agency_Credit*MAX(0,Staff!BG73-Staff!BF73)+Agency_Support*MAX(0,Staff!BG69-Staff!BF69)+Agency_Rep*(MAX(0,Staff!BG71-Staff!BF71)+MAX(0,Staff!BG72-Staff!BF72)))</f>
        <v>0</v>
      </c>
      <c r="BH87" s="32" t="n">
        <f aca="false">Agency_Fee_EUR*FX_EUR*(SUMPRODUCT(--('Hiring plan'!$G$5:$G$32=BH$3),--('Hiring plan'!$J$5:$J$32="Y"),'Hiring plan'!$F$5:$F$32)+Agency_Dev*MAX(0,Staff!BH70-Staff!BG70)+Agency_Credit*MAX(0,Staff!BH73-Staff!BG73)+Agency_Support*MAX(0,Staff!BH69-Staff!BG69)+Agency_Rep*(MAX(0,Staff!BH71-Staff!BG71)+MAX(0,Staff!BH72-Staff!BG72)))</f>
        <v>524765.6</v>
      </c>
      <c r="BI87" s="32" t="n">
        <f aca="false">Agency_Fee_EUR*FX_EUR*(SUMPRODUCT(--('Hiring plan'!$G$5:$G$32=BI$3),--('Hiring plan'!$J$5:$J$32="Y"),'Hiring plan'!$F$5:$F$32)+Agency_Dev*MAX(0,Staff!BI70-Staff!BH70)+Agency_Credit*MAX(0,Staff!BI73-Staff!BH73)+Agency_Support*MAX(0,Staff!BI69-Staff!BH69)+Agency_Rep*(MAX(0,Staff!BI71-Staff!BH71)+MAX(0,Staff!BI72-Staff!BH72)))</f>
        <v>0</v>
      </c>
      <c r="BJ87" s="32" t="n">
        <f aca="false">Agency_Fee_EUR*FX_EUR*(SUMPRODUCT(--('Hiring plan'!$G$5:$G$32=BJ$3),--('Hiring plan'!$J$5:$J$32="Y"),'Hiring plan'!$F$5:$F$32)+Agency_Dev*MAX(0,Staff!BJ70-Staff!BI70)+Agency_Credit*MAX(0,Staff!BJ73-Staff!BI73)+Agency_Support*MAX(0,Staff!BJ69-Staff!BI69)+Agency_Rep*(MAX(0,Staff!BJ71-Staff!BI71)+MAX(0,Staff!BJ72-Staff!BI72)))</f>
        <v>524765.6</v>
      </c>
      <c r="BK87" s="32" t="n">
        <f aca="false">Agency_Fee_EUR*FX_EUR*(SUMPRODUCT(--('Hiring plan'!$G$5:$G$32=BK$3),--('Hiring plan'!$J$5:$J$32="Y"),'Hiring plan'!$F$5:$F$32)+Agency_Dev*MAX(0,Staff!BK70-Staff!BJ70)+Agency_Credit*MAX(0,Staff!BK73-Staff!BJ73)+Agency_Support*MAX(0,Staff!BK69-Staff!BJ69)+Agency_Rep*(MAX(0,Staff!BK71-Staff!BJ71)+MAX(0,Staff!BK72-Staff!BJ72)))</f>
        <v>0</v>
      </c>
      <c r="BL87" s="32" t="n">
        <f aca="false">Agency_Fee_EUR*FX_EUR*(SUMPRODUCT(--('Hiring plan'!$G$5:$G$32=BL$3),--('Hiring plan'!$J$5:$J$32="Y"),'Hiring plan'!$F$5:$F$32)+Agency_Dev*MAX(0,Staff!BL70-Staff!BK70)+Agency_Credit*MAX(0,Staff!BL73-Staff!BK73)+Agency_Support*MAX(0,Staff!BL69-Staff!BK69)+Agency_Rep*(MAX(0,Staff!BL71-Staff!BK71)+MAX(0,Staff!BL72-Staff!BK72)))</f>
        <v>0</v>
      </c>
    </row>
    <row r="88" customFormat="false" ht="15" hidden="false" customHeight="false" outlineLevel="0" collapsed="false">
      <c r="A88" s="12" t="s">
        <v>876</v>
      </c>
      <c r="B88" s="14" t="s">
        <v>77</v>
      </c>
      <c r="D88" s="55" t="n">
        <f aca="false">SUM(E88:BL88)</f>
        <v>77450000</v>
      </c>
      <c r="E88" s="32" t="n">
        <f aca="false">INDEX(Travel,1,E$5)/12</f>
        <v>437500</v>
      </c>
      <c r="F88" s="32" t="n">
        <f aca="false">INDEX(Travel,1,F$5)/12</f>
        <v>437500</v>
      </c>
      <c r="G88" s="32" t="n">
        <f aca="false">INDEX(Travel,1,G$5)/12</f>
        <v>437500</v>
      </c>
      <c r="H88" s="32" t="n">
        <f aca="false">INDEX(Travel,1,H$5)/12</f>
        <v>437500</v>
      </c>
      <c r="I88" s="32" t="n">
        <f aca="false">INDEX(Travel,1,I$5)/12</f>
        <v>437500</v>
      </c>
      <c r="J88" s="32" t="n">
        <f aca="false">INDEX(Travel,1,J$5)/12</f>
        <v>437500</v>
      </c>
      <c r="K88" s="32" t="n">
        <f aca="false">INDEX(Travel,1,K$5)/12</f>
        <v>437500</v>
      </c>
      <c r="L88" s="32" t="n">
        <f aca="false">INDEX(Travel,1,L$5)/12</f>
        <v>437500</v>
      </c>
      <c r="M88" s="32" t="n">
        <f aca="false">INDEX(Travel,1,M$5)/12</f>
        <v>437500</v>
      </c>
      <c r="N88" s="32" t="n">
        <f aca="false">INDEX(Travel,1,N$5)/12</f>
        <v>437500</v>
      </c>
      <c r="O88" s="32" t="n">
        <f aca="false">INDEX(Travel,1,O$5)/12</f>
        <v>437500</v>
      </c>
      <c r="P88" s="32" t="n">
        <f aca="false">INDEX(Travel,1,P$5)/12</f>
        <v>437500</v>
      </c>
      <c r="Q88" s="32" t="n">
        <f aca="false">INDEX(Travel,1,Q$5)/12</f>
        <v>1091666.66666667</v>
      </c>
      <c r="R88" s="32" t="n">
        <f aca="false">INDEX(Travel,1,R$5)/12</f>
        <v>1091666.66666667</v>
      </c>
      <c r="S88" s="32" t="n">
        <f aca="false">INDEX(Travel,1,S$5)/12</f>
        <v>1091666.66666667</v>
      </c>
      <c r="T88" s="32" t="n">
        <f aca="false">INDEX(Travel,1,T$5)/12</f>
        <v>1091666.66666667</v>
      </c>
      <c r="U88" s="32" t="n">
        <f aca="false">INDEX(Travel,1,U$5)/12</f>
        <v>1091666.66666667</v>
      </c>
      <c r="V88" s="32" t="n">
        <f aca="false">INDEX(Travel,1,V$5)/12</f>
        <v>1091666.66666667</v>
      </c>
      <c r="W88" s="32" t="n">
        <f aca="false">INDEX(Travel,1,W$5)/12</f>
        <v>1091666.66666667</v>
      </c>
      <c r="X88" s="32" t="n">
        <f aca="false">INDEX(Travel,1,X$5)/12</f>
        <v>1091666.66666667</v>
      </c>
      <c r="Y88" s="32" t="n">
        <f aca="false">INDEX(Travel,1,Y$5)/12</f>
        <v>1091666.66666667</v>
      </c>
      <c r="Z88" s="32" t="n">
        <f aca="false">INDEX(Travel,1,Z$5)/12</f>
        <v>1091666.66666667</v>
      </c>
      <c r="AA88" s="32" t="n">
        <f aca="false">INDEX(Travel,1,AA$5)/12</f>
        <v>1091666.66666667</v>
      </c>
      <c r="AB88" s="32" t="n">
        <f aca="false">INDEX(Travel,1,AB$5)/12</f>
        <v>1091666.66666667</v>
      </c>
      <c r="AC88" s="32" t="n">
        <f aca="false">INDEX(Travel,1,AC$5)/12</f>
        <v>1366666.66666667</v>
      </c>
      <c r="AD88" s="32" t="n">
        <f aca="false">INDEX(Travel,1,AD$5)/12</f>
        <v>1366666.66666667</v>
      </c>
      <c r="AE88" s="32" t="n">
        <f aca="false">INDEX(Travel,1,AE$5)/12</f>
        <v>1366666.66666667</v>
      </c>
      <c r="AF88" s="32" t="n">
        <f aca="false">INDEX(Travel,1,AF$5)/12</f>
        <v>1366666.66666667</v>
      </c>
      <c r="AG88" s="32" t="n">
        <f aca="false">INDEX(Travel,1,AG$5)/12</f>
        <v>1366666.66666667</v>
      </c>
      <c r="AH88" s="32" t="n">
        <f aca="false">INDEX(Travel,1,AH$5)/12</f>
        <v>1366666.66666667</v>
      </c>
      <c r="AI88" s="32" t="n">
        <f aca="false">INDEX(Travel,1,AI$5)/12</f>
        <v>1366666.66666667</v>
      </c>
      <c r="AJ88" s="32" t="n">
        <f aca="false">INDEX(Travel,1,AJ$5)/12</f>
        <v>1366666.66666667</v>
      </c>
      <c r="AK88" s="32" t="n">
        <f aca="false">INDEX(Travel,1,AK$5)/12</f>
        <v>1366666.66666667</v>
      </c>
      <c r="AL88" s="32" t="n">
        <f aca="false">INDEX(Travel,1,AL$5)/12</f>
        <v>1366666.66666667</v>
      </c>
      <c r="AM88" s="32" t="n">
        <f aca="false">INDEX(Travel,1,AM$5)/12</f>
        <v>1366666.66666667</v>
      </c>
      <c r="AN88" s="32" t="n">
        <f aca="false">INDEX(Travel,1,AN$5)/12</f>
        <v>1366666.66666667</v>
      </c>
      <c r="AO88" s="32" t="n">
        <f aca="false">INDEX(Travel,1,AO$5)/12</f>
        <v>1641666.66666667</v>
      </c>
      <c r="AP88" s="32" t="n">
        <f aca="false">INDEX(Travel,1,AP$5)/12</f>
        <v>1641666.66666667</v>
      </c>
      <c r="AQ88" s="32" t="n">
        <f aca="false">INDEX(Travel,1,AQ$5)/12</f>
        <v>1641666.66666667</v>
      </c>
      <c r="AR88" s="32" t="n">
        <f aca="false">INDEX(Travel,1,AR$5)/12</f>
        <v>1641666.66666667</v>
      </c>
      <c r="AS88" s="32" t="n">
        <f aca="false">INDEX(Travel,1,AS$5)/12</f>
        <v>1641666.66666667</v>
      </c>
      <c r="AT88" s="32" t="n">
        <f aca="false">INDEX(Travel,1,AT$5)/12</f>
        <v>1641666.66666667</v>
      </c>
      <c r="AU88" s="32" t="n">
        <f aca="false">INDEX(Travel,1,AU$5)/12</f>
        <v>1641666.66666667</v>
      </c>
      <c r="AV88" s="32" t="n">
        <f aca="false">INDEX(Travel,1,AV$5)/12</f>
        <v>1641666.66666667</v>
      </c>
      <c r="AW88" s="32" t="n">
        <f aca="false">INDEX(Travel,1,AW$5)/12</f>
        <v>1641666.66666667</v>
      </c>
      <c r="AX88" s="32" t="n">
        <f aca="false">INDEX(Travel,1,AX$5)/12</f>
        <v>1641666.66666667</v>
      </c>
      <c r="AY88" s="32" t="n">
        <f aca="false">INDEX(Travel,1,AY$5)/12</f>
        <v>1641666.66666667</v>
      </c>
      <c r="AZ88" s="32" t="n">
        <f aca="false">INDEX(Travel,1,AZ$5)/12</f>
        <v>1641666.66666667</v>
      </c>
      <c r="BA88" s="32" t="n">
        <f aca="false">INDEX(Travel,1,BA$5)/12</f>
        <v>1916666.66666667</v>
      </c>
      <c r="BB88" s="32" t="n">
        <f aca="false">INDEX(Travel,1,BB$5)/12</f>
        <v>1916666.66666667</v>
      </c>
      <c r="BC88" s="32" t="n">
        <f aca="false">INDEX(Travel,1,BC$5)/12</f>
        <v>1916666.66666667</v>
      </c>
      <c r="BD88" s="32" t="n">
        <f aca="false">INDEX(Travel,1,BD$5)/12</f>
        <v>1916666.66666667</v>
      </c>
      <c r="BE88" s="32" t="n">
        <f aca="false">INDEX(Travel,1,BE$5)/12</f>
        <v>1916666.66666667</v>
      </c>
      <c r="BF88" s="32" t="n">
        <f aca="false">INDEX(Travel,1,BF$5)/12</f>
        <v>1916666.66666667</v>
      </c>
      <c r="BG88" s="32" t="n">
        <f aca="false">INDEX(Travel,1,BG$5)/12</f>
        <v>1916666.66666667</v>
      </c>
      <c r="BH88" s="32" t="n">
        <f aca="false">INDEX(Travel,1,BH$5)/12</f>
        <v>1916666.66666667</v>
      </c>
      <c r="BI88" s="32" t="n">
        <f aca="false">INDEX(Travel,1,BI$5)/12</f>
        <v>1916666.66666667</v>
      </c>
      <c r="BJ88" s="32" t="n">
        <f aca="false">INDEX(Travel,1,BJ$5)/12</f>
        <v>1916666.66666667</v>
      </c>
      <c r="BK88" s="32" t="n">
        <f aca="false">INDEX(Travel,1,BK$5)/12</f>
        <v>1916666.66666667</v>
      </c>
      <c r="BL88" s="32" t="n">
        <f aca="false">INDEX(Travel,1,BL$5)/12</f>
        <v>1916666.66666667</v>
      </c>
    </row>
    <row r="89" customFormat="false" ht="15" hidden="false" customHeight="false" outlineLevel="0" collapsed="false">
      <c r="A89" s="12" t="s">
        <v>722</v>
      </c>
      <c r="B89" s="14" t="s">
        <v>77</v>
      </c>
      <c r="D89" s="55" t="n">
        <f aca="false">SUM(E89:BL89)</f>
        <v>34200000</v>
      </c>
      <c r="E89" s="32" t="n">
        <f aca="false">INDEX(Misc,1,E$5)</f>
        <v>300000</v>
      </c>
      <c r="F89" s="32" t="n">
        <f aca="false">INDEX(Misc,1,F$5)</f>
        <v>300000</v>
      </c>
      <c r="G89" s="32" t="n">
        <f aca="false">INDEX(Misc,1,G$5)</f>
        <v>300000</v>
      </c>
      <c r="H89" s="32" t="n">
        <f aca="false">INDEX(Misc,1,H$5)</f>
        <v>300000</v>
      </c>
      <c r="I89" s="32" t="n">
        <f aca="false">INDEX(Misc,1,I$5)</f>
        <v>300000</v>
      </c>
      <c r="J89" s="32" t="n">
        <f aca="false">INDEX(Misc,1,J$5)</f>
        <v>300000</v>
      </c>
      <c r="K89" s="32" t="n">
        <f aca="false">INDEX(Misc,1,K$5)</f>
        <v>300000</v>
      </c>
      <c r="L89" s="32" t="n">
        <f aca="false">INDEX(Misc,1,L$5)</f>
        <v>300000</v>
      </c>
      <c r="M89" s="32" t="n">
        <f aca="false">INDEX(Misc,1,M$5)</f>
        <v>300000</v>
      </c>
      <c r="N89" s="32" t="n">
        <f aca="false">INDEX(Misc,1,N$5)</f>
        <v>300000</v>
      </c>
      <c r="O89" s="32" t="n">
        <f aca="false">INDEX(Misc,1,O$5)</f>
        <v>300000</v>
      </c>
      <c r="P89" s="32" t="n">
        <f aca="false">INDEX(Misc,1,P$5)</f>
        <v>300000</v>
      </c>
      <c r="Q89" s="32" t="n">
        <f aca="false">INDEX(Misc,1,Q$5)</f>
        <v>450000</v>
      </c>
      <c r="R89" s="32" t="n">
        <f aca="false">INDEX(Misc,1,R$5)</f>
        <v>450000</v>
      </c>
      <c r="S89" s="32" t="n">
        <f aca="false">INDEX(Misc,1,S$5)</f>
        <v>450000</v>
      </c>
      <c r="T89" s="32" t="n">
        <f aca="false">INDEX(Misc,1,T$5)</f>
        <v>450000</v>
      </c>
      <c r="U89" s="32" t="n">
        <f aca="false">INDEX(Misc,1,U$5)</f>
        <v>450000</v>
      </c>
      <c r="V89" s="32" t="n">
        <f aca="false">INDEX(Misc,1,V$5)</f>
        <v>450000</v>
      </c>
      <c r="W89" s="32" t="n">
        <f aca="false">INDEX(Misc,1,W$5)</f>
        <v>450000</v>
      </c>
      <c r="X89" s="32" t="n">
        <f aca="false">INDEX(Misc,1,X$5)</f>
        <v>450000</v>
      </c>
      <c r="Y89" s="32" t="n">
        <f aca="false">INDEX(Misc,1,Y$5)</f>
        <v>450000</v>
      </c>
      <c r="Z89" s="32" t="n">
        <f aca="false">INDEX(Misc,1,Z$5)</f>
        <v>450000</v>
      </c>
      <c r="AA89" s="32" t="n">
        <f aca="false">INDEX(Misc,1,AA$5)</f>
        <v>450000</v>
      </c>
      <c r="AB89" s="32" t="n">
        <f aca="false">INDEX(Misc,1,AB$5)</f>
        <v>450000</v>
      </c>
      <c r="AC89" s="32" t="n">
        <f aca="false">INDEX(Misc,1,AC$5)</f>
        <v>600000</v>
      </c>
      <c r="AD89" s="32" t="n">
        <f aca="false">INDEX(Misc,1,AD$5)</f>
        <v>600000</v>
      </c>
      <c r="AE89" s="32" t="n">
        <f aca="false">INDEX(Misc,1,AE$5)</f>
        <v>600000</v>
      </c>
      <c r="AF89" s="32" t="n">
        <f aca="false">INDEX(Misc,1,AF$5)</f>
        <v>600000</v>
      </c>
      <c r="AG89" s="32" t="n">
        <f aca="false">INDEX(Misc,1,AG$5)</f>
        <v>600000</v>
      </c>
      <c r="AH89" s="32" t="n">
        <f aca="false">INDEX(Misc,1,AH$5)</f>
        <v>600000</v>
      </c>
      <c r="AI89" s="32" t="n">
        <f aca="false">INDEX(Misc,1,AI$5)</f>
        <v>600000</v>
      </c>
      <c r="AJ89" s="32" t="n">
        <f aca="false">INDEX(Misc,1,AJ$5)</f>
        <v>600000</v>
      </c>
      <c r="AK89" s="32" t="n">
        <f aca="false">INDEX(Misc,1,AK$5)</f>
        <v>600000</v>
      </c>
      <c r="AL89" s="32" t="n">
        <f aca="false">INDEX(Misc,1,AL$5)</f>
        <v>600000</v>
      </c>
      <c r="AM89" s="32" t="n">
        <f aca="false">INDEX(Misc,1,AM$5)</f>
        <v>600000</v>
      </c>
      <c r="AN89" s="32" t="n">
        <f aca="false">INDEX(Misc,1,AN$5)</f>
        <v>600000</v>
      </c>
      <c r="AO89" s="32" t="n">
        <f aca="false">INDEX(Misc,1,AO$5)</f>
        <v>700000</v>
      </c>
      <c r="AP89" s="32" t="n">
        <f aca="false">INDEX(Misc,1,AP$5)</f>
        <v>700000</v>
      </c>
      <c r="AQ89" s="32" t="n">
        <f aca="false">INDEX(Misc,1,AQ$5)</f>
        <v>700000</v>
      </c>
      <c r="AR89" s="32" t="n">
        <f aca="false">INDEX(Misc,1,AR$5)</f>
        <v>700000</v>
      </c>
      <c r="AS89" s="32" t="n">
        <f aca="false">INDEX(Misc,1,AS$5)</f>
        <v>700000</v>
      </c>
      <c r="AT89" s="32" t="n">
        <f aca="false">INDEX(Misc,1,AT$5)</f>
        <v>700000</v>
      </c>
      <c r="AU89" s="32" t="n">
        <f aca="false">INDEX(Misc,1,AU$5)</f>
        <v>700000</v>
      </c>
      <c r="AV89" s="32" t="n">
        <f aca="false">INDEX(Misc,1,AV$5)</f>
        <v>700000</v>
      </c>
      <c r="AW89" s="32" t="n">
        <f aca="false">INDEX(Misc,1,AW$5)</f>
        <v>700000</v>
      </c>
      <c r="AX89" s="32" t="n">
        <f aca="false">INDEX(Misc,1,AX$5)</f>
        <v>700000</v>
      </c>
      <c r="AY89" s="32" t="n">
        <f aca="false">INDEX(Misc,1,AY$5)</f>
        <v>700000</v>
      </c>
      <c r="AZ89" s="32" t="n">
        <f aca="false">INDEX(Misc,1,AZ$5)</f>
        <v>700000</v>
      </c>
      <c r="BA89" s="32" t="n">
        <f aca="false">INDEX(Misc,1,BA$5)</f>
        <v>800000</v>
      </c>
      <c r="BB89" s="32" t="n">
        <f aca="false">INDEX(Misc,1,BB$5)</f>
        <v>800000</v>
      </c>
      <c r="BC89" s="32" t="n">
        <f aca="false">INDEX(Misc,1,BC$5)</f>
        <v>800000</v>
      </c>
      <c r="BD89" s="32" t="n">
        <f aca="false">INDEX(Misc,1,BD$5)</f>
        <v>800000</v>
      </c>
      <c r="BE89" s="32" t="n">
        <f aca="false">INDEX(Misc,1,BE$5)</f>
        <v>800000</v>
      </c>
      <c r="BF89" s="32" t="n">
        <f aca="false">INDEX(Misc,1,BF$5)</f>
        <v>800000</v>
      </c>
      <c r="BG89" s="32" t="n">
        <f aca="false">INDEX(Misc,1,BG$5)</f>
        <v>800000</v>
      </c>
      <c r="BH89" s="32" t="n">
        <f aca="false">INDEX(Misc,1,BH$5)</f>
        <v>800000</v>
      </c>
      <c r="BI89" s="32" t="n">
        <f aca="false">INDEX(Misc,1,BI$5)</f>
        <v>800000</v>
      </c>
      <c r="BJ89" s="32" t="n">
        <f aca="false">INDEX(Misc,1,BJ$5)</f>
        <v>800000</v>
      </c>
      <c r="BK89" s="32" t="n">
        <f aca="false">INDEX(Misc,1,BK$5)</f>
        <v>800000</v>
      </c>
      <c r="BL89" s="32" t="n">
        <f aca="false">INDEX(Misc,1,BL$5)</f>
        <v>800000</v>
      </c>
    </row>
    <row r="90" customFormat="false" ht="15" hidden="false" customHeight="false" outlineLevel="0" collapsed="false">
      <c r="A90" s="8" t="s">
        <v>1092</v>
      </c>
      <c r="B90" s="14" t="s">
        <v>77</v>
      </c>
      <c r="D90" s="55" t="n">
        <f aca="false">SUM(E90:BL90)</f>
        <v>121620546.4</v>
      </c>
      <c r="E90" s="16" t="n">
        <f aca="false">SUM(E87:E89)</f>
        <v>2836562.4</v>
      </c>
      <c r="F90" s="16" t="n">
        <f aca="false">SUM(F87:F89)</f>
        <v>737500</v>
      </c>
      <c r="G90" s="16" t="n">
        <f aca="false">SUM(G87:G89)</f>
        <v>737500</v>
      </c>
      <c r="H90" s="16" t="n">
        <f aca="false">SUM(H87:H89)</f>
        <v>737500</v>
      </c>
      <c r="I90" s="16" t="n">
        <f aca="false">SUM(I87:I89)</f>
        <v>737500</v>
      </c>
      <c r="J90" s="16" t="n">
        <f aca="false">SUM(J87:J89)</f>
        <v>737500</v>
      </c>
      <c r="K90" s="16" t="n">
        <f aca="false">SUM(K87:K89)</f>
        <v>737500</v>
      </c>
      <c r="L90" s="16" t="n">
        <f aca="false">SUM(L87:L89)</f>
        <v>737500</v>
      </c>
      <c r="M90" s="16" t="n">
        <f aca="false">SUM(M87:M89)</f>
        <v>737500</v>
      </c>
      <c r="N90" s="16" t="n">
        <f aca="false">SUM(N87:N89)</f>
        <v>737500</v>
      </c>
      <c r="O90" s="16" t="n">
        <f aca="false">SUM(O87:O89)</f>
        <v>737500</v>
      </c>
      <c r="P90" s="16" t="n">
        <f aca="false">SUM(P87:P89)</f>
        <v>737500</v>
      </c>
      <c r="Q90" s="16" t="n">
        <f aca="false">SUM(Q87:Q89)</f>
        <v>2066432.26666667</v>
      </c>
      <c r="R90" s="16" t="n">
        <f aca="false">SUM(R87:R89)</f>
        <v>1541666.66666667</v>
      </c>
      <c r="S90" s="16" t="n">
        <f aca="false">SUM(S87:S89)</f>
        <v>1541666.66666667</v>
      </c>
      <c r="T90" s="16" t="n">
        <f aca="false">SUM(T87:T89)</f>
        <v>2066432.26666667</v>
      </c>
      <c r="U90" s="16" t="n">
        <f aca="false">SUM(U87:U89)</f>
        <v>1541666.66666667</v>
      </c>
      <c r="V90" s="16" t="n">
        <f aca="false">SUM(V87:V89)</f>
        <v>2066432.26666667</v>
      </c>
      <c r="W90" s="16" t="n">
        <f aca="false">SUM(W87:W89)</f>
        <v>1541666.66666667</v>
      </c>
      <c r="X90" s="16" t="n">
        <f aca="false">SUM(X87:X89)</f>
        <v>1541666.66666667</v>
      </c>
      <c r="Y90" s="16" t="n">
        <f aca="false">SUM(Y87:Y89)</f>
        <v>1541666.66666667</v>
      </c>
      <c r="Z90" s="16" t="n">
        <f aca="false">SUM(Z87:Z89)</f>
        <v>1541666.66666667</v>
      </c>
      <c r="AA90" s="16" t="n">
        <f aca="false">SUM(AA87:AA89)</f>
        <v>1541666.66666667</v>
      </c>
      <c r="AB90" s="16" t="n">
        <f aca="false">SUM(AB87:AB89)</f>
        <v>2066432.26666667</v>
      </c>
      <c r="AC90" s="16" t="n">
        <f aca="false">SUM(AC87:AC89)</f>
        <v>1966666.66666667</v>
      </c>
      <c r="AD90" s="16" t="n">
        <f aca="false">SUM(AD87:AD89)</f>
        <v>1966666.66666667</v>
      </c>
      <c r="AE90" s="16" t="n">
        <f aca="false">SUM(AE87:AE89)</f>
        <v>1966666.66666667</v>
      </c>
      <c r="AF90" s="16" t="n">
        <f aca="false">SUM(AF87:AF89)</f>
        <v>2491432.26666667</v>
      </c>
      <c r="AG90" s="16" t="n">
        <f aca="false">SUM(AG87:AG89)</f>
        <v>2491432.26666667</v>
      </c>
      <c r="AH90" s="16" t="n">
        <f aca="false">SUM(AH87:AH89)</f>
        <v>1966666.66666667</v>
      </c>
      <c r="AI90" s="16" t="n">
        <f aca="false">SUM(AI87:AI89)</f>
        <v>1966666.66666667</v>
      </c>
      <c r="AJ90" s="16" t="n">
        <f aca="false">SUM(AJ87:AJ89)</f>
        <v>1966666.66666667</v>
      </c>
      <c r="AK90" s="16" t="n">
        <f aca="false">SUM(AK87:AK89)</f>
        <v>1966666.66666667</v>
      </c>
      <c r="AL90" s="16" t="n">
        <f aca="false">SUM(AL87:AL89)</f>
        <v>2491432.26666667</v>
      </c>
      <c r="AM90" s="16" t="n">
        <f aca="false">SUM(AM87:AM89)</f>
        <v>1966666.66666667</v>
      </c>
      <c r="AN90" s="16" t="n">
        <f aca="false">SUM(AN87:AN89)</f>
        <v>1966666.66666667</v>
      </c>
      <c r="AO90" s="16" t="n">
        <f aca="false">SUM(AO87:AO89)</f>
        <v>2341666.66666667</v>
      </c>
      <c r="AP90" s="16" t="n">
        <f aca="false">SUM(AP87:AP89)</f>
        <v>2341666.66666667</v>
      </c>
      <c r="AQ90" s="16" t="n">
        <f aca="false">SUM(AQ87:AQ89)</f>
        <v>2866432.26666667</v>
      </c>
      <c r="AR90" s="16" t="n">
        <f aca="false">SUM(AR87:AR89)</f>
        <v>2866432.26666667</v>
      </c>
      <c r="AS90" s="16" t="n">
        <f aca="false">SUM(AS87:AS89)</f>
        <v>2341666.66666667</v>
      </c>
      <c r="AT90" s="16" t="n">
        <f aca="false">SUM(AT87:AT89)</f>
        <v>2341666.66666667</v>
      </c>
      <c r="AU90" s="16" t="n">
        <f aca="false">SUM(AU87:AU89)</f>
        <v>2341666.66666667</v>
      </c>
      <c r="AV90" s="16" t="n">
        <f aca="false">SUM(AV87:AV89)</f>
        <v>2341666.66666667</v>
      </c>
      <c r="AW90" s="16" t="n">
        <f aca="false">SUM(AW87:AW89)</f>
        <v>2866432.26666667</v>
      </c>
      <c r="AX90" s="16" t="n">
        <f aca="false">SUM(AX87:AX89)</f>
        <v>2341666.66666667</v>
      </c>
      <c r="AY90" s="16" t="n">
        <f aca="false">SUM(AY87:AY89)</f>
        <v>2341666.66666667</v>
      </c>
      <c r="AZ90" s="16" t="n">
        <f aca="false">SUM(AZ87:AZ89)</f>
        <v>2341666.66666667</v>
      </c>
      <c r="BA90" s="16" t="n">
        <f aca="false">SUM(BA87:BA89)</f>
        <v>3241432.26666667</v>
      </c>
      <c r="BB90" s="16" t="n">
        <f aca="false">SUM(BB87:BB89)</f>
        <v>3241432.26666667</v>
      </c>
      <c r="BC90" s="16" t="n">
        <f aca="false">SUM(BC87:BC89)</f>
        <v>2716666.66666667</v>
      </c>
      <c r="BD90" s="16" t="n">
        <f aca="false">SUM(BD87:BD89)</f>
        <v>2716666.66666667</v>
      </c>
      <c r="BE90" s="16" t="n">
        <f aca="false">SUM(BE87:BE89)</f>
        <v>2716666.66666667</v>
      </c>
      <c r="BF90" s="16" t="n">
        <f aca="false">SUM(BF87:BF89)</f>
        <v>3241432.26666667</v>
      </c>
      <c r="BG90" s="16" t="n">
        <f aca="false">SUM(BG87:BG89)</f>
        <v>2716666.66666667</v>
      </c>
      <c r="BH90" s="16" t="n">
        <f aca="false">SUM(BH87:BH89)</f>
        <v>3241432.26666667</v>
      </c>
      <c r="BI90" s="16" t="n">
        <f aca="false">SUM(BI87:BI89)</f>
        <v>2716666.66666667</v>
      </c>
      <c r="BJ90" s="16" t="n">
        <f aca="false">SUM(BJ87:BJ89)</f>
        <v>3241432.26666667</v>
      </c>
      <c r="BK90" s="16" t="n">
        <f aca="false">SUM(BK87:BK89)</f>
        <v>2716666.66666667</v>
      </c>
      <c r="BL90" s="16" t="n">
        <f aca="false">SUM(BL87:BL89)</f>
        <v>2716666.66666667</v>
      </c>
    </row>
    <row r="92" customFormat="false" ht="15" hidden="false" customHeight="false" outlineLevel="0" collapsed="false">
      <c r="A92" s="10" t="s">
        <v>1093</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1094</v>
      </c>
      <c r="B93" s="14" t="s">
        <v>77</v>
      </c>
      <c r="D93" s="55" t="n">
        <f aca="false">SUM(E93:BL93)</f>
        <v>4816184821.02487</v>
      </c>
      <c r="E93" s="32" t="n">
        <f aca="false">E34+E41+E55+E63+E76+E84+E90</f>
        <v>30658037.4</v>
      </c>
      <c r="F93" s="32" t="n">
        <f aca="false">F34+F41+F55+F63+F76+F84+F90</f>
        <v>38663018</v>
      </c>
      <c r="G93" s="32" t="n">
        <f aca="false">G34+G41+G55+G63+G76+G84+G90</f>
        <v>52663018</v>
      </c>
      <c r="H93" s="32" t="n">
        <f aca="false">H34+H41+H55+H63+H76+H84+H90</f>
        <v>35261046</v>
      </c>
      <c r="I93" s="32" t="n">
        <f aca="false">I34+I41+I55+I63+I76+I84+I90</f>
        <v>34481759.1</v>
      </c>
      <c r="J93" s="32" t="n">
        <f aca="false">J34+J41+J55+J63+J76+J84+J90</f>
        <v>33943877.3</v>
      </c>
      <c r="K93" s="32" t="n">
        <f aca="false">K34+K41+K55+K63+K76+K84+K90</f>
        <v>33735246.98975</v>
      </c>
      <c r="L93" s="32" t="n">
        <f aca="false">L34+L41+L55+L63+L76+L84+L90</f>
        <v>33527783.3203894</v>
      </c>
      <c r="M93" s="32" t="n">
        <f aca="false">M34+M41+M55+M63+M76+M84+M90</f>
        <v>33321376.3000179</v>
      </c>
      <c r="N93" s="32" t="n">
        <f aca="false">N34+N41+N55+N63+N76+N84+N90</f>
        <v>33115912.0298189</v>
      </c>
      <c r="O93" s="32" t="n">
        <f aca="false">O34+O41+O55+O63+O76+O84+O90</f>
        <v>32911272.425152</v>
      </c>
      <c r="P93" s="32" t="n">
        <f aca="false">P34+P41+P55+P63+P76+P84+P90</f>
        <v>32707334.9206997</v>
      </c>
      <c r="Q93" s="32" t="n">
        <f aca="false">Q34+Q41+Q55+Q63+Q76+Q84+Q90</f>
        <v>46797510.0253618</v>
      </c>
      <c r="R93" s="32" t="n">
        <f aca="false">R34+R41+R55+R63+R76+R84+R90</f>
        <v>45664254.1258697</v>
      </c>
      <c r="S93" s="32" t="n">
        <f aca="false">S34+S41+S55+S63+S76+S84+S90</f>
        <v>50385040.5677785</v>
      </c>
      <c r="T93" s="32" t="n">
        <f aca="false">T34+T41+T55+T63+T76+T84+T90</f>
        <v>70859405.2783338</v>
      </c>
      <c r="U93" s="32" t="n">
        <f aca="false">U34+U41+U55+U63+U76+U84+U90</f>
        <v>46229440.7610338</v>
      </c>
      <c r="V93" s="32" t="n">
        <f aca="false">V34+V41+V55+V63+V76+V84+V90</f>
        <v>53599469.5186958</v>
      </c>
      <c r="W93" s="32" t="n">
        <f aca="false">W34+W41+W55+W63+W76+W84+W90</f>
        <v>55076363.5578176</v>
      </c>
      <c r="X93" s="32" t="n">
        <f aca="false">X34+X41+X55+X63+X76+X84+X90</f>
        <v>56273700.0052866</v>
      </c>
      <c r="Y93" s="32" t="n">
        <f aca="false">Y34+Y41+Y55+Y63+Y76+Y84+Y90</f>
        <v>56865475.8036038</v>
      </c>
      <c r="Z93" s="32" t="n">
        <f aca="false">Z34+Z41+Z55+Z63+Z76+Z84+Z90</f>
        <v>56578093.92382</v>
      </c>
      <c r="AA93" s="32" t="n">
        <f aca="false">AA34+AA41+AA55+AA63+AA76+AA84+AA90</f>
        <v>56621126.3412492</v>
      </c>
      <c r="AB93" s="32" t="n">
        <f aca="false">AB34+AB41+AB55+AB63+AB76+AB84+AB90</f>
        <v>62779211.9037242</v>
      </c>
      <c r="AC93" s="32" t="n">
        <f aca="false">AC34+AC41+AC55+AC63+AC76+AC84+AC90</f>
        <v>72492824.6279476</v>
      </c>
      <c r="AD93" s="32" t="n">
        <f aca="false">AD34+AD41+AD55+AD63+AD76+AD84+AD90</f>
        <v>73404604.0256245</v>
      </c>
      <c r="AE93" s="32" t="n">
        <f aca="false">AE34+AE41+AE55+AE63+AE76+AE84+AE90</f>
        <v>73130952.961162</v>
      </c>
      <c r="AF93" s="32" t="n">
        <f aca="false">AF34+AF41+AF55+AF63+AF76+AF84+AF90</f>
        <v>83518450.8428317</v>
      </c>
      <c r="AG93" s="32" t="n">
        <f aca="false">AG34+AG41+AG55+AG63+AG76+AG84+AG90</f>
        <v>79488706.4494016</v>
      </c>
      <c r="AH93" s="32" t="n">
        <f aca="false">AH34+AH41+AH55+AH63+AH76+AH84+AH90</f>
        <v>79233215.7943657</v>
      </c>
      <c r="AI93" s="32" t="n">
        <f aca="false">AI34+AI41+AI55+AI63+AI76+AI84+AI90</f>
        <v>79872342.5300276</v>
      </c>
      <c r="AJ93" s="32" t="n">
        <f aca="false">AJ34+AJ41+AJ55+AJ63+AJ76+AJ84+AJ90</f>
        <v>79617066.3938293</v>
      </c>
      <c r="AK93" s="32" t="n">
        <f aca="false">AK34+AK41+AK55+AK63+AK76+AK84+AK90</f>
        <v>80592648.999459</v>
      </c>
      <c r="AL93" s="32" t="n">
        <f aca="false">AL34+AL41+AL55+AL63+AL76+AL84+AL90</f>
        <v>83459785.6754266</v>
      </c>
      <c r="AM93" s="32" t="n">
        <f aca="false">AM34+AM41+AM55+AM63+AM76+AM84+AM90</f>
        <v>83264170.8539522</v>
      </c>
      <c r="AN93" s="32" t="n">
        <f aca="false">AN34+AN41+AN55+AN63+AN76+AN84+AN90</f>
        <v>84288145.5131893</v>
      </c>
      <c r="AO93" s="32" t="n">
        <f aca="false">AO34+AO41+AO55+AO63+AO76+AO84+AO90</f>
        <v>93357376.209314</v>
      </c>
      <c r="AP93" s="32" t="n">
        <f aca="false">AP34+AP41+AP55+AP63+AP76+AP84+AP90</f>
        <v>92804548.9018728</v>
      </c>
      <c r="AQ93" s="32" t="n">
        <f aca="false">AQ34+AQ41+AQ55+AQ63+AQ76+AQ84+AQ90</f>
        <v>95798218.8009852</v>
      </c>
      <c r="AR93" s="32" t="n">
        <f aca="false">AR34+AR41+AR55+AR63+AR76+AR84+AR90</f>
        <v>106384364.748544</v>
      </c>
      <c r="AS93" s="32" t="n">
        <f aca="false">AS34+AS41+AS55+AS63+AS76+AS84+AS90</f>
        <v>98366471.262457</v>
      </c>
      <c r="AT93" s="32" t="n">
        <f aca="false">AT34+AT41+AT55+AT63+AT76+AT84+AT90</f>
        <v>99413103.8482044</v>
      </c>
      <c r="AU93" s="32" t="n">
        <f aca="false">AU34+AU41+AU55+AU63+AU76+AU84+AU90</f>
        <v>102649156.690597</v>
      </c>
      <c r="AV93" s="32" t="n">
        <f aca="false">AV34+AV41+AV55+AV63+AV76+AV84+AV90</f>
        <v>101811512.630532</v>
      </c>
      <c r="AW93" s="32" t="n">
        <f aca="false">AW34+AW41+AW55+AW63+AW76+AW84+AW90</f>
        <v>106010960.994439</v>
      </c>
      <c r="AX93" s="32" t="n">
        <f aca="false">AX34+AX41+AX55+AX63+AX76+AX84+AX90</f>
        <v>105459638.066106</v>
      </c>
      <c r="AY93" s="32" t="n">
        <f aca="false">AY34+AY41+AY55+AY63+AY76+AY84+AY90</f>
        <v>106091494.404572</v>
      </c>
      <c r="AZ93" s="32" t="n">
        <f aca="false">AZ34+AZ41+AZ55+AZ63+AZ76+AZ84+AZ90</f>
        <v>108319107.909846</v>
      </c>
      <c r="BA93" s="32" t="n">
        <f aca="false">BA34+BA41+BA55+BA63+BA76+BA84+BA90</f>
        <v>121094848.72177</v>
      </c>
      <c r="BB93" s="32" t="n">
        <f aca="false">BB34+BB41+BB55+BB63+BB76+BB84+BB90</f>
        <v>123329376.098577</v>
      </c>
      <c r="BC93" s="32" t="n">
        <f aca="false">BC34+BC41+BC55+BC63+BC76+BC84+BC90</f>
        <v>122810713.035616</v>
      </c>
      <c r="BD93" s="32" t="n">
        <f aca="false">BD34+BD41+BD55+BD63+BD76+BD84+BD90</f>
        <v>130602336.903253</v>
      </c>
      <c r="BE93" s="32" t="n">
        <f aca="false">BE34+BE41+BE55+BE63+BE76+BE84+BE90</f>
        <v>125455214.062198</v>
      </c>
      <c r="BF93" s="32" t="n">
        <f aca="false">BF34+BF41+BF55+BF63+BF76+BF84+BF90</f>
        <v>128140805.99593</v>
      </c>
      <c r="BG93" s="32" t="n">
        <f aca="false">BG34+BG41+BG55+BG63+BG76+BG84+BG90</f>
        <v>129211772.158311</v>
      </c>
      <c r="BH93" s="32" t="n">
        <f aca="false">BH34+BH41+BH55+BH63+BH76+BH84+BH90</f>
        <v>134698344.76381</v>
      </c>
      <c r="BI93" s="32" t="n">
        <f aca="false">BI34+BI41+BI55+BI63+BI76+BI84+BI90</f>
        <v>134617860.929138</v>
      </c>
      <c r="BJ93" s="32" t="n">
        <f aca="false">BJ34+BJ41+BJ55+BJ63+BJ76+BJ84+BJ90</f>
        <v>136992603.406512</v>
      </c>
      <c r="BK93" s="32" t="n">
        <f aca="false">BK34+BK41+BK55+BK63+BK76+BK84+BK90</f>
        <v>138038868.664583</v>
      </c>
      <c r="BL93" s="32" t="n">
        <f aca="false">BL34+BL41+BL55+BL63+BL76+BL84+BL90</f>
        <v>139644433.552083</v>
      </c>
    </row>
    <row r="94" customFormat="false" ht="15" hidden="false" customHeight="false" outlineLevel="0" collapsed="false">
      <c r="A94" s="12" t="s">
        <v>1095</v>
      </c>
      <c r="B94" s="14" t="s">
        <v>77</v>
      </c>
      <c r="D94" s="55" t="n">
        <f aca="false">SUM(E94:BL94)</f>
        <v>240809241.051244</v>
      </c>
      <c r="E94" s="32" t="n">
        <f aca="false">E93*Contingency_Pct</f>
        <v>1532901.87</v>
      </c>
      <c r="F94" s="32" t="n">
        <f aca="false">F93*Contingency_Pct</f>
        <v>1933150.9</v>
      </c>
      <c r="G94" s="32" t="n">
        <f aca="false">G93*Contingency_Pct</f>
        <v>2633150.9</v>
      </c>
      <c r="H94" s="32" t="n">
        <f aca="false">H93*Contingency_Pct</f>
        <v>1763052.3</v>
      </c>
      <c r="I94" s="32" t="n">
        <f aca="false">I93*Contingency_Pct</f>
        <v>1724087.955</v>
      </c>
      <c r="J94" s="32" t="n">
        <f aca="false">J93*Contingency_Pct</f>
        <v>1697193.865</v>
      </c>
      <c r="K94" s="32" t="n">
        <f aca="false">K93*Contingency_Pct</f>
        <v>1686762.3494875</v>
      </c>
      <c r="L94" s="32" t="n">
        <f aca="false">L93*Contingency_Pct</f>
        <v>1676389.16601947</v>
      </c>
      <c r="M94" s="32" t="n">
        <f aca="false">M93*Contingency_Pct</f>
        <v>1666068.8150009</v>
      </c>
      <c r="N94" s="32" t="n">
        <f aca="false">N93*Contingency_Pct</f>
        <v>1655795.60149095</v>
      </c>
      <c r="O94" s="32" t="n">
        <f aca="false">O93*Contingency_Pct</f>
        <v>1645563.6212576</v>
      </c>
      <c r="P94" s="32" t="n">
        <f aca="false">P93*Contingency_Pct</f>
        <v>1635366.74603498</v>
      </c>
      <c r="Q94" s="32" t="n">
        <f aca="false">Q93*Contingency_Pct</f>
        <v>2339875.50126809</v>
      </c>
      <c r="R94" s="32" t="n">
        <f aca="false">R93*Contingency_Pct</f>
        <v>2283212.70629349</v>
      </c>
      <c r="S94" s="32" t="n">
        <f aca="false">S93*Contingency_Pct</f>
        <v>2519252.02838892</v>
      </c>
      <c r="T94" s="32" t="n">
        <f aca="false">T93*Contingency_Pct</f>
        <v>3542970.26391669</v>
      </c>
      <c r="U94" s="32" t="n">
        <f aca="false">U93*Contingency_Pct</f>
        <v>2311472.03805169</v>
      </c>
      <c r="V94" s="32" t="n">
        <f aca="false">V93*Contingency_Pct</f>
        <v>2679973.47593479</v>
      </c>
      <c r="W94" s="32" t="n">
        <f aca="false">W93*Contingency_Pct</f>
        <v>2753818.17789088</v>
      </c>
      <c r="X94" s="32" t="n">
        <f aca="false">X93*Contingency_Pct</f>
        <v>2813685.00026433</v>
      </c>
      <c r="Y94" s="32" t="n">
        <f aca="false">Y93*Contingency_Pct</f>
        <v>2843273.79018019</v>
      </c>
      <c r="Z94" s="32" t="n">
        <f aca="false">Z93*Contingency_Pct</f>
        <v>2828904.696191</v>
      </c>
      <c r="AA94" s="32" t="n">
        <f aca="false">AA93*Contingency_Pct</f>
        <v>2831056.31706246</v>
      </c>
      <c r="AB94" s="32" t="n">
        <f aca="false">AB93*Contingency_Pct</f>
        <v>3138960.59518621</v>
      </c>
      <c r="AC94" s="32" t="n">
        <f aca="false">AC93*Contingency_Pct</f>
        <v>3624641.23139738</v>
      </c>
      <c r="AD94" s="32" t="n">
        <f aca="false">AD93*Contingency_Pct</f>
        <v>3670230.20128123</v>
      </c>
      <c r="AE94" s="32" t="n">
        <f aca="false">AE93*Contingency_Pct</f>
        <v>3656547.6480581</v>
      </c>
      <c r="AF94" s="32" t="n">
        <f aca="false">AF93*Contingency_Pct</f>
        <v>4175922.54214158</v>
      </c>
      <c r="AG94" s="32" t="n">
        <f aca="false">AG93*Contingency_Pct</f>
        <v>3974435.32247008</v>
      </c>
      <c r="AH94" s="32" t="n">
        <f aca="false">AH93*Contingency_Pct</f>
        <v>3961660.78971828</v>
      </c>
      <c r="AI94" s="32" t="n">
        <f aca="false">AI93*Contingency_Pct</f>
        <v>3993617.12650138</v>
      </c>
      <c r="AJ94" s="32" t="n">
        <f aca="false">AJ93*Contingency_Pct</f>
        <v>3980853.31969146</v>
      </c>
      <c r="AK94" s="32" t="n">
        <f aca="false">AK93*Contingency_Pct</f>
        <v>4029632.44997295</v>
      </c>
      <c r="AL94" s="32" t="n">
        <f aca="false">AL93*Contingency_Pct</f>
        <v>4172989.28377133</v>
      </c>
      <c r="AM94" s="32" t="n">
        <f aca="false">AM93*Contingency_Pct</f>
        <v>4163208.54269761</v>
      </c>
      <c r="AN94" s="32" t="n">
        <f aca="false">AN93*Contingency_Pct</f>
        <v>4214407.27565947</v>
      </c>
      <c r="AO94" s="32" t="n">
        <f aca="false">AO93*Contingency_Pct</f>
        <v>4667868.8104657</v>
      </c>
      <c r="AP94" s="32" t="n">
        <f aca="false">AP93*Contingency_Pct</f>
        <v>4640227.44509364</v>
      </c>
      <c r="AQ94" s="32" t="n">
        <f aca="false">AQ93*Contingency_Pct</f>
        <v>4789910.94004926</v>
      </c>
      <c r="AR94" s="32" t="n">
        <f aca="false">AR93*Contingency_Pct</f>
        <v>5319218.23742722</v>
      </c>
      <c r="AS94" s="32" t="n">
        <f aca="false">AS93*Contingency_Pct</f>
        <v>4918323.56312285</v>
      </c>
      <c r="AT94" s="32" t="n">
        <f aca="false">AT93*Contingency_Pct</f>
        <v>4970655.19241022</v>
      </c>
      <c r="AU94" s="32" t="n">
        <f aca="false">AU93*Contingency_Pct</f>
        <v>5132457.83452983</v>
      </c>
      <c r="AV94" s="32" t="n">
        <f aca="false">AV93*Contingency_Pct</f>
        <v>5090575.63152662</v>
      </c>
      <c r="AW94" s="32" t="n">
        <f aca="false">AW93*Contingency_Pct</f>
        <v>5300548.04972196</v>
      </c>
      <c r="AX94" s="32" t="n">
        <f aca="false">AX93*Contingency_Pct</f>
        <v>5272981.90330528</v>
      </c>
      <c r="AY94" s="32" t="n">
        <f aca="false">AY93*Contingency_Pct</f>
        <v>5304574.7202286</v>
      </c>
      <c r="AZ94" s="32" t="n">
        <f aca="false">AZ93*Contingency_Pct</f>
        <v>5415955.39549231</v>
      </c>
      <c r="BA94" s="32" t="n">
        <f aca="false">BA93*Contingency_Pct</f>
        <v>6054742.43608852</v>
      </c>
      <c r="BB94" s="32" t="n">
        <f aca="false">BB93*Contingency_Pct</f>
        <v>6166468.80492883</v>
      </c>
      <c r="BC94" s="32" t="n">
        <f aca="false">BC93*Contingency_Pct</f>
        <v>6140535.65178081</v>
      </c>
      <c r="BD94" s="32" t="n">
        <f aca="false">BD93*Contingency_Pct</f>
        <v>6530116.84516266</v>
      </c>
      <c r="BE94" s="32" t="n">
        <f aca="false">BE93*Contingency_Pct</f>
        <v>6272760.70310992</v>
      </c>
      <c r="BF94" s="32" t="n">
        <f aca="false">BF93*Contingency_Pct</f>
        <v>6407040.29979651</v>
      </c>
      <c r="BG94" s="32" t="n">
        <f aca="false">BG93*Contingency_Pct</f>
        <v>6460588.60791555</v>
      </c>
      <c r="BH94" s="32" t="n">
        <f aca="false">BH93*Contingency_Pct</f>
        <v>6734917.23819048</v>
      </c>
      <c r="BI94" s="32" t="n">
        <f aca="false">BI93*Contingency_Pct</f>
        <v>6730893.04645691</v>
      </c>
      <c r="BJ94" s="32" t="n">
        <f aca="false">BJ93*Contingency_Pct</f>
        <v>6849630.17032558</v>
      </c>
      <c r="BK94" s="32" t="n">
        <f aca="false">BK93*Contingency_Pct</f>
        <v>6901943.43322917</v>
      </c>
      <c r="BL94" s="32" t="n">
        <f aca="false">BL93*Contingency_Pct</f>
        <v>6982221.67760417</v>
      </c>
    </row>
    <row r="95" customFormat="false" ht="15" hidden="false" customHeight="false" outlineLevel="0" collapsed="false">
      <c r="A95" s="8" t="s">
        <v>1096</v>
      </c>
      <c r="B95" s="14" t="s">
        <v>77</v>
      </c>
      <c r="D95" s="55" t="n">
        <f aca="false">SUM(E95:BL95)</f>
        <v>5056994062.07612</v>
      </c>
      <c r="E95" s="16" t="n">
        <f aca="false">E93+E94</f>
        <v>32190939.27</v>
      </c>
      <c r="F95" s="16" t="n">
        <f aca="false">F93+F94</f>
        <v>40596168.9</v>
      </c>
      <c r="G95" s="16" t="n">
        <f aca="false">G93+G94</f>
        <v>55296168.9</v>
      </c>
      <c r="H95" s="16" t="n">
        <f aca="false">H93+H94</f>
        <v>37024098.3</v>
      </c>
      <c r="I95" s="16" t="n">
        <f aca="false">I93+I94</f>
        <v>36205847.055</v>
      </c>
      <c r="J95" s="16" t="n">
        <f aca="false">J93+J94</f>
        <v>35641071.165</v>
      </c>
      <c r="K95" s="16" t="n">
        <f aca="false">K93+K94</f>
        <v>35422009.3392375</v>
      </c>
      <c r="L95" s="16" t="n">
        <f aca="false">L93+L94</f>
        <v>35204172.4864088</v>
      </c>
      <c r="M95" s="16" t="n">
        <f aca="false">M93+M94</f>
        <v>34987445.1150188</v>
      </c>
      <c r="N95" s="16" t="n">
        <f aca="false">N93+N94</f>
        <v>34771707.6313099</v>
      </c>
      <c r="O95" s="16" t="n">
        <f aca="false">O93+O94</f>
        <v>34556836.0464096</v>
      </c>
      <c r="P95" s="16" t="n">
        <f aca="false">P93+P94</f>
        <v>34342701.6667347</v>
      </c>
      <c r="Q95" s="16" t="n">
        <f aca="false">Q93+Q94</f>
        <v>49137385.5266299</v>
      </c>
      <c r="R95" s="16" t="n">
        <f aca="false">R93+R94</f>
        <v>47947466.8321632</v>
      </c>
      <c r="S95" s="16" t="n">
        <f aca="false">S93+S94</f>
        <v>52904292.5961674</v>
      </c>
      <c r="T95" s="16" t="n">
        <f aca="false">T93+T94</f>
        <v>74402375.5422504</v>
      </c>
      <c r="U95" s="16" t="n">
        <f aca="false">U93+U94</f>
        <v>48540912.7990855</v>
      </c>
      <c r="V95" s="16" t="n">
        <f aca="false">V93+V94</f>
        <v>56279442.9946306</v>
      </c>
      <c r="W95" s="16" t="n">
        <f aca="false">W93+W94</f>
        <v>57830181.7357084</v>
      </c>
      <c r="X95" s="16" t="n">
        <f aca="false">X93+X94</f>
        <v>59087385.0055509</v>
      </c>
      <c r="Y95" s="16" t="n">
        <f aca="false">Y93+Y94</f>
        <v>59708749.593784</v>
      </c>
      <c r="Z95" s="16" t="n">
        <f aca="false">Z93+Z94</f>
        <v>59406998.620011</v>
      </c>
      <c r="AA95" s="16" t="n">
        <f aca="false">AA93+AA94</f>
        <v>59452182.6583117</v>
      </c>
      <c r="AB95" s="16" t="n">
        <f aca="false">AB93+AB94</f>
        <v>65918172.4989104</v>
      </c>
      <c r="AC95" s="16" t="n">
        <f aca="false">AC93+AC94</f>
        <v>76117465.859345</v>
      </c>
      <c r="AD95" s="16" t="n">
        <f aca="false">AD93+AD94</f>
        <v>77074834.2269057</v>
      </c>
      <c r="AE95" s="16" t="n">
        <f aca="false">AE93+AE94</f>
        <v>76787500.6092201</v>
      </c>
      <c r="AF95" s="16" t="n">
        <f aca="false">AF93+AF94</f>
        <v>87694373.3849733</v>
      </c>
      <c r="AG95" s="16" t="n">
        <f aca="false">AG93+AG94</f>
        <v>83463141.7718717</v>
      </c>
      <c r="AH95" s="16" t="n">
        <f aca="false">AH93+AH94</f>
        <v>83194876.584084</v>
      </c>
      <c r="AI95" s="16" t="n">
        <f aca="false">AI93+AI94</f>
        <v>83865959.656529</v>
      </c>
      <c r="AJ95" s="16" t="n">
        <f aca="false">AJ93+AJ94</f>
        <v>83597919.7135207</v>
      </c>
      <c r="AK95" s="16" t="n">
        <f aca="false">AK93+AK94</f>
        <v>84622281.449432</v>
      </c>
      <c r="AL95" s="16" t="n">
        <f aca="false">AL93+AL94</f>
        <v>87632774.9591979</v>
      </c>
      <c r="AM95" s="16" t="n">
        <f aca="false">AM93+AM94</f>
        <v>87427379.3966498</v>
      </c>
      <c r="AN95" s="16" t="n">
        <f aca="false">AN93+AN94</f>
        <v>88502552.7888488</v>
      </c>
      <c r="AO95" s="16" t="n">
        <f aca="false">AO93+AO94</f>
        <v>98025245.0197797</v>
      </c>
      <c r="AP95" s="16" t="n">
        <f aca="false">AP93+AP94</f>
        <v>97444776.3469665</v>
      </c>
      <c r="AQ95" s="16" t="n">
        <f aca="false">AQ93+AQ94</f>
        <v>100588129.741034</v>
      </c>
      <c r="AR95" s="16" t="n">
        <f aca="false">AR93+AR94</f>
        <v>111703582.985972</v>
      </c>
      <c r="AS95" s="16" t="n">
        <f aca="false">AS93+AS94</f>
        <v>103284794.82558</v>
      </c>
      <c r="AT95" s="16" t="n">
        <f aca="false">AT93+AT94</f>
        <v>104383759.040615</v>
      </c>
      <c r="AU95" s="16" t="n">
        <f aca="false">AU93+AU94</f>
        <v>107781614.525126</v>
      </c>
      <c r="AV95" s="16" t="n">
        <f aca="false">AV93+AV94</f>
        <v>106902088.262059</v>
      </c>
      <c r="AW95" s="16" t="n">
        <f aca="false">AW93+AW94</f>
        <v>111311509.044161</v>
      </c>
      <c r="AX95" s="16" t="n">
        <f aca="false">AX93+AX94</f>
        <v>110732619.969411</v>
      </c>
      <c r="AY95" s="16" t="n">
        <f aca="false">AY93+AY94</f>
        <v>111396069.124801</v>
      </c>
      <c r="AZ95" s="16" t="n">
        <f aca="false">AZ93+AZ94</f>
        <v>113735063.305339</v>
      </c>
      <c r="BA95" s="16" t="n">
        <f aca="false">BA93+BA94</f>
        <v>127149591.157859</v>
      </c>
      <c r="BB95" s="16" t="n">
        <f aca="false">BB93+BB94</f>
        <v>129495844.903505</v>
      </c>
      <c r="BC95" s="16" t="n">
        <f aca="false">BC93+BC94</f>
        <v>128951248.687397</v>
      </c>
      <c r="BD95" s="16" t="n">
        <f aca="false">BD93+BD94</f>
        <v>137132453.748416</v>
      </c>
      <c r="BE95" s="16" t="n">
        <f aca="false">BE93+BE94</f>
        <v>131727974.765308</v>
      </c>
      <c r="BF95" s="16" t="n">
        <f aca="false">BF93+BF94</f>
        <v>134547846.295727</v>
      </c>
      <c r="BG95" s="16" t="n">
        <f aca="false">BG93+BG94</f>
        <v>135672360.766227</v>
      </c>
      <c r="BH95" s="16" t="n">
        <f aca="false">BH93+BH94</f>
        <v>141433262.002</v>
      </c>
      <c r="BI95" s="16" t="n">
        <f aca="false">BI93+BI94</f>
        <v>141348753.975595</v>
      </c>
      <c r="BJ95" s="16" t="n">
        <f aca="false">BJ93+BJ94</f>
        <v>143842233.576837</v>
      </c>
      <c r="BK95" s="16" t="n">
        <f aca="false">BK93+BK94</f>
        <v>144940812.097813</v>
      </c>
      <c r="BL95" s="16" t="n">
        <f aca="false">BL93+BL94</f>
        <v>146626655.229688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1097</v>
      </c>
    </row>
    <row r="2" customFormat="false" ht="15" hidden="false" customHeight="false" outlineLevel="0" collapsed="false">
      <c r="A2" s="2" t="s">
        <v>1098</v>
      </c>
    </row>
    <row r="3" customFormat="false" ht="15" hidden="false" customHeight="false" outlineLevel="0" collapsed="false">
      <c r="A3" s="8" t="s">
        <v>917</v>
      </c>
      <c r="D3" s="8" t="s">
        <v>918</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919</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87</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1059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488</v>
      </c>
      <c r="B9" s="14" t="s">
        <v>79</v>
      </c>
      <c r="D9" s="55" t="n">
        <f aca="false">Costs!D9/FX_EUR</f>
        <v>729612.708635361</v>
      </c>
      <c r="E9" s="32" t="n">
        <f aca="false">Costs!E9/FX_EUR</f>
        <v>0</v>
      </c>
      <c r="F9" s="32" t="n">
        <f aca="false">Costs!F9/FX_EUR</f>
        <v>0</v>
      </c>
      <c r="G9" s="32" t="n">
        <f aca="false">Costs!G9/FX_EUR</f>
        <v>0</v>
      </c>
      <c r="H9" s="32" t="n">
        <f aca="false">Costs!H9/FX_EUR</f>
        <v>0</v>
      </c>
      <c r="I9" s="32" t="n">
        <f aca="false">Costs!I9/FX_EUR</f>
        <v>188.528617983597</v>
      </c>
      <c r="J9" s="32" t="n">
        <f aca="false">Costs!J9/FX_EUR</f>
        <v>375.775901977315</v>
      </c>
      <c r="K9" s="32" t="n">
        <f aca="false">Costs!K9/FX_EUR</f>
        <v>561.876574988909</v>
      </c>
      <c r="L9" s="32" t="n">
        <f aca="false">Costs!L9/FX_EUR</f>
        <v>746.969646468506</v>
      </c>
      <c r="M9" s="32" t="n">
        <f aca="false">Costs!M9/FX_EUR</f>
        <v>931.198740505626</v>
      </c>
      <c r="N9" s="32" t="n">
        <f aca="false">Costs!N9/FX_EUR</f>
        <v>1114.71244235561</v>
      </c>
      <c r="O9" s="32" t="n">
        <f aca="false">Costs!O9/FX_EUR</f>
        <v>1297.66466442172</v>
      </c>
      <c r="P9" s="32" t="n">
        <f aca="false">Costs!P9/FX_EUR</f>
        <v>1480.21503288637</v>
      </c>
      <c r="Q9" s="32" t="n">
        <f aca="false">Costs!Q9/FX_EUR</f>
        <v>1729.09870044952</v>
      </c>
      <c r="R9" s="32" t="n">
        <f aca="false">Costs!R9/FX_EUR</f>
        <v>1976.82017037655</v>
      </c>
      <c r="S9" s="32" t="n">
        <f aca="false">Costs!S9/FX_EUR</f>
        <v>2223.57822743968</v>
      </c>
      <c r="T9" s="32" t="n">
        <f aca="false">Costs!T9/FX_EUR</f>
        <v>2469.57878830602</v>
      </c>
      <c r="U9" s="32" t="n">
        <f aca="false">Costs!U9/FX_EUR</f>
        <v>2715.0354188574</v>
      </c>
      <c r="V9" s="32" t="n">
        <f aca="false">Costs!V9/FX_EUR</f>
        <v>2960.16988083723</v>
      </c>
      <c r="W9" s="32" t="n">
        <f aca="false">Costs!W9/FX_EUR</f>
        <v>3349.53111260227</v>
      </c>
      <c r="X9" s="32" t="n">
        <f aca="false">Costs!X9/FX_EUR</f>
        <v>3738.03141846109</v>
      </c>
      <c r="Y9" s="32" t="n">
        <f aca="false">Costs!Y9/FX_EUR</f>
        <v>4156.51244880726</v>
      </c>
      <c r="Z9" s="32" t="n">
        <f aca="false">Costs!Z9/FX_EUR</f>
        <v>4574.34707757573</v>
      </c>
      <c r="AA9" s="32" t="n">
        <f aca="false">Costs!AA9/FX_EUR</f>
        <v>4991.92486323112</v>
      </c>
      <c r="AB9" s="32" t="n">
        <f aca="false">Costs!AB9/FX_EUR</f>
        <v>5409.65110422225</v>
      </c>
      <c r="AC9" s="32" t="n">
        <f aca="false">Costs!AC9/FX_EUR</f>
        <v>5961.59489729721</v>
      </c>
      <c r="AD9" s="32" t="n">
        <f aca="false">Costs!AD9/FX_EUR</f>
        <v>6512.34419614427</v>
      </c>
      <c r="AE9" s="32" t="n">
        <f aca="false">Costs!AE9/FX_EUR</f>
        <v>7092.88718726512</v>
      </c>
      <c r="AF9" s="32" t="n">
        <f aca="false">Costs!AF9/FX_EUR</f>
        <v>7672.74911945704</v>
      </c>
      <c r="AG9" s="32" t="n">
        <f aca="false">Costs!AG9/FX_EUR</f>
        <v>8252.4781699447</v>
      </c>
      <c r="AH9" s="32" t="n">
        <f aca="false">Costs!AH9/FX_EUR</f>
        <v>8832.64492824016</v>
      </c>
      <c r="AI9" s="32" t="n">
        <f aca="false">Costs!AI9/FX_EUR</f>
        <v>9444.33373921053</v>
      </c>
      <c r="AJ9" s="32" t="n">
        <f aca="false">Costs!AJ9/FX_EUR</f>
        <v>10057.1718392501</v>
      </c>
      <c r="AK9" s="32" t="n">
        <f aca="false">Costs!AK9/FX_EUR</f>
        <v>10671.8155707183</v>
      </c>
      <c r="AL9" s="32" t="n">
        <f aca="false">Costs!AL9/FX_EUR</f>
        <v>11288.9502350352</v>
      </c>
      <c r="AM9" s="32" t="n">
        <f aca="false">Costs!AM9/FX_EUR</f>
        <v>11939.7818271713</v>
      </c>
      <c r="AN9" s="32" t="n">
        <f aca="false">Costs!AN9/FX_EUR</f>
        <v>12594.066586756</v>
      </c>
      <c r="AO9" s="32" t="n">
        <f aca="false">Costs!AO9/FX_EUR</f>
        <v>13346.6078796753</v>
      </c>
      <c r="AP9" s="32" t="n">
        <f aca="false">Costs!AP9/FX_EUR</f>
        <v>14133.1644702593</v>
      </c>
      <c r="AQ9" s="32" t="n">
        <f aca="false">Costs!AQ9/FX_EUR</f>
        <v>14923.640971896</v>
      </c>
      <c r="AR9" s="32" t="n">
        <f aca="false">Costs!AR9/FX_EUR</f>
        <v>15718.9855020002</v>
      </c>
      <c r="AS9" s="32" t="n">
        <f aca="false">Costs!AS9/FX_EUR</f>
        <v>16550.6802438484</v>
      </c>
      <c r="AT9" s="32" t="n">
        <f aca="false">Costs!AT9/FX_EUR</f>
        <v>17388.7718443414</v>
      </c>
      <c r="AU9" s="32" t="n">
        <f aca="false">Costs!AU9/FX_EUR</f>
        <v>18234.3589649141</v>
      </c>
      <c r="AV9" s="32" t="n">
        <f aca="false">Costs!AV9/FX_EUR</f>
        <v>19146.5241770432</v>
      </c>
      <c r="AW9" s="32" t="n">
        <f aca="false">Costs!AW9/FX_EUR</f>
        <v>20058.8781745857</v>
      </c>
      <c r="AX9" s="32" t="n">
        <f aca="false">Costs!AX9/FX_EUR</f>
        <v>20993.2353643558</v>
      </c>
      <c r="AY9" s="32" t="n">
        <f aca="false">Costs!AY9/FX_EUR</f>
        <v>21919.1316220558</v>
      </c>
      <c r="AZ9" s="32" t="n">
        <f aca="false">Costs!AZ9/FX_EUR</f>
        <v>22837.1180161916</v>
      </c>
      <c r="BA9" s="32" t="n">
        <f aca="false">Costs!BA9/FX_EUR</f>
        <v>23872.7681761069</v>
      </c>
      <c r="BB9" s="32" t="n">
        <f aca="false">Costs!BB9/FX_EUR</f>
        <v>24899.5922825087</v>
      </c>
      <c r="BC9" s="32" t="n">
        <f aca="false">Costs!BC9/FX_EUR</f>
        <v>25948.7145626438</v>
      </c>
      <c r="BD9" s="32" t="n">
        <f aca="false">Costs!BD9/FX_EUR</f>
        <v>26989.7940693982</v>
      </c>
      <c r="BE9" s="32" t="n">
        <f aca="false">Costs!BE9/FX_EUR</f>
        <v>28050.9514277673</v>
      </c>
      <c r="BF9" s="32" t="n">
        <f aca="false">Costs!BF9/FX_EUR</f>
        <v>29135.4829363074</v>
      </c>
      <c r="BG9" s="32" t="n">
        <f aca="false">Costs!BG9/FX_EUR</f>
        <v>30213.1257144571</v>
      </c>
      <c r="BH9" s="32" t="n">
        <f aca="false">Costs!BH9/FX_EUR</f>
        <v>31315.1319111091</v>
      </c>
      <c r="BI9" s="32" t="n">
        <f aca="false">Costs!BI9/FX_EUR</f>
        <v>32438.7368485818</v>
      </c>
      <c r="BJ9" s="32" t="n">
        <f aca="false">Costs!BJ9/FX_EUR</f>
        <v>33587.3599601495</v>
      </c>
      <c r="BK9" s="32" t="n">
        <f aca="false">Costs!BK9/FX_EUR</f>
        <v>34724.3347497271</v>
      </c>
      <c r="BL9" s="32" t="n">
        <f aca="false">Costs!BL9/FX_EUR</f>
        <v>35873.5796361939</v>
      </c>
    </row>
    <row r="10" customFormat="false" ht="15" hidden="false" customHeight="false" outlineLevel="0" collapsed="false">
      <c r="A10" s="12" t="s">
        <v>1060</v>
      </c>
      <c r="B10" s="14" t="s">
        <v>79</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1061</v>
      </c>
      <c r="B11" s="14" t="s">
        <v>79</v>
      </c>
      <c r="D11" s="55" t="n">
        <f aca="false">Costs!D11/FX_EUR</f>
        <v>1374586.85782851</v>
      </c>
      <c r="E11" s="32" t="n">
        <f aca="false">Costs!E11/FX_EUR</f>
        <v>0</v>
      </c>
      <c r="F11" s="32" t="n">
        <f aca="false">Costs!F11/FX_EUR</f>
        <v>0</v>
      </c>
      <c r="G11" s="32" t="n">
        <f aca="false">Costs!G11/FX_EUR</f>
        <v>0</v>
      </c>
      <c r="H11" s="32" t="n">
        <f aca="false">Costs!H11/FX_EUR</f>
        <v>0</v>
      </c>
      <c r="I11" s="32" t="n">
        <f aca="false">Costs!I11/FX_EUR</f>
        <v>339.351512370475</v>
      </c>
      <c r="J11" s="32" t="n">
        <f aca="false">Costs!J11/FX_EUR</f>
        <v>677.640912437858</v>
      </c>
      <c r="K11" s="32" t="n">
        <f aca="false">Costs!K11/FX_EUR</f>
        <v>1015.08728506594</v>
      </c>
      <c r="L11" s="32" t="n">
        <f aca="false">Costs!L11/FX_EUR</f>
        <v>1351.91861602304</v>
      </c>
      <c r="M11" s="32" t="n">
        <f aca="false">Costs!M11/FX_EUR</f>
        <v>1688.37239633402</v>
      </c>
      <c r="N11" s="32" t="n">
        <f aca="false">Costs!N11/FX_EUR</f>
        <v>2024.69626164687</v>
      </c>
      <c r="O11" s="32" t="n">
        <f aca="false">Costs!O11/FX_EUR</f>
        <v>2361.1486687377</v>
      </c>
      <c r="P11" s="32" t="n">
        <f aca="false">Costs!P11/FX_EUR</f>
        <v>2697.99961140531</v>
      </c>
      <c r="Q11" s="32" t="n">
        <f aca="false">Costs!Q11/FX_EUR</f>
        <v>3155.35630568931</v>
      </c>
      <c r="R11" s="32" t="n">
        <f aca="false">Costs!R11/FX_EUR</f>
        <v>3612.15145596052</v>
      </c>
      <c r="S11" s="32" t="n">
        <f aca="false">Costs!S11/FX_EUR</f>
        <v>4068.7169100974</v>
      </c>
      <c r="T11" s="32" t="n">
        <f aca="false">Costs!T11/FX_EUR</f>
        <v>4525.39899428854</v>
      </c>
      <c r="U11" s="32" t="n">
        <f aca="false">Costs!U11/FX_EUR</f>
        <v>4982.55947105362</v>
      </c>
      <c r="V11" s="32" t="n">
        <f aca="false">Costs!V11/FX_EUR</f>
        <v>5440.57655316974</v>
      </c>
      <c r="W11" s="32" t="n">
        <f aca="false">Costs!W11/FX_EUR</f>
        <v>6159.619102259</v>
      </c>
      <c r="X11" s="32" t="n">
        <f aca="false">Costs!X11/FX_EUR</f>
        <v>6879.46430773085</v>
      </c>
      <c r="Y11" s="32" t="n">
        <f aca="false">Costs!Y11/FX_EUR</f>
        <v>7655.59337592328</v>
      </c>
      <c r="Z11" s="32" t="n">
        <f aca="false">Costs!Z11/FX_EUR</f>
        <v>8433.04770170821</v>
      </c>
      <c r="AA11" s="32" t="n">
        <f aca="false">Costs!AA11/FX_EUR</f>
        <v>9212.49455118871</v>
      </c>
      <c r="AB11" s="32" t="n">
        <f aca="false">Costs!AB11/FX_EUR</f>
        <v>9994.63252792145</v>
      </c>
      <c r="AC11" s="32" t="n">
        <f aca="false">Costs!AC11/FX_EUR</f>
        <v>11020.7581449328</v>
      </c>
      <c r="AD11" s="32" t="n">
        <f aca="false">Costs!AD11/FX_EUR</f>
        <v>12047.9870737435</v>
      </c>
      <c r="AE11" s="32" t="n">
        <f aca="false">Costs!AE11/FX_EUR</f>
        <v>13132.0514020716</v>
      </c>
      <c r="AF11" s="32" t="n">
        <f aca="false">Costs!AF11/FX_EUR</f>
        <v>14218.2550468012</v>
      </c>
      <c r="AG11" s="32" t="n">
        <f aca="false">Costs!AG11/FX_EUR</f>
        <v>15307.5401906243</v>
      </c>
      <c r="AH11" s="32" t="n">
        <f aca="false">Costs!AH11/FX_EUR</f>
        <v>16400.893546474</v>
      </c>
      <c r="AI11" s="32" t="n">
        <f aca="false">Costs!AI11/FX_EUR</f>
        <v>17554.2308716932</v>
      </c>
      <c r="AJ11" s="32" t="n">
        <f aca="false">Costs!AJ11/FX_EUR</f>
        <v>18713.0507515538</v>
      </c>
      <c r="AK11" s="32" t="n">
        <f aca="false">Costs!AK11/FX_EUR</f>
        <v>19878.5016953764</v>
      </c>
      <c r="AL11" s="32" t="n">
        <f aca="false">Costs!AL11/FX_EUR</f>
        <v>21051.7891000257</v>
      </c>
      <c r="AM11" s="32" t="n">
        <f aca="false">Costs!AM11/FX_EUR</f>
        <v>22289.0605051042</v>
      </c>
      <c r="AN11" s="32" t="n">
        <f aca="false">Costs!AN11/FX_EUR</f>
        <v>23536.0601619737</v>
      </c>
      <c r="AO11" s="32" t="n">
        <f aca="false">Costs!AO11/FX_EUR</f>
        <v>24963.4153716575</v>
      </c>
      <c r="AP11" s="32" t="n">
        <f aca="false">Costs!AP11/FX_EUR</f>
        <v>26456.0991135144</v>
      </c>
      <c r="AQ11" s="32" t="n">
        <f aca="false">Costs!AQ11/FX_EUR</f>
        <v>27960.1156356088</v>
      </c>
      <c r="AR11" s="32" t="n">
        <f aca="false">Costs!AR11/FX_EUR</f>
        <v>29477.1467879271</v>
      </c>
      <c r="AS11" s="32" t="n">
        <f aca="false">Costs!AS11/FX_EUR</f>
        <v>31063.8423354426</v>
      </c>
      <c r="AT11" s="32" t="n">
        <f aca="false">Costs!AT11/FX_EUR</f>
        <v>32666.4761188537</v>
      </c>
      <c r="AU11" s="32" t="n">
        <f aca="false">Costs!AU11/FX_EUR</f>
        <v>34287.0156697812</v>
      </c>
      <c r="AV11" s="32" t="n">
        <f aca="false">Costs!AV11/FX_EUR</f>
        <v>36031.8069715182</v>
      </c>
      <c r="AW11" s="32" t="n">
        <f aca="false">Costs!AW11/FX_EUR</f>
        <v>37781.7366453197</v>
      </c>
      <c r="AX11" s="32" t="n">
        <f aca="false">Costs!AX11/FX_EUR</f>
        <v>39576.015209472</v>
      </c>
      <c r="AY11" s="32" t="n">
        <f aca="false">Costs!AY11/FX_EUR</f>
        <v>41359.8965120555</v>
      </c>
      <c r="AZ11" s="32" t="n">
        <f aca="false">Costs!AZ11/FX_EUR</f>
        <v>43134.2596550096</v>
      </c>
      <c r="BA11" s="32" t="n">
        <f aca="false">Costs!BA11/FX_EUR</f>
        <v>45125.0293871275</v>
      </c>
      <c r="BB11" s="32" t="n">
        <f aca="false">Costs!BB11/FX_EUR</f>
        <v>47105.2463735136</v>
      </c>
      <c r="BC11" s="32" t="n">
        <f aca="false">Costs!BC11/FX_EUR</f>
        <v>49130.8130860398</v>
      </c>
      <c r="BD11" s="32" t="n">
        <f aca="false">Costs!BD11/FX_EUR</f>
        <v>51147.201607342</v>
      </c>
      <c r="BE11" s="32" t="n">
        <f aca="false">Costs!BE11/FX_EUR</f>
        <v>53204.9136145407</v>
      </c>
      <c r="BF11" s="32" t="n">
        <f aca="false">Costs!BF11/FX_EUR</f>
        <v>55309.9540281024</v>
      </c>
      <c r="BG11" s="32" t="n">
        <f aca="false">Costs!BG11/FX_EUR</f>
        <v>57407.942185949</v>
      </c>
      <c r="BH11" s="32" t="n">
        <f aca="false">Costs!BH11/FX_EUR</f>
        <v>59555.0236768755</v>
      </c>
      <c r="BI11" s="32" t="n">
        <f aca="false">Costs!BI11/FX_EUR</f>
        <v>61746.3214136494</v>
      </c>
      <c r="BJ11" s="32" t="n">
        <f aca="false">Costs!BJ11/FX_EUR</f>
        <v>63988.0703116522</v>
      </c>
      <c r="BK11" s="32" t="n">
        <f aca="false">Costs!BK11/FX_EUR</f>
        <v>66214.3722653122</v>
      </c>
      <c r="BL11" s="32" t="n">
        <f aca="false">Costs!BL11/FX_EUR</f>
        <v>68468.1388408631</v>
      </c>
    </row>
    <row r="12" customFormat="false" ht="15" hidden="false" customHeight="false" outlineLevel="0" collapsed="false">
      <c r="A12" s="12" t="s">
        <v>814</v>
      </c>
      <c r="B12" s="14" t="s">
        <v>79</v>
      </c>
      <c r="D12" s="55" t="n">
        <f aca="false">Costs!D12/FX_EUR</f>
        <v>195186.039356481</v>
      </c>
      <c r="E12" s="32" t="n">
        <f aca="false">Costs!E12/FX_EUR</f>
        <v>0</v>
      </c>
      <c r="F12" s="32" t="n">
        <f aca="false">Costs!F12/FX_EUR</f>
        <v>0</v>
      </c>
      <c r="G12" s="32" t="n">
        <f aca="false">Costs!G12/FX_EUR</f>
        <v>0</v>
      </c>
      <c r="H12" s="32" t="n">
        <f aca="false">Costs!H12/FX_EUR</f>
        <v>0</v>
      </c>
      <c r="I12" s="32" t="n">
        <f aca="false">Costs!I12/FX_EUR</f>
        <v>780.508478452094</v>
      </c>
      <c r="J12" s="32" t="n">
        <f aca="false">Costs!J12/FX_EUR</f>
        <v>788.082145628448</v>
      </c>
      <c r="K12" s="32" t="n">
        <f aca="false">Costs!K12/FX_EUR</f>
        <v>796.110232835384</v>
      </c>
      <c r="L12" s="32" t="n">
        <f aca="false">Costs!L12/FX_EUR</f>
        <v>804.620005274736</v>
      </c>
      <c r="M12" s="32" t="n">
        <f aca="false">Costs!M12/FX_EUR</f>
        <v>813.640364060449</v>
      </c>
      <c r="N12" s="32" t="n">
        <f aca="false">Costs!N12/FX_EUR</f>
        <v>823.201944373305</v>
      </c>
      <c r="O12" s="32" t="n">
        <f aca="false">Costs!O12/FX_EUR</f>
        <v>833.337219504932</v>
      </c>
      <c r="P12" s="32" t="n">
        <f aca="false">Costs!P12/FX_EUR</f>
        <v>844.080611144457</v>
      </c>
      <c r="Q12" s="32" t="n">
        <f aca="false">Costs!Q12/FX_EUR</f>
        <v>1131.06593964414</v>
      </c>
      <c r="R12" s="32" t="n">
        <f aca="false">Costs!R12/FX_EUR</f>
        <v>1143.13721449031</v>
      </c>
      <c r="S12" s="32" t="n">
        <f aca="false">Costs!S12/FX_EUR</f>
        <v>1155.93276582725</v>
      </c>
      <c r="T12" s="32" t="n">
        <f aca="false">Costs!T12/FX_EUR</f>
        <v>1169.49605024441</v>
      </c>
      <c r="U12" s="32" t="n">
        <f aca="false">Costs!U12/FX_EUR</f>
        <v>1183.8731317266</v>
      </c>
      <c r="V12" s="32" t="n">
        <f aca="false">Costs!V12/FX_EUR</f>
        <v>1199.11283809771</v>
      </c>
      <c r="W12" s="32" t="n">
        <f aca="false">Costs!W12/FX_EUR</f>
        <v>1812.74511520796</v>
      </c>
      <c r="X12" s="32" t="n">
        <f aca="false">Costs!X12/FX_EUR</f>
        <v>1835.54869966881</v>
      </c>
      <c r="Y12" s="32" t="n">
        <f aca="false">Costs!Y12/FX_EUR</f>
        <v>1985.94828546989</v>
      </c>
      <c r="Z12" s="32" t="n">
        <f aca="false">Costs!Z12/FX_EUR</f>
        <v>2011.57039297011</v>
      </c>
      <c r="AA12" s="32" t="n">
        <f aca="false">Costs!AA12/FX_EUR</f>
        <v>2038.72982692033</v>
      </c>
      <c r="AB12" s="32" t="n">
        <f aca="false">Costs!AB12/FX_EUR</f>
        <v>2067.51882690758</v>
      </c>
      <c r="AC12" s="32" t="n">
        <f aca="false">Costs!AC12/FX_EUR</f>
        <v>2651.33363005551</v>
      </c>
      <c r="AD12" s="32" t="n">
        <f aca="false">Costs!AD12/FX_EUR</f>
        <v>2683.68095044117</v>
      </c>
      <c r="AE12" s="32" t="n">
        <f aca="false">Costs!AE12/FX_EUR</f>
        <v>2844.19689632255</v>
      </c>
      <c r="AF12" s="32" t="n">
        <f aca="false">Costs!AF12/FX_EUR</f>
        <v>2880.54234550789</v>
      </c>
      <c r="AG12" s="32" t="n">
        <f aca="false">Costs!AG12/FX_EUR</f>
        <v>2919.06852164434</v>
      </c>
      <c r="AH12" s="32" t="n">
        <f aca="false">Costs!AH12/FX_EUR</f>
        <v>2959.90626834898</v>
      </c>
      <c r="AI12" s="32" t="n">
        <f aca="false">Costs!AI12/FX_EUR</f>
        <v>3129.42206612847</v>
      </c>
      <c r="AJ12" s="32" t="n">
        <f aca="false">Costs!AJ12/FX_EUR</f>
        <v>3175.30735832581</v>
      </c>
      <c r="AK12" s="32" t="n">
        <f aca="false">Costs!AK12/FX_EUR</f>
        <v>3223.94576805498</v>
      </c>
      <c r="AL12" s="32" t="n">
        <f aca="false">Costs!AL12/FX_EUR</f>
        <v>3275.5024823679</v>
      </c>
      <c r="AM12" s="32" t="n">
        <f aca="false">Costs!AM12/FX_EUR</f>
        <v>3456.38038581218</v>
      </c>
      <c r="AN12" s="32" t="n">
        <f aca="false">Costs!AN12/FX_EUR</f>
        <v>3514.30951001418</v>
      </c>
      <c r="AO12" s="32" t="n">
        <f aca="false">Costs!AO12/FX_EUR</f>
        <v>3964.91672267541</v>
      </c>
      <c r="AP12" s="32" t="n">
        <f aca="false">Costs!AP12/FX_EUR</f>
        <v>4156.23367290135</v>
      </c>
      <c r="AQ12" s="32" t="n">
        <f aca="false">Costs!AQ12/FX_EUR</f>
        <v>4225.22818669192</v>
      </c>
      <c r="AR12" s="32" t="n">
        <f aca="false">Costs!AR12/FX_EUR</f>
        <v>4298.36237130993</v>
      </c>
      <c r="AS12" s="32" t="n">
        <f aca="false">Costs!AS12/FX_EUR</f>
        <v>4502.11239327759</v>
      </c>
      <c r="AT12" s="32" t="n">
        <f aca="false">Costs!AT12/FX_EUR</f>
        <v>4584.28596311438</v>
      </c>
      <c r="AU12" s="32" t="n">
        <f aca="false">Costs!AU12/FX_EUR</f>
        <v>4671.38994714138</v>
      </c>
      <c r="AV12" s="32" t="n">
        <f aca="false">Costs!AV12/FX_EUR</f>
        <v>5003.55296412789</v>
      </c>
      <c r="AW12" s="32" t="n">
        <f aca="false">Costs!AW12/FX_EUR</f>
        <v>5065.35745787885</v>
      </c>
      <c r="AX12" s="32" t="n">
        <f aca="false">Costs!AX12/FX_EUR</f>
        <v>5217.42687846567</v>
      </c>
      <c r="AY12" s="32" t="n">
        <f aca="false">Costs!AY12/FX_EUR</f>
        <v>5244.81901083877</v>
      </c>
      <c r="AZ12" s="32" t="n">
        <f aca="false">Costs!AZ12/FX_EUR</f>
        <v>5273.85467115426</v>
      </c>
      <c r="BA12" s="32" t="n">
        <f aca="false">Costs!BA12/FX_EUR</f>
        <v>5822.16639480624</v>
      </c>
      <c r="BB12" s="32" t="n">
        <f aca="false">Costs!BB12/FX_EUR</f>
        <v>5854.79086273672</v>
      </c>
      <c r="BC12" s="32" t="n">
        <f aca="false">Costs!BC12/FX_EUR</f>
        <v>6015.6005850156</v>
      </c>
      <c r="BD12" s="32" t="n">
        <f aca="false">Costs!BD12/FX_EUR</f>
        <v>6052.25743718229</v>
      </c>
      <c r="BE12" s="32" t="n">
        <f aca="false">Costs!BE12/FX_EUR</f>
        <v>6204.7187081243</v>
      </c>
      <c r="BF12" s="32" t="n">
        <f aca="false">Costs!BF12/FX_EUR</f>
        <v>6372.13413349137</v>
      </c>
      <c r="BG12" s="32" t="n">
        <f aca="false">Costs!BG12/FX_EUR</f>
        <v>6415.79303093153</v>
      </c>
      <c r="BH12" s="32" t="n">
        <f aca="false">Costs!BH12/FX_EUR</f>
        <v>6588.29924849068</v>
      </c>
      <c r="BI12" s="32" t="n">
        <f aca="false">Costs!BI12/FX_EUR</f>
        <v>6750.95939329976</v>
      </c>
      <c r="BJ12" s="32" t="n">
        <f aca="false">Costs!BJ12/FX_EUR</f>
        <v>6929.18562496593</v>
      </c>
      <c r="BK12" s="32" t="n">
        <f aca="false">Costs!BK12/FX_EUR</f>
        <v>6957.2548200568</v>
      </c>
      <c r="BL12" s="32" t="n">
        <f aca="false">Costs!BL12/FX_EUR</f>
        <v>7083.48260632938</v>
      </c>
    </row>
    <row r="13" customFormat="false" ht="15" hidden="false" customHeight="false" outlineLevel="0" collapsed="false">
      <c r="A13" s="12" t="s">
        <v>501</v>
      </c>
      <c r="B13" s="14" t="s">
        <v>79</v>
      </c>
      <c r="D13" s="55" t="n">
        <f aca="false">Costs!D13/FX_EUR</f>
        <v>3293667.3419103</v>
      </c>
      <c r="E13" s="32" t="n">
        <f aca="false">Costs!E13/FX_EUR</f>
        <v>0</v>
      </c>
      <c r="F13" s="32" t="n">
        <f aca="false">Costs!F13/FX_EUR</f>
        <v>0</v>
      </c>
      <c r="G13" s="32" t="n">
        <f aca="false">Costs!G13/FX_EUR</f>
        <v>0</v>
      </c>
      <c r="H13" s="32" t="n">
        <f aca="false">Costs!H13/FX_EUR</f>
        <v>0</v>
      </c>
      <c r="I13" s="32" t="n">
        <f aca="false">Costs!I13/FX_EUR</f>
        <v>805.394256025929</v>
      </c>
      <c r="J13" s="32" t="n">
        <f aca="false">Costs!J13/FX_EUR</f>
        <v>1608.89820521772</v>
      </c>
      <c r="K13" s="32" t="n">
        <f aca="false">Costs!K13/FX_EUR</f>
        <v>2411.0204536273</v>
      </c>
      <c r="L13" s="32" t="n">
        <f aca="false">Costs!L13/FX_EUR</f>
        <v>3212.29131725441</v>
      </c>
      <c r="M13" s="32" t="n">
        <f aca="false">Costs!M13/FX_EUR</f>
        <v>4013.26426392673</v>
      </c>
      <c r="N13" s="32" t="n">
        <f aca="false">Costs!N13/FX_EUR</f>
        <v>4814.51743930326</v>
      </c>
      <c r="O13" s="32" t="n">
        <f aca="false">Costs!O13/FX_EUR</f>
        <v>5616.65528209187</v>
      </c>
      <c r="P13" s="32" t="n">
        <f aca="false">Costs!P13/FX_EUR</f>
        <v>6420.31023387616</v>
      </c>
      <c r="Q13" s="32" t="n">
        <f aca="false">Costs!Q13/FX_EUR</f>
        <v>7510.52904398546</v>
      </c>
      <c r="R13" s="32" t="n">
        <f aca="false">Costs!R13/FX_EUR</f>
        <v>8600.19420896377</v>
      </c>
      <c r="S13" s="32" t="n">
        <f aca="false">Costs!S13/FX_EUR</f>
        <v>9690.08074286006</v>
      </c>
      <c r="T13" s="32" t="n">
        <f aca="false">Costs!T13/FX_EUR</f>
        <v>10780.9988356451</v>
      </c>
      <c r="U13" s="32" t="n">
        <f aca="false">Costs!U13/FX_EUR</f>
        <v>11873.7961413863</v>
      </c>
      <c r="V13" s="32" t="n">
        <f aca="false">Costs!V13/FX_EUR</f>
        <v>12969.3602006846</v>
      </c>
      <c r="W13" s="32" t="n">
        <f aca="false">Costs!W13/FX_EUR</f>
        <v>14685.1492230348</v>
      </c>
      <c r="X13" s="32" t="n">
        <f aca="false">Costs!X13/FX_EUR</f>
        <v>16404.0419983792</v>
      </c>
      <c r="Y13" s="32" t="n">
        <f aca="false">Costs!Y13/FX_EUR</f>
        <v>18257.6976984949</v>
      </c>
      <c r="Z13" s="32" t="n">
        <f aca="false">Costs!Z13/FX_EUR</f>
        <v>20115.7683383233</v>
      </c>
      <c r="AA13" s="32" t="n">
        <f aca="false">Costs!AA13/FX_EUR</f>
        <v>21979.8212854408</v>
      </c>
      <c r="AB13" s="32" t="n">
        <f aca="false">Costs!AB13/FX_EUR</f>
        <v>23851.4997799982</v>
      </c>
      <c r="AC13" s="32" t="n">
        <f aca="false">Costs!AC13/FX_EUR</f>
        <v>26303.4676344537</v>
      </c>
      <c r="AD13" s="32" t="n">
        <f aca="false">Costs!AD13/FX_EUR</f>
        <v>28759.7146188033</v>
      </c>
      <c r="AE13" s="32" t="n">
        <f aca="false">Costs!AE13/FX_EUR</f>
        <v>31352.4891103487</v>
      </c>
      <c r="AF13" s="32" t="n">
        <f aca="false">Costs!AF13/FX_EUR</f>
        <v>33952.0605208255</v>
      </c>
      <c r="AG13" s="32" t="n">
        <f aca="false">Costs!AG13/FX_EUR</f>
        <v>36560.6436083088</v>
      </c>
      <c r="AH13" s="32" t="n">
        <f aca="false">Costs!AH13/FX_EUR</f>
        <v>39180.5609058593</v>
      </c>
      <c r="AI13" s="32" t="n">
        <f aca="false">Costs!AI13/FX_EUR</f>
        <v>41944.5020195342</v>
      </c>
      <c r="AJ13" s="32" t="n">
        <f aca="false">Costs!AJ13/FX_EUR</f>
        <v>44723.2039548315</v>
      </c>
      <c r="AK13" s="32" t="n">
        <f aca="false">Costs!AK13/FX_EUR</f>
        <v>47519.3770103854</v>
      </c>
      <c r="AL13" s="32" t="n">
        <f aca="false">Costs!AL13/FX_EUR</f>
        <v>50335.868883334</v>
      </c>
      <c r="AM13" s="32" t="n">
        <f aca="false">Costs!AM13/FX_EUR</f>
        <v>53305.9257446804</v>
      </c>
      <c r="AN13" s="32" t="n">
        <f aca="false">Costs!AN13/FX_EUR</f>
        <v>56300.8744497489</v>
      </c>
      <c r="AO13" s="32" t="n">
        <f aca="false">Costs!AO13/FX_EUR</f>
        <v>59725.6621199677</v>
      </c>
      <c r="AP13" s="32" t="n">
        <f aca="false">Costs!AP13/FX_EUR</f>
        <v>63307.6000859548</v>
      </c>
      <c r="AQ13" s="32" t="n">
        <f aca="false">Costs!AQ13/FX_EUR</f>
        <v>66918.6289531411</v>
      </c>
      <c r="AR13" s="32" t="n">
        <f aca="false">Costs!AR13/FX_EUR</f>
        <v>70562.7292009769</v>
      </c>
      <c r="AS13" s="32" t="n">
        <f aca="false">Costs!AS13/FX_EUR</f>
        <v>74374.3418094149</v>
      </c>
      <c r="AT13" s="32" t="n">
        <f aca="false">Costs!AT13/FX_EUR</f>
        <v>78226.0542820788</v>
      </c>
      <c r="AU13" s="32" t="n">
        <f aca="false">Costs!AU13/FX_EUR</f>
        <v>82122.5325769823</v>
      </c>
      <c r="AV13" s="32" t="n">
        <f aca="false">Costs!AV13/FX_EUR</f>
        <v>86316.1712462837</v>
      </c>
      <c r="AW13" s="32" t="n">
        <f aca="false">Costs!AW13/FX_EUR</f>
        <v>90524.4722144183</v>
      </c>
      <c r="AX13" s="32" t="n">
        <f aca="false">Costs!AX13/FX_EUR</f>
        <v>94840.4685853642</v>
      </c>
      <c r="AY13" s="32" t="n">
        <f aca="false">Costs!AY13/FX_EUR</f>
        <v>99134.2762328189</v>
      </c>
      <c r="AZ13" s="32" t="n">
        <f aca="false">Costs!AZ13/FX_EUR</f>
        <v>103407.925924947</v>
      </c>
      <c r="BA13" s="32" t="n">
        <f aca="false">Costs!BA13/FX_EUR</f>
        <v>108197.559253665</v>
      </c>
      <c r="BB13" s="32" t="n">
        <f aca="false">Costs!BB13/FX_EUR</f>
        <v>112964.893454109</v>
      </c>
      <c r="BC13" s="32" t="n">
        <f aca="false">Costs!BC13/FX_EUR</f>
        <v>117842.544033848</v>
      </c>
      <c r="BD13" s="32" t="n">
        <f aca="false">Costs!BD13/FX_EUR</f>
        <v>122701.143149583</v>
      </c>
      <c r="BE13" s="32" t="n">
        <f aca="false">Costs!BE13/FX_EUR</f>
        <v>127660.49125293</v>
      </c>
      <c r="BF13" s="32" t="n">
        <f aca="false">Costs!BF13/FX_EUR</f>
        <v>132734.877856096</v>
      </c>
      <c r="BG13" s="32" t="n">
        <f aca="false">Costs!BG13/FX_EUR</f>
        <v>137795.287976235</v>
      </c>
      <c r="BH13" s="32" t="n">
        <f aca="false">Costs!BH13/FX_EUR</f>
        <v>142974.920545902</v>
      </c>
      <c r="BI13" s="32" t="n">
        <f aca="false">Costs!BI13/FX_EUR</f>
        <v>148262.25247391</v>
      </c>
      <c r="BJ13" s="32" t="n">
        <f aca="false">Costs!BJ13/FX_EUR</f>
        <v>153672.123350437</v>
      </c>
      <c r="BK13" s="32" t="n">
        <f aca="false">Costs!BK13/FX_EUR</f>
        <v>159048.188047722</v>
      </c>
      <c r="BL13" s="32" t="n">
        <f aca="false">Costs!BL13/FX_EUR</f>
        <v>164492.219873877</v>
      </c>
    </row>
    <row r="14" customFormat="false" ht="15" hidden="false" customHeight="false" outlineLevel="0" collapsed="false">
      <c r="A14" s="12" t="s">
        <v>503</v>
      </c>
      <c r="B14" s="14" t="s">
        <v>79</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794</v>
      </c>
      <c r="B15" s="14" t="s">
        <v>79</v>
      </c>
      <c r="D15" s="55" t="n">
        <f aca="false">Costs!D15/FX_EUR</f>
        <v>4160418.60296626</v>
      </c>
      <c r="E15" s="32" t="n">
        <f aca="false">Costs!E15/FX_EUR</f>
        <v>0</v>
      </c>
      <c r="F15" s="32" t="n">
        <f aca="false">Costs!F15/FX_EUR</f>
        <v>0</v>
      </c>
      <c r="G15" s="32" t="n">
        <f aca="false">Costs!G15/FX_EUR</f>
        <v>0</v>
      </c>
      <c r="H15" s="32" t="n">
        <f aca="false">Costs!H15/FX_EUR</f>
        <v>0</v>
      </c>
      <c r="I15" s="32" t="n">
        <f aca="false">Costs!I15/FX_EUR</f>
        <v>1006.74282003241</v>
      </c>
      <c r="J15" s="32" t="n">
        <f aca="false">Costs!J15/FX_EUR</f>
        <v>2011.97113530308</v>
      </c>
      <c r="K15" s="32" t="n">
        <f aca="false">Costs!K15/FX_EUR</f>
        <v>3016.30772615431</v>
      </c>
      <c r="L15" s="32" t="n">
        <f aca="false">Costs!L15/FX_EUR</f>
        <v>4020.4032279836</v>
      </c>
      <c r="M15" s="32" t="n">
        <f aca="false">Costs!M15/FX_EUR</f>
        <v>5024.93794675084</v>
      </c>
      <c r="N15" s="32" t="n">
        <f aca="false">Costs!N15/FX_EUR</f>
        <v>6030.62378100609</v>
      </c>
      <c r="O15" s="32" t="n">
        <f aca="false">Costs!O15/FX_EUR</f>
        <v>7038.2062568723</v>
      </c>
      <c r="P15" s="32" t="n">
        <f aca="false">Costs!P15/FX_EUR</f>
        <v>8048.46668280237</v>
      </c>
      <c r="Q15" s="32" t="n">
        <f aca="false">Costs!Q15/FX_EUR</f>
        <v>9417.70504973274</v>
      </c>
      <c r="R15" s="32" t="n">
        <f aca="false">Costs!R15/FX_EUR</f>
        <v>10787.3164134823</v>
      </c>
      <c r="S15" s="32" t="n">
        <f aca="false">Costs!S15/FX_EUR</f>
        <v>12158.2552664316</v>
      </c>
      <c r="T15" s="32" t="n">
        <f aca="false">Costs!T15/FX_EUR</f>
        <v>13531.5210879504</v>
      </c>
      <c r="U15" s="32" t="n">
        <f aca="false">Costs!U15/FX_EUR</f>
        <v>14908.1612280284</v>
      </c>
      <c r="V15" s="32" t="n">
        <f aca="false">Costs!V15/FX_EUR</f>
        <v>16289.2739608643</v>
      </c>
      <c r="W15" s="32" t="n">
        <f aca="false">Costs!W15/FX_EUR</f>
        <v>18446.6719906033</v>
      </c>
      <c r="X15" s="32" t="n">
        <f aca="false">Costs!X15/FX_EUR</f>
        <v>20609.5943037469</v>
      </c>
      <c r="Y15" s="32" t="n">
        <f aca="false">Costs!Y15/FX_EUR</f>
        <v>22942.5970262709</v>
      </c>
      <c r="Z15" s="32" t="n">
        <f aca="false">Costs!Z15/FX_EUR</f>
        <v>25282.8662790016</v>
      </c>
      <c r="AA15" s="32" t="n">
        <f aca="false">Costs!AA15/FX_EUR</f>
        <v>27632.3435239127</v>
      </c>
      <c r="AB15" s="32" t="n">
        <f aca="false">Costs!AB15/FX_EUR</f>
        <v>29993.0669694762</v>
      </c>
      <c r="AC15" s="32" t="n">
        <f aca="false">Costs!AC15/FX_EUR</f>
        <v>33080.8524999087</v>
      </c>
      <c r="AD15" s="32" t="n">
        <f aca="false">Costs!AD15/FX_EUR</f>
        <v>36176.2768770908</v>
      </c>
      <c r="AE15" s="32" t="n">
        <f aca="false">Costs!AE15/FX_EUR</f>
        <v>39444.6257584274</v>
      </c>
      <c r="AF15" s="32" t="n">
        <f aca="false">Costs!AF15/FX_EUR</f>
        <v>42723.8507546068</v>
      </c>
      <c r="AG15" s="32" t="n">
        <f aca="false">Costs!AG15/FX_EUR</f>
        <v>46016.6970490827</v>
      </c>
      <c r="AH15" s="32" t="n">
        <f aca="false">Costs!AH15/FX_EUR</f>
        <v>49326.047211103</v>
      </c>
      <c r="AI15" s="32" t="n">
        <f aca="false">Costs!AI15/FX_EUR</f>
        <v>52817.7453963429</v>
      </c>
      <c r="AJ15" s="32" t="n">
        <f aca="false">Costs!AJ15/FX_EUR</f>
        <v>56330.3350434613</v>
      </c>
      <c r="AK15" s="32" t="n">
        <f aca="false">Costs!AK15/FX_EUR</f>
        <v>59867.1884938887</v>
      </c>
      <c r="AL15" s="32" t="n">
        <f aca="false">Costs!AL15/FX_EUR</f>
        <v>63431.8529251971</v>
      </c>
      <c r="AM15" s="32" t="n">
        <f aca="false">Costs!AM15/FX_EUR</f>
        <v>67190.8767993123</v>
      </c>
      <c r="AN15" s="32" t="n">
        <f aca="false">Costs!AN15/FX_EUR</f>
        <v>70983.5499415224</v>
      </c>
      <c r="AO15" s="32" t="n">
        <f aca="false">Costs!AO15/FX_EUR</f>
        <v>75316.0502994419</v>
      </c>
      <c r="AP15" s="32" t="n">
        <f aca="false">Costs!AP15/FX_EUR</f>
        <v>79847.9377503551</v>
      </c>
      <c r="AQ15" s="32" t="n">
        <f aca="false">Costs!AQ15/FX_EUR</f>
        <v>84419.2661058142</v>
      </c>
      <c r="AR15" s="32" t="n">
        <f aca="false">Costs!AR15/FX_EUR</f>
        <v>89035.0025050622</v>
      </c>
      <c r="AS15" s="32" t="n">
        <f aca="false">Costs!AS15/FX_EUR</f>
        <v>93863.1940543976</v>
      </c>
      <c r="AT15" s="32" t="n">
        <f aca="false">Costs!AT15/FX_EUR</f>
        <v>98744.7127224745</v>
      </c>
      <c r="AU15" s="32" t="n">
        <f aca="false">Costs!AU15/FX_EUR</f>
        <v>103685.392589222</v>
      </c>
      <c r="AV15" s="32" t="n">
        <f aca="false">Costs!AV15/FX_EUR</f>
        <v>109000.733410362</v>
      </c>
      <c r="AW15" s="32" t="n">
        <f aca="false">Costs!AW15/FX_EUR</f>
        <v>114337.884975701</v>
      </c>
      <c r="AX15" s="32" t="n">
        <f aca="false">Costs!AX15/FX_EUR</f>
        <v>119813.109985261</v>
      </c>
      <c r="AY15" s="32" t="n">
        <f aca="false">Costs!AY15/FX_EUR</f>
        <v>125264.123013052</v>
      </c>
      <c r="AZ15" s="32" t="n">
        <f aca="false">Costs!AZ15/FX_EUR</f>
        <v>130693.394573035</v>
      </c>
      <c r="BA15" s="32" t="n">
        <f aca="false">Costs!BA15/FX_EUR</f>
        <v>136771.036769398</v>
      </c>
      <c r="BB15" s="32" t="n">
        <f aca="false">Costs!BB15/FX_EUR</f>
        <v>142824.696896266</v>
      </c>
      <c r="BC15" s="32" t="n">
        <f aca="false">Costs!BC15/FX_EUR</f>
        <v>149020.071630668</v>
      </c>
      <c r="BD15" s="32" t="n">
        <f aca="false">Costs!BD15/FX_EUR</f>
        <v>155195.519141592</v>
      </c>
      <c r="BE15" s="32" t="n">
        <f aca="false">Costs!BE15/FX_EUR</f>
        <v>161500.720857997</v>
      </c>
      <c r="BF15" s="32" t="n">
        <f aca="false">Costs!BF15/FX_EUR</f>
        <v>167953.596668452</v>
      </c>
      <c r="BG15" s="32" t="n">
        <f aca="false">Costs!BG15/FX_EUR</f>
        <v>174392.950186322</v>
      </c>
      <c r="BH15" s="32" t="n">
        <f aca="false">Costs!BH15/FX_EUR</f>
        <v>180985.215624644</v>
      </c>
      <c r="BI15" s="32" t="n">
        <f aca="false">Costs!BI15/FX_EUR</f>
        <v>187716.065852617</v>
      </c>
      <c r="BJ15" s="32" t="n">
        <f aca="false">Costs!BJ15/FX_EUR</f>
        <v>194604.114001067</v>
      </c>
      <c r="BK15" s="32" t="n">
        <f aca="false">Costs!BK15/FX_EUR</f>
        <v>201454.007153119</v>
      </c>
      <c r="BL15" s="32" t="n">
        <f aca="false">Costs!BL15/FX_EUR</f>
        <v>208392.87477359</v>
      </c>
    </row>
    <row r="16" customFormat="false" ht="15" hidden="false" customHeight="false" outlineLevel="0" collapsed="false">
      <c r="A16" s="12" t="s">
        <v>796</v>
      </c>
      <c r="B16" s="14" t="s">
        <v>79</v>
      </c>
      <c r="D16" s="55" t="n">
        <f aca="false">Costs!D16/FX_EUR</f>
        <v>563525.77155674</v>
      </c>
      <c r="E16" s="32" t="n">
        <f aca="false">Costs!E16/FX_EUR</f>
        <v>0</v>
      </c>
      <c r="F16" s="32" t="n">
        <f aca="false">Costs!F16/FX_EUR</f>
        <v>0</v>
      </c>
      <c r="G16" s="32" t="n">
        <f aca="false">Costs!G16/FX_EUR</f>
        <v>0</v>
      </c>
      <c r="H16" s="32" t="n">
        <f aca="false">Costs!H16/FX_EUR</f>
        <v>0</v>
      </c>
      <c r="I16" s="32" t="n">
        <f aca="false">Costs!I16/FX_EUR</f>
        <v>135.74060494819</v>
      </c>
      <c r="J16" s="32" t="n">
        <f aca="false">Costs!J16/FX_EUR</f>
        <v>271.32784618504</v>
      </c>
      <c r="K16" s="32" t="n">
        <f aca="false">Costs!K16/FX_EUR</f>
        <v>406.844865593324</v>
      </c>
      <c r="L16" s="32" t="n">
        <f aca="false">Costs!L16/FX_EUR</f>
        <v>542.378605337317</v>
      </c>
      <c r="M16" s="32" t="n">
        <f aca="false">Costs!M16/FX_EUR</f>
        <v>678.020053372606</v>
      </c>
      <c r="N16" s="32" t="n">
        <f aca="false">Costs!N16/FX_EUR</f>
        <v>813.864503400334</v>
      </c>
      <c r="O16" s="32" t="n">
        <f aca="false">Costs!O16/FX_EUR</f>
        <v>950.011830137548</v>
      </c>
      <c r="P16" s="32" t="n">
        <f aca="false">Costs!P16/FX_EUR</f>
        <v>1086.56678082759</v>
      </c>
      <c r="Q16" s="32" t="n">
        <f aca="false">Costs!Q16/FX_EUR</f>
        <v>1271.56925498922</v>
      </c>
      <c r="R16" s="32" t="n">
        <f aca="false">Costs!R16/FX_EUR</f>
        <v>1456.68547699243</v>
      </c>
      <c r="S16" s="32" t="n">
        <f aca="false">Costs!S16/FX_EUR</f>
        <v>1642.04322868335</v>
      </c>
      <c r="T16" s="32" t="n">
        <f aca="false">Costs!T16/FX_EUR</f>
        <v>1827.77642024872</v>
      </c>
      <c r="U16" s="32" t="n">
        <f aca="false">Costs!U16/FX_EUR</f>
        <v>2014.02548033617</v>
      </c>
      <c r="V16" s="32" t="n">
        <f aca="false">Costs!V16/FX_EUR</f>
        <v>2200.93776921773</v>
      </c>
      <c r="W16" s="32" t="n">
        <f aca="false">Costs!W16/FX_EUR</f>
        <v>2492.57726653466</v>
      </c>
      <c r="X16" s="32" t="n">
        <f aca="false">Costs!X16/FX_EUR</f>
        <v>2785.05947043907</v>
      </c>
      <c r="Y16" s="32" t="n">
        <f aca="false">Costs!Y16/FX_EUR</f>
        <v>3100.57056661262</v>
      </c>
      <c r="Z16" s="32" t="n">
        <f aca="false">Costs!Z16/FX_EUR</f>
        <v>3417.16529319929</v>
      </c>
      <c r="AA16" s="32" t="n">
        <f aca="false">Costs!AA16/FX_EUR</f>
        <v>3735.10426509514</v>
      </c>
      <c r="AB16" s="32" t="n">
        <f aca="false">Costs!AB16/FX_EUR</f>
        <v>4054.6612583116</v>
      </c>
      <c r="AC16" s="32" t="n">
        <f aca="false">Costs!AC16/FX_EUR</f>
        <v>4472.34985524089</v>
      </c>
      <c r="AD16" s="32" t="n">
        <f aca="false">Costs!AD16/FX_EUR</f>
        <v>4891.20441377466</v>
      </c>
      <c r="AE16" s="32" t="n">
        <f aca="false">Costs!AE16/FX_EUR</f>
        <v>5333.5090346071</v>
      </c>
      <c r="AF16" s="32" t="n">
        <f aca="false">Costs!AF16/FX_EUR</f>
        <v>5777.42126320911</v>
      </c>
      <c r="AG16" s="32" t="n">
        <f aca="false">Costs!AG16/FX_EUR</f>
        <v>6223.30972176572</v>
      </c>
      <c r="AH16" s="32" t="n">
        <f aca="false">Costs!AH16/FX_EUR</f>
        <v>6671.56171941946</v>
      </c>
      <c r="AI16" s="32" t="n">
        <f aca="false">Costs!AI16/FX_EUR</f>
        <v>7144.53708154807</v>
      </c>
      <c r="AJ16" s="32" t="n">
        <f aca="false">Costs!AJ16/FX_EUR</f>
        <v>7620.4735940947</v>
      </c>
      <c r="AK16" s="32" t="n">
        <f aca="false">Costs!AK16/FX_EUR</f>
        <v>8099.82490657654</v>
      </c>
      <c r="AL16" s="32" t="n">
        <f aca="false">Costs!AL16/FX_EUR</f>
        <v>8583.0684296651</v>
      </c>
      <c r="AM16" s="32" t="n">
        <f aca="false">Costs!AM16/FX_EUR</f>
        <v>9092.65946904253</v>
      </c>
      <c r="AN16" s="32" t="n">
        <f aca="false">Costs!AN16/FX_EUR</f>
        <v>9606.93699258635</v>
      </c>
      <c r="AO16" s="32" t="n">
        <f aca="false">Costs!AO16/FX_EUR</f>
        <v>10194.1492392587</v>
      </c>
      <c r="AP16" s="32" t="n">
        <f aca="false">Costs!AP16/FX_EUR</f>
        <v>10808.4192671977</v>
      </c>
      <c r="AQ16" s="32" t="n">
        <f aca="false">Costs!AQ16/FX_EUR</f>
        <v>11428.1888342097</v>
      </c>
      <c r="AR16" s="32" t="n">
        <f aca="false">Costs!AR16/FX_EUR</f>
        <v>12054.1270166859</v>
      </c>
      <c r="AS16" s="32" t="n">
        <f aca="false">Costs!AS16/FX_EUR</f>
        <v>12708.8914639984</v>
      </c>
      <c r="AT16" s="32" t="n">
        <f aca="false">Costs!AT16/FX_EUR</f>
        <v>13371.0348180221</v>
      </c>
      <c r="AU16" s="32" t="n">
        <f aca="false">Costs!AU16/FX_EUR</f>
        <v>14041.343649661</v>
      </c>
      <c r="AV16" s="32" t="n">
        <f aca="false">Costs!AV16/FX_EUR</f>
        <v>14762.3575028933</v>
      </c>
      <c r="AW16" s="32" t="n">
        <f aca="false">Costs!AW16/FX_EUR</f>
        <v>15486.5172505053</v>
      </c>
      <c r="AX16" s="32" t="n">
        <f aca="false">Costs!AX16/FX_EUR</f>
        <v>16229.4968886749</v>
      </c>
      <c r="AY16" s="32" t="n">
        <f aca="false">Costs!AY16/FX_EUR</f>
        <v>16969.419264262</v>
      </c>
      <c r="AZ16" s="32" t="n">
        <f aca="false">Costs!AZ16/FX_EUR</f>
        <v>17706.6132558724</v>
      </c>
      <c r="BA16" s="32" t="n">
        <f aca="false">Costs!BA16/FX_EUR</f>
        <v>18531.4270226947</v>
      </c>
      <c r="BB16" s="32" t="n">
        <f aca="false">Costs!BB16/FX_EUR</f>
        <v>19353.2361345418</v>
      </c>
      <c r="BC16" s="32" t="n">
        <f aca="false">Costs!BC16/FX_EUR</f>
        <v>20194.3771912342</v>
      </c>
      <c r="BD16" s="32" t="n">
        <f aca="false">Costs!BD16/FX_EUR</f>
        <v>21033.0597005929</v>
      </c>
      <c r="BE16" s="32" t="n">
        <f aca="false">Costs!BE16/FX_EUR</f>
        <v>21889.4611224191</v>
      </c>
      <c r="BF16" s="32" t="n">
        <f aca="false">Costs!BF16/FX_EUR</f>
        <v>22766.0009406577</v>
      </c>
      <c r="BG16" s="32" t="n">
        <f aca="false">Costs!BG16/FX_EUR</f>
        <v>23640.9489886507</v>
      </c>
      <c r="BH16" s="32" t="n">
        <f aca="false">Costs!BH16/FX_EUR</f>
        <v>24536.7418126538</v>
      </c>
      <c r="BI16" s="32" t="n">
        <f aca="false">Costs!BI16/FX_EUR</f>
        <v>25451.4521097294</v>
      </c>
      <c r="BJ16" s="32" t="n">
        <f aca="false">Costs!BJ16/FX_EUR</f>
        <v>26387.5931738047</v>
      </c>
      <c r="BK16" s="32" t="n">
        <f aca="false">Costs!BK16/FX_EUR</f>
        <v>27318.829832451</v>
      </c>
      <c r="BL16" s="32" t="n">
        <f aca="false">Costs!BL16/FX_EUR</f>
        <v>28262.2977540767</v>
      </c>
    </row>
    <row r="17" customFormat="false" ht="15" hidden="false" customHeight="false" outlineLevel="0" collapsed="false">
      <c r="A17" s="12" t="s">
        <v>1062</v>
      </c>
      <c r="B17" s="14" t="s">
        <v>79</v>
      </c>
      <c r="D17" s="55" t="n">
        <f aca="false">Costs!D17/FX_EUR</f>
        <v>1842477.26366564</v>
      </c>
      <c r="E17" s="32" t="n">
        <f aca="false">Costs!E17/FX_EUR</f>
        <v>0</v>
      </c>
      <c r="F17" s="32" t="n">
        <f aca="false">Costs!F17/FX_EUR</f>
        <v>0</v>
      </c>
      <c r="G17" s="32" t="n">
        <f aca="false">Costs!G17/FX_EUR</f>
        <v>0</v>
      </c>
      <c r="H17" s="32" t="n">
        <f aca="false">Costs!H17/FX_EUR</f>
        <v>0</v>
      </c>
      <c r="I17" s="32" t="n">
        <f aca="false">Costs!I17/FX_EUR</f>
        <v>447.943996329028</v>
      </c>
      <c r="J17" s="32" t="n">
        <f aca="false">Costs!J17/FX_EUR</f>
        <v>895.04254089826</v>
      </c>
      <c r="K17" s="32" t="n">
        <f aca="false">Costs!K17/FX_EUR</f>
        <v>1341.57553216141</v>
      </c>
      <c r="L17" s="32" t="n">
        <f aca="false">Costs!L17/FX_EUR</f>
        <v>1787.8351121718</v>
      </c>
      <c r="M17" s="32" t="n">
        <f aca="false">Costs!M17/FX_EUR</f>
        <v>2234.12647194321</v>
      </c>
      <c r="N17" s="32" t="n">
        <f aca="false">Costs!N17/FX_EUR</f>
        <v>2680.76870392935</v>
      </c>
      <c r="O17" s="32" t="n">
        <f aca="false">Costs!O17/FX_EUR</f>
        <v>3128.09570447085</v>
      </c>
      <c r="P17" s="32" t="n">
        <f aca="false">Costs!P17/FX_EUR</f>
        <v>3576.45712922901</v>
      </c>
      <c r="Q17" s="32" t="n">
        <f aca="false">Costs!Q17/FX_EUR</f>
        <v>4184.38830917086</v>
      </c>
      <c r="R17" s="32" t="n">
        <f aca="false">Costs!R17/FX_EUR</f>
        <v>4792.2712872846</v>
      </c>
      <c r="S17" s="32" t="n">
        <f aca="false">Costs!S17/FX_EUR</f>
        <v>5400.53384298214</v>
      </c>
      <c r="T17" s="32" t="n">
        <f aca="false">Costs!T17/FX_EUR</f>
        <v>6009.62356081595</v>
      </c>
      <c r="U17" s="32" t="n">
        <f aca="false">Costs!U17/FX_EUR</f>
        <v>6620.00910909099</v>
      </c>
      <c r="V17" s="32" t="n">
        <f aca="false">Costs!V17/FX_EUR</f>
        <v>7232.18159366799</v>
      </c>
      <c r="W17" s="32" t="n">
        <f aca="false">Costs!W17/FX_EUR</f>
        <v>8189.55651698853</v>
      </c>
      <c r="X17" s="32" t="n">
        <f aca="false">Costs!X17/FX_EUR</f>
        <v>9149.05916064036</v>
      </c>
      <c r="Y17" s="32" t="n">
        <f aca="false">Costs!Y17/FX_EUR</f>
        <v>10183.9116613262</v>
      </c>
      <c r="Z17" s="32" t="n">
        <f aca="false">Costs!Z17/FX_EUR</f>
        <v>11221.6467865539</v>
      </c>
      <c r="AA17" s="32" t="n">
        <f aca="false">Costs!AA17/FX_EUR</f>
        <v>12263.1322768254</v>
      </c>
      <c r="AB17" s="32" t="n">
        <f aca="false">Costs!AB17/FX_EUR</f>
        <v>13309.278525727</v>
      </c>
      <c r="AC17" s="32" t="n">
        <f aca="false">Costs!AC17/FX_EUR</f>
        <v>14678.5864884798</v>
      </c>
      <c r="AD17" s="32" t="n">
        <f aca="false">Costs!AD17/FX_EUR</f>
        <v>16050.8342928922</v>
      </c>
      <c r="AE17" s="32" t="n">
        <f aca="false">Costs!AE17/FX_EUR</f>
        <v>17499.5701907857</v>
      </c>
      <c r="AF17" s="32" t="n">
        <f aca="false">Costs!AF17/FX_EUR</f>
        <v>18952.6689158154</v>
      </c>
      <c r="AG17" s="32" t="n">
        <f aca="false">Costs!AG17/FX_EUR</f>
        <v>20411.3570332151</v>
      </c>
      <c r="AH17" s="32" t="n">
        <f aca="false">Costs!AH17/FX_EUR</f>
        <v>21876.921686952</v>
      </c>
      <c r="AI17" s="32" t="n">
        <f aca="false">Costs!AI17/FX_EUR</f>
        <v>23423.1582064838</v>
      </c>
      <c r="AJ17" s="32" t="n">
        <f aca="false">Costs!AJ17/FX_EUR</f>
        <v>24978.2031590456</v>
      </c>
      <c r="AK17" s="32" t="n">
        <f aca="false">Costs!AK17/FX_EUR</f>
        <v>26543.560584804</v>
      </c>
      <c r="AL17" s="32" t="n">
        <f aca="false">Costs!AL17/FX_EUR</f>
        <v>28120.8116825576</v>
      </c>
      <c r="AM17" s="32" t="n">
        <f aca="false">Costs!AM17/FX_EUR</f>
        <v>29784.0634113625</v>
      </c>
      <c r="AN17" s="32" t="n">
        <f aca="false">Costs!AN17/FX_EUR</f>
        <v>31461.7825973912</v>
      </c>
      <c r="AO17" s="32" t="n">
        <f aca="false">Costs!AO17/FX_EUR</f>
        <v>33379.1915869995</v>
      </c>
      <c r="AP17" s="32" t="n">
        <f aca="false">Costs!AP17/FX_EUR</f>
        <v>35384.7289485275</v>
      </c>
      <c r="AQ17" s="32" t="n">
        <f aca="false">Costs!AQ17/FX_EUR</f>
        <v>37407.2021797749</v>
      </c>
      <c r="AR17" s="32" t="n">
        <f aca="false">Costs!AR17/FX_EUR</f>
        <v>39448.8235732411</v>
      </c>
      <c r="AS17" s="32" t="n">
        <f aca="false">Costs!AS17/FX_EUR</f>
        <v>41584.3659579631</v>
      </c>
      <c r="AT17" s="32" t="n">
        <f aca="false">Costs!AT17/FX_EUR</f>
        <v>43742.9989394023</v>
      </c>
      <c r="AU17" s="32" t="n">
        <f aca="false">Costs!AU17/FX_EUR</f>
        <v>45927.3185126934</v>
      </c>
      <c r="AV17" s="32" t="n">
        <f aca="false">Costs!AV17/FX_EUR</f>
        <v>48277.7034970613</v>
      </c>
      <c r="AW17" s="32" t="n">
        <f aca="false">Costs!AW17/FX_EUR</f>
        <v>50637.1007576758</v>
      </c>
      <c r="AX17" s="32" t="n">
        <f aca="false">Costs!AX17/FX_EUR</f>
        <v>53057.2469874567</v>
      </c>
      <c r="AY17" s="32" t="n">
        <f aca="false">Costs!AY17/FX_EUR</f>
        <v>55465.9206948625</v>
      </c>
      <c r="AZ17" s="32" t="n">
        <f aca="false">Costs!AZ17/FX_EUR</f>
        <v>57864.2353771622</v>
      </c>
      <c r="BA17" s="32" t="n">
        <f aca="false">Costs!BA17/FX_EUR</f>
        <v>60550.3668908634</v>
      </c>
      <c r="BB17" s="32" t="n">
        <f aca="false">Costs!BB17/FX_EUR</f>
        <v>63225.0552525612</v>
      </c>
      <c r="BC17" s="32" t="n">
        <f aca="false">Costs!BC17/FX_EUR</f>
        <v>65962.0414471859</v>
      </c>
      <c r="BD17" s="32" t="n">
        <f aca="false">Costs!BD17/FX_EUR</f>
        <v>68689.3907379315</v>
      </c>
      <c r="BE17" s="32" t="n">
        <f aca="false">Costs!BE17/FX_EUR</f>
        <v>71473.7174840333</v>
      </c>
      <c r="BF17" s="32" t="n">
        <f aca="false">Costs!BF17/FX_EUR</f>
        <v>74322.9838268872</v>
      </c>
      <c r="BG17" s="32" t="n">
        <f aca="false">Costs!BG17/FX_EUR</f>
        <v>77165.4523309939</v>
      </c>
      <c r="BH17" s="32" t="n">
        <f aca="false">Costs!BH17/FX_EUR</f>
        <v>80075.1904444726</v>
      </c>
      <c r="BI17" s="32" t="n">
        <f aca="false">Costs!BI17/FX_EUR</f>
        <v>83045.8083970189</v>
      </c>
      <c r="BJ17" s="32" t="n">
        <f aca="false">Costs!BJ17/FX_EUR</f>
        <v>86085.5756393699</v>
      </c>
      <c r="BK17" s="32" t="n">
        <f aca="false">Costs!BK17/FX_EUR</f>
        <v>89107.5557532849</v>
      </c>
      <c r="BL17" s="32" t="n">
        <f aca="false">Costs!BL17/FX_EUR</f>
        <v>92168.3323762221</v>
      </c>
    </row>
    <row r="18" customFormat="false" ht="15" hidden="false" customHeight="false" outlineLevel="0" collapsed="false">
      <c r="A18" s="12" t="s">
        <v>803</v>
      </c>
      <c r="B18" s="14" t="s">
        <v>79</v>
      </c>
      <c r="D18" s="55" t="n">
        <f aca="false">Costs!D18/FX_EUR</f>
        <v>1215521.96649957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421.821904888975</v>
      </c>
      <c r="W18" s="32" t="n">
        <f aca="false">Costs!W18/FX_EUR</f>
        <v>955.276074987349</v>
      </c>
      <c r="X18" s="32" t="n">
        <f aca="false">Costs!X18/FX_EUR</f>
        <v>1600.68692475372</v>
      </c>
      <c r="Y18" s="32" t="n">
        <f aca="false">Costs!Y18/FX_EUR</f>
        <v>2375.4935499329</v>
      </c>
      <c r="Z18" s="32" t="n">
        <f aca="false">Costs!Z18/FX_EUR</f>
        <v>3271.67857982736</v>
      </c>
      <c r="AA18" s="32" t="n">
        <f aca="false">Costs!AA18/FX_EUR</f>
        <v>4290.00110981626</v>
      </c>
      <c r="AB18" s="32" t="n">
        <f aca="false">Costs!AB18/FX_EUR</f>
        <v>5431.44111203751</v>
      </c>
      <c r="AC18" s="32" t="n">
        <f aca="false">Costs!AC18/FX_EUR</f>
        <v>6845.65029716806</v>
      </c>
      <c r="AD18" s="32" t="n">
        <f aca="false">Costs!AD18/FX_EUR</f>
        <v>8420.77519899989</v>
      </c>
      <c r="AE18" s="32" t="n">
        <f aca="false">Costs!AE18/FX_EUR</f>
        <v>10200.2416262174</v>
      </c>
      <c r="AF18" s="32" t="n">
        <f aca="false">Costs!AF18/FX_EUR</f>
        <v>12151.0201665444</v>
      </c>
      <c r="AG18" s="32" t="n">
        <f aca="false">Costs!AG18/FX_EUR</f>
        <v>14274.6684984967</v>
      </c>
      <c r="AH18" s="32" t="n">
        <f aca="false">Costs!AH18/FX_EUR</f>
        <v>15298.22550806</v>
      </c>
      <c r="AI18" s="32" t="n">
        <f aca="false">Costs!AI18/FX_EUR</f>
        <v>16378.0753901407</v>
      </c>
      <c r="AJ18" s="32" t="n">
        <f aca="false">Costs!AJ18/FX_EUR</f>
        <v>17463.8147186442</v>
      </c>
      <c r="AK18" s="32" t="n">
        <f aca="false">Costs!AK18/FX_EUR</f>
        <v>18556.5001262166</v>
      </c>
      <c r="AL18" s="32" t="n">
        <f aca="false">Costs!AL18/FX_EUR</f>
        <v>19657.2419763666</v>
      </c>
      <c r="AM18" s="32" t="n">
        <f aca="false">Costs!AM18/FX_EUR</f>
        <v>20818.0037497473</v>
      </c>
      <c r="AN18" s="32" t="n">
        <f aca="false">Costs!AN18/FX_EUR</f>
        <v>21988.6125099982</v>
      </c>
      <c r="AO18" s="32" t="n">
        <f aca="false">Costs!AO18/FX_EUR</f>
        <v>23326.9902056</v>
      </c>
      <c r="AP18" s="32" t="n">
        <f aca="false">Costs!AP18/FX_EUR</f>
        <v>24726.81543278</v>
      </c>
      <c r="AQ18" s="32" t="n">
        <f aca="false">Costs!AQ18/FX_EUR</f>
        <v>26138.1545510496</v>
      </c>
      <c r="AR18" s="32" t="n">
        <f aca="false">Costs!AR18/FX_EUR</f>
        <v>27562.5600054181</v>
      </c>
      <c r="AS18" s="32" t="n">
        <f aca="false">Costs!AS18/FX_EUR</f>
        <v>29052.4616055812</v>
      </c>
      <c r="AT18" s="32" t="n">
        <f aca="false">Costs!AT18/FX_EUR</f>
        <v>30558.1784815228</v>
      </c>
      <c r="AU18" s="32" t="n">
        <f aca="false">Costs!AU18/FX_EUR</f>
        <v>32081.5309252534</v>
      </c>
      <c r="AV18" s="32" t="n">
        <f aca="false">Costs!AV18/FX_EUR</f>
        <v>33720.9489866882</v>
      </c>
      <c r="AW18" s="32" t="n">
        <f aca="false">Costs!AW18/FX_EUR</f>
        <v>35366.2782600488</v>
      </c>
      <c r="AX18" s="32" t="n">
        <f aca="false">Costs!AX18/FX_EUR</f>
        <v>37053.7990530194</v>
      </c>
      <c r="AY18" s="32" t="n">
        <f aca="false">Costs!AY18/FX_EUR</f>
        <v>38732.8631689218</v>
      </c>
      <c r="AZ18" s="32" t="n">
        <f aca="false">Costs!AZ18/FX_EUR</f>
        <v>40404.2596824958</v>
      </c>
      <c r="BA18" s="32" t="n">
        <f aca="false">Costs!BA18/FX_EUR</f>
        <v>42277.0710197464</v>
      </c>
      <c r="BB18" s="32" t="n">
        <f aca="false">Costs!BB18/FX_EUR</f>
        <v>44141.4032693892</v>
      </c>
      <c r="BC18" s="32" t="n">
        <f aca="false">Costs!BC18/FX_EUR</f>
        <v>46048.9709256689</v>
      </c>
      <c r="BD18" s="32" t="n">
        <f aca="false">Costs!BD18/FX_EUR</f>
        <v>47949.327083787</v>
      </c>
      <c r="BE18" s="32" t="n">
        <f aca="false">Costs!BE18/FX_EUR</f>
        <v>49889.188769002</v>
      </c>
      <c r="BF18" s="32" t="n">
        <f aca="false">Costs!BF18/FX_EUR</f>
        <v>51874.1322228547</v>
      </c>
      <c r="BG18" s="32" t="n">
        <f aca="false">Costs!BG18/FX_EUR</f>
        <v>53853.8483589514</v>
      </c>
      <c r="BH18" s="32" t="n">
        <f aca="false">Costs!BH18/FX_EUR</f>
        <v>55880.2795860487</v>
      </c>
      <c r="BI18" s="32" t="n">
        <f aca="false">Costs!BI18/FX_EUR</f>
        <v>57948.9366639737</v>
      </c>
      <c r="BJ18" s="32" t="n">
        <f aca="false">Costs!BJ18/FX_EUR</f>
        <v>60065.6106410661</v>
      </c>
      <c r="BK18" s="32" t="n">
        <f aca="false">Costs!BK18/FX_EUR</f>
        <v>62169.3345003048</v>
      </c>
      <c r="BL18" s="32" t="n">
        <f aca="false">Costs!BL18/FX_EUR</f>
        <v>64299.7940775517</v>
      </c>
    </row>
    <row r="19" customFormat="false" ht="15" hidden="false" customHeight="false" outlineLevel="0" collapsed="false">
      <c r="A19" s="12" t="s">
        <v>1063</v>
      </c>
      <c r="B19" s="14" t="s">
        <v>79</v>
      </c>
      <c r="D19" s="55" t="n">
        <f aca="false">Costs!D19/FX_EUR</f>
        <v>1494523.90822757</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292.746621805924</v>
      </c>
      <c r="R19" s="32" t="n">
        <f aca="false">Costs!R19/FX_EUR</f>
        <v>670.382768049352</v>
      </c>
      <c r="S19" s="32" t="n">
        <f aca="false">Costs!S19/FX_EUR</f>
        <v>1132.90703409771</v>
      </c>
      <c r="T19" s="32" t="n">
        <f aca="false">Costs!T19/FX_EUR</f>
        <v>1680.44526003879</v>
      </c>
      <c r="U19" s="32" t="n">
        <f aca="false">Costs!U19/FX_EUR</f>
        <v>2313.25777904938</v>
      </c>
      <c r="V19" s="32" t="n">
        <f aca="false">Costs!V19/FX_EUR</f>
        <v>3031.74723213724</v>
      </c>
      <c r="W19" s="32" t="n">
        <f aca="false">Costs!W19/FX_EUR</f>
        <v>4004.83845814399</v>
      </c>
      <c r="X19" s="32" t="n">
        <f aca="false">Costs!X19/FX_EUR</f>
        <v>5112.44185040432</v>
      </c>
      <c r="Y19" s="32" t="n">
        <f aca="false">Costs!Y19/FX_EUR</f>
        <v>6401.10928949166</v>
      </c>
      <c r="Z19" s="32" t="n">
        <f aca="false">Costs!Z19/FX_EUR</f>
        <v>7835.70823572364</v>
      </c>
      <c r="AA19" s="32" t="n">
        <f aca="false">Costs!AA19/FX_EUR</f>
        <v>9417.38653130871</v>
      </c>
      <c r="AB19" s="32" t="n">
        <f aca="false">Costs!AB19/FX_EUR</f>
        <v>11147.5730576947</v>
      </c>
      <c r="AC19" s="32" t="n">
        <f aca="false">Costs!AC19/FX_EUR</f>
        <v>12293.135370977</v>
      </c>
      <c r="AD19" s="32" t="n">
        <f aca="false">Costs!AD19/FX_EUR</f>
        <v>13440.4678933189</v>
      </c>
      <c r="AE19" s="32" t="n">
        <f aca="false">Costs!AE19/FX_EUR</f>
        <v>14651.4894317477</v>
      </c>
      <c r="AF19" s="32" t="n">
        <f aca="false">Costs!AF19/FX_EUR</f>
        <v>15865.4539263034</v>
      </c>
      <c r="AG19" s="32" t="n">
        <f aca="false">Costs!AG19/FX_EUR</f>
        <v>17083.4028815082</v>
      </c>
      <c r="AH19" s="32" t="n">
        <f aca="false">Costs!AH19/FX_EUR</f>
        <v>18306.4279081594</v>
      </c>
      <c r="AI19" s="32" t="n">
        <f aca="false">Costs!AI19/FX_EUR</f>
        <v>19596.6535356238</v>
      </c>
      <c r="AJ19" s="32" t="n">
        <f aca="false">Costs!AJ19/FX_EUR</f>
        <v>20893.5517362453</v>
      </c>
      <c r="AK19" s="32" t="n">
        <f aca="false">Costs!AK19/FX_EUR</f>
        <v>22198.3950950525</v>
      </c>
      <c r="AL19" s="32" t="n">
        <f aca="false">Costs!AL19/FX_EUR</f>
        <v>23512.5201341013</v>
      </c>
      <c r="AM19" s="32" t="n">
        <f aca="false">Costs!AM19/FX_EUR</f>
        <v>24898.3109542895</v>
      </c>
      <c r="AN19" s="32" t="n">
        <f aca="false">Costs!AN19/FX_EUR</f>
        <v>26295.514639071</v>
      </c>
      <c r="AO19" s="32" t="n">
        <f aca="false">Costs!AO19/FX_EUR</f>
        <v>27893.7158108372</v>
      </c>
      <c r="AP19" s="32" t="n">
        <f aca="false">Costs!AP19/FX_EUR</f>
        <v>29565.2065348062</v>
      </c>
      <c r="AQ19" s="32" t="n">
        <f aca="false">Costs!AQ19/FX_EUR</f>
        <v>31250.0220549458</v>
      </c>
      <c r="AR19" s="32" t="n">
        <f aca="false">Costs!AR19/FX_EUR</f>
        <v>32950.0292652209</v>
      </c>
      <c r="AS19" s="32" t="n">
        <f aca="false">Costs!AS19/FX_EUR</f>
        <v>34728.171546489</v>
      </c>
      <c r="AT19" s="32" t="n">
        <f aca="false">Costs!AT19/FX_EUR</f>
        <v>36524.7859508228</v>
      </c>
      <c r="AU19" s="32" t="n">
        <f aca="false">Costs!AU19/FX_EUR</f>
        <v>38342.0591899497</v>
      </c>
      <c r="AV19" s="32" t="n">
        <f aca="false">Costs!AV19/FX_EUR</f>
        <v>40298.1551997844</v>
      </c>
      <c r="AW19" s="32" t="n">
        <f aca="false">Costs!AW19/FX_EUR</f>
        <v>42260.7905207087</v>
      </c>
      <c r="AX19" s="32" t="n">
        <f aca="false">Costs!AX19/FX_EUR</f>
        <v>44273.5257884508</v>
      </c>
      <c r="AY19" s="32" t="n">
        <f aca="false">Costs!AY19/FX_EUR</f>
        <v>46275.5486607664</v>
      </c>
      <c r="AZ19" s="32" t="n">
        <f aca="false">Costs!AZ19/FX_EUR</f>
        <v>48267.8200005836</v>
      </c>
      <c r="BA19" s="32" t="n">
        <f aca="false">Costs!BA19/FX_EUR</f>
        <v>50501.3521071535</v>
      </c>
      <c r="BB19" s="32" t="n">
        <f aca="false">Costs!BB19/FX_EUR</f>
        <v>52724.0868114358</v>
      </c>
      <c r="BC19" s="32" t="n">
        <f aca="false">Costs!BC19/FX_EUR</f>
        <v>54998.1209445914</v>
      </c>
      <c r="BD19" s="32" t="n">
        <f aca="false">Costs!BD19/FX_EUR</f>
        <v>57262.8842432917</v>
      </c>
      <c r="BE19" s="32" t="n">
        <f aca="false">Costs!BE19/FX_EUR</f>
        <v>59574.4734958477</v>
      </c>
      <c r="BF19" s="32" t="n">
        <f aca="false">Costs!BF19/FX_EUR</f>
        <v>61939.5747771348</v>
      </c>
      <c r="BG19" s="32" t="n">
        <f aca="false">Costs!BG19/FX_EUR</f>
        <v>64297.7824716793</v>
      </c>
      <c r="BH19" s="32" t="n">
        <f aca="false">Costs!BH19/FX_EUR</f>
        <v>66711.4654864768</v>
      </c>
      <c r="BI19" s="32" t="n">
        <f aca="false">Costs!BI19/FX_EUR</f>
        <v>69175.2232137028</v>
      </c>
      <c r="BJ19" s="32" t="n">
        <f aca="false">Costs!BJ19/FX_EUR</f>
        <v>71695.9986151118</v>
      </c>
      <c r="BK19" s="32" t="n">
        <f aca="false">Costs!BK19/FX_EUR</f>
        <v>74200.5903731652</v>
      </c>
      <c r="BL19" s="32" t="n">
        <f aca="false">Costs!BL19/FX_EUR</f>
        <v>76736.6575402662</v>
      </c>
    </row>
    <row r="20" customFormat="false" ht="15" hidden="false" customHeight="false" outlineLevel="0" collapsed="false">
      <c r="A20" s="12" t="s">
        <v>1064</v>
      </c>
      <c r="B20" s="14" t="s">
        <v>79</v>
      </c>
      <c r="D20" s="55" t="n">
        <f aca="false">Costs!D20/FX_EUR</f>
        <v>41413.9654686018</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5.93757393835968</v>
      </c>
      <c r="P20" s="32" t="n">
        <f aca="false">Costs!P20/FX_EUR</f>
        <v>13.5820847603449</v>
      </c>
      <c r="Q20" s="32" t="n">
        <f aca="false">Costs!Q20/FX_EUR</f>
        <v>23.8419235310478</v>
      </c>
      <c r="R20" s="32" t="n">
        <f aca="false">Costs!R20/FX_EUR</f>
        <v>36.4171369248108</v>
      </c>
      <c r="S20" s="32" t="n">
        <f aca="false">Costs!S20/FX_EUR</f>
        <v>51.3138508963547</v>
      </c>
      <c r="T20" s="32" t="n">
        <f aca="false">Costs!T20/FX_EUR</f>
        <v>68.541615759327</v>
      </c>
      <c r="U20" s="32" t="n">
        <f aca="false">Costs!U20/FX_EUR</f>
        <v>88.1136147647074</v>
      </c>
      <c r="V20" s="32" t="n">
        <f aca="false">Costs!V20/FX_EUR</f>
        <v>110.046888460886</v>
      </c>
      <c r="W20" s="32" t="n">
        <f aca="false">Costs!W20/FX_EUR</f>
        <v>140.207471242575</v>
      </c>
      <c r="X20" s="32" t="n">
        <f aca="false">Costs!X20/FX_EUR</f>
        <v>174.066216902442</v>
      </c>
      <c r="Y20" s="32" t="n">
        <f aca="false">Costs!Y20/FX_EUR</f>
        <v>213.164226454618</v>
      </c>
      <c r="Z20" s="32" t="n">
        <f aca="false">Costs!Z20/FX_EUR</f>
        <v>256.287396989947</v>
      </c>
      <c r="AA20" s="32" t="n">
        <f aca="false">Costs!AA20/FX_EUR</f>
        <v>280.132819882135</v>
      </c>
      <c r="AB20" s="32" t="n">
        <f aca="false">Costs!AB20/FX_EUR</f>
        <v>304.09959437337</v>
      </c>
      <c r="AC20" s="32" t="n">
        <f aca="false">Costs!AC20/FX_EUR</f>
        <v>335.426239143067</v>
      </c>
      <c r="AD20" s="32" t="n">
        <f aca="false">Costs!AD20/FX_EUR</f>
        <v>366.8403310331</v>
      </c>
      <c r="AE20" s="32" t="n">
        <f aca="false">Costs!AE20/FX_EUR</f>
        <v>400.013177595533</v>
      </c>
      <c r="AF20" s="32" t="n">
        <f aca="false">Costs!AF20/FX_EUR</f>
        <v>433.306594740683</v>
      </c>
      <c r="AG20" s="32" t="n">
        <f aca="false">Costs!AG20/FX_EUR</f>
        <v>466.748229132429</v>
      </c>
      <c r="AH20" s="32" t="n">
        <f aca="false">Costs!AH20/FX_EUR</f>
        <v>500.36712895646</v>
      </c>
      <c r="AI20" s="32" t="n">
        <f aca="false">Costs!AI20/FX_EUR</f>
        <v>535.840281116105</v>
      </c>
      <c r="AJ20" s="32" t="n">
        <f aca="false">Costs!AJ20/FX_EUR</f>
        <v>571.535519557102</v>
      </c>
      <c r="AK20" s="32" t="n">
        <f aca="false">Costs!AK20/FX_EUR</f>
        <v>607.48686799324</v>
      </c>
      <c r="AL20" s="32" t="n">
        <f aca="false">Costs!AL20/FX_EUR</f>
        <v>643.730132224882</v>
      </c>
      <c r="AM20" s="32" t="n">
        <f aca="false">Costs!AM20/FX_EUR</f>
        <v>681.949460178189</v>
      </c>
      <c r="AN20" s="32" t="n">
        <f aca="false">Costs!AN20/FX_EUR</f>
        <v>720.520274443977</v>
      </c>
      <c r="AO20" s="32" t="n">
        <f aca="false">Costs!AO20/FX_EUR</f>
        <v>764.561192944405</v>
      </c>
      <c r="AP20" s="32" t="n">
        <f aca="false">Costs!AP20/FX_EUR</f>
        <v>810.631445039825</v>
      </c>
      <c r="AQ20" s="32" t="n">
        <f aca="false">Costs!AQ20/FX_EUR</f>
        <v>857.114162565731</v>
      </c>
      <c r="AR20" s="32" t="n">
        <f aca="false">Costs!AR20/FX_EUR</f>
        <v>904.059526251442</v>
      </c>
      <c r="AS20" s="32" t="n">
        <f aca="false">Costs!AS20/FX_EUR</f>
        <v>953.166859799883</v>
      </c>
      <c r="AT20" s="32" t="n">
        <f aca="false">Costs!AT20/FX_EUR</f>
        <v>1002.82761135166</v>
      </c>
      <c r="AU20" s="32" t="n">
        <f aca="false">Costs!AU20/FX_EUR</f>
        <v>1053.10077372458</v>
      </c>
      <c r="AV20" s="32" t="n">
        <f aca="false">Costs!AV20/FX_EUR</f>
        <v>1107.176812717</v>
      </c>
      <c r="AW20" s="32" t="n">
        <f aca="false">Costs!AW20/FX_EUR</f>
        <v>1161.4887937879</v>
      </c>
      <c r="AX20" s="32" t="n">
        <f aca="false">Costs!AX20/FX_EUR</f>
        <v>1217.21226665062</v>
      </c>
      <c r="AY20" s="32" t="n">
        <f aca="false">Costs!AY20/FX_EUR</f>
        <v>1272.70644481965</v>
      </c>
      <c r="AZ20" s="32" t="n">
        <f aca="false">Costs!AZ20/FX_EUR</f>
        <v>1327.99599419043</v>
      </c>
      <c r="BA20" s="32" t="n">
        <f aca="false">Costs!BA20/FX_EUR</f>
        <v>1389.8570267021</v>
      </c>
      <c r="BB20" s="32" t="n">
        <f aca="false">Costs!BB20/FX_EUR</f>
        <v>1451.49271009064</v>
      </c>
      <c r="BC20" s="32" t="n">
        <f aca="false">Costs!BC20/FX_EUR</f>
        <v>1514.57828934256</v>
      </c>
      <c r="BD20" s="32" t="n">
        <f aca="false">Costs!BD20/FX_EUR</f>
        <v>1577.47947754447</v>
      </c>
      <c r="BE20" s="32" t="n">
        <f aca="false">Costs!BE20/FX_EUR</f>
        <v>1641.70958418143</v>
      </c>
      <c r="BF20" s="32" t="n">
        <f aca="false">Costs!BF20/FX_EUR</f>
        <v>1707.45007054933</v>
      </c>
      <c r="BG20" s="32" t="n">
        <f aca="false">Costs!BG20/FX_EUR</f>
        <v>1773.0711741488</v>
      </c>
      <c r="BH20" s="32" t="n">
        <f aca="false">Costs!BH20/FX_EUR</f>
        <v>1840.25563594903</v>
      </c>
      <c r="BI20" s="32" t="n">
        <f aca="false">Costs!BI20/FX_EUR</f>
        <v>1908.85890822971</v>
      </c>
      <c r="BJ20" s="32" t="n">
        <f aca="false">Costs!BJ20/FX_EUR</f>
        <v>1979.06948803535</v>
      </c>
      <c r="BK20" s="32" t="n">
        <f aca="false">Costs!BK20/FX_EUR</f>
        <v>2048.91223743382</v>
      </c>
      <c r="BL20" s="32" t="n">
        <f aca="false">Costs!BL20/FX_EUR</f>
        <v>2119.67233155575</v>
      </c>
    </row>
    <row r="21" customFormat="false" ht="15" hidden="false" customHeight="false" outlineLevel="0" collapsed="false">
      <c r="A21" s="12" t="s">
        <v>805</v>
      </c>
      <c r="B21" s="14" t="s">
        <v>79</v>
      </c>
      <c r="D21" s="55" t="n">
        <f aca="false">Costs!D21/FX_EUR</f>
        <v>140258.405920159</v>
      </c>
      <c r="E21" s="32" t="n">
        <f aca="false">Costs!E21/FX_EUR</f>
        <v>0</v>
      </c>
      <c r="F21" s="32" t="n">
        <f aca="false">Costs!F21/FX_EUR</f>
        <v>0</v>
      </c>
      <c r="G21" s="32" t="n">
        <f aca="false">Costs!G21/FX_EUR</f>
        <v>0</v>
      </c>
      <c r="H21" s="32" t="n">
        <f aca="false">Costs!H21/FX_EUR</f>
        <v>0</v>
      </c>
      <c r="I21" s="32" t="n">
        <f aca="false">Costs!I21/FX_EUR</f>
        <v>26.3940065177036</v>
      </c>
      <c r="J21" s="32" t="n">
        <f aca="false">Costs!J21/FX_EUR</f>
        <v>52.6086262768241</v>
      </c>
      <c r="K21" s="32" t="n">
        <f aca="false">Costs!K21/FX_EUR</f>
        <v>78.6627204984473</v>
      </c>
      <c r="L21" s="32" t="n">
        <f aca="false">Costs!L21/FX_EUR</f>
        <v>104.575750505591</v>
      </c>
      <c r="M21" s="32" t="n">
        <f aca="false">Costs!M21/FX_EUR</f>
        <v>130.367823670788</v>
      </c>
      <c r="N21" s="32" t="n">
        <f aca="false">Costs!N21/FX_EUR</f>
        <v>156.059741929785</v>
      </c>
      <c r="O21" s="32" t="n">
        <f aca="false">Costs!O21/FX_EUR</f>
        <v>181.673053019041</v>
      </c>
      <c r="P21" s="32" t="n">
        <f aca="false">Costs!P21/FX_EUR</f>
        <v>207.230104604092</v>
      </c>
      <c r="Q21" s="32" t="n">
        <f aca="false">Costs!Q21/FX_EUR</f>
        <v>242.073818062932</v>
      </c>
      <c r="R21" s="32" t="n">
        <f aca="false">Costs!R21/FX_EUR</f>
        <v>276.754823852717</v>
      </c>
      <c r="S21" s="32" t="n">
        <f aca="false">Costs!S21/FX_EUR</f>
        <v>311.300951841555</v>
      </c>
      <c r="T21" s="32" t="n">
        <f aca="false">Costs!T21/FX_EUR</f>
        <v>345.741030362843</v>
      </c>
      <c r="U21" s="32" t="n">
        <f aca="false">Costs!U21/FX_EUR</f>
        <v>380.104958640036</v>
      </c>
      <c r="V21" s="32" t="n">
        <f aca="false">Costs!V21/FX_EUR</f>
        <v>414.423783317213</v>
      </c>
      <c r="W21" s="32" t="n">
        <f aca="false">Costs!W21/FX_EUR</f>
        <v>468.934355764317</v>
      </c>
      <c r="X21" s="32" t="n">
        <f aca="false">Costs!X21/FX_EUR</f>
        <v>523.324398584553</v>
      </c>
      <c r="Y21" s="32" t="n">
        <f aca="false">Costs!Y21/FX_EUR</f>
        <v>581.911742833016</v>
      </c>
      <c r="Z21" s="32" t="n">
        <f aca="false">Costs!Z21/FX_EUR</f>
        <v>640.408590860602</v>
      </c>
      <c r="AA21" s="32" t="n">
        <f aca="false">Costs!AA21/FX_EUR</f>
        <v>698.869480852357</v>
      </c>
      <c r="AB21" s="32" t="n">
        <f aca="false">Costs!AB21/FX_EUR</f>
        <v>757.351154591115</v>
      </c>
      <c r="AC21" s="32" t="n">
        <f aca="false">Costs!AC21/FX_EUR</f>
        <v>834.62328562161</v>
      </c>
      <c r="AD21" s="32" t="n">
        <f aca="false">Costs!AD21/FX_EUR</f>
        <v>911.728187460198</v>
      </c>
      <c r="AE21" s="32" t="n">
        <f aca="false">Costs!AE21/FX_EUR</f>
        <v>993.004206217117</v>
      </c>
      <c r="AF21" s="32" t="n">
        <f aca="false">Costs!AF21/FX_EUR</f>
        <v>1074.18487672398</v>
      </c>
      <c r="AG21" s="32" t="n">
        <f aca="false">Costs!AG21/FX_EUR</f>
        <v>1622.09517292469</v>
      </c>
      <c r="AH21" s="32" t="n">
        <f aca="false">Costs!AH21/FX_EUR</f>
        <v>1736.93741891008</v>
      </c>
      <c r="AI21" s="32" t="n">
        <f aca="false">Costs!AI21/FX_EUR</f>
        <v>1858.04700460558</v>
      </c>
      <c r="AJ21" s="32" t="n">
        <f aca="false">Costs!AJ21/FX_EUR</f>
        <v>1979.53957705212</v>
      </c>
      <c r="AK21" s="32" t="n">
        <f aca="false">Costs!AK21/FX_EUR</f>
        <v>2101.5410478938</v>
      </c>
      <c r="AL21" s="32" t="n">
        <f aca="false">Costs!AL21/FX_EUR</f>
        <v>2224.18316512981</v>
      </c>
      <c r="AM21" s="32" t="n">
        <f aca="false">Costs!AM21/FX_EUR</f>
        <v>2353.51891598217</v>
      </c>
      <c r="AN21" s="32" t="n">
        <f aca="false">Costs!AN21/FX_EUR</f>
        <v>2483.68959658982</v>
      </c>
      <c r="AO21" s="32" t="n">
        <f aca="false">Costs!AO21/FX_EUR</f>
        <v>2633.08629609894</v>
      </c>
      <c r="AP21" s="32" t="n">
        <f aca="false">Costs!AP21/FX_EUR</f>
        <v>2789.27447087613</v>
      </c>
      <c r="AQ21" s="32" t="n">
        <f aca="false">Costs!AQ21/FX_EUR</f>
        <v>2946.42389863116</v>
      </c>
      <c r="AR21" s="32" t="n">
        <f aca="false">Costs!AR21/FX_EUR</f>
        <v>3104.71749653147</v>
      </c>
      <c r="AS21" s="32" t="n">
        <f aca="false">Costs!AS21/FX_EUR</f>
        <v>3270.26209393866</v>
      </c>
      <c r="AT21" s="32" t="n">
        <f aca="false">Costs!AT21/FX_EUR</f>
        <v>3437.25566955946</v>
      </c>
      <c r="AU21" s="32" t="n">
        <f aca="false">Costs!AU21/FX_EUR</f>
        <v>3605.91102881255</v>
      </c>
      <c r="AV21" s="32" t="n">
        <f aca="false">Costs!AV21/FX_EUR</f>
        <v>3787.69019750304</v>
      </c>
      <c r="AW21" s="32" t="n">
        <f aca="false">Costs!AW21/FX_EUR</f>
        <v>3969.73173822989</v>
      </c>
      <c r="AX21" s="32" t="n">
        <f aca="false">Costs!AX21/FX_EUR</f>
        <v>4156.26521766043</v>
      </c>
      <c r="AY21" s="32" t="n">
        <f aca="false">Costs!AY21/FX_EUR</f>
        <v>4341.38487190745</v>
      </c>
      <c r="AZ21" s="32" t="n">
        <f aca="false">Costs!AZ21/FX_EUR</f>
        <v>4525.19251645725</v>
      </c>
      <c r="BA21" s="32" t="n">
        <f aca="false">Costs!BA21/FX_EUR</f>
        <v>4732.04457135707</v>
      </c>
      <c r="BB21" s="32" t="n">
        <f aca="false">Costs!BB21/FX_EUR</f>
        <v>4937.43562964185</v>
      </c>
      <c r="BC21" s="32" t="n">
        <f aca="false">Costs!BC21/FX_EUR</f>
        <v>5147.39832811269</v>
      </c>
      <c r="BD21" s="32" t="n">
        <f aca="false">Costs!BD21/FX_EUR</f>
        <v>5356.05064726021</v>
      </c>
      <c r="BE21" s="32" t="n">
        <f aca="false">Costs!BE21/FX_EUR</f>
        <v>5568.84278406886</v>
      </c>
      <c r="BF21" s="32" t="n">
        <f aca="false">Costs!BF21/FX_EUR</f>
        <v>5786.41768163237</v>
      </c>
      <c r="BG21" s="32" t="n">
        <f aca="false">Costs!BG21/FX_EUR</f>
        <v>6002.9087741728</v>
      </c>
      <c r="BH21" s="32" t="n">
        <f aca="false">Costs!BH21/FX_EUR</f>
        <v>6224.37410350431</v>
      </c>
      <c r="BI21" s="32" t="n">
        <f aca="false">Costs!BI21/FX_EUR</f>
        <v>6450.28206703116</v>
      </c>
      <c r="BJ21" s="32" t="n">
        <f aca="false">Costs!BJ21/FX_EUR</f>
        <v>6681.29988245628</v>
      </c>
      <c r="BK21" s="32" t="n">
        <f aca="false">Costs!BK21/FX_EUR</f>
        <v>6910.31910239562</v>
      </c>
      <c r="BL21" s="32" t="n">
        <f aca="false">Costs!BL21/FX_EUR</f>
        <v>7141.97348062289</v>
      </c>
    </row>
    <row r="22" customFormat="false" ht="15" hidden="false" customHeight="false" outlineLevel="0" collapsed="false">
      <c r="A22" s="12" t="s">
        <v>1065</v>
      </c>
      <c r="B22" s="14" t="s">
        <v>79</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1066</v>
      </c>
      <c r="B23" s="14" t="s">
        <v>79</v>
      </c>
      <c r="D23" s="55" t="n">
        <f aca="false">Costs!D23/FX_EUR</f>
        <v>16087034.9667705</v>
      </c>
      <c r="E23" s="16" t="n">
        <f aca="false">Costs!E23/FX_EUR</f>
        <v>0</v>
      </c>
      <c r="F23" s="16" t="n">
        <f aca="false">Costs!F23/FX_EUR</f>
        <v>0</v>
      </c>
      <c r="G23" s="16" t="n">
        <f aca="false">Costs!G23/FX_EUR</f>
        <v>0</v>
      </c>
      <c r="H23" s="16" t="n">
        <f aca="false">Costs!H23/FX_EUR</f>
        <v>0</v>
      </c>
      <c r="I23" s="16" t="n">
        <f aca="false">Costs!I23/FX_EUR</f>
        <v>4155.92485483042</v>
      </c>
      <c r="J23" s="16" t="n">
        <f aca="false">Costs!J23/FX_EUR</f>
        <v>7285.08591264367</v>
      </c>
      <c r="K23" s="16" t="n">
        <f aca="false">Costs!K23/FX_EUR</f>
        <v>10409.4397466221</v>
      </c>
      <c r="L23" s="16" t="n">
        <f aca="false">Costs!L23/FX_EUR</f>
        <v>13531.0858934494</v>
      </c>
      <c r="M23" s="16" t="n">
        <f aca="false">Costs!M23/FX_EUR</f>
        <v>16652.2157568076</v>
      </c>
      <c r="N23" s="16" t="n">
        <f aca="false">Costs!N23/FX_EUR</f>
        <v>19775.1186655894</v>
      </c>
      <c r="O23" s="16" t="n">
        <f aca="false">Costs!O23/FX_EUR</f>
        <v>22908.1258600551</v>
      </c>
      <c r="P23" s="16" t="n">
        <f aca="false">Costs!P23/FX_EUR</f>
        <v>26049.5114945415</v>
      </c>
      <c r="Q23" s="16" t="n">
        <f aca="false">Costs!Q23/FX_EUR</f>
        <v>30963.009630183</v>
      </c>
      <c r="R23" s="16" t="n">
        <f aca="false">Costs!R23/FX_EUR</f>
        <v>35598.9668065359</v>
      </c>
      <c r="S23" s="16" t="n">
        <f aca="false">Costs!S23/FX_EUR</f>
        <v>40323.925141179</v>
      </c>
      <c r="T23" s="16" t="n">
        <f aca="false">Costs!T23/FX_EUR</f>
        <v>45141.228067378</v>
      </c>
      <c r="U23" s="16" t="n">
        <f aca="false">Costs!U23/FX_EUR</f>
        <v>50054.5058213878</v>
      </c>
      <c r="V23" s="16" t="n">
        <f aca="false">Costs!V23/FX_EUR</f>
        <v>55489.5150026761</v>
      </c>
      <c r="W23" s="16" t="n">
        <f aca="false">Costs!W23/FX_EUR</f>
        <v>64495.8952076109</v>
      </c>
      <c r="X23" s="16" t="n">
        <f aca="false">Costs!X23/FX_EUR</f>
        <v>72985.2486469592</v>
      </c>
      <c r="Y23" s="16" t="n">
        <f aca="false">Costs!Y23/FX_EUR</f>
        <v>82481.7073972288</v>
      </c>
      <c r="Z23" s="16" t="n">
        <f aca="false">Costs!Z23/FX_EUR</f>
        <v>92102.0537178941</v>
      </c>
      <c r="AA23" s="16" t="n">
        <f aca="false">Costs!AA23/FX_EUR</f>
        <v>101997.574079189</v>
      </c>
      <c r="AB23" s="16" t="n">
        <f aca="false">Costs!AB23/FX_EUR</f>
        <v>112196.585658591</v>
      </c>
      <c r="AC23" s="16" t="n">
        <f aca="false">Costs!AC23/FX_EUR</f>
        <v>125075.789619783</v>
      </c>
      <c r="AD23" s="16" t="n">
        <f aca="false">Costs!AD23/FX_EUR</f>
        <v>137407.055594636</v>
      </c>
      <c r="AE23" s="16" t="n">
        <f aca="false">Costs!AE23/FX_EUR</f>
        <v>150707.133861258</v>
      </c>
      <c r="AF23" s="16" t="n">
        <f aca="false">Costs!AF23/FX_EUR</f>
        <v>164044.201988533</v>
      </c>
      <c r="AG23" s="16" t="n">
        <f aca="false">Costs!AG23/FX_EUR</f>
        <v>194399.069491994</v>
      </c>
      <c r="AH23" s="16" t="n">
        <f aca="false">Costs!AH23/FX_EUR</f>
        <v>194111.056778908</v>
      </c>
      <c r="AI23" s="16" t="n">
        <f aca="false">Costs!AI23/FX_EUR</f>
        <v>207737.857271108</v>
      </c>
      <c r="AJ23" s="16" t="n">
        <f aca="false">Costs!AJ23/FX_EUR</f>
        <v>221224.087927271</v>
      </c>
      <c r="AK23" s="16" t="n">
        <f aca="false">Costs!AK23/FX_EUR</f>
        <v>234799.513970398</v>
      </c>
      <c r="AL23" s="16" t="n">
        <f aca="false">Costs!AL23/FX_EUR</f>
        <v>248478.1695215</v>
      </c>
      <c r="AM23" s="16" t="n">
        <f aca="false">Costs!AM23/FX_EUR</f>
        <v>263119.621408176</v>
      </c>
      <c r="AN23" s="16" t="n">
        <f aca="false">Costs!AN23/FX_EUR</f>
        <v>277670.596023234</v>
      </c>
      <c r="AO23" s="16" t="n">
        <f aca="false">Costs!AO23/FX_EUR</f>
        <v>294968.779800582</v>
      </c>
      <c r="AP23" s="16" t="n">
        <f aca="false">Costs!AP23/FX_EUR</f>
        <v>312580.836492761</v>
      </c>
      <c r="AQ23" s="16" t="n">
        <f aca="false">Costs!AQ23/FX_EUR</f>
        <v>330123.780464699</v>
      </c>
      <c r="AR23" s="16" t="n">
        <f aca="false">Costs!AR23/FX_EUR</f>
        <v>347833.642107978</v>
      </c>
      <c r="AS23" s="16" t="n">
        <f aca="false">Costs!AS23/FX_EUR</f>
        <v>366575.88115529</v>
      </c>
      <c r="AT23" s="16" t="n">
        <f aca="false">Costs!AT23/FX_EUR</f>
        <v>385303.442057782</v>
      </c>
      <c r="AU23" s="16" t="n">
        <f aca="false">Costs!AU23/FX_EUR</f>
        <v>404255.739033128</v>
      </c>
      <c r="AV23" s="16" t="n">
        <f aca="false">Costs!AV23/FX_EUR</f>
        <v>425062.147934665</v>
      </c>
      <c r="AW23" s="16" t="n">
        <f aca="false">Costs!AW23/FX_EUR</f>
        <v>445476.119484778</v>
      </c>
      <c r="AX23" s="16" t="n">
        <f aca="false">Costs!AX23/FX_EUR</f>
        <v>466564.774215243</v>
      </c>
      <c r="AY23" s="16" t="n">
        <f aca="false">Costs!AY23/FX_EUR</f>
        <v>487332.997268847</v>
      </c>
      <c r="AZ23" s="16" t="n">
        <f aca="false">Costs!AZ23/FX_EUR</f>
        <v>508007.172125862</v>
      </c>
      <c r="BA23" s="16" t="n">
        <f aca="false">Costs!BA23/FX_EUR</f>
        <v>532061.374268252</v>
      </c>
      <c r="BB23" s="16" t="n">
        <f aca="false">Costs!BB23/FX_EUR</f>
        <v>555124.291762475</v>
      </c>
      <c r="BC23" s="16" t="n">
        <f aca="false">Costs!BC23/FX_EUR</f>
        <v>578939.624926795</v>
      </c>
      <c r="BD23" s="16" t="n">
        <f aca="false">Costs!BD23/FX_EUR</f>
        <v>602450.637870969</v>
      </c>
      <c r="BE23" s="16" t="n">
        <f aca="false">Costs!BE23/FX_EUR</f>
        <v>626646.716662466</v>
      </c>
      <c r="BF23" s="16" t="n">
        <f aca="false">Costs!BF23/FX_EUR</f>
        <v>651423.915206641</v>
      </c>
      <c r="BG23" s="16" t="n">
        <f aca="false">Costs!BG23/FX_EUR</f>
        <v>675922.006718119</v>
      </c>
      <c r="BH23" s="16" t="n">
        <f aca="false">Costs!BH23/FX_EUR</f>
        <v>701216.699438713</v>
      </c>
      <c r="BI23" s="16" t="n">
        <f aca="false">Costs!BI23/FX_EUR</f>
        <v>727014.634348136</v>
      </c>
      <c r="BJ23" s="16" t="n">
        <f aca="false">Costs!BJ23/FX_EUR</f>
        <v>753430.988117436</v>
      </c>
      <c r="BK23" s="16" t="n">
        <f aca="false">Costs!BK23/FX_EUR</f>
        <v>779427.368635922</v>
      </c>
      <c r="BL23" s="16" t="n">
        <f aca="false">Costs!BL23/FX_EUR</f>
        <v>805920.519854783</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890</v>
      </c>
      <c r="B26" s="14" t="s">
        <v>79</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894</v>
      </c>
      <c r="B27" s="14" t="s">
        <v>79</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912</v>
      </c>
      <c r="B28" s="14" t="s">
        <v>79</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79</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1067</v>
      </c>
      <c r="B30" s="14" t="s">
        <v>79</v>
      </c>
      <c r="D30" s="55" t="n">
        <f aca="false">Costs!D30/FX_EUR</f>
        <v>341379.593574731</v>
      </c>
      <c r="E30" s="32" t="n">
        <f aca="false">Costs!E30/FX_EUR</f>
        <v>0</v>
      </c>
      <c r="F30" s="32" t="n">
        <f aca="false">Costs!F30/FX_EUR</f>
        <v>0</v>
      </c>
      <c r="G30" s="32" t="n">
        <f aca="false">Costs!G30/FX_EUR</f>
        <v>0</v>
      </c>
      <c r="H30" s="32" t="n">
        <f aca="false">Costs!H30/FX_EUR</f>
        <v>990.918612043168</v>
      </c>
      <c r="I30" s="32" t="n">
        <f aca="false">Costs!I30/FX_EUR</f>
        <v>990.918612043168</v>
      </c>
      <c r="J30" s="32" t="n">
        <f aca="false">Costs!J30/FX_EUR</f>
        <v>990.918612043168</v>
      </c>
      <c r="K30" s="32" t="n">
        <f aca="false">Costs!K30/FX_EUR</f>
        <v>990.918612043168</v>
      </c>
      <c r="L30" s="32" t="n">
        <f aca="false">Costs!L30/FX_EUR</f>
        <v>990.918612043168</v>
      </c>
      <c r="M30" s="32" t="n">
        <f aca="false">Costs!M30/FX_EUR</f>
        <v>990.918612043168</v>
      </c>
      <c r="N30" s="32" t="n">
        <f aca="false">Costs!N30/FX_EUR</f>
        <v>990.918612043168</v>
      </c>
      <c r="O30" s="32" t="n">
        <f aca="false">Costs!O30/FX_EUR</f>
        <v>990.918612043168</v>
      </c>
      <c r="P30" s="32" t="n">
        <f aca="false">Costs!P30/FX_EUR</f>
        <v>990.918612043168</v>
      </c>
      <c r="Q30" s="32" t="n">
        <f aca="false">Costs!Q30/FX_EUR</f>
        <v>1040.46454264533</v>
      </c>
      <c r="R30" s="32" t="n">
        <f aca="false">Costs!R30/FX_EUR</f>
        <v>1040.46454264533</v>
      </c>
      <c r="S30" s="32" t="n">
        <f aca="false">Costs!S30/FX_EUR</f>
        <v>1040.46454264533</v>
      </c>
      <c r="T30" s="32" t="n">
        <f aca="false">Costs!T30/FX_EUR</f>
        <v>1040.46454264533</v>
      </c>
      <c r="U30" s="32" t="n">
        <f aca="false">Costs!U30/FX_EUR</f>
        <v>1040.46454264533</v>
      </c>
      <c r="V30" s="32" t="n">
        <f aca="false">Costs!V30/FX_EUR</f>
        <v>1040.46454264533</v>
      </c>
      <c r="W30" s="32" t="n">
        <f aca="false">Costs!W30/FX_EUR</f>
        <v>1040.46454264533</v>
      </c>
      <c r="X30" s="32" t="n">
        <f aca="false">Costs!X30/FX_EUR</f>
        <v>1040.46454264533</v>
      </c>
      <c r="Y30" s="32" t="n">
        <f aca="false">Costs!Y30/FX_EUR</f>
        <v>1560.69681396799</v>
      </c>
      <c r="Z30" s="32" t="n">
        <f aca="false">Costs!Z30/FX_EUR</f>
        <v>1560.69681396799</v>
      </c>
      <c r="AA30" s="32" t="n">
        <f aca="false">Costs!AA30/FX_EUR</f>
        <v>1560.69681396799</v>
      </c>
      <c r="AB30" s="32" t="n">
        <f aca="false">Costs!AB30/FX_EUR</f>
        <v>1560.69681396799</v>
      </c>
      <c r="AC30" s="32" t="n">
        <f aca="false">Costs!AC30/FX_EUR</f>
        <v>2184.97553955518</v>
      </c>
      <c r="AD30" s="32" t="n">
        <f aca="false">Costs!AD30/FX_EUR</f>
        <v>2184.97553955518</v>
      </c>
      <c r="AE30" s="32" t="n">
        <f aca="false">Costs!AE30/FX_EUR</f>
        <v>2184.97553955518</v>
      </c>
      <c r="AF30" s="32" t="n">
        <f aca="false">Costs!AF30/FX_EUR</f>
        <v>2731.21942444398</v>
      </c>
      <c r="AG30" s="32" t="n">
        <f aca="false">Costs!AG30/FX_EUR</f>
        <v>3823.70719422157</v>
      </c>
      <c r="AH30" s="32" t="n">
        <f aca="false">Costs!AH30/FX_EUR</f>
        <v>3823.70719422157</v>
      </c>
      <c r="AI30" s="32" t="n">
        <f aca="false">Costs!AI30/FX_EUR</f>
        <v>4369.95107911037</v>
      </c>
      <c r="AJ30" s="32" t="n">
        <f aca="false">Costs!AJ30/FX_EUR</f>
        <v>4369.95107911037</v>
      </c>
      <c r="AK30" s="32" t="n">
        <f aca="false">Costs!AK30/FX_EUR</f>
        <v>4916.19496399916</v>
      </c>
      <c r="AL30" s="32" t="n">
        <f aca="false">Costs!AL30/FX_EUR</f>
        <v>4916.19496399916</v>
      </c>
      <c r="AM30" s="32" t="n">
        <f aca="false">Costs!AM30/FX_EUR</f>
        <v>5462.43884888796</v>
      </c>
      <c r="AN30" s="32" t="n">
        <f aca="false">Costs!AN30/FX_EUR</f>
        <v>5462.43884888796</v>
      </c>
      <c r="AO30" s="32" t="n">
        <f aca="false">Costs!AO30/FX_EUR</f>
        <v>6309.1168704656</v>
      </c>
      <c r="AP30" s="32" t="n">
        <f aca="false">Costs!AP30/FX_EUR</f>
        <v>6309.1168704656</v>
      </c>
      <c r="AQ30" s="32" t="n">
        <f aca="false">Costs!AQ30/FX_EUR</f>
        <v>6882.67294959883</v>
      </c>
      <c r="AR30" s="32" t="n">
        <f aca="false">Costs!AR30/FX_EUR</f>
        <v>7456.22902873207</v>
      </c>
      <c r="AS30" s="32" t="n">
        <f aca="false">Costs!AS30/FX_EUR</f>
        <v>7456.22902873207</v>
      </c>
      <c r="AT30" s="32" t="n">
        <f aca="false">Costs!AT30/FX_EUR</f>
        <v>8029.7851078653</v>
      </c>
      <c r="AU30" s="32" t="n">
        <f aca="false">Costs!AU30/FX_EUR</f>
        <v>8603.34118699854</v>
      </c>
      <c r="AV30" s="32" t="n">
        <f aca="false">Costs!AV30/FX_EUR</f>
        <v>8603.34118699854</v>
      </c>
      <c r="AW30" s="32" t="n">
        <f aca="false">Costs!AW30/FX_EUR</f>
        <v>9176.89726613178</v>
      </c>
      <c r="AX30" s="32" t="n">
        <f aca="false">Costs!AX30/FX_EUR</f>
        <v>9750.45334526501</v>
      </c>
      <c r="AY30" s="32" t="n">
        <f aca="false">Costs!AY30/FX_EUR</f>
        <v>10324.0094243982</v>
      </c>
      <c r="AZ30" s="32" t="n">
        <f aca="false">Costs!AZ30/FX_EUR</f>
        <v>10324.0094243982</v>
      </c>
      <c r="BA30" s="32" t="n">
        <f aca="false">Costs!BA30/FX_EUR</f>
        <v>11442.4437787081</v>
      </c>
      <c r="BB30" s="32" t="n">
        <f aca="false">Costs!BB30/FX_EUR</f>
        <v>12044.677661798</v>
      </c>
      <c r="BC30" s="32" t="n">
        <f aca="false">Costs!BC30/FX_EUR</f>
        <v>12646.9115448879</v>
      </c>
      <c r="BD30" s="32" t="n">
        <f aca="false">Costs!BD30/FX_EUR</f>
        <v>13249.1454279778</v>
      </c>
      <c r="BE30" s="32" t="n">
        <f aca="false">Costs!BE30/FX_EUR</f>
        <v>13249.1454279778</v>
      </c>
      <c r="BF30" s="32" t="n">
        <f aca="false">Costs!BF30/FX_EUR</f>
        <v>13851.3793110676</v>
      </c>
      <c r="BG30" s="32" t="n">
        <f aca="false">Costs!BG30/FX_EUR</f>
        <v>14453.6131941575</v>
      </c>
      <c r="BH30" s="32" t="n">
        <f aca="false">Costs!BH30/FX_EUR</f>
        <v>15055.8470772474</v>
      </c>
      <c r="BI30" s="32" t="n">
        <f aca="false">Costs!BI30/FX_EUR</f>
        <v>15658.0809603373</v>
      </c>
      <c r="BJ30" s="32" t="n">
        <f aca="false">Costs!BJ30/FX_EUR</f>
        <v>16260.3148434272</v>
      </c>
      <c r="BK30" s="32" t="n">
        <f aca="false">Costs!BK30/FX_EUR</f>
        <v>16862.5487265171</v>
      </c>
      <c r="BL30" s="32" t="n">
        <f aca="false">Costs!BL30/FX_EUR</f>
        <v>17464.782609607</v>
      </c>
    </row>
    <row r="31" customFormat="false" ht="15" hidden="false" customHeight="false" outlineLevel="0" collapsed="false">
      <c r="A31" s="12" t="s">
        <v>900</v>
      </c>
      <c r="B31" s="14" t="s">
        <v>79</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905</v>
      </c>
      <c r="B32" s="14" t="s">
        <v>79</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897</v>
      </c>
      <c r="B33" s="14" t="s">
        <v>79</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1068</v>
      </c>
      <c r="B34" s="14" t="s">
        <v>79</v>
      </c>
      <c r="D34" s="55"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1069</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1070</v>
      </c>
      <c r="B37" s="14" t="s">
        <v>79</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1071</v>
      </c>
      <c r="B38" s="14" t="s">
        <v>79</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1072</v>
      </c>
      <c r="B39" s="14" t="s">
        <v>79</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1073</v>
      </c>
      <c r="B40" s="14" t="s">
        <v>79</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1074</v>
      </c>
      <c r="B41" s="14" t="s">
        <v>79</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670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852</v>
      </c>
      <c r="B44" s="14" t="s">
        <v>79</v>
      </c>
      <c r="D44" s="55" t="n">
        <f aca="false">Costs!D44/FX_EUR</f>
        <v>350000</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5833.33333333333</v>
      </c>
      <c r="AP44" s="32" t="n">
        <f aca="false">Costs!AP44/FX_EUR</f>
        <v>5833.33333333333</v>
      </c>
      <c r="AQ44" s="32" t="n">
        <f aca="false">Costs!AQ44/FX_EUR</f>
        <v>5833.33333333333</v>
      </c>
      <c r="AR44" s="32" t="n">
        <f aca="false">Costs!AR44/FX_EUR</f>
        <v>5833.33333333333</v>
      </c>
      <c r="AS44" s="32" t="n">
        <f aca="false">Costs!AS44/FX_EUR</f>
        <v>5833.33333333333</v>
      </c>
      <c r="AT44" s="32" t="n">
        <f aca="false">Costs!AT44/FX_EUR</f>
        <v>5833.33333333333</v>
      </c>
      <c r="AU44" s="32" t="n">
        <f aca="false">Costs!AU44/FX_EUR</f>
        <v>5833.33333333333</v>
      </c>
      <c r="AV44" s="32" t="n">
        <f aca="false">Costs!AV44/FX_EUR</f>
        <v>5833.33333333333</v>
      </c>
      <c r="AW44" s="32" t="n">
        <f aca="false">Costs!AW44/FX_EUR</f>
        <v>5833.33333333333</v>
      </c>
      <c r="AX44" s="32" t="n">
        <f aca="false">Costs!AX44/FX_EUR</f>
        <v>5833.33333333333</v>
      </c>
      <c r="AY44" s="32" t="n">
        <f aca="false">Costs!AY44/FX_EUR</f>
        <v>5833.33333333333</v>
      </c>
      <c r="AZ44" s="32" t="n">
        <f aca="false">Costs!AZ44/FX_EUR</f>
        <v>5833.33333333333</v>
      </c>
      <c r="BA44" s="32" t="n">
        <f aca="false">Costs!BA44/FX_EUR</f>
        <v>5833.33333333333</v>
      </c>
      <c r="BB44" s="32" t="n">
        <f aca="false">Costs!BB44/FX_EUR</f>
        <v>5833.33333333333</v>
      </c>
      <c r="BC44" s="32" t="n">
        <f aca="false">Costs!BC44/FX_EUR</f>
        <v>5833.33333333333</v>
      </c>
      <c r="BD44" s="32" t="n">
        <f aca="false">Costs!BD44/FX_EUR</f>
        <v>5833.33333333333</v>
      </c>
      <c r="BE44" s="32" t="n">
        <f aca="false">Costs!BE44/FX_EUR</f>
        <v>5833.33333333333</v>
      </c>
      <c r="BF44" s="32" t="n">
        <f aca="false">Costs!BF44/FX_EUR</f>
        <v>5833.33333333333</v>
      </c>
      <c r="BG44" s="32" t="n">
        <f aca="false">Costs!BG44/FX_EUR</f>
        <v>5833.33333333333</v>
      </c>
      <c r="BH44" s="32" t="n">
        <f aca="false">Costs!BH44/FX_EUR</f>
        <v>5833.33333333333</v>
      </c>
      <c r="BI44" s="32" t="n">
        <f aca="false">Costs!BI44/FX_EUR</f>
        <v>5833.33333333333</v>
      </c>
      <c r="BJ44" s="32" t="n">
        <f aca="false">Costs!BJ44/FX_EUR</f>
        <v>5833.33333333333</v>
      </c>
      <c r="BK44" s="32" t="n">
        <f aca="false">Costs!BK44/FX_EUR</f>
        <v>5833.33333333333</v>
      </c>
      <c r="BL44" s="32" t="n">
        <f aca="false">Costs!BL44/FX_EUR</f>
        <v>5833.33333333333</v>
      </c>
    </row>
    <row r="45" customFormat="false" ht="15" hidden="false" customHeight="false" outlineLevel="0" collapsed="false">
      <c r="A45" s="12" t="s">
        <v>671</v>
      </c>
      <c r="B45" s="14" t="s">
        <v>79</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678</v>
      </c>
      <c r="B46" s="14" t="s">
        <v>79</v>
      </c>
      <c r="D46" s="55" t="n">
        <f aca="false">Costs!D46/FX_EUR</f>
        <v>131746.44069657</v>
      </c>
      <c r="E46" s="32" t="n">
        <f aca="false">Costs!E46/FX_EUR</f>
        <v>663.153224982735</v>
      </c>
      <c r="F46" s="32" t="n">
        <f aca="false">Costs!F46/FX_EUR</f>
        <v>663.153224982735</v>
      </c>
      <c r="G46" s="32" t="n">
        <f aca="false">Costs!G46/FX_EUR</f>
        <v>663.153224982735</v>
      </c>
      <c r="H46" s="32" t="n">
        <f aca="false">Costs!H46/FX_EUR</f>
        <v>663.153224982735</v>
      </c>
      <c r="I46" s="32" t="n">
        <f aca="false">Costs!I46/FX_EUR</f>
        <v>663.153224982735</v>
      </c>
      <c r="J46" s="32" t="n">
        <f aca="false">Costs!J46/FX_EUR</f>
        <v>663.153224982735</v>
      </c>
      <c r="K46" s="32" t="n">
        <f aca="false">Costs!K46/FX_EUR</f>
        <v>663.153224982735</v>
      </c>
      <c r="L46" s="32" t="n">
        <f aca="false">Costs!L46/FX_EUR</f>
        <v>663.153224982735</v>
      </c>
      <c r="M46" s="32" t="n">
        <f aca="false">Costs!M46/FX_EUR</f>
        <v>663.153224982735</v>
      </c>
      <c r="N46" s="32" t="n">
        <f aca="false">Costs!N46/FX_EUR</f>
        <v>663.153224982735</v>
      </c>
      <c r="O46" s="32" t="n">
        <f aca="false">Costs!O46/FX_EUR</f>
        <v>663.153224982735</v>
      </c>
      <c r="P46" s="32" t="n">
        <f aca="false">Costs!P46/FX_EUR</f>
        <v>663.153224982735</v>
      </c>
      <c r="Q46" s="32" t="n">
        <f aca="false">Costs!Q46/FX_EUR</f>
        <v>1473.67383329497</v>
      </c>
      <c r="R46" s="32" t="n">
        <f aca="false">Costs!R46/FX_EUR</f>
        <v>1473.67383329497</v>
      </c>
      <c r="S46" s="32" t="n">
        <f aca="false">Costs!S46/FX_EUR</f>
        <v>1473.67383329497</v>
      </c>
      <c r="T46" s="32" t="n">
        <f aca="false">Costs!T46/FX_EUR</f>
        <v>1473.67383329497</v>
      </c>
      <c r="U46" s="32" t="n">
        <f aca="false">Costs!U46/FX_EUR</f>
        <v>1473.67383329497</v>
      </c>
      <c r="V46" s="32" t="n">
        <f aca="false">Costs!V46/FX_EUR</f>
        <v>1473.67383329497</v>
      </c>
      <c r="W46" s="32" t="n">
        <f aca="false">Costs!W46/FX_EUR</f>
        <v>1473.67383329497</v>
      </c>
      <c r="X46" s="32" t="n">
        <f aca="false">Costs!X46/FX_EUR</f>
        <v>1473.67383329497</v>
      </c>
      <c r="Y46" s="32" t="n">
        <f aca="false">Costs!Y46/FX_EUR</f>
        <v>1473.67383329497</v>
      </c>
      <c r="Z46" s="32" t="n">
        <f aca="false">Costs!Z46/FX_EUR</f>
        <v>1473.67383329497</v>
      </c>
      <c r="AA46" s="32" t="n">
        <f aca="false">Costs!AA46/FX_EUR</f>
        <v>1473.67383329497</v>
      </c>
      <c r="AB46" s="32" t="n">
        <f aca="false">Costs!AB46/FX_EUR</f>
        <v>1473.67383329497</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1075</v>
      </c>
      <c r="B47" s="14" t="s">
        <v>79</v>
      </c>
      <c r="D47" s="55" t="n">
        <f aca="false">Costs!D47/FX_EUR</f>
        <v>132.630644996547</v>
      </c>
      <c r="E47" s="32" t="n">
        <f aca="false">Costs!E47/FX_EUR</f>
        <v>0</v>
      </c>
      <c r="F47" s="32" t="n">
        <f aca="false">Costs!F47/FX_EUR</f>
        <v>0</v>
      </c>
      <c r="G47" s="32" t="n">
        <f aca="false">Costs!G47/FX_EUR</f>
        <v>0</v>
      </c>
      <c r="H47" s="32" t="n">
        <f aca="false">Costs!H47/FX_EUR</f>
        <v>132.630644996547</v>
      </c>
      <c r="I47" s="32" t="n">
        <f aca="false">Costs!I47/FX_EUR</f>
        <v>0</v>
      </c>
      <c r="J47" s="32" t="n">
        <f aca="false">Costs!J47/FX_EUR</f>
        <v>0</v>
      </c>
      <c r="K47" s="32" t="n">
        <f aca="false">Costs!K47/FX_EUR</f>
        <v>0</v>
      </c>
      <c r="L47" s="32" t="n">
        <f aca="false">Costs!L47/FX_EUR</f>
        <v>0</v>
      </c>
      <c r="M47" s="32" t="n">
        <f aca="false">Costs!M47/FX_EUR</f>
        <v>0</v>
      </c>
      <c r="N47" s="32" t="n">
        <f aca="false">Costs!N47/FX_EUR</f>
        <v>0</v>
      </c>
      <c r="O47" s="32" t="n">
        <f aca="false">Costs!O47/FX_EUR</f>
        <v>0</v>
      </c>
      <c r="P47" s="32" t="n">
        <f aca="false">Costs!P47/FX_EUR</f>
        <v>0</v>
      </c>
      <c r="Q47" s="32" t="n">
        <f aca="false">Costs!Q47/FX_EUR</f>
        <v>0</v>
      </c>
      <c r="R47" s="32" t="n">
        <f aca="false">Costs!R47/FX_EUR</f>
        <v>0</v>
      </c>
      <c r="S47" s="32" t="n">
        <f aca="false">Costs!S47/FX_EUR</f>
        <v>0</v>
      </c>
      <c r="T47" s="32" t="n">
        <f aca="false">Costs!T47/FX_EUR</f>
        <v>0</v>
      </c>
      <c r="U47" s="32" t="n">
        <f aca="false">Costs!U47/FX_EUR</f>
        <v>0</v>
      </c>
      <c r="V47" s="32" t="n">
        <f aca="false">Costs!V47/FX_EUR</f>
        <v>0</v>
      </c>
      <c r="W47" s="32" t="n">
        <f aca="false">Costs!W47/FX_EUR</f>
        <v>0</v>
      </c>
      <c r="X47" s="32" t="n">
        <f aca="false">Costs!X47/FX_EUR</f>
        <v>0</v>
      </c>
      <c r="Y47" s="32" t="n">
        <f aca="false">Costs!Y47/FX_EUR</f>
        <v>0</v>
      </c>
      <c r="Z47" s="32" t="n">
        <f aca="false">Costs!Z47/FX_EUR</f>
        <v>0</v>
      </c>
      <c r="AA47" s="32" t="n">
        <f aca="false">Costs!AA47/FX_EUR</f>
        <v>0</v>
      </c>
      <c r="AB47" s="32" t="n">
        <f aca="false">Costs!AB47/FX_EUR</f>
        <v>0</v>
      </c>
      <c r="AC47" s="32" t="n">
        <f aca="false">Costs!AC47/FX_EUR</f>
        <v>0</v>
      </c>
      <c r="AD47" s="32" t="n">
        <f aca="false">Costs!AD47/FX_EUR</f>
        <v>0</v>
      </c>
      <c r="AE47" s="32" t="n">
        <f aca="false">Costs!AE47/FX_EUR</f>
        <v>0</v>
      </c>
      <c r="AF47" s="32" t="n">
        <f aca="false">Costs!AF47/FX_EUR</f>
        <v>0</v>
      </c>
      <c r="AG47" s="32" t="n">
        <f aca="false">Costs!AG47/FX_EUR</f>
        <v>0</v>
      </c>
      <c r="AH47" s="32" t="n">
        <f aca="false">Costs!AH47/FX_EUR</f>
        <v>0</v>
      </c>
      <c r="AI47" s="32" t="n">
        <f aca="false">Costs!AI47/FX_EUR</f>
        <v>0</v>
      </c>
      <c r="AJ47" s="32" t="n">
        <f aca="false">Costs!AJ47/FX_EUR</f>
        <v>0</v>
      </c>
      <c r="AK47" s="32" t="n">
        <f aca="false">Costs!AK47/FX_EUR</f>
        <v>0</v>
      </c>
      <c r="AL47" s="32" t="n">
        <f aca="false">Costs!AL47/FX_EUR</f>
        <v>0</v>
      </c>
      <c r="AM47" s="32" t="n">
        <f aca="false">Costs!AM47/FX_EUR</f>
        <v>0</v>
      </c>
      <c r="AN47" s="32" t="n">
        <f aca="false">Costs!AN47/FX_EUR</f>
        <v>0</v>
      </c>
      <c r="AO47" s="32" t="n">
        <f aca="false">Costs!AO47/FX_EUR</f>
        <v>0</v>
      </c>
      <c r="AP47" s="32" t="n">
        <f aca="false">Costs!AP47/FX_EUR</f>
        <v>0</v>
      </c>
      <c r="AQ47" s="32" t="n">
        <f aca="false">Costs!AQ47/FX_EUR</f>
        <v>0</v>
      </c>
      <c r="AR47" s="32" t="n">
        <f aca="false">Costs!AR47/FX_EUR</f>
        <v>0</v>
      </c>
      <c r="AS47" s="32" t="n">
        <f aca="false">Costs!AS47/FX_EUR</f>
        <v>0</v>
      </c>
      <c r="AT47" s="32" t="n">
        <f aca="false">Costs!AT47/FX_EUR</f>
        <v>0</v>
      </c>
      <c r="AU47" s="32" t="n">
        <f aca="false">Costs!AU47/FX_EUR</f>
        <v>0</v>
      </c>
      <c r="AV47" s="32" t="n">
        <f aca="false">Costs!AV47/FX_EUR</f>
        <v>0</v>
      </c>
      <c r="AW47" s="32" t="n">
        <f aca="false">Costs!AW47/FX_EUR</f>
        <v>0</v>
      </c>
      <c r="AX47" s="32" t="n">
        <f aca="false">Costs!AX47/FX_EUR</f>
        <v>0</v>
      </c>
      <c r="AY47" s="32" t="n">
        <f aca="false">Costs!AY47/FX_EUR</f>
        <v>0</v>
      </c>
      <c r="AZ47" s="32" t="n">
        <f aca="false">Costs!AZ47/FX_EUR</f>
        <v>0</v>
      </c>
      <c r="BA47" s="32" t="n">
        <f aca="false">Costs!BA47/FX_EUR</f>
        <v>0</v>
      </c>
      <c r="BB47" s="32" t="n">
        <f aca="false">Costs!BB47/FX_EUR</f>
        <v>0</v>
      </c>
      <c r="BC47" s="32" t="n">
        <f aca="false">Costs!BC47/FX_EUR</f>
        <v>0</v>
      </c>
      <c r="BD47" s="32" t="n">
        <f aca="false">Costs!BD47/FX_EUR</f>
        <v>0</v>
      </c>
      <c r="BE47" s="32" t="n">
        <f aca="false">Costs!BE47/FX_EUR</f>
        <v>0</v>
      </c>
      <c r="BF47" s="32" t="n">
        <f aca="false">Costs!BF47/FX_EUR</f>
        <v>0</v>
      </c>
      <c r="BG47" s="32" t="n">
        <f aca="false">Costs!BG47/FX_EUR</f>
        <v>0</v>
      </c>
      <c r="BH47" s="32" t="n">
        <f aca="false">Costs!BH47/FX_EUR</f>
        <v>0</v>
      </c>
      <c r="BI47" s="32" t="n">
        <f aca="false">Costs!BI47/FX_EUR</f>
        <v>0</v>
      </c>
      <c r="BJ47" s="32" t="n">
        <f aca="false">Costs!BJ47/FX_EUR</f>
        <v>0</v>
      </c>
      <c r="BK47" s="32" t="n">
        <f aca="false">Costs!BK47/FX_EUR</f>
        <v>0</v>
      </c>
      <c r="BL47" s="32" t="n">
        <f aca="false">Costs!BL47/FX_EUR</f>
        <v>0</v>
      </c>
    </row>
    <row r="48" customFormat="false" ht="15" hidden="false" customHeight="false" outlineLevel="0" collapsed="false">
      <c r="A48" s="12" t="s">
        <v>1076</v>
      </c>
      <c r="B48" s="14" t="s">
        <v>79</v>
      </c>
      <c r="D48" s="55" t="n">
        <f aca="false">Costs!D48/FX_EUR</f>
        <v>30128.3773174156</v>
      </c>
      <c r="E48" s="32" t="n">
        <f aca="false">Costs!E48/FX_EUR</f>
        <v>79.5783869979282</v>
      </c>
      <c r="F48" s="32" t="n">
        <f aca="false">Costs!F48/FX_EUR</f>
        <v>79.5783869979282</v>
      </c>
      <c r="G48" s="32" t="n">
        <f aca="false">Costs!G48/FX_EUR</f>
        <v>79.5783869979282</v>
      </c>
      <c r="H48" s="32" t="n">
        <f aca="false">Costs!H48/FX_EUR</f>
        <v>159.156773995856</v>
      </c>
      <c r="I48" s="32" t="n">
        <f aca="false">Costs!I48/FX_EUR</f>
        <v>175.072451395442</v>
      </c>
      <c r="J48" s="32" t="n">
        <f aca="false">Costs!J48/FX_EUR</f>
        <v>175.072451395442</v>
      </c>
      <c r="K48" s="32" t="n">
        <f aca="false">Costs!K48/FX_EUR</f>
        <v>175.072451395442</v>
      </c>
      <c r="L48" s="32" t="n">
        <f aca="false">Costs!L48/FX_EUR</f>
        <v>175.072451395442</v>
      </c>
      <c r="M48" s="32" t="n">
        <f aca="false">Costs!M48/FX_EUR</f>
        <v>175.072451395442</v>
      </c>
      <c r="N48" s="32" t="n">
        <f aca="false">Costs!N48/FX_EUR</f>
        <v>175.072451395442</v>
      </c>
      <c r="O48" s="32" t="n">
        <f aca="false">Costs!O48/FX_EUR</f>
        <v>175.072451395442</v>
      </c>
      <c r="P48" s="32" t="n">
        <f aca="false">Costs!P48/FX_EUR</f>
        <v>175.072451395442</v>
      </c>
      <c r="Q48" s="32" t="n">
        <f aca="false">Costs!Q48/FX_EUR</f>
        <v>190.988128795028</v>
      </c>
      <c r="R48" s="32" t="n">
        <f aca="false">Costs!R48/FX_EUR</f>
        <v>190.988128795028</v>
      </c>
      <c r="S48" s="32" t="n">
        <f aca="false">Costs!S48/FX_EUR</f>
        <v>190.988128795028</v>
      </c>
      <c r="T48" s="32" t="n">
        <f aca="false">Costs!T48/FX_EUR</f>
        <v>206.903806194613</v>
      </c>
      <c r="U48" s="32" t="n">
        <f aca="false">Costs!U48/FX_EUR</f>
        <v>206.903806194613</v>
      </c>
      <c r="V48" s="32" t="n">
        <f aca="false">Costs!V48/FX_EUR</f>
        <v>254.65083839337</v>
      </c>
      <c r="W48" s="32" t="n">
        <f aca="false">Costs!W48/FX_EUR</f>
        <v>254.65083839337</v>
      </c>
      <c r="X48" s="32" t="n">
        <f aca="false">Costs!X48/FX_EUR</f>
        <v>270.566515792956</v>
      </c>
      <c r="Y48" s="32" t="n">
        <f aca="false">Costs!Y48/FX_EUR</f>
        <v>286.482193192542</v>
      </c>
      <c r="Z48" s="32" t="n">
        <f aca="false">Costs!Z48/FX_EUR</f>
        <v>286.482193192542</v>
      </c>
      <c r="AA48" s="32" t="n">
        <f aca="false">Costs!AA48/FX_EUR</f>
        <v>286.482193192542</v>
      </c>
      <c r="AB48" s="32" t="n">
        <f aca="false">Costs!AB48/FX_EUR</f>
        <v>302.397870592127</v>
      </c>
      <c r="AC48" s="32" t="n">
        <f aca="false">Costs!AC48/FX_EUR</f>
        <v>318.313547991713</v>
      </c>
      <c r="AD48" s="32" t="n">
        <f aca="false">Costs!AD48/FX_EUR</f>
        <v>334.229225391299</v>
      </c>
      <c r="AE48" s="32" t="n">
        <f aca="false">Costs!AE48/FX_EUR</f>
        <v>334.229225391299</v>
      </c>
      <c r="AF48" s="32" t="n">
        <f aca="false">Costs!AF48/FX_EUR</f>
        <v>366.06058019047</v>
      </c>
      <c r="AG48" s="32" t="n">
        <f aca="false">Costs!AG48/FX_EUR</f>
        <v>413.807612389227</v>
      </c>
      <c r="AH48" s="32" t="n">
        <f aca="false">Costs!AH48/FX_EUR</f>
        <v>429.723289788812</v>
      </c>
      <c r="AI48" s="32" t="n">
        <f aca="false">Costs!AI48/FX_EUR</f>
        <v>445.638967188398</v>
      </c>
      <c r="AJ48" s="32" t="n">
        <f aca="false">Costs!AJ48/FX_EUR</f>
        <v>445.638967188398</v>
      </c>
      <c r="AK48" s="32" t="n">
        <f aca="false">Costs!AK48/FX_EUR</f>
        <v>461.554644587984</v>
      </c>
      <c r="AL48" s="32" t="n">
        <f aca="false">Costs!AL48/FX_EUR</f>
        <v>493.385999387155</v>
      </c>
      <c r="AM48" s="32" t="n">
        <f aca="false">Costs!AM48/FX_EUR</f>
        <v>509.301676786741</v>
      </c>
      <c r="AN48" s="32" t="n">
        <f aca="false">Costs!AN48/FX_EUR</f>
        <v>525.217354186326</v>
      </c>
      <c r="AO48" s="32" t="n">
        <f aca="false">Costs!AO48/FX_EUR</f>
        <v>557.048708985498</v>
      </c>
      <c r="AP48" s="32" t="n">
        <f aca="false">Costs!AP48/FX_EUR</f>
        <v>557.048708985498</v>
      </c>
      <c r="AQ48" s="32" t="n">
        <f aca="false">Costs!AQ48/FX_EUR</f>
        <v>588.880063784669</v>
      </c>
      <c r="AR48" s="32" t="n">
        <f aca="false">Costs!AR48/FX_EUR</f>
        <v>636.627095983426</v>
      </c>
      <c r="AS48" s="32" t="n">
        <f aca="false">Costs!AS48/FX_EUR</f>
        <v>636.627095983426</v>
      </c>
      <c r="AT48" s="32" t="n">
        <f aca="false">Costs!AT48/FX_EUR</f>
        <v>652.542773383011</v>
      </c>
      <c r="AU48" s="32" t="n">
        <f aca="false">Costs!AU48/FX_EUR</f>
        <v>700.289805581768</v>
      </c>
      <c r="AV48" s="32" t="n">
        <f aca="false">Costs!AV48/FX_EUR</f>
        <v>700.289805581768</v>
      </c>
      <c r="AW48" s="32" t="n">
        <f aca="false">Costs!AW48/FX_EUR</f>
        <v>748.036837780525</v>
      </c>
      <c r="AX48" s="32" t="n">
        <f aca="false">Costs!AX48/FX_EUR</f>
        <v>763.952515180111</v>
      </c>
      <c r="AY48" s="32" t="n">
        <f aca="false">Costs!AY48/FX_EUR</f>
        <v>779.868192579697</v>
      </c>
      <c r="AZ48" s="32" t="n">
        <f aca="false">Costs!AZ48/FX_EUR</f>
        <v>811.699547378868</v>
      </c>
      <c r="BA48" s="32" t="n">
        <f aca="false">Costs!BA48/FX_EUR</f>
        <v>843.530902178039</v>
      </c>
      <c r="BB48" s="32" t="n">
        <f aca="false">Costs!BB48/FX_EUR</f>
        <v>891.277934376796</v>
      </c>
      <c r="BC48" s="32" t="n">
        <f aca="false">Costs!BC48/FX_EUR</f>
        <v>907.193611776382</v>
      </c>
      <c r="BD48" s="32" t="n">
        <f aca="false">Costs!BD48/FX_EUR</f>
        <v>939.024966575553</v>
      </c>
      <c r="BE48" s="32" t="n">
        <f aca="false">Costs!BE48/FX_EUR</f>
        <v>954.940643975139</v>
      </c>
      <c r="BF48" s="32" t="n">
        <f aca="false">Costs!BF48/FX_EUR</f>
        <v>986.77199877431</v>
      </c>
      <c r="BG48" s="32" t="n">
        <f aca="false">Costs!BG48/FX_EUR</f>
        <v>1018.60335357348</v>
      </c>
      <c r="BH48" s="32" t="n">
        <f aca="false">Costs!BH48/FX_EUR</f>
        <v>1066.35038577224</v>
      </c>
      <c r="BI48" s="32" t="n">
        <f aca="false">Costs!BI48/FX_EUR</f>
        <v>1098.18174057141</v>
      </c>
      <c r="BJ48" s="32" t="n">
        <f aca="false">Costs!BJ48/FX_EUR</f>
        <v>1130.01309537058</v>
      </c>
      <c r="BK48" s="32" t="n">
        <f aca="false">Costs!BK48/FX_EUR</f>
        <v>1161.84445016975</v>
      </c>
      <c r="BL48" s="32" t="n">
        <f aca="false">Costs!BL48/FX_EUR</f>
        <v>1193.67580496892</v>
      </c>
    </row>
    <row r="49" customFormat="false" ht="15" hidden="false" customHeight="false" outlineLevel="0" collapsed="false">
      <c r="A49" s="12" t="s">
        <v>1077</v>
      </c>
      <c r="B49" s="14" t="s">
        <v>79</v>
      </c>
      <c r="D49" s="55" t="n">
        <f aca="false">Costs!D49/FX_EUR</f>
        <v>8200.99488228649</v>
      </c>
      <c r="E49" s="32" t="n">
        <f aca="false">Costs!E49/FX_EUR</f>
        <v>110.525537497123</v>
      </c>
      <c r="F49" s="32" t="n">
        <f aca="false">Costs!F49/FX_EUR</f>
        <v>110.525537497123</v>
      </c>
      <c r="G49" s="32" t="n">
        <f aca="false">Costs!G49/FX_EUR</f>
        <v>110.525537497123</v>
      </c>
      <c r="H49" s="32" t="n">
        <f aca="false">Costs!H49/FX_EUR</f>
        <v>110.525537497123</v>
      </c>
      <c r="I49" s="32" t="n">
        <f aca="false">Costs!I49/FX_EUR</f>
        <v>110.525537497123</v>
      </c>
      <c r="J49" s="32" t="n">
        <f aca="false">Costs!J49/FX_EUR</f>
        <v>110.525537497123</v>
      </c>
      <c r="K49" s="32" t="n">
        <f aca="false">Costs!K49/FX_EUR</f>
        <v>110.525537497123</v>
      </c>
      <c r="L49" s="32" t="n">
        <f aca="false">Costs!L49/FX_EUR</f>
        <v>110.525537497123</v>
      </c>
      <c r="M49" s="32" t="n">
        <f aca="false">Costs!M49/FX_EUR</f>
        <v>110.525537497123</v>
      </c>
      <c r="N49" s="32" t="n">
        <f aca="false">Costs!N49/FX_EUR</f>
        <v>110.525537497123</v>
      </c>
      <c r="O49" s="32" t="n">
        <f aca="false">Costs!O49/FX_EUR</f>
        <v>110.525537497123</v>
      </c>
      <c r="P49" s="32" t="n">
        <f aca="false">Costs!P49/FX_EUR</f>
        <v>110.525537497123</v>
      </c>
      <c r="Q49" s="32" t="n">
        <f aca="false">Costs!Q49/FX_EUR</f>
        <v>110.525537497123</v>
      </c>
      <c r="R49" s="32" t="n">
        <f aca="false">Costs!R49/FX_EUR</f>
        <v>110.525537497123</v>
      </c>
      <c r="S49" s="32" t="n">
        <f aca="false">Costs!S49/FX_EUR</f>
        <v>110.525537497123</v>
      </c>
      <c r="T49" s="32" t="n">
        <f aca="false">Costs!T49/FX_EUR</f>
        <v>110.525537497123</v>
      </c>
      <c r="U49" s="32" t="n">
        <f aca="false">Costs!U49/FX_EUR</f>
        <v>110.525537497123</v>
      </c>
      <c r="V49" s="32" t="n">
        <f aca="false">Costs!V49/FX_EUR</f>
        <v>110.525537497123</v>
      </c>
      <c r="W49" s="32" t="n">
        <f aca="false">Costs!W49/FX_EUR</f>
        <v>110.525537497123</v>
      </c>
      <c r="X49" s="32" t="n">
        <f aca="false">Costs!X49/FX_EUR</f>
        <v>110.525537497123</v>
      </c>
      <c r="Y49" s="32" t="n">
        <f aca="false">Costs!Y49/FX_EUR</f>
        <v>110.525537497123</v>
      </c>
      <c r="Z49" s="32" t="n">
        <f aca="false">Costs!Z49/FX_EUR</f>
        <v>110.525537497123</v>
      </c>
      <c r="AA49" s="32" t="n">
        <f aca="false">Costs!AA49/FX_EUR</f>
        <v>110.525537497123</v>
      </c>
      <c r="AB49" s="32" t="n">
        <f aca="false">Costs!AB49/FX_EUR</f>
        <v>110.525537497123</v>
      </c>
      <c r="AC49" s="32" t="n">
        <f aca="false">Costs!AC49/FX_EUR</f>
        <v>110.525537497123</v>
      </c>
      <c r="AD49" s="32" t="n">
        <f aca="false">Costs!AD49/FX_EUR</f>
        <v>110.525537497123</v>
      </c>
      <c r="AE49" s="32" t="n">
        <f aca="false">Costs!AE49/FX_EUR</f>
        <v>110.525537497123</v>
      </c>
      <c r="AF49" s="32" t="n">
        <f aca="false">Costs!AF49/FX_EUR</f>
        <v>132.630644996547</v>
      </c>
      <c r="AG49" s="32" t="n">
        <f aca="false">Costs!AG49/FX_EUR</f>
        <v>132.630644996547</v>
      </c>
      <c r="AH49" s="32" t="n">
        <f aca="false">Costs!AH49/FX_EUR</f>
        <v>132.630644996547</v>
      </c>
      <c r="AI49" s="32" t="n">
        <f aca="false">Costs!AI49/FX_EUR</f>
        <v>132.630644996547</v>
      </c>
      <c r="AJ49" s="32" t="n">
        <f aca="false">Costs!AJ49/FX_EUR</f>
        <v>132.630644996547</v>
      </c>
      <c r="AK49" s="32" t="n">
        <f aca="false">Costs!AK49/FX_EUR</f>
        <v>132.630644996547</v>
      </c>
      <c r="AL49" s="32" t="n">
        <f aca="false">Costs!AL49/FX_EUR</f>
        <v>132.630644996547</v>
      </c>
      <c r="AM49" s="32" t="n">
        <f aca="false">Costs!AM49/FX_EUR</f>
        <v>132.630644996547</v>
      </c>
      <c r="AN49" s="32" t="n">
        <f aca="false">Costs!AN49/FX_EUR</f>
        <v>132.630644996547</v>
      </c>
      <c r="AO49" s="32" t="n">
        <f aca="false">Costs!AO49/FX_EUR</f>
        <v>132.630644996547</v>
      </c>
      <c r="AP49" s="32" t="n">
        <f aca="false">Costs!AP49/FX_EUR</f>
        <v>132.630644996547</v>
      </c>
      <c r="AQ49" s="32" t="n">
        <f aca="false">Costs!AQ49/FX_EUR</f>
        <v>132.630644996547</v>
      </c>
      <c r="AR49" s="32" t="n">
        <f aca="false">Costs!AR49/FX_EUR</f>
        <v>154.735752495972</v>
      </c>
      <c r="AS49" s="32" t="n">
        <f aca="false">Costs!AS49/FX_EUR</f>
        <v>154.735752495972</v>
      </c>
      <c r="AT49" s="32" t="n">
        <f aca="false">Costs!AT49/FX_EUR</f>
        <v>154.735752495972</v>
      </c>
      <c r="AU49" s="32" t="n">
        <f aca="false">Costs!AU49/FX_EUR</f>
        <v>154.735752495972</v>
      </c>
      <c r="AV49" s="32" t="n">
        <f aca="false">Costs!AV49/FX_EUR</f>
        <v>154.735752495972</v>
      </c>
      <c r="AW49" s="32" t="n">
        <f aca="false">Costs!AW49/FX_EUR</f>
        <v>154.735752495972</v>
      </c>
      <c r="AX49" s="32" t="n">
        <f aca="false">Costs!AX49/FX_EUR</f>
        <v>154.735752495972</v>
      </c>
      <c r="AY49" s="32" t="n">
        <f aca="false">Costs!AY49/FX_EUR</f>
        <v>154.735752495972</v>
      </c>
      <c r="AZ49" s="32" t="n">
        <f aca="false">Costs!AZ49/FX_EUR</f>
        <v>154.735752495972</v>
      </c>
      <c r="BA49" s="32" t="n">
        <f aca="false">Costs!BA49/FX_EUR</f>
        <v>176.840859995396</v>
      </c>
      <c r="BB49" s="32" t="n">
        <f aca="false">Costs!BB49/FX_EUR</f>
        <v>176.840859995396</v>
      </c>
      <c r="BC49" s="32" t="n">
        <f aca="false">Costs!BC49/FX_EUR</f>
        <v>176.840859995396</v>
      </c>
      <c r="BD49" s="32" t="n">
        <f aca="false">Costs!BD49/FX_EUR</f>
        <v>176.840859995396</v>
      </c>
      <c r="BE49" s="32" t="n">
        <f aca="false">Costs!BE49/FX_EUR</f>
        <v>176.840859995396</v>
      </c>
      <c r="BF49" s="32" t="n">
        <f aca="false">Costs!BF49/FX_EUR</f>
        <v>176.840859995396</v>
      </c>
      <c r="BG49" s="32" t="n">
        <f aca="false">Costs!BG49/FX_EUR</f>
        <v>176.840859995396</v>
      </c>
      <c r="BH49" s="32" t="n">
        <f aca="false">Costs!BH49/FX_EUR</f>
        <v>198.945967494821</v>
      </c>
      <c r="BI49" s="32" t="n">
        <f aca="false">Costs!BI49/FX_EUR</f>
        <v>198.945967494821</v>
      </c>
      <c r="BJ49" s="32" t="n">
        <f aca="false">Costs!BJ49/FX_EUR</f>
        <v>198.945967494821</v>
      </c>
      <c r="BK49" s="32" t="n">
        <f aca="false">Costs!BK49/FX_EUR</f>
        <v>198.945967494821</v>
      </c>
      <c r="BL49" s="32" t="n">
        <f aca="false">Costs!BL49/FX_EUR</f>
        <v>198.945967494821</v>
      </c>
    </row>
    <row r="50" customFormat="false" ht="15" hidden="false" customHeight="false" outlineLevel="0" collapsed="false">
      <c r="A50" s="12" t="s">
        <v>1078</v>
      </c>
      <c r="B50" s="14" t="s">
        <v>79</v>
      </c>
      <c r="D50" s="55" t="n">
        <f aca="false">Costs!D50/FX_EUR</f>
        <v>1414.72687996317</v>
      </c>
      <c r="E50" s="32" t="n">
        <f aca="false">Costs!E50/FX_EUR</f>
        <v>23.5787813327195</v>
      </c>
      <c r="F50" s="32" t="n">
        <f aca="false">Costs!F50/FX_EUR</f>
        <v>23.5787813327195</v>
      </c>
      <c r="G50" s="32" t="n">
        <f aca="false">Costs!G50/FX_EUR</f>
        <v>23.5787813327195</v>
      </c>
      <c r="H50" s="32" t="n">
        <f aca="false">Costs!H50/FX_EUR</f>
        <v>23.5787813327195</v>
      </c>
      <c r="I50" s="32" t="n">
        <f aca="false">Costs!I50/FX_EUR</f>
        <v>23.5787813327195</v>
      </c>
      <c r="J50" s="32" t="n">
        <f aca="false">Costs!J50/FX_EUR</f>
        <v>23.5787813327195</v>
      </c>
      <c r="K50" s="32" t="n">
        <f aca="false">Costs!K50/FX_EUR</f>
        <v>23.5787813327195</v>
      </c>
      <c r="L50" s="32" t="n">
        <f aca="false">Costs!L50/FX_EUR</f>
        <v>23.5787813327195</v>
      </c>
      <c r="M50" s="32" t="n">
        <f aca="false">Costs!M50/FX_EUR</f>
        <v>23.5787813327195</v>
      </c>
      <c r="N50" s="32" t="n">
        <f aca="false">Costs!N50/FX_EUR</f>
        <v>23.5787813327195</v>
      </c>
      <c r="O50" s="32" t="n">
        <f aca="false">Costs!O50/FX_EUR</f>
        <v>23.5787813327195</v>
      </c>
      <c r="P50" s="32" t="n">
        <f aca="false">Costs!P50/FX_EUR</f>
        <v>23.5787813327195</v>
      </c>
      <c r="Q50" s="32" t="n">
        <f aca="false">Costs!Q50/FX_EUR</f>
        <v>23.5787813327195</v>
      </c>
      <c r="R50" s="32" t="n">
        <f aca="false">Costs!R50/FX_EUR</f>
        <v>23.5787813327195</v>
      </c>
      <c r="S50" s="32" t="n">
        <f aca="false">Costs!S50/FX_EUR</f>
        <v>23.5787813327195</v>
      </c>
      <c r="T50" s="32" t="n">
        <f aca="false">Costs!T50/FX_EUR</f>
        <v>23.5787813327195</v>
      </c>
      <c r="U50" s="32" t="n">
        <f aca="false">Costs!U50/FX_EUR</f>
        <v>23.5787813327195</v>
      </c>
      <c r="V50" s="32" t="n">
        <f aca="false">Costs!V50/FX_EUR</f>
        <v>23.5787813327195</v>
      </c>
      <c r="W50" s="32" t="n">
        <f aca="false">Costs!W50/FX_EUR</f>
        <v>23.5787813327195</v>
      </c>
      <c r="X50" s="32" t="n">
        <f aca="false">Costs!X50/FX_EUR</f>
        <v>23.5787813327195</v>
      </c>
      <c r="Y50" s="32" t="n">
        <f aca="false">Costs!Y50/FX_EUR</f>
        <v>23.5787813327195</v>
      </c>
      <c r="Z50" s="32" t="n">
        <f aca="false">Costs!Z50/FX_EUR</f>
        <v>23.5787813327195</v>
      </c>
      <c r="AA50" s="32" t="n">
        <f aca="false">Costs!AA50/FX_EUR</f>
        <v>23.5787813327195</v>
      </c>
      <c r="AB50" s="32" t="n">
        <f aca="false">Costs!AB50/FX_EUR</f>
        <v>23.5787813327195</v>
      </c>
      <c r="AC50" s="32" t="n">
        <f aca="false">Costs!AC50/FX_EUR</f>
        <v>23.5787813327195</v>
      </c>
      <c r="AD50" s="32" t="n">
        <f aca="false">Costs!AD50/FX_EUR</f>
        <v>23.5787813327195</v>
      </c>
      <c r="AE50" s="32" t="n">
        <f aca="false">Costs!AE50/FX_EUR</f>
        <v>23.5787813327195</v>
      </c>
      <c r="AF50" s="32" t="n">
        <f aca="false">Costs!AF50/FX_EUR</f>
        <v>23.5787813327195</v>
      </c>
      <c r="AG50" s="32" t="n">
        <f aca="false">Costs!AG50/FX_EUR</f>
        <v>23.5787813327195</v>
      </c>
      <c r="AH50" s="32" t="n">
        <f aca="false">Costs!AH50/FX_EUR</f>
        <v>23.5787813327195</v>
      </c>
      <c r="AI50" s="32" t="n">
        <f aca="false">Costs!AI50/FX_EUR</f>
        <v>23.5787813327195</v>
      </c>
      <c r="AJ50" s="32" t="n">
        <f aca="false">Costs!AJ50/FX_EUR</f>
        <v>23.5787813327195</v>
      </c>
      <c r="AK50" s="32" t="n">
        <f aca="false">Costs!AK50/FX_EUR</f>
        <v>23.5787813327195</v>
      </c>
      <c r="AL50" s="32" t="n">
        <f aca="false">Costs!AL50/FX_EUR</f>
        <v>23.5787813327195</v>
      </c>
      <c r="AM50" s="32" t="n">
        <f aca="false">Costs!AM50/FX_EUR</f>
        <v>23.5787813327195</v>
      </c>
      <c r="AN50" s="32" t="n">
        <f aca="false">Costs!AN50/FX_EUR</f>
        <v>23.5787813327195</v>
      </c>
      <c r="AO50" s="32" t="n">
        <f aca="false">Costs!AO50/FX_EUR</f>
        <v>23.5787813327195</v>
      </c>
      <c r="AP50" s="32" t="n">
        <f aca="false">Costs!AP50/FX_EUR</f>
        <v>23.5787813327195</v>
      </c>
      <c r="AQ50" s="32" t="n">
        <f aca="false">Costs!AQ50/FX_EUR</f>
        <v>23.5787813327195</v>
      </c>
      <c r="AR50" s="32" t="n">
        <f aca="false">Costs!AR50/FX_EUR</f>
        <v>23.5787813327195</v>
      </c>
      <c r="AS50" s="32" t="n">
        <f aca="false">Costs!AS50/FX_EUR</f>
        <v>23.5787813327195</v>
      </c>
      <c r="AT50" s="32" t="n">
        <f aca="false">Costs!AT50/FX_EUR</f>
        <v>23.5787813327195</v>
      </c>
      <c r="AU50" s="32" t="n">
        <f aca="false">Costs!AU50/FX_EUR</f>
        <v>23.5787813327195</v>
      </c>
      <c r="AV50" s="32" t="n">
        <f aca="false">Costs!AV50/FX_EUR</f>
        <v>23.5787813327195</v>
      </c>
      <c r="AW50" s="32" t="n">
        <f aca="false">Costs!AW50/FX_EUR</f>
        <v>23.5787813327195</v>
      </c>
      <c r="AX50" s="32" t="n">
        <f aca="false">Costs!AX50/FX_EUR</f>
        <v>23.5787813327195</v>
      </c>
      <c r="AY50" s="32" t="n">
        <f aca="false">Costs!AY50/FX_EUR</f>
        <v>23.5787813327195</v>
      </c>
      <c r="AZ50" s="32" t="n">
        <f aca="false">Costs!AZ50/FX_EUR</f>
        <v>23.5787813327195</v>
      </c>
      <c r="BA50" s="32" t="n">
        <f aca="false">Costs!BA50/FX_EUR</f>
        <v>23.5787813327195</v>
      </c>
      <c r="BB50" s="32" t="n">
        <f aca="false">Costs!BB50/FX_EUR</f>
        <v>23.5787813327195</v>
      </c>
      <c r="BC50" s="32" t="n">
        <f aca="false">Costs!BC50/FX_EUR</f>
        <v>23.5787813327195</v>
      </c>
      <c r="BD50" s="32" t="n">
        <f aca="false">Costs!BD50/FX_EUR</f>
        <v>23.5787813327195</v>
      </c>
      <c r="BE50" s="32" t="n">
        <f aca="false">Costs!BE50/FX_EUR</f>
        <v>23.5787813327195</v>
      </c>
      <c r="BF50" s="32" t="n">
        <f aca="false">Costs!BF50/FX_EUR</f>
        <v>23.5787813327195</v>
      </c>
      <c r="BG50" s="32" t="n">
        <f aca="false">Costs!BG50/FX_EUR</f>
        <v>23.5787813327195</v>
      </c>
      <c r="BH50" s="32" t="n">
        <f aca="false">Costs!BH50/FX_EUR</f>
        <v>23.5787813327195</v>
      </c>
      <c r="BI50" s="32" t="n">
        <f aca="false">Costs!BI50/FX_EUR</f>
        <v>23.5787813327195</v>
      </c>
      <c r="BJ50" s="32" t="n">
        <f aca="false">Costs!BJ50/FX_EUR</f>
        <v>23.5787813327195</v>
      </c>
      <c r="BK50" s="32" t="n">
        <f aca="false">Costs!BK50/FX_EUR</f>
        <v>23.5787813327195</v>
      </c>
      <c r="BL50" s="32" t="n">
        <f aca="false">Costs!BL50/FX_EUR</f>
        <v>23.5787813327195</v>
      </c>
    </row>
    <row r="51" customFormat="false" ht="15" hidden="false" customHeight="false" outlineLevel="0" collapsed="false">
      <c r="A51" s="12" t="s">
        <v>680</v>
      </c>
      <c r="B51" s="14" t="s">
        <v>79</v>
      </c>
      <c r="D51" s="55" t="n">
        <f aca="false">Costs!D51/FX_EUR</f>
        <v>53966.9521020433</v>
      </c>
      <c r="E51" s="32" t="n">
        <f aca="false">Costs!E51/FX_EUR</f>
        <v>1003.62269681295</v>
      </c>
      <c r="F51" s="32" t="n">
        <f aca="false">Costs!F51/FX_EUR</f>
        <v>1003.62269681295</v>
      </c>
      <c r="G51" s="32" t="n">
        <f aca="false">Costs!G51/FX_EUR</f>
        <v>1003.62269681295</v>
      </c>
      <c r="H51" s="32" t="n">
        <f aca="false">Costs!H51/FX_EUR</f>
        <v>1003.62269681295</v>
      </c>
      <c r="I51" s="32" t="n">
        <f aca="false">Costs!I51/FX_EUR</f>
        <v>1003.62269681295</v>
      </c>
      <c r="J51" s="32" t="n">
        <f aca="false">Costs!J51/FX_EUR</f>
        <v>1003.62269681295</v>
      </c>
      <c r="K51" s="32" t="n">
        <f aca="false">Costs!K51/FX_EUR</f>
        <v>1003.62269681295</v>
      </c>
      <c r="L51" s="32" t="n">
        <f aca="false">Costs!L51/FX_EUR</f>
        <v>1003.62269681295</v>
      </c>
      <c r="M51" s="32" t="n">
        <f aca="false">Costs!M51/FX_EUR</f>
        <v>1003.62269681295</v>
      </c>
      <c r="N51" s="32" t="n">
        <f aca="false">Costs!N51/FX_EUR</f>
        <v>1003.62269681295</v>
      </c>
      <c r="O51" s="32" t="n">
        <f aca="false">Costs!O51/FX_EUR</f>
        <v>1003.62269681295</v>
      </c>
      <c r="P51" s="32" t="n">
        <f aca="false">Costs!P51/FX_EUR</f>
        <v>1003.62269681295</v>
      </c>
      <c r="Q51" s="32" t="n">
        <f aca="false">Costs!Q51/FX_EUR</f>
        <v>1245.00030743885</v>
      </c>
      <c r="R51" s="32" t="n">
        <f aca="false">Costs!R51/FX_EUR</f>
        <v>1245.00030743885</v>
      </c>
      <c r="S51" s="32" t="n">
        <f aca="false">Costs!S51/FX_EUR</f>
        <v>1245.00030743885</v>
      </c>
      <c r="T51" s="32" t="n">
        <f aca="false">Costs!T51/FX_EUR</f>
        <v>1245.00030743885</v>
      </c>
      <c r="U51" s="32" t="n">
        <f aca="false">Costs!U51/FX_EUR</f>
        <v>1245.00030743885</v>
      </c>
      <c r="V51" s="32" t="n">
        <f aca="false">Costs!V51/FX_EUR</f>
        <v>1245.00030743885</v>
      </c>
      <c r="W51" s="32" t="n">
        <f aca="false">Costs!W51/FX_EUR</f>
        <v>1245.00030743885</v>
      </c>
      <c r="X51" s="32" t="n">
        <f aca="false">Costs!X51/FX_EUR</f>
        <v>1245.00030743885</v>
      </c>
      <c r="Y51" s="32" t="n">
        <f aca="false">Costs!Y51/FX_EUR</f>
        <v>1245.00030743885</v>
      </c>
      <c r="Z51" s="32" t="n">
        <f aca="false">Costs!Z51/FX_EUR</f>
        <v>1245.00030743885</v>
      </c>
      <c r="AA51" s="32" t="n">
        <f aca="false">Costs!AA51/FX_EUR</f>
        <v>1245.00030743885</v>
      </c>
      <c r="AB51" s="32" t="n">
        <f aca="false">Costs!AB51/FX_EUR</f>
        <v>1245.00030743885</v>
      </c>
      <c r="AC51" s="32" t="n">
        <f aca="false">Costs!AC51/FX_EUR</f>
        <v>749.541001417268</v>
      </c>
      <c r="AD51" s="32" t="n">
        <f aca="false">Costs!AD51/FX_EUR</f>
        <v>749.541001417268</v>
      </c>
      <c r="AE51" s="32" t="n">
        <f aca="false">Costs!AE51/FX_EUR</f>
        <v>749.541001417268</v>
      </c>
      <c r="AF51" s="32" t="n">
        <f aca="false">Costs!AF51/FX_EUR</f>
        <v>749.541001417268</v>
      </c>
      <c r="AG51" s="32" t="n">
        <f aca="false">Costs!AG51/FX_EUR</f>
        <v>749.541001417268</v>
      </c>
      <c r="AH51" s="32" t="n">
        <f aca="false">Costs!AH51/FX_EUR</f>
        <v>749.541001417268</v>
      </c>
      <c r="AI51" s="32" t="n">
        <f aca="false">Costs!AI51/FX_EUR</f>
        <v>749.541001417268</v>
      </c>
      <c r="AJ51" s="32" t="n">
        <f aca="false">Costs!AJ51/FX_EUR</f>
        <v>749.541001417268</v>
      </c>
      <c r="AK51" s="32" t="n">
        <f aca="false">Costs!AK51/FX_EUR</f>
        <v>749.541001417268</v>
      </c>
      <c r="AL51" s="32" t="n">
        <f aca="false">Costs!AL51/FX_EUR</f>
        <v>749.541001417268</v>
      </c>
      <c r="AM51" s="32" t="n">
        <f aca="false">Costs!AM51/FX_EUR</f>
        <v>749.541001417268</v>
      </c>
      <c r="AN51" s="32" t="n">
        <f aca="false">Costs!AN51/FX_EUR</f>
        <v>749.541001417268</v>
      </c>
      <c r="AO51" s="32" t="n">
        <f aca="false">Costs!AO51/FX_EUR</f>
        <v>749.541001417268</v>
      </c>
      <c r="AP51" s="32" t="n">
        <f aca="false">Costs!AP51/FX_EUR</f>
        <v>749.541001417268</v>
      </c>
      <c r="AQ51" s="32" t="n">
        <f aca="false">Costs!AQ51/FX_EUR</f>
        <v>749.541001417268</v>
      </c>
      <c r="AR51" s="32" t="n">
        <f aca="false">Costs!AR51/FX_EUR</f>
        <v>749.541001417268</v>
      </c>
      <c r="AS51" s="32" t="n">
        <f aca="false">Costs!AS51/FX_EUR</f>
        <v>749.541001417268</v>
      </c>
      <c r="AT51" s="32" t="n">
        <f aca="false">Costs!AT51/FX_EUR</f>
        <v>749.541001417268</v>
      </c>
      <c r="AU51" s="32" t="n">
        <f aca="false">Costs!AU51/FX_EUR</f>
        <v>749.541001417268</v>
      </c>
      <c r="AV51" s="32" t="n">
        <f aca="false">Costs!AV51/FX_EUR</f>
        <v>749.541001417268</v>
      </c>
      <c r="AW51" s="32" t="n">
        <f aca="false">Costs!AW51/FX_EUR</f>
        <v>749.541001417268</v>
      </c>
      <c r="AX51" s="32" t="n">
        <f aca="false">Costs!AX51/FX_EUR</f>
        <v>749.541001417268</v>
      </c>
      <c r="AY51" s="32" t="n">
        <f aca="false">Costs!AY51/FX_EUR</f>
        <v>749.541001417268</v>
      </c>
      <c r="AZ51" s="32" t="n">
        <f aca="false">Costs!AZ51/FX_EUR</f>
        <v>749.541001417268</v>
      </c>
      <c r="BA51" s="32" t="n">
        <f aca="false">Costs!BA51/FX_EUR</f>
        <v>749.541001417268</v>
      </c>
      <c r="BB51" s="32" t="n">
        <f aca="false">Costs!BB51/FX_EUR</f>
        <v>749.541001417268</v>
      </c>
      <c r="BC51" s="32" t="n">
        <f aca="false">Costs!BC51/FX_EUR</f>
        <v>749.541001417268</v>
      </c>
      <c r="BD51" s="32" t="n">
        <f aca="false">Costs!BD51/FX_EUR</f>
        <v>749.541001417268</v>
      </c>
      <c r="BE51" s="32" t="n">
        <f aca="false">Costs!BE51/FX_EUR</f>
        <v>749.541001417268</v>
      </c>
      <c r="BF51" s="32" t="n">
        <f aca="false">Costs!BF51/FX_EUR</f>
        <v>749.541001417268</v>
      </c>
      <c r="BG51" s="32" t="n">
        <f aca="false">Costs!BG51/FX_EUR</f>
        <v>749.541001417268</v>
      </c>
      <c r="BH51" s="32" t="n">
        <f aca="false">Costs!BH51/FX_EUR</f>
        <v>749.541001417268</v>
      </c>
      <c r="BI51" s="32" t="n">
        <f aca="false">Costs!BI51/FX_EUR</f>
        <v>749.541001417268</v>
      </c>
      <c r="BJ51" s="32" t="n">
        <f aca="false">Costs!BJ51/FX_EUR</f>
        <v>749.541001417268</v>
      </c>
      <c r="BK51" s="32" t="n">
        <f aca="false">Costs!BK51/FX_EUR</f>
        <v>749.541001417268</v>
      </c>
      <c r="BL51" s="32" t="n">
        <f aca="false">Costs!BL51/FX_EUR</f>
        <v>749.541001417268</v>
      </c>
    </row>
    <row r="52" customFormat="false" ht="15" hidden="false" customHeight="false" outlineLevel="0" collapsed="false">
      <c r="A52" s="12" t="s">
        <v>656</v>
      </c>
      <c r="B52" s="14" t="s">
        <v>79</v>
      </c>
      <c r="D52" s="55" t="n">
        <f aca="false">Costs!D52/FX_EUR</f>
        <v>44210.214998849</v>
      </c>
      <c r="E52" s="32" t="n">
        <f aca="false">Costs!E52/FX_EUR</f>
        <v>0</v>
      </c>
      <c r="F52" s="32" t="n">
        <f aca="false">Costs!F52/FX_EUR</f>
        <v>0</v>
      </c>
      <c r="G52" s="32" t="n">
        <f aca="false">Costs!G52/FX_EUR</f>
        <v>0</v>
      </c>
      <c r="H52" s="32" t="n">
        <f aca="false">Costs!H52/FX_EUR</f>
        <v>8842.0429997698</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8842.0429997698</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8842.0429997698</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8842.0429997698</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8842.0429997698</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1079</v>
      </c>
      <c r="B53" s="14" t="s">
        <v>79</v>
      </c>
      <c r="D53" s="55" t="n">
        <f aca="false">Costs!D53/FX_EUR</f>
        <v>44210.214998849</v>
      </c>
      <c r="E53" s="32" t="n">
        <f aca="false">Costs!E53/FX_EUR</f>
        <v>0</v>
      </c>
      <c r="F53" s="32" t="n">
        <f aca="false">Costs!F53/FX_EUR</f>
        <v>0</v>
      </c>
      <c r="G53" s="32" t="n">
        <f aca="false">Costs!G53/FX_EUR</f>
        <v>44210.214998849</v>
      </c>
      <c r="H53" s="32" t="n">
        <f aca="false">Costs!H53/FX_EUR</f>
        <v>0</v>
      </c>
      <c r="I53" s="32" t="n">
        <f aca="false">Costs!I53/FX_EUR</f>
        <v>0</v>
      </c>
      <c r="J53" s="32" t="n">
        <f aca="false">Costs!J53/FX_EUR</f>
        <v>0</v>
      </c>
      <c r="K53" s="32" t="n">
        <f aca="false">Costs!K53/FX_EUR</f>
        <v>0</v>
      </c>
      <c r="L53" s="32" t="n">
        <f aca="false">Costs!L53/FX_EUR</f>
        <v>0</v>
      </c>
      <c r="M53" s="32" t="n">
        <f aca="false">Costs!M53/FX_EUR</f>
        <v>0</v>
      </c>
      <c r="N53" s="32" t="n">
        <f aca="false">Costs!N53/FX_EUR</f>
        <v>0</v>
      </c>
      <c r="O53" s="32" t="n">
        <f aca="false">Costs!O53/FX_EUR</f>
        <v>0</v>
      </c>
      <c r="P53" s="32" t="n">
        <f aca="false">Costs!P53/FX_EUR</f>
        <v>0</v>
      </c>
      <c r="Q53" s="32" t="n">
        <f aca="false">Costs!Q53/FX_EUR</f>
        <v>0</v>
      </c>
      <c r="R53" s="32" t="n">
        <f aca="false">Costs!R53/FX_EUR</f>
        <v>0</v>
      </c>
      <c r="S53" s="32" t="n">
        <f aca="false">Costs!S53/FX_EUR</f>
        <v>0</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12" t="s">
        <v>1080</v>
      </c>
      <c r="B54" s="14" t="s">
        <v>79</v>
      </c>
      <c r="D54" s="55" t="n">
        <f aca="false">Costs!D54/FX_EUR</f>
        <v>25638.7965629655</v>
      </c>
      <c r="E54" s="32" t="n">
        <f aca="false">Costs!E54/FX_EUR</f>
        <v>0</v>
      </c>
      <c r="F54" s="32" t="n">
        <f aca="false">Costs!F54/FX_EUR</f>
        <v>0</v>
      </c>
      <c r="G54" s="32" t="n">
        <f aca="false">Costs!G54/FX_EUR</f>
        <v>0</v>
      </c>
      <c r="H54" s="32" t="n">
        <f aca="false">Costs!H54/FX_EUR</f>
        <v>0</v>
      </c>
      <c r="I54" s="32" t="n">
        <f aca="false">Costs!I54/FX_EUR</f>
        <v>4081.66998751443</v>
      </c>
      <c r="J54" s="32" t="n">
        <f aca="false">Costs!J54/FX_EUR</f>
        <v>3743.38058744704</v>
      </c>
      <c r="K54" s="32" t="n">
        <f aca="false">Costs!K54/FX_EUR</f>
        <v>3405.93421481896</v>
      </c>
      <c r="L54" s="32" t="n">
        <f aca="false">Costs!L54/FX_EUR</f>
        <v>3069.10288386186</v>
      </c>
      <c r="M54" s="32" t="n">
        <f aca="false">Costs!M54/FX_EUR</f>
        <v>2732.64910355088</v>
      </c>
      <c r="N54" s="32" t="n">
        <f aca="false">Costs!N54/FX_EUR</f>
        <v>2396.32523823803</v>
      </c>
      <c r="O54" s="32" t="n">
        <f aca="false">Costs!O54/FX_EUR</f>
        <v>2059.8728311472</v>
      </c>
      <c r="P54" s="32" t="n">
        <f aca="false">Costs!P54/FX_EUR</f>
        <v>1723.02188847959</v>
      </c>
      <c r="Q54" s="32" t="n">
        <f aca="false">Costs!Q54/FX_EUR</f>
        <v>1265.66519419559</v>
      </c>
      <c r="R54" s="32" t="n">
        <f aca="false">Costs!R54/FX_EUR</f>
        <v>808.870043924385</v>
      </c>
      <c r="S54" s="32" t="n">
        <f aca="false">Costs!S54/FX_EUR</f>
        <v>352.304589787505</v>
      </c>
      <c r="T54" s="32" t="n">
        <f aca="false">Costs!T54/FX_EUR</f>
        <v>0</v>
      </c>
      <c r="U54" s="32" t="n">
        <f aca="false">Costs!U54/FX_EUR</f>
        <v>0</v>
      </c>
      <c r="V54" s="32" t="n">
        <f aca="false">Costs!V54/FX_EUR</f>
        <v>0</v>
      </c>
      <c r="W54" s="32" t="n">
        <f aca="false">Costs!W54/FX_EUR</f>
        <v>0</v>
      </c>
      <c r="X54" s="32" t="n">
        <f aca="false">Costs!X54/FX_EUR</f>
        <v>0</v>
      </c>
      <c r="Y54" s="32" t="n">
        <f aca="false">Costs!Y54/FX_EUR</f>
        <v>0</v>
      </c>
      <c r="Z54" s="32" t="n">
        <f aca="false">Costs!Z54/FX_EUR</f>
        <v>0</v>
      </c>
      <c r="AA54" s="32" t="n">
        <f aca="false">Costs!AA54/FX_EUR</f>
        <v>0</v>
      </c>
      <c r="AB54" s="32" t="n">
        <f aca="false">Costs!AB54/FX_EUR</f>
        <v>0</v>
      </c>
      <c r="AC54" s="32" t="n">
        <f aca="false">Costs!AC54/FX_EUR</f>
        <v>0</v>
      </c>
      <c r="AD54" s="32" t="n">
        <f aca="false">Costs!AD54/FX_EUR</f>
        <v>0</v>
      </c>
      <c r="AE54" s="32" t="n">
        <f aca="false">Costs!AE54/FX_EUR</f>
        <v>0</v>
      </c>
      <c r="AF54" s="32" t="n">
        <f aca="false">Costs!AF54/FX_EUR</f>
        <v>0</v>
      </c>
      <c r="AG54" s="32" t="n">
        <f aca="false">Costs!AG54/FX_EUR</f>
        <v>0</v>
      </c>
      <c r="AH54" s="32" t="n">
        <f aca="false">Costs!AH54/FX_EUR</f>
        <v>0</v>
      </c>
      <c r="AI54" s="32" t="n">
        <f aca="false">Costs!AI54/FX_EUR</f>
        <v>0</v>
      </c>
      <c r="AJ54" s="32" t="n">
        <f aca="false">Costs!AJ54/FX_EUR</f>
        <v>0</v>
      </c>
      <c r="AK54" s="32" t="n">
        <f aca="false">Costs!AK54/FX_EUR</f>
        <v>0</v>
      </c>
      <c r="AL54" s="32" t="n">
        <f aca="false">Costs!AL54/FX_EUR</f>
        <v>0</v>
      </c>
      <c r="AM54" s="32" t="n">
        <f aca="false">Costs!AM54/FX_EUR</f>
        <v>0</v>
      </c>
      <c r="AN54" s="32" t="n">
        <f aca="false">Costs!AN54/FX_EUR</f>
        <v>0</v>
      </c>
      <c r="AO54" s="32" t="n">
        <f aca="false">Costs!AO54/FX_EUR</f>
        <v>0</v>
      </c>
      <c r="AP54" s="32" t="n">
        <f aca="false">Costs!AP54/FX_EUR</f>
        <v>0</v>
      </c>
      <c r="AQ54" s="32" t="n">
        <f aca="false">Costs!AQ54/FX_EUR</f>
        <v>0</v>
      </c>
      <c r="AR54" s="32" t="n">
        <f aca="false">Costs!AR54/FX_EUR</f>
        <v>0</v>
      </c>
      <c r="AS54" s="32" t="n">
        <f aca="false">Costs!AS54/FX_EUR</f>
        <v>0</v>
      </c>
      <c r="AT54" s="32" t="n">
        <f aca="false">Costs!AT54/FX_EUR</f>
        <v>0</v>
      </c>
      <c r="AU54" s="32" t="n">
        <f aca="false">Costs!AU54/FX_EUR</f>
        <v>0</v>
      </c>
      <c r="AV54" s="32" t="n">
        <f aca="false">Costs!AV54/FX_EUR</f>
        <v>0</v>
      </c>
      <c r="AW54" s="32" t="n">
        <f aca="false">Costs!AW54/FX_EUR</f>
        <v>0</v>
      </c>
      <c r="AX54" s="32" t="n">
        <f aca="false">Costs!AX54/FX_EUR</f>
        <v>0</v>
      </c>
      <c r="AY54" s="32" t="n">
        <f aca="false">Costs!AY54/FX_EUR</f>
        <v>0</v>
      </c>
      <c r="AZ54" s="32" t="n">
        <f aca="false">Costs!AZ54/FX_EUR</f>
        <v>0</v>
      </c>
      <c r="BA54" s="32" t="n">
        <f aca="false">Costs!BA54/FX_EUR</f>
        <v>0</v>
      </c>
      <c r="BB54" s="32" t="n">
        <f aca="false">Costs!BB54/FX_EUR</f>
        <v>0</v>
      </c>
      <c r="BC54" s="32" t="n">
        <f aca="false">Costs!BC54/FX_EUR</f>
        <v>0</v>
      </c>
      <c r="BD54" s="32" t="n">
        <f aca="false">Costs!BD54/FX_EUR</f>
        <v>0</v>
      </c>
      <c r="BE54" s="32" t="n">
        <f aca="false">Costs!BE54/FX_EUR</f>
        <v>0</v>
      </c>
      <c r="BF54" s="32" t="n">
        <f aca="false">Costs!BF54/FX_EUR</f>
        <v>0</v>
      </c>
      <c r="BG54" s="32" t="n">
        <f aca="false">Costs!BG54/FX_EUR</f>
        <v>0</v>
      </c>
      <c r="BH54" s="32" t="n">
        <f aca="false">Costs!BH54/FX_EUR</f>
        <v>0</v>
      </c>
      <c r="BI54" s="32" t="n">
        <f aca="false">Costs!BI54/FX_EUR</f>
        <v>0</v>
      </c>
      <c r="BJ54" s="32" t="n">
        <f aca="false">Costs!BJ54/FX_EUR</f>
        <v>0</v>
      </c>
      <c r="BK54" s="32" t="n">
        <f aca="false">Costs!BK54/FX_EUR</f>
        <v>0</v>
      </c>
      <c r="BL54" s="32" t="n">
        <f aca="false">Costs!BL54/FX_EUR</f>
        <v>0</v>
      </c>
    </row>
    <row r="55" customFormat="false" ht="15" hidden="false" customHeight="false" outlineLevel="0" collapsed="false">
      <c r="A55" s="8" t="s">
        <v>1081</v>
      </c>
      <c r="B55" s="14" t="s">
        <v>79</v>
      </c>
      <c r="D55" s="55" t="n">
        <f aca="false">Costs!D55/FX_EUR</f>
        <v>1090193.89697351</v>
      </c>
      <c r="E55" s="16" t="n">
        <f aca="false">Costs!E55/FX_EUR</f>
        <v>7713.79196095679</v>
      </c>
      <c r="F55" s="16" t="n">
        <f aca="false">Costs!F55/FX_EUR</f>
        <v>10366.4048608877</v>
      </c>
      <c r="G55" s="16" t="n">
        <f aca="false">Costs!G55/FX_EUR</f>
        <v>54576.6198597368</v>
      </c>
      <c r="H55" s="16" t="n">
        <f aca="false">Costs!H55/FX_EUR</f>
        <v>19420.656892652</v>
      </c>
      <c r="I55" s="16" t="n">
        <f aca="false">Costs!I55/FX_EUR</f>
        <v>14543.5689127997</v>
      </c>
      <c r="J55" s="16" t="n">
        <f aca="false">Costs!J55/FX_EUR</f>
        <v>14205.2795127323</v>
      </c>
      <c r="K55" s="16" t="n">
        <f aca="false">Costs!K55/FX_EUR</f>
        <v>13867.8331401042</v>
      </c>
      <c r="L55" s="16" t="n">
        <f aca="false">Costs!L55/FX_EUR</f>
        <v>13531.0018091471</v>
      </c>
      <c r="M55" s="16" t="n">
        <f aca="false">Costs!M55/FX_EUR</f>
        <v>13194.5480288361</v>
      </c>
      <c r="N55" s="16" t="n">
        <f aca="false">Costs!N55/FX_EUR</f>
        <v>12858.2241635233</v>
      </c>
      <c r="O55" s="16" t="n">
        <f aca="false">Costs!O55/FX_EUR</f>
        <v>12521.7717564324</v>
      </c>
      <c r="P55" s="16" t="n">
        <f aca="false">Costs!P55/FX_EUR</f>
        <v>12184.9208137648</v>
      </c>
      <c r="Q55" s="16" t="n">
        <f aca="false">Costs!Q55/FX_EUR</f>
        <v>14563.7866157725</v>
      </c>
      <c r="R55" s="16" t="n">
        <f aca="false">Costs!R55/FX_EUR</f>
        <v>14106.9914655013</v>
      </c>
      <c r="S55" s="16" t="n">
        <f aca="false">Costs!S55/FX_EUR</f>
        <v>13650.4260113644</v>
      </c>
      <c r="T55" s="16" t="n">
        <f aca="false">Costs!T55/FX_EUR</f>
        <v>22156.0800987463</v>
      </c>
      <c r="U55" s="16" t="n">
        <f aca="false">Costs!U55/FX_EUR</f>
        <v>13314.0370989765</v>
      </c>
      <c r="V55" s="16" t="n">
        <f aca="false">Costs!V55/FX_EUR</f>
        <v>13361.7841311753</v>
      </c>
      <c r="W55" s="16" t="n">
        <f aca="false">Costs!W55/FX_EUR</f>
        <v>13361.7841311753</v>
      </c>
      <c r="X55" s="16" t="n">
        <f aca="false">Costs!X55/FX_EUR</f>
        <v>13377.6998085749</v>
      </c>
      <c r="Y55" s="16" t="n">
        <f aca="false">Costs!Y55/FX_EUR</f>
        <v>13393.6154859744</v>
      </c>
      <c r="Z55" s="16" t="n">
        <f aca="false">Costs!Z55/FX_EUR</f>
        <v>13393.6154859744</v>
      </c>
      <c r="AA55" s="16" t="n">
        <f aca="false">Costs!AA55/FX_EUR</f>
        <v>13393.6154859744</v>
      </c>
      <c r="AB55" s="16" t="n">
        <f aca="false">Costs!AB55/FX_EUR</f>
        <v>13409.531163374</v>
      </c>
      <c r="AC55" s="16" t="n">
        <f aca="false">Costs!AC55/FX_EUR</f>
        <v>16319.4373513304</v>
      </c>
      <c r="AD55" s="16" t="n">
        <f aca="false">Costs!AD55/FX_EUR</f>
        <v>16335.35302873</v>
      </c>
      <c r="AE55" s="16" t="n">
        <f aca="false">Costs!AE55/FX_EUR</f>
        <v>16335.35302873</v>
      </c>
      <c r="AF55" s="16" t="n">
        <f aca="false">Costs!AF55/FX_EUR</f>
        <v>25231.3324907984</v>
      </c>
      <c r="AG55" s="16" t="n">
        <f aca="false">Costs!AG55/FX_EUR</f>
        <v>16437.0365232274</v>
      </c>
      <c r="AH55" s="16" t="n">
        <f aca="false">Costs!AH55/FX_EUR</f>
        <v>16452.952200627</v>
      </c>
      <c r="AI55" s="16" t="n">
        <f aca="false">Costs!AI55/FX_EUR</f>
        <v>16468.8678780266</v>
      </c>
      <c r="AJ55" s="16" t="n">
        <f aca="false">Costs!AJ55/FX_EUR</f>
        <v>16468.8678780266</v>
      </c>
      <c r="AK55" s="16" t="n">
        <f aca="false">Costs!AK55/FX_EUR</f>
        <v>16484.7835554261</v>
      </c>
      <c r="AL55" s="16" t="n">
        <f aca="false">Costs!AL55/FX_EUR</f>
        <v>16516.6149102253</v>
      </c>
      <c r="AM55" s="16" t="n">
        <f aca="false">Costs!AM55/FX_EUR</f>
        <v>16532.5305876249</v>
      </c>
      <c r="AN55" s="16" t="n">
        <f aca="false">Costs!AN55/FX_EUR</f>
        <v>16548.4462650245</v>
      </c>
      <c r="AO55" s="16" t="n">
        <f aca="false">Costs!AO55/FX_EUR</f>
        <v>19085.5231364251</v>
      </c>
      <c r="AP55" s="16" t="n">
        <f aca="false">Costs!AP55/FX_EUR</f>
        <v>19085.5231364251</v>
      </c>
      <c r="AQ55" s="16" t="n">
        <f aca="false">Costs!AQ55/FX_EUR</f>
        <v>19117.3544912243</v>
      </c>
      <c r="AR55" s="16" t="n">
        <f aca="false">Costs!AR55/FX_EUR</f>
        <v>28029.2496306923</v>
      </c>
      <c r="AS55" s="16" t="n">
        <f aca="false">Costs!AS55/FX_EUR</f>
        <v>19187.2066309225</v>
      </c>
      <c r="AT55" s="16" t="n">
        <f aca="false">Costs!AT55/FX_EUR</f>
        <v>19203.122308322</v>
      </c>
      <c r="AU55" s="16" t="n">
        <f aca="false">Costs!AU55/FX_EUR</f>
        <v>19250.8693405208</v>
      </c>
      <c r="AV55" s="16" t="n">
        <f aca="false">Costs!AV55/FX_EUR</f>
        <v>19250.8693405208</v>
      </c>
      <c r="AW55" s="16" t="n">
        <f aca="false">Costs!AW55/FX_EUR</f>
        <v>19298.6163727196</v>
      </c>
      <c r="AX55" s="16" t="n">
        <f aca="false">Costs!AX55/FX_EUR</f>
        <v>19314.5320501191</v>
      </c>
      <c r="AY55" s="16" t="n">
        <f aca="false">Costs!AY55/FX_EUR</f>
        <v>19330.4477275187</v>
      </c>
      <c r="AZ55" s="16" t="n">
        <f aca="false">Costs!AZ55/FX_EUR</f>
        <v>19362.2790823179</v>
      </c>
      <c r="BA55" s="16" t="n">
        <f aca="false">Costs!BA55/FX_EUR</f>
        <v>21921.4610612179</v>
      </c>
      <c r="BB55" s="16" t="n">
        <f aca="false">Costs!BB55/FX_EUR</f>
        <v>21969.2080934167</v>
      </c>
      <c r="BC55" s="16" t="n">
        <f aca="false">Costs!BC55/FX_EUR</f>
        <v>21985.1237708163</v>
      </c>
      <c r="BD55" s="16" t="n">
        <f aca="false">Costs!BD55/FX_EUR</f>
        <v>30858.9981253853</v>
      </c>
      <c r="BE55" s="16" t="n">
        <f aca="false">Costs!BE55/FX_EUR</f>
        <v>22032.870803015</v>
      </c>
      <c r="BF55" s="16" t="n">
        <f aca="false">Costs!BF55/FX_EUR</f>
        <v>22064.7021578142</v>
      </c>
      <c r="BG55" s="16" t="n">
        <f aca="false">Costs!BG55/FX_EUR</f>
        <v>22096.5335126134</v>
      </c>
      <c r="BH55" s="16" t="n">
        <f aca="false">Costs!BH55/FX_EUR</f>
        <v>22166.3856523116</v>
      </c>
      <c r="BI55" s="16" t="n">
        <f aca="false">Costs!BI55/FX_EUR</f>
        <v>22198.2170071107</v>
      </c>
      <c r="BJ55" s="16" t="n">
        <f aca="false">Costs!BJ55/FX_EUR</f>
        <v>22230.0483619099</v>
      </c>
      <c r="BK55" s="16" t="n">
        <f aca="false">Costs!BK55/FX_EUR</f>
        <v>22261.8797167091</v>
      </c>
      <c r="BL55" s="16" t="n">
        <f aca="false">Costs!BL55/FX_EUR</f>
        <v>22293.7110715082</v>
      </c>
    </row>
    <row r="57" customFormat="false" ht="15" hidden="false" customHeight="false" outlineLevel="0" collapsed="false">
      <c r="A57" s="10" t="s">
        <v>686</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1082</v>
      </c>
      <c r="B58" s="14" t="s">
        <v>79</v>
      </c>
      <c r="D58" s="55" t="n">
        <f aca="false">Costs!D58/FX_EUR</f>
        <v>22867.3525856116</v>
      </c>
      <c r="E58" s="32" t="n">
        <f aca="false">Costs!E58/FX_EUR</f>
        <v>0</v>
      </c>
      <c r="F58" s="32" t="n">
        <f aca="false">Costs!F58/FX_EUR</f>
        <v>22867.3525856116</v>
      </c>
      <c r="G58" s="32" t="n">
        <f aca="false">Costs!G58/FX_EUR</f>
        <v>0</v>
      </c>
      <c r="H58" s="32" t="n">
        <f aca="false">Costs!H58/FX_EUR</f>
        <v>0</v>
      </c>
      <c r="I58" s="32" t="n">
        <f aca="false">Costs!I58/FX_EUR</f>
        <v>0</v>
      </c>
      <c r="J58" s="32" t="n">
        <f aca="false">Costs!J58/FX_EUR</f>
        <v>0</v>
      </c>
      <c r="K58" s="32" t="n">
        <f aca="false">Costs!K58/FX_EUR</f>
        <v>0</v>
      </c>
      <c r="L58" s="32" t="n">
        <f aca="false">Costs!L58/FX_EUR</f>
        <v>0</v>
      </c>
      <c r="M58" s="32" t="n">
        <f aca="false">Costs!M58/FX_EUR</f>
        <v>0</v>
      </c>
      <c r="N58" s="32" t="n">
        <f aca="false">Costs!N58/FX_EUR</f>
        <v>0</v>
      </c>
      <c r="O58" s="32" t="n">
        <f aca="false">Costs!O58/FX_EUR</f>
        <v>0</v>
      </c>
      <c r="P58" s="32" t="n">
        <f aca="false">Costs!P58/FX_EUR</f>
        <v>0</v>
      </c>
      <c r="Q58" s="32" t="n">
        <f aca="false">Costs!Q58/FX_EUR</f>
        <v>0</v>
      </c>
      <c r="R58" s="32" t="n">
        <f aca="false">Costs!R58/FX_EUR</f>
        <v>0</v>
      </c>
      <c r="S58" s="32" t="n">
        <f aca="false">Costs!S58/FX_EUR</f>
        <v>0</v>
      </c>
      <c r="T58" s="32" t="n">
        <f aca="false">Costs!T58/FX_EUR</f>
        <v>0</v>
      </c>
      <c r="U58" s="32" t="n">
        <f aca="false">Costs!U58/FX_EUR</f>
        <v>0</v>
      </c>
      <c r="V58" s="32" t="n">
        <f aca="false">Costs!V58/FX_EUR</f>
        <v>0</v>
      </c>
      <c r="W58" s="32" t="n">
        <f aca="false">Costs!W58/FX_EUR</f>
        <v>0</v>
      </c>
      <c r="X58" s="32" t="n">
        <f aca="false">Costs!X58/FX_EUR</f>
        <v>0</v>
      </c>
      <c r="Y58" s="32" t="n">
        <f aca="false">Costs!Y58/FX_EUR</f>
        <v>0</v>
      </c>
      <c r="Z58" s="32" t="n">
        <f aca="false">Costs!Z58/FX_EUR</f>
        <v>0</v>
      </c>
      <c r="AA58" s="32" t="n">
        <f aca="false">Costs!AA58/FX_EUR</f>
        <v>0</v>
      </c>
      <c r="AB58" s="32" t="n">
        <f aca="false">Costs!AB58/FX_EUR</f>
        <v>0</v>
      </c>
      <c r="AC58" s="32" t="n">
        <f aca="false">Costs!AC58/FX_EUR</f>
        <v>0</v>
      </c>
      <c r="AD58" s="32" t="n">
        <f aca="false">Costs!AD58/FX_EUR</f>
        <v>0</v>
      </c>
      <c r="AE58" s="32" t="n">
        <f aca="false">Costs!AE58/FX_EUR</f>
        <v>0</v>
      </c>
      <c r="AF58" s="32" t="n">
        <f aca="false">Costs!AF58/FX_EUR</f>
        <v>0</v>
      </c>
      <c r="AG58" s="32" t="n">
        <f aca="false">Costs!AG58/FX_EUR</f>
        <v>0</v>
      </c>
      <c r="AH58" s="32" t="n">
        <f aca="false">Costs!AH58/FX_EUR</f>
        <v>0</v>
      </c>
      <c r="AI58" s="32" t="n">
        <f aca="false">Costs!AI58/FX_EUR</f>
        <v>0</v>
      </c>
      <c r="AJ58" s="32" t="n">
        <f aca="false">Costs!AJ58/FX_EUR</f>
        <v>0</v>
      </c>
      <c r="AK58" s="32" t="n">
        <f aca="false">Costs!AK58/FX_EUR</f>
        <v>0</v>
      </c>
      <c r="AL58" s="32" t="n">
        <f aca="false">Costs!AL58/FX_EUR</f>
        <v>0</v>
      </c>
      <c r="AM58" s="32" t="n">
        <f aca="false">Costs!AM58/FX_EUR</f>
        <v>0</v>
      </c>
      <c r="AN58" s="32" t="n">
        <f aca="false">Costs!AN58/FX_EUR</f>
        <v>0</v>
      </c>
      <c r="AO58" s="32" t="n">
        <f aca="false">Costs!AO58/FX_EUR</f>
        <v>0</v>
      </c>
      <c r="AP58" s="32" t="n">
        <f aca="false">Costs!AP58/FX_EUR</f>
        <v>0</v>
      </c>
      <c r="AQ58" s="32" t="n">
        <f aca="false">Costs!AQ58/FX_EUR</f>
        <v>0</v>
      </c>
      <c r="AR58" s="32" t="n">
        <f aca="false">Costs!AR58/FX_EUR</f>
        <v>0</v>
      </c>
      <c r="AS58" s="32" t="n">
        <f aca="false">Costs!AS58/FX_EUR</f>
        <v>0</v>
      </c>
      <c r="AT58" s="32" t="n">
        <f aca="false">Costs!AT58/FX_EUR</f>
        <v>0</v>
      </c>
      <c r="AU58" s="32" t="n">
        <f aca="false">Costs!AU58/FX_EUR</f>
        <v>0</v>
      </c>
      <c r="AV58" s="32" t="n">
        <f aca="false">Costs!AV58/FX_EUR</f>
        <v>0</v>
      </c>
      <c r="AW58" s="32" t="n">
        <f aca="false">Costs!AW58/FX_EUR</f>
        <v>0</v>
      </c>
      <c r="AX58" s="32" t="n">
        <f aca="false">Costs!AX58/FX_EUR</f>
        <v>0</v>
      </c>
      <c r="AY58" s="32" t="n">
        <f aca="false">Costs!AY58/FX_EUR</f>
        <v>0</v>
      </c>
      <c r="AZ58" s="32" t="n">
        <f aca="false">Costs!AZ58/FX_EUR</f>
        <v>0</v>
      </c>
      <c r="BA58" s="32" t="n">
        <f aca="false">Costs!BA58/FX_EUR</f>
        <v>0</v>
      </c>
      <c r="BB58" s="32" t="n">
        <f aca="false">Costs!BB58/FX_EUR</f>
        <v>0</v>
      </c>
      <c r="BC58" s="32" t="n">
        <f aca="false">Costs!BC58/FX_EUR</f>
        <v>0</v>
      </c>
      <c r="BD58" s="32" t="n">
        <f aca="false">Costs!BD58/FX_EUR</f>
        <v>0</v>
      </c>
      <c r="BE58" s="32" t="n">
        <f aca="false">Costs!BE58/FX_EUR</f>
        <v>0</v>
      </c>
      <c r="BF58" s="32" t="n">
        <f aca="false">Costs!BF58/FX_EUR</f>
        <v>0</v>
      </c>
      <c r="BG58" s="32" t="n">
        <f aca="false">Costs!BG58/FX_EUR</f>
        <v>0</v>
      </c>
      <c r="BH58" s="32" t="n">
        <f aca="false">Costs!BH58/FX_EUR</f>
        <v>0</v>
      </c>
      <c r="BI58" s="32" t="n">
        <f aca="false">Costs!BI58/FX_EUR</f>
        <v>0</v>
      </c>
      <c r="BJ58" s="32" t="n">
        <f aca="false">Costs!BJ58/FX_EUR</f>
        <v>0</v>
      </c>
      <c r="BK58" s="32" t="n">
        <f aca="false">Costs!BK58/FX_EUR</f>
        <v>0</v>
      </c>
      <c r="BL58" s="32" t="n">
        <f aca="false">Costs!BL58/FX_EUR</f>
        <v>0</v>
      </c>
    </row>
    <row r="59" customFormat="false" ht="15" hidden="false" customHeight="false" outlineLevel="0" collapsed="false">
      <c r="A59" s="12" t="s">
        <v>691</v>
      </c>
      <c r="B59" s="14" t="s">
        <v>79</v>
      </c>
      <c r="D59" s="55" t="n">
        <f aca="false">Costs!D59/FX_EUR</f>
        <v>155497.997582159</v>
      </c>
      <c r="E59" s="32" t="n">
        <f aca="false">Costs!E59/FX_EUR</f>
        <v>0</v>
      </c>
      <c r="F59" s="32" t="n">
        <f aca="false">Costs!F59/FX_EUR</f>
        <v>0</v>
      </c>
      <c r="G59" s="32" t="n">
        <f aca="false">Costs!G59/FX_EUR</f>
        <v>0</v>
      </c>
      <c r="H59" s="32" t="n">
        <f aca="false">Costs!H59/FX_EUR</f>
        <v>0</v>
      </c>
      <c r="I59" s="32" t="n">
        <f aca="false">Costs!I59/FX_EUR</f>
        <v>2286.73525856116</v>
      </c>
      <c r="J59" s="32" t="n">
        <f aca="false">Costs!J59/FX_EUR</f>
        <v>2286.73525856116</v>
      </c>
      <c r="K59" s="32" t="n">
        <f aca="false">Costs!K59/FX_EUR</f>
        <v>2286.73525856116</v>
      </c>
      <c r="L59" s="32" t="n">
        <f aca="false">Costs!L59/FX_EUR</f>
        <v>2286.73525856116</v>
      </c>
      <c r="M59" s="32" t="n">
        <f aca="false">Costs!M59/FX_EUR</f>
        <v>2286.73525856116</v>
      </c>
      <c r="N59" s="32" t="n">
        <f aca="false">Costs!N59/FX_EUR</f>
        <v>2286.73525856116</v>
      </c>
      <c r="O59" s="32" t="n">
        <f aca="false">Costs!O59/FX_EUR</f>
        <v>2286.73525856116</v>
      </c>
      <c r="P59" s="32" t="n">
        <f aca="false">Costs!P59/FX_EUR</f>
        <v>2286.73525856116</v>
      </c>
      <c r="Q59" s="32" t="n">
        <f aca="false">Costs!Q59/FX_EUR</f>
        <v>2286.73525856116</v>
      </c>
      <c r="R59" s="32" t="n">
        <f aca="false">Costs!R59/FX_EUR</f>
        <v>2286.73525856116</v>
      </c>
      <c r="S59" s="32" t="n">
        <f aca="false">Costs!S59/FX_EUR</f>
        <v>2286.73525856116</v>
      </c>
      <c r="T59" s="32" t="n">
        <f aca="false">Costs!T59/FX_EUR</f>
        <v>2286.73525856116</v>
      </c>
      <c r="U59" s="32" t="n">
        <f aca="false">Costs!U59/FX_EUR</f>
        <v>2286.73525856116</v>
      </c>
      <c r="V59" s="32" t="n">
        <f aca="false">Costs!V59/FX_EUR</f>
        <v>2286.73525856116</v>
      </c>
      <c r="W59" s="32" t="n">
        <f aca="false">Costs!W59/FX_EUR</f>
        <v>2286.73525856116</v>
      </c>
      <c r="X59" s="32" t="n">
        <f aca="false">Costs!X59/FX_EUR</f>
        <v>2286.73525856116</v>
      </c>
      <c r="Y59" s="32" t="n">
        <f aca="false">Costs!Y59/FX_EUR</f>
        <v>2286.73525856116</v>
      </c>
      <c r="Z59" s="32" t="n">
        <f aca="false">Costs!Z59/FX_EUR</f>
        <v>2286.73525856116</v>
      </c>
      <c r="AA59" s="32" t="n">
        <f aca="false">Costs!AA59/FX_EUR</f>
        <v>2286.73525856116</v>
      </c>
      <c r="AB59" s="32" t="n">
        <f aca="false">Costs!AB59/FX_EUR</f>
        <v>2286.73525856116</v>
      </c>
      <c r="AC59" s="32" t="n">
        <f aca="false">Costs!AC59/FX_EUR</f>
        <v>3048.98034474821</v>
      </c>
      <c r="AD59" s="32" t="n">
        <f aca="false">Costs!AD59/FX_EUR</f>
        <v>3048.98034474821</v>
      </c>
      <c r="AE59" s="32" t="n">
        <f aca="false">Costs!AE59/FX_EUR</f>
        <v>3048.98034474821</v>
      </c>
      <c r="AF59" s="32" t="n">
        <f aca="false">Costs!AF59/FX_EUR</f>
        <v>3048.98034474821</v>
      </c>
      <c r="AG59" s="32" t="n">
        <f aca="false">Costs!AG59/FX_EUR</f>
        <v>3048.98034474821</v>
      </c>
      <c r="AH59" s="32" t="n">
        <f aca="false">Costs!AH59/FX_EUR</f>
        <v>3048.98034474821</v>
      </c>
      <c r="AI59" s="32" t="n">
        <f aca="false">Costs!AI59/FX_EUR</f>
        <v>3048.98034474821</v>
      </c>
      <c r="AJ59" s="32" t="n">
        <f aca="false">Costs!AJ59/FX_EUR</f>
        <v>3048.98034474821</v>
      </c>
      <c r="AK59" s="32" t="n">
        <f aca="false">Costs!AK59/FX_EUR</f>
        <v>3048.98034474821</v>
      </c>
      <c r="AL59" s="32" t="n">
        <f aca="false">Costs!AL59/FX_EUR</f>
        <v>3048.98034474821</v>
      </c>
      <c r="AM59" s="32" t="n">
        <f aca="false">Costs!AM59/FX_EUR</f>
        <v>3048.98034474821</v>
      </c>
      <c r="AN59" s="32" t="n">
        <f aca="false">Costs!AN59/FX_EUR</f>
        <v>3048.98034474821</v>
      </c>
      <c r="AO59" s="32" t="n">
        <f aca="false">Costs!AO59/FX_EUR</f>
        <v>3048.98034474821</v>
      </c>
      <c r="AP59" s="32" t="n">
        <f aca="false">Costs!AP59/FX_EUR</f>
        <v>3048.98034474821</v>
      </c>
      <c r="AQ59" s="32" t="n">
        <f aca="false">Costs!AQ59/FX_EUR</f>
        <v>3048.98034474821</v>
      </c>
      <c r="AR59" s="32" t="n">
        <f aca="false">Costs!AR59/FX_EUR</f>
        <v>3048.98034474821</v>
      </c>
      <c r="AS59" s="32" t="n">
        <f aca="false">Costs!AS59/FX_EUR</f>
        <v>3048.98034474821</v>
      </c>
      <c r="AT59" s="32" t="n">
        <f aca="false">Costs!AT59/FX_EUR</f>
        <v>3048.98034474821</v>
      </c>
      <c r="AU59" s="32" t="n">
        <f aca="false">Costs!AU59/FX_EUR</f>
        <v>3048.98034474821</v>
      </c>
      <c r="AV59" s="32" t="n">
        <f aca="false">Costs!AV59/FX_EUR</f>
        <v>3048.98034474821</v>
      </c>
      <c r="AW59" s="32" t="n">
        <f aca="false">Costs!AW59/FX_EUR</f>
        <v>3048.98034474821</v>
      </c>
      <c r="AX59" s="32" t="n">
        <f aca="false">Costs!AX59/FX_EUR</f>
        <v>3048.98034474821</v>
      </c>
      <c r="AY59" s="32" t="n">
        <f aca="false">Costs!AY59/FX_EUR</f>
        <v>3048.98034474821</v>
      </c>
      <c r="AZ59" s="32" t="n">
        <f aca="false">Costs!AZ59/FX_EUR</f>
        <v>3048.98034474821</v>
      </c>
      <c r="BA59" s="32" t="n">
        <f aca="false">Costs!BA59/FX_EUR</f>
        <v>3048.98034474821</v>
      </c>
      <c r="BB59" s="32" t="n">
        <f aca="false">Costs!BB59/FX_EUR</f>
        <v>3048.98034474821</v>
      </c>
      <c r="BC59" s="32" t="n">
        <f aca="false">Costs!BC59/FX_EUR</f>
        <v>3048.98034474821</v>
      </c>
      <c r="BD59" s="32" t="n">
        <f aca="false">Costs!BD59/FX_EUR</f>
        <v>3048.98034474821</v>
      </c>
      <c r="BE59" s="32" t="n">
        <f aca="false">Costs!BE59/FX_EUR</f>
        <v>3048.98034474821</v>
      </c>
      <c r="BF59" s="32" t="n">
        <f aca="false">Costs!BF59/FX_EUR</f>
        <v>3048.98034474821</v>
      </c>
      <c r="BG59" s="32" t="n">
        <f aca="false">Costs!BG59/FX_EUR</f>
        <v>3048.98034474821</v>
      </c>
      <c r="BH59" s="32" t="n">
        <f aca="false">Costs!BH59/FX_EUR</f>
        <v>3048.98034474821</v>
      </c>
      <c r="BI59" s="32" t="n">
        <f aca="false">Costs!BI59/FX_EUR</f>
        <v>3048.98034474821</v>
      </c>
      <c r="BJ59" s="32" t="n">
        <f aca="false">Costs!BJ59/FX_EUR</f>
        <v>3048.98034474821</v>
      </c>
      <c r="BK59" s="32" t="n">
        <f aca="false">Costs!BK59/FX_EUR</f>
        <v>3048.98034474821</v>
      </c>
      <c r="BL59" s="32" t="n">
        <f aca="false">Costs!BL59/FX_EUR</f>
        <v>3048.98034474821</v>
      </c>
    </row>
    <row r="60" customFormat="false" ht="15" hidden="false" customHeight="false" outlineLevel="0" collapsed="false">
      <c r="A60" s="12" t="s">
        <v>1083</v>
      </c>
      <c r="B60" s="14" t="s">
        <v>79</v>
      </c>
      <c r="D60" s="55" t="n">
        <f aca="false">Costs!D60/FX_EUR</f>
        <v>22867.3525856116</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22867.3525856116</v>
      </c>
      <c r="U60" s="32" t="n">
        <f aca="false">Costs!U60/FX_EUR</f>
        <v>0</v>
      </c>
      <c r="V60" s="32" t="n">
        <f aca="false">Costs!V60/FX_EUR</f>
        <v>0</v>
      </c>
      <c r="W60" s="32" t="n">
        <f aca="false">Costs!W60/FX_EUR</f>
        <v>0</v>
      </c>
      <c r="X60" s="32" t="n">
        <f aca="false">Costs!X60/FX_EUR</f>
        <v>0</v>
      </c>
      <c r="Y60" s="32" t="n">
        <f aca="false">Costs!Y60/FX_EUR</f>
        <v>0</v>
      </c>
      <c r="Z60" s="32" t="n">
        <f aca="false">Costs!Z60/FX_EUR</f>
        <v>0</v>
      </c>
      <c r="AA60" s="32" t="n">
        <f aca="false">Costs!AA60/FX_EUR</f>
        <v>0</v>
      </c>
      <c r="AB60" s="32" t="n">
        <f aca="false">Costs!AB60/FX_EUR</f>
        <v>0</v>
      </c>
      <c r="AC60" s="32" t="n">
        <f aca="false">Costs!AC60/FX_EUR</f>
        <v>0</v>
      </c>
      <c r="AD60" s="32" t="n">
        <f aca="false">Costs!AD60/FX_EUR</f>
        <v>0</v>
      </c>
      <c r="AE60" s="32" t="n">
        <f aca="false">Costs!AE60/FX_EUR</f>
        <v>0</v>
      </c>
      <c r="AF60" s="32" t="n">
        <f aca="false">Costs!AF60/FX_EUR</f>
        <v>0</v>
      </c>
      <c r="AG60" s="32" t="n">
        <f aca="false">Costs!AG60/FX_EUR</f>
        <v>0</v>
      </c>
      <c r="AH60" s="32" t="n">
        <f aca="false">Costs!AH60/FX_EUR</f>
        <v>0</v>
      </c>
      <c r="AI60" s="32" t="n">
        <f aca="false">Costs!AI60/FX_EUR</f>
        <v>0</v>
      </c>
      <c r="AJ60" s="32" t="n">
        <f aca="false">Costs!AJ60/FX_EUR</f>
        <v>0</v>
      </c>
      <c r="AK60" s="32" t="n">
        <f aca="false">Costs!AK60/FX_EUR</f>
        <v>0</v>
      </c>
      <c r="AL60" s="32" t="n">
        <f aca="false">Costs!AL60/FX_EUR</f>
        <v>0</v>
      </c>
      <c r="AM60" s="32" t="n">
        <f aca="false">Costs!AM60/FX_EUR</f>
        <v>0</v>
      </c>
      <c r="AN60" s="32" t="n">
        <f aca="false">Costs!AN60/FX_EUR</f>
        <v>0</v>
      </c>
      <c r="AO60" s="32" t="n">
        <f aca="false">Costs!AO60/FX_EUR</f>
        <v>0</v>
      </c>
      <c r="AP60" s="32" t="n">
        <f aca="false">Costs!AP60/FX_EUR</f>
        <v>0</v>
      </c>
      <c r="AQ60" s="32" t="n">
        <f aca="false">Costs!AQ60/FX_EUR</f>
        <v>0</v>
      </c>
      <c r="AR60" s="32" t="n">
        <f aca="false">Costs!AR60/FX_EUR</f>
        <v>0</v>
      </c>
      <c r="AS60" s="32" t="n">
        <f aca="false">Costs!AS60/FX_EUR</f>
        <v>0</v>
      </c>
      <c r="AT60" s="32" t="n">
        <f aca="false">Costs!AT60/FX_EUR</f>
        <v>0</v>
      </c>
      <c r="AU60" s="32" t="n">
        <f aca="false">Costs!AU60/FX_EUR</f>
        <v>0</v>
      </c>
      <c r="AV60" s="32" t="n">
        <f aca="false">Costs!AV60/FX_EUR</f>
        <v>0</v>
      </c>
      <c r="AW60" s="32" t="n">
        <f aca="false">Costs!AW60/FX_EUR</f>
        <v>0</v>
      </c>
      <c r="AX60" s="32" t="n">
        <f aca="false">Costs!AX60/FX_EUR</f>
        <v>0</v>
      </c>
      <c r="AY60" s="32" t="n">
        <f aca="false">Costs!AY60/FX_EUR</f>
        <v>0</v>
      </c>
      <c r="AZ60" s="32" t="n">
        <f aca="false">Costs!AZ60/FX_EUR</f>
        <v>0</v>
      </c>
      <c r="BA60" s="32" t="n">
        <f aca="false">Costs!BA60/FX_EUR</f>
        <v>0</v>
      </c>
      <c r="BB60" s="32" t="n">
        <f aca="false">Costs!BB60/FX_EUR</f>
        <v>0</v>
      </c>
      <c r="BC60" s="32" t="n">
        <f aca="false">Costs!BC60/FX_EUR</f>
        <v>0</v>
      </c>
      <c r="BD60" s="32" t="n">
        <f aca="false">Costs!BD60/FX_EUR</f>
        <v>0</v>
      </c>
      <c r="BE60" s="32" t="n">
        <f aca="false">Costs!BE60/FX_EUR</f>
        <v>0</v>
      </c>
      <c r="BF60" s="32" t="n">
        <f aca="false">Costs!BF60/FX_EUR</f>
        <v>0</v>
      </c>
      <c r="BG60" s="32" t="n">
        <f aca="false">Costs!BG60/FX_EUR</f>
        <v>0</v>
      </c>
      <c r="BH60" s="32" t="n">
        <f aca="false">Costs!BH60/FX_EUR</f>
        <v>0</v>
      </c>
      <c r="BI60" s="32" t="n">
        <f aca="false">Costs!BI60/FX_EUR</f>
        <v>0</v>
      </c>
      <c r="BJ60" s="32" t="n">
        <f aca="false">Costs!BJ60/FX_EUR</f>
        <v>0</v>
      </c>
      <c r="BK60" s="32" t="n">
        <f aca="false">Costs!BK60/FX_EUR</f>
        <v>0</v>
      </c>
      <c r="BL60" s="32" t="n">
        <f aca="false">Costs!BL60/FX_EUR</f>
        <v>0</v>
      </c>
    </row>
    <row r="61" customFormat="false" ht="15" hidden="false" customHeight="false" outlineLevel="0" collapsed="false">
      <c r="A61" s="12" t="s">
        <v>693</v>
      </c>
      <c r="B61" s="14" t="s">
        <v>79</v>
      </c>
      <c r="D61" s="55" t="n">
        <f aca="false">Costs!D61/FX_EUR</f>
        <v>123483.703962302</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0</v>
      </c>
      <c r="R61" s="32" t="n">
        <f aca="false">Costs!R61/FX_EUR</f>
        <v>0</v>
      </c>
      <c r="S61" s="32" t="n">
        <f aca="false">Costs!S61/FX_EUR</f>
        <v>0</v>
      </c>
      <c r="T61" s="32" t="n">
        <f aca="false">Costs!T61/FX_EUR</f>
        <v>0</v>
      </c>
      <c r="U61" s="32" t="n">
        <f aca="false">Costs!U61/FX_EUR</f>
        <v>0</v>
      </c>
      <c r="V61" s="32" t="n">
        <f aca="false">Costs!V61/FX_EUR</f>
        <v>0</v>
      </c>
      <c r="W61" s="32" t="n">
        <f aca="false">Costs!W61/FX_EUR</f>
        <v>2286.73525856116</v>
      </c>
      <c r="X61" s="32" t="n">
        <f aca="false">Costs!X61/FX_EUR</f>
        <v>2286.73525856116</v>
      </c>
      <c r="Y61" s="32" t="n">
        <f aca="false">Costs!Y61/FX_EUR</f>
        <v>2286.73525856116</v>
      </c>
      <c r="Z61" s="32" t="n">
        <f aca="false">Costs!Z61/FX_EUR</f>
        <v>2286.73525856116</v>
      </c>
      <c r="AA61" s="32" t="n">
        <f aca="false">Costs!AA61/FX_EUR</f>
        <v>2286.73525856116</v>
      </c>
      <c r="AB61" s="32" t="n">
        <f aca="false">Costs!AB61/FX_EUR</f>
        <v>2286.73525856116</v>
      </c>
      <c r="AC61" s="32" t="n">
        <f aca="false">Costs!AC61/FX_EUR</f>
        <v>3048.98034474821</v>
      </c>
      <c r="AD61" s="32" t="n">
        <f aca="false">Costs!AD61/FX_EUR</f>
        <v>3048.98034474821</v>
      </c>
      <c r="AE61" s="32" t="n">
        <f aca="false">Costs!AE61/FX_EUR</f>
        <v>3048.98034474821</v>
      </c>
      <c r="AF61" s="32" t="n">
        <f aca="false">Costs!AF61/FX_EUR</f>
        <v>3048.98034474821</v>
      </c>
      <c r="AG61" s="32" t="n">
        <f aca="false">Costs!AG61/FX_EUR</f>
        <v>3048.98034474821</v>
      </c>
      <c r="AH61" s="32" t="n">
        <f aca="false">Costs!AH61/FX_EUR</f>
        <v>3048.98034474821</v>
      </c>
      <c r="AI61" s="32" t="n">
        <f aca="false">Costs!AI61/FX_EUR</f>
        <v>3048.98034474821</v>
      </c>
      <c r="AJ61" s="32" t="n">
        <f aca="false">Costs!AJ61/FX_EUR</f>
        <v>3048.98034474821</v>
      </c>
      <c r="AK61" s="32" t="n">
        <f aca="false">Costs!AK61/FX_EUR</f>
        <v>3048.98034474821</v>
      </c>
      <c r="AL61" s="32" t="n">
        <f aca="false">Costs!AL61/FX_EUR</f>
        <v>3048.98034474821</v>
      </c>
      <c r="AM61" s="32" t="n">
        <f aca="false">Costs!AM61/FX_EUR</f>
        <v>3048.98034474821</v>
      </c>
      <c r="AN61" s="32" t="n">
        <f aca="false">Costs!AN61/FX_EUR</f>
        <v>3048.98034474821</v>
      </c>
      <c r="AO61" s="32" t="n">
        <f aca="false">Costs!AO61/FX_EUR</f>
        <v>3048.98034474821</v>
      </c>
      <c r="AP61" s="32" t="n">
        <f aca="false">Costs!AP61/FX_EUR</f>
        <v>3048.98034474821</v>
      </c>
      <c r="AQ61" s="32" t="n">
        <f aca="false">Costs!AQ61/FX_EUR</f>
        <v>3048.98034474821</v>
      </c>
      <c r="AR61" s="32" t="n">
        <f aca="false">Costs!AR61/FX_EUR</f>
        <v>3048.98034474821</v>
      </c>
      <c r="AS61" s="32" t="n">
        <f aca="false">Costs!AS61/FX_EUR</f>
        <v>3048.98034474821</v>
      </c>
      <c r="AT61" s="32" t="n">
        <f aca="false">Costs!AT61/FX_EUR</f>
        <v>3048.98034474821</v>
      </c>
      <c r="AU61" s="32" t="n">
        <f aca="false">Costs!AU61/FX_EUR</f>
        <v>3048.98034474821</v>
      </c>
      <c r="AV61" s="32" t="n">
        <f aca="false">Costs!AV61/FX_EUR</f>
        <v>3048.98034474821</v>
      </c>
      <c r="AW61" s="32" t="n">
        <f aca="false">Costs!AW61/FX_EUR</f>
        <v>3048.98034474821</v>
      </c>
      <c r="AX61" s="32" t="n">
        <f aca="false">Costs!AX61/FX_EUR</f>
        <v>3048.98034474821</v>
      </c>
      <c r="AY61" s="32" t="n">
        <f aca="false">Costs!AY61/FX_EUR</f>
        <v>3048.98034474821</v>
      </c>
      <c r="AZ61" s="32" t="n">
        <f aca="false">Costs!AZ61/FX_EUR</f>
        <v>3048.98034474821</v>
      </c>
      <c r="BA61" s="32" t="n">
        <f aca="false">Costs!BA61/FX_EUR</f>
        <v>3048.98034474821</v>
      </c>
      <c r="BB61" s="32" t="n">
        <f aca="false">Costs!BB61/FX_EUR</f>
        <v>3048.98034474821</v>
      </c>
      <c r="BC61" s="32" t="n">
        <f aca="false">Costs!BC61/FX_EUR</f>
        <v>3048.98034474821</v>
      </c>
      <c r="BD61" s="32" t="n">
        <f aca="false">Costs!BD61/FX_EUR</f>
        <v>3048.98034474821</v>
      </c>
      <c r="BE61" s="32" t="n">
        <f aca="false">Costs!BE61/FX_EUR</f>
        <v>3048.98034474821</v>
      </c>
      <c r="BF61" s="32" t="n">
        <f aca="false">Costs!BF61/FX_EUR</f>
        <v>3048.98034474821</v>
      </c>
      <c r="BG61" s="32" t="n">
        <f aca="false">Costs!BG61/FX_EUR</f>
        <v>3048.98034474821</v>
      </c>
      <c r="BH61" s="32" t="n">
        <f aca="false">Costs!BH61/FX_EUR</f>
        <v>3048.98034474821</v>
      </c>
      <c r="BI61" s="32" t="n">
        <f aca="false">Costs!BI61/FX_EUR</f>
        <v>3048.98034474821</v>
      </c>
      <c r="BJ61" s="32" t="n">
        <f aca="false">Costs!BJ61/FX_EUR</f>
        <v>3048.98034474821</v>
      </c>
      <c r="BK61" s="32" t="n">
        <f aca="false">Costs!BK61/FX_EUR</f>
        <v>3048.98034474821</v>
      </c>
      <c r="BL61" s="32" t="n">
        <f aca="false">Costs!BL61/FX_EUR</f>
        <v>3048.98034474821</v>
      </c>
    </row>
    <row r="62" customFormat="false" ht="15" hidden="false" customHeight="false" outlineLevel="0" collapsed="false">
      <c r="A62" s="12" t="s">
        <v>1084</v>
      </c>
      <c r="B62" s="14" t="s">
        <v>79</v>
      </c>
      <c r="D62" s="55" t="n">
        <f aca="false">Costs!D62/FX_EUR</f>
        <v>25916.3329303598</v>
      </c>
      <c r="E62" s="32" t="n">
        <f aca="false">Costs!E62/FX_EUR</f>
        <v>0</v>
      </c>
      <c r="F62" s="32" t="n">
        <f aca="false">Costs!F62/FX_EUR</f>
        <v>0</v>
      </c>
      <c r="G62" s="32" t="n">
        <f aca="false">Costs!G62/FX_EUR</f>
        <v>0</v>
      </c>
      <c r="H62" s="32" t="n">
        <f aca="false">Costs!H62/FX_EUR</f>
        <v>0</v>
      </c>
      <c r="I62" s="32" t="n">
        <f aca="false">Costs!I62/FX_EUR</f>
        <v>0</v>
      </c>
      <c r="J62" s="32" t="n">
        <f aca="false">Costs!J62/FX_EUR</f>
        <v>0</v>
      </c>
      <c r="K62" s="32" t="n">
        <f aca="false">Costs!K62/FX_EUR</f>
        <v>0</v>
      </c>
      <c r="L62" s="32" t="n">
        <f aca="false">Costs!L62/FX_EUR</f>
        <v>0</v>
      </c>
      <c r="M62" s="32" t="n">
        <f aca="false">Costs!M62/FX_EUR</f>
        <v>0</v>
      </c>
      <c r="N62" s="32" t="n">
        <f aca="false">Costs!N62/FX_EUR</f>
        <v>0</v>
      </c>
      <c r="O62" s="32" t="n">
        <f aca="false">Costs!O62/FX_EUR</f>
        <v>0</v>
      </c>
      <c r="P62" s="32" t="n">
        <f aca="false">Costs!P62/FX_EUR</f>
        <v>0</v>
      </c>
      <c r="Q62" s="32" t="n">
        <f aca="false">Costs!Q62/FX_EUR</f>
        <v>381.122543093526</v>
      </c>
      <c r="R62" s="32" t="n">
        <f aca="false">Costs!R62/FX_EUR</f>
        <v>381.122543093526</v>
      </c>
      <c r="S62" s="32" t="n">
        <f aca="false">Costs!S62/FX_EUR</f>
        <v>8003.57340496405</v>
      </c>
      <c r="T62" s="32" t="n">
        <f aca="false">Costs!T62/FX_EUR</f>
        <v>381.122543093526</v>
      </c>
      <c r="U62" s="32" t="n">
        <f aca="false">Costs!U62/FX_EUR</f>
        <v>381.122543093526</v>
      </c>
      <c r="V62" s="32" t="n">
        <f aca="false">Costs!V62/FX_EUR</f>
        <v>381.122543093526</v>
      </c>
      <c r="W62" s="32" t="n">
        <f aca="false">Costs!W62/FX_EUR</f>
        <v>381.122543093526</v>
      </c>
      <c r="X62" s="32" t="n">
        <f aca="false">Costs!X62/FX_EUR</f>
        <v>381.122543093526</v>
      </c>
      <c r="Y62" s="32" t="n">
        <f aca="false">Costs!Y62/FX_EUR</f>
        <v>381.122543093526</v>
      </c>
      <c r="Z62" s="32" t="n">
        <f aca="false">Costs!Z62/FX_EUR</f>
        <v>381.122543093526</v>
      </c>
      <c r="AA62" s="32" t="n">
        <f aca="false">Costs!AA62/FX_EUR</f>
        <v>381.122543093526</v>
      </c>
      <c r="AB62" s="32" t="n">
        <f aca="false">Costs!AB62/FX_EUR</f>
        <v>381.122543093526</v>
      </c>
      <c r="AC62" s="32" t="n">
        <f aca="false">Costs!AC62/FX_EUR</f>
        <v>381.122543093526</v>
      </c>
      <c r="AD62" s="32" t="n">
        <f aca="false">Costs!AD62/FX_EUR</f>
        <v>381.122543093526</v>
      </c>
      <c r="AE62" s="32" t="n">
        <f aca="false">Costs!AE62/FX_EUR</f>
        <v>381.122543093526</v>
      </c>
      <c r="AF62" s="32" t="n">
        <f aca="false">Costs!AF62/FX_EUR</f>
        <v>381.122543093526</v>
      </c>
      <c r="AG62" s="32" t="n">
        <f aca="false">Costs!AG62/FX_EUR</f>
        <v>381.122543093526</v>
      </c>
      <c r="AH62" s="32" t="n">
        <f aca="false">Costs!AH62/FX_EUR</f>
        <v>381.122543093526</v>
      </c>
      <c r="AI62" s="32" t="n">
        <f aca="false">Costs!AI62/FX_EUR</f>
        <v>381.122543093526</v>
      </c>
      <c r="AJ62" s="32" t="n">
        <f aca="false">Costs!AJ62/FX_EUR</f>
        <v>381.122543093526</v>
      </c>
      <c r="AK62" s="32" t="n">
        <f aca="false">Costs!AK62/FX_EUR</f>
        <v>381.122543093526</v>
      </c>
      <c r="AL62" s="32" t="n">
        <f aca="false">Costs!AL62/FX_EUR</f>
        <v>381.122543093526</v>
      </c>
      <c r="AM62" s="32" t="n">
        <f aca="false">Costs!AM62/FX_EUR</f>
        <v>381.122543093526</v>
      </c>
      <c r="AN62" s="32" t="n">
        <f aca="false">Costs!AN62/FX_EUR</f>
        <v>381.122543093526</v>
      </c>
      <c r="AO62" s="32" t="n">
        <f aca="false">Costs!AO62/FX_EUR</f>
        <v>381.122543093526</v>
      </c>
      <c r="AP62" s="32" t="n">
        <f aca="false">Costs!AP62/FX_EUR</f>
        <v>381.122543093526</v>
      </c>
      <c r="AQ62" s="32" t="n">
        <f aca="false">Costs!AQ62/FX_EUR</f>
        <v>381.122543093526</v>
      </c>
      <c r="AR62" s="32" t="n">
        <f aca="false">Costs!AR62/FX_EUR</f>
        <v>381.122543093526</v>
      </c>
      <c r="AS62" s="32" t="n">
        <f aca="false">Costs!AS62/FX_EUR</f>
        <v>381.122543093526</v>
      </c>
      <c r="AT62" s="32" t="n">
        <f aca="false">Costs!AT62/FX_EUR</f>
        <v>381.122543093526</v>
      </c>
      <c r="AU62" s="32" t="n">
        <f aca="false">Costs!AU62/FX_EUR</f>
        <v>381.122543093526</v>
      </c>
      <c r="AV62" s="32" t="n">
        <f aca="false">Costs!AV62/FX_EUR</f>
        <v>381.122543093526</v>
      </c>
      <c r="AW62" s="32" t="n">
        <f aca="false">Costs!AW62/FX_EUR</f>
        <v>381.122543093526</v>
      </c>
      <c r="AX62" s="32" t="n">
        <f aca="false">Costs!AX62/FX_EUR</f>
        <v>381.122543093526</v>
      </c>
      <c r="AY62" s="32" t="n">
        <f aca="false">Costs!AY62/FX_EUR</f>
        <v>381.122543093526</v>
      </c>
      <c r="AZ62" s="32" t="n">
        <f aca="false">Costs!AZ62/FX_EUR</f>
        <v>381.122543093526</v>
      </c>
      <c r="BA62" s="32" t="n">
        <f aca="false">Costs!BA62/FX_EUR</f>
        <v>381.122543093526</v>
      </c>
      <c r="BB62" s="32" t="n">
        <f aca="false">Costs!BB62/FX_EUR</f>
        <v>381.122543093526</v>
      </c>
      <c r="BC62" s="32" t="n">
        <f aca="false">Costs!BC62/FX_EUR</f>
        <v>381.122543093526</v>
      </c>
      <c r="BD62" s="32" t="n">
        <f aca="false">Costs!BD62/FX_EUR</f>
        <v>381.122543093526</v>
      </c>
      <c r="BE62" s="32" t="n">
        <f aca="false">Costs!BE62/FX_EUR</f>
        <v>381.122543093526</v>
      </c>
      <c r="BF62" s="32" t="n">
        <f aca="false">Costs!BF62/FX_EUR</f>
        <v>381.122543093526</v>
      </c>
      <c r="BG62" s="32" t="n">
        <f aca="false">Costs!BG62/FX_EUR</f>
        <v>381.122543093526</v>
      </c>
      <c r="BH62" s="32" t="n">
        <f aca="false">Costs!BH62/FX_EUR</f>
        <v>381.122543093526</v>
      </c>
      <c r="BI62" s="32" t="n">
        <f aca="false">Costs!BI62/FX_EUR</f>
        <v>381.122543093526</v>
      </c>
      <c r="BJ62" s="32" t="n">
        <f aca="false">Costs!BJ62/FX_EUR</f>
        <v>381.122543093526</v>
      </c>
      <c r="BK62" s="32" t="n">
        <f aca="false">Costs!BK62/FX_EUR</f>
        <v>381.122543093526</v>
      </c>
      <c r="BL62" s="32" t="n">
        <f aca="false">Costs!BL62/FX_EUR</f>
        <v>381.122543093526</v>
      </c>
    </row>
    <row r="63" customFormat="false" ht="15" hidden="false" customHeight="false" outlineLevel="0" collapsed="false">
      <c r="A63" s="8" t="s">
        <v>1085</v>
      </c>
      <c r="B63" s="14" t="s">
        <v>79</v>
      </c>
      <c r="D63" s="55" t="n">
        <f aca="false">Costs!D63/FX_EUR</f>
        <v>350632.739646044</v>
      </c>
      <c r="E63" s="16" t="n">
        <f aca="false">Costs!E63/FX_EUR</f>
        <v>0</v>
      </c>
      <c r="F63" s="16" t="n">
        <f aca="false">Costs!F63/FX_EUR</f>
        <v>22867.3525856116</v>
      </c>
      <c r="G63" s="16" t="n">
        <f aca="false">Costs!G63/FX_EUR</f>
        <v>0</v>
      </c>
      <c r="H63" s="16" t="n">
        <f aca="false">Costs!H63/FX_EUR</f>
        <v>0</v>
      </c>
      <c r="I63" s="16" t="n">
        <f aca="false">Costs!I63/FX_EUR</f>
        <v>2286.73525856116</v>
      </c>
      <c r="J63" s="16" t="n">
        <f aca="false">Costs!J63/FX_EUR</f>
        <v>2286.73525856116</v>
      </c>
      <c r="K63" s="16" t="n">
        <f aca="false">Costs!K63/FX_EUR</f>
        <v>2286.73525856116</v>
      </c>
      <c r="L63" s="16" t="n">
        <f aca="false">Costs!L63/FX_EUR</f>
        <v>2286.73525856116</v>
      </c>
      <c r="M63" s="16" t="n">
        <f aca="false">Costs!M63/FX_EUR</f>
        <v>2286.73525856116</v>
      </c>
      <c r="N63" s="16" t="n">
        <f aca="false">Costs!N63/FX_EUR</f>
        <v>2286.73525856116</v>
      </c>
      <c r="O63" s="16" t="n">
        <f aca="false">Costs!O63/FX_EUR</f>
        <v>2286.73525856116</v>
      </c>
      <c r="P63" s="16" t="n">
        <f aca="false">Costs!P63/FX_EUR</f>
        <v>2286.73525856116</v>
      </c>
      <c r="Q63" s="16" t="n">
        <f aca="false">Costs!Q63/FX_EUR</f>
        <v>2667.85780165468</v>
      </c>
      <c r="R63" s="16" t="n">
        <f aca="false">Costs!R63/FX_EUR</f>
        <v>2667.85780165468</v>
      </c>
      <c r="S63" s="16" t="n">
        <f aca="false">Costs!S63/FX_EUR</f>
        <v>10290.3086635252</v>
      </c>
      <c r="T63" s="16" t="n">
        <f aca="false">Costs!T63/FX_EUR</f>
        <v>25535.2103872662</v>
      </c>
      <c r="U63" s="16" t="n">
        <f aca="false">Costs!U63/FX_EUR</f>
        <v>2667.85780165468</v>
      </c>
      <c r="V63" s="16" t="n">
        <f aca="false">Costs!V63/FX_EUR</f>
        <v>2667.85780165468</v>
      </c>
      <c r="W63" s="16" t="n">
        <f aca="false">Costs!W63/FX_EUR</f>
        <v>4954.59306021584</v>
      </c>
      <c r="X63" s="16" t="n">
        <f aca="false">Costs!X63/FX_EUR</f>
        <v>4954.59306021584</v>
      </c>
      <c r="Y63" s="16" t="n">
        <f aca="false">Costs!Y63/FX_EUR</f>
        <v>4954.59306021584</v>
      </c>
      <c r="Z63" s="16" t="n">
        <f aca="false">Costs!Z63/FX_EUR</f>
        <v>4954.59306021584</v>
      </c>
      <c r="AA63" s="16" t="n">
        <f aca="false">Costs!AA63/FX_EUR</f>
        <v>4954.59306021584</v>
      </c>
      <c r="AB63" s="16" t="n">
        <f aca="false">Costs!AB63/FX_EUR</f>
        <v>4954.59306021584</v>
      </c>
      <c r="AC63" s="16" t="n">
        <f aca="false">Costs!AC63/FX_EUR</f>
        <v>6479.08323258994</v>
      </c>
      <c r="AD63" s="16" t="n">
        <f aca="false">Costs!AD63/FX_EUR</f>
        <v>6479.08323258994</v>
      </c>
      <c r="AE63" s="16" t="n">
        <f aca="false">Costs!AE63/FX_EUR</f>
        <v>6479.08323258994</v>
      </c>
      <c r="AF63" s="16" t="n">
        <f aca="false">Costs!AF63/FX_EUR</f>
        <v>6479.08323258994</v>
      </c>
      <c r="AG63" s="16" t="n">
        <f aca="false">Costs!AG63/FX_EUR</f>
        <v>6479.08323258994</v>
      </c>
      <c r="AH63" s="16" t="n">
        <f aca="false">Costs!AH63/FX_EUR</f>
        <v>6479.08323258994</v>
      </c>
      <c r="AI63" s="16" t="n">
        <f aca="false">Costs!AI63/FX_EUR</f>
        <v>6479.08323258994</v>
      </c>
      <c r="AJ63" s="16" t="n">
        <f aca="false">Costs!AJ63/FX_EUR</f>
        <v>6479.08323258994</v>
      </c>
      <c r="AK63" s="16" t="n">
        <f aca="false">Costs!AK63/FX_EUR</f>
        <v>6479.08323258994</v>
      </c>
      <c r="AL63" s="16" t="n">
        <f aca="false">Costs!AL63/FX_EUR</f>
        <v>6479.08323258994</v>
      </c>
      <c r="AM63" s="16" t="n">
        <f aca="false">Costs!AM63/FX_EUR</f>
        <v>6479.08323258994</v>
      </c>
      <c r="AN63" s="16" t="n">
        <f aca="false">Costs!AN63/FX_EUR</f>
        <v>6479.08323258994</v>
      </c>
      <c r="AO63" s="16" t="n">
        <f aca="false">Costs!AO63/FX_EUR</f>
        <v>6479.08323258994</v>
      </c>
      <c r="AP63" s="16" t="n">
        <f aca="false">Costs!AP63/FX_EUR</f>
        <v>6479.08323258994</v>
      </c>
      <c r="AQ63" s="16" t="n">
        <f aca="false">Costs!AQ63/FX_EUR</f>
        <v>6479.08323258994</v>
      </c>
      <c r="AR63" s="16" t="n">
        <f aca="false">Costs!AR63/FX_EUR</f>
        <v>6479.08323258994</v>
      </c>
      <c r="AS63" s="16" t="n">
        <f aca="false">Costs!AS63/FX_EUR</f>
        <v>6479.08323258994</v>
      </c>
      <c r="AT63" s="16" t="n">
        <f aca="false">Costs!AT63/FX_EUR</f>
        <v>6479.08323258994</v>
      </c>
      <c r="AU63" s="16" t="n">
        <f aca="false">Costs!AU63/FX_EUR</f>
        <v>6479.08323258994</v>
      </c>
      <c r="AV63" s="16" t="n">
        <f aca="false">Costs!AV63/FX_EUR</f>
        <v>6479.08323258994</v>
      </c>
      <c r="AW63" s="16" t="n">
        <f aca="false">Costs!AW63/FX_EUR</f>
        <v>6479.08323258994</v>
      </c>
      <c r="AX63" s="16" t="n">
        <f aca="false">Costs!AX63/FX_EUR</f>
        <v>6479.08323258994</v>
      </c>
      <c r="AY63" s="16" t="n">
        <f aca="false">Costs!AY63/FX_EUR</f>
        <v>6479.08323258994</v>
      </c>
      <c r="AZ63" s="16" t="n">
        <f aca="false">Costs!AZ63/FX_EUR</f>
        <v>6479.08323258994</v>
      </c>
      <c r="BA63" s="16" t="n">
        <f aca="false">Costs!BA63/FX_EUR</f>
        <v>6479.08323258994</v>
      </c>
      <c r="BB63" s="16" t="n">
        <f aca="false">Costs!BB63/FX_EUR</f>
        <v>6479.08323258994</v>
      </c>
      <c r="BC63" s="16" t="n">
        <f aca="false">Costs!BC63/FX_EUR</f>
        <v>6479.08323258994</v>
      </c>
      <c r="BD63" s="16" t="n">
        <f aca="false">Costs!BD63/FX_EUR</f>
        <v>6479.08323258994</v>
      </c>
      <c r="BE63" s="16" t="n">
        <f aca="false">Costs!BE63/FX_EUR</f>
        <v>6479.08323258994</v>
      </c>
      <c r="BF63" s="16" t="n">
        <f aca="false">Costs!BF63/FX_EUR</f>
        <v>6479.08323258994</v>
      </c>
      <c r="BG63" s="16" t="n">
        <f aca="false">Costs!BG63/FX_EUR</f>
        <v>6479.08323258994</v>
      </c>
      <c r="BH63" s="16" t="n">
        <f aca="false">Costs!BH63/FX_EUR</f>
        <v>6479.08323258994</v>
      </c>
      <c r="BI63" s="16" t="n">
        <f aca="false">Costs!BI63/FX_EUR</f>
        <v>6479.08323258994</v>
      </c>
      <c r="BJ63" s="16" t="n">
        <f aca="false">Costs!BJ63/FX_EUR</f>
        <v>6479.08323258994</v>
      </c>
      <c r="BK63" s="16" t="n">
        <f aca="false">Costs!BK63/FX_EUR</f>
        <v>6479.08323258994</v>
      </c>
      <c r="BL63" s="16" t="n">
        <f aca="false">Costs!BL63/FX_EUR</f>
        <v>6479.08323258994</v>
      </c>
    </row>
    <row r="65" customFormat="false" ht="15" hidden="false" customHeight="false" outlineLevel="0" collapsed="false">
      <c r="A65" s="10" t="s">
        <v>697</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1086</v>
      </c>
      <c r="B66" s="14" t="s">
        <v>79</v>
      </c>
      <c r="D66" s="55" t="n">
        <f aca="false">Costs!D66/FX_EUR</f>
        <v>8384.69594805757</v>
      </c>
      <c r="E66" s="32" t="n">
        <f aca="false">Costs!E66/FX_EUR</f>
        <v>3811.22543093526</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0</v>
      </c>
      <c r="R66" s="32" t="n">
        <f aca="false">Costs!R66/FX_EUR</f>
        <v>0</v>
      </c>
      <c r="S66" s="32" t="n">
        <f aca="false">Costs!S66/FX_EUR</f>
        <v>0</v>
      </c>
      <c r="T66" s="32" t="n">
        <f aca="false">Costs!T66/FX_EUR</f>
        <v>4573.47051712231</v>
      </c>
      <c r="U66" s="32" t="n">
        <f aca="false">Costs!U66/FX_EUR</f>
        <v>0</v>
      </c>
      <c r="V66" s="32" t="n">
        <f aca="false">Costs!V66/FX_EUR</f>
        <v>0</v>
      </c>
      <c r="W66" s="32" t="n">
        <f aca="false">Costs!W66/FX_EUR</f>
        <v>0</v>
      </c>
      <c r="X66" s="32" t="n">
        <f aca="false">Costs!X66/FX_EUR</f>
        <v>0</v>
      </c>
      <c r="Y66" s="32" t="n">
        <f aca="false">Costs!Y66/FX_EUR</f>
        <v>0</v>
      </c>
      <c r="Z66" s="32" t="n">
        <f aca="false">Costs!Z66/FX_EUR</f>
        <v>0</v>
      </c>
      <c r="AA66" s="32" t="n">
        <f aca="false">Costs!AA66/FX_EUR</f>
        <v>0</v>
      </c>
      <c r="AB66" s="32" t="n">
        <f aca="false">Costs!AB66/FX_EUR</f>
        <v>0</v>
      </c>
      <c r="AC66" s="32" t="n">
        <f aca="false">Costs!AC66/FX_EUR</f>
        <v>0</v>
      </c>
      <c r="AD66" s="32" t="n">
        <f aca="false">Costs!AD66/FX_EUR</f>
        <v>0</v>
      </c>
      <c r="AE66" s="32" t="n">
        <f aca="false">Costs!AE66/FX_EUR</f>
        <v>0</v>
      </c>
      <c r="AF66" s="32" t="n">
        <f aca="false">Costs!AF66/FX_EUR</f>
        <v>0</v>
      </c>
      <c r="AG66" s="32" t="n">
        <f aca="false">Costs!AG66/FX_EUR</f>
        <v>0</v>
      </c>
      <c r="AH66" s="32" t="n">
        <f aca="false">Costs!AH66/FX_EUR</f>
        <v>0</v>
      </c>
      <c r="AI66" s="32" t="n">
        <f aca="false">Costs!AI66/FX_EUR</f>
        <v>0</v>
      </c>
      <c r="AJ66" s="32" t="n">
        <f aca="false">Costs!AJ66/FX_EUR</f>
        <v>0</v>
      </c>
      <c r="AK66" s="32" t="n">
        <f aca="false">Costs!AK66/FX_EUR</f>
        <v>0</v>
      </c>
      <c r="AL66" s="32" t="n">
        <f aca="false">Costs!AL66/FX_EUR</f>
        <v>0</v>
      </c>
      <c r="AM66" s="32" t="n">
        <f aca="false">Costs!AM66/FX_EUR</f>
        <v>0</v>
      </c>
      <c r="AN66" s="32" t="n">
        <f aca="false">Costs!AN66/FX_EUR</f>
        <v>0</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1087</v>
      </c>
      <c r="B67" s="14" t="s">
        <v>79</v>
      </c>
      <c r="D67" s="55" t="n">
        <f aca="false">Costs!D67/FX_EUR</f>
        <v>76224.5086187052</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5081.63390791368</v>
      </c>
      <c r="R67" s="32" t="n">
        <f aca="false">Costs!R67/FX_EUR</f>
        <v>5081.63390791368</v>
      </c>
      <c r="S67" s="32" t="n">
        <f aca="false">Costs!S67/FX_EUR</f>
        <v>5081.63390791368</v>
      </c>
      <c r="T67" s="32" t="n">
        <f aca="false">Costs!T67/FX_EUR</f>
        <v>5081.63390791368</v>
      </c>
      <c r="U67" s="32" t="n">
        <f aca="false">Costs!U67/FX_EUR</f>
        <v>5081.63390791368</v>
      </c>
      <c r="V67" s="32" t="n">
        <f aca="false">Costs!V67/FX_EUR</f>
        <v>5081.63390791368</v>
      </c>
      <c r="W67" s="32" t="n">
        <f aca="false">Costs!W67/FX_EUR</f>
        <v>5081.63390791368</v>
      </c>
      <c r="X67" s="32" t="n">
        <f aca="false">Costs!X67/FX_EUR</f>
        <v>5081.63390791368</v>
      </c>
      <c r="Y67" s="32" t="n">
        <f aca="false">Costs!Y67/FX_EUR</f>
        <v>5081.63390791368</v>
      </c>
      <c r="Z67" s="32" t="n">
        <f aca="false">Costs!Z67/FX_EUR</f>
        <v>5081.63390791368</v>
      </c>
      <c r="AA67" s="32" t="n">
        <f aca="false">Costs!AA67/FX_EUR</f>
        <v>5081.63390791368</v>
      </c>
      <c r="AB67" s="32" t="n">
        <f aca="false">Costs!AB67/FX_EUR</f>
        <v>5081.63390791368</v>
      </c>
      <c r="AC67" s="32" t="n">
        <f aca="false">Costs!AC67/FX_EUR</f>
        <v>1270.40847697842</v>
      </c>
      <c r="AD67" s="32" t="n">
        <f aca="false">Costs!AD67/FX_EUR</f>
        <v>1270.40847697842</v>
      </c>
      <c r="AE67" s="32" t="n">
        <f aca="false">Costs!AE67/FX_EUR</f>
        <v>1270.40847697842</v>
      </c>
      <c r="AF67" s="32" t="n">
        <f aca="false">Costs!AF67/FX_EUR</f>
        <v>1270.40847697842</v>
      </c>
      <c r="AG67" s="32" t="n">
        <f aca="false">Costs!AG67/FX_EUR</f>
        <v>1270.40847697842</v>
      </c>
      <c r="AH67" s="32" t="n">
        <f aca="false">Costs!AH67/FX_EUR</f>
        <v>1270.40847697842</v>
      </c>
      <c r="AI67" s="32" t="n">
        <f aca="false">Costs!AI67/FX_EUR</f>
        <v>1270.40847697842</v>
      </c>
      <c r="AJ67" s="32" t="n">
        <f aca="false">Costs!AJ67/FX_EUR</f>
        <v>1270.40847697842</v>
      </c>
      <c r="AK67" s="32" t="n">
        <f aca="false">Costs!AK67/FX_EUR</f>
        <v>1270.40847697842</v>
      </c>
      <c r="AL67" s="32" t="n">
        <f aca="false">Costs!AL67/FX_EUR</f>
        <v>1270.40847697842</v>
      </c>
      <c r="AM67" s="32" t="n">
        <f aca="false">Costs!AM67/FX_EUR</f>
        <v>1270.40847697842</v>
      </c>
      <c r="AN67" s="32" t="n">
        <f aca="false">Costs!AN67/FX_EUR</f>
        <v>1270.40847697842</v>
      </c>
      <c r="AO67" s="32" t="n">
        <f aca="false">Costs!AO67/FX_EUR</f>
        <v>0</v>
      </c>
      <c r="AP67" s="32" t="n">
        <f aca="false">Costs!AP67/FX_EUR</f>
        <v>0</v>
      </c>
      <c r="AQ67" s="32" t="n">
        <f aca="false">Costs!AQ67/FX_EUR</f>
        <v>0</v>
      </c>
      <c r="AR67" s="32" t="n">
        <f aca="false">Costs!AR67/FX_EUR</f>
        <v>0</v>
      </c>
      <c r="AS67" s="32" t="n">
        <f aca="false">Costs!AS67/FX_EUR</f>
        <v>0</v>
      </c>
      <c r="AT67" s="32" t="n">
        <f aca="false">Costs!AT67/FX_EUR</f>
        <v>0</v>
      </c>
      <c r="AU67" s="32" t="n">
        <f aca="false">Costs!AU67/FX_EUR</f>
        <v>0</v>
      </c>
      <c r="AV67" s="32" t="n">
        <f aca="false">Costs!AV67/FX_EUR</f>
        <v>0</v>
      </c>
      <c r="AW67" s="32" t="n">
        <f aca="false">Costs!AW67/FX_EUR</f>
        <v>0</v>
      </c>
      <c r="AX67" s="32" t="n">
        <f aca="false">Costs!AX67/FX_EUR</f>
        <v>0</v>
      </c>
      <c r="AY67" s="32" t="n">
        <f aca="false">Costs!AY67/FX_EUR</f>
        <v>0</v>
      </c>
      <c r="AZ67" s="32" t="n">
        <f aca="false">Costs!AZ67/FX_EUR</f>
        <v>0</v>
      </c>
      <c r="BA67" s="32" t="n">
        <f aca="false">Costs!BA67/FX_EUR</f>
        <v>0</v>
      </c>
      <c r="BB67" s="32" t="n">
        <f aca="false">Costs!BB67/FX_EUR</f>
        <v>0</v>
      </c>
      <c r="BC67" s="32" t="n">
        <f aca="false">Costs!BC67/FX_EUR</f>
        <v>0</v>
      </c>
      <c r="BD67" s="32" t="n">
        <f aca="false">Costs!BD67/FX_EUR</f>
        <v>0</v>
      </c>
      <c r="BE67" s="32" t="n">
        <f aca="false">Costs!BE67/FX_EUR</f>
        <v>0</v>
      </c>
      <c r="BF67" s="32" t="n">
        <f aca="false">Costs!BF67/FX_EUR</f>
        <v>0</v>
      </c>
      <c r="BG67" s="32" t="n">
        <f aca="false">Costs!BG67/FX_EUR</f>
        <v>0</v>
      </c>
      <c r="BH67" s="32" t="n">
        <f aca="false">Costs!BH67/FX_EUR</f>
        <v>0</v>
      </c>
      <c r="BI67" s="32" t="n">
        <f aca="false">Costs!BI67/FX_EUR</f>
        <v>0</v>
      </c>
      <c r="BJ67" s="32" t="n">
        <f aca="false">Costs!BJ67/FX_EUR</f>
        <v>0</v>
      </c>
      <c r="BK67" s="32" t="n">
        <f aca="false">Costs!BK67/FX_EUR</f>
        <v>0</v>
      </c>
      <c r="BL67" s="32" t="n">
        <f aca="false">Costs!BL67/FX_EUR</f>
        <v>0</v>
      </c>
    </row>
    <row r="68" customFormat="false" ht="15" hidden="false" customHeight="false" outlineLevel="0" collapsed="false">
      <c r="A68" s="12" t="s">
        <v>1088</v>
      </c>
      <c r="B68" s="14" t="s">
        <v>79</v>
      </c>
      <c r="D68" s="55" t="n">
        <f aca="false">Costs!D68/FX_EUR</f>
        <v>224100.055338993</v>
      </c>
      <c r="E68" s="32" t="n">
        <f aca="false">Costs!E68/FX_EUR</f>
        <v>0</v>
      </c>
      <c r="F68" s="32" t="n">
        <f aca="false">Costs!F68/FX_EUR</f>
        <v>0</v>
      </c>
      <c r="G68" s="32" t="n">
        <f aca="false">Costs!G68/FX_EUR</f>
        <v>0</v>
      </c>
      <c r="H68" s="32" t="n">
        <f aca="false">Costs!H68/FX_EUR</f>
        <v>0</v>
      </c>
      <c r="I68" s="32" t="n">
        <f aca="false">Costs!I68/FX_EUR</f>
        <v>0</v>
      </c>
      <c r="J68" s="32" t="n">
        <f aca="false">Costs!J68/FX_EUR</f>
        <v>0</v>
      </c>
      <c r="K68" s="32" t="n">
        <f aca="false">Costs!K68/FX_EUR</f>
        <v>0</v>
      </c>
      <c r="L68" s="32" t="n">
        <f aca="false">Costs!L68/FX_EUR</f>
        <v>0</v>
      </c>
      <c r="M68" s="32" t="n">
        <f aca="false">Costs!M68/FX_EUR</f>
        <v>0</v>
      </c>
      <c r="N68" s="32" t="n">
        <f aca="false">Costs!N68/FX_EUR</f>
        <v>0</v>
      </c>
      <c r="O68" s="32" t="n">
        <f aca="false">Costs!O68/FX_EUR</f>
        <v>0</v>
      </c>
      <c r="P68" s="32" t="n">
        <f aca="false">Costs!P68/FX_EUR</f>
        <v>0</v>
      </c>
      <c r="Q68" s="32" t="n">
        <f aca="false">Costs!Q68/FX_EUR</f>
        <v>0</v>
      </c>
      <c r="R68" s="32" t="n">
        <f aca="false">Costs!R68/FX_EUR</f>
        <v>0</v>
      </c>
      <c r="S68" s="32" t="n">
        <f aca="false">Costs!S68/FX_EUR</f>
        <v>0</v>
      </c>
      <c r="T68" s="32" t="n">
        <f aca="false">Costs!T68/FX_EUR</f>
        <v>0</v>
      </c>
      <c r="U68" s="32" t="n">
        <f aca="false">Costs!U68/FX_EUR</f>
        <v>0</v>
      </c>
      <c r="V68" s="32" t="n">
        <f aca="false">Costs!V68/FX_EUR</f>
        <v>0</v>
      </c>
      <c r="W68" s="32" t="n">
        <f aca="false">Costs!W68/FX_EUR</f>
        <v>0</v>
      </c>
      <c r="X68" s="32" t="n">
        <f aca="false">Costs!X68/FX_EUR</f>
        <v>0</v>
      </c>
      <c r="Y68" s="32" t="n">
        <f aca="false">Costs!Y68/FX_EUR</f>
        <v>0</v>
      </c>
      <c r="Z68" s="32" t="n">
        <f aca="false">Costs!Z68/FX_EUR</f>
        <v>0</v>
      </c>
      <c r="AA68" s="32" t="n">
        <f aca="false">Costs!AA68/FX_EUR</f>
        <v>0</v>
      </c>
      <c r="AB68" s="32" t="n">
        <f aca="false">Costs!AB68/FX_EUR</f>
        <v>4573.47051712231</v>
      </c>
      <c r="AC68" s="32" t="n">
        <f aca="false">Costs!AC68/FX_EUR</f>
        <v>5335.71560330936</v>
      </c>
      <c r="AD68" s="32" t="n">
        <f aca="false">Costs!AD68/FX_EUR</f>
        <v>5335.71560330936</v>
      </c>
      <c r="AE68" s="32" t="n">
        <f aca="false">Costs!AE68/FX_EUR</f>
        <v>5335.71560330936</v>
      </c>
      <c r="AF68" s="32" t="n">
        <f aca="false">Costs!AF68/FX_EUR</f>
        <v>5335.71560330936</v>
      </c>
      <c r="AG68" s="32" t="n">
        <f aca="false">Costs!AG68/FX_EUR</f>
        <v>5335.71560330936</v>
      </c>
      <c r="AH68" s="32" t="n">
        <f aca="false">Costs!AH68/FX_EUR</f>
        <v>5335.71560330936</v>
      </c>
      <c r="AI68" s="32" t="n">
        <f aca="false">Costs!AI68/FX_EUR</f>
        <v>5335.71560330936</v>
      </c>
      <c r="AJ68" s="32" t="n">
        <f aca="false">Costs!AJ68/FX_EUR</f>
        <v>5335.71560330936</v>
      </c>
      <c r="AK68" s="32" t="n">
        <f aca="false">Costs!AK68/FX_EUR</f>
        <v>5335.71560330936</v>
      </c>
      <c r="AL68" s="32" t="n">
        <f aca="false">Costs!AL68/FX_EUR</f>
        <v>5335.71560330936</v>
      </c>
      <c r="AM68" s="32" t="n">
        <f aca="false">Costs!AM68/FX_EUR</f>
        <v>5335.71560330936</v>
      </c>
      <c r="AN68" s="32" t="n">
        <f aca="false">Costs!AN68/FX_EUR</f>
        <v>5335.71560330936</v>
      </c>
      <c r="AO68" s="32" t="n">
        <f aca="false">Costs!AO68/FX_EUR</f>
        <v>6097.96068949642</v>
      </c>
      <c r="AP68" s="32" t="n">
        <f aca="false">Costs!AP68/FX_EUR</f>
        <v>6097.96068949642</v>
      </c>
      <c r="AQ68" s="32" t="n">
        <f aca="false">Costs!AQ68/FX_EUR</f>
        <v>6097.96068949642</v>
      </c>
      <c r="AR68" s="32" t="n">
        <f aca="false">Costs!AR68/FX_EUR</f>
        <v>6097.96068949642</v>
      </c>
      <c r="AS68" s="32" t="n">
        <f aca="false">Costs!AS68/FX_EUR</f>
        <v>6097.96068949642</v>
      </c>
      <c r="AT68" s="32" t="n">
        <f aca="false">Costs!AT68/FX_EUR</f>
        <v>6097.96068949642</v>
      </c>
      <c r="AU68" s="32" t="n">
        <f aca="false">Costs!AU68/FX_EUR</f>
        <v>6097.96068949642</v>
      </c>
      <c r="AV68" s="32" t="n">
        <f aca="false">Costs!AV68/FX_EUR</f>
        <v>6097.96068949642</v>
      </c>
      <c r="AW68" s="32" t="n">
        <f aca="false">Costs!AW68/FX_EUR</f>
        <v>6097.96068949642</v>
      </c>
      <c r="AX68" s="32" t="n">
        <f aca="false">Costs!AX68/FX_EUR</f>
        <v>6097.96068949642</v>
      </c>
      <c r="AY68" s="32" t="n">
        <f aca="false">Costs!AY68/FX_EUR</f>
        <v>6097.96068949642</v>
      </c>
      <c r="AZ68" s="32" t="n">
        <f aca="false">Costs!AZ68/FX_EUR</f>
        <v>6097.96068949642</v>
      </c>
      <c r="BA68" s="32" t="n">
        <f aca="false">Costs!BA68/FX_EUR</f>
        <v>6860.20577568347</v>
      </c>
      <c r="BB68" s="32" t="n">
        <f aca="false">Costs!BB68/FX_EUR</f>
        <v>6860.20577568347</v>
      </c>
      <c r="BC68" s="32" t="n">
        <f aca="false">Costs!BC68/FX_EUR</f>
        <v>6860.20577568347</v>
      </c>
      <c r="BD68" s="32" t="n">
        <f aca="false">Costs!BD68/FX_EUR</f>
        <v>6860.20577568347</v>
      </c>
      <c r="BE68" s="32" t="n">
        <f aca="false">Costs!BE68/FX_EUR</f>
        <v>6860.20577568347</v>
      </c>
      <c r="BF68" s="32" t="n">
        <f aca="false">Costs!BF68/FX_EUR</f>
        <v>6860.20577568347</v>
      </c>
      <c r="BG68" s="32" t="n">
        <f aca="false">Costs!BG68/FX_EUR</f>
        <v>6860.20577568347</v>
      </c>
      <c r="BH68" s="32" t="n">
        <f aca="false">Costs!BH68/FX_EUR</f>
        <v>6860.20577568347</v>
      </c>
      <c r="BI68" s="32" t="n">
        <f aca="false">Costs!BI68/FX_EUR</f>
        <v>6860.20577568347</v>
      </c>
      <c r="BJ68" s="32" t="n">
        <f aca="false">Costs!BJ68/FX_EUR</f>
        <v>6860.20577568347</v>
      </c>
      <c r="BK68" s="32" t="n">
        <f aca="false">Costs!BK68/FX_EUR</f>
        <v>6860.20577568347</v>
      </c>
      <c r="BL68" s="32" t="n">
        <f aca="false">Costs!BL68/FX_EUR</f>
        <v>6860.20577568347</v>
      </c>
    </row>
    <row r="69" customFormat="false" ht="15" hidden="false" customHeight="false" outlineLevel="0" collapsed="false">
      <c r="A69" s="12" t="s">
        <v>705</v>
      </c>
      <c r="B69" s="14" t="s">
        <v>79</v>
      </c>
      <c r="D69" s="55" t="n">
        <f aca="false">Costs!D69/FX_EUR</f>
        <v>182938.820684892</v>
      </c>
      <c r="E69" s="32" t="n">
        <f aca="false">Costs!E69/FX_EUR</f>
        <v>1524.4901723741</v>
      </c>
      <c r="F69" s="32" t="n">
        <f aca="false">Costs!F69/FX_EUR</f>
        <v>1524.4901723741</v>
      </c>
      <c r="G69" s="32" t="n">
        <f aca="false">Costs!G69/FX_EUR</f>
        <v>1524.4901723741</v>
      </c>
      <c r="H69" s="32" t="n">
        <f aca="false">Costs!H69/FX_EUR</f>
        <v>1524.4901723741</v>
      </c>
      <c r="I69" s="32" t="n">
        <f aca="false">Costs!I69/FX_EUR</f>
        <v>1524.4901723741</v>
      </c>
      <c r="J69" s="32" t="n">
        <f aca="false">Costs!J69/FX_EUR</f>
        <v>1524.4901723741</v>
      </c>
      <c r="K69" s="32" t="n">
        <f aca="false">Costs!K69/FX_EUR</f>
        <v>1524.4901723741</v>
      </c>
      <c r="L69" s="32" t="n">
        <f aca="false">Costs!L69/FX_EUR</f>
        <v>1524.4901723741</v>
      </c>
      <c r="M69" s="32" t="n">
        <f aca="false">Costs!M69/FX_EUR</f>
        <v>1524.4901723741</v>
      </c>
      <c r="N69" s="32" t="n">
        <f aca="false">Costs!N69/FX_EUR</f>
        <v>1524.4901723741</v>
      </c>
      <c r="O69" s="32" t="n">
        <f aca="false">Costs!O69/FX_EUR</f>
        <v>1524.4901723741</v>
      </c>
      <c r="P69" s="32" t="n">
        <f aca="false">Costs!P69/FX_EUR</f>
        <v>1524.4901723741</v>
      </c>
      <c r="Q69" s="32" t="n">
        <f aca="false">Costs!Q69/FX_EUR</f>
        <v>2286.73525856116</v>
      </c>
      <c r="R69" s="32" t="n">
        <f aca="false">Costs!R69/FX_EUR</f>
        <v>2286.73525856116</v>
      </c>
      <c r="S69" s="32" t="n">
        <f aca="false">Costs!S69/FX_EUR</f>
        <v>2286.73525856116</v>
      </c>
      <c r="T69" s="32" t="n">
        <f aca="false">Costs!T69/FX_EUR</f>
        <v>2286.73525856116</v>
      </c>
      <c r="U69" s="32" t="n">
        <f aca="false">Costs!U69/FX_EUR</f>
        <v>2286.73525856116</v>
      </c>
      <c r="V69" s="32" t="n">
        <f aca="false">Costs!V69/FX_EUR</f>
        <v>2286.73525856116</v>
      </c>
      <c r="W69" s="32" t="n">
        <f aca="false">Costs!W69/FX_EUR</f>
        <v>2286.73525856116</v>
      </c>
      <c r="X69" s="32" t="n">
        <f aca="false">Costs!X69/FX_EUR</f>
        <v>2286.73525856116</v>
      </c>
      <c r="Y69" s="32" t="n">
        <f aca="false">Costs!Y69/FX_EUR</f>
        <v>2286.73525856116</v>
      </c>
      <c r="Z69" s="32" t="n">
        <f aca="false">Costs!Z69/FX_EUR</f>
        <v>2286.73525856116</v>
      </c>
      <c r="AA69" s="32" t="n">
        <f aca="false">Costs!AA69/FX_EUR</f>
        <v>2286.73525856116</v>
      </c>
      <c r="AB69" s="32" t="n">
        <f aca="false">Costs!AB69/FX_EUR</f>
        <v>2286.73525856116</v>
      </c>
      <c r="AC69" s="32" t="n">
        <f aca="false">Costs!AC69/FX_EUR</f>
        <v>3048.98034474821</v>
      </c>
      <c r="AD69" s="32" t="n">
        <f aca="false">Costs!AD69/FX_EUR</f>
        <v>3048.98034474821</v>
      </c>
      <c r="AE69" s="32" t="n">
        <f aca="false">Costs!AE69/FX_EUR</f>
        <v>3048.98034474821</v>
      </c>
      <c r="AF69" s="32" t="n">
        <f aca="false">Costs!AF69/FX_EUR</f>
        <v>3048.98034474821</v>
      </c>
      <c r="AG69" s="32" t="n">
        <f aca="false">Costs!AG69/FX_EUR</f>
        <v>3048.98034474821</v>
      </c>
      <c r="AH69" s="32" t="n">
        <f aca="false">Costs!AH69/FX_EUR</f>
        <v>3048.98034474821</v>
      </c>
      <c r="AI69" s="32" t="n">
        <f aca="false">Costs!AI69/FX_EUR</f>
        <v>3048.98034474821</v>
      </c>
      <c r="AJ69" s="32" t="n">
        <f aca="false">Costs!AJ69/FX_EUR</f>
        <v>3048.98034474821</v>
      </c>
      <c r="AK69" s="32" t="n">
        <f aca="false">Costs!AK69/FX_EUR</f>
        <v>3048.98034474821</v>
      </c>
      <c r="AL69" s="32" t="n">
        <f aca="false">Costs!AL69/FX_EUR</f>
        <v>3048.98034474821</v>
      </c>
      <c r="AM69" s="32" t="n">
        <f aca="false">Costs!AM69/FX_EUR</f>
        <v>3048.98034474821</v>
      </c>
      <c r="AN69" s="32" t="n">
        <f aca="false">Costs!AN69/FX_EUR</f>
        <v>3048.98034474821</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4573.47051712231</v>
      </c>
      <c r="BB69" s="32" t="n">
        <f aca="false">Costs!BB69/FX_EUR</f>
        <v>4573.47051712231</v>
      </c>
      <c r="BC69" s="32" t="n">
        <f aca="false">Costs!BC69/FX_EUR</f>
        <v>4573.47051712231</v>
      </c>
      <c r="BD69" s="32" t="n">
        <f aca="false">Costs!BD69/FX_EUR</f>
        <v>4573.47051712231</v>
      </c>
      <c r="BE69" s="32" t="n">
        <f aca="false">Costs!BE69/FX_EUR</f>
        <v>4573.47051712231</v>
      </c>
      <c r="BF69" s="32" t="n">
        <f aca="false">Costs!BF69/FX_EUR</f>
        <v>4573.47051712231</v>
      </c>
      <c r="BG69" s="32" t="n">
        <f aca="false">Costs!BG69/FX_EUR</f>
        <v>4573.47051712231</v>
      </c>
      <c r="BH69" s="32" t="n">
        <f aca="false">Costs!BH69/FX_EUR</f>
        <v>4573.47051712231</v>
      </c>
      <c r="BI69" s="32" t="n">
        <f aca="false">Costs!BI69/FX_EUR</f>
        <v>4573.47051712231</v>
      </c>
      <c r="BJ69" s="32" t="n">
        <f aca="false">Costs!BJ69/FX_EUR</f>
        <v>4573.47051712231</v>
      </c>
      <c r="BK69" s="32" t="n">
        <f aca="false">Costs!BK69/FX_EUR</f>
        <v>4573.47051712231</v>
      </c>
      <c r="BL69" s="32" t="n">
        <f aca="false">Costs!BL69/FX_EUR</f>
        <v>4573.47051712231</v>
      </c>
    </row>
    <row r="70" customFormat="false" ht="15" hidden="false" customHeight="false" outlineLevel="0" collapsed="false">
      <c r="A70" s="12" t="s">
        <v>706</v>
      </c>
      <c r="B70" s="14" t="s">
        <v>79</v>
      </c>
      <c r="D70" s="55" t="n">
        <f aca="false">Costs!D70/FX_EUR</f>
        <v>160071.468099281</v>
      </c>
      <c r="E70" s="32" t="n">
        <f aca="false">Costs!E70/FX_EUR</f>
        <v>635.20423848921</v>
      </c>
      <c r="F70" s="32" t="n">
        <f aca="false">Costs!F70/FX_EUR</f>
        <v>635.20423848921</v>
      </c>
      <c r="G70" s="32" t="n">
        <f aca="false">Costs!G70/FX_EUR</f>
        <v>635.20423848921</v>
      </c>
      <c r="H70" s="32" t="n">
        <f aca="false">Costs!H70/FX_EUR</f>
        <v>635.20423848921</v>
      </c>
      <c r="I70" s="32" t="n">
        <f aca="false">Costs!I70/FX_EUR</f>
        <v>635.20423848921</v>
      </c>
      <c r="J70" s="32" t="n">
        <f aca="false">Costs!J70/FX_EUR</f>
        <v>635.20423848921</v>
      </c>
      <c r="K70" s="32" t="n">
        <f aca="false">Costs!K70/FX_EUR</f>
        <v>635.20423848921</v>
      </c>
      <c r="L70" s="32" t="n">
        <f aca="false">Costs!L70/FX_EUR</f>
        <v>635.20423848921</v>
      </c>
      <c r="M70" s="32" t="n">
        <f aca="false">Costs!M70/FX_EUR</f>
        <v>635.20423848921</v>
      </c>
      <c r="N70" s="32" t="n">
        <f aca="false">Costs!N70/FX_EUR</f>
        <v>635.20423848921</v>
      </c>
      <c r="O70" s="32" t="n">
        <f aca="false">Costs!O70/FX_EUR</f>
        <v>635.20423848921</v>
      </c>
      <c r="P70" s="32" t="n">
        <f aca="false">Costs!P70/FX_EUR</f>
        <v>635.20423848921</v>
      </c>
      <c r="Q70" s="32" t="n">
        <f aca="false">Costs!Q70/FX_EUR</f>
        <v>1270.40847697842</v>
      </c>
      <c r="R70" s="32" t="n">
        <f aca="false">Costs!R70/FX_EUR</f>
        <v>1270.40847697842</v>
      </c>
      <c r="S70" s="32" t="n">
        <f aca="false">Costs!S70/FX_EUR</f>
        <v>1270.40847697842</v>
      </c>
      <c r="T70" s="32" t="n">
        <f aca="false">Costs!T70/FX_EUR</f>
        <v>1270.40847697842</v>
      </c>
      <c r="U70" s="32" t="n">
        <f aca="false">Costs!U70/FX_EUR</f>
        <v>1270.40847697842</v>
      </c>
      <c r="V70" s="32" t="n">
        <f aca="false">Costs!V70/FX_EUR</f>
        <v>1270.40847697842</v>
      </c>
      <c r="W70" s="32" t="n">
        <f aca="false">Costs!W70/FX_EUR</f>
        <v>1270.40847697842</v>
      </c>
      <c r="X70" s="32" t="n">
        <f aca="false">Costs!X70/FX_EUR</f>
        <v>1270.40847697842</v>
      </c>
      <c r="Y70" s="32" t="n">
        <f aca="false">Costs!Y70/FX_EUR</f>
        <v>1270.40847697842</v>
      </c>
      <c r="Z70" s="32" t="n">
        <f aca="false">Costs!Z70/FX_EUR</f>
        <v>1270.40847697842</v>
      </c>
      <c r="AA70" s="32" t="n">
        <f aca="false">Costs!AA70/FX_EUR</f>
        <v>1270.40847697842</v>
      </c>
      <c r="AB70" s="32" t="n">
        <f aca="false">Costs!AB70/FX_EUR</f>
        <v>1270.40847697842</v>
      </c>
      <c r="AC70" s="32" t="n">
        <f aca="false">Costs!AC70/FX_EUR</f>
        <v>3176.02119244605</v>
      </c>
      <c r="AD70" s="32" t="n">
        <f aca="false">Costs!AD70/FX_EUR</f>
        <v>3176.02119244605</v>
      </c>
      <c r="AE70" s="32" t="n">
        <f aca="false">Costs!AE70/FX_EUR</f>
        <v>3176.02119244605</v>
      </c>
      <c r="AF70" s="32" t="n">
        <f aca="false">Costs!AF70/FX_EUR</f>
        <v>3176.02119244605</v>
      </c>
      <c r="AG70" s="32" t="n">
        <f aca="false">Costs!AG70/FX_EUR</f>
        <v>3176.02119244605</v>
      </c>
      <c r="AH70" s="32" t="n">
        <f aca="false">Costs!AH70/FX_EUR</f>
        <v>3176.02119244605</v>
      </c>
      <c r="AI70" s="32" t="n">
        <f aca="false">Costs!AI70/FX_EUR</f>
        <v>3176.02119244605</v>
      </c>
      <c r="AJ70" s="32" t="n">
        <f aca="false">Costs!AJ70/FX_EUR</f>
        <v>3176.02119244605</v>
      </c>
      <c r="AK70" s="32" t="n">
        <f aca="false">Costs!AK70/FX_EUR</f>
        <v>3176.02119244605</v>
      </c>
      <c r="AL70" s="32" t="n">
        <f aca="false">Costs!AL70/FX_EUR</f>
        <v>3176.02119244605</v>
      </c>
      <c r="AM70" s="32" t="n">
        <f aca="false">Costs!AM70/FX_EUR</f>
        <v>3176.02119244605</v>
      </c>
      <c r="AN70" s="32" t="n">
        <f aca="false">Costs!AN70/FX_EUR</f>
        <v>3176.02119244605</v>
      </c>
      <c r="AO70" s="32" t="n">
        <f aca="false">Costs!AO70/FX_EUR</f>
        <v>3811.22543093526</v>
      </c>
      <c r="AP70" s="32" t="n">
        <f aca="false">Costs!AP70/FX_EUR</f>
        <v>3811.22543093526</v>
      </c>
      <c r="AQ70" s="32" t="n">
        <f aca="false">Costs!AQ70/FX_EUR</f>
        <v>3811.22543093526</v>
      </c>
      <c r="AR70" s="32" t="n">
        <f aca="false">Costs!AR70/FX_EUR</f>
        <v>3811.22543093526</v>
      </c>
      <c r="AS70" s="32" t="n">
        <f aca="false">Costs!AS70/FX_EUR</f>
        <v>3811.22543093526</v>
      </c>
      <c r="AT70" s="32" t="n">
        <f aca="false">Costs!AT70/FX_EUR</f>
        <v>3811.22543093526</v>
      </c>
      <c r="AU70" s="32" t="n">
        <f aca="false">Costs!AU70/FX_EUR</f>
        <v>3811.22543093526</v>
      </c>
      <c r="AV70" s="32" t="n">
        <f aca="false">Costs!AV70/FX_EUR</f>
        <v>3811.22543093526</v>
      </c>
      <c r="AW70" s="32" t="n">
        <f aca="false">Costs!AW70/FX_EUR</f>
        <v>3811.22543093526</v>
      </c>
      <c r="AX70" s="32" t="n">
        <f aca="false">Costs!AX70/FX_EUR</f>
        <v>3811.22543093526</v>
      </c>
      <c r="AY70" s="32" t="n">
        <f aca="false">Costs!AY70/FX_EUR</f>
        <v>3811.22543093526</v>
      </c>
      <c r="AZ70" s="32" t="n">
        <f aca="false">Costs!AZ70/FX_EUR</f>
        <v>3811.22543093526</v>
      </c>
      <c r="BA70" s="32" t="n">
        <f aca="false">Costs!BA70/FX_EUR</f>
        <v>4446.42966942447</v>
      </c>
      <c r="BB70" s="32" t="n">
        <f aca="false">Costs!BB70/FX_EUR</f>
        <v>4446.42966942447</v>
      </c>
      <c r="BC70" s="32" t="n">
        <f aca="false">Costs!BC70/FX_EUR</f>
        <v>4446.42966942447</v>
      </c>
      <c r="BD70" s="32" t="n">
        <f aca="false">Costs!BD70/FX_EUR</f>
        <v>4446.42966942447</v>
      </c>
      <c r="BE70" s="32" t="n">
        <f aca="false">Costs!BE70/FX_EUR</f>
        <v>4446.42966942447</v>
      </c>
      <c r="BF70" s="32" t="n">
        <f aca="false">Costs!BF70/FX_EUR</f>
        <v>4446.42966942447</v>
      </c>
      <c r="BG70" s="32" t="n">
        <f aca="false">Costs!BG70/FX_EUR</f>
        <v>4446.42966942447</v>
      </c>
      <c r="BH70" s="32" t="n">
        <f aca="false">Costs!BH70/FX_EUR</f>
        <v>4446.42966942447</v>
      </c>
      <c r="BI70" s="32" t="n">
        <f aca="false">Costs!BI70/FX_EUR</f>
        <v>4446.42966942447</v>
      </c>
      <c r="BJ70" s="32" t="n">
        <f aca="false">Costs!BJ70/FX_EUR</f>
        <v>4446.42966942447</v>
      </c>
      <c r="BK70" s="32" t="n">
        <f aca="false">Costs!BK70/FX_EUR</f>
        <v>4446.42966942447</v>
      </c>
      <c r="BL70" s="32" t="n">
        <f aca="false">Costs!BL70/FX_EUR</f>
        <v>4446.42966942447</v>
      </c>
    </row>
    <row r="71" customFormat="false" ht="15" hidden="false" customHeight="false" outlineLevel="0" collapsed="false">
      <c r="A71" s="12" t="s">
        <v>868</v>
      </c>
      <c r="B71" s="14" t="s">
        <v>79</v>
      </c>
      <c r="D71" s="55" t="n">
        <f aca="false">Costs!D71/FX_EUR</f>
        <v>65857.9754465613</v>
      </c>
      <c r="E71" s="32" t="n">
        <f aca="false">Costs!E71/FX_EUR</f>
        <v>457.347051712231</v>
      </c>
      <c r="F71" s="32" t="n">
        <f aca="false">Costs!F71/FX_EUR</f>
        <v>457.347051712231</v>
      </c>
      <c r="G71" s="32" t="n">
        <f aca="false">Costs!G71/FX_EUR</f>
        <v>457.347051712231</v>
      </c>
      <c r="H71" s="32" t="n">
        <f aca="false">Costs!H71/FX_EUR</f>
        <v>457.347051712231</v>
      </c>
      <c r="I71" s="32" t="n">
        <f aca="false">Costs!I71/FX_EUR</f>
        <v>457.347051712231</v>
      </c>
      <c r="J71" s="32" t="n">
        <f aca="false">Costs!J71/FX_EUR</f>
        <v>457.347051712231</v>
      </c>
      <c r="K71" s="32" t="n">
        <f aca="false">Costs!K71/FX_EUR</f>
        <v>457.347051712231</v>
      </c>
      <c r="L71" s="32" t="n">
        <f aca="false">Costs!L71/FX_EUR</f>
        <v>457.347051712231</v>
      </c>
      <c r="M71" s="32" t="n">
        <f aca="false">Costs!M71/FX_EUR</f>
        <v>457.347051712231</v>
      </c>
      <c r="N71" s="32" t="n">
        <f aca="false">Costs!N71/FX_EUR</f>
        <v>457.347051712231</v>
      </c>
      <c r="O71" s="32" t="n">
        <f aca="false">Costs!O71/FX_EUR</f>
        <v>457.347051712231</v>
      </c>
      <c r="P71" s="32" t="n">
        <f aca="false">Costs!P71/FX_EUR</f>
        <v>457.347051712231</v>
      </c>
      <c r="Q71" s="32" t="n">
        <f aca="false">Costs!Q71/FX_EUR</f>
        <v>914.694103424462</v>
      </c>
      <c r="R71" s="32" t="n">
        <f aca="false">Costs!R71/FX_EUR</f>
        <v>914.694103424462</v>
      </c>
      <c r="S71" s="32" t="n">
        <f aca="false">Costs!S71/FX_EUR</f>
        <v>914.694103424462</v>
      </c>
      <c r="T71" s="32" t="n">
        <f aca="false">Costs!T71/FX_EUR</f>
        <v>914.694103424462</v>
      </c>
      <c r="U71" s="32" t="n">
        <f aca="false">Costs!U71/FX_EUR</f>
        <v>914.694103424462</v>
      </c>
      <c r="V71" s="32" t="n">
        <f aca="false">Costs!V71/FX_EUR</f>
        <v>914.694103424462</v>
      </c>
      <c r="W71" s="32" t="n">
        <f aca="false">Costs!W71/FX_EUR</f>
        <v>914.694103424462</v>
      </c>
      <c r="X71" s="32" t="n">
        <f aca="false">Costs!X71/FX_EUR</f>
        <v>914.694103424462</v>
      </c>
      <c r="Y71" s="32" t="n">
        <f aca="false">Costs!Y71/FX_EUR</f>
        <v>914.694103424462</v>
      </c>
      <c r="Z71" s="32" t="n">
        <f aca="false">Costs!Z71/FX_EUR</f>
        <v>914.694103424462</v>
      </c>
      <c r="AA71" s="32" t="n">
        <f aca="false">Costs!AA71/FX_EUR</f>
        <v>914.694103424462</v>
      </c>
      <c r="AB71" s="32" t="n">
        <f aca="false">Costs!AB71/FX_EUR</f>
        <v>914.694103424462</v>
      </c>
      <c r="AC71" s="32" t="n">
        <f aca="false">Costs!AC71/FX_EUR</f>
        <v>1219.59213789928</v>
      </c>
      <c r="AD71" s="32" t="n">
        <f aca="false">Costs!AD71/FX_EUR</f>
        <v>1219.59213789928</v>
      </c>
      <c r="AE71" s="32" t="n">
        <f aca="false">Costs!AE71/FX_EUR</f>
        <v>1219.59213789928</v>
      </c>
      <c r="AF71" s="32" t="n">
        <f aca="false">Costs!AF71/FX_EUR</f>
        <v>1219.59213789928</v>
      </c>
      <c r="AG71" s="32" t="n">
        <f aca="false">Costs!AG71/FX_EUR</f>
        <v>1219.59213789928</v>
      </c>
      <c r="AH71" s="32" t="n">
        <f aca="false">Costs!AH71/FX_EUR</f>
        <v>1219.59213789928</v>
      </c>
      <c r="AI71" s="32" t="n">
        <f aca="false">Costs!AI71/FX_EUR</f>
        <v>1219.59213789928</v>
      </c>
      <c r="AJ71" s="32" t="n">
        <f aca="false">Costs!AJ71/FX_EUR</f>
        <v>1219.59213789928</v>
      </c>
      <c r="AK71" s="32" t="n">
        <f aca="false">Costs!AK71/FX_EUR</f>
        <v>1219.59213789928</v>
      </c>
      <c r="AL71" s="32" t="n">
        <f aca="false">Costs!AL71/FX_EUR</f>
        <v>1219.59213789928</v>
      </c>
      <c r="AM71" s="32" t="n">
        <f aca="false">Costs!AM71/FX_EUR</f>
        <v>1219.59213789928</v>
      </c>
      <c r="AN71" s="32" t="n">
        <f aca="false">Costs!AN71/FX_EUR</f>
        <v>1219.59213789928</v>
      </c>
      <c r="AO71" s="32" t="n">
        <f aca="false">Costs!AO71/FX_EUR</f>
        <v>1372.04115513669</v>
      </c>
      <c r="AP71" s="32" t="n">
        <f aca="false">Costs!AP71/FX_EUR</f>
        <v>1372.04115513669</v>
      </c>
      <c r="AQ71" s="32" t="n">
        <f aca="false">Costs!AQ71/FX_EUR</f>
        <v>1372.04115513669</v>
      </c>
      <c r="AR71" s="32" t="n">
        <f aca="false">Costs!AR71/FX_EUR</f>
        <v>1372.04115513669</v>
      </c>
      <c r="AS71" s="32" t="n">
        <f aca="false">Costs!AS71/FX_EUR</f>
        <v>1372.04115513669</v>
      </c>
      <c r="AT71" s="32" t="n">
        <f aca="false">Costs!AT71/FX_EUR</f>
        <v>1372.04115513669</v>
      </c>
      <c r="AU71" s="32" t="n">
        <f aca="false">Costs!AU71/FX_EUR</f>
        <v>1372.04115513669</v>
      </c>
      <c r="AV71" s="32" t="n">
        <f aca="false">Costs!AV71/FX_EUR</f>
        <v>1372.04115513669</v>
      </c>
      <c r="AW71" s="32" t="n">
        <f aca="false">Costs!AW71/FX_EUR</f>
        <v>1372.04115513669</v>
      </c>
      <c r="AX71" s="32" t="n">
        <f aca="false">Costs!AX71/FX_EUR</f>
        <v>1372.04115513669</v>
      </c>
      <c r="AY71" s="32" t="n">
        <f aca="false">Costs!AY71/FX_EUR</f>
        <v>1372.04115513669</v>
      </c>
      <c r="AZ71" s="32" t="n">
        <f aca="false">Costs!AZ71/FX_EUR</f>
        <v>1372.04115513669</v>
      </c>
      <c r="BA71" s="32" t="n">
        <f aca="false">Costs!BA71/FX_EUR</f>
        <v>1524.4901723741</v>
      </c>
      <c r="BB71" s="32" t="n">
        <f aca="false">Costs!BB71/FX_EUR</f>
        <v>1524.4901723741</v>
      </c>
      <c r="BC71" s="32" t="n">
        <f aca="false">Costs!BC71/FX_EUR</f>
        <v>1524.4901723741</v>
      </c>
      <c r="BD71" s="32" t="n">
        <f aca="false">Costs!BD71/FX_EUR</f>
        <v>1524.4901723741</v>
      </c>
      <c r="BE71" s="32" t="n">
        <f aca="false">Costs!BE71/FX_EUR</f>
        <v>1524.4901723741</v>
      </c>
      <c r="BF71" s="32" t="n">
        <f aca="false">Costs!BF71/FX_EUR</f>
        <v>1524.4901723741</v>
      </c>
      <c r="BG71" s="32" t="n">
        <f aca="false">Costs!BG71/FX_EUR</f>
        <v>1524.4901723741</v>
      </c>
      <c r="BH71" s="32" t="n">
        <f aca="false">Costs!BH71/FX_EUR</f>
        <v>1524.4901723741</v>
      </c>
      <c r="BI71" s="32" t="n">
        <f aca="false">Costs!BI71/FX_EUR</f>
        <v>1524.4901723741</v>
      </c>
      <c r="BJ71" s="32" t="n">
        <f aca="false">Costs!BJ71/FX_EUR</f>
        <v>1524.4901723741</v>
      </c>
      <c r="BK71" s="32" t="n">
        <f aca="false">Costs!BK71/FX_EUR</f>
        <v>1524.4901723741</v>
      </c>
      <c r="BL71" s="32" t="n">
        <f aca="false">Costs!BL71/FX_EUR</f>
        <v>1524.4901723741</v>
      </c>
    </row>
    <row r="72" customFormat="false" ht="15" hidden="false" customHeight="false" outlineLevel="0" collapsed="false">
      <c r="A72" s="12" t="s">
        <v>709</v>
      </c>
      <c r="B72" s="14" t="s">
        <v>79</v>
      </c>
      <c r="D72" s="55" t="n">
        <f aca="false">Costs!D72/FX_EUR</f>
        <v>64028.5872397124</v>
      </c>
      <c r="E72" s="32" t="n">
        <f aca="false">Costs!E72/FX_EUR</f>
        <v>0</v>
      </c>
      <c r="F72" s="32" t="n">
        <f aca="false">Costs!F72/FX_EUR</f>
        <v>0</v>
      </c>
      <c r="G72" s="32" t="n">
        <f aca="false">Costs!G72/FX_EUR</f>
        <v>0</v>
      </c>
      <c r="H72" s="32" t="n">
        <f aca="false">Costs!H72/FX_EUR</f>
        <v>0</v>
      </c>
      <c r="I72" s="32" t="n">
        <f aca="false">Costs!I72/FX_EUR</f>
        <v>0</v>
      </c>
      <c r="J72" s="32" t="n">
        <f aca="false">Costs!J72/FX_EUR</f>
        <v>0</v>
      </c>
      <c r="K72" s="32" t="n">
        <f aca="false">Costs!K72/FX_EUR</f>
        <v>0</v>
      </c>
      <c r="L72" s="32" t="n">
        <f aca="false">Costs!L72/FX_EUR</f>
        <v>0</v>
      </c>
      <c r="M72" s="32" t="n">
        <f aca="false">Costs!M72/FX_EUR</f>
        <v>0</v>
      </c>
      <c r="N72" s="32" t="n">
        <f aca="false">Costs!N72/FX_EUR</f>
        <v>0</v>
      </c>
      <c r="O72" s="32" t="n">
        <f aca="false">Costs!O72/FX_EUR</f>
        <v>0</v>
      </c>
      <c r="P72" s="32" t="n">
        <f aca="false">Costs!P72/FX_EUR</f>
        <v>0</v>
      </c>
      <c r="Q72" s="32" t="n">
        <f aca="false">Costs!Q72/FX_EUR</f>
        <v>0</v>
      </c>
      <c r="R72" s="32" t="n">
        <f aca="false">Costs!R72/FX_EUR</f>
        <v>0</v>
      </c>
      <c r="S72" s="32" t="n">
        <f aca="false">Costs!S72/FX_EUR</f>
        <v>0</v>
      </c>
      <c r="T72" s="32" t="n">
        <f aca="false">Costs!T72/FX_EUR</f>
        <v>0</v>
      </c>
      <c r="U72" s="32" t="n">
        <f aca="false">Costs!U72/FX_EUR</f>
        <v>0</v>
      </c>
      <c r="V72" s="32" t="n">
        <f aca="false">Costs!V72/FX_EUR</f>
        <v>0</v>
      </c>
      <c r="W72" s="32" t="n">
        <f aca="false">Costs!W72/FX_EUR</f>
        <v>0</v>
      </c>
      <c r="X72" s="32" t="n">
        <f aca="false">Costs!X72/FX_EUR</f>
        <v>0</v>
      </c>
      <c r="Y72" s="32" t="n">
        <f aca="false">Costs!Y72/FX_EUR</f>
        <v>0</v>
      </c>
      <c r="Z72" s="32" t="n">
        <f aca="false">Costs!Z72/FX_EUR</f>
        <v>0</v>
      </c>
      <c r="AA72" s="32" t="n">
        <f aca="false">Costs!AA72/FX_EUR</f>
        <v>0</v>
      </c>
      <c r="AB72" s="32" t="n">
        <f aca="false">Costs!AB72/FX_EUR</f>
        <v>0</v>
      </c>
      <c r="AC72" s="32" t="n">
        <f aca="false">Costs!AC72/FX_EUR</f>
        <v>1524.4901723741</v>
      </c>
      <c r="AD72" s="32" t="n">
        <f aca="false">Costs!AD72/FX_EUR</f>
        <v>1524.4901723741</v>
      </c>
      <c r="AE72" s="32" t="n">
        <f aca="false">Costs!AE72/FX_EUR</f>
        <v>1524.4901723741</v>
      </c>
      <c r="AF72" s="32" t="n">
        <f aca="false">Costs!AF72/FX_EUR</f>
        <v>1524.4901723741</v>
      </c>
      <c r="AG72" s="32" t="n">
        <f aca="false">Costs!AG72/FX_EUR</f>
        <v>1524.4901723741</v>
      </c>
      <c r="AH72" s="32" t="n">
        <f aca="false">Costs!AH72/FX_EUR</f>
        <v>1524.4901723741</v>
      </c>
      <c r="AI72" s="32" t="n">
        <f aca="false">Costs!AI72/FX_EUR</f>
        <v>1524.4901723741</v>
      </c>
      <c r="AJ72" s="32" t="n">
        <f aca="false">Costs!AJ72/FX_EUR</f>
        <v>1524.4901723741</v>
      </c>
      <c r="AK72" s="32" t="n">
        <f aca="false">Costs!AK72/FX_EUR</f>
        <v>1524.4901723741</v>
      </c>
      <c r="AL72" s="32" t="n">
        <f aca="false">Costs!AL72/FX_EUR</f>
        <v>1524.4901723741</v>
      </c>
      <c r="AM72" s="32" t="n">
        <f aca="false">Costs!AM72/FX_EUR</f>
        <v>1524.4901723741</v>
      </c>
      <c r="AN72" s="32" t="n">
        <f aca="false">Costs!AN72/FX_EUR</f>
        <v>1524.4901723741</v>
      </c>
      <c r="AO72" s="32" t="n">
        <f aca="false">Costs!AO72/FX_EUR</f>
        <v>1778.57186776979</v>
      </c>
      <c r="AP72" s="32" t="n">
        <f aca="false">Costs!AP72/FX_EUR</f>
        <v>1778.57186776979</v>
      </c>
      <c r="AQ72" s="32" t="n">
        <f aca="false">Costs!AQ72/FX_EUR</f>
        <v>1778.57186776979</v>
      </c>
      <c r="AR72" s="32" t="n">
        <f aca="false">Costs!AR72/FX_EUR</f>
        <v>1778.57186776979</v>
      </c>
      <c r="AS72" s="32" t="n">
        <f aca="false">Costs!AS72/FX_EUR</f>
        <v>1778.57186776979</v>
      </c>
      <c r="AT72" s="32" t="n">
        <f aca="false">Costs!AT72/FX_EUR</f>
        <v>1778.57186776979</v>
      </c>
      <c r="AU72" s="32" t="n">
        <f aca="false">Costs!AU72/FX_EUR</f>
        <v>1778.57186776979</v>
      </c>
      <c r="AV72" s="32" t="n">
        <f aca="false">Costs!AV72/FX_EUR</f>
        <v>1778.57186776979</v>
      </c>
      <c r="AW72" s="32" t="n">
        <f aca="false">Costs!AW72/FX_EUR</f>
        <v>1778.57186776979</v>
      </c>
      <c r="AX72" s="32" t="n">
        <f aca="false">Costs!AX72/FX_EUR</f>
        <v>1778.57186776979</v>
      </c>
      <c r="AY72" s="32" t="n">
        <f aca="false">Costs!AY72/FX_EUR</f>
        <v>1778.57186776979</v>
      </c>
      <c r="AZ72" s="32" t="n">
        <f aca="false">Costs!AZ72/FX_EUR</f>
        <v>1778.57186776979</v>
      </c>
      <c r="BA72" s="32" t="n">
        <f aca="false">Costs!BA72/FX_EUR</f>
        <v>2032.65356316547</v>
      </c>
      <c r="BB72" s="32" t="n">
        <f aca="false">Costs!BB72/FX_EUR</f>
        <v>2032.65356316547</v>
      </c>
      <c r="BC72" s="32" t="n">
        <f aca="false">Costs!BC72/FX_EUR</f>
        <v>2032.65356316547</v>
      </c>
      <c r="BD72" s="32" t="n">
        <f aca="false">Costs!BD72/FX_EUR</f>
        <v>2032.65356316547</v>
      </c>
      <c r="BE72" s="32" t="n">
        <f aca="false">Costs!BE72/FX_EUR</f>
        <v>2032.65356316547</v>
      </c>
      <c r="BF72" s="32" t="n">
        <f aca="false">Costs!BF72/FX_EUR</f>
        <v>2032.65356316547</v>
      </c>
      <c r="BG72" s="32" t="n">
        <f aca="false">Costs!BG72/FX_EUR</f>
        <v>2032.65356316547</v>
      </c>
      <c r="BH72" s="32" t="n">
        <f aca="false">Costs!BH72/FX_EUR</f>
        <v>2032.65356316547</v>
      </c>
      <c r="BI72" s="32" t="n">
        <f aca="false">Costs!BI72/FX_EUR</f>
        <v>2032.65356316547</v>
      </c>
      <c r="BJ72" s="32" t="n">
        <f aca="false">Costs!BJ72/FX_EUR</f>
        <v>2032.65356316547</v>
      </c>
      <c r="BK72" s="32" t="n">
        <f aca="false">Costs!BK72/FX_EUR</f>
        <v>2032.65356316547</v>
      </c>
      <c r="BL72" s="32" t="n">
        <f aca="false">Costs!BL72/FX_EUR</f>
        <v>2032.65356316547</v>
      </c>
    </row>
    <row r="73" customFormat="false" ht="15" hidden="false" customHeight="false" outlineLevel="0" collapsed="false">
      <c r="A73" s="12" t="s">
        <v>869</v>
      </c>
      <c r="B73" s="14" t="s">
        <v>79</v>
      </c>
      <c r="D73" s="55" t="n">
        <f aca="false">Costs!D73/FX_EUR</f>
        <v>16769.3918961151</v>
      </c>
      <c r="E73" s="32" t="n">
        <f aca="false">Costs!E73/FX_EUR</f>
        <v>444.642966942447</v>
      </c>
      <c r="F73" s="32" t="n">
        <f aca="false">Costs!F73/FX_EUR</f>
        <v>444.642966942447</v>
      </c>
      <c r="G73" s="32" t="n">
        <f aca="false">Costs!G73/FX_EUR</f>
        <v>444.642966942447</v>
      </c>
      <c r="H73" s="32" t="n">
        <f aca="false">Costs!H73/FX_EUR</f>
        <v>444.642966942447</v>
      </c>
      <c r="I73" s="32" t="n">
        <f aca="false">Costs!I73/FX_EUR</f>
        <v>444.642966942447</v>
      </c>
      <c r="J73" s="32" t="n">
        <f aca="false">Costs!J73/FX_EUR</f>
        <v>444.642966942447</v>
      </c>
      <c r="K73" s="32" t="n">
        <f aca="false">Costs!K73/FX_EUR</f>
        <v>444.642966942447</v>
      </c>
      <c r="L73" s="32" t="n">
        <f aca="false">Costs!L73/FX_EUR</f>
        <v>444.642966942447</v>
      </c>
      <c r="M73" s="32" t="n">
        <f aca="false">Costs!M73/FX_EUR</f>
        <v>444.642966942447</v>
      </c>
      <c r="N73" s="32" t="n">
        <f aca="false">Costs!N73/FX_EUR</f>
        <v>444.642966942447</v>
      </c>
      <c r="O73" s="32" t="n">
        <f aca="false">Costs!O73/FX_EUR</f>
        <v>444.642966942447</v>
      </c>
      <c r="P73" s="32" t="n">
        <f aca="false">Costs!P73/FX_EUR</f>
        <v>444.642966942447</v>
      </c>
      <c r="Q73" s="32" t="n">
        <f aca="false">Costs!Q73/FX_EUR</f>
        <v>381.122543093526</v>
      </c>
      <c r="R73" s="32" t="n">
        <f aca="false">Costs!R73/FX_EUR</f>
        <v>381.122543093526</v>
      </c>
      <c r="S73" s="32" t="n">
        <f aca="false">Costs!S73/FX_EUR</f>
        <v>381.122543093526</v>
      </c>
      <c r="T73" s="32" t="n">
        <f aca="false">Costs!T73/FX_EUR</f>
        <v>381.122543093526</v>
      </c>
      <c r="U73" s="32" t="n">
        <f aca="false">Costs!U73/FX_EUR</f>
        <v>381.122543093526</v>
      </c>
      <c r="V73" s="32" t="n">
        <f aca="false">Costs!V73/FX_EUR</f>
        <v>381.122543093526</v>
      </c>
      <c r="W73" s="32" t="n">
        <f aca="false">Costs!W73/FX_EUR</f>
        <v>381.122543093526</v>
      </c>
      <c r="X73" s="32" t="n">
        <f aca="false">Costs!X73/FX_EUR</f>
        <v>381.122543093526</v>
      </c>
      <c r="Y73" s="32" t="n">
        <f aca="false">Costs!Y73/FX_EUR</f>
        <v>381.122543093526</v>
      </c>
      <c r="Z73" s="32" t="n">
        <f aca="false">Costs!Z73/FX_EUR</f>
        <v>381.122543093526</v>
      </c>
      <c r="AA73" s="32" t="n">
        <f aca="false">Costs!AA73/FX_EUR</f>
        <v>381.122543093526</v>
      </c>
      <c r="AB73" s="32" t="n">
        <f aca="false">Costs!AB73/FX_EUR</f>
        <v>381.122543093526</v>
      </c>
      <c r="AC73" s="32" t="n">
        <f aca="false">Costs!AC73/FX_EUR</f>
        <v>190.561271546763</v>
      </c>
      <c r="AD73" s="32" t="n">
        <f aca="false">Costs!AD73/FX_EUR</f>
        <v>190.561271546763</v>
      </c>
      <c r="AE73" s="32" t="n">
        <f aca="false">Costs!AE73/FX_EUR</f>
        <v>190.561271546763</v>
      </c>
      <c r="AF73" s="32" t="n">
        <f aca="false">Costs!AF73/FX_EUR</f>
        <v>190.561271546763</v>
      </c>
      <c r="AG73" s="32" t="n">
        <f aca="false">Costs!AG73/FX_EUR</f>
        <v>190.561271546763</v>
      </c>
      <c r="AH73" s="32" t="n">
        <f aca="false">Costs!AH73/FX_EUR</f>
        <v>190.561271546763</v>
      </c>
      <c r="AI73" s="32" t="n">
        <f aca="false">Costs!AI73/FX_EUR</f>
        <v>190.561271546763</v>
      </c>
      <c r="AJ73" s="32" t="n">
        <f aca="false">Costs!AJ73/FX_EUR</f>
        <v>190.561271546763</v>
      </c>
      <c r="AK73" s="32" t="n">
        <f aca="false">Costs!AK73/FX_EUR</f>
        <v>190.561271546763</v>
      </c>
      <c r="AL73" s="32" t="n">
        <f aca="false">Costs!AL73/FX_EUR</f>
        <v>190.561271546763</v>
      </c>
      <c r="AM73" s="32" t="n">
        <f aca="false">Costs!AM73/FX_EUR</f>
        <v>190.561271546763</v>
      </c>
      <c r="AN73" s="32" t="n">
        <f aca="false">Costs!AN73/FX_EUR</f>
        <v>190.561271546763</v>
      </c>
      <c r="AO73" s="32" t="n">
        <f aca="false">Costs!AO73/FX_EUR</f>
        <v>190.561271546763</v>
      </c>
      <c r="AP73" s="32" t="n">
        <f aca="false">Costs!AP73/FX_EUR</f>
        <v>190.561271546763</v>
      </c>
      <c r="AQ73" s="32" t="n">
        <f aca="false">Costs!AQ73/FX_EUR</f>
        <v>190.561271546763</v>
      </c>
      <c r="AR73" s="32" t="n">
        <f aca="false">Costs!AR73/FX_EUR</f>
        <v>190.561271546763</v>
      </c>
      <c r="AS73" s="32" t="n">
        <f aca="false">Costs!AS73/FX_EUR</f>
        <v>190.561271546763</v>
      </c>
      <c r="AT73" s="32" t="n">
        <f aca="false">Costs!AT73/FX_EUR</f>
        <v>190.561271546763</v>
      </c>
      <c r="AU73" s="32" t="n">
        <f aca="false">Costs!AU73/FX_EUR</f>
        <v>190.561271546763</v>
      </c>
      <c r="AV73" s="32" t="n">
        <f aca="false">Costs!AV73/FX_EUR</f>
        <v>190.561271546763</v>
      </c>
      <c r="AW73" s="32" t="n">
        <f aca="false">Costs!AW73/FX_EUR</f>
        <v>190.561271546763</v>
      </c>
      <c r="AX73" s="32" t="n">
        <f aca="false">Costs!AX73/FX_EUR</f>
        <v>190.561271546763</v>
      </c>
      <c r="AY73" s="32" t="n">
        <f aca="false">Costs!AY73/FX_EUR</f>
        <v>190.561271546763</v>
      </c>
      <c r="AZ73" s="32" t="n">
        <f aca="false">Costs!AZ73/FX_EUR</f>
        <v>190.561271546763</v>
      </c>
      <c r="BA73" s="32" t="n">
        <f aca="false">Costs!BA73/FX_EUR</f>
        <v>190.561271546763</v>
      </c>
      <c r="BB73" s="32" t="n">
        <f aca="false">Costs!BB73/FX_EUR</f>
        <v>190.561271546763</v>
      </c>
      <c r="BC73" s="32" t="n">
        <f aca="false">Costs!BC73/FX_EUR</f>
        <v>190.561271546763</v>
      </c>
      <c r="BD73" s="32" t="n">
        <f aca="false">Costs!BD73/FX_EUR</f>
        <v>190.561271546763</v>
      </c>
      <c r="BE73" s="32" t="n">
        <f aca="false">Costs!BE73/FX_EUR</f>
        <v>190.561271546763</v>
      </c>
      <c r="BF73" s="32" t="n">
        <f aca="false">Costs!BF73/FX_EUR</f>
        <v>190.561271546763</v>
      </c>
      <c r="BG73" s="32" t="n">
        <f aca="false">Costs!BG73/FX_EUR</f>
        <v>190.561271546763</v>
      </c>
      <c r="BH73" s="32" t="n">
        <f aca="false">Costs!BH73/FX_EUR</f>
        <v>190.561271546763</v>
      </c>
      <c r="BI73" s="32" t="n">
        <f aca="false">Costs!BI73/FX_EUR</f>
        <v>190.561271546763</v>
      </c>
      <c r="BJ73" s="32" t="n">
        <f aca="false">Costs!BJ73/FX_EUR</f>
        <v>190.561271546763</v>
      </c>
      <c r="BK73" s="32" t="n">
        <f aca="false">Costs!BK73/FX_EUR</f>
        <v>190.561271546763</v>
      </c>
      <c r="BL73" s="32" t="n">
        <f aca="false">Costs!BL73/FX_EUR</f>
        <v>190.561271546763</v>
      </c>
    </row>
    <row r="74" customFormat="false" ht="15" hidden="false" customHeight="false" outlineLevel="0" collapsed="false">
      <c r="A74" s="12" t="s">
        <v>675</v>
      </c>
      <c r="B74" s="14" t="s">
        <v>79</v>
      </c>
      <c r="D74" s="55" t="n">
        <f aca="false">Costs!D74/FX_EUR</f>
        <v>43447.969912662</v>
      </c>
      <c r="E74" s="32" t="n">
        <f aca="false">Costs!E74/FX_EUR</f>
        <v>0</v>
      </c>
      <c r="F74" s="32" t="n">
        <f aca="false">Costs!F74/FX_EUR</f>
        <v>0</v>
      </c>
      <c r="G74" s="32" t="n">
        <f aca="false">Costs!G74/FX_EUR</f>
        <v>0</v>
      </c>
      <c r="H74" s="32" t="n">
        <f aca="false">Costs!H74/FX_EUR</f>
        <v>0</v>
      </c>
      <c r="I74" s="32" t="n">
        <f aca="false">Costs!I74/FX_EUR</f>
        <v>0</v>
      </c>
      <c r="J74" s="32" t="n">
        <f aca="false">Costs!J74/FX_EUR</f>
        <v>0</v>
      </c>
      <c r="K74" s="32" t="n">
        <f aca="false">Costs!K74/FX_EUR</f>
        <v>0</v>
      </c>
      <c r="L74" s="32" t="n">
        <f aca="false">Costs!L74/FX_EUR</f>
        <v>0</v>
      </c>
      <c r="M74" s="32" t="n">
        <f aca="false">Costs!M74/FX_EUR</f>
        <v>0</v>
      </c>
      <c r="N74" s="32" t="n">
        <f aca="false">Costs!N74/FX_EUR</f>
        <v>0</v>
      </c>
      <c r="O74" s="32" t="n">
        <f aca="false">Costs!O74/FX_EUR</f>
        <v>0</v>
      </c>
      <c r="P74" s="32" t="n">
        <f aca="false">Costs!P74/FX_EUR</f>
        <v>0</v>
      </c>
      <c r="Q74" s="32" t="n">
        <f aca="false">Costs!Q74/FX_EUR</f>
        <v>571.683814640289</v>
      </c>
      <c r="R74" s="32" t="n">
        <f aca="false">Costs!R74/FX_EUR</f>
        <v>571.683814640289</v>
      </c>
      <c r="S74" s="32" t="n">
        <f aca="false">Costs!S74/FX_EUR</f>
        <v>571.683814640289</v>
      </c>
      <c r="T74" s="32" t="n">
        <f aca="false">Costs!T74/FX_EUR</f>
        <v>571.683814640289</v>
      </c>
      <c r="U74" s="32" t="n">
        <f aca="false">Costs!U74/FX_EUR</f>
        <v>571.683814640289</v>
      </c>
      <c r="V74" s="32" t="n">
        <f aca="false">Costs!V74/FX_EUR</f>
        <v>571.683814640289</v>
      </c>
      <c r="W74" s="32" t="n">
        <f aca="false">Costs!W74/FX_EUR</f>
        <v>571.683814640289</v>
      </c>
      <c r="X74" s="32" t="n">
        <f aca="false">Costs!X74/FX_EUR</f>
        <v>571.683814640289</v>
      </c>
      <c r="Y74" s="32" t="n">
        <f aca="false">Costs!Y74/FX_EUR</f>
        <v>571.683814640289</v>
      </c>
      <c r="Z74" s="32" t="n">
        <f aca="false">Costs!Z74/FX_EUR</f>
        <v>571.683814640289</v>
      </c>
      <c r="AA74" s="32" t="n">
        <f aca="false">Costs!AA74/FX_EUR</f>
        <v>571.683814640289</v>
      </c>
      <c r="AB74" s="32" t="n">
        <f aca="false">Costs!AB74/FX_EUR</f>
        <v>571.683814640289</v>
      </c>
      <c r="AC74" s="32" t="n">
        <f aca="false">Costs!AC74/FX_EUR</f>
        <v>762.245086187052</v>
      </c>
      <c r="AD74" s="32" t="n">
        <f aca="false">Costs!AD74/FX_EUR</f>
        <v>762.245086187052</v>
      </c>
      <c r="AE74" s="32" t="n">
        <f aca="false">Costs!AE74/FX_EUR</f>
        <v>762.245086187052</v>
      </c>
      <c r="AF74" s="32" t="n">
        <f aca="false">Costs!AF74/FX_EUR</f>
        <v>762.245086187052</v>
      </c>
      <c r="AG74" s="32" t="n">
        <f aca="false">Costs!AG74/FX_EUR</f>
        <v>762.245086187052</v>
      </c>
      <c r="AH74" s="32" t="n">
        <f aca="false">Costs!AH74/FX_EUR</f>
        <v>762.245086187052</v>
      </c>
      <c r="AI74" s="32" t="n">
        <f aca="false">Costs!AI74/FX_EUR</f>
        <v>762.245086187052</v>
      </c>
      <c r="AJ74" s="32" t="n">
        <f aca="false">Costs!AJ74/FX_EUR</f>
        <v>762.245086187052</v>
      </c>
      <c r="AK74" s="32" t="n">
        <f aca="false">Costs!AK74/FX_EUR</f>
        <v>762.245086187052</v>
      </c>
      <c r="AL74" s="32" t="n">
        <f aca="false">Costs!AL74/FX_EUR</f>
        <v>762.245086187052</v>
      </c>
      <c r="AM74" s="32" t="n">
        <f aca="false">Costs!AM74/FX_EUR</f>
        <v>762.245086187052</v>
      </c>
      <c r="AN74" s="32" t="n">
        <f aca="false">Costs!AN74/FX_EUR</f>
        <v>762.245086187052</v>
      </c>
      <c r="AO74" s="32" t="n">
        <f aca="false">Costs!AO74/FX_EUR</f>
        <v>1016.32678158274</v>
      </c>
      <c r="AP74" s="32" t="n">
        <f aca="false">Costs!AP74/FX_EUR</f>
        <v>1016.32678158274</v>
      </c>
      <c r="AQ74" s="32" t="n">
        <f aca="false">Costs!AQ74/FX_EUR</f>
        <v>1016.32678158274</v>
      </c>
      <c r="AR74" s="32" t="n">
        <f aca="false">Costs!AR74/FX_EUR</f>
        <v>1016.32678158274</v>
      </c>
      <c r="AS74" s="32" t="n">
        <f aca="false">Costs!AS74/FX_EUR</f>
        <v>1016.32678158274</v>
      </c>
      <c r="AT74" s="32" t="n">
        <f aca="false">Costs!AT74/FX_EUR</f>
        <v>1016.32678158274</v>
      </c>
      <c r="AU74" s="32" t="n">
        <f aca="false">Costs!AU74/FX_EUR</f>
        <v>1016.32678158274</v>
      </c>
      <c r="AV74" s="32" t="n">
        <f aca="false">Costs!AV74/FX_EUR</f>
        <v>1016.32678158274</v>
      </c>
      <c r="AW74" s="32" t="n">
        <f aca="false">Costs!AW74/FX_EUR</f>
        <v>1016.32678158274</v>
      </c>
      <c r="AX74" s="32" t="n">
        <f aca="false">Costs!AX74/FX_EUR</f>
        <v>1016.32678158274</v>
      </c>
      <c r="AY74" s="32" t="n">
        <f aca="false">Costs!AY74/FX_EUR</f>
        <v>1016.32678158274</v>
      </c>
      <c r="AZ74" s="32" t="n">
        <f aca="false">Costs!AZ74/FX_EUR</f>
        <v>1016.32678158274</v>
      </c>
      <c r="BA74" s="32" t="n">
        <f aca="false">Costs!BA74/FX_EUR</f>
        <v>1270.40847697842</v>
      </c>
      <c r="BB74" s="32" t="n">
        <f aca="false">Costs!BB74/FX_EUR</f>
        <v>1270.40847697842</v>
      </c>
      <c r="BC74" s="32" t="n">
        <f aca="false">Costs!BC74/FX_EUR</f>
        <v>1270.40847697842</v>
      </c>
      <c r="BD74" s="32" t="n">
        <f aca="false">Costs!BD74/FX_EUR</f>
        <v>1270.40847697842</v>
      </c>
      <c r="BE74" s="32" t="n">
        <f aca="false">Costs!BE74/FX_EUR</f>
        <v>1270.40847697842</v>
      </c>
      <c r="BF74" s="32" t="n">
        <f aca="false">Costs!BF74/FX_EUR</f>
        <v>1270.40847697842</v>
      </c>
      <c r="BG74" s="32" t="n">
        <f aca="false">Costs!BG74/FX_EUR</f>
        <v>1270.40847697842</v>
      </c>
      <c r="BH74" s="32" t="n">
        <f aca="false">Costs!BH74/FX_EUR</f>
        <v>1270.40847697842</v>
      </c>
      <c r="BI74" s="32" t="n">
        <f aca="false">Costs!BI74/FX_EUR</f>
        <v>1270.40847697842</v>
      </c>
      <c r="BJ74" s="32" t="n">
        <f aca="false">Costs!BJ74/FX_EUR</f>
        <v>1270.40847697842</v>
      </c>
      <c r="BK74" s="32" t="n">
        <f aca="false">Costs!BK74/FX_EUR</f>
        <v>1270.40847697842</v>
      </c>
      <c r="BL74" s="32" t="n">
        <f aca="false">Costs!BL74/FX_EUR</f>
        <v>1270.40847697842</v>
      </c>
    </row>
    <row r="75" customFormat="false" ht="15" hidden="false" customHeight="false" outlineLevel="0" collapsed="false">
      <c r="A75" s="12" t="s">
        <v>870</v>
      </c>
      <c r="B75" s="14" t="s">
        <v>79</v>
      </c>
      <c r="D75" s="55" t="n">
        <f aca="false">Costs!D75/FX_EUR</f>
        <v>159156.773995856</v>
      </c>
      <c r="E75" s="32" t="n">
        <f aca="false">Costs!E75/FX_EUR</f>
        <v>1473.67383329497</v>
      </c>
      <c r="F75" s="32" t="n">
        <f aca="false">Costs!F75/FX_EUR</f>
        <v>1473.67383329497</v>
      </c>
      <c r="G75" s="32" t="n">
        <f aca="false">Costs!G75/FX_EUR</f>
        <v>1473.67383329497</v>
      </c>
      <c r="H75" s="32" t="n">
        <f aca="false">Costs!H75/FX_EUR</f>
        <v>1473.67383329497</v>
      </c>
      <c r="I75" s="32" t="n">
        <f aca="false">Costs!I75/FX_EUR</f>
        <v>1473.67383329497</v>
      </c>
      <c r="J75" s="32" t="n">
        <f aca="false">Costs!J75/FX_EUR</f>
        <v>1473.67383329497</v>
      </c>
      <c r="K75" s="32" t="n">
        <f aca="false">Costs!K75/FX_EUR</f>
        <v>1473.67383329497</v>
      </c>
      <c r="L75" s="32" t="n">
        <f aca="false">Costs!L75/FX_EUR</f>
        <v>1473.67383329497</v>
      </c>
      <c r="M75" s="32" t="n">
        <f aca="false">Costs!M75/FX_EUR</f>
        <v>1473.67383329497</v>
      </c>
      <c r="N75" s="32" t="n">
        <f aca="false">Costs!N75/FX_EUR</f>
        <v>1473.67383329497</v>
      </c>
      <c r="O75" s="32" t="n">
        <f aca="false">Costs!O75/FX_EUR</f>
        <v>1473.67383329497</v>
      </c>
      <c r="P75" s="32" t="n">
        <f aca="false">Costs!P75/FX_EUR</f>
        <v>1473.67383329497</v>
      </c>
      <c r="Q75" s="32" t="n">
        <f aca="false">Costs!Q75/FX_EUR</f>
        <v>1842.09229161871</v>
      </c>
      <c r="R75" s="32" t="n">
        <f aca="false">Costs!R75/FX_EUR</f>
        <v>1842.09229161871</v>
      </c>
      <c r="S75" s="32" t="n">
        <f aca="false">Costs!S75/FX_EUR</f>
        <v>1842.09229161871</v>
      </c>
      <c r="T75" s="32" t="n">
        <f aca="false">Costs!T75/FX_EUR</f>
        <v>1842.09229161871</v>
      </c>
      <c r="U75" s="32" t="n">
        <f aca="false">Costs!U75/FX_EUR</f>
        <v>1842.09229161871</v>
      </c>
      <c r="V75" s="32" t="n">
        <f aca="false">Costs!V75/FX_EUR</f>
        <v>1842.09229161871</v>
      </c>
      <c r="W75" s="32" t="n">
        <f aca="false">Costs!W75/FX_EUR</f>
        <v>1842.09229161871</v>
      </c>
      <c r="X75" s="32" t="n">
        <f aca="false">Costs!X75/FX_EUR</f>
        <v>1842.09229161871</v>
      </c>
      <c r="Y75" s="32" t="n">
        <f aca="false">Costs!Y75/FX_EUR</f>
        <v>1842.09229161871</v>
      </c>
      <c r="Z75" s="32" t="n">
        <f aca="false">Costs!Z75/FX_EUR</f>
        <v>1842.09229161871</v>
      </c>
      <c r="AA75" s="32" t="n">
        <f aca="false">Costs!AA75/FX_EUR</f>
        <v>1842.09229161871</v>
      </c>
      <c r="AB75" s="32" t="n">
        <f aca="false">Costs!AB75/FX_EUR</f>
        <v>1842.09229161871</v>
      </c>
      <c r="AC75" s="32" t="n">
        <f aca="false">Costs!AC75/FX_EUR</f>
        <v>2578.92920826619</v>
      </c>
      <c r="AD75" s="32" t="n">
        <f aca="false">Costs!AD75/FX_EUR</f>
        <v>2578.92920826619</v>
      </c>
      <c r="AE75" s="32" t="n">
        <f aca="false">Costs!AE75/FX_EUR</f>
        <v>2578.92920826619</v>
      </c>
      <c r="AF75" s="32" t="n">
        <f aca="false">Costs!AF75/FX_EUR</f>
        <v>2578.92920826619</v>
      </c>
      <c r="AG75" s="32" t="n">
        <f aca="false">Costs!AG75/FX_EUR</f>
        <v>2578.92920826619</v>
      </c>
      <c r="AH75" s="32" t="n">
        <f aca="false">Costs!AH75/FX_EUR</f>
        <v>2578.92920826619</v>
      </c>
      <c r="AI75" s="32" t="n">
        <f aca="false">Costs!AI75/FX_EUR</f>
        <v>2578.92920826619</v>
      </c>
      <c r="AJ75" s="32" t="n">
        <f aca="false">Costs!AJ75/FX_EUR</f>
        <v>2578.92920826619</v>
      </c>
      <c r="AK75" s="32" t="n">
        <f aca="false">Costs!AK75/FX_EUR</f>
        <v>2578.92920826619</v>
      </c>
      <c r="AL75" s="32" t="n">
        <f aca="false">Costs!AL75/FX_EUR</f>
        <v>2578.92920826619</v>
      </c>
      <c r="AM75" s="32" t="n">
        <f aca="false">Costs!AM75/FX_EUR</f>
        <v>2578.92920826619</v>
      </c>
      <c r="AN75" s="32" t="n">
        <f aca="false">Costs!AN75/FX_EUR</f>
        <v>2578.92920826619</v>
      </c>
      <c r="AO75" s="32" t="n">
        <f aca="false">Costs!AO75/FX_EUR</f>
        <v>3315.76612491368</v>
      </c>
      <c r="AP75" s="32" t="n">
        <f aca="false">Costs!AP75/FX_EUR</f>
        <v>3315.76612491368</v>
      </c>
      <c r="AQ75" s="32" t="n">
        <f aca="false">Costs!AQ75/FX_EUR</f>
        <v>3315.76612491368</v>
      </c>
      <c r="AR75" s="32" t="n">
        <f aca="false">Costs!AR75/FX_EUR</f>
        <v>3315.76612491368</v>
      </c>
      <c r="AS75" s="32" t="n">
        <f aca="false">Costs!AS75/FX_EUR</f>
        <v>3315.76612491368</v>
      </c>
      <c r="AT75" s="32" t="n">
        <f aca="false">Costs!AT75/FX_EUR</f>
        <v>3315.76612491368</v>
      </c>
      <c r="AU75" s="32" t="n">
        <f aca="false">Costs!AU75/FX_EUR</f>
        <v>3315.76612491368</v>
      </c>
      <c r="AV75" s="32" t="n">
        <f aca="false">Costs!AV75/FX_EUR</f>
        <v>3315.76612491368</v>
      </c>
      <c r="AW75" s="32" t="n">
        <f aca="false">Costs!AW75/FX_EUR</f>
        <v>3315.76612491368</v>
      </c>
      <c r="AX75" s="32" t="n">
        <f aca="false">Costs!AX75/FX_EUR</f>
        <v>3315.76612491368</v>
      </c>
      <c r="AY75" s="32" t="n">
        <f aca="false">Costs!AY75/FX_EUR</f>
        <v>3315.76612491368</v>
      </c>
      <c r="AZ75" s="32" t="n">
        <f aca="false">Costs!AZ75/FX_EUR</f>
        <v>3315.76612491368</v>
      </c>
      <c r="BA75" s="32" t="n">
        <f aca="false">Costs!BA75/FX_EUR</f>
        <v>4052.60304156116</v>
      </c>
      <c r="BB75" s="32" t="n">
        <f aca="false">Costs!BB75/FX_EUR</f>
        <v>4052.60304156116</v>
      </c>
      <c r="BC75" s="32" t="n">
        <f aca="false">Costs!BC75/FX_EUR</f>
        <v>4052.60304156116</v>
      </c>
      <c r="BD75" s="32" t="n">
        <f aca="false">Costs!BD75/FX_EUR</f>
        <v>4052.60304156116</v>
      </c>
      <c r="BE75" s="32" t="n">
        <f aca="false">Costs!BE75/FX_EUR</f>
        <v>4052.60304156116</v>
      </c>
      <c r="BF75" s="32" t="n">
        <f aca="false">Costs!BF75/FX_EUR</f>
        <v>4052.60304156116</v>
      </c>
      <c r="BG75" s="32" t="n">
        <f aca="false">Costs!BG75/FX_EUR</f>
        <v>4052.60304156116</v>
      </c>
      <c r="BH75" s="32" t="n">
        <f aca="false">Costs!BH75/FX_EUR</f>
        <v>4052.60304156116</v>
      </c>
      <c r="BI75" s="32" t="n">
        <f aca="false">Costs!BI75/FX_EUR</f>
        <v>4052.60304156116</v>
      </c>
      <c r="BJ75" s="32" t="n">
        <f aca="false">Costs!BJ75/FX_EUR</f>
        <v>4052.60304156116</v>
      </c>
      <c r="BK75" s="32" t="n">
        <f aca="false">Costs!BK75/FX_EUR</f>
        <v>4052.60304156116</v>
      </c>
      <c r="BL75" s="32" t="n">
        <f aca="false">Costs!BL75/FX_EUR</f>
        <v>4052.60304156116</v>
      </c>
    </row>
    <row r="76" customFormat="false" ht="15" hidden="false" customHeight="false" outlineLevel="0" collapsed="false">
      <c r="A76" s="8" t="s">
        <v>1089</v>
      </c>
      <c r="B76" s="14" t="s">
        <v>79</v>
      </c>
      <c r="D76" s="55" t="n">
        <f aca="false">Costs!D76/FX_EUR</f>
        <v>1000980.24718084</v>
      </c>
      <c r="E76" s="16" t="n">
        <f aca="false">Costs!E76/FX_EUR</f>
        <v>8346.58369374822</v>
      </c>
      <c r="F76" s="16" t="n">
        <f aca="false">Costs!F76/FX_EUR</f>
        <v>4535.35826281296</v>
      </c>
      <c r="G76" s="16" t="n">
        <f aca="false">Costs!G76/FX_EUR</f>
        <v>4535.35826281296</v>
      </c>
      <c r="H76" s="16" t="n">
        <f aca="false">Costs!H76/FX_EUR</f>
        <v>4535.35826281296</v>
      </c>
      <c r="I76" s="16" t="n">
        <f aca="false">Costs!I76/FX_EUR</f>
        <v>4535.35826281296</v>
      </c>
      <c r="J76" s="16" t="n">
        <f aca="false">Costs!J76/FX_EUR</f>
        <v>4535.35826281296</v>
      </c>
      <c r="K76" s="16" t="n">
        <f aca="false">Costs!K76/FX_EUR</f>
        <v>4535.35826281296</v>
      </c>
      <c r="L76" s="16" t="n">
        <f aca="false">Costs!L76/FX_EUR</f>
        <v>4535.35826281296</v>
      </c>
      <c r="M76" s="16" t="n">
        <f aca="false">Costs!M76/FX_EUR</f>
        <v>4535.35826281296</v>
      </c>
      <c r="N76" s="16" t="n">
        <f aca="false">Costs!N76/FX_EUR</f>
        <v>4535.35826281296</v>
      </c>
      <c r="O76" s="16" t="n">
        <f aca="false">Costs!O76/FX_EUR</f>
        <v>4535.35826281296</v>
      </c>
      <c r="P76" s="16" t="n">
        <f aca="false">Costs!P76/FX_EUR</f>
        <v>4535.35826281296</v>
      </c>
      <c r="Q76" s="16" t="n">
        <f aca="false">Costs!Q76/FX_EUR</f>
        <v>12348.3703962302</v>
      </c>
      <c r="R76" s="16" t="n">
        <f aca="false">Costs!R76/FX_EUR</f>
        <v>12348.3703962302</v>
      </c>
      <c r="S76" s="16" t="n">
        <f aca="false">Costs!S76/FX_EUR</f>
        <v>12348.3703962302</v>
      </c>
      <c r="T76" s="16" t="n">
        <f aca="false">Costs!T76/FX_EUR</f>
        <v>16921.8409133526</v>
      </c>
      <c r="U76" s="16" t="n">
        <f aca="false">Costs!U76/FX_EUR</f>
        <v>12348.3703962302</v>
      </c>
      <c r="V76" s="16" t="n">
        <f aca="false">Costs!V76/FX_EUR</f>
        <v>12348.3703962302</v>
      </c>
      <c r="W76" s="16" t="n">
        <f aca="false">Costs!W76/FX_EUR</f>
        <v>12348.3703962302</v>
      </c>
      <c r="X76" s="16" t="n">
        <f aca="false">Costs!X76/FX_EUR</f>
        <v>12348.3703962302</v>
      </c>
      <c r="Y76" s="16" t="n">
        <f aca="false">Costs!Y76/FX_EUR</f>
        <v>12348.3703962302</v>
      </c>
      <c r="Z76" s="16" t="n">
        <f aca="false">Costs!Z76/FX_EUR</f>
        <v>12348.3703962302</v>
      </c>
      <c r="AA76" s="16" t="n">
        <f aca="false">Costs!AA76/FX_EUR</f>
        <v>12348.3703962302</v>
      </c>
      <c r="AB76" s="16" t="n">
        <f aca="false">Costs!AB76/FX_EUR</f>
        <v>16921.8409133526</v>
      </c>
      <c r="AC76" s="16" t="n">
        <f aca="false">Costs!AC76/FX_EUR</f>
        <v>19106.9434937554</v>
      </c>
      <c r="AD76" s="16" t="n">
        <f aca="false">Costs!AD76/FX_EUR</f>
        <v>19106.9434937554</v>
      </c>
      <c r="AE76" s="16" t="n">
        <f aca="false">Costs!AE76/FX_EUR</f>
        <v>19106.9434937554</v>
      </c>
      <c r="AF76" s="16" t="n">
        <f aca="false">Costs!AF76/FX_EUR</f>
        <v>19106.9434937554</v>
      </c>
      <c r="AG76" s="16" t="n">
        <f aca="false">Costs!AG76/FX_EUR</f>
        <v>19106.9434937554</v>
      </c>
      <c r="AH76" s="16" t="n">
        <f aca="false">Costs!AH76/FX_EUR</f>
        <v>19106.9434937554</v>
      </c>
      <c r="AI76" s="16" t="n">
        <f aca="false">Costs!AI76/FX_EUR</f>
        <v>19106.9434937554</v>
      </c>
      <c r="AJ76" s="16" t="n">
        <f aca="false">Costs!AJ76/FX_EUR</f>
        <v>19106.9434937554</v>
      </c>
      <c r="AK76" s="16" t="n">
        <f aca="false">Costs!AK76/FX_EUR</f>
        <v>19106.9434937554</v>
      </c>
      <c r="AL76" s="16" t="n">
        <f aca="false">Costs!AL76/FX_EUR</f>
        <v>19106.9434937554</v>
      </c>
      <c r="AM76" s="16" t="n">
        <f aca="false">Costs!AM76/FX_EUR</f>
        <v>19106.9434937554</v>
      </c>
      <c r="AN76" s="16" t="n">
        <f aca="false">Costs!AN76/FX_EUR</f>
        <v>19106.9434937554</v>
      </c>
      <c r="AO76" s="16" t="n">
        <f aca="false">Costs!AO76/FX_EUR</f>
        <v>21393.6787523166</v>
      </c>
      <c r="AP76" s="16" t="n">
        <f aca="false">Costs!AP76/FX_EUR</f>
        <v>21393.6787523166</v>
      </c>
      <c r="AQ76" s="16" t="n">
        <f aca="false">Costs!AQ76/FX_EUR</f>
        <v>21393.6787523166</v>
      </c>
      <c r="AR76" s="16" t="n">
        <f aca="false">Costs!AR76/FX_EUR</f>
        <v>21393.6787523166</v>
      </c>
      <c r="AS76" s="16" t="n">
        <f aca="false">Costs!AS76/FX_EUR</f>
        <v>21393.6787523166</v>
      </c>
      <c r="AT76" s="16" t="n">
        <f aca="false">Costs!AT76/FX_EUR</f>
        <v>21393.6787523166</v>
      </c>
      <c r="AU76" s="16" t="n">
        <f aca="false">Costs!AU76/FX_EUR</f>
        <v>21393.6787523166</v>
      </c>
      <c r="AV76" s="16" t="n">
        <f aca="false">Costs!AV76/FX_EUR</f>
        <v>21393.6787523166</v>
      </c>
      <c r="AW76" s="16" t="n">
        <f aca="false">Costs!AW76/FX_EUR</f>
        <v>21393.6787523166</v>
      </c>
      <c r="AX76" s="16" t="n">
        <f aca="false">Costs!AX76/FX_EUR</f>
        <v>21393.6787523166</v>
      </c>
      <c r="AY76" s="16" t="n">
        <f aca="false">Costs!AY76/FX_EUR</f>
        <v>21393.6787523166</v>
      </c>
      <c r="AZ76" s="16" t="n">
        <f aca="false">Costs!AZ76/FX_EUR</f>
        <v>21393.6787523166</v>
      </c>
      <c r="BA76" s="16" t="n">
        <f aca="false">Costs!BA76/FX_EUR</f>
        <v>24950.8224878562</v>
      </c>
      <c r="BB76" s="16" t="n">
        <f aca="false">Costs!BB76/FX_EUR</f>
        <v>24950.8224878562</v>
      </c>
      <c r="BC76" s="16" t="n">
        <f aca="false">Costs!BC76/FX_EUR</f>
        <v>24950.8224878562</v>
      </c>
      <c r="BD76" s="16" t="n">
        <f aca="false">Costs!BD76/FX_EUR</f>
        <v>24950.8224878562</v>
      </c>
      <c r="BE76" s="16" t="n">
        <f aca="false">Costs!BE76/FX_EUR</f>
        <v>24950.8224878562</v>
      </c>
      <c r="BF76" s="16" t="n">
        <f aca="false">Costs!BF76/FX_EUR</f>
        <v>24950.8224878562</v>
      </c>
      <c r="BG76" s="16" t="n">
        <f aca="false">Costs!BG76/FX_EUR</f>
        <v>24950.8224878562</v>
      </c>
      <c r="BH76" s="16" t="n">
        <f aca="false">Costs!BH76/FX_EUR</f>
        <v>24950.8224878562</v>
      </c>
      <c r="BI76" s="16" t="n">
        <f aca="false">Costs!BI76/FX_EUR</f>
        <v>24950.8224878562</v>
      </c>
      <c r="BJ76" s="16" t="n">
        <f aca="false">Costs!BJ76/FX_EUR</f>
        <v>24950.8224878562</v>
      </c>
      <c r="BK76" s="16" t="n">
        <f aca="false">Costs!BK76/FX_EUR</f>
        <v>24950.8224878562</v>
      </c>
      <c r="BL76" s="16" t="n">
        <f aca="false">Costs!BL76/FX_EUR</f>
        <v>24950.8224878562</v>
      </c>
    </row>
    <row r="78" customFormat="false" ht="15" hidden="false" customHeight="false" outlineLevel="0" collapsed="false">
      <c r="A78" s="10" t="s">
        <v>713</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978</v>
      </c>
      <c r="B79" s="14" t="s">
        <v>79</v>
      </c>
      <c r="D79" s="55" t="n">
        <f aca="false">Costs!D79/FX_EUR</f>
        <v>507990.615238499</v>
      </c>
      <c r="E79" s="32" t="n">
        <f aca="false">Costs!E79/FX_EUR</f>
        <v>0</v>
      </c>
      <c r="F79" s="32" t="n">
        <f aca="false">Costs!F79/FX_EUR</f>
        <v>0</v>
      </c>
      <c r="G79" s="32" t="n">
        <f aca="false">Costs!G79/FX_EUR</f>
        <v>0</v>
      </c>
      <c r="H79" s="32" t="n">
        <f aca="false">Costs!H79/FX_EUR</f>
        <v>0</v>
      </c>
      <c r="I79" s="32" t="n">
        <f aca="false">Costs!I79/FX_EUR</f>
        <v>1997.08212581008</v>
      </c>
      <c r="J79" s="32" t="n">
        <f aca="false">Costs!J79/FX_EUR</f>
        <v>1997.08212581008</v>
      </c>
      <c r="K79" s="32" t="n">
        <f aca="false">Costs!K79/FX_EUR</f>
        <v>1997.08212581008</v>
      </c>
      <c r="L79" s="32" t="n">
        <f aca="false">Costs!L79/FX_EUR</f>
        <v>1997.08212581008</v>
      </c>
      <c r="M79" s="32" t="n">
        <f aca="false">Costs!M79/FX_EUR</f>
        <v>1997.08212581008</v>
      </c>
      <c r="N79" s="32" t="n">
        <f aca="false">Costs!N79/FX_EUR</f>
        <v>1997.08212581008</v>
      </c>
      <c r="O79" s="32" t="n">
        <f aca="false">Costs!O79/FX_EUR</f>
        <v>1997.08212581008</v>
      </c>
      <c r="P79" s="32" t="n">
        <f aca="false">Costs!P79/FX_EUR</f>
        <v>1997.08212581008</v>
      </c>
      <c r="Q79" s="32" t="n">
        <f aca="false">Costs!Q79/FX_EUR</f>
        <v>3994.16425162015</v>
      </c>
      <c r="R79" s="32" t="n">
        <f aca="false">Costs!R79/FX_EUR</f>
        <v>3994.16425162015</v>
      </c>
      <c r="S79" s="32" t="n">
        <f aca="false">Costs!S79/FX_EUR</f>
        <v>3994.16425162015</v>
      </c>
      <c r="T79" s="32" t="n">
        <f aca="false">Costs!T79/FX_EUR</f>
        <v>3994.16425162015</v>
      </c>
      <c r="U79" s="32" t="n">
        <f aca="false">Costs!U79/FX_EUR</f>
        <v>3994.16425162015</v>
      </c>
      <c r="V79" s="32" t="n">
        <f aca="false">Costs!V79/FX_EUR</f>
        <v>3994.16425162015</v>
      </c>
      <c r="W79" s="32" t="n">
        <f aca="false">Costs!W79/FX_EUR</f>
        <v>5991.24637743023</v>
      </c>
      <c r="X79" s="32" t="n">
        <f aca="false">Costs!X79/FX_EUR</f>
        <v>5991.24637743023</v>
      </c>
      <c r="Y79" s="32" t="n">
        <f aca="false">Costs!Y79/FX_EUR</f>
        <v>5991.24637743023</v>
      </c>
      <c r="Z79" s="32" t="n">
        <f aca="false">Costs!Z79/FX_EUR</f>
        <v>5991.24637743023</v>
      </c>
      <c r="AA79" s="32" t="n">
        <f aca="false">Costs!AA79/FX_EUR</f>
        <v>5991.24637743023</v>
      </c>
      <c r="AB79" s="32" t="n">
        <f aca="false">Costs!AB79/FX_EUR</f>
        <v>5991.24637743023</v>
      </c>
      <c r="AC79" s="32" t="n">
        <f aca="false">Costs!AC79/FX_EUR</f>
        <v>10000.6555307741</v>
      </c>
      <c r="AD79" s="32" t="n">
        <f aca="false">Costs!AD79/FX_EUR</f>
        <v>10000.6555307741</v>
      </c>
      <c r="AE79" s="32" t="n">
        <f aca="false">Costs!AE79/FX_EUR</f>
        <v>10000.6555307741</v>
      </c>
      <c r="AF79" s="32" t="n">
        <f aca="false">Costs!AF79/FX_EUR</f>
        <v>10000.6555307741</v>
      </c>
      <c r="AG79" s="32" t="n">
        <f aca="false">Costs!AG79/FX_EUR</f>
        <v>10000.6555307741</v>
      </c>
      <c r="AH79" s="32" t="n">
        <f aca="false">Costs!AH79/FX_EUR</f>
        <v>10000.6555307741</v>
      </c>
      <c r="AI79" s="32" t="n">
        <f aca="false">Costs!AI79/FX_EUR</f>
        <v>10000.6555307741</v>
      </c>
      <c r="AJ79" s="32" t="n">
        <f aca="false">Costs!AJ79/FX_EUR</f>
        <v>10000.6555307741</v>
      </c>
      <c r="AK79" s="32" t="n">
        <f aca="false">Costs!AK79/FX_EUR</f>
        <v>10000.6555307741</v>
      </c>
      <c r="AL79" s="32" t="n">
        <f aca="false">Costs!AL79/FX_EUR</f>
        <v>10000.6555307741</v>
      </c>
      <c r="AM79" s="32" t="n">
        <f aca="false">Costs!AM79/FX_EUR</f>
        <v>10000.6555307741</v>
      </c>
      <c r="AN79" s="32" t="n">
        <f aca="false">Costs!AN79/FX_EUR</f>
        <v>10000.6555307741</v>
      </c>
      <c r="AO79" s="32" t="n">
        <f aca="false">Costs!AO79/FX_EUR</f>
        <v>11997.7376565842</v>
      </c>
      <c r="AP79" s="32" t="n">
        <f aca="false">Costs!AP79/FX_EUR</f>
        <v>11997.7376565842</v>
      </c>
      <c r="AQ79" s="32" t="n">
        <f aca="false">Costs!AQ79/FX_EUR</f>
        <v>11997.7376565842</v>
      </c>
      <c r="AR79" s="32" t="n">
        <f aca="false">Costs!AR79/FX_EUR</f>
        <v>11997.7376565842</v>
      </c>
      <c r="AS79" s="32" t="n">
        <f aca="false">Costs!AS79/FX_EUR</f>
        <v>11997.7376565842</v>
      </c>
      <c r="AT79" s="32" t="n">
        <f aca="false">Costs!AT79/FX_EUR</f>
        <v>11997.7376565842</v>
      </c>
      <c r="AU79" s="32" t="n">
        <f aca="false">Costs!AU79/FX_EUR</f>
        <v>11997.7376565842</v>
      </c>
      <c r="AV79" s="32" t="n">
        <f aca="false">Costs!AV79/FX_EUR</f>
        <v>11997.7376565842</v>
      </c>
      <c r="AW79" s="32" t="n">
        <f aca="false">Costs!AW79/FX_EUR</f>
        <v>11997.7376565842</v>
      </c>
      <c r="AX79" s="32" t="n">
        <f aca="false">Costs!AX79/FX_EUR</f>
        <v>11997.7376565842</v>
      </c>
      <c r="AY79" s="32" t="n">
        <f aca="false">Costs!AY79/FX_EUR</f>
        <v>11997.7376565842</v>
      </c>
      <c r="AZ79" s="32" t="n">
        <f aca="false">Costs!AZ79/FX_EUR</f>
        <v>11997.7376565842</v>
      </c>
      <c r="BA79" s="32" t="n">
        <f aca="false">Costs!BA79/FX_EUR</f>
        <v>14010.064684118</v>
      </c>
      <c r="BB79" s="32" t="n">
        <f aca="false">Costs!BB79/FX_EUR</f>
        <v>14010.064684118</v>
      </c>
      <c r="BC79" s="32" t="n">
        <f aca="false">Costs!BC79/FX_EUR</f>
        <v>14010.064684118</v>
      </c>
      <c r="BD79" s="32" t="n">
        <f aca="false">Costs!BD79/FX_EUR</f>
        <v>14010.064684118</v>
      </c>
      <c r="BE79" s="32" t="n">
        <f aca="false">Costs!BE79/FX_EUR</f>
        <v>14010.064684118</v>
      </c>
      <c r="BF79" s="32" t="n">
        <f aca="false">Costs!BF79/FX_EUR</f>
        <v>14010.064684118</v>
      </c>
      <c r="BG79" s="32" t="n">
        <f aca="false">Costs!BG79/FX_EUR</f>
        <v>14010.064684118</v>
      </c>
      <c r="BH79" s="32" t="n">
        <f aca="false">Costs!BH79/FX_EUR</f>
        <v>14010.064684118</v>
      </c>
      <c r="BI79" s="32" t="n">
        <f aca="false">Costs!BI79/FX_EUR</f>
        <v>14010.064684118</v>
      </c>
      <c r="BJ79" s="32" t="n">
        <f aca="false">Costs!BJ79/FX_EUR</f>
        <v>14010.064684118</v>
      </c>
      <c r="BK79" s="32" t="n">
        <f aca="false">Costs!BK79/FX_EUR</f>
        <v>14010.064684118</v>
      </c>
      <c r="BL79" s="32" t="n">
        <f aca="false">Costs!BL79/FX_EUR</f>
        <v>14010.064684118</v>
      </c>
    </row>
    <row r="80" customFormat="false" ht="15" hidden="false" customHeight="false" outlineLevel="0" collapsed="false">
      <c r="A80" s="12" t="s">
        <v>717</v>
      </c>
      <c r="B80" s="14" t="s">
        <v>79</v>
      </c>
      <c r="D80" s="55" t="n">
        <f aca="false">Costs!D80/FX_EUR</f>
        <v>63007.1788242217</v>
      </c>
      <c r="E80" s="32" t="n">
        <f aca="false">Costs!E80/FX_EUR</f>
        <v>2083.46990224461</v>
      </c>
      <c r="F80" s="32" t="n">
        <f aca="false">Costs!F80/FX_EUR</f>
        <v>2083.46990224461</v>
      </c>
      <c r="G80" s="32" t="n">
        <f aca="false">Costs!G80/FX_EUR</f>
        <v>2083.46990224461</v>
      </c>
      <c r="H80" s="32" t="n">
        <f aca="false">Costs!H80/FX_EUR</f>
        <v>2083.46990224461</v>
      </c>
      <c r="I80" s="32" t="n">
        <f aca="false">Costs!I80/FX_EUR</f>
        <v>2083.46990224461</v>
      </c>
      <c r="J80" s="32" t="n">
        <f aca="false">Costs!J80/FX_EUR</f>
        <v>2083.46990224461</v>
      </c>
      <c r="K80" s="32" t="n">
        <f aca="false">Costs!K80/FX_EUR</f>
        <v>2083.46990224461</v>
      </c>
      <c r="L80" s="32" t="n">
        <f aca="false">Costs!L80/FX_EUR</f>
        <v>2083.46990224461</v>
      </c>
      <c r="M80" s="32" t="n">
        <f aca="false">Costs!M80/FX_EUR</f>
        <v>2083.46990224461</v>
      </c>
      <c r="N80" s="32" t="n">
        <f aca="false">Costs!N80/FX_EUR</f>
        <v>2083.46990224461</v>
      </c>
      <c r="O80" s="32" t="n">
        <f aca="false">Costs!O80/FX_EUR</f>
        <v>2083.46990224461</v>
      </c>
      <c r="P80" s="32" t="n">
        <f aca="false">Costs!P80/FX_EUR</f>
        <v>2083.46990224461</v>
      </c>
      <c r="Q80" s="32" t="n">
        <f aca="false">Costs!Q80/FX_EUR</f>
        <v>666.96445041367</v>
      </c>
      <c r="R80" s="32" t="n">
        <f aca="false">Costs!R80/FX_EUR</f>
        <v>666.96445041367</v>
      </c>
      <c r="S80" s="32" t="n">
        <f aca="false">Costs!S80/FX_EUR</f>
        <v>666.96445041367</v>
      </c>
      <c r="T80" s="32" t="n">
        <f aca="false">Costs!T80/FX_EUR</f>
        <v>666.96445041367</v>
      </c>
      <c r="U80" s="32" t="n">
        <f aca="false">Costs!U80/FX_EUR</f>
        <v>666.96445041367</v>
      </c>
      <c r="V80" s="32" t="n">
        <f aca="false">Costs!V80/FX_EUR</f>
        <v>666.96445041367</v>
      </c>
      <c r="W80" s="32" t="n">
        <f aca="false">Costs!W80/FX_EUR</f>
        <v>666.96445041367</v>
      </c>
      <c r="X80" s="32" t="n">
        <f aca="false">Costs!X80/FX_EUR</f>
        <v>666.96445041367</v>
      </c>
      <c r="Y80" s="32" t="n">
        <f aca="false">Costs!Y80/FX_EUR</f>
        <v>666.96445041367</v>
      </c>
      <c r="Z80" s="32" t="n">
        <f aca="false">Costs!Z80/FX_EUR</f>
        <v>666.96445041367</v>
      </c>
      <c r="AA80" s="32" t="n">
        <f aca="false">Costs!AA80/FX_EUR</f>
        <v>666.96445041367</v>
      </c>
      <c r="AB80" s="32" t="n">
        <f aca="false">Costs!AB80/FX_EUR</f>
        <v>666.96445041367</v>
      </c>
      <c r="AC80" s="32" t="n">
        <f aca="false">Costs!AC80/FX_EUR</f>
        <v>833.387960897843</v>
      </c>
      <c r="AD80" s="32" t="n">
        <f aca="false">Costs!AD80/FX_EUR</f>
        <v>833.387960897843</v>
      </c>
      <c r="AE80" s="32" t="n">
        <f aca="false">Costs!AE80/FX_EUR</f>
        <v>833.387960897843</v>
      </c>
      <c r="AF80" s="32" t="n">
        <f aca="false">Costs!AF80/FX_EUR</f>
        <v>833.387960897843</v>
      </c>
      <c r="AG80" s="32" t="n">
        <f aca="false">Costs!AG80/FX_EUR</f>
        <v>833.387960897843</v>
      </c>
      <c r="AH80" s="32" t="n">
        <f aca="false">Costs!AH80/FX_EUR</f>
        <v>833.387960897843</v>
      </c>
      <c r="AI80" s="32" t="n">
        <f aca="false">Costs!AI80/FX_EUR</f>
        <v>833.387960897843</v>
      </c>
      <c r="AJ80" s="32" t="n">
        <f aca="false">Costs!AJ80/FX_EUR</f>
        <v>833.387960897843</v>
      </c>
      <c r="AK80" s="32" t="n">
        <f aca="false">Costs!AK80/FX_EUR</f>
        <v>833.387960897843</v>
      </c>
      <c r="AL80" s="32" t="n">
        <f aca="false">Costs!AL80/FX_EUR</f>
        <v>833.387960897843</v>
      </c>
      <c r="AM80" s="32" t="n">
        <f aca="false">Costs!AM80/FX_EUR</f>
        <v>833.387960897843</v>
      </c>
      <c r="AN80" s="32" t="n">
        <f aca="false">Costs!AN80/FX_EUR</f>
        <v>833.387960897843</v>
      </c>
      <c r="AO80" s="32" t="n">
        <f aca="false">Costs!AO80/FX_EUR</f>
        <v>833.387960897843</v>
      </c>
      <c r="AP80" s="32" t="n">
        <f aca="false">Costs!AP80/FX_EUR</f>
        <v>833.387960897843</v>
      </c>
      <c r="AQ80" s="32" t="n">
        <f aca="false">Costs!AQ80/FX_EUR</f>
        <v>833.387960897843</v>
      </c>
      <c r="AR80" s="32" t="n">
        <f aca="false">Costs!AR80/FX_EUR</f>
        <v>833.387960897843</v>
      </c>
      <c r="AS80" s="32" t="n">
        <f aca="false">Costs!AS80/FX_EUR</f>
        <v>833.387960897843</v>
      </c>
      <c r="AT80" s="32" t="n">
        <f aca="false">Costs!AT80/FX_EUR</f>
        <v>833.387960897843</v>
      </c>
      <c r="AU80" s="32" t="n">
        <f aca="false">Costs!AU80/FX_EUR</f>
        <v>833.387960897843</v>
      </c>
      <c r="AV80" s="32" t="n">
        <f aca="false">Costs!AV80/FX_EUR</f>
        <v>833.387960897843</v>
      </c>
      <c r="AW80" s="32" t="n">
        <f aca="false">Costs!AW80/FX_EUR</f>
        <v>833.387960897843</v>
      </c>
      <c r="AX80" s="32" t="n">
        <f aca="false">Costs!AX80/FX_EUR</f>
        <v>833.387960897843</v>
      </c>
      <c r="AY80" s="32" t="n">
        <f aca="false">Costs!AY80/FX_EUR</f>
        <v>833.387960897843</v>
      </c>
      <c r="AZ80" s="32" t="n">
        <f aca="false">Costs!AZ80/FX_EUR</f>
        <v>833.387960897843</v>
      </c>
      <c r="BA80" s="32" t="n">
        <f aca="false">Costs!BA80/FX_EUR</f>
        <v>833.387960897843</v>
      </c>
      <c r="BB80" s="32" t="n">
        <f aca="false">Costs!BB80/FX_EUR</f>
        <v>833.387960897843</v>
      </c>
      <c r="BC80" s="32" t="n">
        <f aca="false">Costs!BC80/FX_EUR</f>
        <v>833.387960897843</v>
      </c>
      <c r="BD80" s="32" t="n">
        <f aca="false">Costs!BD80/FX_EUR</f>
        <v>833.387960897843</v>
      </c>
      <c r="BE80" s="32" t="n">
        <f aca="false">Costs!BE80/FX_EUR</f>
        <v>833.387960897843</v>
      </c>
      <c r="BF80" s="32" t="n">
        <f aca="false">Costs!BF80/FX_EUR</f>
        <v>833.387960897843</v>
      </c>
      <c r="BG80" s="32" t="n">
        <f aca="false">Costs!BG80/FX_EUR</f>
        <v>833.387960897843</v>
      </c>
      <c r="BH80" s="32" t="n">
        <f aca="false">Costs!BH80/FX_EUR</f>
        <v>833.387960897843</v>
      </c>
      <c r="BI80" s="32" t="n">
        <f aca="false">Costs!BI80/FX_EUR</f>
        <v>833.387960897843</v>
      </c>
      <c r="BJ80" s="32" t="n">
        <f aca="false">Costs!BJ80/FX_EUR</f>
        <v>833.387960897843</v>
      </c>
      <c r="BK80" s="32" t="n">
        <f aca="false">Costs!BK80/FX_EUR</f>
        <v>833.387960897843</v>
      </c>
      <c r="BL80" s="32" t="n">
        <f aca="false">Costs!BL80/FX_EUR</f>
        <v>833.387960897843</v>
      </c>
    </row>
    <row r="81" customFormat="false" ht="15" hidden="false" customHeight="false" outlineLevel="0" collapsed="false">
      <c r="A81" s="12" t="s">
        <v>719</v>
      </c>
      <c r="B81" s="14" t="s">
        <v>79</v>
      </c>
      <c r="D81" s="55" t="n">
        <f aca="false">Costs!D81/FX_EUR</f>
        <v>209983.276342809</v>
      </c>
      <c r="E81" s="32" t="n">
        <f aca="false">Costs!E81/FX_EUR</f>
        <v>1250.08194134677</v>
      </c>
      <c r="F81" s="32" t="n">
        <f aca="false">Costs!F81/FX_EUR</f>
        <v>1250.08194134677</v>
      </c>
      <c r="G81" s="32" t="n">
        <f aca="false">Costs!G81/FX_EUR</f>
        <v>1250.08194134677</v>
      </c>
      <c r="H81" s="32" t="n">
        <f aca="false">Costs!H81/FX_EUR</f>
        <v>1250.08194134677</v>
      </c>
      <c r="I81" s="32" t="n">
        <f aca="false">Costs!I81/FX_EUR</f>
        <v>1250.08194134677</v>
      </c>
      <c r="J81" s="32" t="n">
        <f aca="false">Costs!J81/FX_EUR</f>
        <v>1250.08194134677</v>
      </c>
      <c r="K81" s="32" t="n">
        <f aca="false">Costs!K81/FX_EUR</f>
        <v>1250.08194134677</v>
      </c>
      <c r="L81" s="32" t="n">
        <f aca="false">Costs!L81/FX_EUR</f>
        <v>1250.08194134677</v>
      </c>
      <c r="M81" s="32" t="n">
        <f aca="false">Costs!M81/FX_EUR</f>
        <v>1250.08194134677</v>
      </c>
      <c r="N81" s="32" t="n">
        <f aca="false">Costs!N81/FX_EUR</f>
        <v>1250.08194134677</v>
      </c>
      <c r="O81" s="32" t="n">
        <f aca="false">Costs!O81/FX_EUR</f>
        <v>1250.08194134677</v>
      </c>
      <c r="P81" s="32" t="n">
        <f aca="false">Costs!P81/FX_EUR</f>
        <v>1250.08194134677</v>
      </c>
      <c r="Q81" s="32" t="n">
        <f aca="false">Costs!Q81/FX_EUR</f>
        <v>2502.70469964749</v>
      </c>
      <c r="R81" s="32" t="n">
        <f aca="false">Costs!R81/FX_EUR</f>
        <v>2502.70469964749</v>
      </c>
      <c r="S81" s="32" t="n">
        <f aca="false">Costs!S81/FX_EUR</f>
        <v>2502.70469964749</v>
      </c>
      <c r="T81" s="32" t="n">
        <f aca="false">Costs!T81/FX_EUR</f>
        <v>2502.70469964749</v>
      </c>
      <c r="U81" s="32" t="n">
        <f aca="false">Costs!U81/FX_EUR</f>
        <v>2502.70469964749</v>
      </c>
      <c r="V81" s="32" t="n">
        <f aca="false">Costs!V81/FX_EUR</f>
        <v>2502.70469964749</v>
      </c>
      <c r="W81" s="32" t="n">
        <f aca="false">Costs!W81/FX_EUR</f>
        <v>2502.70469964749</v>
      </c>
      <c r="X81" s="32" t="n">
        <f aca="false">Costs!X81/FX_EUR</f>
        <v>2502.70469964749</v>
      </c>
      <c r="Y81" s="32" t="n">
        <f aca="false">Costs!Y81/FX_EUR</f>
        <v>2502.70469964749</v>
      </c>
      <c r="Z81" s="32" t="n">
        <f aca="false">Costs!Z81/FX_EUR</f>
        <v>2502.70469964749</v>
      </c>
      <c r="AA81" s="32" t="n">
        <f aca="false">Costs!AA81/FX_EUR</f>
        <v>2502.70469964749</v>
      </c>
      <c r="AB81" s="32" t="n">
        <f aca="false">Costs!AB81/FX_EUR</f>
        <v>2502.70469964749</v>
      </c>
      <c r="AC81" s="32" t="n">
        <f aca="false">Costs!AC81/FX_EUR</f>
        <v>3747.70500708634</v>
      </c>
      <c r="AD81" s="32" t="n">
        <f aca="false">Costs!AD81/FX_EUR</f>
        <v>3747.70500708634</v>
      </c>
      <c r="AE81" s="32" t="n">
        <f aca="false">Costs!AE81/FX_EUR</f>
        <v>3747.70500708634</v>
      </c>
      <c r="AF81" s="32" t="n">
        <f aca="false">Costs!AF81/FX_EUR</f>
        <v>3747.70500708634</v>
      </c>
      <c r="AG81" s="32" t="n">
        <f aca="false">Costs!AG81/FX_EUR</f>
        <v>3747.70500708634</v>
      </c>
      <c r="AH81" s="32" t="n">
        <f aca="false">Costs!AH81/FX_EUR</f>
        <v>3747.70500708634</v>
      </c>
      <c r="AI81" s="32" t="n">
        <f aca="false">Costs!AI81/FX_EUR</f>
        <v>3747.70500708634</v>
      </c>
      <c r="AJ81" s="32" t="n">
        <f aca="false">Costs!AJ81/FX_EUR</f>
        <v>3747.70500708634</v>
      </c>
      <c r="AK81" s="32" t="n">
        <f aca="false">Costs!AK81/FX_EUR</f>
        <v>3747.70500708634</v>
      </c>
      <c r="AL81" s="32" t="n">
        <f aca="false">Costs!AL81/FX_EUR</f>
        <v>3747.70500708634</v>
      </c>
      <c r="AM81" s="32" t="n">
        <f aca="false">Costs!AM81/FX_EUR</f>
        <v>3747.70500708634</v>
      </c>
      <c r="AN81" s="32" t="n">
        <f aca="false">Costs!AN81/FX_EUR</f>
        <v>3747.70500708634</v>
      </c>
      <c r="AO81" s="32" t="n">
        <f aca="false">Costs!AO81/FX_EUR</f>
        <v>4586.1746018921</v>
      </c>
      <c r="AP81" s="32" t="n">
        <f aca="false">Costs!AP81/FX_EUR</f>
        <v>4586.1746018921</v>
      </c>
      <c r="AQ81" s="32" t="n">
        <f aca="false">Costs!AQ81/FX_EUR</f>
        <v>4586.1746018921</v>
      </c>
      <c r="AR81" s="32" t="n">
        <f aca="false">Costs!AR81/FX_EUR</f>
        <v>4586.1746018921</v>
      </c>
      <c r="AS81" s="32" t="n">
        <f aca="false">Costs!AS81/FX_EUR</f>
        <v>4586.1746018921</v>
      </c>
      <c r="AT81" s="32" t="n">
        <f aca="false">Costs!AT81/FX_EUR</f>
        <v>4586.1746018921</v>
      </c>
      <c r="AU81" s="32" t="n">
        <f aca="false">Costs!AU81/FX_EUR</f>
        <v>4586.1746018921</v>
      </c>
      <c r="AV81" s="32" t="n">
        <f aca="false">Costs!AV81/FX_EUR</f>
        <v>4586.1746018921</v>
      </c>
      <c r="AW81" s="32" t="n">
        <f aca="false">Costs!AW81/FX_EUR</f>
        <v>4586.1746018921</v>
      </c>
      <c r="AX81" s="32" t="n">
        <f aca="false">Costs!AX81/FX_EUR</f>
        <v>4586.1746018921</v>
      </c>
      <c r="AY81" s="32" t="n">
        <f aca="false">Costs!AY81/FX_EUR</f>
        <v>4586.1746018921</v>
      </c>
      <c r="AZ81" s="32" t="n">
        <f aca="false">Costs!AZ81/FX_EUR</f>
        <v>4586.1746018921</v>
      </c>
      <c r="BA81" s="32" t="n">
        <f aca="false">Costs!BA81/FX_EUR</f>
        <v>5411.94011192807</v>
      </c>
      <c r="BB81" s="32" t="n">
        <f aca="false">Costs!BB81/FX_EUR</f>
        <v>5411.94011192807</v>
      </c>
      <c r="BC81" s="32" t="n">
        <f aca="false">Costs!BC81/FX_EUR</f>
        <v>5411.94011192807</v>
      </c>
      <c r="BD81" s="32" t="n">
        <f aca="false">Costs!BD81/FX_EUR</f>
        <v>5411.94011192807</v>
      </c>
      <c r="BE81" s="32" t="n">
        <f aca="false">Costs!BE81/FX_EUR</f>
        <v>5411.94011192807</v>
      </c>
      <c r="BF81" s="32" t="n">
        <f aca="false">Costs!BF81/FX_EUR</f>
        <v>5411.94011192807</v>
      </c>
      <c r="BG81" s="32" t="n">
        <f aca="false">Costs!BG81/FX_EUR</f>
        <v>5411.94011192807</v>
      </c>
      <c r="BH81" s="32" t="n">
        <f aca="false">Costs!BH81/FX_EUR</f>
        <v>5411.94011192807</v>
      </c>
      <c r="BI81" s="32" t="n">
        <f aca="false">Costs!BI81/FX_EUR</f>
        <v>5411.94011192807</v>
      </c>
      <c r="BJ81" s="32" t="n">
        <f aca="false">Costs!BJ81/FX_EUR</f>
        <v>5411.94011192807</v>
      </c>
      <c r="BK81" s="32" t="n">
        <f aca="false">Costs!BK81/FX_EUR</f>
        <v>5411.94011192807</v>
      </c>
      <c r="BL81" s="32" t="n">
        <f aca="false">Costs!BL81/FX_EUR</f>
        <v>5411.94011192807</v>
      </c>
    </row>
    <row r="82" customFormat="false" ht="15" hidden="false" customHeight="false" outlineLevel="0" collapsed="false">
      <c r="A82" s="12" t="s">
        <v>979</v>
      </c>
      <c r="B82" s="14" t="s">
        <v>79</v>
      </c>
      <c r="D82" s="55" t="n">
        <f aca="false">Costs!D82/FX_EUR</f>
        <v>135933.739508181</v>
      </c>
      <c r="E82" s="32" t="n">
        <f aca="false">Costs!E82/FX_EUR</f>
        <v>0</v>
      </c>
      <c r="F82" s="32" t="n">
        <f aca="false">Costs!F82/FX_EUR</f>
        <v>0</v>
      </c>
      <c r="G82" s="32" t="n">
        <f aca="false">Costs!G82/FX_EUR</f>
        <v>0</v>
      </c>
      <c r="H82" s="32" t="n">
        <f aca="false">Costs!H82/FX_EUR</f>
        <v>0</v>
      </c>
      <c r="I82" s="32" t="n">
        <f aca="false">Costs!I82/FX_EUR</f>
        <v>304.898034474821</v>
      </c>
      <c r="J82" s="32" t="n">
        <f aca="false">Costs!J82/FX_EUR</f>
        <v>323.19191654331</v>
      </c>
      <c r="K82" s="32" t="n">
        <f aca="false">Costs!K82/FX_EUR</f>
        <v>342.583431535909</v>
      </c>
      <c r="L82" s="32" t="n">
        <f aca="false">Costs!L82/FX_EUR</f>
        <v>363.138437428063</v>
      </c>
      <c r="M82" s="32" t="n">
        <f aca="false">Costs!M82/FX_EUR</f>
        <v>384.926743673747</v>
      </c>
      <c r="N82" s="32" t="n">
        <f aca="false">Costs!N82/FX_EUR</f>
        <v>408.022348294172</v>
      </c>
      <c r="O82" s="32" t="n">
        <f aca="false">Costs!O82/FX_EUR</f>
        <v>432.503689191822</v>
      </c>
      <c r="P82" s="32" t="n">
        <f aca="false">Costs!P82/FX_EUR</f>
        <v>458.453910543332</v>
      </c>
      <c r="Q82" s="32" t="n">
        <f aca="false">Costs!Q82/FX_EUR</f>
        <v>485.961145175932</v>
      </c>
      <c r="R82" s="32" t="n">
        <f aca="false">Costs!R82/FX_EUR</f>
        <v>515.118813886487</v>
      </c>
      <c r="S82" s="32" t="n">
        <f aca="false">Costs!S82/FX_EUR</f>
        <v>546.025942719677</v>
      </c>
      <c r="T82" s="32" t="n">
        <f aca="false">Costs!T82/FX_EUR</f>
        <v>578.787499282857</v>
      </c>
      <c r="U82" s="32" t="n">
        <f aca="false">Costs!U82/FX_EUR</f>
        <v>613.514749239829</v>
      </c>
      <c r="V82" s="32" t="n">
        <f aca="false">Costs!V82/FX_EUR</f>
        <v>650.325634194218</v>
      </c>
      <c r="W82" s="32" t="n">
        <f aca="false">Costs!W82/FX_EUR</f>
        <v>918.018698101987</v>
      </c>
      <c r="X82" s="32" t="n">
        <f aca="false">Costs!X82/FX_EUR</f>
        <v>973.099819988106</v>
      </c>
      <c r="Y82" s="32" t="n">
        <f aca="false">Costs!Y82/FX_EUR</f>
        <v>1031.48580918739</v>
      </c>
      <c r="Z82" s="32" t="n">
        <f aca="false">Costs!Z82/FX_EUR</f>
        <v>1093.37495773864</v>
      </c>
      <c r="AA82" s="32" t="n">
        <f aca="false">Costs!AA82/FX_EUR</f>
        <v>1158.97745520295</v>
      </c>
      <c r="AB82" s="32" t="n">
        <f aca="false">Costs!AB82/FX_EUR</f>
        <v>1228.51610251513</v>
      </c>
      <c r="AC82" s="32" t="n">
        <f aca="false">Costs!AC82/FX_EUR</f>
        <v>1302.22706866604</v>
      </c>
      <c r="AD82" s="32" t="n">
        <f aca="false">Costs!AD82/FX_EUR</f>
        <v>1380.360692786</v>
      </c>
      <c r="AE82" s="32" t="n">
        <f aca="false">Costs!AE82/FX_EUR</f>
        <v>1463.18233435316</v>
      </c>
      <c r="AF82" s="32" t="n">
        <f aca="false">Costs!AF82/FX_EUR</f>
        <v>1550.97327441435</v>
      </c>
      <c r="AG82" s="32" t="n">
        <f aca="false">Costs!AG82/FX_EUR</f>
        <v>1644.03167087921</v>
      </c>
      <c r="AH82" s="32" t="n">
        <f aca="false">Costs!AH82/FX_EUR</f>
        <v>1742.67357113197</v>
      </c>
      <c r="AI82" s="32" t="n">
        <f aca="false">Costs!AI82/FX_EUR</f>
        <v>1847.23398539989</v>
      </c>
      <c r="AJ82" s="32" t="n">
        <f aca="false">Costs!AJ82/FX_EUR</f>
        <v>1958.06802452388</v>
      </c>
      <c r="AK82" s="32" t="n">
        <f aca="false">Costs!AK82/FX_EUR</f>
        <v>2075.55210599531</v>
      </c>
      <c r="AL82" s="32" t="n">
        <f aca="false">Costs!AL82/FX_EUR</f>
        <v>2200.08523235503</v>
      </c>
      <c r="AM82" s="32" t="n">
        <f aca="false">Costs!AM82/FX_EUR</f>
        <v>2332.09034629633</v>
      </c>
      <c r="AN82" s="32" t="n">
        <f aca="false">Costs!AN82/FX_EUR</f>
        <v>2472.01576707411</v>
      </c>
      <c r="AO82" s="32" t="n">
        <f aca="false">Costs!AO82/FX_EUR</f>
        <v>2620.33671309856</v>
      </c>
      <c r="AP82" s="32" t="n">
        <f aca="false">Costs!AP82/FX_EUR</f>
        <v>2777.55691588447</v>
      </c>
      <c r="AQ82" s="32" t="n">
        <f aca="false">Costs!AQ82/FX_EUR</f>
        <v>2944.21033083754</v>
      </c>
      <c r="AR82" s="32" t="n">
        <f aca="false">Costs!AR82/FX_EUR</f>
        <v>3120.86295068779</v>
      </c>
      <c r="AS82" s="32" t="n">
        <f aca="false">Costs!AS82/FX_EUR</f>
        <v>3308.11472772906</v>
      </c>
      <c r="AT82" s="32" t="n">
        <f aca="false">Costs!AT82/FX_EUR</f>
        <v>3506.60161139281</v>
      </c>
      <c r="AU82" s="32" t="n">
        <f aca="false">Costs!AU82/FX_EUR</f>
        <v>3716.99770807637</v>
      </c>
      <c r="AV82" s="32" t="n">
        <f aca="false">Costs!AV82/FX_EUR</f>
        <v>3940.01757056096</v>
      </c>
      <c r="AW82" s="32" t="n">
        <f aca="false">Costs!AW82/FX_EUR</f>
        <v>4089.30378735072</v>
      </c>
      <c r="AX82" s="32" t="n">
        <f aca="false">Costs!AX82/FX_EUR</f>
        <v>4151.72319390687</v>
      </c>
      <c r="AY82" s="32" t="n">
        <f aca="false">Costs!AY82/FX_EUR</f>
        <v>4217.88776485639</v>
      </c>
      <c r="AZ82" s="32" t="n">
        <f aca="false">Costs!AZ82/FX_EUR</f>
        <v>4288.02221006288</v>
      </c>
      <c r="BA82" s="32" t="n">
        <f aca="false">Costs!BA82/FX_EUR</f>
        <v>4362.36472198176</v>
      </c>
      <c r="BB82" s="32" t="n">
        <f aca="false">Costs!BB82/FX_EUR</f>
        <v>4441.16778461577</v>
      </c>
      <c r="BC82" s="32" t="n">
        <f aca="false">Costs!BC82/FX_EUR</f>
        <v>4524.69903100783</v>
      </c>
      <c r="BD82" s="32" t="n">
        <f aca="false">Costs!BD82/FX_EUR</f>
        <v>4613.2421521834</v>
      </c>
      <c r="BE82" s="32" t="n">
        <f aca="false">Costs!BE82/FX_EUR</f>
        <v>4707.09786062952</v>
      </c>
      <c r="BF82" s="32" t="n">
        <f aca="false">Costs!BF82/FX_EUR</f>
        <v>4806.58491158239</v>
      </c>
      <c r="BG82" s="32" t="n">
        <f aca="false">Costs!BG82/FX_EUR</f>
        <v>4912.04118559245</v>
      </c>
      <c r="BH82" s="32" t="n">
        <f aca="false">Costs!BH82/FX_EUR</f>
        <v>5023.8248360431</v>
      </c>
      <c r="BI82" s="32" t="n">
        <f aca="false">Costs!BI82/FX_EUR</f>
        <v>5142.31550552079</v>
      </c>
      <c r="BJ82" s="32" t="n">
        <f aca="false">Costs!BJ82/FX_EUR</f>
        <v>5267.91561516715</v>
      </c>
      <c r="BK82" s="32" t="n">
        <f aca="false">Costs!BK82/FX_EUR</f>
        <v>5335.71560330936</v>
      </c>
      <c r="BL82" s="32" t="n">
        <f aca="false">Costs!BL82/FX_EUR</f>
        <v>5335.71560330936</v>
      </c>
    </row>
    <row r="83" customFormat="false" ht="15" hidden="false" customHeight="false" outlineLevel="0" collapsed="false">
      <c r="A83" s="12" t="s">
        <v>980</v>
      </c>
      <c r="B83" s="14" t="s">
        <v>79</v>
      </c>
      <c r="D83" s="55" t="n">
        <f aca="false">Costs!D83/FX_EUR</f>
        <v>67230.016601698</v>
      </c>
      <c r="E83" s="32" t="n">
        <f aca="false">Costs!E83/FX_EUR</f>
        <v>114.336762928058</v>
      </c>
      <c r="F83" s="32" t="n">
        <f aca="false">Costs!F83/FX_EUR</f>
        <v>114.336762928058</v>
      </c>
      <c r="G83" s="32" t="n">
        <f aca="false">Costs!G83/FX_EUR</f>
        <v>114.336762928058</v>
      </c>
      <c r="H83" s="32" t="n">
        <f aca="false">Costs!H83/FX_EUR</f>
        <v>343.010288784173</v>
      </c>
      <c r="I83" s="32" t="n">
        <f aca="false">Costs!I83/FX_EUR</f>
        <v>343.010288784173</v>
      </c>
      <c r="J83" s="32" t="n">
        <f aca="false">Costs!J83/FX_EUR</f>
        <v>343.010288784173</v>
      </c>
      <c r="K83" s="32" t="n">
        <f aca="false">Costs!K83/FX_EUR</f>
        <v>343.010288784173</v>
      </c>
      <c r="L83" s="32" t="n">
        <f aca="false">Costs!L83/FX_EUR</f>
        <v>343.010288784173</v>
      </c>
      <c r="M83" s="32" t="n">
        <f aca="false">Costs!M83/FX_EUR</f>
        <v>343.010288784173</v>
      </c>
      <c r="N83" s="32" t="n">
        <f aca="false">Costs!N83/FX_EUR</f>
        <v>343.010288784173</v>
      </c>
      <c r="O83" s="32" t="n">
        <f aca="false">Costs!O83/FX_EUR</f>
        <v>343.010288784173</v>
      </c>
      <c r="P83" s="32" t="n">
        <f aca="false">Costs!P83/FX_EUR</f>
        <v>343.010288784173</v>
      </c>
      <c r="Q83" s="32" t="n">
        <f aca="false">Costs!Q83/FX_EUR</f>
        <v>343.010288784173</v>
      </c>
      <c r="R83" s="32" t="n">
        <f aca="false">Costs!R83/FX_EUR</f>
        <v>343.010288784173</v>
      </c>
      <c r="S83" s="32" t="n">
        <f aca="false">Costs!S83/FX_EUR</f>
        <v>343.010288784173</v>
      </c>
      <c r="T83" s="32" t="n">
        <f aca="false">Costs!T83/FX_EUR</f>
        <v>343.010288784173</v>
      </c>
      <c r="U83" s="32" t="n">
        <f aca="false">Costs!U83/FX_EUR</f>
        <v>343.010288784173</v>
      </c>
      <c r="V83" s="32" t="n">
        <f aca="false">Costs!V83/FX_EUR</f>
        <v>571.683814640289</v>
      </c>
      <c r="W83" s="32" t="n">
        <f aca="false">Costs!W83/FX_EUR</f>
        <v>571.683814640289</v>
      </c>
      <c r="X83" s="32" t="n">
        <f aca="false">Costs!X83/FX_EUR</f>
        <v>686.020577568347</v>
      </c>
      <c r="Y83" s="32" t="n">
        <f aca="false">Costs!Y83/FX_EUR</f>
        <v>686.020577568347</v>
      </c>
      <c r="Z83" s="32" t="n">
        <f aca="false">Costs!Z83/FX_EUR</f>
        <v>686.020577568347</v>
      </c>
      <c r="AA83" s="32" t="n">
        <f aca="false">Costs!AA83/FX_EUR</f>
        <v>686.020577568347</v>
      </c>
      <c r="AB83" s="32" t="n">
        <f aca="false">Costs!AB83/FX_EUR</f>
        <v>686.020577568347</v>
      </c>
      <c r="AC83" s="32" t="n">
        <f aca="false">Costs!AC83/FX_EUR</f>
        <v>686.020577568347</v>
      </c>
      <c r="AD83" s="32" t="n">
        <f aca="false">Costs!AD83/FX_EUR</f>
        <v>800.357340496405</v>
      </c>
      <c r="AE83" s="32" t="n">
        <f aca="false">Costs!AE83/FX_EUR</f>
        <v>800.357340496405</v>
      </c>
      <c r="AF83" s="32" t="n">
        <f aca="false">Costs!AF83/FX_EUR</f>
        <v>800.357340496405</v>
      </c>
      <c r="AG83" s="32" t="n">
        <f aca="false">Costs!AG83/FX_EUR</f>
        <v>800.357340496405</v>
      </c>
      <c r="AH83" s="32" t="n">
        <f aca="false">Costs!AH83/FX_EUR</f>
        <v>914.694103424462</v>
      </c>
      <c r="AI83" s="32" t="n">
        <f aca="false">Costs!AI83/FX_EUR</f>
        <v>914.694103424462</v>
      </c>
      <c r="AJ83" s="32" t="n">
        <f aca="false">Costs!AJ83/FX_EUR</f>
        <v>914.694103424462</v>
      </c>
      <c r="AK83" s="32" t="n">
        <f aca="false">Costs!AK83/FX_EUR</f>
        <v>914.694103424462</v>
      </c>
      <c r="AL83" s="32" t="n">
        <f aca="false">Costs!AL83/FX_EUR</f>
        <v>1029.03086635252</v>
      </c>
      <c r="AM83" s="32" t="n">
        <f aca="false">Costs!AM83/FX_EUR</f>
        <v>1029.03086635252</v>
      </c>
      <c r="AN83" s="32" t="n">
        <f aca="false">Costs!AN83/FX_EUR</f>
        <v>1143.36762928058</v>
      </c>
      <c r="AO83" s="32" t="n">
        <f aca="false">Costs!AO83/FX_EUR</f>
        <v>1257.70439220864</v>
      </c>
      <c r="AP83" s="32" t="n">
        <f aca="false">Costs!AP83/FX_EUR</f>
        <v>1257.70439220864</v>
      </c>
      <c r="AQ83" s="32" t="n">
        <f aca="false">Costs!AQ83/FX_EUR</f>
        <v>1257.70439220864</v>
      </c>
      <c r="AR83" s="32" t="n">
        <f aca="false">Costs!AR83/FX_EUR</f>
        <v>1372.04115513669</v>
      </c>
      <c r="AS83" s="32" t="n">
        <f aca="false">Costs!AS83/FX_EUR</f>
        <v>1372.04115513669</v>
      </c>
      <c r="AT83" s="32" t="n">
        <f aca="false">Costs!AT83/FX_EUR</f>
        <v>1372.04115513669</v>
      </c>
      <c r="AU83" s="32" t="n">
        <f aca="false">Costs!AU83/FX_EUR</f>
        <v>1600.71468099281</v>
      </c>
      <c r="AV83" s="32" t="n">
        <f aca="false">Costs!AV83/FX_EUR</f>
        <v>1600.71468099281</v>
      </c>
      <c r="AW83" s="32" t="n">
        <f aca="false">Costs!AW83/FX_EUR</f>
        <v>1715.05144392087</v>
      </c>
      <c r="AX83" s="32" t="n">
        <f aca="false">Costs!AX83/FX_EUR</f>
        <v>1715.05144392087</v>
      </c>
      <c r="AY83" s="32" t="n">
        <f aca="false">Costs!AY83/FX_EUR</f>
        <v>1715.05144392087</v>
      </c>
      <c r="AZ83" s="32" t="n">
        <f aca="false">Costs!AZ83/FX_EUR</f>
        <v>1943.72496977698</v>
      </c>
      <c r="BA83" s="32" t="n">
        <f aca="false">Costs!BA83/FX_EUR</f>
        <v>1943.72496977698</v>
      </c>
      <c r="BB83" s="32" t="n">
        <f aca="false">Costs!BB83/FX_EUR</f>
        <v>2058.06173270504</v>
      </c>
      <c r="BC83" s="32" t="n">
        <f aca="false">Costs!BC83/FX_EUR</f>
        <v>2058.06173270504</v>
      </c>
      <c r="BD83" s="32" t="n">
        <f aca="false">Costs!BD83/FX_EUR</f>
        <v>2172.3984956331</v>
      </c>
      <c r="BE83" s="32" t="n">
        <f aca="false">Costs!BE83/FX_EUR</f>
        <v>2286.73525856116</v>
      </c>
      <c r="BF83" s="32" t="n">
        <f aca="false">Costs!BF83/FX_EUR</f>
        <v>2286.73525856116</v>
      </c>
      <c r="BG83" s="32" t="n">
        <f aca="false">Costs!BG83/FX_EUR</f>
        <v>2401.07202148921</v>
      </c>
      <c r="BH83" s="32" t="n">
        <f aca="false">Costs!BH83/FX_EUR</f>
        <v>2515.40878441727</v>
      </c>
      <c r="BI83" s="32" t="n">
        <f aca="false">Costs!BI83/FX_EUR</f>
        <v>2629.74554734533</v>
      </c>
      <c r="BJ83" s="32" t="n">
        <f aca="false">Costs!BJ83/FX_EUR</f>
        <v>2629.74554734533</v>
      </c>
      <c r="BK83" s="32" t="n">
        <f aca="false">Costs!BK83/FX_EUR</f>
        <v>2744.08231027339</v>
      </c>
      <c r="BL83" s="32" t="n">
        <f aca="false">Costs!BL83/FX_EUR</f>
        <v>2858.41907320144</v>
      </c>
    </row>
    <row r="84" customFormat="false" ht="15" hidden="false" customHeight="false" outlineLevel="0" collapsed="false">
      <c r="A84" s="8" t="s">
        <v>1090</v>
      </c>
      <c r="B84" s="14" t="s">
        <v>79</v>
      </c>
      <c r="D84" s="55" t="n">
        <f aca="false">Costs!D84/FX_EUR</f>
        <v>984144.826515409</v>
      </c>
      <c r="E84" s="16" t="n">
        <f aca="false">Costs!E84/FX_EUR</f>
        <v>3447.88860651943</v>
      </c>
      <c r="F84" s="16" t="n">
        <f aca="false">Costs!F84/FX_EUR</f>
        <v>3447.88860651943</v>
      </c>
      <c r="G84" s="16" t="n">
        <f aca="false">Costs!G84/FX_EUR</f>
        <v>3447.88860651943</v>
      </c>
      <c r="H84" s="16" t="n">
        <f aca="false">Costs!H84/FX_EUR</f>
        <v>3676.56213237555</v>
      </c>
      <c r="I84" s="16" t="n">
        <f aca="false">Costs!I84/FX_EUR</f>
        <v>5978.54229266044</v>
      </c>
      <c r="J84" s="16" t="n">
        <f aca="false">Costs!J84/FX_EUR</f>
        <v>5996.83617472893</v>
      </c>
      <c r="K84" s="16" t="n">
        <f aca="false">Costs!K84/FX_EUR</f>
        <v>6016.22768972153</v>
      </c>
      <c r="L84" s="16" t="n">
        <f aca="false">Costs!L84/FX_EUR</f>
        <v>6036.78269561369</v>
      </c>
      <c r="M84" s="16" t="n">
        <f aca="false">Costs!M84/FX_EUR</f>
        <v>6058.57100185937</v>
      </c>
      <c r="N84" s="16" t="n">
        <f aca="false">Costs!N84/FX_EUR</f>
        <v>6081.6666064798</v>
      </c>
      <c r="O84" s="16" t="n">
        <f aca="false">Costs!O84/FX_EUR</f>
        <v>6106.14794737745</v>
      </c>
      <c r="P84" s="16" t="n">
        <f aca="false">Costs!P84/FX_EUR</f>
        <v>6132.09816872896</v>
      </c>
      <c r="Q84" s="16" t="n">
        <f aca="false">Costs!Q84/FX_EUR</f>
        <v>7992.80483564142</v>
      </c>
      <c r="R84" s="16" t="n">
        <f aca="false">Costs!R84/FX_EUR</f>
        <v>8021.96250435197</v>
      </c>
      <c r="S84" s="16" t="n">
        <f aca="false">Costs!S84/FX_EUR</f>
        <v>8052.86963318516</v>
      </c>
      <c r="T84" s="16" t="n">
        <f aca="false">Costs!T84/FX_EUR</f>
        <v>8085.63118974834</v>
      </c>
      <c r="U84" s="16" t="n">
        <f aca="false">Costs!U84/FX_EUR</f>
        <v>8120.35843970531</v>
      </c>
      <c r="V84" s="16" t="n">
        <f aca="false">Costs!V84/FX_EUR</f>
        <v>8385.84285051582</v>
      </c>
      <c r="W84" s="16" t="n">
        <f aca="false">Costs!W84/FX_EUR</f>
        <v>10650.6180402337</v>
      </c>
      <c r="X84" s="16" t="n">
        <f aca="false">Costs!X84/FX_EUR</f>
        <v>10820.0359250478</v>
      </c>
      <c r="Y84" s="16" t="n">
        <f aca="false">Costs!Y84/FX_EUR</f>
        <v>10878.4219142471</v>
      </c>
      <c r="Z84" s="16" t="n">
        <f aca="false">Costs!Z84/FX_EUR</f>
        <v>10940.3110627984</v>
      </c>
      <c r="AA84" s="16" t="n">
        <f aca="false">Costs!AA84/FX_EUR</f>
        <v>11005.9135602627</v>
      </c>
      <c r="AB84" s="16" t="n">
        <f aca="false">Costs!AB84/FX_EUR</f>
        <v>11075.4522075749</v>
      </c>
      <c r="AC84" s="16" t="n">
        <f aca="false">Costs!AC84/FX_EUR</f>
        <v>16569.9961449927</v>
      </c>
      <c r="AD84" s="16" t="n">
        <f aca="false">Costs!AD84/FX_EUR</f>
        <v>16762.4665320407</v>
      </c>
      <c r="AE84" s="16" t="n">
        <f aca="false">Costs!AE84/FX_EUR</f>
        <v>16845.2881736079</v>
      </c>
      <c r="AF84" s="16" t="n">
        <f aca="false">Costs!AF84/FX_EUR</f>
        <v>16933.0791136691</v>
      </c>
      <c r="AG84" s="16" t="n">
        <f aca="false">Costs!AG84/FX_EUR</f>
        <v>17026.1375101339</v>
      </c>
      <c r="AH84" s="16" t="n">
        <f aca="false">Costs!AH84/FX_EUR</f>
        <v>17239.1161733147</v>
      </c>
      <c r="AI84" s="16" t="n">
        <f aca="false">Costs!AI84/FX_EUR</f>
        <v>17343.6765875827</v>
      </c>
      <c r="AJ84" s="16" t="n">
        <f aca="false">Costs!AJ84/FX_EUR</f>
        <v>17454.5106267066</v>
      </c>
      <c r="AK84" s="16" t="n">
        <f aca="false">Costs!AK84/FX_EUR</f>
        <v>17571.9947081781</v>
      </c>
      <c r="AL84" s="16" t="n">
        <f aca="false">Costs!AL84/FX_EUR</f>
        <v>17810.8645974659</v>
      </c>
      <c r="AM84" s="16" t="n">
        <f aca="false">Costs!AM84/FX_EUR</f>
        <v>17942.8697114072</v>
      </c>
      <c r="AN84" s="16" t="n">
        <f aca="false">Costs!AN84/FX_EUR</f>
        <v>18197.131895113</v>
      </c>
      <c r="AO84" s="16" t="n">
        <f aca="false">Costs!AO84/FX_EUR</f>
        <v>21295.3413246813</v>
      </c>
      <c r="AP84" s="16" t="n">
        <f aca="false">Costs!AP84/FX_EUR</f>
        <v>21452.5615274672</v>
      </c>
      <c r="AQ84" s="16" t="n">
        <f aca="false">Costs!AQ84/FX_EUR</f>
        <v>21619.2149424203</v>
      </c>
      <c r="AR84" s="16" t="n">
        <f aca="false">Costs!AR84/FX_EUR</f>
        <v>21910.2043251986</v>
      </c>
      <c r="AS84" s="16" t="n">
        <f aca="false">Costs!AS84/FX_EUR</f>
        <v>22097.4561022399</v>
      </c>
      <c r="AT84" s="16" t="n">
        <f aca="false">Costs!AT84/FX_EUR</f>
        <v>22295.9429859036</v>
      </c>
      <c r="AU84" s="16" t="n">
        <f aca="false">Costs!AU84/FX_EUR</f>
        <v>22735.0126084433</v>
      </c>
      <c r="AV84" s="16" t="n">
        <f aca="false">Costs!AV84/FX_EUR</f>
        <v>22958.0324709279</v>
      </c>
      <c r="AW84" s="16" t="n">
        <f aca="false">Costs!AW84/FX_EUR</f>
        <v>23221.6554506457</v>
      </c>
      <c r="AX84" s="16" t="n">
        <f aca="false">Costs!AX84/FX_EUR</f>
        <v>23284.0748572019</v>
      </c>
      <c r="AY84" s="16" t="n">
        <f aca="false">Costs!AY84/FX_EUR</f>
        <v>23350.2394281514</v>
      </c>
      <c r="AZ84" s="16" t="n">
        <f aca="false">Costs!AZ84/FX_EUR</f>
        <v>23649.047399214</v>
      </c>
      <c r="BA84" s="16" t="n">
        <f aca="false">Costs!BA84/FX_EUR</f>
        <v>26561.4824487027</v>
      </c>
      <c r="BB84" s="16" t="n">
        <f aca="false">Costs!BB84/FX_EUR</f>
        <v>26754.6222742647</v>
      </c>
      <c r="BC84" s="16" t="n">
        <f aca="false">Costs!BC84/FX_EUR</f>
        <v>26838.1535206568</v>
      </c>
      <c r="BD84" s="16" t="n">
        <f aca="false">Costs!BD84/FX_EUR</f>
        <v>27041.0334047604</v>
      </c>
      <c r="BE84" s="16" t="n">
        <f aca="false">Costs!BE84/FX_EUR</f>
        <v>27249.2258761346</v>
      </c>
      <c r="BF84" s="16" t="n">
        <f aca="false">Costs!BF84/FX_EUR</f>
        <v>27348.7129270875</v>
      </c>
      <c r="BG84" s="16" t="n">
        <f aca="false">Costs!BG84/FX_EUR</f>
        <v>27568.5059640256</v>
      </c>
      <c r="BH84" s="16" t="n">
        <f aca="false">Costs!BH84/FX_EUR</f>
        <v>27794.6263774043</v>
      </c>
      <c r="BI84" s="16" t="n">
        <f aca="false">Costs!BI84/FX_EUR</f>
        <v>28027.4538098101</v>
      </c>
      <c r="BJ84" s="16" t="n">
        <f aca="false">Costs!BJ84/FX_EUR</f>
        <v>28153.0539194564</v>
      </c>
      <c r="BK84" s="16" t="n">
        <f aca="false">Costs!BK84/FX_EUR</f>
        <v>28335.1906705267</v>
      </c>
      <c r="BL84" s="16" t="n">
        <f aca="false">Costs!BL84/FX_EUR</f>
        <v>28449.5274334547</v>
      </c>
    </row>
    <row r="86" customFormat="false" ht="15" hidden="false" customHeight="false" outlineLevel="0" collapsed="false">
      <c r="A86" s="10" t="s">
        <v>720</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1091</v>
      </c>
      <c r="B87" s="14" t="s">
        <v>79</v>
      </c>
      <c r="D87" s="55" t="n">
        <f aca="false">Costs!D87/FX_EUR</f>
        <v>15200</v>
      </c>
      <c r="E87" s="32" t="n">
        <f aca="false">Costs!E87/FX_EUR</f>
        <v>3200</v>
      </c>
      <c r="F87" s="32" t="n">
        <f aca="false">Costs!F87/FX_EUR</f>
        <v>0</v>
      </c>
      <c r="G87" s="32" t="n">
        <f aca="false">Costs!G87/FX_EUR</f>
        <v>0</v>
      </c>
      <c r="H87" s="32" t="n">
        <f aca="false">Costs!H87/FX_EUR</f>
        <v>0</v>
      </c>
      <c r="I87" s="32" t="n">
        <f aca="false">Costs!I87/FX_EUR</f>
        <v>0</v>
      </c>
      <c r="J87" s="32" t="n">
        <f aca="false">Costs!J87/FX_EUR</f>
        <v>0</v>
      </c>
      <c r="K87" s="32" t="n">
        <f aca="false">Costs!K87/FX_EUR</f>
        <v>0</v>
      </c>
      <c r="L87" s="32" t="n">
        <f aca="false">Costs!L87/FX_EUR</f>
        <v>0</v>
      </c>
      <c r="M87" s="32" t="n">
        <f aca="false">Costs!M87/FX_EUR</f>
        <v>0</v>
      </c>
      <c r="N87" s="32" t="n">
        <f aca="false">Costs!N87/FX_EUR</f>
        <v>0</v>
      </c>
      <c r="O87" s="32" t="n">
        <f aca="false">Costs!O87/FX_EUR</f>
        <v>0</v>
      </c>
      <c r="P87" s="32" t="n">
        <f aca="false">Costs!P87/FX_EUR</f>
        <v>0</v>
      </c>
      <c r="Q87" s="32" t="n">
        <f aca="false">Costs!Q87/FX_EUR</f>
        <v>800</v>
      </c>
      <c r="R87" s="32" t="n">
        <f aca="false">Costs!R87/FX_EUR</f>
        <v>0</v>
      </c>
      <c r="S87" s="32" t="n">
        <f aca="false">Costs!S87/FX_EUR</f>
        <v>0</v>
      </c>
      <c r="T87" s="32" t="n">
        <f aca="false">Costs!T87/FX_EUR</f>
        <v>800</v>
      </c>
      <c r="U87" s="32" t="n">
        <f aca="false">Costs!U87/FX_EUR</f>
        <v>0</v>
      </c>
      <c r="V87" s="32" t="n">
        <f aca="false">Costs!V87/FX_EUR</f>
        <v>800</v>
      </c>
      <c r="W87" s="32" t="n">
        <f aca="false">Costs!W87/FX_EUR</f>
        <v>0</v>
      </c>
      <c r="X87" s="32" t="n">
        <f aca="false">Costs!X87/FX_EUR</f>
        <v>0</v>
      </c>
      <c r="Y87" s="32" t="n">
        <f aca="false">Costs!Y87/FX_EUR</f>
        <v>0</v>
      </c>
      <c r="Z87" s="32" t="n">
        <f aca="false">Costs!Z87/FX_EUR</f>
        <v>0</v>
      </c>
      <c r="AA87" s="32" t="n">
        <f aca="false">Costs!AA87/FX_EUR</f>
        <v>0</v>
      </c>
      <c r="AB87" s="32" t="n">
        <f aca="false">Costs!AB87/FX_EUR</f>
        <v>800</v>
      </c>
      <c r="AC87" s="32" t="n">
        <f aca="false">Costs!AC87/FX_EUR</f>
        <v>0</v>
      </c>
      <c r="AD87" s="32" t="n">
        <f aca="false">Costs!AD87/FX_EUR</f>
        <v>0</v>
      </c>
      <c r="AE87" s="32" t="n">
        <f aca="false">Costs!AE87/FX_EUR</f>
        <v>0</v>
      </c>
      <c r="AF87" s="32" t="n">
        <f aca="false">Costs!AF87/FX_EUR</f>
        <v>800</v>
      </c>
      <c r="AG87" s="32" t="n">
        <f aca="false">Costs!AG87/FX_EUR</f>
        <v>800</v>
      </c>
      <c r="AH87" s="32" t="n">
        <f aca="false">Costs!AH87/FX_EUR</f>
        <v>0</v>
      </c>
      <c r="AI87" s="32" t="n">
        <f aca="false">Costs!AI87/FX_EUR</f>
        <v>0</v>
      </c>
      <c r="AJ87" s="32" t="n">
        <f aca="false">Costs!AJ87/FX_EUR</f>
        <v>0</v>
      </c>
      <c r="AK87" s="32" t="n">
        <f aca="false">Costs!AK87/FX_EUR</f>
        <v>0</v>
      </c>
      <c r="AL87" s="32" t="n">
        <f aca="false">Costs!AL87/FX_EUR</f>
        <v>800</v>
      </c>
      <c r="AM87" s="32" t="n">
        <f aca="false">Costs!AM87/FX_EUR</f>
        <v>0</v>
      </c>
      <c r="AN87" s="32" t="n">
        <f aca="false">Costs!AN87/FX_EUR</f>
        <v>0</v>
      </c>
      <c r="AO87" s="32" t="n">
        <f aca="false">Costs!AO87/FX_EUR</f>
        <v>0</v>
      </c>
      <c r="AP87" s="32" t="n">
        <f aca="false">Costs!AP87/FX_EUR</f>
        <v>0</v>
      </c>
      <c r="AQ87" s="32" t="n">
        <f aca="false">Costs!AQ87/FX_EUR</f>
        <v>800</v>
      </c>
      <c r="AR87" s="32" t="n">
        <f aca="false">Costs!AR87/FX_EUR</f>
        <v>800</v>
      </c>
      <c r="AS87" s="32" t="n">
        <f aca="false">Costs!AS87/FX_EUR</f>
        <v>0</v>
      </c>
      <c r="AT87" s="32" t="n">
        <f aca="false">Costs!AT87/FX_EUR</f>
        <v>0</v>
      </c>
      <c r="AU87" s="32" t="n">
        <f aca="false">Costs!AU87/FX_EUR</f>
        <v>0</v>
      </c>
      <c r="AV87" s="32" t="n">
        <f aca="false">Costs!AV87/FX_EUR</f>
        <v>0</v>
      </c>
      <c r="AW87" s="32" t="n">
        <f aca="false">Costs!AW87/FX_EUR</f>
        <v>800</v>
      </c>
      <c r="AX87" s="32" t="n">
        <f aca="false">Costs!AX87/FX_EUR</f>
        <v>0</v>
      </c>
      <c r="AY87" s="32" t="n">
        <f aca="false">Costs!AY87/FX_EUR</f>
        <v>0</v>
      </c>
      <c r="AZ87" s="32" t="n">
        <f aca="false">Costs!AZ87/FX_EUR</f>
        <v>0</v>
      </c>
      <c r="BA87" s="32" t="n">
        <f aca="false">Costs!BA87/FX_EUR</f>
        <v>800</v>
      </c>
      <c r="BB87" s="32" t="n">
        <f aca="false">Costs!BB87/FX_EUR</f>
        <v>800</v>
      </c>
      <c r="BC87" s="32" t="n">
        <f aca="false">Costs!BC87/FX_EUR</f>
        <v>0</v>
      </c>
      <c r="BD87" s="32" t="n">
        <f aca="false">Costs!BD87/FX_EUR</f>
        <v>0</v>
      </c>
      <c r="BE87" s="32" t="n">
        <f aca="false">Costs!BE87/FX_EUR</f>
        <v>0</v>
      </c>
      <c r="BF87" s="32" t="n">
        <f aca="false">Costs!BF87/FX_EUR</f>
        <v>800</v>
      </c>
      <c r="BG87" s="32" t="n">
        <f aca="false">Costs!BG87/FX_EUR</f>
        <v>0</v>
      </c>
      <c r="BH87" s="32" t="n">
        <f aca="false">Costs!BH87/FX_EUR</f>
        <v>800</v>
      </c>
      <c r="BI87" s="32" t="n">
        <f aca="false">Costs!BI87/FX_EUR</f>
        <v>0</v>
      </c>
      <c r="BJ87" s="32" t="n">
        <f aca="false">Costs!BJ87/FX_EUR</f>
        <v>800</v>
      </c>
      <c r="BK87" s="32" t="n">
        <f aca="false">Costs!BK87/FX_EUR</f>
        <v>0</v>
      </c>
      <c r="BL87" s="32" t="n">
        <f aca="false">Costs!BL87/FX_EUR</f>
        <v>0</v>
      </c>
    </row>
    <row r="88" customFormat="false" ht="15" hidden="false" customHeight="false" outlineLevel="0" collapsed="false">
      <c r="A88" s="12" t="s">
        <v>876</v>
      </c>
      <c r="B88" s="14" t="s">
        <v>79</v>
      </c>
      <c r="D88" s="55" t="n">
        <f aca="false">Costs!D88/FX_EUR</f>
        <v>118071.763850374</v>
      </c>
      <c r="E88" s="32" t="n">
        <f aca="false">Costs!E88/FX_EUR</f>
        <v>666.96445041367</v>
      </c>
      <c r="F88" s="32" t="n">
        <f aca="false">Costs!F88/FX_EUR</f>
        <v>666.96445041367</v>
      </c>
      <c r="G88" s="32" t="n">
        <f aca="false">Costs!G88/FX_EUR</f>
        <v>666.96445041367</v>
      </c>
      <c r="H88" s="32" t="n">
        <f aca="false">Costs!H88/FX_EUR</f>
        <v>666.96445041367</v>
      </c>
      <c r="I88" s="32" t="n">
        <f aca="false">Costs!I88/FX_EUR</f>
        <v>666.96445041367</v>
      </c>
      <c r="J88" s="32" t="n">
        <f aca="false">Costs!J88/FX_EUR</f>
        <v>666.96445041367</v>
      </c>
      <c r="K88" s="32" t="n">
        <f aca="false">Costs!K88/FX_EUR</f>
        <v>666.96445041367</v>
      </c>
      <c r="L88" s="32" t="n">
        <f aca="false">Costs!L88/FX_EUR</f>
        <v>666.96445041367</v>
      </c>
      <c r="M88" s="32" t="n">
        <f aca="false">Costs!M88/FX_EUR</f>
        <v>666.96445041367</v>
      </c>
      <c r="N88" s="32" t="n">
        <f aca="false">Costs!N88/FX_EUR</f>
        <v>666.96445041367</v>
      </c>
      <c r="O88" s="32" t="n">
        <f aca="false">Costs!O88/FX_EUR</f>
        <v>666.96445041367</v>
      </c>
      <c r="P88" s="32" t="n">
        <f aca="false">Costs!P88/FX_EUR</f>
        <v>666.96445041367</v>
      </c>
      <c r="Q88" s="32" t="n">
        <f aca="false">Costs!Q88/FX_EUR</f>
        <v>1664.23510484173</v>
      </c>
      <c r="R88" s="32" t="n">
        <f aca="false">Costs!R88/FX_EUR</f>
        <v>1664.23510484173</v>
      </c>
      <c r="S88" s="32" t="n">
        <f aca="false">Costs!S88/FX_EUR</f>
        <v>1664.23510484173</v>
      </c>
      <c r="T88" s="32" t="n">
        <f aca="false">Costs!T88/FX_EUR</f>
        <v>1664.23510484173</v>
      </c>
      <c r="U88" s="32" t="n">
        <f aca="false">Costs!U88/FX_EUR</f>
        <v>1664.23510484173</v>
      </c>
      <c r="V88" s="32" t="n">
        <f aca="false">Costs!V88/FX_EUR</f>
        <v>1664.23510484173</v>
      </c>
      <c r="W88" s="32" t="n">
        <f aca="false">Costs!W88/FX_EUR</f>
        <v>1664.23510484173</v>
      </c>
      <c r="X88" s="32" t="n">
        <f aca="false">Costs!X88/FX_EUR</f>
        <v>1664.23510484173</v>
      </c>
      <c r="Y88" s="32" t="n">
        <f aca="false">Costs!Y88/FX_EUR</f>
        <v>1664.23510484173</v>
      </c>
      <c r="Z88" s="32" t="n">
        <f aca="false">Costs!Z88/FX_EUR</f>
        <v>1664.23510484173</v>
      </c>
      <c r="AA88" s="32" t="n">
        <f aca="false">Costs!AA88/FX_EUR</f>
        <v>1664.23510484173</v>
      </c>
      <c r="AB88" s="32" t="n">
        <f aca="false">Costs!AB88/FX_EUR</f>
        <v>1664.23510484173</v>
      </c>
      <c r="AC88" s="32" t="n">
        <f aca="false">Costs!AC88/FX_EUR</f>
        <v>2083.46990224461</v>
      </c>
      <c r="AD88" s="32" t="n">
        <f aca="false">Costs!AD88/FX_EUR</f>
        <v>2083.46990224461</v>
      </c>
      <c r="AE88" s="32" t="n">
        <f aca="false">Costs!AE88/FX_EUR</f>
        <v>2083.46990224461</v>
      </c>
      <c r="AF88" s="32" t="n">
        <f aca="false">Costs!AF88/FX_EUR</f>
        <v>2083.46990224461</v>
      </c>
      <c r="AG88" s="32" t="n">
        <f aca="false">Costs!AG88/FX_EUR</f>
        <v>2083.46990224461</v>
      </c>
      <c r="AH88" s="32" t="n">
        <f aca="false">Costs!AH88/FX_EUR</f>
        <v>2083.46990224461</v>
      </c>
      <c r="AI88" s="32" t="n">
        <f aca="false">Costs!AI88/FX_EUR</f>
        <v>2083.46990224461</v>
      </c>
      <c r="AJ88" s="32" t="n">
        <f aca="false">Costs!AJ88/FX_EUR</f>
        <v>2083.46990224461</v>
      </c>
      <c r="AK88" s="32" t="n">
        <f aca="false">Costs!AK88/FX_EUR</f>
        <v>2083.46990224461</v>
      </c>
      <c r="AL88" s="32" t="n">
        <f aca="false">Costs!AL88/FX_EUR</f>
        <v>2083.46990224461</v>
      </c>
      <c r="AM88" s="32" t="n">
        <f aca="false">Costs!AM88/FX_EUR</f>
        <v>2083.46990224461</v>
      </c>
      <c r="AN88" s="32" t="n">
        <f aca="false">Costs!AN88/FX_EUR</f>
        <v>2083.46990224461</v>
      </c>
      <c r="AO88" s="32" t="n">
        <f aca="false">Costs!AO88/FX_EUR</f>
        <v>2502.70469964749</v>
      </c>
      <c r="AP88" s="32" t="n">
        <f aca="false">Costs!AP88/FX_EUR</f>
        <v>2502.70469964749</v>
      </c>
      <c r="AQ88" s="32" t="n">
        <f aca="false">Costs!AQ88/FX_EUR</f>
        <v>2502.70469964749</v>
      </c>
      <c r="AR88" s="32" t="n">
        <f aca="false">Costs!AR88/FX_EUR</f>
        <v>2502.70469964749</v>
      </c>
      <c r="AS88" s="32" t="n">
        <f aca="false">Costs!AS88/FX_EUR</f>
        <v>2502.70469964749</v>
      </c>
      <c r="AT88" s="32" t="n">
        <f aca="false">Costs!AT88/FX_EUR</f>
        <v>2502.70469964749</v>
      </c>
      <c r="AU88" s="32" t="n">
        <f aca="false">Costs!AU88/FX_EUR</f>
        <v>2502.70469964749</v>
      </c>
      <c r="AV88" s="32" t="n">
        <f aca="false">Costs!AV88/FX_EUR</f>
        <v>2502.70469964749</v>
      </c>
      <c r="AW88" s="32" t="n">
        <f aca="false">Costs!AW88/FX_EUR</f>
        <v>2502.70469964749</v>
      </c>
      <c r="AX88" s="32" t="n">
        <f aca="false">Costs!AX88/FX_EUR</f>
        <v>2502.70469964749</v>
      </c>
      <c r="AY88" s="32" t="n">
        <f aca="false">Costs!AY88/FX_EUR</f>
        <v>2502.70469964749</v>
      </c>
      <c r="AZ88" s="32" t="n">
        <f aca="false">Costs!AZ88/FX_EUR</f>
        <v>2502.70469964749</v>
      </c>
      <c r="BA88" s="32" t="n">
        <f aca="false">Costs!BA88/FX_EUR</f>
        <v>2921.93949705037</v>
      </c>
      <c r="BB88" s="32" t="n">
        <f aca="false">Costs!BB88/FX_EUR</f>
        <v>2921.93949705037</v>
      </c>
      <c r="BC88" s="32" t="n">
        <f aca="false">Costs!BC88/FX_EUR</f>
        <v>2921.93949705037</v>
      </c>
      <c r="BD88" s="32" t="n">
        <f aca="false">Costs!BD88/FX_EUR</f>
        <v>2921.93949705037</v>
      </c>
      <c r="BE88" s="32" t="n">
        <f aca="false">Costs!BE88/FX_EUR</f>
        <v>2921.93949705037</v>
      </c>
      <c r="BF88" s="32" t="n">
        <f aca="false">Costs!BF88/FX_EUR</f>
        <v>2921.93949705037</v>
      </c>
      <c r="BG88" s="32" t="n">
        <f aca="false">Costs!BG88/FX_EUR</f>
        <v>2921.93949705037</v>
      </c>
      <c r="BH88" s="32" t="n">
        <f aca="false">Costs!BH88/FX_EUR</f>
        <v>2921.93949705037</v>
      </c>
      <c r="BI88" s="32" t="n">
        <f aca="false">Costs!BI88/FX_EUR</f>
        <v>2921.93949705037</v>
      </c>
      <c r="BJ88" s="32" t="n">
        <f aca="false">Costs!BJ88/FX_EUR</f>
        <v>2921.93949705037</v>
      </c>
      <c r="BK88" s="32" t="n">
        <f aca="false">Costs!BK88/FX_EUR</f>
        <v>2921.93949705037</v>
      </c>
      <c r="BL88" s="32" t="n">
        <f aca="false">Costs!BL88/FX_EUR</f>
        <v>2921.93949705037</v>
      </c>
    </row>
    <row r="89" customFormat="false" ht="15" hidden="false" customHeight="false" outlineLevel="0" collapsed="false">
      <c r="A89" s="12" t="s">
        <v>722</v>
      </c>
      <c r="B89" s="14" t="s">
        <v>79</v>
      </c>
      <c r="D89" s="55" t="n">
        <f aca="false">Costs!D89/FX_EUR</f>
        <v>52137.5638951944</v>
      </c>
      <c r="E89" s="32" t="n">
        <f aca="false">Costs!E89/FX_EUR</f>
        <v>457.347051712231</v>
      </c>
      <c r="F89" s="32" t="n">
        <f aca="false">Costs!F89/FX_EUR</f>
        <v>457.347051712231</v>
      </c>
      <c r="G89" s="32" t="n">
        <f aca="false">Costs!G89/FX_EUR</f>
        <v>457.347051712231</v>
      </c>
      <c r="H89" s="32" t="n">
        <f aca="false">Costs!H89/FX_EUR</f>
        <v>457.347051712231</v>
      </c>
      <c r="I89" s="32" t="n">
        <f aca="false">Costs!I89/FX_EUR</f>
        <v>457.347051712231</v>
      </c>
      <c r="J89" s="32" t="n">
        <f aca="false">Costs!J89/FX_EUR</f>
        <v>457.347051712231</v>
      </c>
      <c r="K89" s="32" t="n">
        <f aca="false">Costs!K89/FX_EUR</f>
        <v>457.347051712231</v>
      </c>
      <c r="L89" s="32" t="n">
        <f aca="false">Costs!L89/FX_EUR</f>
        <v>457.347051712231</v>
      </c>
      <c r="M89" s="32" t="n">
        <f aca="false">Costs!M89/FX_EUR</f>
        <v>457.347051712231</v>
      </c>
      <c r="N89" s="32" t="n">
        <f aca="false">Costs!N89/FX_EUR</f>
        <v>457.347051712231</v>
      </c>
      <c r="O89" s="32" t="n">
        <f aca="false">Costs!O89/FX_EUR</f>
        <v>457.347051712231</v>
      </c>
      <c r="P89" s="32" t="n">
        <f aca="false">Costs!P89/FX_EUR</f>
        <v>457.347051712231</v>
      </c>
      <c r="Q89" s="32" t="n">
        <f aca="false">Costs!Q89/FX_EUR</f>
        <v>686.020577568347</v>
      </c>
      <c r="R89" s="32" t="n">
        <f aca="false">Costs!R89/FX_EUR</f>
        <v>686.020577568347</v>
      </c>
      <c r="S89" s="32" t="n">
        <f aca="false">Costs!S89/FX_EUR</f>
        <v>686.020577568347</v>
      </c>
      <c r="T89" s="32" t="n">
        <f aca="false">Costs!T89/FX_EUR</f>
        <v>686.020577568347</v>
      </c>
      <c r="U89" s="32" t="n">
        <f aca="false">Costs!U89/FX_EUR</f>
        <v>686.020577568347</v>
      </c>
      <c r="V89" s="32" t="n">
        <f aca="false">Costs!V89/FX_EUR</f>
        <v>686.020577568347</v>
      </c>
      <c r="W89" s="32" t="n">
        <f aca="false">Costs!W89/FX_EUR</f>
        <v>686.020577568347</v>
      </c>
      <c r="X89" s="32" t="n">
        <f aca="false">Costs!X89/FX_EUR</f>
        <v>686.020577568347</v>
      </c>
      <c r="Y89" s="32" t="n">
        <f aca="false">Costs!Y89/FX_EUR</f>
        <v>686.020577568347</v>
      </c>
      <c r="Z89" s="32" t="n">
        <f aca="false">Costs!Z89/FX_EUR</f>
        <v>686.020577568347</v>
      </c>
      <c r="AA89" s="32" t="n">
        <f aca="false">Costs!AA89/FX_EUR</f>
        <v>686.020577568347</v>
      </c>
      <c r="AB89" s="32" t="n">
        <f aca="false">Costs!AB89/FX_EUR</f>
        <v>686.020577568347</v>
      </c>
      <c r="AC89" s="32" t="n">
        <f aca="false">Costs!AC89/FX_EUR</f>
        <v>914.694103424462</v>
      </c>
      <c r="AD89" s="32" t="n">
        <f aca="false">Costs!AD89/FX_EUR</f>
        <v>914.694103424462</v>
      </c>
      <c r="AE89" s="32" t="n">
        <f aca="false">Costs!AE89/FX_EUR</f>
        <v>914.694103424462</v>
      </c>
      <c r="AF89" s="32" t="n">
        <f aca="false">Costs!AF89/FX_EUR</f>
        <v>914.694103424462</v>
      </c>
      <c r="AG89" s="32" t="n">
        <f aca="false">Costs!AG89/FX_EUR</f>
        <v>914.694103424462</v>
      </c>
      <c r="AH89" s="32" t="n">
        <f aca="false">Costs!AH89/FX_EUR</f>
        <v>914.694103424462</v>
      </c>
      <c r="AI89" s="32" t="n">
        <f aca="false">Costs!AI89/FX_EUR</f>
        <v>914.694103424462</v>
      </c>
      <c r="AJ89" s="32" t="n">
        <f aca="false">Costs!AJ89/FX_EUR</f>
        <v>914.694103424462</v>
      </c>
      <c r="AK89" s="32" t="n">
        <f aca="false">Costs!AK89/FX_EUR</f>
        <v>914.694103424462</v>
      </c>
      <c r="AL89" s="32" t="n">
        <f aca="false">Costs!AL89/FX_EUR</f>
        <v>914.694103424462</v>
      </c>
      <c r="AM89" s="32" t="n">
        <f aca="false">Costs!AM89/FX_EUR</f>
        <v>914.694103424462</v>
      </c>
      <c r="AN89" s="32" t="n">
        <f aca="false">Costs!AN89/FX_EUR</f>
        <v>914.694103424462</v>
      </c>
      <c r="AO89" s="32" t="n">
        <f aca="false">Costs!AO89/FX_EUR</f>
        <v>1067.14312066187</v>
      </c>
      <c r="AP89" s="32" t="n">
        <f aca="false">Costs!AP89/FX_EUR</f>
        <v>1067.14312066187</v>
      </c>
      <c r="AQ89" s="32" t="n">
        <f aca="false">Costs!AQ89/FX_EUR</f>
        <v>1067.14312066187</v>
      </c>
      <c r="AR89" s="32" t="n">
        <f aca="false">Costs!AR89/FX_EUR</f>
        <v>1067.14312066187</v>
      </c>
      <c r="AS89" s="32" t="n">
        <f aca="false">Costs!AS89/FX_EUR</f>
        <v>1067.14312066187</v>
      </c>
      <c r="AT89" s="32" t="n">
        <f aca="false">Costs!AT89/FX_EUR</f>
        <v>1067.14312066187</v>
      </c>
      <c r="AU89" s="32" t="n">
        <f aca="false">Costs!AU89/FX_EUR</f>
        <v>1067.14312066187</v>
      </c>
      <c r="AV89" s="32" t="n">
        <f aca="false">Costs!AV89/FX_EUR</f>
        <v>1067.14312066187</v>
      </c>
      <c r="AW89" s="32" t="n">
        <f aca="false">Costs!AW89/FX_EUR</f>
        <v>1067.14312066187</v>
      </c>
      <c r="AX89" s="32" t="n">
        <f aca="false">Costs!AX89/FX_EUR</f>
        <v>1067.14312066187</v>
      </c>
      <c r="AY89" s="32" t="n">
        <f aca="false">Costs!AY89/FX_EUR</f>
        <v>1067.14312066187</v>
      </c>
      <c r="AZ89" s="32" t="n">
        <f aca="false">Costs!AZ89/FX_EUR</f>
        <v>1067.14312066187</v>
      </c>
      <c r="BA89" s="32" t="n">
        <f aca="false">Costs!BA89/FX_EUR</f>
        <v>1219.59213789928</v>
      </c>
      <c r="BB89" s="32" t="n">
        <f aca="false">Costs!BB89/FX_EUR</f>
        <v>1219.59213789928</v>
      </c>
      <c r="BC89" s="32" t="n">
        <f aca="false">Costs!BC89/FX_EUR</f>
        <v>1219.59213789928</v>
      </c>
      <c r="BD89" s="32" t="n">
        <f aca="false">Costs!BD89/FX_EUR</f>
        <v>1219.59213789928</v>
      </c>
      <c r="BE89" s="32" t="n">
        <f aca="false">Costs!BE89/FX_EUR</f>
        <v>1219.59213789928</v>
      </c>
      <c r="BF89" s="32" t="n">
        <f aca="false">Costs!BF89/FX_EUR</f>
        <v>1219.59213789928</v>
      </c>
      <c r="BG89" s="32" t="n">
        <f aca="false">Costs!BG89/FX_EUR</f>
        <v>1219.59213789928</v>
      </c>
      <c r="BH89" s="32" t="n">
        <f aca="false">Costs!BH89/FX_EUR</f>
        <v>1219.59213789928</v>
      </c>
      <c r="BI89" s="32" t="n">
        <f aca="false">Costs!BI89/FX_EUR</f>
        <v>1219.59213789928</v>
      </c>
      <c r="BJ89" s="32" t="n">
        <f aca="false">Costs!BJ89/FX_EUR</f>
        <v>1219.59213789928</v>
      </c>
      <c r="BK89" s="32" t="n">
        <f aca="false">Costs!BK89/FX_EUR</f>
        <v>1219.59213789928</v>
      </c>
      <c r="BL89" s="32" t="n">
        <f aca="false">Costs!BL89/FX_EUR</f>
        <v>1219.59213789928</v>
      </c>
    </row>
    <row r="90" customFormat="false" ht="15" hidden="false" customHeight="false" outlineLevel="0" collapsed="false">
      <c r="A90" s="8" t="s">
        <v>1092</v>
      </c>
      <c r="B90" s="14" t="s">
        <v>79</v>
      </c>
      <c r="D90" s="55" t="n">
        <f aca="false">Costs!D90/FX_EUR</f>
        <v>185409.327745569</v>
      </c>
      <c r="E90" s="16" t="n">
        <f aca="false">Costs!E90/FX_EUR</f>
        <v>4324.3115021259</v>
      </c>
      <c r="F90" s="16" t="n">
        <f aca="false">Costs!F90/FX_EUR</f>
        <v>1124.3115021259</v>
      </c>
      <c r="G90" s="16" t="n">
        <f aca="false">Costs!G90/FX_EUR</f>
        <v>1124.3115021259</v>
      </c>
      <c r="H90" s="16" t="n">
        <f aca="false">Costs!H90/FX_EUR</f>
        <v>1124.3115021259</v>
      </c>
      <c r="I90" s="16" t="n">
        <f aca="false">Costs!I90/FX_EUR</f>
        <v>1124.3115021259</v>
      </c>
      <c r="J90" s="16" t="n">
        <f aca="false">Costs!J90/FX_EUR</f>
        <v>1124.3115021259</v>
      </c>
      <c r="K90" s="16" t="n">
        <f aca="false">Costs!K90/FX_EUR</f>
        <v>1124.3115021259</v>
      </c>
      <c r="L90" s="16" t="n">
        <f aca="false">Costs!L90/FX_EUR</f>
        <v>1124.3115021259</v>
      </c>
      <c r="M90" s="16" t="n">
        <f aca="false">Costs!M90/FX_EUR</f>
        <v>1124.3115021259</v>
      </c>
      <c r="N90" s="16" t="n">
        <f aca="false">Costs!N90/FX_EUR</f>
        <v>1124.3115021259</v>
      </c>
      <c r="O90" s="16" t="n">
        <f aca="false">Costs!O90/FX_EUR</f>
        <v>1124.3115021259</v>
      </c>
      <c r="P90" s="16" t="n">
        <f aca="false">Costs!P90/FX_EUR</f>
        <v>1124.3115021259</v>
      </c>
      <c r="Q90" s="16" t="n">
        <f aca="false">Costs!Q90/FX_EUR</f>
        <v>3150.25568241008</v>
      </c>
      <c r="R90" s="16" t="n">
        <f aca="false">Costs!R90/FX_EUR</f>
        <v>2350.25568241008</v>
      </c>
      <c r="S90" s="16" t="n">
        <f aca="false">Costs!S90/FX_EUR</f>
        <v>2350.25568241008</v>
      </c>
      <c r="T90" s="16" t="n">
        <f aca="false">Costs!T90/FX_EUR</f>
        <v>3150.25568241008</v>
      </c>
      <c r="U90" s="16" t="n">
        <f aca="false">Costs!U90/FX_EUR</f>
        <v>2350.25568241008</v>
      </c>
      <c r="V90" s="16" t="n">
        <f aca="false">Costs!V90/FX_EUR</f>
        <v>3150.25568241008</v>
      </c>
      <c r="W90" s="16" t="n">
        <f aca="false">Costs!W90/FX_EUR</f>
        <v>2350.25568241008</v>
      </c>
      <c r="X90" s="16" t="n">
        <f aca="false">Costs!X90/FX_EUR</f>
        <v>2350.25568241008</v>
      </c>
      <c r="Y90" s="16" t="n">
        <f aca="false">Costs!Y90/FX_EUR</f>
        <v>2350.25568241008</v>
      </c>
      <c r="Z90" s="16" t="n">
        <f aca="false">Costs!Z90/FX_EUR</f>
        <v>2350.25568241008</v>
      </c>
      <c r="AA90" s="16" t="n">
        <f aca="false">Costs!AA90/FX_EUR</f>
        <v>2350.25568241008</v>
      </c>
      <c r="AB90" s="16" t="n">
        <f aca="false">Costs!AB90/FX_EUR</f>
        <v>3150.25568241008</v>
      </c>
      <c r="AC90" s="16" t="n">
        <f aca="false">Costs!AC90/FX_EUR</f>
        <v>2998.16400566907</v>
      </c>
      <c r="AD90" s="16" t="n">
        <f aca="false">Costs!AD90/FX_EUR</f>
        <v>2998.16400566907</v>
      </c>
      <c r="AE90" s="16" t="n">
        <f aca="false">Costs!AE90/FX_EUR</f>
        <v>2998.16400566907</v>
      </c>
      <c r="AF90" s="16" t="n">
        <f aca="false">Costs!AF90/FX_EUR</f>
        <v>3798.16400566907</v>
      </c>
      <c r="AG90" s="16" t="n">
        <f aca="false">Costs!AG90/FX_EUR</f>
        <v>3798.16400566907</v>
      </c>
      <c r="AH90" s="16" t="n">
        <f aca="false">Costs!AH90/FX_EUR</f>
        <v>2998.16400566907</v>
      </c>
      <c r="AI90" s="16" t="n">
        <f aca="false">Costs!AI90/FX_EUR</f>
        <v>2998.16400566907</v>
      </c>
      <c r="AJ90" s="16" t="n">
        <f aca="false">Costs!AJ90/FX_EUR</f>
        <v>2998.16400566907</v>
      </c>
      <c r="AK90" s="16" t="n">
        <f aca="false">Costs!AK90/FX_EUR</f>
        <v>2998.16400566907</v>
      </c>
      <c r="AL90" s="16" t="n">
        <f aca="false">Costs!AL90/FX_EUR</f>
        <v>3798.16400566907</v>
      </c>
      <c r="AM90" s="16" t="n">
        <f aca="false">Costs!AM90/FX_EUR</f>
        <v>2998.16400566907</v>
      </c>
      <c r="AN90" s="16" t="n">
        <f aca="false">Costs!AN90/FX_EUR</f>
        <v>2998.16400566907</v>
      </c>
      <c r="AO90" s="16" t="n">
        <f aca="false">Costs!AO90/FX_EUR</f>
        <v>3569.84782030936</v>
      </c>
      <c r="AP90" s="16" t="n">
        <f aca="false">Costs!AP90/FX_EUR</f>
        <v>3569.84782030936</v>
      </c>
      <c r="AQ90" s="16" t="n">
        <f aca="false">Costs!AQ90/FX_EUR</f>
        <v>4369.84782030936</v>
      </c>
      <c r="AR90" s="16" t="n">
        <f aca="false">Costs!AR90/FX_EUR</f>
        <v>4369.84782030936</v>
      </c>
      <c r="AS90" s="16" t="n">
        <f aca="false">Costs!AS90/FX_EUR</f>
        <v>3569.84782030936</v>
      </c>
      <c r="AT90" s="16" t="n">
        <f aca="false">Costs!AT90/FX_EUR</f>
        <v>3569.84782030936</v>
      </c>
      <c r="AU90" s="16" t="n">
        <f aca="false">Costs!AU90/FX_EUR</f>
        <v>3569.84782030936</v>
      </c>
      <c r="AV90" s="16" t="n">
        <f aca="false">Costs!AV90/FX_EUR</f>
        <v>3569.84782030936</v>
      </c>
      <c r="AW90" s="16" t="n">
        <f aca="false">Costs!AW90/FX_EUR</f>
        <v>4369.84782030936</v>
      </c>
      <c r="AX90" s="16" t="n">
        <f aca="false">Costs!AX90/FX_EUR</f>
        <v>3569.84782030936</v>
      </c>
      <c r="AY90" s="16" t="n">
        <f aca="false">Costs!AY90/FX_EUR</f>
        <v>3569.84782030936</v>
      </c>
      <c r="AZ90" s="16" t="n">
        <f aca="false">Costs!AZ90/FX_EUR</f>
        <v>3569.84782030936</v>
      </c>
      <c r="BA90" s="16" t="n">
        <f aca="false">Costs!BA90/FX_EUR</f>
        <v>4941.53163494965</v>
      </c>
      <c r="BB90" s="16" t="n">
        <f aca="false">Costs!BB90/FX_EUR</f>
        <v>4941.53163494965</v>
      </c>
      <c r="BC90" s="16" t="n">
        <f aca="false">Costs!BC90/FX_EUR</f>
        <v>4141.53163494965</v>
      </c>
      <c r="BD90" s="16" t="n">
        <f aca="false">Costs!BD90/FX_EUR</f>
        <v>4141.53163494965</v>
      </c>
      <c r="BE90" s="16" t="n">
        <f aca="false">Costs!BE90/FX_EUR</f>
        <v>4141.53163494965</v>
      </c>
      <c r="BF90" s="16" t="n">
        <f aca="false">Costs!BF90/FX_EUR</f>
        <v>4941.53163494965</v>
      </c>
      <c r="BG90" s="16" t="n">
        <f aca="false">Costs!BG90/FX_EUR</f>
        <v>4141.53163494965</v>
      </c>
      <c r="BH90" s="16" t="n">
        <f aca="false">Costs!BH90/FX_EUR</f>
        <v>4941.53163494965</v>
      </c>
      <c r="BI90" s="16" t="n">
        <f aca="false">Costs!BI90/FX_EUR</f>
        <v>4141.53163494965</v>
      </c>
      <c r="BJ90" s="16" t="n">
        <f aca="false">Costs!BJ90/FX_EUR</f>
        <v>4941.53163494965</v>
      </c>
      <c r="BK90" s="16" t="n">
        <f aca="false">Costs!BK90/FX_EUR</f>
        <v>4141.53163494965</v>
      </c>
      <c r="BL90" s="16" t="n">
        <f aca="false">Costs!BL90/FX_EUR</f>
        <v>4141.53163494965</v>
      </c>
    </row>
    <row r="92" customFormat="false" ht="15" hidden="false" customHeight="false" outlineLevel="0" collapsed="false">
      <c r="A92" s="10" t="s">
        <v>1093</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1094</v>
      </c>
      <c r="B93" s="14" t="s">
        <v>79</v>
      </c>
      <c r="D93" s="55" t="n">
        <f aca="false">Costs!D93/FX_EUR</f>
        <v>7342226.42798975</v>
      </c>
      <c r="E93" s="32" t="n">
        <f aca="false">Costs!E93/FX_EUR</f>
        <v>46737.8767205777</v>
      </c>
      <c r="F93" s="32" t="n">
        <f aca="false">Costs!F93/FX_EUR</f>
        <v>58941.3909753231</v>
      </c>
      <c r="G93" s="32" t="n">
        <f aca="false">Costs!G93/FX_EUR</f>
        <v>80284.2533885605</v>
      </c>
      <c r="H93" s="32" t="n">
        <f aca="false">Costs!H93/FX_EUR</f>
        <v>53755.1180946312</v>
      </c>
      <c r="I93" s="32" t="n">
        <f aca="false">Costs!I93/FX_EUR</f>
        <v>52567.1028741213</v>
      </c>
      <c r="J93" s="32" t="n">
        <f aca="false">Costs!J93/FX_EUR</f>
        <v>51747.1073561224</v>
      </c>
      <c r="K93" s="32" t="n">
        <f aca="false">Costs!K93/FX_EUR</f>
        <v>51429.0524984869</v>
      </c>
      <c r="L93" s="32" t="n">
        <f aca="false">Costs!L93/FX_EUR</f>
        <v>51112.776173422</v>
      </c>
      <c r="M93" s="32" t="n">
        <f aca="false">Costs!M93/FX_EUR</f>
        <v>50798.1106993567</v>
      </c>
      <c r="N93" s="32" t="n">
        <f aca="false">Costs!N93/FX_EUR</f>
        <v>50484.8824386643</v>
      </c>
      <c r="O93" s="32" t="n">
        <f aca="false">Costs!O93/FX_EUR</f>
        <v>50172.9113724711</v>
      </c>
      <c r="P93" s="32" t="n">
        <f aca="false">Costs!P93/FX_EUR</f>
        <v>49862.010651155</v>
      </c>
      <c r="Q93" s="32" t="n">
        <f aca="false">Costs!Q93/FX_EUR</f>
        <v>71342.3441252426</v>
      </c>
      <c r="R93" s="32" t="n">
        <f aca="false">Costs!R93/FX_EUR</f>
        <v>69614.706643682</v>
      </c>
      <c r="S93" s="32" t="n">
        <f aca="false">Costs!S93/FX_EUR</f>
        <v>76811.4991802488</v>
      </c>
      <c r="T93" s="32" t="n">
        <f aca="false">Costs!T93/FX_EUR</f>
        <v>108024.466967094</v>
      </c>
      <c r="U93" s="32" t="n">
        <f aca="false">Costs!U93/FX_EUR</f>
        <v>70476.3281145468</v>
      </c>
      <c r="V93" s="32" t="n">
        <f aca="false">Costs!V93/FX_EUR</f>
        <v>81711.8645257171</v>
      </c>
      <c r="W93" s="32" t="n">
        <f aca="false">Costs!W93/FX_EUR</f>
        <v>83963.3749739961</v>
      </c>
      <c r="X93" s="32" t="n">
        <f aca="false">Costs!X93/FX_EUR</f>
        <v>85788.702621188</v>
      </c>
      <c r="Y93" s="32" t="n">
        <f aca="false">Costs!Y93/FX_EUR</f>
        <v>86690.8590099714</v>
      </c>
      <c r="Z93" s="32" t="n">
        <f aca="false">Costs!Z93/FX_EUR</f>
        <v>86252.7481585226</v>
      </c>
      <c r="AA93" s="32" t="n">
        <f aca="false">Costs!AA93/FX_EUR</f>
        <v>86318.3506559869</v>
      </c>
      <c r="AB93" s="32" t="n">
        <f aca="false">Costs!AB93/FX_EUR</f>
        <v>95706.2915766189</v>
      </c>
      <c r="AC93" s="32" t="n">
        <f aca="false">Costs!AC93/FX_EUR</f>
        <v>110514.598712946</v>
      </c>
      <c r="AD93" s="32" t="n">
        <f aca="false">Costs!AD93/FX_EUR</f>
        <v>111904.597444077</v>
      </c>
      <c r="AE93" s="32" t="n">
        <f aca="false">Costs!AE93/FX_EUR</f>
        <v>111487.419085644</v>
      </c>
      <c r="AF93" s="32" t="n">
        <f aca="false">Costs!AF93/FX_EUR</f>
        <v>127323.057521807</v>
      </c>
      <c r="AG93" s="32" t="n">
        <f aca="false">Costs!AG93/FX_EUR</f>
        <v>121179.751796843</v>
      </c>
      <c r="AH93" s="32" t="n">
        <f aca="false">Costs!AH93/FX_EUR</f>
        <v>120790.258804107</v>
      </c>
      <c r="AI93" s="32" t="n">
        <f aca="false">Costs!AI93/FX_EUR</f>
        <v>121764.601231525</v>
      </c>
      <c r="AJ93" s="32" t="n">
        <f aca="false">Costs!AJ93/FX_EUR</f>
        <v>121375.435270649</v>
      </c>
      <c r="AK93" s="32" t="n">
        <f aca="false">Costs!AK93/FX_EUR</f>
        <v>122862.701365271</v>
      </c>
      <c r="AL93" s="32" t="n">
        <f aca="false">Costs!AL93/FX_EUR</f>
        <v>127233.623050637</v>
      </c>
      <c r="AM93" s="32" t="n">
        <f aca="false">Costs!AM93/FX_EUR</f>
        <v>126935.410177728</v>
      </c>
      <c r="AN93" s="32" t="n">
        <f aca="false">Costs!AN93/FX_EUR</f>
        <v>128496.449482496</v>
      </c>
      <c r="AO93" s="32" t="n">
        <f aca="false">Costs!AO93/FX_EUR</f>
        <v>142322.402549731</v>
      </c>
      <c r="AP93" s="32" t="n">
        <f aca="false">Costs!AP93/FX_EUR</f>
        <v>141479.622752517</v>
      </c>
      <c r="AQ93" s="32" t="n">
        <f aca="false">Costs!AQ93/FX_EUR</f>
        <v>146043.443093046</v>
      </c>
      <c r="AR93" s="32" t="n">
        <f aca="false">Costs!AR93/FX_EUR</f>
        <v>162181.918553418</v>
      </c>
      <c r="AS93" s="32" t="n">
        <f aca="false">Costs!AS93/FX_EUR</f>
        <v>149958.718730735</v>
      </c>
      <c r="AT93" s="32" t="n">
        <f aca="false">Costs!AT93/FX_EUR</f>
        <v>151554.299821794</v>
      </c>
      <c r="AU93" s="32" t="n">
        <f aca="false">Costs!AU93/FX_EUR</f>
        <v>156487.630577304</v>
      </c>
      <c r="AV93" s="32" t="n">
        <f aca="false">Costs!AV93/FX_EUR</f>
        <v>155210.650439789</v>
      </c>
      <c r="AW93" s="32" t="n">
        <f aca="false">Costs!AW93/FX_EUR</f>
        <v>161612.668199957</v>
      </c>
      <c r="AX93" s="32" t="n">
        <f aca="false">Costs!AX93/FX_EUR</f>
        <v>160772.181813908</v>
      </c>
      <c r="AY93" s="32" t="n">
        <f aca="false">Costs!AY93/FX_EUR</f>
        <v>161735.440592252</v>
      </c>
      <c r="AZ93" s="32" t="n">
        <f aca="false">Costs!AZ93/FX_EUR</f>
        <v>165131.415488891</v>
      </c>
      <c r="BA93" s="32" t="n">
        <f aca="false">Costs!BA93/FX_EUR</f>
        <v>184607.906801468</v>
      </c>
      <c r="BB93" s="32" t="n">
        <f aca="false">Costs!BB93/FX_EUR</f>
        <v>188014.42182731</v>
      </c>
      <c r="BC93" s="32" t="n">
        <f aca="false">Costs!BC93/FX_EUR</f>
        <v>187223.725085053</v>
      </c>
      <c r="BD93" s="32" t="n">
        <f aca="false">Costs!BD93/FX_EUR</f>
        <v>199101.979098101</v>
      </c>
      <c r="BE93" s="32" t="n">
        <f aca="false">Costs!BE93/FX_EUR</f>
        <v>191255.240910911</v>
      </c>
      <c r="BF93" s="32" t="n">
        <f aca="false">Costs!BF93/FX_EUR</f>
        <v>195349.399420892</v>
      </c>
      <c r="BG93" s="32" t="n">
        <f aca="false">Costs!BG93/FX_EUR</f>
        <v>196982.076810387</v>
      </c>
      <c r="BH93" s="32" t="n">
        <f aca="false">Costs!BH93/FX_EUR</f>
        <v>205346.302827487</v>
      </c>
      <c r="BI93" s="32" t="n">
        <f aca="false">Costs!BI93/FX_EUR</f>
        <v>205223.606012495</v>
      </c>
      <c r="BJ93" s="32" t="n">
        <f aca="false">Costs!BJ93/FX_EUR</f>
        <v>208843.87758117</v>
      </c>
      <c r="BK93" s="32" t="n">
        <f aca="false">Costs!BK93/FX_EUR</f>
        <v>210438.898684797</v>
      </c>
      <c r="BL93" s="32" t="n">
        <f aca="false">Costs!BL93/FX_EUR</f>
        <v>212886.5665769</v>
      </c>
    </row>
    <row r="94" customFormat="false" ht="15" hidden="false" customHeight="false" outlineLevel="0" collapsed="false">
      <c r="A94" s="12" t="s">
        <v>1095</v>
      </c>
      <c r="B94" s="14" t="s">
        <v>79</v>
      </c>
      <c r="D94" s="55" t="n">
        <f aca="false">Costs!D94/FX_EUR</f>
        <v>367111.321399487</v>
      </c>
      <c r="E94" s="32" t="n">
        <f aca="false">Costs!E94/FX_EUR</f>
        <v>2336.89383602889</v>
      </c>
      <c r="F94" s="32" t="n">
        <f aca="false">Costs!F94/FX_EUR</f>
        <v>2947.06954876615</v>
      </c>
      <c r="G94" s="32" t="n">
        <f aca="false">Costs!G94/FX_EUR</f>
        <v>4014.21266942803</v>
      </c>
      <c r="H94" s="32" t="n">
        <f aca="false">Costs!H94/FX_EUR</f>
        <v>2687.75590473156</v>
      </c>
      <c r="I94" s="32" t="n">
        <f aca="false">Costs!I94/FX_EUR</f>
        <v>2628.35514370607</v>
      </c>
      <c r="J94" s="32" t="n">
        <f aca="false">Costs!J94/FX_EUR</f>
        <v>2587.35536780612</v>
      </c>
      <c r="K94" s="32" t="n">
        <f aca="false">Costs!K94/FX_EUR</f>
        <v>2571.45262492435</v>
      </c>
      <c r="L94" s="32" t="n">
        <f aca="false">Costs!L94/FX_EUR</f>
        <v>2555.6388086711</v>
      </c>
      <c r="M94" s="32" t="n">
        <f aca="false">Costs!M94/FX_EUR</f>
        <v>2539.90553496784</v>
      </c>
      <c r="N94" s="32" t="n">
        <f aca="false">Costs!N94/FX_EUR</f>
        <v>2524.24412193321</v>
      </c>
      <c r="O94" s="32" t="n">
        <f aca="false">Costs!O94/FX_EUR</f>
        <v>2508.64556862356</v>
      </c>
      <c r="P94" s="32" t="n">
        <f aca="false">Costs!P94/FX_EUR</f>
        <v>2493.10053255775</v>
      </c>
      <c r="Q94" s="32" t="n">
        <f aca="false">Costs!Q94/FX_EUR</f>
        <v>3567.11720626213</v>
      </c>
      <c r="R94" s="32" t="n">
        <f aca="false">Costs!R94/FX_EUR</f>
        <v>3480.7353321841</v>
      </c>
      <c r="S94" s="32" t="n">
        <f aca="false">Costs!S94/FX_EUR</f>
        <v>3840.57495901244</v>
      </c>
      <c r="T94" s="32" t="n">
        <f aca="false">Costs!T94/FX_EUR</f>
        <v>5401.22334835468</v>
      </c>
      <c r="U94" s="32" t="n">
        <f aca="false">Costs!U94/FX_EUR</f>
        <v>3523.81640572734</v>
      </c>
      <c r="V94" s="32" t="n">
        <f aca="false">Costs!V94/FX_EUR</f>
        <v>4085.59322628585</v>
      </c>
      <c r="W94" s="32" t="n">
        <f aca="false">Costs!W94/FX_EUR</f>
        <v>4198.16874869981</v>
      </c>
      <c r="X94" s="32" t="n">
        <f aca="false">Costs!X94/FX_EUR</f>
        <v>4289.4351310594</v>
      </c>
      <c r="Y94" s="32" t="n">
        <f aca="false">Costs!Y94/FX_EUR</f>
        <v>4334.54295049857</v>
      </c>
      <c r="Z94" s="32" t="n">
        <f aca="false">Costs!Z94/FX_EUR</f>
        <v>4312.63740792613</v>
      </c>
      <c r="AA94" s="32" t="n">
        <f aca="false">Costs!AA94/FX_EUR</f>
        <v>4315.91753279935</v>
      </c>
      <c r="AB94" s="32" t="n">
        <f aca="false">Costs!AB94/FX_EUR</f>
        <v>4785.31457883094</v>
      </c>
      <c r="AC94" s="32" t="n">
        <f aca="false">Costs!AC94/FX_EUR</f>
        <v>5525.72993564728</v>
      </c>
      <c r="AD94" s="32" t="n">
        <f aca="false">Costs!AD94/FX_EUR</f>
        <v>5595.22987220386</v>
      </c>
      <c r="AE94" s="32" t="n">
        <f aca="false">Costs!AE94/FX_EUR</f>
        <v>5574.37095428221</v>
      </c>
      <c r="AF94" s="32" t="n">
        <f aca="false">Costs!AF94/FX_EUR</f>
        <v>6366.15287609033</v>
      </c>
      <c r="AG94" s="32" t="n">
        <f aca="false">Costs!AG94/FX_EUR</f>
        <v>6058.98758984214</v>
      </c>
      <c r="AH94" s="32" t="n">
        <f aca="false">Costs!AH94/FX_EUR</f>
        <v>6039.51294020536</v>
      </c>
      <c r="AI94" s="32" t="n">
        <f aca="false">Costs!AI94/FX_EUR</f>
        <v>6088.23006157626</v>
      </c>
      <c r="AJ94" s="32" t="n">
        <f aca="false">Costs!AJ94/FX_EUR</f>
        <v>6068.77176353246</v>
      </c>
      <c r="AK94" s="32" t="n">
        <f aca="false">Costs!AK94/FX_EUR</f>
        <v>6143.13506826355</v>
      </c>
      <c r="AL94" s="32" t="n">
        <f aca="false">Costs!AL94/FX_EUR</f>
        <v>6361.68115253184</v>
      </c>
      <c r="AM94" s="32" t="n">
        <f aca="false">Costs!AM94/FX_EUR</f>
        <v>6346.77050888642</v>
      </c>
      <c r="AN94" s="32" t="n">
        <f aca="false">Costs!AN94/FX_EUR</f>
        <v>6424.82247412478</v>
      </c>
      <c r="AO94" s="32" t="n">
        <f aca="false">Costs!AO94/FX_EUR</f>
        <v>7116.12012748656</v>
      </c>
      <c r="AP94" s="32" t="n">
        <f aca="false">Costs!AP94/FX_EUR</f>
        <v>7073.98113762585</v>
      </c>
      <c r="AQ94" s="32" t="n">
        <f aca="false">Costs!AQ94/FX_EUR</f>
        <v>7302.1721546523</v>
      </c>
      <c r="AR94" s="32" t="n">
        <f aca="false">Costs!AR94/FX_EUR</f>
        <v>8109.09592767089</v>
      </c>
      <c r="AS94" s="32" t="n">
        <f aca="false">Costs!AS94/FX_EUR</f>
        <v>7497.93593653677</v>
      </c>
      <c r="AT94" s="32" t="n">
        <f aca="false">Costs!AT94/FX_EUR</f>
        <v>7577.71499108969</v>
      </c>
      <c r="AU94" s="32" t="n">
        <f aca="false">Costs!AU94/FX_EUR</f>
        <v>7824.38152886521</v>
      </c>
      <c r="AV94" s="32" t="n">
        <f aca="false">Costs!AV94/FX_EUR</f>
        <v>7760.53252198943</v>
      </c>
      <c r="AW94" s="32" t="n">
        <f aca="false">Costs!AW94/FX_EUR</f>
        <v>8080.63340999785</v>
      </c>
      <c r="AX94" s="32" t="n">
        <f aca="false">Costs!AX94/FX_EUR</f>
        <v>8038.6090906954</v>
      </c>
      <c r="AY94" s="32" t="n">
        <f aca="false">Costs!AY94/FX_EUR</f>
        <v>8086.77202961261</v>
      </c>
      <c r="AZ94" s="32" t="n">
        <f aca="false">Costs!AZ94/FX_EUR</f>
        <v>8256.57077444453</v>
      </c>
      <c r="BA94" s="32" t="n">
        <f aca="false">Costs!BA94/FX_EUR</f>
        <v>9230.39534007338</v>
      </c>
      <c r="BB94" s="32" t="n">
        <f aca="false">Costs!BB94/FX_EUR</f>
        <v>9400.72109136548</v>
      </c>
      <c r="BC94" s="32" t="n">
        <f aca="false">Costs!BC94/FX_EUR</f>
        <v>9361.18625425265</v>
      </c>
      <c r="BD94" s="32" t="n">
        <f aca="false">Costs!BD94/FX_EUR</f>
        <v>9955.09895490506</v>
      </c>
      <c r="BE94" s="32" t="n">
        <f aca="false">Costs!BE94/FX_EUR</f>
        <v>9562.76204554554</v>
      </c>
      <c r="BF94" s="32" t="n">
        <f aca="false">Costs!BF94/FX_EUR</f>
        <v>9767.46997104461</v>
      </c>
      <c r="BG94" s="32" t="n">
        <f aca="false">Costs!BG94/FX_EUR</f>
        <v>9849.10384051935</v>
      </c>
      <c r="BH94" s="32" t="n">
        <f aca="false">Costs!BH94/FX_EUR</f>
        <v>10267.3151413743</v>
      </c>
      <c r="BI94" s="32" t="n">
        <f aca="false">Costs!BI94/FX_EUR</f>
        <v>10261.1803006248</v>
      </c>
      <c r="BJ94" s="32" t="n">
        <f aca="false">Costs!BJ94/FX_EUR</f>
        <v>10442.1938790585</v>
      </c>
      <c r="BK94" s="32" t="n">
        <f aca="false">Costs!BK94/FX_EUR</f>
        <v>10521.9449342398</v>
      </c>
      <c r="BL94" s="32" t="n">
        <f aca="false">Costs!BL94/FX_EUR</f>
        <v>10644.328328845</v>
      </c>
    </row>
    <row r="95" customFormat="false" ht="15" hidden="false" customHeight="false" outlineLevel="0" collapsed="false">
      <c r="A95" s="8" t="s">
        <v>1096</v>
      </c>
      <c r="B95" s="14" t="s">
        <v>79</v>
      </c>
      <c r="D95" s="55" t="n">
        <f aca="false">Costs!D95/FX_EUR</f>
        <v>7709337.74938924</v>
      </c>
      <c r="E95" s="16" t="n">
        <f aca="false">Costs!E95/FX_EUR</f>
        <v>49074.7705566066</v>
      </c>
      <c r="F95" s="16" t="n">
        <f aca="false">Costs!F95/FX_EUR</f>
        <v>61888.4605240892</v>
      </c>
      <c r="G95" s="16" t="n">
        <f aca="false">Costs!G95/FX_EUR</f>
        <v>84298.4660579886</v>
      </c>
      <c r="H95" s="16" t="n">
        <f aca="false">Costs!H95/FX_EUR</f>
        <v>56442.8739993628</v>
      </c>
      <c r="I95" s="16" t="n">
        <f aca="false">Costs!I95/FX_EUR</f>
        <v>55195.4580178274</v>
      </c>
      <c r="J95" s="16" t="n">
        <f aca="false">Costs!J95/FX_EUR</f>
        <v>54334.4627239286</v>
      </c>
      <c r="K95" s="16" t="n">
        <f aca="false">Costs!K95/FX_EUR</f>
        <v>54000.5051234113</v>
      </c>
      <c r="L95" s="16" t="n">
        <f aca="false">Costs!L95/FX_EUR</f>
        <v>53668.4149820931</v>
      </c>
      <c r="M95" s="16" t="n">
        <f aca="false">Costs!M95/FX_EUR</f>
        <v>53338.0162343245</v>
      </c>
      <c r="N95" s="16" t="n">
        <f aca="false">Costs!N95/FX_EUR</f>
        <v>53009.1265605975</v>
      </c>
      <c r="O95" s="16" t="n">
        <f aca="false">Costs!O95/FX_EUR</f>
        <v>52681.5569410947</v>
      </c>
      <c r="P95" s="16" t="n">
        <f aca="false">Costs!P95/FX_EUR</f>
        <v>52355.1111837128</v>
      </c>
      <c r="Q95" s="16" t="n">
        <f aca="false">Costs!Q95/FX_EUR</f>
        <v>74909.4613315048</v>
      </c>
      <c r="R95" s="16" t="n">
        <f aca="false">Costs!R95/FX_EUR</f>
        <v>73095.4419758661</v>
      </c>
      <c r="S95" s="16" t="n">
        <f aca="false">Costs!S95/FX_EUR</f>
        <v>80652.0741392613</v>
      </c>
      <c r="T95" s="16" t="n">
        <f aca="false">Costs!T95/FX_EUR</f>
        <v>113425.690315448</v>
      </c>
      <c r="U95" s="16" t="n">
        <f aca="false">Costs!U95/FX_EUR</f>
        <v>74000.1445202741</v>
      </c>
      <c r="V95" s="16" t="n">
        <f aca="false">Costs!V95/FX_EUR</f>
        <v>85797.4577520029</v>
      </c>
      <c r="W95" s="16" t="n">
        <f aca="false">Costs!W95/FX_EUR</f>
        <v>88161.5437226959</v>
      </c>
      <c r="X95" s="16" t="n">
        <f aca="false">Costs!X95/FX_EUR</f>
        <v>90078.1377522474</v>
      </c>
      <c r="Y95" s="16" t="n">
        <f aca="false">Costs!Y95/FX_EUR</f>
        <v>91025.40196047</v>
      </c>
      <c r="Z95" s="16" t="n">
        <f aca="false">Costs!Z95/FX_EUR</f>
        <v>90565.3855664488</v>
      </c>
      <c r="AA95" s="16" t="n">
        <f aca="false">Costs!AA95/FX_EUR</f>
        <v>90634.2681887863</v>
      </c>
      <c r="AB95" s="16" t="n">
        <f aca="false">Costs!AB95/FX_EUR</f>
        <v>100491.60615545</v>
      </c>
      <c r="AC95" s="16" t="n">
        <f aca="false">Costs!AC95/FX_EUR</f>
        <v>116040.328648593</v>
      </c>
      <c r="AD95" s="16" t="n">
        <f aca="false">Costs!AD95/FX_EUR</f>
        <v>117499.827316281</v>
      </c>
      <c r="AE95" s="16" t="n">
        <f aca="false">Costs!AE95/FX_EUR</f>
        <v>117061.790039926</v>
      </c>
      <c r="AF95" s="16" t="n">
        <f aca="false">Costs!AF95/FX_EUR</f>
        <v>133689.210397897</v>
      </c>
      <c r="AG95" s="16" t="n">
        <f aca="false">Costs!AG95/FX_EUR</f>
        <v>127238.739386685</v>
      </c>
      <c r="AH95" s="16" t="n">
        <f aca="false">Costs!AH95/FX_EUR</f>
        <v>126829.771744312</v>
      </c>
      <c r="AI95" s="16" t="n">
        <f aca="false">Costs!AI95/FX_EUR</f>
        <v>127852.831293102</v>
      </c>
      <c r="AJ95" s="16" t="n">
        <f aca="false">Costs!AJ95/FX_EUR</f>
        <v>127444.207034182</v>
      </c>
      <c r="AK95" s="16" t="n">
        <f aca="false">Costs!AK95/FX_EUR</f>
        <v>129005.836433535</v>
      </c>
      <c r="AL95" s="16" t="n">
        <f aca="false">Costs!AL95/FX_EUR</f>
        <v>133595.304203169</v>
      </c>
      <c r="AM95" s="16" t="n">
        <f aca="false">Costs!AM95/FX_EUR</f>
        <v>133282.180686615</v>
      </c>
      <c r="AN95" s="16" t="n">
        <f aca="false">Costs!AN95/FX_EUR</f>
        <v>134921.27195662</v>
      </c>
      <c r="AO95" s="16" t="n">
        <f aca="false">Costs!AO95/FX_EUR</f>
        <v>149438.522677218</v>
      </c>
      <c r="AP95" s="16" t="n">
        <f aca="false">Costs!AP95/FX_EUR</f>
        <v>148553.603890143</v>
      </c>
      <c r="AQ95" s="16" t="n">
        <f aca="false">Costs!AQ95/FX_EUR</f>
        <v>153345.615247698</v>
      </c>
      <c r="AR95" s="16" t="n">
        <f aca="false">Costs!AR95/FX_EUR</f>
        <v>170291.014481089</v>
      </c>
      <c r="AS95" s="16" t="n">
        <f aca="false">Costs!AS95/FX_EUR</f>
        <v>157456.654667272</v>
      </c>
      <c r="AT95" s="16" t="n">
        <f aca="false">Costs!AT95/FX_EUR</f>
        <v>159132.014812883</v>
      </c>
      <c r="AU95" s="16" t="n">
        <f aca="false">Costs!AU95/FX_EUR</f>
        <v>164312.012106169</v>
      </c>
      <c r="AV95" s="16" t="n">
        <f aca="false">Costs!AV95/FX_EUR</f>
        <v>162971.182961778</v>
      </c>
      <c r="AW95" s="16" t="n">
        <f aca="false">Costs!AW95/FX_EUR</f>
        <v>169693.301609955</v>
      </c>
      <c r="AX95" s="16" t="n">
        <f aca="false">Costs!AX95/FX_EUR</f>
        <v>168810.790904603</v>
      </c>
      <c r="AY95" s="16" t="n">
        <f aca="false">Costs!AY95/FX_EUR</f>
        <v>169822.212621865</v>
      </c>
      <c r="AZ95" s="16" t="n">
        <f aca="false">Costs!AZ95/FX_EUR</f>
        <v>173387.986263335</v>
      </c>
      <c r="BA95" s="16" t="n">
        <f aca="false">Costs!BA95/FX_EUR</f>
        <v>193838.302141541</v>
      </c>
      <c r="BB95" s="16" t="n">
        <f aca="false">Costs!BB95/FX_EUR</f>
        <v>197415.142918675</v>
      </c>
      <c r="BC95" s="16" t="n">
        <f aca="false">Costs!BC95/FX_EUR</f>
        <v>196584.911339306</v>
      </c>
      <c r="BD95" s="16" t="n">
        <f aca="false">Costs!BD95/FX_EUR</f>
        <v>209057.078053006</v>
      </c>
      <c r="BE95" s="16" t="n">
        <f aca="false">Costs!BE95/FX_EUR</f>
        <v>200818.002956456</v>
      </c>
      <c r="BF95" s="16" t="n">
        <f aca="false">Costs!BF95/FX_EUR</f>
        <v>205116.869391937</v>
      </c>
      <c r="BG95" s="16" t="n">
        <f aca="false">Costs!BG95/FX_EUR</f>
        <v>206831.180650906</v>
      </c>
      <c r="BH95" s="16" t="n">
        <f aca="false">Costs!BH95/FX_EUR</f>
        <v>215613.617968861</v>
      </c>
      <c r="BI95" s="16" t="n">
        <f aca="false">Costs!BI95/FX_EUR</f>
        <v>215484.78631312</v>
      </c>
      <c r="BJ95" s="16" t="n">
        <f aca="false">Costs!BJ95/FX_EUR</f>
        <v>219286.071460229</v>
      </c>
      <c r="BK95" s="16" t="n">
        <f aca="false">Costs!BK95/FX_EUR</f>
        <v>220960.843619037</v>
      </c>
      <c r="BL95" s="16" t="n">
        <f aca="false">Costs!BL95/FX_EUR</f>
        <v>223530.894905745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1099</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768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1031</v>
      </c>
      <c r="B9" s="14" t="s">
        <v>77</v>
      </c>
      <c r="D9" s="55" t="n">
        <f aca="false">SUM(E9:BL9)</f>
        <v>3340167574.11753</v>
      </c>
      <c r="E9" s="23" t="n">
        <f aca="false">'Clients &amp; revenue'!E57</f>
        <v>0</v>
      </c>
      <c r="F9" s="23" t="n">
        <f aca="false">'Clients &amp; revenue'!F57</f>
        <v>0</v>
      </c>
      <c r="G9" s="23" t="n">
        <f aca="false">'Clients &amp; revenue'!G57</f>
        <v>0</v>
      </c>
      <c r="H9" s="23" t="n">
        <f aca="false">'Clients &amp; revenue'!H57</f>
        <v>0</v>
      </c>
      <c r="I9" s="23" t="n">
        <f aca="false">'Clients &amp; revenue'!I57</f>
        <v>0</v>
      </c>
      <c r="J9" s="23" t="n">
        <f aca="false">'Clients &amp; revenue'!J57</f>
        <v>869186.343666667</v>
      </c>
      <c r="K9" s="23" t="n">
        <f aca="false">'Clients &amp; revenue'!K57</f>
        <v>1735511.09999333</v>
      </c>
      <c r="L9" s="23" t="n">
        <f aca="false">'Clients &amp; revenue'!L57</f>
        <v>2599540.78452333</v>
      </c>
      <c r="M9" s="23" t="n">
        <f aca="false">'Clients &amp; revenue'!M57</f>
        <v>3461864.49413827</v>
      </c>
      <c r="N9" s="23" t="n">
        <f aca="false">'Clients &amp; revenue'!N57</f>
        <v>4323095.45697949</v>
      </c>
      <c r="O9" s="23" t="n">
        <f aca="false">'Clients &amp; revenue'!O57</f>
        <v>5183872.67181244</v>
      </c>
      <c r="P9" s="23" t="n">
        <f aca="false">'Clients &amp; revenue'!P57</f>
        <v>6044862.64226789</v>
      </c>
      <c r="Q9" s="23" t="n">
        <f aca="false">'Clients &amp; revenue'!Q57</f>
        <v>6906761.21171829</v>
      </c>
      <c r="R9" s="23" t="n">
        <f aca="false">'Clients &amp; revenue'!R57</f>
        <v>8077204.96855882</v>
      </c>
      <c r="S9" s="23" t="n">
        <f aca="false">'Clients &amp; revenue'!S57</f>
        <v>9246056.38708731</v>
      </c>
      <c r="T9" s="23" t="n">
        <f aca="false">'Clients &amp; revenue'!T57</f>
        <v>10414171.4925651</v>
      </c>
      <c r="U9" s="23" t="n">
        <f aca="false">'Clients &amp; revenue'!U57</f>
        <v>11582443.1152603</v>
      </c>
      <c r="V9" s="23" t="n">
        <f aca="false">'Clients &amp; revenue'!V57</f>
        <v>12751803.3458331</v>
      </c>
      <c r="W9" s="23" t="n">
        <f aca="false">'Clients &amp; revenue'!W57</f>
        <v>13923226.1335651</v>
      </c>
      <c r="X9" s="23" t="n">
        <f aca="false">'Clients &amp; revenue'!X57</f>
        <v>15763091.010752</v>
      </c>
      <c r="Y9" s="23" t="n">
        <f aca="false">'Clients &amp; revenue'!Y57</f>
        <v>17604781.819841</v>
      </c>
      <c r="Z9" s="23" t="n">
        <f aca="false">'Clients &amp; revenue'!Z57</f>
        <v>19590411.9793249</v>
      </c>
      <c r="AA9" s="23" t="n">
        <f aca="false">'Clients &amp; revenue'!AA57</f>
        <v>21579200.4160639</v>
      </c>
      <c r="AB9" s="23" t="n">
        <f aca="false">'Clients &amp; revenue'!AB57</f>
        <v>23572864.9557519</v>
      </c>
      <c r="AC9" s="23" t="n">
        <f aca="false">'Clients &amp; revenue'!AC57</f>
        <v>25573203.2179871</v>
      </c>
      <c r="AD9" s="23" t="n">
        <f aca="false">'Clients &amp; revenue'!AD57</f>
        <v>28198259.5454466</v>
      </c>
      <c r="AE9" s="23" t="n">
        <f aca="false">'Clients &amp; revenue'!AE57</f>
        <v>30825837.7535385</v>
      </c>
      <c r="AF9" s="23" t="n">
        <f aca="false">'Clients &amp; revenue'!AF57</f>
        <v>33598696.9510586</v>
      </c>
      <c r="AG9" s="23" t="n">
        <f aca="false">'Clients &amp; revenue'!AG57</f>
        <v>36376731.3952504</v>
      </c>
      <c r="AH9" s="23" t="n">
        <f aca="false">'Clients &amp; revenue'!AH57</f>
        <v>39162365.8135668</v>
      </c>
      <c r="AI9" s="23" t="n">
        <f aca="false">'Clients &amp; revenue'!AI57</f>
        <v>41958138.3431591</v>
      </c>
      <c r="AJ9" s="23" t="n">
        <f aca="false">'Clients &amp; revenue'!AJ57</f>
        <v>44907277.0967676</v>
      </c>
      <c r="AK9" s="23" t="n">
        <f aca="false">'Clients &amp; revenue'!AK57</f>
        <v>47870173.4751852</v>
      </c>
      <c r="AL9" s="23" t="n">
        <f aca="false">'Clients &amp; revenue'!AL57</f>
        <v>50849779.1752658</v>
      </c>
      <c r="AM9" s="23" t="n">
        <f aca="false">'Clients &amp; revenue'!AM57</f>
        <v>53849190.9168973</v>
      </c>
      <c r="AN9" s="23" t="n">
        <f aca="false">'Clients &amp; revenue'!AN57</f>
        <v>57012228.9036867</v>
      </c>
      <c r="AO9" s="23" t="n">
        <f aca="false">'Clients &amp; revenue'!AO57</f>
        <v>60199912.1439659</v>
      </c>
      <c r="AP9" s="23" t="n">
        <f aca="false">'Clients &amp; revenue'!AP57</f>
        <v>63849279.3495806</v>
      </c>
      <c r="AQ9" s="23" t="n">
        <f aca="false">'Clients &amp; revenue'!AQ57</f>
        <v>67665647.2078806</v>
      </c>
      <c r="AR9" s="23" t="n">
        <f aca="false">'Clients &amp; revenue'!AR57</f>
        <v>71510702.9372899</v>
      </c>
      <c r="AS9" s="23" t="n">
        <f aca="false">'Clients &amp; revenue'!AS57</f>
        <v>75388764.7422948</v>
      </c>
      <c r="AT9" s="23" t="n">
        <f aca="false">'Clients &amp; revenue'!AT57</f>
        <v>79444940.1187533</v>
      </c>
      <c r="AU9" s="23" t="n">
        <f aca="false">'Clients &amp; revenue'!AU57</f>
        <v>83541605.2479305</v>
      </c>
      <c r="AV9" s="23" t="n">
        <f aca="false">'Clients &amp; revenue'!AV57</f>
        <v>87683808.4487983</v>
      </c>
      <c r="AW9" s="23" t="n">
        <f aca="false">'Clients &amp; revenue'!AW57</f>
        <v>92143943.2518257</v>
      </c>
      <c r="AX9" s="23" t="n">
        <f aca="false">'Clients &amp; revenue'!AX57</f>
        <v>96616886.2461952</v>
      </c>
      <c r="AY9" s="23" t="n">
        <f aca="false">'Clients &amp; revenue'!AY57</f>
        <v>101203082.497257</v>
      </c>
      <c r="AZ9" s="23" t="n">
        <f aca="false">'Clients &amp; revenue'!AZ57</f>
        <v>105762307.747033</v>
      </c>
      <c r="BA9" s="23" t="n">
        <f aca="false">'Clients &amp; revenue'!BA57</f>
        <v>110296834.604141</v>
      </c>
      <c r="BB9" s="23" t="n">
        <f aca="false">'Clients &amp; revenue'!BB57</f>
        <v>115385347.706126</v>
      </c>
      <c r="BC9" s="23" t="n">
        <f aca="false">'Clients &amp; revenue'!BC57</f>
        <v>120446458.079616</v>
      </c>
      <c r="BD9" s="23" t="n">
        <f aca="false">'Clients &amp; revenue'!BD57</f>
        <v>125623372.320892</v>
      </c>
      <c r="BE9" s="23" t="n">
        <f aca="false">'Clients &amp; revenue'!BE57</f>
        <v>130776426.094973</v>
      </c>
      <c r="BF9" s="23" t="n">
        <f aca="false">'Clients &amp; revenue'!BF57</f>
        <v>136034991.933543</v>
      </c>
      <c r="BG9" s="23" t="n">
        <f aca="false">'Clients &amp; revenue'!BG57</f>
        <v>141414450.555665</v>
      </c>
      <c r="BH9" s="23" t="n">
        <f aca="false">'Clients &amp; revenue'!BH57</f>
        <v>146775513.826434</v>
      </c>
      <c r="BI9" s="23" t="n">
        <f aca="false">'Clients &amp; revenue'!BI57</f>
        <v>152262009.117573</v>
      </c>
      <c r="BJ9" s="23" t="n">
        <f aca="false">'Clients &amp; revenue'!BJ57</f>
        <v>157861441.574628</v>
      </c>
      <c r="BK9" s="23" t="n">
        <f aca="false">'Clients &amp; revenue'!BK57</f>
        <v>163589780.013109</v>
      </c>
      <c r="BL9" s="23" t="n">
        <f aca="false">'Clients &amp; revenue'!BL57</f>
        <v>169278235.434516</v>
      </c>
    </row>
    <row r="10" customFormat="false" ht="15" hidden="false" customHeight="false" outlineLevel="0" collapsed="false">
      <c r="A10" s="12" t="s">
        <v>771</v>
      </c>
      <c r="B10" s="14" t="s">
        <v>77</v>
      </c>
      <c r="D10" s="55" t="n">
        <f aca="false">SUM(E10:BL10)</f>
        <v>4501050309.57803</v>
      </c>
      <c r="E10" s="23" t="n">
        <f aca="false">'Clients &amp; revenue'!E58</f>
        <v>0</v>
      </c>
      <c r="F10" s="23" t="n">
        <f aca="false">'Clients &amp; revenue'!F58</f>
        <v>0</v>
      </c>
      <c r="G10" s="23" t="n">
        <f aca="false">'Clients &amp; revenue'!G58</f>
        <v>0</v>
      </c>
      <c r="H10" s="23" t="n">
        <f aca="false">'Clients &amp; revenue'!H58</f>
        <v>0</v>
      </c>
      <c r="I10" s="23" t="n">
        <f aca="false">'Clients &amp; revenue'!I58</f>
        <v>1100633.33333333</v>
      </c>
      <c r="J10" s="23" t="n">
        <f aca="false">'Clients &amp; revenue'!J58</f>
        <v>2198683.41666667</v>
      </c>
      <c r="K10" s="23" t="n">
        <f aca="false">'Clients &amp; revenue'!K58</f>
        <v>3294845.299375</v>
      </c>
      <c r="L10" s="23" t="n">
        <f aca="false">'Clients &amp; revenue'!L58</f>
        <v>4389843.69915052</v>
      </c>
      <c r="M10" s="23" t="n">
        <f aca="false">'Clients &amp; revenue'!M58</f>
        <v>5484434.97244288</v>
      </c>
      <c r="N10" s="23" t="n">
        <f aca="false">'Clients &amp; revenue'!N58</f>
        <v>6579409.19986052</v>
      </c>
      <c r="O10" s="23" t="n">
        <f aca="false">'Clients &amp; revenue'!O58</f>
        <v>7675592.39348986</v>
      </c>
      <c r="P10" s="23" t="n">
        <f aca="false">'Clients &amp; revenue'!P58</f>
        <v>8773848.83350563</v>
      </c>
      <c r="Q10" s="23" t="n">
        <f aca="false">'Clients &amp; revenue'!Q58</f>
        <v>10263716.8752199</v>
      </c>
      <c r="R10" s="23" t="n">
        <f aca="false">'Clients &amp; revenue'!R58</f>
        <v>11752828.3181859</v>
      </c>
      <c r="S10" s="23" t="n">
        <f aca="false">'Clients &amp; revenue'!S58</f>
        <v>13242242.2788422</v>
      </c>
      <c r="T10" s="23" t="n">
        <f aca="false">'Clients &amp; revenue'!T58</f>
        <v>14733065.9442359</v>
      </c>
      <c r="U10" s="23" t="n">
        <f aca="false">'Clients &amp; revenue'!U58</f>
        <v>16226457.6989902</v>
      </c>
      <c r="V10" s="23" t="n">
        <f aca="false">'Clients &amp; revenue'!V58</f>
        <v>17723630.435751</v>
      </c>
      <c r="W10" s="23" t="n">
        <f aca="false">'Clients &amp; revenue'!W58</f>
        <v>20068388.3935296</v>
      </c>
      <c r="X10" s="23" t="n">
        <f aca="false">'Clients &amp; revenue'!X58</f>
        <v>22417387.8690226</v>
      </c>
      <c r="Y10" s="23" t="n">
        <f aca="false">'Clients &amp; revenue'!Y58</f>
        <v>24950551.2691909</v>
      </c>
      <c r="Z10" s="23" t="n">
        <f aca="false">'Clients &amp; revenue'!Z58</f>
        <v>27489748.0247949</v>
      </c>
      <c r="AA10" s="23" t="n">
        <f aca="false">'Clients &amp; revenue'!AA58</f>
        <v>30037120.0644457</v>
      </c>
      <c r="AB10" s="23" t="n">
        <f aca="false">'Clients &amp; revenue'!AB58</f>
        <v>32594913.0024756</v>
      </c>
      <c r="AC10" s="23" t="n">
        <f aca="false">'Clients &amp; revenue'!AC58</f>
        <v>35945716.0814445</v>
      </c>
      <c r="AD10" s="23" t="n">
        <f aca="false">'Clients &amp; revenue'!AD58</f>
        <v>39302366.9212633</v>
      </c>
      <c r="AE10" s="23" t="n">
        <f aca="false">'Clients &amp; revenue'!AE58</f>
        <v>42845593.1236604</v>
      </c>
      <c r="AF10" s="23" t="n">
        <f aca="false">'Clients &amp; revenue'!AF58</f>
        <v>46398107.8397065</v>
      </c>
      <c r="AG10" s="23" t="n">
        <f aca="false">'Clients &amp; revenue'!AG58</f>
        <v>49962937.7070322</v>
      </c>
      <c r="AH10" s="23" t="n">
        <f aca="false">'Clients &amp; revenue'!AH58</f>
        <v>53543256.6460932</v>
      </c>
      <c r="AI10" s="23" t="n">
        <f aca="false">'Clients &amp; revenue'!AI58</f>
        <v>57320395.2317242</v>
      </c>
      <c r="AJ10" s="23" t="n">
        <f aca="false">'Clients &amp; revenue'!AJ58</f>
        <v>61117705.6179155</v>
      </c>
      <c r="AK10" s="23" t="n">
        <f aca="false">'Clients &amp; revenue'!AK58</f>
        <v>64938891.6366695</v>
      </c>
      <c r="AL10" s="23" t="n">
        <f aca="false">'Clients &amp; revenue'!AL58</f>
        <v>68787844.8856356</v>
      </c>
      <c r="AM10" s="23" t="n">
        <f aca="false">'Clients &amp; revenue'!AM58</f>
        <v>72846656.5285485</v>
      </c>
      <c r="AN10" s="23" t="n">
        <f aca="false">'Clients &amp; revenue'!AN58</f>
        <v>76939484.794654</v>
      </c>
      <c r="AO10" s="23" t="n">
        <f aca="false">'Clients &amp; revenue'!AO58</f>
        <v>81619721.1400576</v>
      </c>
      <c r="AP10" s="23" t="n">
        <f aca="false">'Clients &amp; revenue'!AP58</f>
        <v>86514715.4782971</v>
      </c>
      <c r="AQ10" s="23" t="n">
        <f aca="false">'Clients &amp; revenue'!AQ58</f>
        <v>91449464.7754491</v>
      </c>
      <c r="AR10" s="23" t="n">
        <f aca="false">'Clients &amp; revenue'!AR58</f>
        <v>96429408.6635108</v>
      </c>
      <c r="AS10" s="23" t="n">
        <f aca="false">'Clients &amp; revenue'!AS58</f>
        <v>101638271.104747</v>
      </c>
      <c r="AT10" s="23" t="n">
        <f aca="false">'Clients &amp; revenue'!AT58</f>
        <v>106901933.101478</v>
      </c>
      <c r="AU10" s="23" t="n">
        <f aca="false">'Clients &amp; revenue'!AU58</f>
        <v>112226771.044999</v>
      </c>
      <c r="AV10" s="23" t="n">
        <f aca="false">'Clients &amp; revenue'!AV58</f>
        <v>117957701.546247</v>
      </c>
      <c r="AW10" s="23" t="n">
        <f aca="false">'Clients &amp; revenue'!AW58</f>
        <v>123708669.209069</v>
      </c>
      <c r="AX10" s="23" t="n">
        <f aca="false">'Clients &amp; revenue'!AX58</f>
        <v>129606810.941354</v>
      </c>
      <c r="AY10" s="23" t="n">
        <f aca="false">'Clients &amp; revenue'!AY58</f>
        <v>135474630.072607</v>
      </c>
      <c r="AZ10" s="23" t="n">
        <f aca="false">'Clients &amp; revenue'!AZ58</f>
        <v>141314901.804063</v>
      </c>
      <c r="BA10" s="23" t="n">
        <f aca="false">'Clients &amp; revenue'!BA58</f>
        <v>147860304.948658</v>
      </c>
      <c r="BB10" s="23" t="n">
        <f aca="false">'Clients &amp; revenue'!BB58</f>
        <v>154375234.615577</v>
      </c>
      <c r="BC10" s="23" t="n">
        <f aca="false">'Clients &amp; revenue'!BC58</f>
        <v>161040920.118356</v>
      </c>
      <c r="BD10" s="23" t="n">
        <f aca="false">'Clients &amp; revenue'!BD58</f>
        <v>167680570.327024</v>
      </c>
      <c r="BE10" s="23" t="n">
        <f aca="false">'Clients &amp; revenue'!BE58</f>
        <v>174457901.79333</v>
      </c>
      <c r="BF10" s="23" t="n">
        <f aca="false">'Clients &amp; revenue'!BF58</f>
        <v>181392442.237191</v>
      </c>
      <c r="BG10" s="23" t="n">
        <f aca="false">'Clients &amp; revenue'!BG58</f>
        <v>188307882.73964</v>
      </c>
      <c r="BH10" s="23" t="n">
        <f aca="false">'Clients &amp; revenue'!BH58</f>
        <v>195386249.909434</v>
      </c>
      <c r="BI10" s="23" t="n">
        <f aca="false">'Clients &amp; revenue'!BI58</f>
        <v>202611796.554226</v>
      </c>
      <c r="BJ10" s="23" t="n">
        <f aca="false">'Clients &amp; revenue'!BJ58</f>
        <v>210004802.11788</v>
      </c>
      <c r="BK10" s="23" t="n">
        <f aca="false">'Clients &amp; revenue'!BK58</f>
        <v>217351608.931708</v>
      </c>
      <c r="BL10" s="23" t="n">
        <f aca="false">'Clients &amp; revenue'!BL58</f>
        <v>224791298.066268</v>
      </c>
    </row>
    <row r="11" customFormat="false" ht="15" hidden="false" customHeight="false" outlineLevel="0" collapsed="false">
      <c r="A11" s="12" t="s">
        <v>1100</v>
      </c>
      <c r="B11" s="14" t="s">
        <v>77</v>
      </c>
      <c r="D11" s="55" t="n">
        <f aca="false">SUM(E11:BL11)</f>
        <v>0</v>
      </c>
      <c r="E11" s="23" t="n">
        <f aca="false">'Clients &amp; revenue'!E59</f>
        <v>0</v>
      </c>
      <c r="F11" s="23" t="n">
        <f aca="false">'Clients &amp; revenue'!F59</f>
        <v>0</v>
      </c>
      <c r="G11" s="23" t="n">
        <f aca="false">'Clients &amp; revenue'!G59</f>
        <v>0</v>
      </c>
      <c r="H11" s="23" t="n">
        <f aca="false">'Clients &amp; revenue'!H59</f>
        <v>0</v>
      </c>
      <c r="I11" s="23" t="n">
        <f aca="false">'Clients &amp; revenue'!I59</f>
        <v>0</v>
      </c>
      <c r="J11" s="23" t="n">
        <f aca="false">'Clients &amp; revenue'!J59</f>
        <v>0</v>
      </c>
      <c r="K11" s="23" t="n">
        <f aca="false">'Clients &amp; revenue'!K59</f>
        <v>0</v>
      </c>
      <c r="L11" s="23" t="n">
        <f aca="false">'Clients &amp; revenue'!L59</f>
        <v>0</v>
      </c>
      <c r="M11" s="23" t="n">
        <f aca="false">'Clients &amp; revenue'!M59</f>
        <v>0</v>
      </c>
      <c r="N11" s="23" t="n">
        <f aca="false">'Clients &amp; revenue'!N59</f>
        <v>0</v>
      </c>
      <c r="O11" s="23" t="n">
        <f aca="false">'Clients &amp; revenue'!O59</f>
        <v>0</v>
      </c>
      <c r="P11" s="23" t="n">
        <f aca="false">'Clients &amp; revenue'!P59</f>
        <v>0</v>
      </c>
      <c r="Q11" s="23" t="n">
        <f aca="false">'Clients &amp; revenue'!Q59</f>
        <v>0</v>
      </c>
      <c r="R11" s="23" t="n">
        <f aca="false">'Clients &amp; revenue'!R59</f>
        <v>0</v>
      </c>
      <c r="S11" s="23" t="n">
        <f aca="false">'Clients &amp; revenue'!S59</f>
        <v>0</v>
      </c>
      <c r="T11" s="23" t="n">
        <f aca="false">'Clients &amp; revenue'!T59</f>
        <v>0</v>
      </c>
      <c r="U11" s="23" t="n">
        <f aca="false">'Clients &amp; revenue'!U59</f>
        <v>0</v>
      </c>
      <c r="V11" s="23" t="n">
        <f aca="false">'Clients &amp; revenue'!V59</f>
        <v>0</v>
      </c>
      <c r="W11" s="23" t="n">
        <f aca="false">'Clients &amp; revenue'!W59</f>
        <v>0</v>
      </c>
      <c r="X11" s="23" t="n">
        <f aca="false">'Clients &amp; revenue'!X59</f>
        <v>0</v>
      </c>
      <c r="Y11" s="23" t="n">
        <f aca="false">'Clients &amp; revenue'!Y59</f>
        <v>0</v>
      </c>
      <c r="Z11" s="23" t="n">
        <f aca="false">'Clients &amp; revenue'!Z59</f>
        <v>0</v>
      </c>
      <c r="AA11" s="23" t="n">
        <f aca="false">'Clients &amp; revenue'!AA59</f>
        <v>0</v>
      </c>
      <c r="AB11" s="23" t="n">
        <f aca="false">'Clients &amp; revenue'!AB59</f>
        <v>0</v>
      </c>
      <c r="AC11" s="23" t="n">
        <f aca="false">'Clients &amp; revenue'!AC59</f>
        <v>0</v>
      </c>
      <c r="AD11" s="23" t="n">
        <f aca="false">'Clients &amp; revenue'!AD59</f>
        <v>0</v>
      </c>
      <c r="AE11" s="23" t="n">
        <f aca="false">'Clients &amp; revenue'!AE59</f>
        <v>0</v>
      </c>
      <c r="AF11" s="23" t="n">
        <f aca="false">'Clients &amp; revenue'!AF59</f>
        <v>0</v>
      </c>
      <c r="AG11" s="23" t="n">
        <f aca="false">'Clients &amp; revenue'!AG59</f>
        <v>0</v>
      </c>
      <c r="AH11" s="23" t="n">
        <f aca="false">'Clients &amp; revenue'!AH59</f>
        <v>0</v>
      </c>
      <c r="AI11" s="23" t="n">
        <f aca="false">'Clients &amp; revenue'!AI59</f>
        <v>0</v>
      </c>
      <c r="AJ11" s="23" t="n">
        <f aca="false">'Clients &amp; revenue'!AJ59</f>
        <v>0</v>
      </c>
      <c r="AK11" s="23" t="n">
        <f aca="false">'Clients &amp; revenue'!AK59</f>
        <v>0</v>
      </c>
      <c r="AL11" s="23" t="n">
        <f aca="false">'Clients &amp; revenue'!AL59</f>
        <v>0</v>
      </c>
      <c r="AM11" s="23" t="n">
        <f aca="false">'Clients &amp; revenue'!AM59</f>
        <v>0</v>
      </c>
      <c r="AN11" s="23" t="n">
        <f aca="false">'Clients &amp; revenue'!AN59</f>
        <v>0</v>
      </c>
      <c r="AO11" s="23" t="n">
        <f aca="false">'Clients &amp; revenue'!AO59</f>
        <v>0</v>
      </c>
      <c r="AP11" s="23" t="n">
        <f aca="false">'Clients &amp; revenue'!AP59</f>
        <v>0</v>
      </c>
      <c r="AQ11" s="23" t="n">
        <f aca="false">'Clients &amp; revenue'!AQ59</f>
        <v>0</v>
      </c>
      <c r="AR11" s="23" t="n">
        <f aca="false">'Clients &amp; revenue'!AR59</f>
        <v>0</v>
      </c>
      <c r="AS11" s="23" t="n">
        <f aca="false">'Clients &amp; revenue'!AS59</f>
        <v>0</v>
      </c>
      <c r="AT11" s="23" t="n">
        <f aca="false">'Clients &amp; revenue'!AT59</f>
        <v>0</v>
      </c>
      <c r="AU11" s="23" t="n">
        <f aca="false">'Clients &amp; revenue'!AU59</f>
        <v>0</v>
      </c>
      <c r="AV11" s="23" t="n">
        <f aca="false">'Clients &amp; revenue'!AV59</f>
        <v>0</v>
      </c>
      <c r="AW11" s="23" t="n">
        <f aca="false">'Clients &amp; revenue'!AW59</f>
        <v>0</v>
      </c>
      <c r="AX11" s="23" t="n">
        <f aca="false">'Clients &amp; revenue'!AX59</f>
        <v>0</v>
      </c>
      <c r="AY11" s="23" t="n">
        <f aca="false">'Clients &amp; revenue'!AY59</f>
        <v>0</v>
      </c>
      <c r="AZ11" s="23" t="n">
        <f aca="false">'Clients &amp; revenue'!AZ59</f>
        <v>0</v>
      </c>
      <c r="BA11" s="23" t="n">
        <f aca="false">'Clients &amp; revenue'!BA59</f>
        <v>0</v>
      </c>
      <c r="BB11" s="23" t="n">
        <f aca="false">'Clients &amp; revenue'!BB59</f>
        <v>0</v>
      </c>
      <c r="BC11" s="23" t="n">
        <f aca="false">'Clients &amp; revenue'!BC59</f>
        <v>0</v>
      </c>
      <c r="BD11" s="23" t="n">
        <f aca="false">'Clients &amp; revenue'!BD59</f>
        <v>0</v>
      </c>
      <c r="BE11" s="23" t="n">
        <f aca="false">'Clients &amp; revenue'!BE59</f>
        <v>0</v>
      </c>
      <c r="BF11" s="23" t="n">
        <f aca="false">'Clients &amp; revenue'!BF59</f>
        <v>0</v>
      </c>
      <c r="BG11" s="23" t="n">
        <f aca="false">'Clients &amp; revenue'!BG59</f>
        <v>0</v>
      </c>
      <c r="BH11" s="23" t="n">
        <f aca="false">'Clients &amp; revenue'!BH59</f>
        <v>0</v>
      </c>
      <c r="BI11" s="23" t="n">
        <f aca="false">'Clients &amp; revenue'!BI59</f>
        <v>0</v>
      </c>
      <c r="BJ11" s="23" t="n">
        <f aca="false">'Clients &amp; revenue'!BJ59</f>
        <v>0</v>
      </c>
      <c r="BK11" s="23" t="n">
        <f aca="false">'Clients &amp; revenue'!BK59</f>
        <v>0</v>
      </c>
      <c r="BL11" s="23" t="n">
        <f aca="false">'Clients &amp; revenue'!BL59</f>
        <v>0</v>
      </c>
    </row>
    <row r="12" customFormat="false" ht="15" hidden="false" customHeight="false" outlineLevel="0" collapsed="false">
      <c r="A12" s="12" t="s">
        <v>1101</v>
      </c>
      <c r="B12" s="14" t="s">
        <v>77</v>
      </c>
      <c r="D12" s="55" t="n">
        <f aca="false">SUM(E12:BL12)</f>
        <v>0</v>
      </c>
      <c r="E12" s="23" t="n">
        <f aca="false">'Clients &amp; revenue'!E60</f>
        <v>0</v>
      </c>
      <c r="F12" s="23" t="n">
        <f aca="false">'Clients &amp; revenue'!F60</f>
        <v>0</v>
      </c>
      <c r="G12" s="23" t="n">
        <f aca="false">'Clients &amp; revenue'!G60</f>
        <v>0</v>
      </c>
      <c r="H12" s="23" t="n">
        <f aca="false">'Clients &amp; revenue'!H60</f>
        <v>0</v>
      </c>
      <c r="I12" s="23" t="n">
        <f aca="false">'Clients &amp; revenue'!I60</f>
        <v>0</v>
      </c>
      <c r="J12" s="23" t="n">
        <f aca="false">'Clients &amp; revenue'!J60</f>
        <v>0</v>
      </c>
      <c r="K12" s="23" t="n">
        <f aca="false">'Clients &amp; revenue'!K60</f>
        <v>0</v>
      </c>
      <c r="L12" s="23" t="n">
        <f aca="false">'Clients &amp; revenue'!L60</f>
        <v>0</v>
      </c>
      <c r="M12" s="23" t="n">
        <f aca="false">'Clients &amp; revenue'!M60</f>
        <v>0</v>
      </c>
      <c r="N12" s="23" t="n">
        <f aca="false">'Clients &amp; revenue'!N60</f>
        <v>0</v>
      </c>
      <c r="O12" s="23" t="n">
        <f aca="false">'Clients &amp; revenue'!O60</f>
        <v>0</v>
      </c>
      <c r="P12" s="23" t="n">
        <f aca="false">'Clients &amp; revenue'!P60</f>
        <v>0</v>
      </c>
      <c r="Q12" s="23" t="n">
        <f aca="false">'Clients &amp; revenue'!Q60</f>
        <v>0</v>
      </c>
      <c r="R12" s="23" t="n">
        <f aca="false">'Clients &amp; revenue'!R60</f>
        <v>0</v>
      </c>
      <c r="S12" s="23" t="n">
        <f aca="false">'Clients &amp; revenue'!S60</f>
        <v>0</v>
      </c>
      <c r="T12" s="23" t="n">
        <f aca="false">'Clients &amp; revenue'!T60</f>
        <v>0</v>
      </c>
      <c r="U12" s="23" t="n">
        <f aca="false">'Clients &amp; revenue'!U60</f>
        <v>0</v>
      </c>
      <c r="V12" s="23" t="n">
        <f aca="false">'Clients &amp; revenue'!V60</f>
        <v>0</v>
      </c>
      <c r="W12" s="23" t="n">
        <f aca="false">'Clients &amp; revenue'!W60</f>
        <v>0</v>
      </c>
      <c r="X12" s="23" t="n">
        <f aca="false">'Clients &amp; revenue'!X60</f>
        <v>0</v>
      </c>
      <c r="Y12" s="23" t="n">
        <f aca="false">'Clients &amp; revenue'!Y60</f>
        <v>0</v>
      </c>
      <c r="Z12" s="23" t="n">
        <f aca="false">'Clients &amp; revenue'!Z60</f>
        <v>0</v>
      </c>
      <c r="AA12" s="23" t="n">
        <f aca="false">'Clients &amp; revenue'!AA60</f>
        <v>0</v>
      </c>
      <c r="AB12" s="23" t="n">
        <f aca="false">'Clients &amp; revenue'!AB60</f>
        <v>0</v>
      </c>
      <c r="AC12" s="23" t="n">
        <f aca="false">'Clients &amp; revenue'!AC60</f>
        <v>0</v>
      </c>
      <c r="AD12" s="23" t="n">
        <f aca="false">'Clients &amp; revenue'!AD60</f>
        <v>0</v>
      </c>
      <c r="AE12" s="23" t="n">
        <f aca="false">'Clients &amp; revenue'!AE60</f>
        <v>0</v>
      </c>
      <c r="AF12" s="23" t="n">
        <f aca="false">'Clients &amp; revenue'!AF60</f>
        <v>0</v>
      </c>
      <c r="AG12" s="23" t="n">
        <f aca="false">'Clients &amp; revenue'!AG60</f>
        <v>0</v>
      </c>
      <c r="AH12" s="23" t="n">
        <f aca="false">'Clients &amp; revenue'!AH60</f>
        <v>0</v>
      </c>
      <c r="AI12" s="23" t="n">
        <f aca="false">'Clients &amp; revenue'!AI60</f>
        <v>0</v>
      </c>
      <c r="AJ12" s="23" t="n">
        <f aca="false">'Clients &amp; revenue'!AJ60</f>
        <v>0</v>
      </c>
      <c r="AK12" s="23" t="n">
        <f aca="false">'Clients &amp; revenue'!AK60</f>
        <v>0</v>
      </c>
      <c r="AL12" s="23" t="n">
        <f aca="false">'Clients &amp; revenue'!AL60</f>
        <v>0</v>
      </c>
      <c r="AM12" s="23" t="n">
        <f aca="false">'Clients &amp; revenue'!AM60</f>
        <v>0</v>
      </c>
      <c r="AN12" s="23" t="n">
        <f aca="false">'Clients &amp; revenue'!AN60</f>
        <v>0</v>
      </c>
      <c r="AO12" s="23" t="n">
        <f aca="false">'Clients &amp; revenue'!AO60</f>
        <v>0</v>
      </c>
      <c r="AP12" s="23" t="n">
        <f aca="false">'Clients &amp; revenue'!AP60</f>
        <v>0</v>
      </c>
      <c r="AQ12" s="23" t="n">
        <f aca="false">'Clients &amp; revenue'!AQ60</f>
        <v>0</v>
      </c>
      <c r="AR12" s="23" t="n">
        <f aca="false">'Clients &amp; revenue'!AR60</f>
        <v>0</v>
      </c>
      <c r="AS12" s="23" t="n">
        <f aca="false">'Clients &amp; revenue'!AS60</f>
        <v>0</v>
      </c>
      <c r="AT12" s="23" t="n">
        <f aca="false">'Clients &amp; revenue'!AT60</f>
        <v>0</v>
      </c>
      <c r="AU12" s="23" t="n">
        <f aca="false">'Clients &amp; revenue'!AU60</f>
        <v>0</v>
      </c>
      <c r="AV12" s="23" t="n">
        <f aca="false">'Clients &amp; revenue'!AV60</f>
        <v>0</v>
      </c>
      <c r="AW12" s="23" t="n">
        <f aca="false">'Clients &amp; revenue'!AW60</f>
        <v>0</v>
      </c>
      <c r="AX12" s="23" t="n">
        <f aca="false">'Clients &amp; revenue'!AX60</f>
        <v>0</v>
      </c>
      <c r="AY12" s="23" t="n">
        <f aca="false">'Clients &amp; revenue'!AY60</f>
        <v>0</v>
      </c>
      <c r="AZ12" s="23" t="n">
        <f aca="false">'Clients &amp; revenue'!AZ60</f>
        <v>0</v>
      </c>
      <c r="BA12" s="23" t="n">
        <f aca="false">'Clients &amp; revenue'!BA60</f>
        <v>0</v>
      </c>
      <c r="BB12" s="23" t="n">
        <f aca="false">'Clients &amp; revenue'!BB60</f>
        <v>0</v>
      </c>
      <c r="BC12" s="23" t="n">
        <f aca="false">'Clients &amp; revenue'!BC60</f>
        <v>0</v>
      </c>
      <c r="BD12" s="23" t="n">
        <f aca="false">'Clients &amp; revenue'!BD60</f>
        <v>0</v>
      </c>
      <c r="BE12" s="23" t="n">
        <f aca="false">'Clients &amp; revenue'!BE60</f>
        <v>0</v>
      </c>
      <c r="BF12" s="23" t="n">
        <f aca="false">'Clients &amp; revenue'!BF60</f>
        <v>0</v>
      </c>
      <c r="BG12" s="23" t="n">
        <f aca="false">'Clients &amp; revenue'!BG60</f>
        <v>0</v>
      </c>
      <c r="BH12" s="23" t="n">
        <f aca="false">'Clients &amp; revenue'!BH60</f>
        <v>0</v>
      </c>
      <c r="BI12" s="23" t="n">
        <f aca="false">'Clients &amp; revenue'!BI60</f>
        <v>0</v>
      </c>
      <c r="BJ12" s="23" t="n">
        <f aca="false">'Clients &amp; revenue'!BJ60</f>
        <v>0</v>
      </c>
      <c r="BK12" s="23" t="n">
        <f aca="false">'Clients &amp; revenue'!BK60</f>
        <v>0</v>
      </c>
      <c r="BL12" s="23" t="n">
        <f aca="false">'Clients &amp; revenue'!BL60</f>
        <v>0</v>
      </c>
    </row>
    <row r="13" customFormat="false" ht="15" hidden="false" customHeight="false" outlineLevel="0" collapsed="false">
      <c r="A13" s="12" t="s">
        <v>1102</v>
      </c>
      <c r="B13" s="14" t="s">
        <v>77</v>
      </c>
      <c r="D13" s="55" t="n">
        <f aca="false">SUM(E13:BL13)</f>
        <v>0</v>
      </c>
      <c r="E13" s="23" t="n">
        <f aca="false">'Clients &amp; revenue'!E61</f>
        <v>0</v>
      </c>
      <c r="F13" s="23" t="n">
        <f aca="false">'Clients &amp; revenue'!F61</f>
        <v>0</v>
      </c>
      <c r="G13" s="23" t="n">
        <f aca="false">'Clients &amp; revenue'!G61</f>
        <v>0</v>
      </c>
      <c r="H13" s="23" t="n">
        <f aca="false">'Clients &amp; revenue'!H61</f>
        <v>0</v>
      </c>
      <c r="I13" s="23" t="n">
        <f aca="false">'Clients &amp; revenue'!I61</f>
        <v>0</v>
      </c>
      <c r="J13" s="23" t="n">
        <f aca="false">'Clients &amp; revenue'!J61</f>
        <v>0</v>
      </c>
      <c r="K13" s="23" t="n">
        <f aca="false">'Clients &amp; revenue'!K61</f>
        <v>0</v>
      </c>
      <c r="L13" s="23" t="n">
        <f aca="false">'Clients &amp; revenue'!L61</f>
        <v>0</v>
      </c>
      <c r="M13" s="23" t="n">
        <f aca="false">'Clients &amp; revenue'!M61</f>
        <v>0</v>
      </c>
      <c r="N13" s="23" t="n">
        <f aca="false">'Clients &amp; revenue'!N61</f>
        <v>0</v>
      </c>
      <c r="O13" s="23" t="n">
        <f aca="false">'Clients &amp; revenue'!O61</f>
        <v>0</v>
      </c>
      <c r="P13" s="23" t="n">
        <f aca="false">'Clients &amp; revenue'!P61</f>
        <v>0</v>
      </c>
      <c r="Q13" s="23" t="n">
        <f aca="false">'Clients &amp; revenue'!Q61</f>
        <v>0</v>
      </c>
      <c r="R13" s="23" t="n">
        <f aca="false">'Clients &amp; revenue'!R61</f>
        <v>0</v>
      </c>
      <c r="S13" s="23" t="n">
        <f aca="false">'Clients &amp; revenue'!S61</f>
        <v>0</v>
      </c>
      <c r="T13" s="23" t="n">
        <f aca="false">'Clients &amp; revenue'!T61</f>
        <v>0</v>
      </c>
      <c r="U13" s="23" t="n">
        <f aca="false">'Clients &amp; revenue'!U61</f>
        <v>0</v>
      </c>
      <c r="V13" s="23" t="n">
        <f aca="false">'Clients &amp; revenue'!V61</f>
        <v>0</v>
      </c>
      <c r="W13" s="23" t="n">
        <f aca="false">'Clients &amp; revenue'!W61</f>
        <v>0</v>
      </c>
      <c r="X13" s="23" t="n">
        <f aca="false">'Clients &amp; revenue'!X61</f>
        <v>0</v>
      </c>
      <c r="Y13" s="23" t="n">
        <f aca="false">'Clients &amp; revenue'!Y61</f>
        <v>0</v>
      </c>
      <c r="Z13" s="23" t="n">
        <f aca="false">'Clients &amp; revenue'!Z61</f>
        <v>0</v>
      </c>
      <c r="AA13" s="23" t="n">
        <f aca="false">'Clients &amp; revenue'!AA61</f>
        <v>0</v>
      </c>
      <c r="AB13" s="23" t="n">
        <f aca="false">'Clients &amp; revenue'!AB61</f>
        <v>0</v>
      </c>
      <c r="AC13" s="23" t="n">
        <f aca="false">'Clients &amp; revenue'!AC61</f>
        <v>0</v>
      </c>
      <c r="AD13" s="23" t="n">
        <f aca="false">'Clients &amp; revenue'!AD61</f>
        <v>0</v>
      </c>
      <c r="AE13" s="23" t="n">
        <f aca="false">'Clients &amp; revenue'!AE61</f>
        <v>0</v>
      </c>
      <c r="AF13" s="23" t="n">
        <f aca="false">'Clients &amp; revenue'!AF61</f>
        <v>0</v>
      </c>
      <c r="AG13" s="23" t="n">
        <f aca="false">'Clients &amp; revenue'!AG61</f>
        <v>0</v>
      </c>
      <c r="AH13" s="23" t="n">
        <f aca="false">'Clients &amp; revenue'!AH61</f>
        <v>0</v>
      </c>
      <c r="AI13" s="23" t="n">
        <f aca="false">'Clients &amp; revenue'!AI61</f>
        <v>0</v>
      </c>
      <c r="AJ13" s="23" t="n">
        <f aca="false">'Clients &amp; revenue'!AJ61</f>
        <v>0</v>
      </c>
      <c r="AK13" s="23" t="n">
        <f aca="false">'Clients &amp; revenue'!AK61</f>
        <v>0</v>
      </c>
      <c r="AL13" s="23" t="n">
        <f aca="false">'Clients &amp; revenue'!AL61</f>
        <v>0</v>
      </c>
      <c r="AM13" s="23" t="n">
        <f aca="false">'Clients &amp; revenue'!AM61</f>
        <v>0</v>
      </c>
      <c r="AN13" s="23" t="n">
        <f aca="false">'Clients &amp; revenue'!AN61</f>
        <v>0</v>
      </c>
      <c r="AO13" s="23" t="n">
        <f aca="false">'Clients &amp; revenue'!AO61</f>
        <v>0</v>
      </c>
      <c r="AP13" s="23" t="n">
        <f aca="false">'Clients &amp; revenue'!AP61</f>
        <v>0</v>
      </c>
      <c r="AQ13" s="23" t="n">
        <f aca="false">'Clients &amp; revenue'!AQ61</f>
        <v>0</v>
      </c>
      <c r="AR13" s="23" t="n">
        <f aca="false">'Clients &amp; revenue'!AR61</f>
        <v>0</v>
      </c>
      <c r="AS13" s="23" t="n">
        <f aca="false">'Clients &amp; revenue'!AS61</f>
        <v>0</v>
      </c>
      <c r="AT13" s="23" t="n">
        <f aca="false">'Clients &amp; revenue'!AT61</f>
        <v>0</v>
      </c>
      <c r="AU13" s="23" t="n">
        <f aca="false">'Clients &amp; revenue'!AU61</f>
        <v>0</v>
      </c>
      <c r="AV13" s="23" t="n">
        <f aca="false">'Clients &amp; revenue'!AV61</f>
        <v>0</v>
      </c>
      <c r="AW13" s="23" t="n">
        <f aca="false">'Clients &amp; revenue'!AW61</f>
        <v>0</v>
      </c>
      <c r="AX13" s="23" t="n">
        <f aca="false">'Clients &amp; revenue'!AX61</f>
        <v>0</v>
      </c>
      <c r="AY13" s="23" t="n">
        <f aca="false">'Clients &amp; revenue'!AY61</f>
        <v>0</v>
      </c>
      <c r="AZ13" s="23" t="n">
        <f aca="false">'Clients &amp; revenue'!AZ61</f>
        <v>0</v>
      </c>
      <c r="BA13" s="23" t="n">
        <f aca="false">'Clients &amp; revenue'!BA61</f>
        <v>0</v>
      </c>
      <c r="BB13" s="23" t="n">
        <f aca="false">'Clients &amp; revenue'!BB61</f>
        <v>0</v>
      </c>
      <c r="BC13" s="23" t="n">
        <f aca="false">'Clients &amp; revenue'!BC61</f>
        <v>0</v>
      </c>
      <c r="BD13" s="23" t="n">
        <f aca="false">'Clients &amp; revenue'!BD61</f>
        <v>0</v>
      </c>
      <c r="BE13" s="23" t="n">
        <f aca="false">'Clients &amp; revenue'!BE61</f>
        <v>0</v>
      </c>
      <c r="BF13" s="23" t="n">
        <f aca="false">'Clients &amp; revenue'!BF61</f>
        <v>0</v>
      </c>
      <c r="BG13" s="23" t="n">
        <f aca="false">'Clients &amp; revenue'!BG61</f>
        <v>0</v>
      </c>
      <c r="BH13" s="23" t="n">
        <f aca="false">'Clients &amp; revenue'!BH61</f>
        <v>0</v>
      </c>
      <c r="BI13" s="23" t="n">
        <f aca="false">'Clients &amp; revenue'!BI61</f>
        <v>0</v>
      </c>
      <c r="BJ13" s="23" t="n">
        <f aca="false">'Clients &amp; revenue'!BJ61</f>
        <v>0</v>
      </c>
      <c r="BK13" s="23" t="n">
        <f aca="false">'Clients &amp; revenue'!BK61</f>
        <v>0</v>
      </c>
      <c r="BL13" s="23" t="n">
        <f aca="false">'Clients &amp; revenue'!BL61</f>
        <v>0</v>
      </c>
    </row>
    <row r="14" customFormat="false" ht="15" hidden="false" customHeight="false" outlineLevel="0" collapsed="false">
      <c r="A14" s="12" t="s">
        <v>773</v>
      </c>
      <c r="B14" s="14" t="s">
        <v>77</v>
      </c>
      <c r="D14" s="55" t="n">
        <f aca="false">SUM(E14:BL14)</f>
        <v>136162983.368738</v>
      </c>
      <c r="E14" s="23" t="n">
        <f aca="false">'Clients &amp; revenue'!E62</f>
        <v>0</v>
      </c>
      <c r="F14" s="23" t="n">
        <f aca="false">'Clients &amp; revenue'!F62</f>
        <v>0</v>
      </c>
      <c r="G14" s="23" t="n">
        <f aca="false">'Clients &amp; revenue'!G62</f>
        <v>0</v>
      </c>
      <c r="H14" s="23" t="n">
        <f aca="false">'Clients &amp; revenue'!H62</f>
        <v>0</v>
      </c>
      <c r="I14" s="23" t="n">
        <f aca="false">'Clients &amp; revenue'!I62</f>
        <v>33390</v>
      </c>
      <c r="J14" s="23" t="n">
        <f aca="false">'Clients &amp; revenue'!J62</f>
        <v>66693.303</v>
      </c>
      <c r="K14" s="23" t="n">
        <f aca="false">'Clients &amp; revenue'!K62</f>
        <v>99931.1987025</v>
      </c>
      <c r="L14" s="23" t="n">
        <f aca="false">'Clients &amp; revenue'!L62</f>
        <v>133125.867496294</v>
      </c>
      <c r="M14" s="23" t="n">
        <f aca="false">'Clients &amp; revenue'!M62</f>
        <v>166300.440204223</v>
      </c>
      <c r="N14" s="23" t="n">
        <f aca="false">'Clients &amp; revenue'!N62</f>
        <v>199479.061304795</v>
      </c>
      <c r="O14" s="23" t="n">
        <f aca="false">'Clients &amp; revenue'!O62</f>
        <v>232686.955838141</v>
      </c>
      <c r="P14" s="23" t="n">
        <f aca="false">'Clients &amp; revenue'!P62</f>
        <v>265950.500219396</v>
      </c>
      <c r="Q14" s="23" t="n">
        <f aca="false">'Clients &amp; revenue'!Q62</f>
        <v>311087.297195916</v>
      </c>
      <c r="R14" s="23" t="n">
        <f aca="false">'Clients &amp; revenue'!R62</f>
        <v>356191.238198892</v>
      </c>
      <c r="S14" s="23" t="n">
        <f aca="false">'Clients &amp; revenue'!S62</f>
        <v>401294.681657439</v>
      </c>
      <c r="T14" s="23" t="n">
        <f aca="false">'Clients &amp; revenue'!T62</f>
        <v>446431.431732902</v>
      </c>
      <c r="U14" s="23" t="n">
        <f aca="false">'Clients &amp; revenue'!U62</f>
        <v>491636.833082893</v>
      </c>
      <c r="V14" s="23" t="n">
        <f aca="false">'Clients &amp; revenue'!V62</f>
        <v>536947.871170783</v>
      </c>
      <c r="W14" s="23" t="n">
        <f aca="false">'Clients &amp; revenue'!W62</f>
        <v>607963.27845597</v>
      </c>
      <c r="X14" s="23" t="n">
        <f aca="false">'Clients &amp; revenue'!X62</f>
        <v>679092.258820297</v>
      </c>
      <c r="Y14" s="23" t="n">
        <f aca="false">'Clients &amp; revenue'!Y62</f>
        <v>755793.440317274</v>
      </c>
      <c r="Z14" s="23" t="n">
        <f aca="false">'Clients &amp; revenue'!Z62</f>
        <v>832661.802083252</v>
      </c>
      <c r="AA14" s="23" t="n">
        <f aca="false">'Clients &amp; revenue'!AA62</f>
        <v>909762.636309693</v>
      </c>
      <c r="AB14" s="23" t="n">
        <f aca="false">'Clients &amp; revenue'!AB62</f>
        <v>987164.35832784</v>
      </c>
      <c r="AC14" s="23" t="n">
        <f aca="false">'Clients &amp; revenue'!AC62</f>
        <v>1088608.70680289</v>
      </c>
      <c r="AD14" s="23" t="n">
        <f aca="false">'Clients &amp; revenue'!AD62</f>
        <v>1190209.8147162</v>
      </c>
      <c r="AE14" s="23" t="n">
        <f aca="false">'Clients &amp; revenue'!AE62</f>
        <v>1297450.85217943</v>
      </c>
      <c r="AF14" s="23" t="n">
        <f aca="false">'Clients &amp; revenue'!AF62</f>
        <v>1404952.50075338</v>
      </c>
      <c r="AG14" s="23" t="n">
        <f aca="false">'Clients &amp; revenue'!AG62</f>
        <v>1512806.99003264</v>
      </c>
      <c r="AH14" s="23" t="n">
        <f aca="false">'Clients &amp; revenue'!AH62</f>
        <v>1621110.98673259</v>
      </c>
      <c r="AI14" s="23" t="n">
        <f aca="false">'Clients &amp; revenue'!AI62</f>
        <v>1735365.87854107</v>
      </c>
      <c r="AJ14" s="23" t="n">
        <f aca="false">'Clients &amp; revenue'!AJ62</f>
        <v>1850211.65469405</v>
      </c>
      <c r="AK14" s="23" t="n">
        <f aca="false">'Clients &amp; revenue'!AK62</f>
        <v>1965761.00793433</v>
      </c>
      <c r="AL14" s="23" t="n">
        <f aca="false">'Clients &amp; revenue'!AL62</f>
        <v>2082132.29289663</v>
      </c>
      <c r="AM14" s="23" t="n">
        <f aca="false">'Clients &amp; revenue'!AM62</f>
        <v>2204849.88341679</v>
      </c>
      <c r="AN14" s="23" t="n">
        <f aca="false">'Clients &amp; revenue'!AN62</f>
        <v>2328578.13097365</v>
      </c>
      <c r="AO14" s="23" t="n">
        <f aca="false">'Clients &amp; revenue'!AO62</f>
        <v>2470105.54918746</v>
      </c>
      <c r="AP14" s="23" t="n">
        <f aca="false">'Clients &amp; revenue'!AP62</f>
        <v>2618123.0646985</v>
      </c>
      <c r="AQ14" s="23" t="n">
        <f aca="false">'Clients &amp; revenue'!AQ62</f>
        <v>2767320.54680797</v>
      </c>
      <c r="AR14" s="23" t="n">
        <f aca="false">'Clients &amp; revenue'!AR62</f>
        <v>2917863.31680808</v>
      </c>
      <c r="AS14" s="23" t="n">
        <f aca="false">'Clients &amp; revenue'!AS62</f>
        <v>3075325.27512124</v>
      </c>
      <c r="AT14" s="23" t="n">
        <f aca="false">'Clients &amp; revenue'!AT62</f>
        <v>3234423.01742242</v>
      </c>
      <c r="AU14" s="23" t="n">
        <f aca="false">'Clients &amp; revenue'!AU62</f>
        <v>3395350.18620835</v>
      </c>
      <c r="AV14" s="23" t="n">
        <f aca="false">'Clients &amp; revenue'!AV62</f>
        <v>3568570.69370197</v>
      </c>
      <c r="AW14" s="23" t="n">
        <f aca="false">'Clients &amp; revenue'!AW62</f>
        <v>3742370.28462499</v>
      </c>
      <c r="AX14" s="23" t="n">
        <f aca="false">'Clients &amp; revenue'!AX62</f>
        <v>3920606.436008</v>
      </c>
      <c r="AY14" s="23" t="n">
        <f aca="false">'Clients &amp; revenue'!AY62</f>
        <v>4097893.95983749</v>
      </c>
      <c r="AZ14" s="23" t="n">
        <f aca="false">'Clients &amp; revenue'!AZ62</f>
        <v>4274317.94455658</v>
      </c>
      <c r="BA14" s="23" t="n">
        <f aca="false">'Clients &amp; revenue'!BA62</f>
        <v>4472106.58226053</v>
      </c>
      <c r="BB14" s="23" t="n">
        <f aca="false">'Clients &amp; revenue'!BB62</f>
        <v>4668939.06469681</v>
      </c>
      <c r="BC14" s="23" t="n">
        <f aca="false">'Clients &amp; revenue'!BC62</f>
        <v>4870314.32676093</v>
      </c>
      <c r="BD14" s="23" t="n">
        <f aca="false">'Clients &amp; revenue'!BD62</f>
        <v>5070868.61754288</v>
      </c>
      <c r="BE14" s="23" t="n">
        <f aca="false">'Clients &amp; revenue'!BE62</f>
        <v>5275569.54297363</v>
      </c>
      <c r="BF14" s="23" t="n">
        <f aca="false">'Clients &amp; revenue'!BF62</f>
        <v>5485009.18303148</v>
      </c>
      <c r="BG14" s="23" t="n">
        <f aca="false">'Clients &amp; revenue'!BG62</f>
        <v>5693838.36706467</v>
      </c>
      <c r="BH14" s="23" t="n">
        <f aca="false">'Clients &amp; revenue'!BH62</f>
        <v>5907580.12342524</v>
      </c>
      <c r="BI14" s="23" t="n">
        <f aca="false">'Clients &amp; revenue'!BI62</f>
        <v>6125756.20563476</v>
      </c>
      <c r="BJ14" s="23" t="n">
        <f aca="false">'Clients &amp; revenue'!BJ62</f>
        <v>6348981.44208234</v>
      </c>
      <c r="BK14" s="23" t="n">
        <f aca="false">'Clients &amp; revenue'!BK62</f>
        <v>6570773.5490204</v>
      </c>
      <c r="BL14" s="23" t="n">
        <f aca="false">'Clients &amp; revenue'!BL62</f>
        <v>6795352.93546895</v>
      </c>
    </row>
    <row r="15" customFormat="false" ht="15" hidden="false" customHeight="false" outlineLevel="0" collapsed="false">
      <c r="A15" s="12" t="s">
        <v>1036</v>
      </c>
      <c r="B15" s="14" t="s">
        <v>77</v>
      </c>
      <c r="D15" s="55" t="n">
        <f aca="false">SUM(E15:BL15)</f>
        <v>956796171.094988</v>
      </c>
      <c r="E15" s="23" t="n">
        <f aca="false">'Clients &amp; revenue'!E63</f>
        <v>0</v>
      </c>
      <c r="F15" s="23" t="n">
        <f aca="false">'Clients &amp; revenue'!F63</f>
        <v>0</v>
      </c>
      <c r="G15" s="23" t="n">
        <f aca="false">'Clients &amp; revenue'!G63</f>
        <v>0</v>
      </c>
      <c r="H15" s="23" t="n">
        <f aca="false">'Clients &amp; revenue'!H63</f>
        <v>0</v>
      </c>
      <c r="I15" s="23" t="n">
        <f aca="false">'Clients &amp; revenue'!I63</f>
        <v>0</v>
      </c>
      <c r="J15" s="23" t="n">
        <f aca="false">'Clients &amp; revenue'!J63</f>
        <v>0</v>
      </c>
      <c r="K15" s="23" t="n">
        <f aca="false">'Clients &amp; revenue'!K63</f>
        <v>0</v>
      </c>
      <c r="L15" s="23" t="n">
        <f aca="false">'Clients &amp; revenue'!L63</f>
        <v>0</v>
      </c>
      <c r="M15" s="23" t="n">
        <f aca="false">'Clients &amp; revenue'!M63</f>
        <v>0</v>
      </c>
      <c r="N15" s="23" t="n">
        <f aca="false">'Clients &amp; revenue'!N63</f>
        <v>0</v>
      </c>
      <c r="O15" s="23" t="n">
        <f aca="false">'Clients &amp; revenue'!O63</f>
        <v>0</v>
      </c>
      <c r="P15" s="23" t="n">
        <f aca="false">'Clients &amp; revenue'!P63</f>
        <v>0</v>
      </c>
      <c r="Q15" s="23" t="n">
        <f aca="false">'Clients &amp; revenue'!Q63</f>
        <v>0</v>
      </c>
      <c r="R15" s="23" t="n">
        <f aca="false">'Clients &amp; revenue'!R63</f>
        <v>0</v>
      </c>
      <c r="S15" s="23" t="n">
        <f aca="false">'Clients &amp; revenue'!S63</f>
        <v>0</v>
      </c>
      <c r="T15" s="23" t="n">
        <f aca="false">'Clients &amp; revenue'!T63</f>
        <v>0</v>
      </c>
      <c r="U15" s="23" t="n">
        <f aca="false">'Clients &amp; revenue'!U63</f>
        <v>0</v>
      </c>
      <c r="V15" s="23" t="n">
        <f aca="false">'Clients &amp; revenue'!V63</f>
        <v>332036.437518309</v>
      </c>
      <c r="W15" s="23" t="n">
        <f aca="false">'Clients &amp; revenue'!W63</f>
        <v>751944.033984571</v>
      </c>
      <c r="X15" s="23" t="n">
        <f aca="false">'Clients &amp; revenue'!X63</f>
        <v>1259978.15172081</v>
      </c>
      <c r="Y15" s="23" t="n">
        <f aca="false">'Clients &amp; revenue'!Y63</f>
        <v>1869865.94704</v>
      </c>
      <c r="Z15" s="23" t="n">
        <f aca="false">'Clients &amp; revenue'!Z63</f>
        <v>2575296.55942538</v>
      </c>
      <c r="AA15" s="23" t="n">
        <f aca="false">'Clients &amp; revenue'!AA63</f>
        <v>3376867.50959009</v>
      </c>
      <c r="AB15" s="23" t="n">
        <f aca="false">'Clients &amp; revenue'!AB63</f>
        <v>4275350.18103454</v>
      </c>
      <c r="AC15" s="23" t="n">
        <f aca="false">'Clients &amp; revenue'!AC63</f>
        <v>5388542.67837536</v>
      </c>
      <c r="AD15" s="23" t="n">
        <f aca="false">'Clients &amp; revenue'!AD63</f>
        <v>6628399.72465244</v>
      </c>
      <c r="AE15" s="23" t="n">
        <f aca="false">'Clients &amp; revenue'!AE63</f>
        <v>8029103.87569041</v>
      </c>
      <c r="AF15" s="23" t="n">
        <f aca="false">'Clients &amp; revenue'!AF63</f>
        <v>9564656.08246315</v>
      </c>
      <c r="AG15" s="23" t="n">
        <f aca="false">'Clients &amp; revenue'!AG63</f>
        <v>11236282.4691221</v>
      </c>
      <c r="AH15" s="23" t="n">
        <f aca="false">'Clients &amp; revenue'!AH63</f>
        <v>12041973.7315087</v>
      </c>
      <c r="AI15" s="23" t="n">
        <f aca="false">'Clients &amp; revenue'!AI63</f>
        <v>12891975.8384286</v>
      </c>
      <c r="AJ15" s="23" t="n">
        <f aca="false">'Clients &amp; revenue'!AJ63</f>
        <v>13746613.8136772</v>
      </c>
      <c r="AK15" s="23" t="n">
        <f aca="false">'Clients &amp; revenue'!AK63</f>
        <v>14606719.3839512</v>
      </c>
      <c r="AL15" s="23" t="n">
        <f aca="false">'Clients &amp; revenue'!AL63</f>
        <v>15473166.5701098</v>
      </c>
      <c r="AM15" s="23" t="n">
        <f aca="false">'Clients &amp; revenue'!AM63</f>
        <v>16386858.3428076</v>
      </c>
      <c r="AN15" s="23" t="n">
        <f aca="false">'Clients &amp; revenue'!AN63</f>
        <v>17308301.1554651</v>
      </c>
      <c r="AO15" s="23" t="n">
        <f aca="false">'Clients &amp; revenue'!AO63</f>
        <v>18361803.0171537</v>
      </c>
      <c r="AP15" s="23" t="n">
        <f aca="false">'Clients &amp; revenue'!AP63</f>
        <v>19463673.2050081</v>
      </c>
      <c r="AQ15" s="23" t="n">
        <f aca="false">'Clients &amp; revenue'!AQ63</f>
        <v>20574606.5338114</v>
      </c>
      <c r="AR15" s="23" t="n">
        <f aca="false">'Clients &amp; revenue'!AR63</f>
        <v>21695825.0081689</v>
      </c>
      <c r="AS15" s="23" t="n">
        <f aca="false">'Clients &amp; revenue'!AS63</f>
        <v>22868598.6688946</v>
      </c>
      <c r="AT15" s="23" t="n">
        <f aca="false">'Clients &amp; revenue'!AT63</f>
        <v>24053821.2986451</v>
      </c>
      <c r="AU15" s="23" t="n">
        <f aca="false">'Clients &amp; revenue'!AU63</f>
        <v>25252925.7373637</v>
      </c>
      <c r="AV15" s="23" t="n">
        <f aca="false">'Clients &amp; revenue'!AV63</f>
        <v>26543391.0413532</v>
      </c>
      <c r="AW15" s="23" t="n">
        <f aca="false">'Clients &amp; revenue'!AW63</f>
        <v>27838509.3463522</v>
      </c>
      <c r="AX15" s="23" t="n">
        <f aca="false">'Clients &amp; revenue'!AX63</f>
        <v>29166838.6385057</v>
      </c>
      <c r="AY15" s="23" t="n">
        <f aca="false">'Clients &amp; revenue'!AY63</f>
        <v>30488511.2708357</v>
      </c>
      <c r="AZ15" s="23" t="n">
        <f aca="false">'Clients &amp; revenue'!AZ63</f>
        <v>31804148.3622611</v>
      </c>
      <c r="BA15" s="23" t="n">
        <f aca="false">'Clients &amp; revenue'!BA63</f>
        <v>33278328.8098798</v>
      </c>
      <c r="BB15" s="23" t="n">
        <f aca="false">'Clients &amp; revenue'!BB63</f>
        <v>34745834.9572545</v>
      </c>
      <c r="BC15" s="23" t="n">
        <f aca="false">'Clients &amp; revenue'!BC63</f>
        <v>36247373.7857868</v>
      </c>
      <c r="BD15" s="23" t="n">
        <f aca="false">'Clients &amp; revenue'!BD63</f>
        <v>37743236.0950796</v>
      </c>
      <c r="BE15" s="23" t="n">
        <f aca="false">'Clients &amp; revenue'!BE63</f>
        <v>39270195.1168179</v>
      </c>
      <c r="BF15" s="23" t="n">
        <f aca="false">'Clients &amp; revenue'!BF63</f>
        <v>40832640.1806086</v>
      </c>
      <c r="BG15" s="23" t="n">
        <f aca="false">'Clients &amp; revenue'!BG63</f>
        <v>42390970.5695912</v>
      </c>
      <c r="BH15" s="23" t="n">
        <f aca="false">'Clients &amp; revenue'!BH63</f>
        <v>43986072.6677109</v>
      </c>
      <c r="BI15" s="23" t="n">
        <f aca="false">'Clients &amp; revenue'!BI63</f>
        <v>45614412.7767482</v>
      </c>
      <c r="BJ15" s="23" t="n">
        <f aca="false">'Clients &amp; revenue'!BJ63</f>
        <v>47280549.3111382</v>
      </c>
      <c r="BK15" s="23" t="n">
        <f aca="false">'Clients &amp; revenue'!BK63</f>
        <v>48936492.1809798</v>
      </c>
      <c r="BL15" s="23" t="n">
        <f aca="false">'Clients &amp; revenue'!BL63</f>
        <v>50613480.0284743</v>
      </c>
    </row>
    <row r="16" customFormat="false" ht="15" hidden="false" customHeight="false" outlineLevel="0" collapsed="false">
      <c r="A16" s="12" t="s">
        <v>777</v>
      </c>
      <c r="B16" s="14" t="s">
        <v>77</v>
      </c>
      <c r="D16" s="55" t="n">
        <f aca="false">SUM(E16:BL16)</f>
        <v>257405875.353935</v>
      </c>
      <c r="E16" s="23" t="n">
        <f aca="false">'Clients &amp; revenue'!E64</f>
        <v>0</v>
      </c>
      <c r="F16" s="23" t="n">
        <f aca="false">'Clients &amp; revenue'!F64</f>
        <v>0</v>
      </c>
      <c r="G16" s="23" t="n">
        <f aca="false">'Clients &amp; revenue'!G64</f>
        <v>0</v>
      </c>
      <c r="H16" s="23" t="n">
        <f aca="false">'Clients &amp; revenue'!H64</f>
        <v>0</v>
      </c>
      <c r="I16" s="23" t="n">
        <f aca="false">'Clients &amp; revenue'!I64</f>
        <v>61833.3333333333</v>
      </c>
      <c r="J16" s="23" t="n">
        <f aca="false">'Clients &amp; revenue'!J64</f>
        <v>123617.416666667</v>
      </c>
      <c r="K16" s="23" t="n">
        <f aca="false">'Clients &amp; revenue'!K64</f>
        <v>185389.138125</v>
      </c>
      <c r="L16" s="23" t="n">
        <f aca="false">'Clients &amp; revenue'!L64</f>
        <v>247187.154688021</v>
      </c>
      <c r="M16" s="23" t="n">
        <f aca="false">'Clients &amp; revenue'!M64</f>
        <v>309052.003474749</v>
      </c>
      <c r="N16" s="23" t="n">
        <f aca="false">'Clients &amp; revenue'!N64</f>
        <v>371026.219643857</v>
      </c>
      <c r="O16" s="23" t="n">
        <f aca="false">'Clients &amp; revenue'!O64</f>
        <v>433154.461307356</v>
      </c>
      <c r="P16" s="23" t="n">
        <f aca="false">'Clients &amp; revenue'!P64</f>
        <v>495483.641879177</v>
      </c>
      <c r="Q16" s="23" t="n">
        <f aca="false">'Clients &amp; revenue'!Q64</f>
        <v>579896.403638814</v>
      </c>
      <c r="R16" s="23" t="n">
        <f aca="false">'Clients &amp; revenue'!R64</f>
        <v>664382.016316964</v>
      </c>
      <c r="S16" s="23" t="n">
        <f aca="false">'Clients &amp; revenue'!S64</f>
        <v>748997.57266355</v>
      </c>
      <c r="T16" s="23" t="n">
        <f aca="false">'Clients &amp; revenue'!T64</f>
        <v>833803.004551606</v>
      </c>
      <c r="U16" s="23" t="n">
        <f aca="false">'Clients &amp; revenue'!U64</f>
        <v>918861.260110839</v>
      </c>
      <c r="V16" s="23" t="n">
        <f aca="false">'Clients &amp; revenue'!V64</f>
        <v>1004238.49140847</v>
      </c>
      <c r="W16" s="23" t="n">
        <f aca="false">'Clients &amp; revenue'!W64</f>
        <v>1137337.58664448</v>
      </c>
      <c r="X16" s="23" t="n">
        <f aca="false">'Clients &amp; revenue'!X64</f>
        <v>1270851.38086645</v>
      </c>
      <c r="Y16" s="23" t="n">
        <f aca="false">'Clients &amp; revenue'!Y64</f>
        <v>1414884.65674944</v>
      </c>
      <c r="Z16" s="23" t="n">
        <f aca="false">'Clients &amp; revenue'!Z64</f>
        <v>1559442.59571867</v>
      </c>
      <c r="AA16" s="23" t="n">
        <f aca="false">'Clients &amp; revenue'!AA64</f>
        <v>1704642.27464805</v>
      </c>
      <c r="AB16" s="23" t="n">
        <f aca="false">'Clients &amp; revenue'!AB64</f>
        <v>1850606.84408217</v>
      </c>
      <c r="AC16" s="23" t="n">
        <f aca="false">'Clients &amp; revenue'!AC64</f>
        <v>2041299.23698397</v>
      </c>
      <c r="AD16" s="23" t="n">
        <f aca="false">'Clients &amp; revenue'!AD64</f>
        <v>2232562.31654321</v>
      </c>
      <c r="AE16" s="23" t="n">
        <f aca="false">'Clients &amp; revenue'!AE64</f>
        <v>2434544.89334935</v>
      </c>
      <c r="AF16" s="23" t="n">
        <f aca="false">'Clients &amp; revenue'!AF64</f>
        <v>2637298.43438223</v>
      </c>
      <c r="AG16" s="23" t="n">
        <f aca="false">'Clients &amp; revenue'!AG64</f>
        <v>2840988.69959954</v>
      </c>
      <c r="AH16" s="23" t="n">
        <f aca="false">'Clients &amp; revenue'!AH64</f>
        <v>3045790.06838845</v>
      </c>
      <c r="AI16" s="23" t="n">
        <f aca="false">'Clients &amp; revenue'!AI64</f>
        <v>3261886.07205142</v>
      </c>
      <c r="AJ16" s="23" t="n">
        <f aca="false">'Clients &amp; revenue'!AJ64</f>
        <v>3479364.95805906</v>
      </c>
      <c r="AK16" s="23" t="n">
        <f aca="false">'Clients &amp; revenue'!AK64</f>
        <v>3698431.45047835</v>
      </c>
      <c r="AL16" s="23" t="n">
        <f aca="false">'Clients &amp; revenue'!AL64</f>
        <v>3919301.20769255</v>
      </c>
      <c r="AM16" s="23" t="n">
        <f aca="false">'Clients &amp; revenue'!AM64</f>
        <v>4152201.4940286</v>
      </c>
      <c r="AN16" s="23" t="n">
        <f aca="false">'Clients &amp; revenue'!AN64</f>
        <v>4387266.89149719</v>
      </c>
      <c r="AO16" s="23" t="n">
        <f aca="false">'Clients &amp; revenue'!AO64</f>
        <v>4655584.54988801</v>
      </c>
      <c r="AP16" s="23" t="n">
        <f aca="false">'Clients &amp; revenue'!AP64</f>
        <v>4936265.06020063</v>
      </c>
      <c r="AQ16" s="23" t="n">
        <f aca="false">'Clients &amp; revenue'!AQ64</f>
        <v>5219489.38629779</v>
      </c>
      <c r="AR16" s="23" t="n">
        <f aca="false">'Clients &amp; revenue'!AR64</f>
        <v>5505560.2162885</v>
      </c>
      <c r="AS16" s="23" t="n">
        <f aca="false">'Clients &amp; revenue'!AS64</f>
        <v>5804796.7387302</v>
      </c>
      <c r="AT16" s="23" t="n">
        <f aca="false">'Clients &amp; revenue'!AT64</f>
        <v>6107430.65180441</v>
      </c>
      <c r="AU16" s="23" t="n">
        <f aca="false">'Clients &amp; revenue'!AU64</f>
        <v>6413818.3953156</v>
      </c>
      <c r="AV16" s="23" t="n">
        <f aca="false">'Clients &amp; revenue'!AV64</f>
        <v>6743336.10822924</v>
      </c>
      <c r="AW16" s="23" t="n">
        <f aca="false">'Clients &amp; revenue'!AW64</f>
        <v>7074324.15068885</v>
      </c>
      <c r="AX16" s="23" t="n">
        <f aca="false">'Clients &amp; revenue'!AX64</f>
        <v>7413919.69374187</v>
      </c>
      <c r="AY16" s="23" t="n">
        <f aca="false">'Clients &amp; revenue'!AY64</f>
        <v>7752156.83919964</v>
      </c>
      <c r="AZ16" s="23" t="n">
        <f aca="false">'Clients &amp; revenue'!AZ64</f>
        <v>8089181.73680118</v>
      </c>
      <c r="BA16" s="23" t="n">
        <f aca="false">'Clients &amp; revenue'!BA64</f>
        <v>8466146.78977269</v>
      </c>
      <c r="BB16" s="23" t="n">
        <f aca="false">'Clients &amp; revenue'!BB64</f>
        <v>8841780.55900416</v>
      </c>
      <c r="BC16" s="23" t="n">
        <f aca="false">'Clients &amp; revenue'!BC64</f>
        <v>9226253.9573831</v>
      </c>
      <c r="BD16" s="23" t="n">
        <f aca="false">'Clients &amp; revenue'!BD64</f>
        <v>9609640.38200833</v>
      </c>
      <c r="BE16" s="23" t="n">
        <f aca="false">'Clients &amp; revenue'!BE64</f>
        <v>10001127.3576423</v>
      </c>
      <c r="BF16" s="23" t="n">
        <f aca="false">'Clients &amp; revenue'!BF64</f>
        <v>10401816.3702361</v>
      </c>
      <c r="BG16" s="23" t="n">
        <f aca="false">'Clients &amp; revenue'!BG64</f>
        <v>10801808.452962</v>
      </c>
      <c r="BH16" s="23" t="n">
        <f aca="false">'Clients &amp; revenue'!BH64</f>
        <v>11211320.362187</v>
      </c>
      <c r="BI16" s="23" t="n">
        <f aca="false">'Clients &amp; revenue'!BI64</f>
        <v>11629474.0074296</v>
      </c>
      <c r="BJ16" s="23" t="n">
        <f aca="false">'Clients &amp; revenue'!BJ64</f>
        <v>12057413.7558526</v>
      </c>
      <c r="BK16" s="23" t="n">
        <f aca="false">'Clients &amp; revenue'!BK64</f>
        <v>12483143.0982019</v>
      </c>
      <c r="BL16" s="23" t="n">
        <f aca="false">'Clients &amp; revenue'!BL64</f>
        <v>12914463.5544979</v>
      </c>
    </row>
    <row r="17" customFormat="false" ht="15" hidden="false" customHeight="false" outlineLevel="0" collapsed="false">
      <c r="A17" s="12" t="s">
        <v>779</v>
      </c>
      <c r="B17" s="14" t="s">
        <v>77</v>
      </c>
      <c r="D17" s="55" t="n">
        <f aca="false">SUM(E17:BL17)</f>
        <v>0</v>
      </c>
      <c r="E17" s="23" t="n">
        <f aca="false">'Clients &amp; revenue'!E65</f>
        <v>0</v>
      </c>
      <c r="F17" s="23" t="n">
        <f aca="false">'Clients &amp; revenue'!F65</f>
        <v>0</v>
      </c>
      <c r="G17" s="23" t="n">
        <f aca="false">'Clients &amp; revenue'!G65</f>
        <v>0</v>
      </c>
      <c r="H17" s="23" t="n">
        <f aca="false">'Clients &amp; revenue'!H65</f>
        <v>0</v>
      </c>
      <c r="I17" s="23" t="n">
        <f aca="false">'Clients &amp; revenue'!I65</f>
        <v>0</v>
      </c>
      <c r="J17" s="23" t="n">
        <f aca="false">'Clients &amp; revenue'!J65</f>
        <v>0</v>
      </c>
      <c r="K17" s="23" t="n">
        <f aca="false">'Clients &amp; revenue'!K65</f>
        <v>0</v>
      </c>
      <c r="L17" s="23" t="n">
        <f aca="false">'Clients &amp; revenue'!L65</f>
        <v>0</v>
      </c>
      <c r="M17" s="23" t="n">
        <f aca="false">'Clients &amp; revenue'!M65</f>
        <v>0</v>
      </c>
      <c r="N17" s="23" t="n">
        <f aca="false">'Clients &amp; revenue'!N65</f>
        <v>0</v>
      </c>
      <c r="O17" s="23" t="n">
        <f aca="false">'Clients &amp; revenue'!O65</f>
        <v>0</v>
      </c>
      <c r="P17" s="23" t="n">
        <f aca="false">'Clients &amp; revenue'!P65</f>
        <v>0</v>
      </c>
      <c r="Q17" s="23" t="n">
        <f aca="false">'Clients &amp; revenue'!Q65</f>
        <v>0</v>
      </c>
      <c r="R17" s="23" t="n">
        <f aca="false">'Clients &amp; revenue'!R65</f>
        <v>0</v>
      </c>
      <c r="S17" s="23" t="n">
        <f aca="false">'Clients &amp; revenue'!S65</f>
        <v>0</v>
      </c>
      <c r="T17" s="23" t="n">
        <f aca="false">'Clients &amp; revenue'!T65</f>
        <v>0</v>
      </c>
      <c r="U17" s="23" t="n">
        <f aca="false">'Clients &amp; revenue'!U65</f>
        <v>0</v>
      </c>
      <c r="V17" s="23" t="n">
        <f aca="false">'Clients &amp; revenue'!V65</f>
        <v>0</v>
      </c>
      <c r="W17" s="23" t="n">
        <f aca="false">'Clients &amp; revenue'!W65</f>
        <v>0</v>
      </c>
      <c r="X17" s="23" t="n">
        <f aca="false">'Clients &amp; revenue'!X65</f>
        <v>0</v>
      </c>
      <c r="Y17" s="23" t="n">
        <f aca="false">'Clients &amp; revenue'!Y65</f>
        <v>0</v>
      </c>
      <c r="Z17" s="23" t="n">
        <f aca="false">'Clients &amp; revenue'!Z65</f>
        <v>0</v>
      </c>
      <c r="AA17" s="23" t="n">
        <f aca="false">'Clients &amp; revenue'!AA65</f>
        <v>0</v>
      </c>
      <c r="AB17" s="23" t="n">
        <f aca="false">'Clients &amp; revenue'!AB65</f>
        <v>0</v>
      </c>
      <c r="AC17" s="23" t="n">
        <f aca="false">'Clients &amp; revenue'!AC65</f>
        <v>0</v>
      </c>
      <c r="AD17" s="23" t="n">
        <f aca="false">'Clients &amp; revenue'!AD65</f>
        <v>0</v>
      </c>
      <c r="AE17" s="23" t="n">
        <f aca="false">'Clients &amp; revenue'!AE65</f>
        <v>0</v>
      </c>
      <c r="AF17" s="23" t="n">
        <f aca="false">'Clients &amp; revenue'!AF65</f>
        <v>0</v>
      </c>
      <c r="AG17" s="23" t="n">
        <f aca="false">'Clients &amp; revenue'!AG65</f>
        <v>0</v>
      </c>
      <c r="AH17" s="23" t="n">
        <f aca="false">'Clients &amp; revenue'!AH65</f>
        <v>0</v>
      </c>
      <c r="AI17" s="23" t="n">
        <f aca="false">'Clients &amp; revenue'!AI65</f>
        <v>0</v>
      </c>
      <c r="AJ17" s="23" t="n">
        <f aca="false">'Clients &amp; revenue'!AJ65</f>
        <v>0</v>
      </c>
      <c r="AK17" s="23" t="n">
        <f aca="false">'Clients &amp; revenue'!AK65</f>
        <v>0</v>
      </c>
      <c r="AL17" s="23" t="n">
        <f aca="false">'Clients &amp; revenue'!AL65</f>
        <v>0</v>
      </c>
      <c r="AM17" s="23" t="n">
        <f aca="false">'Clients &amp; revenue'!AM65</f>
        <v>0</v>
      </c>
      <c r="AN17" s="23" t="n">
        <f aca="false">'Clients &amp; revenue'!AN65</f>
        <v>0</v>
      </c>
      <c r="AO17" s="23" t="n">
        <f aca="false">'Clients &amp; revenue'!AO65</f>
        <v>0</v>
      </c>
      <c r="AP17" s="23" t="n">
        <f aca="false">'Clients &amp; revenue'!AP65</f>
        <v>0</v>
      </c>
      <c r="AQ17" s="23" t="n">
        <f aca="false">'Clients &amp; revenue'!AQ65</f>
        <v>0</v>
      </c>
      <c r="AR17" s="23" t="n">
        <f aca="false">'Clients &amp; revenue'!AR65</f>
        <v>0</v>
      </c>
      <c r="AS17" s="23" t="n">
        <f aca="false">'Clients &amp; revenue'!AS65</f>
        <v>0</v>
      </c>
      <c r="AT17" s="23" t="n">
        <f aca="false">'Clients &amp; revenue'!AT65</f>
        <v>0</v>
      </c>
      <c r="AU17" s="23" t="n">
        <f aca="false">'Clients &amp; revenue'!AU65</f>
        <v>0</v>
      </c>
      <c r="AV17" s="23" t="n">
        <f aca="false">'Clients &amp; revenue'!AV65</f>
        <v>0</v>
      </c>
      <c r="AW17" s="23" t="n">
        <f aca="false">'Clients &amp; revenue'!AW65</f>
        <v>0</v>
      </c>
      <c r="AX17" s="23" t="n">
        <f aca="false">'Clients &amp; revenue'!AX65</f>
        <v>0</v>
      </c>
      <c r="AY17" s="23" t="n">
        <f aca="false">'Clients &amp; revenue'!AY65</f>
        <v>0</v>
      </c>
      <c r="AZ17" s="23" t="n">
        <f aca="false">'Clients &amp; revenue'!AZ65</f>
        <v>0</v>
      </c>
      <c r="BA17" s="23" t="n">
        <f aca="false">'Clients &amp; revenue'!BA65</f>
        <v>0</v>
      </c>
      <c r="BB17" s="23" t="n">
        <f aca="false">'Clients &amp; revenue'!BB65</f>
        <v>0</v>
      </c>
      <c r="BC17" s="23" t="n">
        <f aca="false">'Clients &amp; revenue'!BC65</f>
        <v>0</v>
      </c>
      <c r="BD17" s="23" t="n">
        <f aca="false">'Clients &amp; revenue'!BD65</f>
        <v>0</v>
      </c>
      <c r="BE17" s="23" t="n">
        <f aca="false">'Clients &amp; revenue'!BE65</f>
        <v>0</v>
      </c>
      <c r="BF17" s="23" t="n">
        <f aca="false">'Clients &amp; revenue'!BF65</f>
        <v>0</v>
      </c>
      <c r="BG17" s="23" t="n">
        <f aca="false">'Clients &amp; revenue'!BG65</f>
        <v>0</v>
      </c>
      <c r="BH17" s="23" t="n">
        <f aca="false">'Clients &amp; revenue'!BH65</f>
        <v>0</v>
      </c>
      <c r="BI17" s="23" t="n">
        <f aca="false">'Clients &amp; revenue'!BI65</f>
        <v>0</v>
      </c>
      <c r="BJ17" s="23" t="n">
        <f aca="false">'Clients &amp; revenue'!BJ65</f>
        <v>0</v>
      </c>
      <c r="BK17" s="23" t="n">
        <f aca="false">'Clients &amp; revenue'!BK65</f>
        <v>0</v>
      </c>
      <c r="BL17" s="23" t="n">
        <f aca="false">'Clients &amp; revenue'!BL65</f>
        <v>0</v>
      </c>
    </row>
    <row r="18" customFormat="false" ht="15" hidden="false" customHeight="false" outlineLevel="0" collapsed="false">
      <c r="A18" s="12" t="s">
        <v>194</v>
      </c>
      <c r="B18" s="14" t="s">
        <v>77</v>
      </c>
      <c r="D18" s="55" t="n">
        <f aca="false">SUM(E18:BL18)</f>
        <v>5681442605.42087</v>
      </c>
      <c r="E18" s="23" t="n">
        <f aca="false">'Clients &amp; revenue'!E66</f>
        <v>0</v>
      </c>
      <c r="F18" s="23" t="n">
        <f aca="false">'Clients &amp; revenue'!F66</f>
        <v>0</v>
      </c>
      <c r="G18" s="23" t="n">
        <f aca="false">'Clients &amp; revenue'!G66</f>
        <v>0</v>
      </c>
      <c r="H18" s="23" t="n">
        <f aca="false">'Clients &amp; revenue'!H66</f>
        <v>0</v>
      </c>
      <c r="I18" s="23" t="n">
        <f aca="false">'Clients &amp; revenue'!I66</f>
        <v>1375173.33333333</v>
      </c>
      <c r="J18" s="23" t="n">
        <f aca="false">'Clients &amp; revenue'!J66</f>
        <v>2748257.06666667</v>
      </c>
      <c r="K18" s="23" t="n">
        <f aca="false">'Clients &amp; revenue'!K66</f>
        <v>4120101.307</v>
      </c>
      <c r="L18" s="23" t="n">
        <f aca="false">'Clients &amp; revenue'!L66</f>
        <v>5491594.22014333</v>
      </c>
      <c r="M18" s="23" t="n">
        <f aca="false">'Clients &amp; revenue'!M66</f>
        <v>6863664.50912994</v>
      </c>
      <c r="N18" s="23" t="n">
        <f aca="false">'Clients &amp; revenue'!N66</f>
        <v>8237284.03810287</v>
      </c>
      <c r="O18" s="23" t="n">
        <f aca="false">'Clients &amp; revenue'!O66</f>
        <v>9613470.61046052</v>
      </c>
      <c r="P18" s="23" t="n">
        <f aca="false">'Clients &amp; revenue'!P66</f>
        <v>10993290.9105728</v>
      </c>
      <c r="Q18" s="23" t="n">
        <f aca="false">'Clients &amp; revenue'!Q66</f>
        <v>12863436.952271</v>
      </c>
      <c r="R18" s="23" t="n">
        <f aca="false">'Clients &amp; revenue'!R66</f>
        <v>14734059.7779051</v>
      </c>
      <c r="S18" s="23" t="n">
        <f aca="false">'Clients &amp; revenue'!S66</f>
        <v>16606462.499389</v>
      </c>
      <c r="T18" s="23" t="n">
        <f aca="false">'Clients &amp; revenue'!T66</f>
        <v>18482009.6850623</v>
      </c>
      <c r="U18" s="23" t="n">
        <f aca="false">'Clients &amp; revenue'!U66</f>
        <v>20362131.2964978</v>
      </c>
      <c r="V18" s="23" t="n">
        <f aca="false">'Clients &amp; revenue'!V66</f>
        <v>22248326.8574118</v>
      </c>
      <c r="W18" s="23" t="n">
        <f aca="false">'Clients &amp; revenue'!W66</f>
        <v>25194863.202009</v>
      </c>
      <c r="X18" s="23" t="n">
        <f aca="false">'Clients &amp; revenue'!X66</f>
        <v>28148892.7509317</v>
      </c>
      <c r="Y18" s="23" t="n">
        <f aca="false">'Clients &amp; revenue'!Y66</f>
        <v>31335191.931874</v>
      </c>
      <c r="Z18" s="23" t="n">
        <f aca="false">'Clients &amp; revenue'!Z66</f>
        <v>34531358.5229347</v>
      </c>
      <c r="AA18" s="23" t="n">
        <f aca="false">'Clients &amp; revenue'!AA66</f>
        <v>37740043.2891131</v>
      </c>
      <c r="AB18" s="23" t="n">
        <f aca="false">'Clients &amp; revenue'!AB66</f>
        <v>40964029.1442213</v>
      </c>
      <c r="AC18" s="23" t="n">
        <f aca="false">'Clients &amp; revenue'!AC66</f>
        <v>45181092.8124946</v>
      </c>
      <c r="AD18" s="23" t="n">
        <f aca="false">'Clients &amp; revenue'!AD66</f>
        <v>49408512.8500105</v>
      </c>
      <c r="AE18" s="23" t="n">
        <f aca="false">'Clients &amp; revenue'!AE66</f>
        <v>53872061.8199549</v>
      </c>
      <c r="AF18" s="23" t="n">
        <f aca="false">'Clients &amp; revenue'!AF66</f>
        <v>58350382.7518166</v>
      </c>
      <c r="AG18" s="23" t="n">
        <f aca="false">'Clients &amp; revenue'!AG66</f>
        <v>62847223.8814704</v>
      </c>
      <c r="AH18" s="23" t="n">
        <f aca="false">'Clients &amp; revenue'!AH66</f>
        <v>67366521.1003427</v>
      </c>
      <c r="AI18" s="23" t="n">
        <f aca="false">'Clients &amp; revenue'!AI66</f>
        <v>72134809.7656683</v>
      </c>
      <c r="AJ18" s="23" t="n">
        <f aca="false">'Clients &amp; revenue'!AJ66</f>
        <v>76931541.2103461</v>
      </c>
      <c r="AK18" s="23" t="n">
        <f aca="false">'Clients &amp; revenue'!AK66</f>
        <v>81761320.2145284</v>
      </c>
      <c r="AL18" s="23" t="n">
        <f aca="false">'Clients &amp; revenue'!AL66</f>
        <v>86628990.3502028</v>
      </c>
      <c r="AM18" s="23" t="n">
        <f aca="false">'Clients &amp; revenue'!AM66</f>
        <v>91762048.8606103</v>
      </c>
      <c r="AN18" s="23" t="n">
        <f aca="false">'Clients &amp; revenue'!AN66</f>
        <v>96940966.4234324</v>
      </c>
      <c r="AO18" s="23" t="n">
        <f aca="false">'Clients &amp; revenue'!AO66</f>
        <v>102857161.404261</v>
      </c>
      <c r="AP18" s="23" t="n">
        <f aca="false">'Clients &amp; revenue'!AP66</f>
        <v>109045592.856661</v>
      </c>
      <c r="AQ18" s="23" t="n">
        <f aca="false">'Clients &amp; revenue'!AQ66</f>
        <v>115287774.621413</v>
      </c>
      <c r="AR18" s="23" t="n">
        <f aca="false">'Clients &amp; revenue'!AR66</f>
        <v>121590489.279046</v>
      </c>
      <c r="AS18" s="23" t="n">
        <f aca="false">'Clients &amp; revenue'!AS66</f>
        <v>128183280.534125</v>
      </c>
      <c r="AT18" s="23" t="n">
        <f aca="false">'Clients &amp; revenue'!AT66</f>
        <v>134848779.554799</v>
      </c>
      <c r="AU18" s="23" t="n">
        <f aca="false">'Clients &amp; revenue'!AU66</f>
        <v>141594952.861787</v>
      </c>
      <c r="AV18" s="23" t="n">
        <f aca="false">'Clients &amp; revenue'!AV66</f>
        <v>148852758.713382</v>
      </c>
      <c r="AW18" s="23" t="n">
        <f aca="false">'Clients &amp; revenue'!AW66</f>
        <v>156140207.616488</v>
      </c>
      <c r="AX18" s="23" t="n">
        <f aca="false">'Clients &amp; revenue'!AX66</f>
        <v>163616108.048209</v>
      </c>
      <c r="AY18" s="23" t="n">
        <f aca="false">'Clients &amp; revenue'!AY66</f>
        <v>171058779.736375</v>
      </c>
      <c r="AZ18" s="23" t="n">
        <f aca="false">'Clients &amp; revenue'!AZ66</f>
        <v>178471596.257169</v>
      </c>
      <c r="BA18" s="23" t="n">
        <f aca="false">'Clients &amp; revenue'!BA66</f>
        <v>186769904.862047</v>
      </c>
      <c r="BB18" s="23" t="n">
        <f aca="false">'Clients &amp; revenue'!BB66</f>
        <v>195035281.901063</v>
      </c>
      <c r="BC18" s="23" t="n">
        <f aca="false">'Clients &amp; revenue'!BC66</f>
        <v>203494061.673358</v>
      </c>
      <c r="BD18" s="23" t="n">
        <f aca="false">'Clients &amp; revenue'!BD66</f>
        <v>211925442.889668</v>
      </c>
      <c r="BE18" s="23" t="n">
        <f aca="false">'Clients &amp; revenue'!BE66</f>
        <v>220533883.62002</v>
      </c>
      <c r="BF18" s="23" t="n">
        <f aca="false">'Clients &amp; revenue'!BF66</f>
        <v>229343857.553841</v>
      </c>
      <c r="BG18" s="23" t="n">
        <f aca="false">'Clients &amp; revenue'!BG66</f>
        <v>238135171.822848</v>
      </c>
      <c r="BH18" s="23" t="n">
        <f aca="false">'Clients &amp; revenue'!BH66</f>
        <v>247135168.125533</v>
      </c>
      <c r="BI18" s="23" t="n">
        <f aca="false">'Clients &amp; revenue'!BI66</f>
        <v>256324271.51544</v>
      </c>
      <c r="BJ18" s="23" t="n">
        <f aca="false">'Clients &amp; revenue'!BJ66</f>
        <v>265727902.501697</v>
      </c>
      <c r="BK18" s="23" t="n">
        <f aca="false">'Clients &amp; revenue'!BK66</f>
        <v>275079211.521021</v>
      </c>
      <c r="BL18" s="23" t="n">
        <f aca="false">'Clients &amp; revenue'!BL66</f>
        <v>284551852.004713</v>
      </c>
    </row>
    <row r="19" customFormat="false" ht="15" hidden="false" customHeight="false" outlineLevel="0" collapsed="false">
      <c r="A19" s="12" t="s">
        <v>199</v>
      </c>
      <c r="B19" s="14" t="s">
        <v>77</v>
      </c>
      <c r="D19" s="55" t="n">
        <f aca="false">SUM(E19:BL19)</f>
        <v>1629946832.81326</v>
      </c>
      <c r="E19" s="23" t="n">
        <f aca="false">'Clients &amp; revenue'!E67</f>
        <v>0</v>
      </c>
      <c r="F19" s="23" t="n">
        <f aca="false">'Clients &amp; revenue'!F67</f>
        <v>0</v>
      </c>
      <c r="G19" s="23" t="n">
        <f aca="false">'Clients &amp; revenue'!G67</f>
        <v>0</v>
      </c>
      <c r="H19" s="23" t="n">
        <f aca="false">'Clients &amp; revenue'!H67</f>
        <v>0</v>
      </c>
      <c r="I19" s="23" t="n">
        <f aca="false">'Clients &amp; revenue'!I67</f>
        <v>0</v>
      </c>
      <c r="J19" s="23" t="n">
        <f aca="false">'Clients &amp; revenue'!J67</f>
        <v>0</v>
      </c>
      <c r="K19" s="23" t="n">
        <f aca="false">'Clients &amp; revenue'!K67</f>
        <v>0</v>
      </c>
      <c r="L19" s="23" t="n">
        <f aca="false">'Clients &amp; revenue'!L67</f>
        <v>0</v>
      </c>
      <c r="M19" s="23" t="n">
        <f aca="false">'Clients &amp; revenue'!M67</f>
        <v>0</v>
      </c>
      <c r="N19" s="23" t="n">
        <f aca="false">'Clients &amp; revenue'!N67</f>
        <v>0</v>
      </c>
      <c r="O19" s="23" t="n">
        <f aca="false">'Clients &amp; revenue'!O67</f>
        <v>233687.591273076</v>
      </c>
      <c r="P19" s="23" t="n">
        <f aca="false">'Clients &amp; revenue'!P67</f>
        <v>534555.814388494</v>
      </c>
      <c r="Q19" s="23" t="n">
        <f aca="false">'Clients &amp; revenue'!Q67</f>
        <v>938356.598019333</v>
      </c>
      <c r="R19" s="23" t="n">
        <f aca="false">'Clients &amp; revenue'!R67</f>
        <v>1433284.55314729</v>
      </c>
      <c r="S19" s="23" t="n">
        <f aca="false">'Clients &amp; revenue'!S67</f>
        <v>2019580.78154521</v>
      </c>
      <c r="T19" s="23" t="n">
        <f aca="false">'Clients &amp; revenue'!T67</f>
        <v>2697621.15891845</v>
      </c>
      <c r="U19" s="23" t="n">
        <f aca="false">'Clients &amp; revenue'!U67</f>
        <v>3467924.54401279</v>
      </c>
      <c r="V19" s="23" t="n">
        <f aca="false">'Clients &amp; revenue'!V67</f>
        <v>4331161.60884826</v>
      </c>
      <c r="W19" s="23" t="n">
        <f aca="false">'Clients &amp; revenue'!W67</f>
        <v>5518204.33283193</v>
      </c>
      <c r="X19" s="23" t="n">
        <f aca="false">'Clients &amp; revenue'!X67</f>
        <v>6850797.2064405</v>
      </c>
      <c r="Y19" s="23" t="n">
        <f aca="false">'Clients &amp; revenue'!Y67</f>
        <v>8389593.98954951</v>
      </c>
      <c r="Z19" s="23" t="n">
        <f aca="false">'Clients &amp; revenue'!Z67</f>
        <v>10086810.7240401</v>
      </c>
      <c r="AA19" s="23" t="n">
        <f aca="false">'Clients &amp; revenue'!AA67</f>
        <v>11025305.0478856</v>
      </c>
      <c r="AB19" s="23" t="n">
        <f aca="false">'Clients &amp; revenue'!AB67</f>
        <v>11968575.4575823</v>
      </c>
      <c r="AC19" s="23" t="n">
        <f aca="false">'Clients &amp; revenue'!AC67</f>
        <v>13201511.3729741</v>
      </c>
      <c r="AD19" s="23" t="n">
        <f aca="false">'Clients &amp; revenue'!AD67</f>
        <v>14437888.9814087</v>
      </c>
      <c r="AE19" s="23" t="n">
        <f aca="false">'Clients &amp; revenue'!AE67</f>
        <v>15743486.636162</v>
      </c>
      <c r="AF19" s="23" t="n">
        <f aca="false">'Clients &amp; revenue'!AF67</f>
        <v>17053829.6379788</v>
      </c>
      <c r="AG19" s="23" t="n">
        <f aca="false">'Clients &amp; revenue'!AG67</f>
        <v>18370006.0882212</v>
      </c>
      <c r="AH19" s="23" t="n">
        <f aca="false">'Clients &amp; revenue'!AH67</f>
        <v>19693159.2485335</v>
      </c>
      <c r="AI19" s="23" t="n">
        <f aca="false">'Clients &amp; revenue'!AI67</f>
        <v>21089290.9968046</v>
      </c>
      <c r="AJ19" s="23" t="n">
        <f aca="false">'Clients &amp; revenue'!AJ67</f>
        <v>22494163.4881271</v>
      </c>
      <c r="AK19" s="23" t="n">
        <f aca="false">'Clients &amp; revenue'!AK67</f>
        <v>23909115.8080945</v>
      </c>
      <c r="AL19" s="23" t="n">
        <f aca="false">'Clients &amp; revenue'!AL67</f>
        <v>25335557.1806302</v>
      </c>
      <c r="AM19" s="23" t="n">
        <f aca="false">'Clients &amp; revenue'!AM67</f>
        <v>26839771.3230063</v>
      </c>
      <c r="AN19" s="23" t="n">
        <f aca="false">'Clients &amp; revenue'!AN67</f>
        <v>28357819.0598068</v>
      </c>
      <c r="AO19" s="23" t="n">
        <f aca="false">'Clients &amp; revenue'!AO67</f>
        <v>30091155.986414</v>
      </c>
      <c r="AP19" s="23" t="n">
        <f aca="false">'Clients &amp; revenue'!AP67</f>
        <v>31904362.2476393</v>
      </c>
      <c r="AQ19" s="23" t="n">
        <f aca="false">'Clients &amp; revenue'!AQ67</f>
        <v>33733802.0840477</v>
      </c>
      <c r="AR19" s="23" t="n">
        <f aca="false">'Clients &amp; revenue'!AR67</f>
        <v>35581450.479679</v>
      </c>
      <c r="AS19" s="23" t="n">
        <f aca="false">'Clients &amp; revenue'!AS67</f>
        <v>37514188.4312251</v>
      </c>
      <c r="AT19" s="23" t="n">
        <f aca="false">'Clients &amp; revenue'!AT67</f>
        <v>39468707.4875641</v>
      </c>
      <c r="AU19" s="23" t="n">
        <f aca="false">'Clients &amp; revenue'!AU67</f>
        <v>41447329.4538032</v>
      </c>
      <c r="AV19" s="23" t="n">
        <f aca="false">'Clients &amp; revenue'!AV67</f>
        <v>43575622.8323642</v>
      </c>
      <c r="AW19" s="23" t="n">
        <f aca="false">'Clients &amp; revenue'!AW67</f>
        <v>45713202.2824037</v>
      </c>
      <c r="AX19" s="23" t="n">
        <f aca="false">'Clients &amp; revenue'!AX67</f>
        <v>47906334.4077205</v>
      </c>
      <c r="AY19" s="23" t="n">
        <f aca="false">'Clients &amp; revenue'!AY67</f>
        <v>50090442.0854737</v>
      </c>
      <c r="AZ19" s="23" t="n">
        <f aca="false">'Clients &amp; revenue'!AZ67</f>
        <v>52266496.1016702</v>
      </c>
      <c r="BA19" s="23" t="n">
        <f aca="false">'Clients &amp; revenue'!BA67</f>
        <v>54701186.7398658</v>
      </c>
      <c r="BB19" s="23" t="n">
        <f aca="false">'Clients &amp; revenue'!BB67</f>
        <v>57127008.2179754</v>
      </c>
      <c r="BC19" s="23" t="n">
        <f aca="false">'Clients &amp; revenue'!BC67</f>
        <v>59609893.8565368</v>
      </c>
      <c r="BD19" s="23" t="n">
        <f aca="false">'Clients &amp; revenue'!BD67</f>
        <v>62085522.3390982</v>
      </c>
      <c r="BE19" s="23" t="n">
        <f aca="false">'Clients &amp; revenue'!BE67</f>
        <v>64613453.6226539</v>
      </c>
      <c r="BF19" s="23" t="n">
        <f aca="false">'Clients &amp; revenue'!BF67</f>
        <v>67200829.5556396</v>
      </c>
      <c r="BG19" s="23" t="n">
        <f aca="false">'Clients &amp; revenue'!BG67</f>
        <v>69783506.8908674</v>
      </c>
      <c r="BH19" s="23" t="n">
        <f aca="false">'Clients &amp; revenue'!BH67</f>
        <v>72427713.9714133</v>
      </c>
      <c r="BI19" s="23" t="n">
        <f aca="false">'Clients &amp; revenue'!BI67</f>
        <v>75127761.771938</v>
      </c>
      <c r="BJ19" s="23" t="n">
        <f aca="false">'Clients &amp; revenue'!BJ67</f>
        <v>77891069.0497922</v>
      </c>
      <c r="BK19" s="23" t="n">
        <f aca="false">'Clients &amp; revenue'!BK67</f>
        <v>80639899.4718227</v>
      </c>
      <c r="BL19" s="23" t="n">
        <f aca="false">'Clients &amp; revenue'!BL67</f>
        <v>83424834.215419</v>
      </c>
    </row>
    <row r="20" customFormat="false" ht="15" hidden="false" customHeight="false" outlineLevel="0" collapsed="false">
      <c r="A20" s="12" t="s">
        <v>800</v>
      </c>
      <c r="B20" s="14" t="s">
        <v>77</v>
      </c>
      <c r="D20" s="55" t="n">
        <f aca="false">SUM(E20:BL20)</f>
        <v>1960686838.53846</v>
      </c>
      <c r="E20" s="23" t="n">
        <f aca="false">'Clients &amp; revenue'!E68</f>
        <v>0</v>
      </c>
      <c r="F20" s="23" t="n">
        <f aca="false">'Clients &amp; revenue'!F68</f>
        <v>0</v>
      </c>
      <c r="G20" s="23" t="n">
        <f aca="false">'Clients &amp; revenue'!G68</f>
        <v>0</v>
      </c>
      <c r="H20" s="23" t="n">
        <f aca="false">'Clients &amp; revenue'!H68</f>
        <v>0</v>
      </c>
      <c r="I20" s="23" t="n">
        <f aca="false">'Clients &amp; revenue'!I68</f>
        <v>0</v>
      </c>
      <c r="J20" s="23" t="n">
        <f aca="false">'Clients &amp; revenue'!J68</f>
        <v>0</v>
      </c>
      <c r="K20" s="23" t="n">
        <f aca="false">'Clients &amp; revenue'!K68</f>
        <v>0</v>
      </c>
      <c r="L20" s="23" t="n">
        <f aca="false">'Clients &amp; revenue'!L68</f>
        <v>0</v>
      </c>
      <c r="M20" s="23" t="n">
        <f aca="false">'Clients &amp; revenue'!M68</f>
        <v>0</v>
      </c>
      <c r="N20" s="23" t="n">
        <f aca="false">'Clients &amp; revenue'!N68</f>
        <v>0</v>
      </c>
      <c r="O20" s="23" t="n">
        <f aca="false">'Clients &amp; revenue'!O68</f>
        <v>0</v>
      </c>
      <c r="P20" s="23" t="n">
        <f aca="false">'Clients &amp; revenue'!P68</f>
        <v>0</v>
      </c>
      <c r="Q20" s="23" t="n">
        <f aca="false">'Clients &amp; revenue'!Q68</f>
        <v>384058.391599896</v>
      </c>
      <c r="R20" s="23" t="n">
        <f aca="false">'Clients &amp; revenue'!R68</f>
        <v>879484.538762697</v>
      </c>
      <c r="S20" s="23" t="n">
        <f aca="false">'Clients &amp; revenue'!S68</f>
        <v>1486276.59873126</v>
      </c>
      <c r="T20" s="23" t="n">
        <f aca="false">'Clients &amp; revenue'!T68</f>
        <v>2204599.66287853</v>
      </c>
      <c r="U20" s="23" t="n">
        <f aca="false">'Clients &amp; revenue'!U68</f>
        <v>3034795.26594378</v>
      </c>
      <c r="V20" s="23" t="n">
        <f aca="false">'Clients &amp; revenue'!V68</f>
        <v>3977391.63830209</v>
      </c>
      <c r="W20" s="23" t="n">
        <f aca="false">'Clients &amp; revenue'!W68</f>
        <v>5254003.64097752</v>
      </c>
      <c r="X20" s="23" t="n">
        <f aca="false">'Clients &amp; revenue'!X68</f>
        <v>6707084.03773133</v>
      </c>
      <c r="Y20" s="23" t="n">
        <f aca="false">'Clients &amp; revenue'!Y68</f>
        <v>8397704.89241415</v>
      </c>
      <c r="Z20" s="23" t="n">
        <f aca="false">'Clients &amp; revenue'!Z68</f>
        <v>10279775.3343611</v>
      </c>
      <c r="AA20" s="23" t="n">
        <f aca="false">'Clients &amp; revenue'!AA68</f>
        <v>12354801.2338353</v>
      </c>
      <c r="AB20" s="23" t="n">
        <f aca="false">'Clients &amp; revenue'!AB68</f>
        <v>14624657.1604124</v>
      </c>
      <c r="AC20" s="23" t="n">
        <f aca="false">'Clients &amp; revenue'!AC68</f>
        <v>16127536.3970799</v>
      </c>
      <c r="AD20" s="23" t="n">
        <f aca="false">'Clients &amp; revenue'!AD68</f>
        <v>17632737.9957956</v>
      </c>
      <c r="AE20" s="23" t="n">
        <f aca="false">'Clients &amp; revenue'!AE68</f>
        <v>19221494.1063619</v>
      </c>
      <c r="AF20" s="23" t="n">
        <f aca="false">'Clients &amp; revenue'!AF68</f>
        <v>20814111.1222724</v>
      </c>
      <c r="AG20" s="23" t="n">
        <f aca="false">'Clients &amp; revenue'!AG68</f>
        <v>22411955.407891</v>
      </c>
      <c r="AH20" s="23" t="n">
        <f aca="false">'Clients &amp; revenue'!AH68</f>
        <v>24016459.062705</v>
      </c>
      <c r="AI20" s="23" t="n">
        <f aca="false">'Clients &amp; revenue'!AI68</f>
        <v>25709124.1265343</v>
      </c>
      <c r="AJ20" s="23" t="n">
        <f aca="false">'Clients &amp; revenue'!AJ68</f>
        <v>27410543.0325045</v>
      </c>
      <c r="AK20" s="23" t="n">
        <f aca="false">'Clients &amp; revenue'!AK68</f>
        <v>29122385.3027307</v>
      </c>
      <c r="AL20" s="23" t="n">
        <f aca="false">'Clients &amp; revenue'!AL68</f>
        <v>30846404.3392093</v>
      </c>
      <c r="AM20" s="23" t="n">
        <f aca="false">'Clients &amp; revenue'!AM68</f>
        <v>32664442.7172858</v>
      </c>
      <c r="AN20" s="23" t="n">
        <f aca="false">'Clients &amp; revenue'!AN68</f>
        <v>34497453.7922022</v>
      </c>
      <c r="AO20" s="23" t="n">
        <f aca="false">'Clients &amp; revenue'!AO68</f>
        <v>36594156.2842587</v>
      </c>
      <c r="AP20" s="23" t="n">
        <f aca="false">'Clients &amp; revenue'!AP68</f>
        <v>38787008.3659037</v>
      </c>
      <c r="AQ20" s="23" t="n">
        <f aca="false">'Clients &amp; revenue'!AQ68</f>
        <v>40997341.4341921</v>
      </c>
      <c r="AR20" s="23" t="n">
        <f aca="false">'Clients &amp; revenue'!AR68</f>
        <v>43227604.693453</v>
      </c>
      <c r="AS20" s="23" t="n">
        <f aca="false">'Clients &amp; revenue'!AS68</f>
        <v>45560374.4462406</v>
      </c>
      <c r="AT20" s="23" t="n">
        <f aca="false">'Clients &amp; revenue'!AT68</f>
        <v>47917378.0358878</v>
      </c>
      <c r="AU20" s="23" t="n">
        <f aca="false">'Clients &amp; revenue'!AU68</f>
        <v>50301484.2401237</v>
      </c>
      <c r="AV20" s="23" t="n">
        <f aca="false">'Clients &amp; revenue'!AV68</f>
        <v>52867713.9807699</v>
      </c>
      <c r="AW20" s="23" t="n">
        <f aca="false">'Clients &amp; revenue'!AW68</f>
        <v>55442522.735185</v>
      </c>
      <c r="AX20" s="23" t="n">
        <f aca="false">'Clients &amp; revenue'!AX68</f>
        <v>58083058.3112297</v>
      </c>
      <c r="AY20" s="23" t="n">
        <f aca="false">'Clients &amp; revenue'!AY68</f>
        <v>60709540.1457406</v>
      </c>
      <c r="AZ20" s="23" t="n">
        <f aca="false">'Clients &amp; revenue'!AZ68</f>
        <v>63323228.8082456</v>
      </c>
      <c r="BA20" s="23" t="n">
        <f aca="false">'Clients &amp; revenue'!BA68</f>
        <v>66253430.8483042</v>
      </c>
      <c r="BB20" s="23" t="n">
        <f aca="false">'Clients &amp; revenue'!BB68</f>
        <v>69169467.625138</v>
      </c>
      <c r="BC20" s="23" t="n">
        <f aca="false">'Clients &amp; revenue'!BC68</f>
        <v>72152804.8409026</v>
      </c>
      <c r="BD20" s="23" t="n">
        <f aca="false">'Clients &amp; revenue'!BD68</f>
        <v>75123979.5191538</v>
      </c>
      <c r="BE20" s="23" t="n">
        <f aca="false">'Clients &amp; revenue'!BE68</f>
        <v>78156585.8218315</v>
      </c>
      <c r="BF20" s="23" t="n">
        <f aca="false">'Clients &amp; revenue'!BF68</f>
        <v>81259395.30417</v>
      </c>
      <c r="BG20" s="23" t="n">
        <f aca="false">'Clients &amp; revenue'!BG68</f>
        <v>84353160.9935506</v>
      </c>
      <c r="BH20" s="23" t="n">
        <f aca="false">'Clients &amp; revenue'!BH68</f>
        <v>87519705.5322257</v>
      </c>
      <c r="BI20" s="23" t="n">
        <f aca="false">'Clients &amp; revenue'!BI68</f>
        <v>90751943.7871817</v>
      </c>
      <c r="BJ20" s="23" t="n">
        <f aca="false">'Clients &amp; revenue'!BJ68</f>
        <v>94058984.3271458</v>
      </c>
      <c r="BK20" s="23" t="n">
        <f aca="false">'Clients &amp; revenue'!BK68</f>
        <v>97344793.3188207</v>
      </c>
      <c r="BL20" s="23" t="n">
        <f aca="false">'Clients &amp; revenue'!BL68</f>
        <v>100671895.340281</v>
      </c>
    </row>
    <row r="21" customFormat="false" ht="15" hidden="false" customHeight="false" outlineLevel="0" collapsed="false">
      <c r="A21" s="12" t="s">
        <v>1103</v>
      </c>
      <c r="B21" s="14" t="s">
        <v>77</v>
      </c>
      <c r="D21" s="55" t="n">
        <f aca="false">SUM(E21:BL21)</f>
        <v>0</v>
      </c>
      <c r="E21" s="23" t="n">
        <f aca="false">'Clients &amp; revenue'!E69</f>
        <v>0</v>
      </c>
      <c r="F21" s="23" t="n">
        <f aca="false">'Clients &amp; revenue'!F69</f>
        <v>0</v>
      </c>
      <c r="G21" s="23" t="n">
        <f aca="false">'Clients &amp; revenue'!G69</f>
        <v>0</v>
      </c>
      <c r="H21" s="23" t="n">
        <f aca="false">'Clients &amp; revenue'!H69</f>
        <v>0</v>
      </c>
      <c r="I21" s="23" t="n">
        <f aca="false">'Clients &amp; revenue'!I69</f>
        <v>0</v>
      </c>
      <c r="J21" s="23" t="n">
        <f aca="false">'Clients &amp; revenue'!J69</f>
        <v>0</v>
      </c>
      <c r="K21" s="23" t="n">
        <f aca="false">'Clients &amp; revenue'!K69</f>
        <v>0</v>
      </c>
      <c r="L21" s="23" t="n">
        <f aca="false">'Clients &amp; revenue'!L69</f>
        <v>0</v>
      </c>
      <c r="M21" s="23" t="n">
        <f aca="false">'Clients &amp; revenue'!M69</f>
        <v>0</v>
      </c>
      <c r="N21" s="23" t="n">
        <f aca="false">'Clients &amp; revenue'!N69</f>
        <v>0</v>
      </c>
      <c r="O21" s="23" t="n">
        <f aca="false">'Clients &amp; revenue'!O69</f>
        <v>0</v>
      </c>
      <c r="P21" s="23" t="n">
        <f aca="false">'Clients &amp; revenue'!P69</f>
        <v>0</v>
      </c>
      <c r="Q21" s="23" t="n">
        <f aca="false">'Clients &amp; revenue'!Q69</f>
        <v>0</v>
      </c>
      <c r="R21" s="23" t="n">
        <f aca="false">'Clients &amp; revenue'!R69</f>
        <v>0</v>
      </c>
      <c r="S21" s="23" t="n">
        <f aca="false">'Clients &amp; revenue'!S69</f>
        <v>0</v>
      </c>
      <c r="T21" s="23" t="n">
        <f aca="false">'Clients &amp; revenue'!T69</f>
        <v>0</v>
      </c>
      <c r="U21" s="23" t="n">
        <f aca="false">'Clients &amp; revenue'!U69</f>
        <v>0</v>
      </c>
      <c r="V21" s="23" t="n">
        <f aca="false">'Clients &amp; revenue'!V69</f>
        <v>0</v>
      </c>
      <c r="W21" s="23" t="n">
        <f aca="false">'Clients &amp; revenue'!W69</f>
        <v>0</v>
      </c>
      <c r="X21" s="23" t="n">
        <f aca="false">'Clients &amp; revenue'!X69</f>
        <v>0</v>
      </c>
      <c r="Y21" s="23" t="n">
        <f aca="false">'Clients &amp; revenue'!Y69</f>
        <v>0</v>
      </c>
      <c r="Z21" s="23" t="n">
        <f aca="false">'Clients &amp; revenue'!Z69</f>
        <v>0</v>
      </c>
      <c r="AA21" s="23" t="n">
        <f aca="false">'Clients &amp; revenue'!AA69</f>
        <v>0</v>
      </c>
      <c r="AB21" s="23" t="n">
        <f aca="false">'Clients &amp; revenue'!AB69</f>
        <v>0</v>
      </c>
      <c r="AC21" s="23" t="n">
        <f aca="false">'Clients &amp; revenue'!AC69</f>
        <v>0</v>
      </c>
      <c r="AD21" s="23" t="n">
        <f aca="false">'Clients &amp; revenue'!AD69</f>
        <v>0</v>
      </c>
      <c r="AE21" s="23" t="n">
        <f aca="false">'Clients &amp; revenue'!AE69</f>
        <v>0</v>
      </c>
      <c r="AF21" s="23" t="n">
        <f aca="false">'Clients &amp; revenue'!AF69</f>
        <v>0</v>
      </c>
      <c r="AG21" s="23" t="n">
        <f aca="false">'Clients &amp; revenue'!AG69</f>
        <v>0</v>
      </c>
      <c r="AH21" s="23" t="n">
        <f aca="false">'Clients &amp; revenue'!AH69</f>
        <v>0</v>
      </c>
      <c r="AI21" s="23" t="n">
        <f aca="false">'Clients &amp; revenue'!AI69</f>
        <v>0</v>
      </c>
      <c r="AJ21" s="23" t="n">
        <f aca="false">'Clients &amp; revenue'!AJ69</f>
        <v>0</v>
      </c>
      <c r="AK21" s="23" t="n">
        <f aca="false">'Clients &amp; revenue'!AK69</f>
        <v>0</v>
      </c>
      <c r="AL21" s="23" t="n">
        <f aca="false">'Clients &amp; revenue'!AL69</f>
        <v>0</v>
      </c>
      <c r="AM21" s="23" t="n">
        <f aca="false">'Clients &amp; revenue'!AM69</f>
        <v>0</v>
      </c>
      <c r="AN21" s="23" t="n">
        <f aca="false">'Clients &amp; revenue'!AN69</f>
        <v>0</v>
      </c>
      <c r="AO21" s="23" t="n">
        <f aca="false">'Clients &amp; revenue'!AO69</f>
        <v>0</v>
      </c>
      <c r="AP21" s="23" t="n">
        <f aca="false">'Clients &amp; revenue'!AP69</f>
        <v>0</v>
      </c>
      <c r="AQ21" s="23" t="n">
        <f aca="false">'Clients &amp; revenue'!AQ69</f>
        <v>0</v>
      </c>
      <c r="AR21" s="23" t="n">
        <f aca="false">'Clients &amp; revenue'!AR69</f>
        <v>0</v>
      </c>
      <c r="AS21" s="23" t="n">
        <f aca="false">'Clients &amp; revenue'!AS69</f>
        <v>0</v>
      </c>
      <c r="AT21" s="23" t="n">
        <f aca="false">'Clients &amp; revenue'!AT69</f>
        <v>0</v>
      </c>
      <c r="AU21" s="23" t="n">
        <f aca="false">'Clients &amp; revenue'!AU69</f>
        <v>0</v>
      </c>
      <c r="AV21" s="23" t="n">
        <f aca="false">'Clients &amp; revenue'!AV69</f>
        <v>0</v>
      </c>
      <c r="AW21" s="23" t="n">
        <f aca="false">'Clients &amp; revenue'!AW69</f>
        <v>0</v>
      </c>
      <c r="AX21" s="23" t="n">
        <f aca="false">'Clients &amp; revenue'!AX69</f>
        <v>0</v>
      </c>
      <c r="AY21" s="23" t="n">
        <f aca="false">'Clients &amp; revenue'!AY69</f>
        <v>0</v>
      </c>
      <c r="AZ21" s="23" t="n">
        <f aca="false">'Clients &amp; revenue'!AZ69</f>
        <v>0</v>
      </c>
      <c r="BA21" s="23" t="n">
        <f aca="false">'Clients &amp; revenue'!BA69</f>
        <v>0</v>
      </c>
      <c r="BB21" s="23" t="n">
        <f aca="false">'Clients &amp; revenue'!BB69</f>
        <v>0</v>
      </c>
      <c r="BC21" s="23" t="n">
        <f aca="false">'Clients &amp; revenue'!BC69</f>
        <v>0</v>
      </c>
      <c r="BD21" s="23" t="n">
        <f aca="false">'Clients &amp; revenue'!BD69</f>
        <v>0</v>
      </c>
      <c r="BE21" s="23" t="n">
        <f aca="false">'Clients &amp; revenue'!BE69</f>
        <v>0</v>
      </c>
      <c r="BF21" s="23" t="n">
        <f aca="false">'Clients &amp; revenue'!BF69</f>
        <v>0</v>
      </c>
      <c r="BG21" s="23" t="n">
        <f aca="false">'Clients &amp; revenue'!BG69</f>
        <v>0</v>
      </c>
      <c r="BH21" s="23" t="n">
        <f aca="false">'Clients &amp; revenue'!BH69</f>
        <v>0</v>
      </c>
      <c r="BI21" s="23" t="n">
        <f aca="false">'Clients &amp; revenue'!BI69</f>
        <v>0</v>
      </c>
      <c r="BJ21" s="23" t="n">
        <f aca="false">'Clients &amp; revenue'!BJ69</f>
        <v>0</v>
      </c>
      <c r="BK21" s="23" t="n">
        <f aca="false">'Clients &amp; revenue'!BK69</f>
        <v>0</v>
      </c>
      <c r="BL21" s="23" t="n">
        <f aca="false">'Clients &amp; revenue'!BL69</f>
        <v>0</v>
      </c>
    </row>
    <row r="22" customFormat="false" ht="15" hidden="false" customHeight="false" outlineLevel="0" collapsed="false">
      <c r="A22" s="12" t="s">
        <v>1104</v>
      </c>
      <c r="B22" s="14" t="s">
        <v>77</v>
      </c>
      <c r="D22" s="55" t="n">
        <f aca="false">SUM(E22:BL22)</f>
        <v>1030885274.04224</v>
      </c>
      <c r="E22" s="23" t="n">
        <f aca="false">Credit!E43</f>
        <v>0</v>
      </c>
      <c r="F22" s="23" t="n">
        <f aca="false">Credit!F43</f>
        <v>0</v>
      </c>
      <c r="G22" s="23" t="n">
        <f aca="false">Credit!G43</f>
        <v>0</v>
      </c>
      <c r="H22" s="23" t="n">
        <f aca="false">Credit!H43</f>
        <v>0</v>
      </c>
      <c r="I22" s="23" t="n">
        <f aca="false">Credit!I43</f>
        <v>0</v>
      </c>
      <c r="J22" s="23" t="n">
        <f aca="false">Credit!J43</f>
        <v>0</v>
      </c>
      <c r="K22" s="23" t="n">
        <f aca="false">Credit!K43</f>
        <v>0</v>
      </c>
      <c r="L22" s="23" t="n">
        <f aca="false">Credit!L43</f>
        <v>0</v>
      </c>
      <c r="M22" s="23" t="n">
        <f aca="false">Credit!M43</f>
        <v>0</v>
      </c>
      <c r="N22" s="23" t="n">
        <f aca="false">Credit!N43</f>
        <v>0</v>
      </c>
      <c r="O22" s="23" t="n">
        <f aca="false">Credit!O43</f>
        <v>0</v>
      </c>
      <c r="P22" s="23" t="n">
        <f aca="false">Credit!P43</f>
        <v>0</v>
      </c>
      <c r="Q22" s="23" t="n">
        <f aca="false">Credit!Q43</f>
        <v>0</v>
      </c>
      <c r="R22" s="23" t="n">
        <f aca="false">Credit!R43</f>
        <v>0</v>
      </c>
      <c r="S22" s="23" t="n">
        <f aca="false">Credit!S43</f>
        <v>0</v>
      </c>
      <c r="T22" s="23" t="n">
        <f aca="false">Credit!T43</f>
        <v>0</v>
      </c>
      <c r="U22" s="23" t="n">
        <f aca="false">Credit!U43</f>
        <v>0</v>
      </c>
      <c r="V22" s="23" t="n">
        <f aca="false">Credit!V43</f>
        <v>75377.4293318827</v>
      </c>
      <c r="W22" s="23" t="n">
        <f aca="false">Credit!W43</f>
        <v>245961.588281376</v>
      </c>
      <c r="X22" s="23" t="n">
        <f aca="false">Credit!X43</f>
        <v>456138.580244107</v>
      </c>
      <c r="Y22" s="23" t="n">
        <f aca="false">Credit!Y43</f>
        <v>728230.92506279</v>
      </c>
      <c r="Z22" s="23" t="n">
        <f aca="false">Credit!Z43</f>
        <v>1067587.91924804</v>
      </c>
      <c r="AA22" s="23" t="n">
        <f aca="false">Credit!AA43</f>
        <v>1457177.13009712</v>
      </c>
      <c r="AB22" s="23" t="n">
        <f aca="false">Credit!AB43</f>
        <v>1897061.69093654</v>
      </c>
      <c r="AC22" s="23" t="n">
        <f aca="false">Credit!AC43</f>
        <v>4405571.52790202</v>
      </c>
      <c r="AD22" s="23" t="n">
        <f aca="false">Credit!AD43</f>
        <v>5465847.01820029</v>
      </c>
      <c r="AE22" s="23" t="n">
        <f aca="false">Credit!AE43</f>
        <v>6745769.47521033</v>
      </c>
      <c r="AF22" s="23" t="n">
        <f aca="false">Credit!AF43</f>
        <v>8259586.45900485</v>
      </c>
      <c r="AG22" s="23" t="n">
        <f aca="false">Credit!AG43</f>
        <v>9916990.0376909</v>
      </c>
      <c r="AH22" s="23" t="n">
        <f aca="false">Credit!AH43</f>
        <v>11341023.5725647</v>
      </c>
      <c r="AI22" s="23" t="n">
        <f aca="false">Credit!AI43</f>
        <v>12514443.7462178</v>
      </c>
      <c r="AJ22" s="23" t="n">
        <f aca="false">Credit!AJ43</f>
        <v>13763809.7424567</v>
      </c>
      <c r="AK22" s="23" t="n">
        <f aca="false">Credit!AK43</f>
        <v>14983322.7024906</v>
      </c>
      <c r="AL22" s="23" t="n">
        <f aca="false">Credit!AL43</f>
        <v>16164869.8762673</v>
      </c>
      <c r="AM22" s="23" t="n">
        <f aca="false">Credit!AM43</f>
        <v>17416387.3965291</v>
      </c>
      <c r="AN22" s="23" t="n">
        <f aca="false">Credit!AN43</f>
        <v>18733453.4317916</v>
      </c>
      <c r="AO22" s="23" t="n">
        <f aca="false">Credit!AO43</f>
        <v>20137074.7588092</v>
      </c>
      <c r="AP22" s="23" t="n">
        <f aca="false">Credit!AP43</f>
        <v>21692978.8732878</v>
      </c>
      <c r="AQ22" s="23" t="n">
        <f aca="false">Credit!AQ43</f>
        <v>23136226.6368429</v>
      </c>
      <c r="AR22" s="23" t="n">
        <f aca="false">Credit!AR43</f>
        <v>24425883.7468583</v>
      </c>
      <c r="AS22" s="23" t="n">
        <f aca="false">Credit!AS43</f>
        <v>25764034.1838644</v>
      </c>
      <c r="AT22" s="23" t="n">
        <f aca="false">Credit!AT43</f>
        <v>27106801.3854495</v>
      </c>
      <c r="AU22" s="23" t="n">
        <f aca="false">Credit!AU43</f>
        <v>28427747.6202571</v>
      </c>
      <c r="AV22" s="23" t="n">
        <f aca="false">Credit!AV43</f>
        <v>29798673.0076211</v>
      </c>
      <c r="AW22" s="23" t="n">
        <f aca="false">Credit!AW43</f>
        <v>31221871.1474886</v>
      </c>
      <c r="AX22" s="23" t="n">
        <f aca="false">Credit!AX43</f>
        <v>32667153.6714084</v>
      </c>
      <c r="AY22" s="23" t="n">
        <f aca="false">Credit!AY43</f>
        <v>34119455.1077584</v>
      </c>
      <c r="AZ22" s="23" t="n">
        <f aca="false">Credit!AZ43</f>
        <v>35554804.4981029</v>
      </c>
      <c r="BA22" s="23" t="n">
        <f aca="false">Credit!BA43</f>
        <v>37050290.6175537</v>
      </c>
      <c r="BB22" s="23" t="n">
        <f aca="false">Credit!BB43</f>
        <v>38627949.2896547</v>
      </c>
      <c r="BC22" s="23" t="n">
        <f aca="false">Credit!BC43</f>
        <v>40220089.7533686</v>
      </c>
      <c r="BD22" s="23" t="n">
        <f aca="false">Credit!BD43</f>
        <v>41818770.0642175</v>
      </c>
      <c r="BE22" s="23" t="n">
        <f aca="false">Credit!BE43</f>
        <v>43404337.3507768</v>
      </c>
      <c r="BF22" s="23" t="n">
        <f aca="false">Credit!BF43</f>
        <v>45027478.87575</v>
      </c>
      <c r="BG22" s="23" t="n">
        <f aca="false">Credit!BG43</f>
        <v>46658100.9234667</v>
      </c>
      <c r="BH22" s="23" t="n">
        <f aca="false">Credit!BH43</f>
        <v>48305173.6987893</v>
      </c>
      <c r="BI22" s="23" t="n">
        <f aca="false">Credit!BI43</f>
        <v>49964620.2717144</v>
      </c>
      <c r="BJ22" s="23" t="n">
        <f aca="false">Credit!BJ43</f>
        <v>51662875.3129049</v>
      </c>
      <c r="BK22" s="23" t="n">
        <f aca="false">Credit!BK43</f>
        <v>53368776.5516927</v>
      </c>
      <c r="BL22" s="23" t="n">
        <f aca="false">Credit!BL43</f>
        <v>55085496.445073</v>
      </c>
    </row>
    <row r="23" customFormat="false" ht="15" hidden="false" customHeight="false" outlineLevel="0" collapsed="false">
      <c r="A23" s="8" t="s">
        <v>93</v>
      </c>
      <c r="B23" s="14" t="s">
        <v>77</v>
      </c>
      <c r="D23" s="55" t="n">
        <f aca="false">SUM(E23:BL23)</f>
        <v>19494544464.3281</v>
      </c>
      <c r="E23" s="55" t="n">
        <f aca="false">SUM(E9:E22)</f>
        <v>0</v>
      </c>
      <c r="F23" s="55" t="n">
        <f aca="false">SUM(F9:F22)</f>
        <v>0</v>
      </c>
      <c r="G23" s="55" t="n">
        <f aca="false">SUM(G9:G22)</f>
        <v>0</v>
      </c>
      <c r="H23" s="55" t="n">
        <f aca="false">SUM(H9:H22)</f>
        <v>0</v>
      </c>
      <c r="I23" s="55" t="n">
        <f aca="false">SUM(I9:I22)</f>
        <v>2571030</v>
      </c>
      <c r="J23" s="55" t="n">
        <f aca="false">SUM(J9:J22)</f>
        <v>6006437.54666667</v>
      </c>
      <c r="K23" s="55" t="n">
        <f aca="false">SUM(K9:K22)</f>
        <v>9435778.04319583</v>
      </c>
      <c r="L23" s="55" t="n">
        <f aca="false">SUM(L9:L22)</f>
        <v>12861291.7260015</v>
      </c>
      <c r="M23" s="55" t="n">
        <f aca="false">SUM(M9:M22)</f>
        <v>16285316.4193901</v>
      </c>
      <c r="N23" s="55" t="n">
        <f aca="false">SUM(N9:N22)</f>
        <v>19710293.9758915</v>
      </c>
      <c r="O23" s="55" t="n">
        <f aca="false">SUM(O9:O22)</f>
        <v>23372464.6841814</v>
      </c>
      <c r="P23" s="55" t="n">
        <f aca="false">SUM(P9:P22)</f>
        <v>27107992.3428334</v>
      </c>
      <c r="Q23" s="55" t="n">
        <f aca="false">SUM(Q9:Q22)</f>
        <v>32247313.7296632</v>
      </c>
      <c r="R23" s="55" t="n">
        <f aca="false">SUM(R9:R22)</f>
        <v>37897435.4110757</v>
      </c>
      <c r="S23" s="55" t="n">
        <f aca="false">SUM(S9:S22)</f>
        <v>43750910.799916</v>
      </c>
      <c r="T23" s="55" t="n">
        <f aca="false">SUM(T9:T22)</f>
        <v>49811702.3799448</v>
      </c>
      <c r="U23" s="55" t="n">
        <f aca="false">SUM(U9:U22)</f>
        <v>56084250.0138986</v>
      </c>
      <c r="V23" s="55" t="n">
        <f aca="false">SUM(V9:V22)</f>
        <v>62980914.1155757</v>
      </c>
      <c r="W23" s="55" t="n">
        <f aca="false">SUM(W9:W22)</f>
        <v>72701892.1902796</v>
      </c>
      <c r="X23" s="55" t="n">
        <f aca="false">SUM(X9:X22)</f>
        <v>83553313.2465298</v>
      </c>
      <c r="Y23" s="55" t="n">
        <f aca="false">SUM(Y9:Y22)</f>
        <v>95446598.872039</v>
      </c>
      <c r="Z23" s="55" t="n">
        <f aca="false">SUM(Z9:Z22)</f>
        <v>108013093.461931</v>
      </c>
      <c r="AA23" s="55" t="n">
        <f aca="false">SUM(AA9:AA22)</f>
        <v>120184919.601988</v>
      </c>
      <c r="AB23" s="55" t="n">
        <f aca="false">SUM(AB9:AB22)</f>
        <v>132735222.794825</v>
      </c>
      <c r="AC23" s="55" t="n">
        <f aca="false">SUM(AC9:AC22)</f>
        <v>148953082.032044</v>
      </c>
      <c r="AD23" s="55" t="n">
        <f aca="false">SUM(AD9:AD22)</f>
        <v>164496785.168037</v>
      </c>
      <c r="AE23" s="55" t="n">
        <f aca="false">SUM(AE9:AE22)</f>
        <v>181015342.536107</v>
      </c>
      <c r="AF23" s="55" t="n">
        <f aca="false">SUM(AF9:AF22)</f>
        <v>198081621.779437</v>
      </c>
      <c r="AG23" s="55" t="n">
        <f aca="false">SUM(AG9:AG22)</f>
        <v>215475922.67631</v>
      </c>
      <c r="AH23" s="55" t="n">
        <f aca="false">SUM(AH9:AH22)</f>
        <v>231831660.230436</v>
      </c>
      <c r="AI23" s="55" t="n">
        <f aca="false">SUM(AI9:AI22)</f>
        <v>248615429.99913</v>
      </c>
      <c r="AJ23" s="55" t="n">
        <f aca="false">SUM(AJ9:AJ22)</f>
        <v>265701230.614548</v>
      </c>
      <c r="AK23" s="55" t="n">
        <f aca="false">SUM(AK9:AK22)</f>
        <v>282856120.982063</v>
      </c>
      <c r="AL23" s="55" t="n">
        <f aca="false">SUM(AL9:AL22)</f>
        <v>300088045.87791</v>
      </c>
      <c r="AM23" s="55" t="n">
        <f aca="false">SUM(AM9:AM22)</f>
        <v>318122407.46313</v>
      </c>
      <c r="AN23" s="55" t="n">
        <f aca="false">SUM(AN9:AN22)</f>
        <v>336505552.58351</v>
      </c>
      <c r="AO23" s="55" t="n">
        <f aca="false">SUM(AO9:AO22)</f>
        <v>356986674.833996</v>
      </c>
      <c r="AP23" s="55" t="n">
        <f aca="false">SUM(AP9:AP22)</f>
        <v>378811998.501277</v>
      </c>
      <c r="AQ23" s="55" t="n">
        <f aca="false">SUM(AQ9:AQ22)</f>
        <v>400831673.226743</v>
      </c>
      <c r="AR23" s="55" t="n">
        <f aca="false">SUM(AR9:AR22)</f>
        <v>422884788.341102</v>
      </c>
      <c r="AS23" s="55" t="n">
        <f aca="false">SUM(AS9:AS22)</f>
        <v>445797634.125243</v>
      </c>
      <c r="AT23" s="55" t="n">
        <f aca="false">SUM(AT9:AT22)</f>
        <v>469084214.651804</v>
      </c>
      <c r="AU23" s="55" t="n">
        <f aca="false">SUM(AU9:AU22)</f>
        <v>492601984.787789</v>
      </c>
      <c r="AV23" s="55" t="n">
        <f aca="false">SUM(AV9:AV22)</f>
        <v>517591576.372467</v>
      </c>
      <c r="AW23" s="55" t="n">
        <f aca="false">SUM(AW9:AW22)</f>
        <v>543025620.024126</v>
      </c>
      <c r="AX23" s="55" t="n">
        <f aca="false">SUM(AX9:AX22)</f>
        <v>568997716.394373</v>
      </c>
      <c r="AY23" s="55" t="n">
        <f aca="false">SUM(AY9:AY22)</f>
        <v>594994491.715084</v>
      </c>
      <c r="AZ23" s="55" t="n">
        <f aca="false">SUM(AZ9:AZ22)</f>
        <v>620860983.259902</v>
      </c>
      <c r="BA23" s="55" t="n">
        <f aca="false">SUM(BA9:BA22)</f>
        <v>649148534.802483</v>
      </c>
      <c r="BB23" s="55" t="n">
        <f aca="false">SUM(BB9:BB22)</f>
        <v>677976843.936489</v>
      </c>
      <c r="BC23" s="55" t="n">
        <f aca="false">SUM(BC9:BC22)</f>
        <v>707308170.392069</v>
      </c>
      <c r="BD23" s="55" t="n">
        <f aca="false">SUM(BD9:BD22)</f>
        <v>736681402.554684</v>
      </c>
      <c r="BE23" s="55" t="n">
        <f aca="false">SUM(BE9:BE22)</f>
        <v>766489480.321018</v>
      </c>
      <c r="BF23" s="55" t="n">
        <f aca="false">SUM(BF9:BF22)</f>
        <v>796978461.19401</v>
      </c>
      <c r="BG23" s="55" t="n">
        <f aca="false">SUM(BG9:BG22)</f>
        <v>827538891.315656</v>
      </c>
      <c r="BH23" s="55" t="n">
        <f aca="false">SUM(BH9:BH22)</f>
        <v>858654498.217152</v>
      </c>
      <c r="BI23" s="55" t="n">
        <f aca="false">SUM(BI9:BI22)</f>
        <v>890412046.007886</v>
      </c>
      <c r="BJ23" s="55" t="n">
        <f aca="false">SUM(BJ9:BJ22)</f>
        <v>922894019.393122</v>
      </c>
      <c r="BK23" s="55" t="n">
        <f aca="false">SUM(BK9:BK22)</f>
        <v>955364478.636376</v>
      </c>
      <c r="BL23" s="55" t="n">
        <f aca="false">SUM(BL9:BL22)</f>
        <v>988126908.024711</v>
      </c>
    </row>
    <row r="25" customFormat="false" ht="15" hidden="false" customHeight="false" outlineLevel="0" collapsed="false">
      <c r="A25" s="10" t="s">
        <v>1105</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1106</v>
      </c>
      <c r="B26" s="14" t="s">
        <v>77</v>
      </c>
      <c r="D26" s="55" t="n">
        <f aca="false">SUM(E26:BL26)</f>
        <v>561129303.437622</v>
      </c>
      <c r="E26" s="32" t="n">
        <f aca="false">Costs!E9+Costs!E10</f>
        <v>0</v>
      </c>
      <c r="F26" s="32" t="n">
        <f aca="false">Costs!F9+Costs!F10</f>
        <v>0</v>
      </c>
      <c r="G26" s="32" t="n">
        <f aca="false">Costs!G9+Costs!G10</f>
        <v>0</v>
      </c>
      <c r="H26" s="32" t="n">
        <f aca="false">Costs!H9+Costs!H10</f>
        <v>0</v>
      </c>
      <c r="I26" s="32" t="n">
        <f aca="false">Costs!I9+Costs!I10</f>
        <v>286906.666666667</v>
      </c>
      <c r="J26" s="32" t="n">
        <f aca="false">Costs!J9+Costs!J10</f>
        <v>411316.833333333</v>
      </c>
      <c r="K26" s="32" t="n">
        <f aca="false">Costs!K9+Costs!K10</f>
        <v>535069.9125</v>
      </c>
      <c r="L26" s="32" t="n">
        <f aca="false">Costs!L9+Costs!L10</f>
        <v>658262.790788542</v>
      </c>
      <c r="M26" s="32" t="n">
        <f aca="false">Costs!M9+Costs!M10</f>
        <v>780995.723969849</v>
      </c>
      <c r="N26" s="32" t="n">
        <f aca="false">Costs!N9+Costs!N10</f>
        <v>903372.584798897</v>
      </c>
      <c r="O26" s="32" t="n">
        <f aca="false">Costs!O9+Costs!O10</f>
        <v>1025501.12484364</v>
      </c>
      <c r="P26" s="32" t="n">
        <f aca="false">Costs!P9+Costs!P10</f>
        <v>1147493.25116442</v>
      </c>
      <c r="Q26" s="32" t="n">
        <f aca="false">Costs!Q9+Costs!Q10</f>
        <v>1370771.98541838</v>
      </c>
      <c r="R26" s="32" t="n">
        <f aca="false">Costs!R9+Costs!R10</f>
        <v>1535791.27301736</v>
      </c>
      <c r="S26" s="32" t="n">
        <f aca="false">Costs!S9+Costs!S10</f>
        <v>1700330.08252538</v>
      </c>
      <c r="T26" s="32" t="n">
        <f aca="false">Costs!T9+Costs!T10</f>
        <v>1864532.57518091</v>
      </c>
      <c r="U26" s="32" t="n">
        <f aca="false">Costs!U9+Costs!U10</f>
        <v>2028548.4751039</v>
      </c>
      <c r="V26" s="32" t="n">
        <f aca="false">Costs!V9+Costs!V10</f>
        <v>2192533.46059219</v>
      </c>
      <c r="W26" s="32" t="n">
        <f aca="false">Costs!W9+Costs!W10</f>
        <v>2576276.24446116</v>
      </c>
      <c r="X26" s="32" t="n">
        <f aca="false">Costs!X9+Costs!X10</f>
        <v>2835885.01145731</v>
      </c>
      <c r="Y26" s="32" t="n">
        <f aca="false">Costs!Y9+Costs!Y10</f>
        <v>3141846.00085796</v>
      </c>
      <c r="Z26" s="32" t="n">
        <f aca="false">Costs!Z9+Costs!Z10</f>
        <v>3421286.30430959</v>
      </c>
      <c r="AA26" s="32" t="n">
        <f aca="false">Costs!AA9+Costs!AA10</f>
        <v>3700879.6549554</v>
      </c>
      <c r="AB26" s="32" t="n">
        <f aca="false">Costs!AB9+Costs!AB10</f>
        <v>3980911.20266391</v>
      </c>
      <c r="AC26" s="32" t="n">
        <f aca="false">Costs!AC9+Costs!AC10</f>
        <v>4465064.95893547</v>
      </c>
      <c r="AD26" s="32" t="n">
        <f aca="false">Costs!AD9+Costs!AD10</f>
        <v>4833098.12005264</v>
      </c>
      <c r="AE26" s="32" t="n">
        <f aca="false">Costs!AE9+Costs!AE10</f>
        <v>5247480.58037025</v>
      </c>
      <c r="AF26" s="32" t="n">
        <f aca="false">Costs!AF9+Costs!AF10</f>
        <v>5635446.56860546</v>
      </c>
      <c r="AG26" s="32" t="n">
        <f aca="false">Costs!AG9+Costs!AG10</f>
        <v>15208784.525954</v>
      </c>
      <c r="AH26" s="32" t="n">
        <f aca="false">Costs!AH9+Costs!AH10</f>
        <v>7074463.54780605</v>
      </c>
      <c r="AI26" s="32" t="n">
        <f aca="false">Costs!AI9+Costs!AI10</f>
        <v>7547647.90107051</v>
      </c>
      <c r="AJ26" s="32" t="n">
        <f aca="false">Costs!AJ9+Costs!AJ10</f>
        <v>7963610.4262057</v>
      </c>
      <c r="AK26" s="32" t="n">
        <f aca="false">Costs!AK9+Costs!AK10</f>
        <v>8382002.71343395</v>
      </c>
      <c r="AL26" s="32" t="n">
        <f aca="false">Costs!AL9+Costs!AL10</f>
        <v>8803343.90834716</v>
      </c>
      <c r="AM26" s="32" t="n">
        <f aca="false">Costs!AM9+Costs!AM10</f>
        <v>9306977.66951551</v>
      </c>
      <c r="AN26" s="32" t="n">
        <f aca="false">Costs!AN9+Costs!AN10</f>
        <v>9755192.76258998</v>
      </c>
      <c r="AO26" s="32" t="n">
        <f aca="false">Costs!AO9+Costs!AO10</f>
        <v>10450714.6518612</v>
      </c>
      <c r="AP26" s="32" t="n">
        <f aca="false">Costs!AP9+Costs!AP10</f>
        <v>11046609.7400778</v>
      </c>
      <c r="AQ26" s="32" t="n">
        <f aca="false">Costs!AQ9+Costs!AQ10</f>
        <v>11587675.0288362</v>
      </c>
      <c r="AR26" s="32" t="n">
        <f aca="false">Costs!AR9+Costs!AR10</f>
        <v>12133786.821359</v>
      </c>
      <c r="AS26" s="32" t="n">
        <f aca="false">Costs!AS9+Costs!AS10</f>
        <v>12764501.0301314</v>
      </c>
      <c r="AT26" s="32" t="n">
        <f aca="false">Costs!AT9+Costs!AT10</f>
        <v>13342329.8841311</v>
      </c>
      <c r="AU26" s="32" t="n">
        <f aca="false">Costs!AU9+Costs!AU10</f>
        <v>13927267.5545265</v>
      </c>
      <c r="AV26" s="32" t="n">
        <f aca="false">Costs!AV9+Costs!AV10</f>
        <v>14669914.8868115</v>
      </c>
      <c r="AW26" s="32" t="n">
        <f aca="false">Costs!AW9+Costs!AW10</f>
        <v>15285949.0584524</v>
      </c>
      <c r="AX26" s="32" t="n">
        <f aca="false">Costs!AX9+Costs!AX10</f>
        <v>15958428.2021811</v>
      </c>
      <c r="AY26" s="32" t="n">
        <f aca="false">Costs!AY9+Costs!AY10</f>
        <v>16566993.0568889</v>
      </c>
      <c r="AZ26" s="32" t="n">
        <f aca="false">Costs!AZ9+Costs!AZ10</f>
        <v>17171198.5110449</v>
      </c>
      <c r="BA26" s="32" t="n">
        <f aca="false">Costs!BA9+Costs!BA10</f>
        <v>18094535.838816</v>
      </c>
      <c r="BB26" s="32" t="n">
        <f aca="false">Costs!BB9+Costs!BB10</f>
        <v>18770476.9866495</v>
      </c>
      <c r="BC26" s="32" t="n">
        <f aca="false">Costs!BC9+Costs!BC10</f>
        <v>19520820.8339502</v>
      </c>
      <c r="BD26" s="32" t="n">
        <f aca="false">Costs!BD9+Costs!BD10</f>
        <v>20207762.2693403</v>
      </c>
      <c r="BE26" s="32" t="n">
        <f aca="false">Costs!BE9+Costs!BE10</f>
        <v>20961873.887942</v>
      </c>
      <c r="BF26" s="32" t="n">
        <f aca="false">Costs!BF9+Costs!BF10</f>
        <v>21738016.465432</v>
      </c>
      <c r="BG26" s="32" t="n">
        <f aca="false">Costs!BG9+Costs!BG10</f>
        <v>22451685.5614891</v>
      </c>
      <c r="BH26" s="32" t="n">
        <f aca="false">Costs!BH9+Costs!BH10</f>
        <v>23241398.0482612</v>
      </c>
      <c r="BI26" s="32" t="n">
        <f aca="false">Costs!BI9+Costs!BI10</f>
        <v>24040374.6037188</v>
      </c>
      <c r="BJ26" s="32" t="n">
        <f aca="false">Costs!BJ9+Costs!BJ10</f>
        <v>24862726.9645664</v>
      </c>
      <c r="BK26" s="32" t="n">
        <f aca="false">Costs!BK9+Costs!BK10</f>
        <v>25607165.660442</v>
      </c>
      <c r="BL26" s="32" t="n">
        <f aca="false">Costs!BL9+Costs!BL10</f>
        <v>26405473.0492169</v>
      </c>
    </row>
    <row r="27" customFormat="false" ht="15" hidden="false" customHeight="false" outlineLevel="0" collapsed="false">
      <c r="A27" s="12" t="s">
        <v>1107</v>
      </c>
      <c r="B27" s="14" t="s">
        <v>77</v>
      </c>
      <c r="D27" s="55" t="n">
        <f aca="false">SUM(E27:BL27)</f>
        <v>3662139606.77347</v>
      </c>
      <c r="E27" s="32" t="n">
        <f aca="false">Costs!E11+Costs!E12+Costs!E13+Costs!E14</f>
        <v>0</v>
      </c>
      <c r="F27" s="32" t="n">
        <f aca="false">Costs!F11+Costs!F12+Costs!F13+Costs!F14</f>
        <v>0</v>
      </c>
      <c r="G27" s="32" t="n">
        <f aca="false">Costs!G11+Costs!G12+Costs!G13+Costs!G14</f>
        <v>0</v>
      </c>
      <c r="H27" s="32" t="n">
        <f aca="false">Costs!H11+Costs!H12+Costs!H13+Costs!H14</f>
        <v>0</v>
      </c>
      <c r="I27" s="32" t="n">
        <f aca="false">Costs!I11+Costs!I12+Costs!I13+Costs!I14</f>
        <v>1378636</v>
      </c>
      <c r="J27" s="32" t="n">
        <f aca="false">Costs!J11+Costs!J12+Costs!J13+Costs!J14</f>
        <v>2248021.9</v>
      </c>
      <c r="K27" s="32" t="n">
        <f aca="false">Costs!K11+Costs!K12+Costs!K13+Costs!K14</f>
        <v>3116018.82725</v>
      </c>
      <c r="L27" s="32" t="n">
        <f aca="false">Costs!L11+Costs!L12+Costs!L13+Costs!L14</f>
        <v>3983218.88333188</v>
      </c>
      <c r="M27" s="32" t="n">
        <f aca="false">Costs!M11+Costs!M12+Costs!M13+Costs!M14</f>
        <v>4850239.96166336</v>
      </c>
      <c r="N27" s="32" t="n">
        <f aca="false">Costs!N11+Costs!N12+Costs!N13+Costs!N14</f>
        <v>5717727.45129032</v>
      </c>
      <c r="O27" s="32" t="n">
        <f aca="false">Costs!O11+Costs!O12+Costs!O13+Costs!O14</f>
        <v>6586356.04019513</v>
      </c>
      <c r="P27" s="32" t="n">
        <f aca="false">Costs!P11+Costs!P12+Costs!P13+Costs!P14</f>
        <v>7456831.62414163</v>
      </c>
      <c r="Q27" s="32" t="n">
        <f aca="false">Costs!Q11+Costs!Q12+Costs!Q13+Costs!Q14</f>
        <v>8816689.32743755</v>
      </c>
      <c r="R27" s="32" t="n">
        <f aca="false">Costs!R11+Costs!R12+Costs!R13+Costs!R14</f>
        <v>9995367.94237697</v>
      </c>
      <c r="S27" s="32" t="n">
        <f aca="false">Costs!S11+Costs!S12+Costs!S13+Costs!S14</f>
        <v>11174512.4857806</v>
      </c>
      <c r="T27" s="32" t="n">
        <f aca="false">Costs!T11+Costs!T12+Costs!T13+Costs!T14</f>
        <v>12355027.1734026</v>
      </c>
      <c r="U27" s="32" t="n">
        <f aca="false">Costs!U11+Costs!U12+Costs!U13+Costs!U14</f>
        <v>13537857.9744187</v>
      </c>
      <c r="V27" s="32" t="n">
        <f aca="false">Costs!V11+Costs!V12+Costs!V13+Costs!V14</f>
        <v>14723995.3156873</v>
      </c>
      <c r="W27" s="32" t="n">
        <f aca="false">Costs!W11+Costs!W12+Costs!W13+Costs!W14</f>
        <v>16969820.9448317</v>
      </c>
      <c r="X27" s="32" t="n">
        <f aca="false">Costs!X11+Costs!X12+Costs!X13+Costs!X14</f>
        <v>18831041.3617369</v>
      </c>
      <c r="Y27" s="32" t="n">
        <f aca="false">Costs!Y11+Costs!Y12+Costs!Y13+Costs!Y14</f>
        <v>20920591.395626</v>
      </c>
      <c r="Z27" s="32" t="n">
        <f aca="false">Costs!Z11+Costs!Z12+Costs!Z13+Costs!Z14</f>
        <v>22932634.0316745</v>
      </c>
      <c r="AA27" s="32" t="n">
        <f aca="false">Costs!AA11+Costs!AA12+Costs!AA13+Costs!AA14</f>
        <v>24951718.349971</v>
      </c>
      <c r="AB27" s="32" t="n">
        <f aca="false">Costs!AB11+Costs!AB12+Costs!AB13+Costs!AB14</f>
        <v>26979678.0104999</v>
      </c>
      <c r="AC27" s="32" t="n">
        <f aca="false">Costs!AC11+Costs!AC12+Costs!AC13+Costs!AC14</f>
        <v>29995744.6515527</v>
      </c>
      <c r="AD27" s="32" t="n">
        <f aca="false">Costs!AD11+Costs!AD12+Costs!AD13+Costs!AD14</f>
        <v>32654141.5064697</v>
      </c>
      <c r="AE27" s="32" t="n">
        <f aca="false">Costs!AE11+Costs!AE12+Costs!AE13+Costs!AE14</f>
        <v>35542995.8441642</v>
      </c>
      <c r="AF27" s="32" t="n">
        <f aca="false">Costs!AF11+Costs!AF12+Costs!AF13+Costs!AF14</f>
        <v>38357159.4225149</v>
      </c>
      <c r="AG27" s="32" t="n">
        <f aca="false">Costs!AG11+Costs!AG12+Costs!AG13+Costs!AG14</f>
        <v>41181903.5336016</v>
      </c>
      <c r="AH27" s="32" t="n">
        <f aca="false">Costs!AH11+Costs!AH12+Costs!AH13+Costs!AH14</f>
        <v>44019819.6191772</v>
      </c>
      <c r="AI27" s="32" t="n">
        <f aca="false">Costs!AI11+Costs!AI12+Costs!AI13+Costs!AI14</f>
        <v>47096586.925275</v>
      </c>
      <c r="AJ27" s="32" t="n">
        <f aca="false">Costs!AJ11+Costs!AJ12+Costs!AJ13+Costs!AJ14</f>
        <v>50107578.6084325</v>
      </c>
      <c r="AK27" s="32" t="n">
        <f aca="false">Costs!AK11+Costs!AK12+Costs!AK13+Costs!AK14</f>
        <v>53138618.5457707</v>
      </c>
      <c r="AL27" s="32" t="n">
        <f aca="false">Costs!AL11+Costs!AL12+Costs!AL13+Costs!AL14</f>
        <v>56192883.8212322</v>
      </c>
      <c r="AM27" s="32" t="n">
        <f aca="false">Costs!AM11+Costs!AM12+Costs!AM13+Costs!AM14</f>
        <v>59496674.3632313</v>
      </c>
      <c r="AN27" s="32" t="n">
        <f aca="false">Costs!AN11+Costs!AN12+Costs!AN13+Costs!AN14</f>
        <v>62746021.1529352</v>
      </c>
      <c r="AO27" s="32" t="n">
        <f aca="false">Costs!AO11+Costs!AO12+Costs!AO13+Costs!AO14</f>
        <v>66714905.2625528</v>
      </c>
      <c r="AP27" s="32" t="n">
        <f aca="false">Costs!AP11+Costs!AP12+Costs!AP13+Costs!AP14</f>
        <v>70682133.2035042</v>
      </c>
      <c r="AQ27" s="32" t="n">
        <f aca="false">Costs!AQ11+Costs!AQ12+Costs!AQ13+Costs!AQ14</f>
        <v>74599720.7614964</v>
      </c>
      <c r="AR27" s="32" t="n">
        <f aca="false">Costs!AR11+Costs!AR12+Costs!AR13+Costs!AR14</f>
        <v>78554908.7134934</v>
      </c>
      <c r="AS27" s="32" t="n">
        <f aca="false">Costs!AS11+Costs!AS12+Costs!AS13+Costs!AS14</f>
        <v>82775329.8677624</v>
      </c>
      <c r="AT27" s="32" t="n">
        <f aca="false">Costs!AT11+Costs!AT12+Costs!AT13+Costs!AT14</f>
        <v>86958421.5269086</v>
      </c>
      <c r="AU27" s="32" t="n">
        <f aca="false">Costs!AU11+Costs!AU12+Costs!AU13+Costs!AU14</f>
        <v>91192189.0344419</v>
      </c>
      <c r="AV27" s="32" t="n">
        <f aca="false">Costs!AV11+Costs!AV12+Costs!AV13+Costs!AV14</f>
        <v>95905739.3999936</v>
      </c>
      <c r="AW27" s="32" t="n">
        <f aca="false">Costs!AW11+Costs!AW12+Costs!AW13+Costs!AW14</f>
        <v>100456931.031352</v>
      </c>
      <c r="AX27" s="32" t="n">
        <f aca="false">Costs!AX11+Costs!AX12+Costs!AX13+Costs!AX14</f>
        <v>105182435.83318</v>
      </c>
      <c r="AY27" s="32" t="n">
        <f aca="false">Costs!AY11+Costs!AY12+Costs!AY13+Costs!AY14</f>
        <v>109801482.396217</v>
      </c>
      <c r="AZ27" s="32" t="n">
        <f aca="false">Costs!AZ11+Costs!AZ12+Costs!AZ13+Costs!AZ14</f>
        <v>114399135.224037</v>
      </c>
      <c r="BA27" s="32" t="n">
        <f aca="false">Costs!BA11+Costs!BA12+Costs!BA13+Costs!BA14</f>
        <v>119891879.251832</v>
      </c>
      <c r="BB27" s="32" t="n">
        <f aca="false">Costs!BB11+Costs!BB12+Costs!BB13+Costs!BB14</f>
        <v>125021477.517536</v>
      </c>
      <c r="BC27" s="32" t="n">
        <f aca="false">Costs!BC11+Costs!BC12+Costs!BC13+Costs!BC14</f>
        <v>130353005.094008</v>
      </c>
      <c r="BD27" s="32" t="n">
        <f aca="false">Costs!BD11+Costs!BD12+Costs!BD13+Costs!BD14</f>
        <v>135581716.570911</v>
      </c>
      <c r="BE27" s="32" t="n">
        <f aca="false">Costs!BE11+Costs!BE12+Costs!BE13+Costs!BE14</f>
        <v>140993945.256178</v>
      </c>
      <c r="BF27" s="32" t="n">
        <f aca="false">Costs!BF11+Costs!BF12+Costs!BF13+Costs!BF14</f>
        <v>146538902.149412</v>
      </c>
      <c r="BG27" s="32" t="n">
        <f aca="false">Costs!BG11+Costs!BG12+Costs!BG13+Costs!BG14</f>
        <v>151986755.158874</v>
      </c>
      <c r="BH27" s="32" t="n">
        <f aca="false">Costs!BH11+Costs!BH12+Costs!BH13+Costs!BH14</f>
        <v>157646549.648884</v>
      </c>
      <c r="BI27" s="32" t="n">
        <f aca="false">Costs!BI11+Costs!BI12+Costs!BI13+Costs!BI14</f>
        <v>163414892.588753</v>
      </c>
      <c r="BJ27" s="32" t="n">
        <f aca="false">Costs!BJ11+Costs!BJ12+Costs!BJ13+Costs!BJ14</f>
        <v>169324408.25017</v>
      </c>
      <c r="BK27" s="32" t="n">
        <f aca="false">Costs!BK11+Costs!BK12+Costs!BK13+Costs!BK14</f>
        <v>175098135.063211</v>
      </c>
      <c r="BL27" s="32" t="n">
        <f aca="false">Costs!BL11+Costs!BL12+Costs!BL13+Costs!BL14</f>
        <v>181008494.973087</v>
      </c>
    </row>
    <row r="28" customFormat="false" ht="15" hidden="false" customHeight="false" outlineLevel="0" collapsed="false">
      <c r="A28" s="12" t="s">
        <v>1108</v>
      </c>
      <c r="B28" s="14" t="s">
        <v>77</v>
      </c>
      <c r="D28" s="55" t="n">
        <f aca="false">SUM(E28:BL28)</f>
        <v>6084963800.36969</v>
      </c>
      <c r="E28" s="32" t="n">
        <f aca="false">Costs!E15+Costs!E16+Costs!E17+Costs!E18+Costs!E19</f>
        <v>0</v>
      </c>
      <c r="F28" s="32" t="n">
        <f aca="false">Costs!F15+Costs!F16+Costs!F17+Costs!F18+Costs!F19</f>
        <v>0</v>
      </c>
      <c r="G28" s="32" t="n">
        <f aca="false">Costs!G15+Costs!G16+Costs!G17+Costs!G18+Costs!G19</f>
        <v>0</v>
      </c>
      <c r="H28" s="32" t="n">
        <f aca="false">Costs!H15+Costs!H16+Costs!H17+Costs!H18+Costs!H19</f>
        <v>0</v>
      </c>
      <c r="I28" s="32" t="n">
        <f aca="false">Costs!I15+Costs!I16+Costs!I17+Costs!I18+Costs!I19</f>
        <v>1043252</v>
      </c>
      <c r="J28" s="32" t="n">
        <f aca="false">Costs!J15+Costs!J16+Costs!J17+Costs!J18+Costs!J19</f>
        <v>2084855.37</v>
      </c>
      <c r="K28" s="32" t="n">
        <f aca="false">Costs!K15+Costs!K16+Costs!K17+Costs!K18+Costs!K19</f>
        <v>3125456.765975</v>
      </c>
      <c r="L28" s="32" t="n">
        <f aca="false">Costs!L15+Costs!L16+Costs!L17+Costs!L18+Costs!L19</f>
        <v>4165731.63971456</v>
      </c>
      <c r="M28" s="32" t="n">
        <f aca="false">Costs!M15+Costs!M16+Costs!M17+Costs!M18+Costs!M19</f>
        <v>5206386.11904343</v>
      </c>
      <c r="N28" s="32" t="n">
        <f aca="false">Costs!N15+Costs!N16+Costs!N17+Costs!N18+Costs!N19</f>
        <v>6248158.99829777</v>
      </c>
      <c r="O28" s="32" t="n">
        <f aca="false">Costs!O15+Costs!O16+Costs!O17+Costs!O18+Costs!O19</f>
        <v>7291823.8457183</v>
      </c>
      <c r="P28" s="32" t="n">
        <f aca="false">Costs!P15+Costs!P16+Costs!P17+Costs!P18+Costs!P19</f>
        <v>8338191.23481999</v>
      </c>
      <c r="Q28" s="32" t="n">
        <f aca="false">Costs!Q15+Costs!Q16+Costs!Q17+Costs!Q18+Costs!Q19</f>
        <v>9948512.30302124</v>
      </c>
      <c r="R28" s="32" t="n">
        <f aca="false">Costs!R15+Costs!R16+Costs!R17+Costs!R18+Costs!R19</f>
        <v>11614804.9142448</v>
      </c>
      <c r="S28" s="32" t="n">
        <f aca="false">Costs!S15+Costs!S16+Costs!S17+Costs!S18+Costs!S19</f>
        <v>13338058.6773668</v>
      </c>
      <c r="T28" s="32" t="n">
        <f aca="false">Costs!T15+Costs!T16+Costs!T17+Costs!T18+Costs!T19</f>
        <v>15119393.1891072</v>
      </c>
      <c r="U28" s="32" t="n">
        <f aca="false">Costs!U15+Costs!U16+Costs!U17+Costs!U18+Costs!U19</f>
        <v>16960065.7748026</v>
      </c>
      <c r="V28" s="32" t="n">
        <f aca="false">Costs!V15+Costs!V16+Costs!V17+Costs!V18+Costs!V19</f>
        <v>19138176.8078834</v>
      </c>
      <c r="W28" s="32" t="n">
        <f aca="false">Costs!W15+Costs!W16+Costs!W17+Costs!W18+Costs!W19</f>
        <v>22360865.8979879</v>
      </c>
      <c r="X28" s="32" t="n">
        <f aca="false">Costs!X15+Costs!X16+Costs!X17+Costs!X18+Costs!X19</f>
        <v>25750800.1175562</v>
      </c>
      <c r="Y28" s="32" t="n">
        <f aca="false">Costs!Y15+Costs!Y16+Costs!Y17+Costs!Y18+Costs!Y19</f>
        <v>29520480.295094</v>
      </c>
      <c r="Z28" s="32" t="n">
        <f aca="false">Costs!Z15+Costs!Z16+Costs!Z17+Costs!Z18+Costs!Z19</f>
        <v>33472872.5045421</v>
      </c>
      <c r="AA28" s="32" t="n">
        <f aca="false">Costs!AA15+Costs!AA16+Costs!AA17+Costs!AA18+Costs!AA19</f>
        <v>37611241.2831532</v>
      </c>
      <c r="AB28" s="32" t="n">
        <f aca="false">Costs!AB15+Costs!AB16+Costs!AB17+Costs!AB18+Costs!AB19</f>
        <v>41939280.4767503</v>
      </c>
      <c r="AC28" s="32" t="n">
        <f aca="false">Costs!AC15+Costs!AC16+Costs!AC17+Costs!AC18+Costs!AC19</f>
        <v>46816027.9450201</v>
      </c>
      <c r="AD28" s="32" t="n">
        <f aca="false">Costs!AD15+Costs!AD16+Costs!AD17+Costs!AD18+Costs!AD19</f>
        <v>51807194.3704831</v>
      </c>
      <c r="AE28" s="32" t="n">
        <f aca="false">Costs!AE15+Costs!AE16+Costs!AE17+Costs!AE18+Costs!AE19</f>
        <v>57153163.4776613</v>
      </c>
      <c r="AF28" s="32" t="n">
        <f aca="false">Costs!AF15+Costs!AF16+Costs!AF17+Costs!AF18+Costs!AF19</f>
        <v>62624487.0295241</v>
      </c>
      <c r="AG28" s="32" t="n">
        <f aca="false">Costs!AG15+Costs!AG16+Costs!AG17+Costs!AG18+Costs!AG19</f>
        <v>68225717.0750361</v>
      </c>
      <c r="AH28" s="32" t="n">
        <f aca="false">Costs!AH15+Costs!AH16+Costs!AH17+Costs!AH18+Costs!AH19</f>
        <v>73125551.1211898</v>
      </c>
      <c r="AI28" s="32" t="n">
        <f aca="false">Costs!AI15+Costs!AI16+Costs!AI17+Costs!AI18+Costs!AI19</f>
        <v>78295138.7769581</v>
      </c>
      <c r="AJ28" s="32" t="n">
        <f aca="false">Costs!AJ15+Costs!AJ16+Costs!AJ17+Costs!AJ18+Costs!AJ19</f>
        <v>83494390.8187133</v>
      </c>
      <c r="AK28" s="32" t="n">
        <f aca="false">Costs!AK15+Costs!AK16+Costs!AK17+Costs!AK18+Costs!AK19</f>
        <v>88728331.3843133</v>
      </c>
      <c r="AL28" s="32" t="n">
        <f aca="false">Costs!AL15+Costs!AL16+Costs!AL17+Costs!AL18+Costs!AL19</f>
        <v>94002242.680723</v>
      </c>
      <c r="AM28" s="32" t="n">
        <f aca="false">Costs!AM15+Costs!AM16+Costs!AM17+Costs!AM18+Costs!AM19</f>
        <v>99563721.1274242</v>
      </c>
      <c r="AN28" s="32" t="n">
        <f aca="false">Costs!AN15+Costs!AN16+Costs!AN17+Costs!AN18+Costs!AN19</f>
        <v>105173781.757396</v>
      </c>
      <c r="AO28" s="32" t="n">
        <f aca="false">Costs!AO15+Costs!AO16+Costs!AO17+Costs!AO18+Costs!AO19</f>
        <v>111584908.991065</v>
      </c>
      <c r="AP28" s="32" t="n">
        <f aca="false">Costs!AP15+Costs!AP16+Costs!AP17+Costs!AP18+Costs!AP19</f>
        <v>118290764.480844</v>
      </c>
      <c r="AQ28" s="32" t="n">
        <f aca="false">Costs!AQ15+Costs!AQ16+Costs!AQ17+Costs!AQ18+Costs!AQ19</f>
        <v>125053501.282271</v>
      </c>
      <c r="AR28" s="32" t="n">
        <f aca="false">Costs!AR15+Costs!AR16+Costs!AR17+Costs!AR18+Costs!AR19</f>
        <v>131880510.61853</v>
      </c>
      <c r="AS28" s="32" t="n">
        <f aca="false">Costs!AS15+Costs!AS16+Costs!AS17+Costs!AS18+Costs!AS19</f>
        <v>139021614.221611</v>
      </c>
      <c r="AT28" s="32" t="n">
        <f aca="false">Costs!AT15+Costs!AT16+Costs!AT17+Costs!AT18+Costs!AT19</f>
        <v>146240175.864863</v>
      </c>
      <c r="AU28" s="32" t="n">
        <f aca="false">Costs!AU15+Costs!AU16+Costs!AU17+Costs!AU18+Costs!AU19</f>
        <v>153544869.693878</v>
      </c>
      <c r="AV28" s="32" t="n">
        <f aca="false">Costs!AV15+Costs!AV16+Costs!AV17+Costs!AV18+Costs!AV19</f>
        <v>161404712.903854</v>
      </c>
      <c r="AW28" s="32" t="n">
        <f aca="false">Costs!AW15+Costs!AW16+Costs!AW17+Costs!AW18+Costs!AW19</f>
        <v>169295005.269018</v>
      </c>
      <c r="AX28" s="32" t="n">
        <f aca="false">Costs!AX15+Costs!AX16+Costs!AX17+Costs!AX18+Costs!AX19</f>
        <v>177388600.860394</v>
      </c>
      <c r="AY28" s="32" t="n">
        <f aca="false">Costs!AY15+Costs!AY16+Costs!AY17+Costs!AY18+Costs!AY19</f>
        <v>185444209.431406</v>
      </c>
      <c r="AZ28" s="32" t="n">
        <f aca="false">Costs!AZ15+Costs!AZ16+Costs!AZ17+Costs!AZ18+Costs!AZ19</f>
        <v>193465545.553397</v>
      </c>
      <c r="BA28" s="32" t="n">
        <f aca="false">Costs!BA15+Costs!BA16+Costs!BA17+Costs!BA18+Costs!BA19</f>
        <v>202448831.355351</v>
      </c>
      <c r="BB28" s="32" t="n">
        <f aca="false">Costs!BB15+Costs!BB16+Costs!BB17+Costs!BB18+Costs!BB19</f>
        <v>211394264.262342</v>
      </c>
      <c r="BC28" s="32" t="n">
        <f aca="false">Costs!BC15+Costs!BC16+Costs!BC17+Costs!BC18+Costs!BC19</f>
        <v>220548212.269381</v>
      </c>
      <c r="BD28" s="32" t="n">
        <f aca="false">Costs!BD15+Costs!BD16+Costs!BD17+Costs!BD18+Costs!BD19</f>
        <v>229670343.077341</v>
      </c>
      <c r="BE28" s="32" t="n">
        <f aca="false">Costs!BE15+Costs!BE16+Costs!BE17+Costs!BE18+Costs!BE19</f>
        <v>238983214.409266</v>
      </c>
      <c r="BF28" s="32" t="n">
        <f aca="false">Costs!BF15+Costs!BF16+Costs!BF17+Costs!BF18+Costs!BF19</f>
        <v>248513434.393604</v>
      </c>
      <c r="BG28" s="32" t="n">
        <f aca="false">Costs!BG15+Costs!BG16+Costs!BG17+Costs!BG18+Costs!BG19</f>
        <v>258021330.320567</v>
      </c>
      <c r="BH28" s="32" t="n">
        <f aca="false">Costs!BH15+Costs!BH16+Costs!BH17+Costs!BH18+Costs!BH19</f>
        <v>267754361.655621</v>
      </c>
      <c r="BI28" s="32" t="n">
        <f aca="false">Costs!BI15+Costs!BI16+Costs!BI17+Costs!BI18+Costs!BI19</f>
        <v>277691187.459592</v>
      </c>
      <c r="BJ28" s="32" t="n">
        <f aca="false">Costs!BJ15+Costs!BJ16+Costs!BJ17+Costs!BJ18+Costs!BJ19</f>
        <v>287859443.125836</v>
      </c>
      <c r="BK28" s="32" t="n">
        <f aca="false">Costs!BK15+Costs!BK16+Costs!BK17+Costs!BK18+Costs!BK19</f>
        <v>297968675.590028</v>
      </c>
      <c r="BL28" s="32" t="n">
        <f aca="false">Costs!BL15+Costs!BL16+Costs!BL17+Costs!BL18+Costs!BL19</f>
        <v>308207927.500109</v>
      </c>
    </row>
    <row r="29" customFormat="false" ht="15" hidden="false" customHeight="false" outlineLevel="0" collapsed="false">
      <c r="A29" s="12" t="s">
        <v>1109</v>
      </c>
      <c r="B29" s="14" t="s">
        <v>77</v>
      </c>
      <c r="D29" s="55" t="n">
        <f aca="false">SUM(E29:BL29)</f>
        <v>244170485.117078</v>
      </c>
      <c r="E29" s="32" t="n">
        <f aca="false">Costs!E21+Costs!E22+Costs!E20</f>
        <v>0</v>
      </c>
      <c r="F29" s="32" t="n">
        <f aca="false">Costs!F21+Costs!F22+Costs!F20</f>
        <v>0</v>
      </c>
      <c r="G29" s="32" t="n">
        <f aca="false">Costs!G21+Costs!G22+Costs!G20</f>
        <v>0</v>
      </c>
      <c r="H29" s="32" t="n">
        <f aca="false">Costs!H21+Costs!H22+Costs!H20</f>
        <v>0</v>
      </c>
      <c r="I29" s="32" t="n">
        <f aca="false">Costs!I21+Costs!I22+Costs!I20</f>
        <v>17313.3333333333</v>
      </c>
      <c r="J29" s="32" t="n">
        <f aca="false">Costs!J21+Costs!J22+Costs!J20</f>
        <v>34508.9966666667</v>
      </c>
      <c r="K29" s="32" t="n">
        <f aca="false">Costs!K21+Costs!K22+Costs!K20</f>
        <v>51599.36215</v>
      </c>
      <c r="L29" s="32" t="n">
        <f aca="false">Costs!L21+Costs!L22+Costs!L20</f>
        <v>68597.1955743958</v>
      </c>
      <c r="M29" s="32" t="n">
        <f aca="false">Costs!M21+Costs!M22+Costs!M20</f>
        <v>85515.6865116189</v>
      </c>
      <c r="N29" s="32" t="n">
        <f aca="false">Costs!N21+Costs!N22+Costs!N20</f>
        <v>102368.480137036</v>
      </c>
      <c r="O29" s="32" t="n">
        <f aca="false">Costs!O21+Costs!O22+Costs!O20</f>
        <v>123064.504027096</v>
      </c>
      <c r="P29" s="32" t="n">
        <f aca="false">Costs!P21+Costs!P22+Costs!P20</f>
        <v>144843.301298928</v>
      </c>
      <c r="Q29" s="32" t="n">
        <f aca="false">Costs!Q21+Costs!Q22+Costs!Q20</f>
        <v>174429.292108762</v>
      </c>
      <c r="R29" s="32" t="n">
        <f aca="false">Costs!R21+Costs!R22+Costs!R20</f>
        <v>205427.339875745</v>
      </c>
      <c r="S29" s="32" t="n">
        <f aca="false">Costs!S21+Costs!S22+Costs!S20</f>
        <v>237859.718159551</v>
      </c>
      <c r="T29" s="32" t="n">
        <f aca="false">Costs!T21+Costs!T22+Costs!T20</f>
        <v>271751.601702361</v>
      </c>
      <c r="U29" s="32" t="n">
        <f aca="false">Costs!U21+Costs!U22+Costs!U20</f>
        <v>307131.250754855</v>
      </c>
      <c r="V29" s="32" t="n">
        <f aca="false">Costs!V21+Costs!V22+Costs!V20</f>
        <v>344030.208447547</v>
      </c>
      <c r="W29" s="32" t="n">
        <f aca="false">Costs!W21+Costs!W22+Costs!W20</f>
        <v>399570.84541796</v>
      </c>
      <c r="X29" s="32" t="n">
        <f aca="false">Costs!X21+Costs!X22+Costs!X20</f>
        <v>457458.255963002</v>
      </c>
      <c r="Y29" s="32" t="n">
        <f aca="false">Costs!Y21+Costs!Y22+Costs!Y20</f>
        <v>521535.647586009</v>
      </c>
      <c r="Z29" s="32" t="n">
        <f aca="false">Costs!Z21+Costs!Z22+Costs!Z20</f>
        <v>588194.010102482</v>
      </c>
      <c r="AA29" s="32" t="n">
        <f aca="false">Costs!AA21+Costs!AA22+Costs!AA20</f>
        <v>642183.412182896</v>
      </c>
      <c r="AB29" s="32" t="n">
        <f aca="false">Costs!AB21+Costs!AB22+Costs!AB20</f>
        <v>696266.048938496</v>
      </c>
      <c r="AC29" s="32" t="n">
        <f aca="false">Costs!AC21+Costs!AC22+Costs!AC20</f>
        <v>767502.176116063</v>
      </c>
      <c r="AD29" s="32" t="n">
        <f aca="false">Costs!AD21+Costs!AD22+Costs!AD20</f>
        <v>838685.969685308</v>
      </c>
      <c r="AE29" s="32" t="n">
        <f aca="false">Costs!AE21+Costs!AE22+Costs!AE20</f>
        <v>913759.504033594</v>
      </c>
      <c r="AF29" s="32" t="n">
        <f aca="false">Costs!AF21+Costs!AF22+Costs!AF20</f>
        <v>988849.583147549</v>
      </c>
      <c r="AG29" s="32" t="n">
        <f aca="false">Costs!AG21+Costs!AG22+Costs!AG20</f>
        <v>2901025.29216828</v>
      </c>
      <c r="AH29" s="32" t="n">
        <f aca="false">Costs!AH21+Costs!AH22+Costs!AH20</f>
        <v>3108672.18334935</v>
      </c>
      <c r="AI29" s="32" t="n">
        <f aca="false">Costs!AI21+Costs!AI22+Costs!AI20</f>
        <v>3327728.03868053</v>
      </c>
      <c r="AJ29" s="32" t="n">
        <f aca="false">Costs!AJ21+Costs!AJ22+Costs!AJ20</f>
        <v>3547909.19115709</v>
      </c>
      <c r="AK29" s="32" t="n">
        <f aca="false">Costs!AK21+Costs!AK22+Costs!AK20</f>
        <v>3769432.14196272</v>
      </c>
      <c r="AL29" s="32" t="n">
        <f aca="false">Costs!AL21+Costs!AL22+Costs!AL20</f>
        <v>3992524.23451208</v>
      </c>
      <c r="AM29" s="32" t="n">
        <f aca="false">Costs!AM21+Costs!AM22+Costs!AM20</f>
        <v>4227784.33987154</v>
      </c>
      <c r="AN29" s="32" t="n">
        <f aca="false">Costs!AN21+Costs!AN22+Costs!AN20</f>
        <v>4464975.48269095</v>
      </c>
      <c r="AO29" s="32" t="n">
        <f aca="false">Costs!AO21+Costs!AO22+Costs!AO20</f>
        <v>4736306.98617157</v>
      </c>
      <c r="AP29" s="32" t="n">
        <f aca="false">Costs!AP21+Costs!AP22+Costs!AP20</f>
        <v>5020080.33885642</v>
      </c>
      <c r="AQ29" s="32" t="n">
        <f aca="false">Costs!AQ21+Costs!AQ22+Costs!AQ20</f>
        <v>5306107.58967918</v>
      </c>
      <c r="AR29" s="32" t="n">
        <f aca="false">Costs!AR21+Costs!AR22+Costs!AR20</f>
        <v>5594706.22284019</v>
      </c>
      <c r="AS29" s="32" t="n">
        <f aca="false">Costs!AS21+Costs!AS22+Costs!AS20</f>
        <v>5896570.15547623</v>
      </c>
      <c r="AT29" s="32" t="n">
        <f aca="false">Costs!AT21+Costs!AT22+Costs!AT20</f>
        <v>6201562.66599362</v>
      </c>
      <c r="AU29" s="32" t="n">
        <f aca="false">Costs!AU21+Costs!AU22+Costs!AU20</f>
        <v>6510055.52610711</v>
      </c>
      <c r="AV29" s="32" t="n">
        <f aca="false">Costs!AV21+Costs!AV22+Costs!AV20</f>
        <v>6842124.18211993</v>
      </c>
      <c r="AW29" s="32" t="n">
        <f aca="false">Costs!AW21+Costs!AW22+Costs!AW20</f>
        <v>7175293.55005444</v>
      </c>
      <c r="AX29" s="32" t="n">
        <f aca="false">Costs!AX21+Costs!AX22+Costs!AX20</f>
        <v>7516964.70415293</v>
      </c>
      <c r="AY29" s="32" t="n">
        <f aca="false">Costs!AY21+Costs!AY22+Costs!AY20</f>
        <v>7856806.00496917</v>
      </c>
      <c r="AZ29" s="32" t="n">
        <f aca="false">Costs!AZ21+Costs!AZ22+Costs!AZ20</f>
        <v>8194981.31768477</v>
      </c>
      <c r="BA29" s="32" t="n">
        <f aca="false">Costs!BA21+Costs!BA22+Costs!BA20</f>
        <v>8574136.43488025</v>
      </c>
      <c r="BB29" s="32" t="n">
        <f aca="false">Costs!BB21+Costs!BB22+Costs!BB20</f>
        <v>8951446.28511052</v>
      </c>
      <c r="BC29" s="32" t="n">
        <f aca="false">Costs!BC21+Costs!BC22+Costs!BC20</f>
        <v>9337461.3507675</v>
      </c>
      <c r="BD29" s="32" t="n">
        <f aca="false">Costs!BD21+Costs!BD22+Costs!BD20</f>
        <v>9721891.14833468</v>
      </c>
      <c r="BE29" s="32" t="n">
        <f aca="false">Costs!BE21+Costs!BE22+Costs!BE20</f>
        <v>10114266.7683748</v>
      </c>
      <c r="BF29" s="32" t="n">
        <f aca="false">Costs!BF21+Costs!BF22+Costs!BF20</f>
        <v>10515724.1387545</v>
      </c>
      <c r="BG29" s="32" t="n">
        <f aca="false">Costs!BG21+Costs!BG22+Costs!BG20</f>
        <v>10916000.7198668</v>
      </c>
      <c r="BH29" s="32" t="n">
        <f aca="false">Costs!BH21+Costs!BH22+Costs!BH20</f>
        <v>11325693.1609537</v>
      </c>
      <c r="BI29" s="32" t="n">
        <f aca="false">Costs!BI21+Costs!BI22+Costs!BI20</f>
        <v>11743883.8510374</v>
      </c>
      <c r="BJ29" s="32" t="n">
        <f aca="false">Costs!BJ21+Costs!BJ22+Costs!BJ20</f>
        <v>12171752.3319756</v>
      </c>
      <c r="BK29" s="32" t="n">
        <f aca="false">Costs!BK21+Costs!BK22+Costs!BK20</f>
        <v>12596862.1346324</v>
      </c>
      <c r="BL29" s="32" t="n">
        <f aca="false">Costs!BL21+Costs!BL22+Costs!BL20</f>
        <v>13027310.9199708</v>
      </c>
    </row>
    <row r="30" customFormat="false" ht="15" hidden="false" customHeight="false" outlineLevel="0" collapsed="false">
      <c r="A30" s="8" t="s">
        <v>1110</v>
      </c>
      <c r="B30" s="14" t="s">
        <v>77</v>
      </c>
      <c r="D30" s="55" t="n">
        <f aca="false">SUM(E30:BL30)</f>
        <v>10552403195.6979</v>
      </c>
      <c r="E30" s="16" t="n">
        <f aca="false">SUM(E26:E29)</f>
        <v>0</v>
      </c>
      <c r="F30" s="16" t="n">
        <f aca="false">SUM(F26:F29)</f>
        <v>0</v>
      </c>
      <c r="G30" s="16" t="n">
        <f aca="false">SUM(G26:G29)</f>
        <v>0</v>
      </c>
      <c r="H30" s="16" t="n">
        <f aca="false">SUM(H26:H29)</f>
        <v>0</v>
      </c>
      <c r="I30" s="16" t="n">
        <f aca="false">SUM(I26:I29)</f>
        <v>2726108</v>
      </c>
      <c r="J30" s="16" t="n">
        <f aca="false">SUM(J26:J29)</f>
        <v>4778703.1</v>
      </c>
      <c r="K30" s="16" t="n">
        <f aca="false">SUM(K26:K29)</f>
        <v>6828144.867875</v>
      </c>
      <c r="L30" s="16" t="n">
        <f aca="false">SUM(L26:L29)</f>
        <v>8875810.50940938</v>
      </c>
      <c r="M30" s="16" t="n">
        <f aca="false">SUM(M26:M29)</f>
        <v>10923137.4911883</v>
      </c>
      <c r="N30" s="16" t="n">
        <f aca="false">SUM(N26:N29)</f>
        <v>12971627.514524</v>
      </c>
      <c r="O30" s="16" t="n">
        <f aca="false">SUM(O26:O29)</f>
        <v>15026745.5147842</v>
      </c>
      <c r="P30" s="16" t="n">
        <f aca="false">SUM(P26:P29)</f>
        <v>17087359.411425</v>
      </c>
      <c r="Q30" s="16" t="n">
        <f aca="false">SUM(Q26:Q29)</f>
        <v>20310402.9079859</v>
      </c>
      <c r="R30" s="16" t="n">
        <f aca="false">SUM(R26:R29)</f>
        <v>23351391.4695149</v>
      </c>
      <c r="S30" s="16" t="n">
        <f aca="false">SUM(S26:S29)</f>
        <v>26450760.9638324</v>
      </c>
      <c r="T30" s="16" t="n">
        <f aca="false">SUM(T26:T29)</f>
        <v>29610704.5393931</v>
      </c>
      <c r="U30" s="16" t="n">
        <f aca="false">SUM(U26:U29)</f>
        <v>32833603.4750801</v>
      </c>
      <c r="V30" s="16" t="n">
        <f aca="false">SUM(V26:V29)</f>
        <v>36398735.7926104</v>
      </c>
      <c r="W30" s="16" t="n">
        <f aca="false">SUM(W26:W29)</f>
        <v>42306533.9326988</v>
      </c>
      <c r="X30" s="16" t="n">
        <f aca="false">SUM(X26:X29)</f>
        <v>47875184.7467134</v>
      </c>
      <c r="Y30" s="16" t="n">
        <f aca="false">SUM(Y26:Y29)</f>
        <v>54104453.339164</v>
      </c>
      <c r="Z30" s="16" t="n">
        <f aca="false">SUM(Z26:Z29)</f>
        <v>60414986.8506287</v>
      </c>
      <c r="AA30" s="16" t="n">
        <f aca="false">SUM(AA26:AA29)</f>
        <v>66906022.7002625</v>
      </c>
      <c r="AB30" s="16" t="n">
        <f aca="false">SUM(AB26:AB29)</f>
        <v>73596135.7388527</v>
      </c>
      <c r="AC30" s="16" t="n">
        <f aca="false">SUM(AC26:AC29)</f>
        <v>82044339.7316243</v>
      </c>
      <c r="AD30" s="16" t="n">
        <f aca="false">SUM(AD26:AD29)</f>
        <v>90133119.9666907</v>
      </c>
      <c r="AE30" s="16" t="n">
        <f aca="false">SUM(AE26:AE29)</f>
        <v>98857399.4062294</v>
      </c>
      <c r="AF30" s="16" t="n">
        <f aca="false">SUM(AF26:AF29)</f>
        <v>107605942.603792</v>
      </c>
      <c r="AG30" s="16" t="n">
        <f aca="false">SUM(AG26:AG29)</f>
        <v>127517430.42676</v>
      </c>
      <c r="AH30" s="16" t="n">
        <f aca="false">SUM(AH26:AH29)</f>
        <v>127328506.471522</v>
      </c>
      <c r="AI30" s="16" t="n">
        <f aca="false">SUM(AI26:AI29)</f>
        <v>136267101.641984</v>
      </c>
      <c r="AJ30" s="16" t="n">
        <f aca="false">SUM(AJ26:AJ29)</f>
        <v>145113489.044509</v>
      </c>
      <c r="AK30" s="16" t="n">
        <f aca="false">SUM(AK26:AK29)</f>
        <v>154018384.785481</v>
      </c>
      <c r="AL30" s="16" t="n">
        <f aca="false">SUM(AL26:AL29)</f>
        <v>162990994.644814</v>
      </c>
      <c r="AM30" s="16" t="n">
        <f aca="false">SUM(AM26:AM29)</f>
        <v>172595157.500043</v>
      </c>
      <c r="AN30" s="16" t="n">
        <f aca="false">SUM(AN26:AN29)</f>
        <v>182139971.155612</v>
      </c>
      <c r="AO30" s="16" t="n">
        <f aca="false">SUM(AO26:AO29)</f>
        <v>193486835.89165</v>
      </c>
      <c r="AP30" s="16" t="n">
        <f aca="false">SUM(AP26:AP29)</f>
        <v>205039587.763282</v>
      </c>
      <c r="AQ30" s="16" t="n">
        <f aca="false">SUM(AQ26:AQ29)</f>
        <v>216547004.662283</v>
      </c>
      <c r="AR30" s="16" t="n">
        <f aca="false">SUM(AR26:AR29)</f>
        <v>228163912.376223</v>
      </c>
      <c r="AS30" s="16" t="n">
        <f aca="false">SUM(AS26:AS29)</f>
        <v>240458015.274981</v>
      </c>
      <c r="AT30" s="16" t="n">
        <f aca="false">SUM(AT26:AT29)</f>
        <v>252742489.941897</v>
      </c>
      <c r="AU30" s="16" t="n">
        <f aca="false">SUM(AU26:AU29)</f>
        <v>265174381.808953</v>
      </c>
      <c r="AV30" s="16" t="n">
        <f aca="false">SUM(AV26:AV29)</f>
        <v>278822491.372779</v>
      </c>
      <c r="AW30" s="16" t="n">
        <f aca="false">SUM(AW26:AW29)</f>
        <v>292213178.908877</v>
      </c>
      <c r="AX30" s="16" t="n">
        <f aca="false">SUM(AX26:AX29)</f>
        <v>306046429.599908</v>
      </c>
      <c r="AY30" s="16" t="n">
        <f aca="false">SUM(AY26:AY29)</f>
        <v>319669490.889481</v>
      </c>
      <c r="AZ30" s="16" t="n">
        <f aca="false">SUM(AZ26:AZ29)</f>
        <v>333230860.606164</v>
      </c>
      <c r="BA30" s="16" t="n">
        <f aca="false">SUM(BA26:BA29)</f>
        <v>349009382.88088</v>
      </c>
      <c r="BB30" s="16" t="n">
        <f aca="false">SUM(BB26:BB29)</f>
        <v>364137665.051638</v>
      </c>
      <c r="BC30" s="16" t="n">
        <f aca="false">SUM(BC26:BC29)</f>
        <v>379759499.548106</v>
      </c>
      <c r="BD30" s="16" t="n">
        <f aca="false">SUM(BD26:BD29)</f>
        <v>395181713.065927</v>
      </c>
      <c r="BE30" s="16" t="n">
        <f aca="false">SUM(BE26:BE29)</f>
        <v>411053300.321761</v>
      </c>
      <c r="BF30" s="16" t="n">
        <f aca="false">SUM(BF26:BF29)</f>
        <v>427306077.147203</v>
      </c>
      <c r="BG30" s="16" t="n">
        <f aca="false">SUM(BG26:BG29)</f>
        <v>443375771.760797</v>
      </c>
      <c r="BH30" s="16" t="n">
        <f aca="false">SUM(BH26:BH29)</f>
        <v>459968002.51372</v>
      </c>
      <c r="BI30" s="16" t="n">
        <f aca="false">SUM(BI26:BI29)</f>
        <v>476890338.5031</v>
      </c>
      <c r="BJ30" s="16" t="n">
        <f aca="false">SUM(BJ26:BJ29)</f>
        <v>494218330.672549</v>
      </c>
      <c r="BK30" s="16" t="n">
        <f aca="false">SUM(BK26:BK29)</f>
        <v>511270838.448314</v>
      </c>
      <c r="BL30" s="16" t="n">
        <f aca="false">SUM(BL26:BL29)</f>
        <v>528649206.442384</v>
      </c>
    </row>
    <row r="31" customFormat="false" ht="15" hidden="false" customHeight="false" outlineLevel="0" collapsed="false">
      <c r="A31" s="8" t="s">
        <v>94</v>
      </c>
      <c r="B31" s="14" t="s">
        <v>77</v>
      </c>
      <c r="D31" s="55" t="n">
        <f aca="false">SUM(E31:BL31)</f>
        <v>8942141268.63019</v>
      </c>
      <c r="E31" s="55" t="n">
        <f aca="false">E23-E30</f>
        <v>0</v>
      </c>
      <c r="F31" s="55" t="n">
        <f aca="false">F23-F30</f>
        <v>0</v>
      </c>
      <c r="G31" s="55" t="n">
        <f aca="false">G23-G30</f>
        <v>0</v>
      </c>
      <c r="H31" s="55" t="n">
        <f aca="false">H23-H30</f>
        <v>0</v>
      </c>
      <c r="I31" s="55" t="n">
        <f aca="false">I23-I30</f>
        <v>-155078</v>
      </c>
      <c r="J31" s="55" t="n">
        <f aca="false">J23-J30</f>
        <v>1227734.44666667</v>
      </c>
      <c r="K31" s="55" t="n">
        <f aca="false">K23-K30</f>
        <v>2607633.17532083</v>
      </c>
      <c r="L31" s="55" t="n">
        <f aca="false">L23-L30</f>
        <v>3985481.21659213</v>
      </c>
      <c r="M31" s="55" t="n">
        <f aca="false">M23-M30</f>
        <v>5362178.92820182</v>
      </c>
      <c r="N31" s="55" t="n">
        <f aca="false">N23-N30</f>
        <v>6738666.46136751</v>
      </c>
      <c r="O31" s="55" t="n">
        <f aca="false">O23-O30</f>
        <v>8345719.16939723</v>
      </c>
      <c r="P31" s="55" t="n">
        <f aca="false">P23-P30</f>
        <v>10020632.9314084</v>
      </c>
      <c r="Q31" s="55" t="n">
        <f aca="false">Q23-Q30</f>
        <v>11936910.8216773</v>
      </c>
      <c r="R31" s="55" t="n">
        <f aca="false">R23-R30</f>
        <v>14546043.9415608</v>
      </c>
      <c r="S31" s="55" t="n">
        <f aca="false">S23-S30</f>
        <v>17300149.8360836</v>
      </c>
      <c r="T31" s="55" t="n">
        <f aca="false">T23-T30</f>
        <v>20200997.8405518</v>
      </c>
      <c r="U31" s="55" t="n">
        <f aca="false">U23-U30</f>
        <v>23250646.5388185</v>
      </c>
      <c r="V31" s="55" t="n">
        <f aca="false">V23-V30</f>
        <v>26582178.3229653</v>
      </c>
      <c r="W31" s="55" t="n">
        <f aca="false">W23-W30</f>
        <v>30395358.2575808</v>
      </c>
      <c r="X31" s="55" t="n">
        <f aca="false">X23-X30</f>
        <v>35678128.4998163</v>
      </c>
      <c r="Y31" s="55" t="n">
        <f aca="false">Y23-Y30</f>
        <v>41342145.532875</v>
      </c>
      <c r="Z31" s="55" t="n">
        <f aca="false">Z23-Z30</f>
        <v>47598106.6113024</v>
      </c>
      <c r="AA31" s="55" t="n">
        <f aca="false">AA23-AA30</f>
        <v>53278896.9017259</v>
      </c>
      <c r="AB31" s="55" t="n">
        <f aca="false">AB23-AB30</f>
        <v>59139087.0559721</v>
      </c>
      <c r="AC31" s="55" t="n">
        <f aca="false">AC23-AC30</f>
        <v>66908742.3004201</v>
      </c>
      <c r="AD31" s="55" t="n">
        <f aca="false">AD23-AD30</f>
        <v>74363665.2013461</v>
      </c>
      <c r="AE31" s="55" t="n">
        <f aca="false">AE23-AE30</f>
        <v>82157943.1298778</v>
      </c>
      <c r="AF31" s="55" t="n">
        <f aca="false">AF23-AF30</f>
        <v>90475679.1756445</v>
      </c>
      <c r="AG31" s="55" t="n">
        <f aca="false">AG23-AG30</f>
        <v>87958492.2495505</v>
      </c>
      <c r="AH31" s="55" t="n">
        <f aca="false">AH23-AH30</f>
        <v>104503153.758913</v>
      </c>
      <c r="AI31" s="55" t="n">
        <f aca="false">AI23-AI30</f>
        <v>112348328.357145</v>
      </c>
      <c r="AJ31" s="55" t="n">
        <f aca="false">AJ23-AJ30</f>
        <v>120587741.570039</v>
      </c>
      <c r="AK31" s="55" t="n">
        <f aca="false">AK23-AK30</f>
        <v>128837736.196582</v>
      </c>
      <c r="AL31" s="55" t="n">
        <f aca="false">AL23-AL30</f>
        <v>137097051.233096</v>
      </c>
      <c r="AM31" s="55" t="n">
        <f aca="false">AM23-AM30</f>
        <v>145527249.963088</v>
      </c>
      <c r="AN31" s="55" t="n">
        <f aca="false">AN23-AN30</f>
        <v>154365581.427897</v>
      </c>
      <c r="AO31" s="55" t="n">
        <f aca="false">AO23-AO30</f>
        <v>163499838.942345</v>
      </c>
      <c r="AP31" s="55" t="n">
        <f aca="false">AP23-AP30</f>
        <v>173772410.737995</v>
      </c>
      <c r="AQ31" s="55" t="n">
        <f aca="false">AQ23-AQ30</f>
        <v>184284668.56446</v>
      </c>
      <c r="AR31" s="55" t="n">
        <f aca="false">AR23-AR30</f>
        <v>194720875.964879</v>
      </c>
      <c r="AS31" s="55" t="n">
        <f aca="false">AS23-AS30</f>
        <v>205339618.850262</v>
      </c>
      <c r="AT31" s="55" t="n">
        <f aca="false">AT23-AT30</f>
        <v>216341724.709907</v>
      </c>
      <c r="AU31" s="55" t="n">
        <f aca="false">AU23-AU30</f>
        <v>227427602.978835</v>
      </c>
      <c r="AV31" s="55" t="n">
        <f aca="false">AV23-AV30</f>
        <v>238769084.999688</v>
      </c>
      <c r="AW31" s="55" t="n">
        <f aca="false">AW23-AW30</f>
        <v>250812441.11525</v>
      </c>
      <c r="AX31" s="55" t="n">
        <f aca="false">AX23-AX30</f>
        <v>262951286.794465</v>
      </c>
      <c r="AY31" s="55" t="n">
        <f aca="false">AY23-AY30</f>
        <v>275325000.825603</v>
      </c>
      <c r="AZ31" s="55" t="n">
        <f aca="false">AZ23-AZ30</f>
        <v>287630122.653738</v>
      </c>
      <c r="BA31" s="55" t="n">
        <f aca="false">BA23-BA30</f>
        <v>300139151.921603</v>
      </c>
      <c r="BB31" s="55" t="n">
        <f aca="false">BB23-BB30</f>
        <v>313839178.884851</v>
      </c>
      <c r="BC31" s="55" t="n">
        <f aca="false">BC23-BC30</f>
        <v>327548670.843963</v>
      </c>
      <c r="BD31" s="55" t="n">
        <f aca="false">BD23-BD30</f>
        <v>341499689.488757</v>
      </c>
      <c r="BE31" s="55" t="n">
        <f aca="false">BE23-BE30</f>
        <v>355436179.999257</v>
      </c>
      <c r="BF31" s="55" t="n">
        <f aca="false">BF23-BF30</f>
        <v>369672384.046808</v>
      </c>
      <c r="BG31" s="55" t="n">
        <f aca="false">BG23-BG30</f>
        <v>384163119.554858</v>
      </c>
      <c r="BH31" s="55" t="n">
        <f aca="false">BH23-BH30</f>
        <v>398686495.703433</v>
      </c>
      <c r="BI31" s="55" t="n">
        <f aca="false">BI23-BI30</f>
        <v>413521707.504786</v>
      </c>
      <c r="BJ31" s="55" t="n">
        <f aca="false">BJ23-BJ30</f>
        <v>428675688.720573</v>
      </c>
      <c r="BK31" s="55" t="n">
        <f aca="false">BK23-BK30</f>
        <v>444093640.188063</v>
      </c>
      <c r="BL31" s="55" t="n">
        <f aca="false">BL23-BL30</f>
        <v>459477701.582327</v>
      </c>
    </row>
    <row r="32" customFormat="false" ht="15" hidden="false" customHeight="false" outlineLevel="0" collapsed="false">
      <c r="A32" s="12" t="s">
        <v>95</v>
      </c>
      <c r="B32" s="14" t="s">
        <v>96</v>
      </c>
      <c r="E32" s="34" t="n">
        <f aca="false">IFERROR(E31/E23,0)</f>
        <v>0</v>
      </c>
      <c r="F32" s="34" t="n">
        <f aca="false">IFERROR(F31/F23,0)</f>
        <v>0</v>
      </c>
      <c r="G32" s="34" t="n">
        <f aca="false">IFERROR(G31/G23,0)</f>
        <v>0</v>
      </c>
      <c r="H32" s="34" t="n">
        <f aca="false">IFERROR(H31/H23,0)</f>
        <v>0</v>
      </c>
      <c r="I32" s="34" t="n">
        <f aca="false">IFERROR(I31/I23,0)</f>
        <v>-0.0603174603174603</v>
      </c>
      <c r="J32" s="34" t="n">
        <f aca="false">IFERROR(J31/J23,0)</f>
        <v>0.204403098696666</v>
      </c>
      <c r="K32" s="34" t="n">
        <f aca="false">IFERROR(K31/K23,0)</f>
        <v>0.276355925646344</v>
      </c>
      <c r="L32" s="34" t="n">
        <f aca="false">IFERROR(L31/L23,0)</f>
        <v>0.309881876680764</v>
      </c>
      <c r="M32" s="34" t="n">
        <f aca="false">IFERROR(M31/M23,0)</f>
        <v>0.329264644917636</v>
      </c>
      <c r="N32" s="34" t="n">
        <f aca="false">IFERROR(N31/N23,0)</f>
        <v>0.341885639534847</v>
      </c>
      <c r="O32" s="34" t="n">
        <f aca="false">IFERROR(O31/O23,0)</f>
        <v>0.357074843503589</v>
      </c>
      <c r="P32" s="34" t="n">
        <f aca="false">IFERROR(P31/P23,0)</f>
        <v>0.369656033714263</v>
      </c>
      <c r="Q32" s="34" t="n">
        <f aca="false">IFERROR(Q31/Q23,0)</f>
        <v>0.370167602850495</v>
      </c>
      <c r="R32" s="34" t="n">
        <f aca="false">IFERROR(R31/R23,0)</f>
        <v>0.383826604195746</v>
      </c>
      <c r="S32" s="34" t="n">
        <f aca="false">IFERROR(S31/S23,0)</f>
        <v>0.395423764209198</v>
      </c>
      <c r="T32" s="34" t="n">
        <f aca="false">IFERROR(T31/T23,0)</f>
        <v>0.405547228369475</v>
      </c>
      <c r="U32" s="34" t="n">
        <f aca="false">IFERROR(U31/U23,0)</f>
        <v>0.414566416294354</v>
      </c>
      <c r="V32" s="34" t="n">
        <f aca="false">IFERROR(V31/V23,0)</f>
        <v>0.422067203949828</v>
      </c>
      <c r="W32" s="34" t="n">
        <f aca="false">IFERROR(W31/W23,0)</f>
        <v>0.418082079322342</v>
      </c>
      <c r="X32" s="34" t="n">
        <f aca="false">IFERROR(X31/X23,0)</f>
        <v>0.427010337633716</v>
      </c>
      <c r="Y32" s="34" t="n">
        <f aca="false">IFERROR(Y31/Y23,0)</f>
        <v>0.433144250517513</v>
      </c>
      <c r="Z32" s="34" t="n">
        <f aca="false">IFERROR(Z31/Z23,0)</f>
        <v>0.440669784428295</v>
      </c>
      <c r="AA32" s="34" t="n">
        <f aca="false">IFERROR(AA31/AA23,0)</f>
        <v>0.443307671862389</v>
      </c>
      <c r="AB32" s="34" t="n">
        <f aca="false">IFERROR(AB31/AB23,0)</f>
        <v>0.445541777161788</v>
      </c>
      <c r="AC32" s="34" t="n">
        <f aca="false">IFERROR(AC31/AC23,0)</f>
        <v>0.449193406323919</v>
      </c>
      <c r="AD32" s="34" t="n">
        <f aca="false">IFERROR(AD31/AD23,0)</f>
        <v>0.452067589803546</v>
      </c>
      <c r="AE32" s="34" t="n">
        <f aca="false">IFERROR(AE31/AE23,0)</f>
        <v>0.453872815302878</v>
      </c>
      <c r="AF32" s="34" t="n">
        <f aca="false">IFERROR(AF31/AF23,0)</f>
        <v>0.456759584068778</v>
      </c>
      <c r="AG32" s="34" t="n">
        <f aca="false">IFERROR(AG31/AG23,0)</f>
        <v>0.408205664730729</v>
      </c>
      <c r="AH32" s="34" t="n">
        <f aca="false">IFERROR(AH31/AH23,0)</f>
        <v>0.45077170933012</v>
      </c>
      <c r="AI32" s="34" t="n">
        <f aca="false">IFERROR(AI31/AI23,0)</f>
        <v>0.45189604023185</v>
      </c>
      <c r="AJ32" s="34" t="n">
        <f aca="false">IFERROR(AJ31/AJ23,0)</f>
        <v>0.453847132326518</v>
      </c>
      <c r="AK32" s="34" t="n">
        <f aca="false">IFERROR(AK31/AK23,0)</f>
        <v>0.455488591688466</v>
      </c>
      <c r="AL32" s="34" t="n">
        <f aca="false">IFERROR(AL31/AL23,0)</f>
        <v>0.456856089791971</v>
      </c>
      <c r="AM32" s="34" t="n">
        <f aca="false">IFERROR(AM31/AM23,0)</f>
        <v>0.45745677308177</v>
      </c>
      <c r="AN32" s="34" t="n">
        <f aca="false">IFERROR(AN31/AN23,0)</f>
        <v>0.45873115686431</v>
      </c>
      <c r="AO32" s="34" t="n">
        <f aca="false">IFERROR(AO31/AO23,0)</f>
        <v>0.457999837160239</v>
      </c>
      <c r="AP32" s="34" t="n">
        <f aca="false">IFERROR(AP31/AP23,0)</f>
        <v>0.458729954239844</v>
      </c>
      <c r="AQ32" s="34" t="n">
        <f aca="false">IFERROR(AQ31/AQ23,0)</f>
        <v>0.459755755030401</v>
      </c>
      <c r="AR32" s="34" t="n">
        <f aca="false">IFERROR(AR31/AR23,0)</f>
        <v>0.460458454248811</v>
      </c>
      <c r="AS32" s="34" t="n">
        <f aca="false">IFERROR(AS31/AS23,0)</f>
        <v>0.460611728577666</v>
      </c>
      <c r="AT32" s="34" t="n">
        <f aca="false">IFERROR(AT31/AT23,0)</f>
        <v>0.461200181017592</v>
      </c>
      <c r="AU32" s="34" t="n">
        <f aca="false">IFERROR(AU31/AU23,0)</f>
        <v>0.461686330957052</v>
      </c>
      <c r="AV32" s="34" t="n">
        <f aca="false">IFERROR(AV31/AV23,0)</f>
        <v>0.461307903565776</v>
      </c>
      <c r="AW32" s="34" t="n">
        <f aca="false">IFERROR(AW31/AW23,0)</f>
        <v>0.461879572282623</v>
      </c>
      <c r="AX32" s="34" t="n">
        <f aca="false">IFERROR(AX31/AX23,0)</f>
        <v>0.462130653987042</v>
      </c>
      <c r="AY32" s="34" t="n">
        <f aca="false">IFERROR(AY31/AY23,0)</f>
        <v>0.462735377653619</v>
      </c>
      <c r="AZ32" s="34" t="n">
        <f aca="false">IFERROR(AZ31/AZ23,0)</f>
        <v>0.463276209021065</v>
      </c>
      <c r="BA32" s="34" t="n">
        <f aca="false">IFERROR(BA31/BA23,0)</f>
        <v>0.462358205911883</v>
      </c>
      <c r="BB32" s="34" t="n">
        <f aca="false">IFERROR(BB31/BB23,0)</f>
        <v>0.462905454207889</v>
      </c>
      <c r="BC32" s="34" t="n">
        <f aca="false">IFERROR(BC31/BC23,0)</f>
        <v>0.463091880675434</v>
      </c>
      <c r="BD32" s="34" t="n">
        <f aca="false">IFERROR(BD31/BD23,0)</f>
        <v>0.463564966218089</v>
      </c>
      <c r="BE32" s="34" t="n">
        <f aca="false">IFERROR(BE31/BE23,0)</f>
        <v>0.463719580144002</v>
      </c>
      <c r="BF32" s="34" t="n">
        <f aca="false">IFERROR(BF31/BF23,0)</f>
        <v>0.463842377236864</v>
      </c>
      <c r="BG32" s="34" t="n">
        <f aca="false">IFERROR(BG31/BG23,0)</f>
        <v>0.464223643850865</v>
      </c>
      <c r="BH32" s="34" t="n">
        <f aca="false">IFERROR(BH31/BH23,0)</f>
        <v>0.464315387075053</v>
      </c>
      <c r="BI32" s="34" t="n">
        <f aca="false">IFERROR(BI31/BI23,0)</f>
        <v>0.464416119883808</v>
      </c>
      <c r="BJ32" s="34" t="n">
        <f aca="false">IFERROR(BJ31/BJ23,0)</f>
        <v>0.464490699595672</v>
      </c>
      <c r="BK32" s="34" t="n">
        <f aca="false">IFERROR(BK31/BK23,0)</f>
        <v>0.464842110125271</v>
      </c>
      <c r="BL32" s="34" t="n">
        <f aca="false">IFERROR(BL31/BL23,0)</f>
        <v>0.464998673602396</v>
      </c>
    </row>
    <row r="34" customFormat="false" ht="15" hidden="false" customHeight="false" outlineLevel="0" collapsed="false">
      <c r="A34" s="10" t="s">
        <v>1111</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22</v>
      </c>
      <c r="B35" s="14" t="s">
        <v>77</v>
      </c>
      <c r="D35" s="55" t="n">
        <f aca="false">SUM(E35:BL35)</f>
        <v>2034881750.28125</v>
      </c>
      <c r="E35" s="23" t="n">
        <f aca="false">Costs!E34</f>
        <v>9880000</v>
      </c>
      <c r="F35" s="23" t="n">
        <f aca="false">Costs!F34</f>
        <v>9880000</v>
      </c>
      <c r="G35" s="23" t="n">
        <f aca="false">Costs!G34</f>
        <v>9880000</v>
      </c>
      <c r="H35" s="23" t="n">
        <f aca="false">Costs!H34</f>
        <v>12740000</v>
      </c>
      <c r="I35" s="23" t="n">
        <f aca="false">Costs!I34</f>
        <v>13260000</v>
      </c>
      <c r="J35" s="23" t="n">
        <f aca="false">Costs!J34</f>
        <v>13260000</v>
      </c>
      <c r="K35" s="23" t="n">
        <f aca="false">Costs!K34</f>
        <v>13260000</v>
      </c>
      <c r="L35" s="23" t="n">
        <f aca="false">Costs!L34</f>
        <v>13260000</v>
      </c>
      <c r="M35" s="23" t="n">
        <f aca="false">Costs!M34</f>
        <v>13260000</v>
      </c>
      <c r="N35" s="23" t="n">
        <f aca="false">Costs!N34</f>
        <v>13260000</v>
      </c>
      <c r="O35" s="23" t="n">
        <f aca="false">Costs!O34</f>
        <v>13260000</v>
      </c>
      <c r="P35" s="23" t="n">
        <f aca="false">Costs!P34</f>
        <v>13260000</v>
      </c>
      <c r="Q35" s="23" t="n">
        <f aca="false">Costs!Q34</f>
        <v>17335500</v>
      </c>
      <c r="R35" s="23" t="n">
        <f aca="false">Costs!R34</f>
        <v>17335500</v>
      </c>
      <c r="S35" s="23" t="n">
        <f aca="false">Costs!S34</f>
        <v>17335500</v>
      </c>
      <c r="T35" s="23" t="n">
        <f aca="false">Costs!T34</f>
        <v>18154500</v>
      </c>
      <c r="U35" s="23" t="n">
        <f aca="false">Costs!U34</f>
        <v>18154500</v>
      </c>
      <c r="V35" s="23" t="n">
        <f aca="false">Costs!V34</f>
        <v>23205000</v>
      </c>
      <c r="W35" s="23" t="n">
        <f aca="false">Costs!W34</f>
        <v>23205000</v>
      </c>
      <c r="X35" s="23" t="n">
        <f aca="false">Costs!X34</f>
        <v>23751000</v>
      </c>
      <c r="Y35" s="23" t="n">
        <f aca="false">Costs!Y34</f>
        <v>24092250</v>
      </c>
      <c r="Z35" s="23" t="n">
        <f aca="false">Costs!Z34</f>
        <v>24092250</v>
      </c>
      <c r="AA35" s="23" t="n">
        <f aca="false">Costs!AA34</f>
        <v>24092250</v>
      </c>
      <c r="AB35" s="23" t="n">
        <f aca="false">Costs!AB34</f>
        <v>26139750</v>
      </c>
      <c r="AC35" s="23" t="n">
        <f aca="false">Costs!AC34</f>
        <v>27805050</v>
      </c>
      <c r="AD35" s="23" t="n">
        <f aca="false">Costs!AD34</f>
        <v>28378350</v>
      </c>
      <c r="AE35" s="23" t="n">
        <f aca="false">Costs!AE34</f>
        <v>28378350</v>
      </c>
      <c r="AF35" s="23" t="n">
        <f aca="false">Costs!AF34</f>
        <v>30456562.5</v>
      </c>
      <c r="AG35" s="23" t="n">
        <f aca="false">Costs!AG34</f>
        <v>32033137.5</v>
      </c>
      <c r="AH35" s="23" t="n">
        <f aca="false">Costs!AH34</f>
        <v>32606437.5</v>
      </c>
      <c r="AI35" s="23" t="n">
        <f aca="false">Costs!AI34</f>
        <v>32964750</v>
      </c>
      <c r="AJ35" s="23" t="n">
        <f aca="false">Costs!AJ34</f>
        <v>32964750</v>
      </c>
      <c r="AK35" s="23" t="n">
        <f aca="false">Costs!AK34</f>
        <v>33323062.5</v>
      </c>
      <c r="AL35" s="23" t="n">
        <f aca="false">Costs!AL34</f>
        <v>34756312.5</v>
      </c>
      <c r="AM35" s="23" t="n">
        <f aca="false">Costs!AM34</f>
        <v>35114625</v>
      </c>
      <c r="AN35" s="23" t="n">
        <f aca="false">Costs!AN34</f>
        <v>35759587.5</v>
      </c>
      <c r="AO35" s="23" t="n">
        <f aca="false">Costs!AO34</f>
        <v>38525760</v>
      </c>
      <c r="AP35" s="23" t="n">
        <f aca="false">Costs!AP34</f>
        <v>38525760</v>
      </c>
      <c r="AQ35" s="23" t="n">
        <f aca="false">Costs!AQ34</f>
        <v>39804935.625</v>
      </c>
      <c r="AR35" s="23" t="n">
        <f aca="false">Costs!AR34</f>
        <v>42589023.75</v>
      </c>
      <c r="AS35" s="23" t="n">
        <f aca="false">Costs!AS34</f>
        <v>42589023.75</v>
      </c>
      <c r="AT35" s="23" t="n">
        <f aca="false">Costs!AT34</f>
        <v>42965251.875</v>
      </c>
      <c r="AU35" s="23" t="n">
        <f aca="false">Costs!AU34</f>
        <v>44620655.625</v>
      </c>
      <c r="AV35" s="23" t="n">
        <f aca="false">Costs!AV34</f>
        <v>44620655.625</v>
      </c>
      <c r="AW35" s="23" t="n">
        <f aca="false">Costs!AW34</f>
        <v>46501796.25</v>
      </c>
      <c r="AX35" s="23" t="n">
        <f aca="false">Costs!AX34</f>
        <v>46878024.375</v>
      </c>
      <c r="AY35" s="23" t="n">
        <f aca="false">Costs!AY34</f>
        <v>47254252.5</v>
      </c>
      <c r="AZ35" s="23" t="n">
        <f aca="false">Costs!AZ34</f>
        <v>48533428.125</v>
      </c>
      <c r="BA35" s="23" t="n">
        <f aca="false">Costs!BA34</f>
        <v>53251328.8125</v>
      </c>
      <c r="BB35" s="23" t="n">
        <f aca="false">Costs!BB34</f>
        <v>55226526.46875</v>
      </c>
      <c r="BC35" s="23" t="n">
        <f aca="false">Costs!BC34</f>
        <v>55621566</v>
      </c>
      <c r="BD35" s="23" t="n">
        <f aca="false">Costs!BD34</f>
        <v>56727676.6875</v>
      </c>
      <c r="BE35" s="23" t="n">
        <f aca="false">Costs!BE34</f>
        <v>57359739.9375</v>
      </c>
      <c r="BF35" s="23" t="n">
        <f aca="false">Costs!BF34</f>
        <v>58702874.34375</v>
      </c>
      <c r="BG35" s="23" t="n">
        <f aca="false">Costs!BG34</f>
        <v>59729977.125</v>
      </c>
      <c r="BH35" s="23" t="n">
        <f aca="false">Costs!BH34</f>
        <v>62732277.5625</v>
      </c>
      <c r="BI35" s="23" t="n">
        <f aca="false">Costs!BI34</f>
        <v>63759380.34375</v>
      </c>
      <c r="BJ35" s="23" t="n">
        <f aca="false">Costs!BJ34</f>
        <v>65102514.75</v>
      </c>
      <c r="BK35" s="23" t="n">
        <f aca="false">Costs!BK34</f>
        <v>66129617.53125</v>
      </c>
      <c r="BL35" s="23" t="n">
        <f aca="false">Costs!BL34</f>
        <v>67235728.21875</v>
      </c>
    </row>
    <row r="36" customFormat="false" ht="15" hidden="false" customHeight="false" outlineLevel="0" collapsed="false">
      <c r="A36" s="12" t="s">
        <v>1069</v>
      </c>
      <c r="B36" s="14" t="s">
        <v>77</v>
      </c>
      <c r="D36" s="55" t="n">
        <f aca="false">SUM(E36:BL36)</f>
        <v>412405518.3</v>
      </c>
      <c r="E36" s="23" t="n">
        <f aca="false">Costs!E41</f>
        <v>5144892.5</v>
      </c>
      <c r="F36" s="23" t="n">
        <f aca="false">Costs!F41</f>
        <v>1008935.5</v>
      </c>
      <c r="G36" s="23" t="n">
        <f aca="false">Costs!G41</f>
        <v>1008935.5</v>
      </c>
      <c r="H36" s="23" t="n">
        <f aca="false">Costs!H41</f>
        <v>3657763.5</v>
      </c>
      <c r="I36" s="23" t="n">
        <f aca="false">Costs!I41</f>
        <v>2547636.6</v>
      </c>
      <c r="J36" s="23" t="n">
        <f aca="false">Costs!J41</f>
        <v>2219658.1</v>
      </c>
      <c r="K36" s="23" t="n">
        <f aca="false">Costs!K41</f>
        <v>2219658.1</v>
      </c>
      <c r="L36" s="23" t="n">
        <f aca="false">Costs!L41</f>
        <v>2219658.1</v>
      </c>
      <c r="M36" s="23" t="n">
        <f aca="false">Costs!M41</f>
        <v>2219658.1</v>
      </c>
      <c r="N36" s="23" t="n">
        <f aca="false">Costs!N41</f>
        <v>2219658.1</v>
      </c>
      <c r="O36" s="23" t="n">
        <f aca="false">Costs!O41</f>
        <v>2219658.1</v>
      </c>
      <c r="P36" s="23" t="n">
        <f aca="false">Costs!P41</f>
        <v>2219658.1</v>
      </c>
      <c r="Q36" s="23" t="n">
        <f aca="false">Costs!Q41</f>
        <v>2749423.7</v>
      </c>
      <c r="R36" s="23" t="n">
        <f aca="false">Costs!R41</f>
        <v>2421445.2</v>
      </c>
      <c r="S36" s="23" t="n">
        <f aca="false">Costs!S41</f>
        <v>2421445.2</v>
      </c>
      <c r="T36" s="23" t="n">
        <f aca="false">Costs!T41</f>
        <v>2951210.8</v>
      </c>
      <c r="U36" s="23" t="n">
        <f aca="false">Costs!U41</f>
        <v>2623232.3</v>
      </c>
      <c r="V36" s="23" t="n">
        <f aca="false">Costs!V41</f>
        <v>4212529.1</v>
      </c>
      <c r="W36" s="23" t="n">
        <f aca="false">Costs!W41</f>
        <v>3228593.6</v>
      </c>
      <c r="X36" s="23" t="n">
        <f aca="false">Costs!X41</f>
        <v>3758359.2</v>
      </c>
      <c r="Y36" s="23" t="n">
        <f aca="false">Costs!Y41</f>
        <v>3960146.3</v>
      </c>
      <c r="Z36" s="23" t="n">
        <f aca="false">Costs!Z41</f>
        <v>3632167.8</v>
      </c>
      <c r="AA36" s="23" t="n">
        <f aca="false">Costs!AA41</f>
        <v>3632167.8</v>
      </c>
      <c r="AB36" s="23" t="n">
        <f aca="false">Costs!AB41</f>
        <v>4161933.4</v>
      </c>
      <c r="AC36" s="23" t="n">
        <f aca="false">Costs!AC41</f>
        <v>4363720.5</v>
      </c>
      <c r="AD36" s="23" t="n">
        <f aca="false">Costs!AD41</f>
        <v>4565507.6</v>
      </c>
      <c r="AE36" s="23" t="n">
        <f aca="false">Costs!AE41</f>
        <v>4237529.1</v>
      </c>
      <c r="AF36" s="23" t="n">
        <f aca="false">Costs!AF41</f>
        <v>6129081.8</v>
      </c>
      <c r="AG36" s="23" t="n">
        <f aca="false">Costs!AG41</f>
        <v>6230400.1</v>
      </c>
      <c r="AH36" s="23" t="n">
        <f aca="false">Costs!AH41</f>
        <v>5776230.2</v>
      </c>
      <c r="AI36" s="23" t="n">
        <f aca="false">Costs!AI41</f>
        <v>5978017.3</v>
      </c>
      <c r="AJ36" s="23" t="n">
        <f aca="false">Costs!AJ41</f>
        <v>5650038.8</v>
      </c>
      <c r="AK36" s="23" t="n">
        <f aca="false">Costs!AK41</f>
        <v>6179804.4</v>
      </c>
      <c r="AL36" s="23" t="n">
        <f aca="false">Costs!AL41</f>
        <v>6911357.1</v>
      </c>
      <c r="AM36" s="23" t="n">
        <f aca="false">Costs!AM41</f>
        <v>6785165.7</v>
      </c>
      <c r="AN36" s="23" t="n">
        <f aca="false">Costs!AN41</f>
        <v>6986952.8</v>
      </c>
      <c r="AO36" s="23" t="n">
        <f aca="false">Costs!AO41</f>
        <v>7718505.5</v>
      </c>
      <c r="AP36" s="23" t="n">
        <f aca="false">Costs!AP41</f>
        <v>7062548.5</v>
      </c>
      <c r="AQ36" s="23" t="n">
        <f aca="false">Costs!AQ41</f>
        <v>8122079.7</v>
      </c>
      <c r="AR36" s="23" t="n">
        <f aca="false">Costs!AR41</f>
        <v>9887441</v>
      </c>
      <c r="AS36" s="23" t="n">
        <f aca="false">Costs!AS41</f>
        <v>8071484</v>
      </c>
      <c r="AT36" s="23" t="n">
        <f aca="false">Costs!AT41</f>
        <v>8601249.6</v>
      </c>
      <c r="AU36" s="23" t="n">
        <f aca="false">Costs!AU41</f>
        <v>9862567.9</v>
      </c>
      <c r="AV36" s="23" t="n">
        <f aca="false">Costs!AV41</f>
        <v>8878632.4</v>
      </c>
      <c r="AW36" s="23" t="n">
        <f aca="false">Costs!AW41</f>
        <v>10467929.2</v>
      </c>
      <c r="AX36" s="23" t="n">
        <f aca="false">Costs!AX41</f>
        <v>10013759.3</v>
      </c>
      <c r="AY36" s="23" t="n">
        <f aca="false">Costs!AY41</f>
        <v>10215546.4</v>
      </c>
      <c r="AZ36" s="23" t="n">
        <f aca="false">Costs!AZ41</f>
        <v>10947099.1</v>
      </c>
      <c r="BA36" s="23" t="n">
        <f aca="false">Costs!BA41</f>
        <v>12182694.8</v>
      </c>
      <c r="BB36" s="23" t="n">
        <f aca="false">Costs!BB41</f>
        <v>12284013.1</v>
      </c>
      <c r="BC36" s="23" t="n">
        <f aca="false">Costs!BC41</f>
        <v>11829843.2</v>
      </c>
      <c r="BD36" s="23" t="n">
        <f aca="false">Costs!BD41</f>
        <v>12561395.9</v>
      </c>
      <c r="BE36" s="23" t="n">
        <f aca="false">Costs!BE41</f>
        <v>12435204.5</v>
      </c>
      <c r="BF36" s="23" t="n">
        <f aca="false">Costs!BF41</f>
        <v>13166757.2</v>
      </c>
      <c r="BG36" s="23" t="n">
        <f aca="false">Costs!BG41</f>
        <v>13570331.4</v>
      </c>
      <c r="BH36" s="23" t="n">
        <f aca="false">Costs!BH41</f>
        <v>15335692.7</v>
      </c>
      <c r="BI36" s="23" t="n">
        <f aca="false">Costs!BI41</f>
        <v>14579266.9</v>
      </c>
      <c r="BJ36" s="23" t="n">
        <f aca="false">Costs!BJ41</f>
        <v>14982841.1</v>
      </c>
      <c r="BK36" s="23" t="n">
        <f aca="false">Costs!BK41</f>
        <v>15386415.3</v>
      </c>
      <c r="BL36" s="23" t="n">
        <f aca="false">Costs!BL41</f>
        <v>15789989.5</v>
      </c>
    </row>
    <row r="37" customFormat="false" ht="15" hidden="false" customHeight="false" outlineLevel="0" collapsed="false">
      <c r="A37" s="12" t="s">
        <v>670</v>
      </c>
      <c r="B37" s="14" t="s">
        <v>77</v>
      </c>
      <c r="D37" s="55" t="n">
        <f aca="false">SUM(E37:BL37)</f>
        <v>715120318.077053</v>
      </c>
      <c r="E37" s="23" t="n">
        <f aca="false">Costs!E55</f>
        <v>5059915.83333333</v>
      </c>
      <c r="F37" s="23" t="n">
        <f aca="false">Costs!F55</f>
        <v>6799915.83333333</v>
      </c>
      <c r="G37" s="23" t="n">
        <f aca="false">Costs!G55</f>
        <v>35799915.8333333</v>
      </c>
      <c r="H37" s="23" t="n">
        <f aca="false">Costs!H55</f>
        <v>12739115.8333333</v>
      </c>
      <c r="I37" s="23" t="n">
        <f aca="false">Costs!I55</f>
        <v>9539955.83333333</v>
      </c>
      <c r="J37" s="23" t="n">
        <f aca="false">Costs!J55</f>
        <v>9318052.53333334</v>
      </c>
      <c r="K37" s="23" t="n">
        <f aca="false">Costs!K55</f>
        <v>9096702.22308333</v>
      </c>
      <c r="L37" s="23" t="n">
        <f aca="false">Costs!L55</f>
        <v>8875755.35372271</v>
      </c>
      <c r="M37" s="23" t="n">
        <f aca="false">Costs!M55</f>
        <v>8655056.14135126</v>
      </c>
      <c r="N37" s="23" t="n">
        <f aca="false">Costs!N55</f>
        <v>8434442.14763224</v>
      </c>
      <c r="O37" s="23" t="n">
        <f aca="false">Costs!O55</f>
        <v>8213743.83603416</v>
      </c>
      <c r="P37" s="23" t="n">
        <f aca="false">Costs!P55</f>
        <v>7992784.10223474</v>
      </c>
      <c r="Q37" s="23" t="n">
        <f aca="false">Costs!Q55</f>
        <v>9553217.77712229</v>
      </c>
      <c r="R37" s="23" t="n">
        <f aca="false">Costs!R55</f>
        <v>9253579.80073584</v>
      </c>
      <c r="S37" s="23" t="n">
        <f aca="false">Costs!S55</f>
        <v>8954092.49513658</v>
      </c>
      <c r="T37" s="23" t="n">
        <f aca="false">Costs!T55</f>
        <v>14533435.8333333</v>
      </c>
      <c r="U37" s="23" t="n">
        <f aca="false">Costs!U55</f>
        <v>8733435.83333333</v>
      </c>
      <c r="V37" s="23" t="n">
        <f aca="false">Costs!V55</f>
        <v>8764755.83333333</v>
      </c>
      <c r="W37" s="23" t="n">
        <f aca="false">Costs!W55</f>
        <v>8764755.83333333</v>
      </c>
      <c r="X37" s="23" t="n">
        <f aca="false">Costs!X55</f>
        <v>8775195.83333333</v>
      </c>
      <c r="Y37" s="23" t="n">
        <f aca="false">Costs!Y55</f>
        <v>8785635.83333333</v>
      </c>
      <c r="Z37" s="23" t="n">
        <f aca="false">Costs!Z55</f>
        <v>8785635.83333333</v>
      </c>
      <c r="AA37" s="23" t="n">
        <f aca="false">Costs!AA55</f>
        <v>8785635.83333333</v>
      </c>
      <c r="AB37" s="23" t="n">
        <f aca="false">Costs!AB55</f>
        <v>8796075.83333333</v>
      </c>
      <c r="AC37" s="23" t="n">
        <f aca="false">Costs!AC55</f>
        <v>10704849.1666667</v>
      </c>
      <c r="AD37" s="23" t="n">
        <f aca="false">Costs!AD55</f>
        <v>10715289.1666667</v>
      </c>
      <c r="AE37" s="23" t="n">
        <f aca="false">Costs!AE55</f>
        <v>10715289.1666667</v>
      </c>
      <c r="AF37" s="23" t="n">
        <f aca="false">Costs!AF55</f>
        <v>16550669.1666667</v>
      </c>
      <c r="AG37" s="23" t="n">
        <f aca="false">Costs!AG55</f>
        <v>10781989.1666667</v>
      </c>
      <c r="AH37" s="23" t="n">
        <f aca="false">Costs!AH55</f>
        <v>10792429.1666667</v>
      </c>
      <c r="AI37" s="23" t="n">
        <f aca="false">Costs!AI55</f>
        <v>10802869.1666667</v>
      </c>
      <c r="AJ37" s="23" t="n">
        <f aca="false">Costs!AJ55</f>
        <v>10802869.1666667</v>
      </c>
      <c r="AK37" s="23" t="n">
        <f aca="false">Costs!AK55</f>
        <v>10813309.1666667</v>
      </c>
      <c r="AL37" s="23" t="n">
        <f aca="false">Costs!AL55</f>
        <v>10834189.1666667</v>
      </c>
      <c r="AM37" s="23" t="n">
        <f aca="false">Costs!AM55</f>
        <v>10844629.1666667</v>
      </c>
      <c r="AN37" s="23" t="n">
        <f aca="false">Costs!AN55</f>
        <v>10855069.1666667</v>
      </c>
      <c r="AO37" s="23" t="n">
        <f aca="false">Costs!AO55</f>
        <v>12519282.5</v>
      </c>
      <c r="AP37" s="23" t="n">
        <f aca="false">Costs!AP55</f>
        <v>12519282.5</v>
      </c>
      <c r="AQ37" s="23" t="n">
        <f aca="false">Costs!AQ55</f>
        <v>12540162.5</v>
      </c>
      <c r="AR37" s="23" t="n">
        <f aca="false">Costs!AR55</f>
        <v>18385982.5</v>
      </c>
      <c r="AS37" s="23" t="n">
        <f aca="false">Costs!AS55</f>
        <v>12585982.5</v>
      </c>
      <c r="AT37" s="23" t="n">
        <f aca="false">Costs!AT55</f>
        <v>12596422.5</v>
      </c>
      <c r="AU37" s="23" t="n">
        <f aca="false">Costs!AU55</f>
        <v>12627742.5</v>
      </c>
      <c r="AV37" s="23" t="n">
        <f aca="false">Costs!AV55</f>
        <v>12627742.5</v>
      </c>
      <c r="AW37" s="23" t="n">
        <f aca="false">Costs!AW55</f>
        <v>12659062.5</v>
      </c>
      <c r="AX37" s="23" t="n">
        <f aca="false">Costs!AX55</f>
        <v>12669502.5</v>
      </c>
      <c r="AY37" s="23" t="n">
        <f aca="false">Costs!AY55</f>
        <v>12679942.5</v>
      </c>
      <c r="AZ37" s="23" t="n">
        <f aca="false">Costs!AZ55</f>
        <v>12700822.5</v>
      </c>
      <c r="BA37" s="23" t="n">
        <f aca="false">Costs!BA55</f>
        <v>14379535.8333333</v>
      </c>
      <c r="BB37" s="23" t="n">
        <f aca="false">Costs!BB55</f>
        <v>14410855.8333333</v>
      </c>
      <c r="BC37" s="23" t="n">
        <f aca="false">Costs!BC55</f>
        <v>14421295.8333333</v>
      </c>
      <c r="BD37" s="23" t="n">
        <f aca="false">Costs!BD55</f>
        <v>20242175.8333333</v>
      </c>
      <c r="BE37" s="23" t="n">
        <f aca="false">Costs!BE55</f>
        <v>14452615.8333333</v>
      </c>
      <c r="BF37" s="23" t="n">
        <f aca="false">Costs!BF55</f>
        <v>14473495.8333333</v>
      </c>
      <c r="BG37" s="23" t="n">
        <f aca="false">Costs!BG55</f>
        <v>14494375.8333333</v>
      </c>
      <c r="BH37" s="23" t="n">
        <f aca="false">Costs!BH55</f>
        <v>14540195.8333333</v>
      </c>
      <c r="BI37" s="23" t="n">
        <f aca="false">Costs!BI55</f>
        <v>14561075.8333333</v>
      </c>
      <c r="BJ37" s="23" t="n">
        <f aca="false">Costs!BJ55</f>
        <v>14581955.8333333</v>
      </c>
      <c r="BK37" s="23" t="n">
        <f aca="false">Costs!BK55</f>
        <v>14602835.8333333</v>
      </c>
      <c r="BL37" s="23" t="n">
        <f aca="false">Costs!BL55</f>
        <v>14623715.8333333</v>
      </c>
    </row>
    <row r="38" customFormat="false" ht="15" hidden="false" customHeight="false" outlineLevel="0" collapsed="false">
      <c r="A38" s="12" t="s">
        <v>686</v>
      </c>
      <c r="B38" s="14" t="s">
        <v>77</v>
      </c>
      <c r="D38" s="55" t="n">
        <f aca="false">SUM(E38:BL38)</f>
        <v>230000000</v>
      </c>
      <c r="E38" s="23" t="n">
        <f aca="false">Costs!E63</f>
        <v>0</v>
      </c>
      <c r="F38" s="23" t="n">
        <f aca="false">Costs!F63</f>
        <v>15000000</v>
      </c>
      <c r="G38" s="23" t="n">
        <f aca="false">Costs!G63</f>
        <v>0</v>
      </c>
      <c r="H38" s="23" t="n">
        <f aca="false">Costs!H63</f>
        <v>0</v>
      </c>
      <c r="I38" s="23" t="n">
        <f aca="false">Costs!I63</f>
        <v>1500000</v>
      </c>
      <c r="J38" s="23" t="n">
        <f aca="false">Costs!J63</f>
        <v>1500000</v>
      </c>
      <c r="K38" s="23" t="n">
        <f aca="false">Costs!K63</f>
        <v>1500000</v>
      </c>
      <c r="L38" s="23" t="n">
        <f aca="false">Costs!L63</f>
        <v>1500000</v>
      </c>
      <c r="M38" s="23" t="n">
        <f aca="false">Costs!M63</f>
        <v>1500000</v>
      </c>
      <c r="N38" s="23" t="n">
        <f aca="false">Costs!N63</f>
        <v>1500000</v>
      </c>
      <c r="O38" s="23" t="n">
        <f aca="false">Costs!O63</f>
        <v>1500000</v>
      </c>
      <c r="P38" s="23" t="n">
        <f aca="false">Costs!P63</f>
        <v>1500000</v>
      </c>
      <c r="Q38" s="23" t="n">
        <f aca="false">Costs!Q63</f>
        <v>1750000</v>
      </c>
      <c r="R38" s="23" t="n">
        <f aca="false">Costs!R63</f>
        <v>1750000</v>
      </c>
      <c r="S38" s="23" t="n">
        <f aca="false">Costs!S63</f>
        <v>6750000</v>
      </c>
      <c r="T38" s="23" t="n">
        <f aca="false">Costs!T63</f>
        <v>16750000</v>
      </c>
      <c r="U38" s="23" t="n">
        <f aca="false">Costs!U63</f>
        <v>1750000</v>
      </c>
      <c r="V38" s="23" t="n">
        <f aca="false">Costs!V63</f>
        <v>1750000</v>
      </c>
      <c r="W38" s="23" t="n">
        <f aca="false">Costs!W63</f>
        <v>3250000</v>
      </c>
      <c r="X38" s="23" t="n">
        <f aca="false">Costs!X63</f>
        <v>3250000</v>
      </c>
      <c r="Y38" s="23" t="n">
        <f aca="false">Costs!Y63</f>
        <v>3250000</v>
      </c>
      <c r="Z38" s="23" t="n">
        <f aca="false">Costs!Z63</f>
        <v>3250000</v>
      </c>
      <c r="AA38" s="23" t="n">
        <f aca="false">Costs!AA63</f>
        <v>3250000</v>
      </c>
      <c r="AB38" s="23" t="n">
        <f aca="false">Costs!AB63</f>
        <v>3250000</v>
      </c>
      <c r="AC38" s="23" t="n">
        <f aca="false">Costs!AC63</f>
        <v>4250000</v>
      </c>
      <c r="AD38" s="23" t="n">
        <f aca="false">Costs!AD63</f>
        <v>4250000</v>
      </c>
      <c r="AE38" s="23" t="n">
        <f aca="false">Costs!AE63</f>
        <v>4250000</v>
      </c>
      <c r="AF38" s="23" t="n">
        <f aca="false">Costs!AF63</f>
        <v>4250000</v>
      </c>
      <c r="AG38" s="23" t="n">
        <f aca="false">Costs!AG63</f>
        <v>4250000</v>
      </c>
      <c r="AH38" s="23" t="n">
        <f aca="false">Costs!AH63</f>
        <v>4250000</v>
      </c>
      <c r="AI38" s="23" t="n">
        <f aca="false">Costs!AI63</f>
        <v>4250000</v>
      </c>
      <c r="AJ38" s="23" t="n">
        <f aca="false">Costs!AJ63</f>
        <v>4250000</v>
      </c>
      <c r="AK38" s="23" t="n">
        <f aca="false">Costs!AK63</f>
        <v>4250000</v>
      </c>
      <c r="AL38" s="23" t="n">
        <f aca="false">Costs!AL63</f>
        <v>4250000</v>
      </c>
      <c r="AM38" s="23" t="n">
        <f aca="false">Costs!AM63</f>
        <v>4250000</v>
      </c>
      <c r="AN38" s="23" t="n">
        <f aca="false">Costs!AN63</f>
        <v>4250000</v>
      </c>
      <c r="AO38" s="23" t="n">
        <f aca="false">Costs!AO63</f>
        <v>4250000</v>
      </c>
      <c r="AP38" s="23" t="n">
        <f aca="false">Costs!AP63</f>
        <v>4250000</v>
      </c>
      <c r="AQ38" s="23" t="n">
        <f aca="false">Costs!AQ63</f>
        <v>4250000</v>
      </c>
      <c r="AR38" s="23" t="n">
        <f aca="false">Costs!AR63</f>
        <v>4250000</v>
      </c>
      <c r="AS38" s="23" t="n">
        <f aca="false">Costs!AS63</f>
        <v>4250000</v>
      </c>
      <c r="AT38" s="23" t="n">
        <f aca="false">Costs!AT63</f>
        <v>4250000</v>
      </c>
      <c r="AU38" s="23" t="n">
        <f aca="false">Costs!AU63</f>
        <v>4250000</v>
      </c>
      <c r="AV38" s="23" t="n">
        <f aca="false">Costs!AV63</f>
        <v>4250000</v>
      </c>
      <c r="AW38" s="23" t="n">
        <f aca="false">Costs!AW63</f>
        <v>4250000</v>
      </c>
      <c r="AX38" s="23" t="n">
        <f aca="false">Costs!AX63</f>
        <v>4250000</v>
      </c>
      <c r="AY38" s="23" t="n">
        <f aca="false">Costs!AY63</f>
        <v>4250000</v>
      </c>
      <c r="AZ38" s="23" t="n">
        <f aca="false">Costs!AZ63</f>
        <v>4250000</v>
      </c>
      <c r="BA38" s="23" t="n">
        <f aca="false">Costs!BA63</f>
        <v>4250000</v>
      </c>
      <c r="BB38" s="23" t="n">
        <f aca="false">Costs!BB63</f>
        <v>4250000</v>
      </c>
      <c r="BC38" s="23" t="n">
        <f aca="false">Costs!BC63</f>
        <v>4250000</v>
      </c>
      <c r="BD38" s="23" t="n">
        <f aca="false">Costs!BD63</f>
        <v>4250000</v>
      </c>
      <c r="BE38" s="23" t="n">
        <f aca="false">Costs!BE63</f>
        <v>4250000</v>
      </c>
      <c r="BF38" s="23" t="n">
        <f aca="false">Costs!BF63</f>
        <v>4250000</v>
      </c>
      <c r="BG38" s="23" t="n">
        <f aca="false">Costs!BG63</f>
        <v>4250000</v>
      </c>
      <c r="BH38" s="23" t="n">
        <f aca="false">Costs!BH63</f>
        <v>4250000</v>
      </c>
      <c r="BI38" s="23" t="n">
        <f aca="false">Costs!BI63</f>
        <v>4250000</v>
      </c>
      <c r="BJ38" s="23" t="n">
        <f aca="false">Costs!BJ63</f>
        <v>4250000</v>
      </c>
      <c r="BK38" s="23" t="n">
        <f aca="false">Costs!BK63</f>
        <v>4250000</v>
      </c>
      <c r="BL38" s="23" t="n">
        <f aca="false">Costs!BL63</f>
        <v>4250000</v>
      </c>
    </row>
    <row r="39" customFormat="false" ht="15" hidden="false" customHeight="false" outlineLevel="0" collapsed="false">
      <c r="A39" s="12" t="s">
        <v>697</v>
      </c>
      <c r="B39" s="14" t="s">
        <v>77</v>
      </c>
      <c r="D39" s="55" t="n">
        <f aca="false">SUM(E39:BL39)</f>
        <v>656600000</v>
      </c>
      <c r="E39" s="23" t="n">
        <f aca="false">Costs!E76</f>
        <v>5475000</v>
      </c>
      <c r="F39" s="23" t="n">
        <f aca="false">Costs!F76</f>
        <v>2975000</v>
      </c>
      <c r="G39" s="23" t="n">
        <f aca="false">Costs!G76</f>
        <v>2975000</v>
      </c>
      <c r="H39" s="23" t="n">
        <f aca="false">Costs!H76</f>
        <v>2975000</v>
      </c>
      <c r="I39" s="23" t="n">
        <f aca="false">Costs!I76</f>
        <v>2975000</v>
      </c>
      <c r="J39" s="23" t="n">
        <f aca="false">Costs!J76</f>
        <v>2975000</v>
      </c>
      <c r="K39" s="23" t="n">
        <f aca="false">Costs!K76</f>
        <v>2975000</v>
      </c>
      <c r="L39" s="23" t="n">
        <f aca="false">Costs!L76</f>
        <v>2975000</v>
      </c>
      <c r="M39" s="23" t="n">
        <f aca="false">Costs!M76</f>
        <v>2975000</v>
      </c>
      <c r="N39" s="23" t="n">
        <f aca="false">Costs!N76</f>
        <v>2975000</v>
      </c>
      <c r="O39" s="23" t="n">
        <f aca="false">Costs!O76</f>
        <v>2975000</v>
      </c>
      <c r="P39" s="23" t="n">
        <f aca="false">Costs!P76</f>
        <v>2975000</v>
      </c>
      <c r="Q39" s="23" t="n">
        <f aca="false">Costs!Q76</f>
        <v>8100000</v>
      </c>
      <c r="R39" s="23" t="n">
        <f aca="false">Costs!R76</f>
        <v>8100000</v>
      </c>
      <c r="S39" s="23" t="n">
        <f aca="false">Costs!S76</f>
        <v>8100000</v>
      </c>
      <c r="T39" s="23" t="n">
        <f aca="false">Costs!T76</f>
        <v>11100000</v>
      </c>
      <c r="U39" s="23" t="n">
        <f aca="false">Costs!U76</f>
        <v>8100000</v>
      </c>
      <c r="V39" s="23" t="n">
        <f aca="false">Costs!V76</f>
        <v>8100000</v>
      </c>
      <c r="W39" s="23" t="n">
        <f aca="false">Costs!W76</f>
        <v>8100000</v>
      </c>
      <c r="X39" s="23" t="n">
        <f aca="false">Costs!X76</f>
        <v>8100000</v>
      </c>
      <c r="Y39" s="23" t="n">
        <f aca="false">Costs!Y76</f>
        <v>8100000</v>
      </c>
      <c r="Z39" s="23" t="n">
        <f aca="false">Costs!Z76</f>
        <v>8100000</v>
      </c>
      <c r="AA39" s="23" t="n">
        <f aca="false">Costs!AA76</f>
        <v>8100000</v>
      </c>
      <c r="AB39" s="23" t="n">
        <f aca="false">Costs!AB76</f>
        <v>11100000</v>
      </c>
      <c r="AC39" s="23" t="n">
        <f aca="false">Costs!AC76</f>
        <v>12533333.3333333</v>
      </c>
      <c r="AD39" s="23" t="n">
        <f aca="false">Costs!AD76</f>
        <v>12533333.3333333</v>
      </c>
      <c r="AE39" s="23" t="n">
        <f aca="false">Costs!AE76</f>
        <v>12533333.3333333</v>
      </c>
      <c r="AF39" s="23" t="n">
        <f aca="false">Costs!AF76</f>
        <v>12533333.3333333</v>
      </c>
      <c r="AG39" s="23" t="n">
        <f aca="false">Costs!AG76</f>
        <v>12533333.3333333</v>
      </c>
      <c r="AH39" s="23" t="n">
        <f aca="false">Costs!AH76</f>
        <v>12533333.3333333</v>
      </c>
      <c r="AI39" s="23" t="n">
        <f aca="false">Costs!AI76</f>
        <v>12533333.3333333</v>
      </c>
      <c r="AJ39" s="23" t="n">
        <f aca="false">Costs!AJ76</f>
        <v>12533333.3333333</v>
      </c>
      <c r="AK39" s="23" t="n">
        <f aca="false">Costs!AK76</f>
        <v>12533333.3333333</v>
      </c>
      <c r="AL39" s="23" t="n">
        <f aca="false">Costs!AL76</f>
        <v>12533333.3333333</v>
      </c>
      <c r="AM39" s="23" t="n">
        <f aca="false">Costs!AM76</f>
        <v>12533333.3333333</v>
      </c>
      <c r="AN39" s="23" t="n">
        <f aca="false">Costs!AN76</f>
        <v>12533333.3333333</v>
      </c>
      <c r="AO39" s="23" t="n">
        <f aca="false">Costs!AO76</f>
        <v>14033333.3333333</v>
      </c>
      <c r="AP39" s="23" t="n">
        <f aca="false">Costs!AP76</f>
        <v>14033333.3333333</v>
      </c>
      <c r="AQ39" s="23" t="n">
        <f aca="false">Costs!AQ76</f>
        <v>14033333.3333333</v>
      </c>
      <c r="AR39" s="23" t="n">
        <f aca="false">Costs!AR76</f>
        <v>14033333.3333333</v>
      </c>
      <c r="AS39" s="23" t="n">
        <f aca="false">Costs!AS76</f>
        <v>14033333.3333333</v>
      </c>
      <c r="AT39" s="23" t="n">
        <f aca="false">Costs!AT76</f>
        <v>14033333.3333333</v>
      </c>
      <c r="AU39" s="23" t="n">
        <f aca="false">Costs!AU76</f>
        <v>14033333.3333333</v>
      </c>
      <c r="AV39" s="23" t="n">
        <f aca="false">Costs!AV76</f>
        <v>14033333.3333333</v>
      </c>
      <c r="AW39" s="23" t="n">
        <f aca="false">Costs!AW76</f>
        <v>14033333.3333333</v>
      </c>
      <c r="AX39" s="23" t="n">
        <f aca="false">Costs!AX76</f>
        <v>14033333.3333333</v>
      </c>
      <c r="AY39" s="23" t="n">
        <f aca="false">Costs!AY76</f>
        <v>14033333.3333333</v>
      </c>
      <c r="AZ39" s="23" t="n">
        <f aca="false">Costs!AZ76</f>
        <v>14033333.3333333</v>
      </c>
      <c r="BA39" s="23" t="n">
        <f aca="false">Costs!BA76</f>
        <v>16366666.6666667</v>
      </c>
      <c r="BB39" s="23" t="n">
        <f aca="false">Costs!BB76</f>
        <v>16366666.6666667</v>
      </c>
      <c r="BC39" s="23" t="n">
        <f aca="false">Costs!BC76</f>
        <v>16366666.6666667</v>
      </c>
      <c r="BD39" s="23" t="n">
        <f aca="false">Costs!BD76</f>
        <v>16366666.6666667</v>
      </c>
      <c r="BE39" s="23" t="n">
        <f aca="false">Costs!BE76</f>
        <v>16366666.6666667</v>
      </c>
      <c r="BF39" s="23" t="n">
        <f aca="false">Costs!BF76</f>
        <v>16366666.6666667</v>
      </c>
      <c r="BG39" s="23" t="n">
        <f aca="false">Costs!BG76</f>
        <v>16366666.6666667</v>
      </c>
      <c r="BH39" s="23" t="n">
        <f aca="false">Costs!BH76</f>
        <v>16366666.6666667</v>
      </c>
      <c r="BI39" s="23" t="n">
        <f aca="false">Costs!BI76</f>
        <v>16366666.6666667</v>
      </c>
      <c r="BJ39" s="23" t="n">
        <f aca="false">Costs!BJ76</f>
        <v>16366666.6666667</v>
      </c>
      <c r="BK39" s="23" t="n">
        <f aca="false">Costs!BK76</f>
        <v>16366666.6666667</v>
      </c>
      <c r="BL39" s="23" t="n">
        <f aca="false">Costs!BL76</f>
        <v>16366666.6666667</v>
      </c>
    </row>
    <row r="40" customFormat="false" ht="15" hidden="false" customHeight="false" outlineLevel="0" collapsed="false">
      <c r="A40" s="12" t="s">
        <v>713</v>
      </c>
      <c r="B40" s="14" t="s">
        <v>77</v>
      </c>
      <c r="D40" s="55" t="n">
        <f aca="false">SUM(E40:BL40)</f>
        <v>645556687.966568</v>
      </c>
      <c r="E40" s="23" t="n">
        <f aca="false">Costs!E84</f>
        <v>2261666.66666667</v>
      </c>
      <c r="F40" s="23" t="n">
        <f aca="false">Costs!F84</f>
        <v>2261666.66666667</v>
      </c>
      <c r="G40" s="23" t="n">
        <f aca="false">Costs!G84</f>
        <v>2261666.66666667</v>
      </c>
      <c r="H40" s="23" t="n">
        <f aca="false">Costs!H84</f>
        <v>2411666.66666667</v>
      </c>
      <c r="I40" s="23" t="n">
        <f aca="false">Costs!I84</f>
        <v>3921666.66666667</v>
      </c>
      <c r="J40" s="23" t="n">
        <f aca="false">Costs!J84</f>
        <v>3933666.66666667</v>
      </c>
      <c r="K40" s="23" t="n">
        <f aca="false">Costs!K84</f>
        <v>3946386.66666667</v>
      </c>
      <c r="L40" s="23" t="n">
        <f aca="false">Costs!L84</f>
        <v>3959869.86666667</v>
      </c>
      <c r="M40" s="23" t="n">
        <f aca="false">Costs!M84</f>
        <v>3974162.05866667</v>
      </c>
      <c r="N40" s="23" t="n">
        <f aca="false">Costs!N84</f>
        <v>3989311.78218667</v>
      </c>
      <c r="O40" s="23" t="n">
        <f aca="false">Costs!O84</f>
        <v>4005370.48911787</v>
      </c>
      <c r="P40" s="23" t="n">
        <f aca="false">Costs!P84</f>
        <v>4022392.71846494</v>
      </c>
      <c r="Q40" s="23" t="n">
        <f aca="false">Costs!Q84</f>
        <v>5242936.28157284</v>
      </c>
      <c r="R40" s="23" t="n">
        <f aca="false">Costs!R84</f>
        <v>5262062.45846721</v>
      </c>
      <c r="S40" s="23" t="n">
        <f aca="false">Costs!S84</f>
        <v>5282336.20597524</v>
      </c>
      <c r="T40" s="23" t="n">
        <f aca="false">Costs!T84</f>
        <v>5303826.37833375</v>
      </c>
      <c r="U40" s="23" t="n">
        <f aca="false">Costs!U84</f>
        <v>5326605.96103378</v>
      </c>
      <c r="V40" s="23" t="n">
        <f aca="false">Costs!V84</f>
        <v>5500752.3186958</v>
      </c>
      <c r="W40" s="23" t="n">
        <f aca="false">Costs!W84</f>
        <v>6986347.45781755</v>
      </c>
      <c r="X40" s="23" t="n">
        <f aca="false">Costs!X84</f>
        <v>7097478.30528661</v>
      </c>
      <c r="Y40" s="23" t="n">
        <f aca="false">Costs!Y84</f>
        <v>7135777.0036038</v>
      </c>
      <c r="Z40" s="23" t="n">
        <f aca="false">Costs!Z84</f>
        <v>7176373.62382003</v>
      </c>
      <c r="AA40" s="23" t="n">
        <f aca="false">Costs!AA84</f>
        <v>7219406.04124923</v>
      </c>
      <c r="AB40" s="23" t="n">
        <f aca="false">Costs!AB84</f>
        <v>7265020.40372419</v>
      </c>
      <c r="AC40" s="23" t="n">
        <f aca="false">Costs!AC84</f>
        <v>10869204.961281</v>
      </c>
      <c r="AD40" s="23" t="n">
        <f aca="false">Costs!AD84</f>
        <v>10995457.2589578</v>
      </c>
      <c r="AE40" s="23" t="n">
        <f aca="false">Costs!AE84</f>
        <v>11049784.6944953</v>
      </c>
      <c r="AF40" s="23" t="n">
        <f aca="false">Costs!AF84</f>
        <v>11107371.776165</v>
      </c>
      <c r="AG40" s="23" t="n">
        <f aca="false">Costs!AG84</f>
        <v>11168414.0827349</v>
      </c>
      <c r="AH40" s="23" t="n">
        <f aca="false">Costs!AH84</f>
        <v>11308118.927699</v>
      </c>
      <c r="AI40" s="23" t="n">
        <f aca="false">Costs!AI84</f>
        <v>11376706.063361</v>
      </c>
      <c r="AJ40" s="23" t="n">
        <f aca="false">Costs!AJ84</f>
        <v>11449408.4271626</v>
      </c>
      <c r="AK40" s="23" t="n">
        <f aca="false">Costs!AK84</f>
        <v>11526472.9327924</v>
      </c>
      <c r="AL40" s="23" t="n">
        <f aca="false">Costs!AL84</f>
        <v>11683161.3087599</v>
      </c>
      <c r="AM40" s="23" t="n">
        <f aca="false">Costs!AM84</f>
        <v>11769750.9872855</v>
      </c>
      <c r="AN40" s="23" t="n">
        <f aca="false">Costs!AN84</f>
        <v>11936536.0465226</v>
      </c>
      <c r="AO40" s="23" t="n">
        <f aca="false">Costs!AO84</f>
        <v>13968828.209314</v>
      </c>
      <c r="AP40" s="23" t="n">
        <f aca="false">Costs!AP84</f>
        <v>14071957.9018728</v>
      </c>
      <c r="AQ40" s="23" t="n">
        <f aca="false">Costs!AQ84</f>
        <v>14181275.3759852</v>
      </c>
      <c r="AR40" s="23" t="n">
        <f aca="false">Costs!AR84</f>
        <v>14372151.8985443</v>
      </c>
      <c r="AS40" s="23" t="n">
        <f aca="false">Costs!AS84</f>
        <v>14494981.012457</v>
      </c>
      <c r="AT40" s="23" t="n">
        <f aca="false">Costs!AT84</f>
        <v>14625179.8732044</v>
      </c>
      <c r="AU40" s="23" t="n">
        <f aca="false">Costs!AU84</f>
        <v>14913190.6655967</v>
      </c>
      <c r="AV40" s="23" t="n">
        <f aca="false">Costs!AV84</f>
        <v>15059482.1055325</v>
      </c>
      <c r="AW40" s="23" t="n">
        <f aca="false">Costs!AW84</f>
        <v>15232407.4444392</v>
      </c>
      <c r="AX40" s="23" t="n">
        <f aca="false">Costs!AX84</f>
        <v>15273351.8911056</v>
      </c>
      <c r="AY40" s="23" t="n">
        <f aca="false">Costs!AY84</f>
        <v>15316753.0045719</v>
      </c>
      <c r="AZ40" s="23" t="n">
        <f aca="false">Costs!AZ84</f>
        <v>15512758.1848462</v>
      </c>
      <c r="BA40" s="23" t="n">
        <f aca="false">Costs!BA84</f>
        <v>17423190.3426037</v>
      </c>
      <c r="BB40" s="23" t="n">
        <f aca="false">Costs!BB84</f>
        <v>17549881.7631599</v>
      </c>
      <c r="BC40" s="23" t="n">
        <f aca="false">Costs!BC84</f>
        <v>17604674.6689495</v>
      </c>
      <c r="BD40" s="23" t="n">
        <f aca="false">Costs!BD84</f>
        <v>17737755.1490864</v>
      </c>
      <c r="BE40" s="23" t="n">
        <f aca="false">Costs!BE84</f>
        <v>17874320.4580316</v>
      </c>
      <c r="BF40" s="23" t="n">
        <f aca="false">Costs!BF84</f>
        <v>17939579.6855135</v>
      </c>
      <c r="BG40" s="23" t="n">
        <f aca="false">Costs!BG84</f>
        <v>18083754.4666443</v>
      </c>
      <c r="BH40" s="23" t="n">
        <f aca="false">Costs!BH84</f>
        <v>18232079.734643</v>
      </c>
      <c r="BI40" s="23" t="n">
        <f aca="false">Costs!BI84</f>
        <v>18384804.5187216</v>
      </c>
      <c r="BJ40" s="23" t="n">
        <f aca="false">Costs!BJ84</f>
        <v>18467192.7898449</v>
      </c>
      <c r="BK40" s="23" t="n">
        <f aca="false">Costs!BK84</f>
        <v>18586666.6666667</v>
      </c>
      <c r="BL40" s="23" t="n">
        <f aca="false">Costs!BL84</f>
        <v>18661666.6666667</v>
      </c>
    </row>
    <row r="41" customFormat="false" ht="15" hidden="false" customHeight="false" outlineLevel="0" collapsed="false">
      <c r="A41" s="12" t="s">
        <v>720</v>
      </c>
      <c r="B41" s="14" t="s">
        <v>77</v>
      </c>
      <c r="D41" s="55" t="n">
        <f aca="false">SUM(E41:BL41)</f>
        <v>121620546.4</v>
      </c>
      <c r="E41" s="23" t="n">
        <f aca="false">Costs!E90</f>
        <v>2836562.4</v>
      </c>
      <c r="F41" s="23" t="n">
        <f aca="false">Costs!F90</f>
        <v>737500</v>
      </c>
      <c r="G41" s="23" t="n">
        <f aca="false">Costs!G90</f>
        <v>737500</v>
      </c>
      <c r="H41" s="23" t="n">
        <f aca="false">Costs!H90</f>
        <v>737500</v>
      </c>
      <c r="I41" s="23" t="n">
        <f aca="false">Costs!I90</f>
        <v>737500</v>
      </c>
      <c r="J41" s="23" t="n">
        <f aca="false">Costs!J90</f>
        <v>737500</v>
      </c>
      <c r="K41" s="23" t="n">
        <f aca="false">Costs!K90</f>
        <v>737500</v>
      </c>
      <c r="L41" s="23" t="n">
        <f aca="false">Costs!L90</f>
        <v>737500</v>
      </c>
      <c r="M41" s="23" t="n">
        <f aca="false">Costs!M90</f>
        <v>737500</v>
      </c>
      <c r="N41" s="23" t="n">
        <f aca="false">Costs!N90</f>
        <v>737500</v>
      </c>
      <c r="O41" s="23" t="n">
        <f aca="false">Costs!O90</f>
        <v>737500</v>
      </c>
      <c r="P41" s="23" t="n">
        <f aca="false">Costs!P90</f>
        <v>737500</v>
      </c>
      <c r="Q41" s="23" t="n">
        <f aca="false">Costs!Q90</f>
        <v>2066432.26666667</v>
      </c>
      <c r="R41" s="23" t="n">
        <f aca="false">Costs!R90</f>
        <v>1541666.66666667</v>
      </c>
      <c r="S41" s="23" t="n">
        <f aca="false">Costs!S90</f>
        <v>1541666.66666667</v>
      </c>
      <c r="T41" s="23" t="n">
        <f aca="false">Costs!T90</f>
        <v>2066432.26666667</v>
      </c>
      <c r="U41" s="23" t="n">
        <f aca="false">Costs!U90</f>
        <v>1541666.66666667</v>
      </c>
      <c r="V41" s="23" t="n">
        <f aca="false">Costs!V90</f>
        <v>2066432.26666667</v>
      </c>
      <c r="W41" s="23" t="n">
        <f aca="false">Costs!W90</f>
        <v>1541666.66666667</v>
      </c>
      <c r="X41" s="23" t="n">
        <f aca="false">Costs!X90</f>
        <v>1541666.66666667</v>
      </c>
      <c r="Y41" s="23" t="n">
        <f aca="false">Costs!Y90</f>
        <v>1541666.66666667</v>
      </c>
      <c r="Z41" s="23" t="n">
        <f aca="false">Costs!Z90</f>
        <v>1541666.66666667</v>
      </c>
      <c r="AA41" s="23" t="n">
        <f aca="false">Costs!AA90</f>
        <v>1541666.66666667</v>
      </c>
      <c r="AB41" s="23" t="n">
        <f aca="false">Costs!AB90</f>
        <v>2066432.26666667</v>
      </c>
      <c r="AC41" s="23" t="n">
        <f aca="false">Costs!AC90</f>
        <v>1966666.66666667</v>
      </c>
      <c r="AD41" s="23" t="n">
        <f aca="false">Costs!AD90</f>
        <v>1966666.66666667</v>
      </c>
      <c r="AE41" s="23" t="n">
        <f aca="false">Costs!AE90</f>
        <v>1966666.66666667</v>
      </c>
      <c r="AF41" s="23" t="n">
        <f aca="false">Costs!AF90</f>
        <v>2491432.26666667</v>
      </c>
      <c r="AG41" s="23" t="n">
        <f aca="false">Costs!AG90</f>
        <v>2491432.26666667</v>
      </c>
      <c r="AH41" s="23" t="n">
        <f aca="false">Costs!AH90</f>
        <v>1966666.66666667</v>
      </c>
      <c r="AI41" s="23" t="n">
        <f aca="false">Costs!AI90</f>
        <v>1966666.66666667</v>
      </c>
      <c r="AJ41" s="23" t="n">
        <f aca="false">Costs!AJ90</f>
        <v>1966666.66666667</v>
      </c>
      <c r="AK41" s="23" t="n">
        <f aca="false">Costs!AK90</f>
        <v>1966666.66666667</v>
      </c>
      <c r="AL41" s="23" t="n">
        <f aca="false">Costs!AL90</f>
        <v>2491432.26666667</v>
      </c>
      <c r="AM41" s="23" t="n">
        <f aca="false">Costs!AM90</f>
        <v>1966666.66666667</v>
      </c>
      <c r="AN41" s="23" t="n">
        <f aca="false">Costs!AN90</f>
        <v>1966666.66666667</v>
      </c>
      <c r="AO41" s="23" t="n">
        <f aca="false">Costs!AO90</f>
        <v>2341666.66666667</v>
      </c>
      <c r="AP41" s="23" t="n">
        <f aca="false">Costs!AP90</f>
        <v>2341666.66666667</v>
      </c>
      <c r="AQ41" s="23" t="n">
        <f aca="false">Costs!AQ90</f>
        <v>2866432.26666667</v>
      </c>
      <c r="AR41" s="23" t="n">
        <f aca="false">Costs!AR90</f>
        <v>2866432.26666667</v>
      </c>
      <c r="AS41" s="23" t="n">
        <f aca="false">Costs!AS90</f>
        <v>2341666.66666667</v>
      </c>
      <c r="AT41" s="23" t="n">
        <f aca="false">Costs!AT90</f>
        <v>2341666.66666667</v>
      </c>
      <c r="AU41" s="23" t="n">
        <f aca="false">Costs!AU90</f>
        <v>2341666.66666667</v>
      </c>
      <c r="AV41" s="23" t="n">
        <f aca="false">Costs!AV90</f>
        <v>2341666.66666667</v>
      </c>
      <c r="AW41" s="23" t="n">
        <f aca="false">Costs!AW90</f>
        <v>2866432.26666667</v>
      </c>
      <c r="AX41" s="23" t="n">
        <f aca="false">Costs!AX90</f>
        <v>2341666.66666667</v>
      </c>
      <c r="AY41" s="23" t="n">
        <f aca="false">Costs!AY90</f>
        <v>2341666.66666667</v>
      </c>
      <c r="AZ41" s="23" t="n">
        <f aca="false">Costs!AZ90</f>
        <v>2341666.66666667</v>
      </c>
      <c r="BA41" s="23" t="n">
        <f aca="false">Costs!BA90</f>
        <v>3241432.26666667</v>
      </c>
      <c r="BB41" s="23" t="n">
        <f aca="false">Costs!BB90</f>
        <v>3241432.26666667</v>
      </c>
      <c r="BC41" s="23" t="n">
        <f aca="false">Costs!BC90</f>
        <v>2716666.66666667</v>
      </c>
      <c r="BD41" s="23" t="n">
        <f aca="false">Costs!BD90</f>
        <v>2716666.66666667</v>
      </c>
      <c r="BE41" s="23" t="n">
        <f aca="false">Costs!BE90</f>
        <v>2716666.66666667</v>
      </c>
      <c r="BF41" s="23" t="n">
        <f aca="false">Costs!BF90</f>
        <v>3241432.26666667</v>
      </c>
      <c r="BG41" s="23" t="n">
        <f aca="false">Costs!BG90</f>
        <v>2716666.66666667</v>
      </c>
      <c r="BH41" s="23" t="n">
        <f aca="false">Costs!BH90</f>
        <v>3241432.26666667</v>
      </c>
      <c r="BI41" s="23" t="n">
        <f aca="false">Costs!BI90</f>
        <v>2716666.66666667</v>
      </c>
      <c r="BJ41" s="23" t="n">
        <f aca="false">Costs!BJ90</f>
        <v>3241432.26666667</v>
      </c>
      <c r="BK41" s="23" t="n">
        <f aca="false">Costs!BK90</f>
        <v>2716666.66666667</v>
      </c>
      <c r="BL41" s="23" t="n">
        <f aca="false">Costs!BL90</f>
        <v>2716666.66666667</v>
      </c>
    </row>
    <row r="42" customFormat="false" ht="15" hidden="false" customHeight="false" outlineLevel="0" collapsed="false">
      <c r="A42" s="12" t="s">
        <v>1112</v>
      </c>
      <c r="B42" s="14" t="s">
        <v>77</v>
      </c>
      <c r="D42" s="55" t="n">
        <f aca="false">SUM(E42:BL42)</f>
        <v>240809241.051244</v>
      </c>
      <c r="E42" s="23" t="n">
        <f aca="false">Costs!E94</f>
        <v>1532901.87</v>
      </c>
      <c r="F42" s="23" t="n">
        <f aca="false">Costs!F94</f>
        <v>1933150.9</v>
      </c>
      <c r="G42" s="23" t="n">
        <f aca="false">Costs!G94</f>
        <v>2633150.9</v>
      </c>
      <c r="H42" s="23" t="n">
        <f aca="false">Costs!H94</f>
        <v>1763052.3</v>
      </c>
      <c r="I42" s="23" t="n">
        <f aca="false">Costs!I94</f>
        <v>1724087.955</v>
      </c>
      <c r="J42" s="23" t="n">
        <f aca="false">Costs!J94</f>
        <v>1697193.865</v>
      </c>
      <c r="K42" s="23" t="n">
        <f aca="false">Costs!K94</f>
        <v>1686762.3494875</v>
      </c>
      <c r="L42" s="23" t="n">
        <f aca="false">Costs!L94</f>
        <v>1676389.16601947</v>
      </c>
      <c r="M42" s="23" t="n">
        <f aca="false">Costs!M94</f>
        <v>1666068.8150009</v>
      </c>
      <c r="N42" s="23" t="n">
        <f aca="false">Costs!N94</f>
        <v>1655795.60149095</v>
      </c>
      <c r="O42" s="23" t="n">
        <f aca="false">Costs!O94</f>
        <v>1645563.6212576</v>
      </c>
      <c r="P42" s="23" t="n">
        <f aca="false">Costs!P94</f>
        <v>1635366.74603498</v>
      </c>
      <c r="Q42" s="23" t="n">
        <f aca="false">Costs!Q94</f>
        <v>2339875.50126809</v>
      </c>
      <c r="R42" s="23" t="n">
        <f aca="false">Costs!R94</f>
        <v>2283212.70629349</v>
      </c>
      <c r="S42" s="23" t="n">
        <f aca="false">Costs!S94</f>
        <v>2519252.02838892</v>
      </c>
      <c r="T42" s="23" t="n">
        <f aca="false">Costs!T94</f>
        <v>3542970.26391669</v>
      </c>
      <c r="U42" s="23" t="n">
        <f aca="false">Costs!U94</f>
        <v>2311472.03805169</v>
      </c>
      <c r="V42" s="23" t="n">
        <f aca="false">Costs!V94</f>
        <v>2679973.47593479</v>
      </c>
      <c r="W42" s="23" t="n">
        <f aca="false">Costs!W94</f>
        <v>2753818.17789088</v>
      </c>
      <c r="X42" s="23" t="n">
        <f aca="false">Costs!X94</f>
        <v>2813685.00026433</v>
      </c>
      <c r="Y42" s="23" t="n">
        <f aca="false">Costs!Y94</f>
        <v>2843273.79018019</v>
      </c>
      <c r="Z42" s="23" t="n">
        <f aca="false">Costs!Z94</f>
        <v>2828904.696191</v>
      </c>
      <c r="AA42" s="23" t="n">
        <f aca="false">Costs!AA94</f>
        <v>2831056.31706246</v>
      </c>
      <c r="AB42" s="23" t="n">
        <f aca="false">Costs!AB94</f>
        <v>3138960.59518621</v>
      </c>
      <c r="AC42" s="23" t="n">
        <f aca="false">Costs!AC94</f>
        <v>3624641.23139738</v>
      </c>
      <c r="AD42" s="23" t="n">
        <f aca="false">Costs!AD94</f>
        <v>3670230.20128123</v>
      </c>
      <c r="AE42" s="23" t="n">
        <f aca="false">Costs!AE94</f>
        <v>3656547.6480581</v>
      </c>
      <c r="AF42" s="23" t="n">
        <f aca="false">Costs!AF94</f>
        <v>4175922.54214158</v>
      </c>
      <c r="AG42" s="23" t="n">
        <f aca="false">Costs!AG94</f>
        <v>3974435.32247008</v>
      </c>
      <c r="AH42" s="23" t="n">
        <f aca="false">Costs!AH94</f>
        <v>3961660.78971828</v>
      </c>
      <c r="AI42" s="23" t="n">
        <f aca="false">Costs!AI94</f>
        <v>3993617.12650138</v>
      </c>
      <c r="AJ42" s="23" t="n">
        <f aca="false">Costs!AJ94</f>
        <v>3980853.31969146</v>
      </c>
      <c r="AK42" s="23" t="n">
        <f aca="false">Costs!AK94</f>
        <v>4029632.44997295</v>
      </c>
      <c r="AL42" s="23" t="n">
        <f aca="false">Costs!AL94</f>
        <v>4172989.28377133</v>
      </c>
      <c r="AM42" s="23" t="n">
        <f aca="false">Costs!AM94</f>
        <v>4163208.54269761</v>
      </c>
      <c r="AN42" s="23" t="n">
        <f aca="false">Costs!AN94</f>
        <v>4214407.27565947</v>
      </c>
      <c r="AO42" s="23" t="n">
        <f aca="false">Costs!AO94</f>
        <v>4667868.8104657</v>
      </c>
      <c r="AP42" s="23" t="n">
        <f aca="false">Costs!AP94</f>
        <v>4640227.44509364</v>
      </c>
      <c r="AQ42" s="23" t="n">
        <f aca="false">Costs!AQ94</f>
        <v>4789910.94004926</v>
      </c>
      <c r="AR42" s="23" t="n">
        <f aca="false">Costs!AR94</f>
        <v>5319218.23742722</v>
      </c>
      <c r="AS42" s="23" t="n">
        <f aca="false">Costs!AS94</f>
        <v>4918323.56312285</v>
      </c>
      <c r="AT42" s="23" t="n">
        <f aca="false">Costs!AT94</f>
        <v>4970655.19241022</v>
      </c>
      <c r="AU42" s="23" t="n">
        <f aca="false">Costs!AU94</f>
        <v>5132457.83452983</v>
      </c>
      <c r="AV42" s="23" t="n">
        <f aca="false">Costs!AV94</f>
        <v>5090575.63152662</v>
      </c>
      <c r="AW42" s="23" t="n">
        <f aca="false">Costs!AW94</f>
        <v>5300548.04972196</v>
      </c>
      <c r="AX42" s="23" t="n">
        <f aca="false">Costs!AX94</f>
        <v>5272981.90330528</v>
      </c>
      <c r="AY42" s="23" t="n">
        <f aca="false">Costs!AY94</f>
        <v>5304574.7202286</v>
      </c>
      <c r="AZ42" s="23" t="n">
        <f aca="false">Costs!AZ94</f>
        <v>5415955.39549231</v>
      </c>
      <c r="BA42" s="23" t="n">
        <f aca="false">Costs!BA94</f>
        <v>6054742.43608852</v>
      </c>
      <c r="BB42" s="23" t="n">
        <f aca="false">Costs!BB94</f>
        <v>6166468.80492883</v>
      </c>
      <c r="BC42" s="23" t="n">
        <f aca="false">Costs!BC94</f>
        <v>6140535.65178081</v>
      </c>
      <c r="BD42" s="23" t="n">
        <f aca="false">Costs!BD94</f>
        <v>6530116.84516266</v>
      </c>
      <c r="BE42" s="23" t="n">
        <f aca="false">Costs!BE94</f>
        <v>6272760.70310992</v>
      </c>
      <c r="BF42" s="23" t="n">
        <f aca="false">Costs!BF94</f>
        <v>6407040.29979651</v>
      </c>
      <c r="BG42" s="23" t="n">
        <f aca="false">Costs!BG94</f>
        <v>6460588.60791555</v>
      </c>
      <c r="BH42" s="23" t="n">
        <f aca="false">Costs!BH94</f>
        <v>6734917.23819048</v>
      </c>
      <c r="BI42" s="23" t="n">
        <f aca="false">Costs!BI94</f>
        <v>6730893.04645691</v>
      </c>
      <c r="BJ42" s="23" t="n">
        <f aca="false">Costs!BJ94</f>
        <v>6849630.17032558</v>
      </c>
      <c r="BK42" s="23" t="n">
        <f aca="false">Costs!BK94</f>
        <v>6901943.43322917</v>
      </c>
      <c r="BL42" s="23" t="n">
        <f aca="false">Costs!BL94</f>
        <v>6982221.67760417</v>
      </c>
    </row>
    <row r="43" customFormat="false" ht="15" hidden="false" customHeight="false" outlineLevel="0" collapsed="false">
      <c r="A43" s="8" t="s">
        <v>97</v>
      </c>
      <c r="B43" s="14" t="s">
        <v>77</v>
      </c>
      <c r="D43" s="55" t="n">
        <f aca="false">SUM(E43:BL43)</f>
        <v>5056994062.07612</v>
      </c>
      <c r="E43" s="16" t="n">
        <f aca="false">SUM(E35:E42)</f>
        <v>32190939.27</v>
      </c>
      <c r="F43" s="16" t="n">
        <f aca="false">SUM(F35:F42)</f>
        <v>40596168.9</v>
      </c>
      <c r="G43" s="16" t="n">
        <f aca="false">SUM(G35:G42)</f>
        <v>55296168.9</v>
      </c>
      <c r="H43" s="16" t="n">
        <f aca="false">SUM(H35:H42)</f>
        <v>37024098.3</v>
      </c>
      <c r="I43" s="16" t="n">
        <f aca="false">SUM(I35:I42)</f>
        <v>36205847.055</v>
      </c>
      <c r="J43" s="16" t="n">
        <f aca="false">SUM(J35:J42)</f>
        <v>35641071.165</v>
      </c>
      <c r="K43" s="16" t="n">
        <f aca="false">SUM(K35:K42)</f>
        <v>35422009.3392375</v>
      </c>
      <c r="L43" s="16" t="n">
        <f aca="false">SUM(L35:L42)</f>
        <v>35204172.4864088</v>
      </c>
      <c r="M43" s="16" t="n">
        <f aca="false">SUM(M35:M42)</f>
        <v>34987445.1150188</v>
      </c>
      <c r="N43" s="16" t="n">
        <f aca="false">SUM(N35:N42)</f>
        <v>34771707.6313099</v>
      </c>
      <c r="O43" s="16" t="n">
        <f aca="false">SUM(O35:O42)</f>
        <v>34556836.0464096</v>
      </c>
      <c r="P43" s="16" t="n">
        <f aca="false">SUM(P35:P42)</f>
        <v>34342701.6667347</v>
      </c>
      <c r="Q43" s="16" t="n">
        <f aca="false">SUM(Q35:Q42)</f>
        <v>49137385.5266299</v>
      </c>
      <c r="R43" s="16" t="n">
        <f aca="false">SUM(R35:R42)</f>
        <v>47947466.8321632</v>
      </c>
      <c r="S43" s="16" t="n">
        <f aca="false">SUM(S35:S42)</f>
        <v>52904292.5961674</v>
      </c>
      <c r="T43" s="16" t="n">
        <f aca="false">SUM(T35:T42)</f>
        <v>74402375.5422504</v>
      </c>
      <c r="U43" s="16" t="n">
        <f aca="false">SUM(U35:U42)</f>
        <v>48540912.7990855</v>
      </c>
      <c r="V43" s="16" t="n">
        <f aca="false">SUM(V35:V42)</f>
        <v>56279442.9946306</v>
      </c>
      <c r="W43" s="16" t="n">
        <f aca="false">SUM(W35:W42)</f>
        <v>57830181.7357084</v>
      </c>
      <c r="X43" s="16" t="n">
        <f aca="false">SUM(X35:X42)</f>
        <v>59087385.0055509</v>
      </c>
      <c r="Y43" s="16" t="n">
        <f aca="false">SUM(Y35:Y42)</f>
        <v>59708749.593784</v>
      </c>
      <c r="Z43" s="16" t="n">
        <f aca="false">SUM(Z35:Z42)</f>
        <v>59406998.620011</v>
      </c>
      <c r="AA43" s="16" t="n">
        <f aca="false">SUM(AA35:AA42)</f>
        <v>59452182.6583117</v>
      </c>
      <c r="AB43" s="16" t="n">
        <f aca="false">SUM(AB35:AB42)</f>
        <v>65918172.4989104</v>
      </c>
      <c r="AC43" s="16" t="n">
        <f aca="false">SUM(AC35:AC42)</f>
        <v>76117465.859345</v>
      </c>
      <c r="AD43" s="16" t="n">
        <f aca="false">SUM(AD35:AD42)</f>
        <v>77074834.2269057</v>
      </c>
      <c r="AE43" s="16" t="n">
        <f aca="false">SUM(AE35:AE42)</f>
        <v>76787500.6092201</v>
      </c>
      <c r="AF43" s="16" t="n">
        <f aca="false">SUM(AF35:AF42)</f>
        <v>87694373.3849733</v>
      </c>
      <c r="AG43" s="16" t="n">
        <f aca="false">SUM(AG35:AG42)</f>
        <v>83463141.7718717</v>
      </c>
      <c r="AH43" s="16" t="n">
        <f aca="false">SUM(AH35:AH42)</f>
        <v>83194876.584084</v>
      </c>
      <c r="AI43" s="16" t="n">
        <f aca="false">SUM(AI35:AI42)</f>
        <v>83865959.656529</v>
      </c>
      <c r="AJ43" s="16" t="n">
        <f aca="false">SUM(AJ35:AJ42)</f>
        <v>83597919.7135207</v>
      </c>
      <c r="AK43" s="16" t="n">
        <f aca="false">SUM(AK35:AK42)</f>
        <v>84622281.449432</v>
      </c>
      <c r="AL43" s="16" t="n">
        <f aca="false">SUM(AL35:AL42)</f>
        <v>87632774.9591979</v>
      </c>
      <c r="AM43" s="16" t="n">
        <f aca="false">SUM(AM35:AM42)</f>
        <v>87427379.3966498</v>
      </c>
      <c r="AN43" s="16" t="n">
        <f aca="false">SUM(AN35:AN42)</f>
        <v>88502552.7888488</v>
      </c>
      <c r="AO43" s="16" t="n">
        <f aca="false">SUM(AO35:AO42)</f>
        <v>98025245.0197797</v>
      </c>
      <c r="AP43" s="16" t="n">
        <f aca="false">SUM(AP35:AP42)</f>
        <v>97444776.3469665</v>
      </c>
      <c r="AQ43" s="16" t="n">
        <f aca="false">SUM(AQ35:AQ42)</f>
        <v>100588129.741034</v>
      </c>
      <c r="AR43" s="16" t="n">
        <f aca="false">SUM(AR35:AR42)</f>
        <v>111703582.985972</v>
      </c>
      <c r="AS43" s="16" t="n">
        <f aca="false">SUM(AS35:AS42)</f>
        <v>103284794.82558</v>
      </c>
      <c r="AT43" s="16" t="n">
        <f aca="false">SUM(AT35:AT42)</f>
        <v>104383759.040615</v>
      </c>
      <c r="AU43" s="16" t="n">
        <f aca="false">SUM(AU35:AU42)</f>
        <v>107781614.525127</v>
      </c>
      <c r="AV43" s="16" t="n">
        <f aca="false">SUM(AV35:AV42)</f>
        <v>106902088.262059</v>
      </c>
      <c r="AW43" s="16" t="n">
        <f aca="false">SUM(AW35:AW42)</f>
        <v>111311509.044161</v>
      </c>
      <c r="AX43" s="16" t="n">
        <f aca="false">SUM(AX35:AX42)</f>
        <v>110732619.969411</v>
      </c>
      <c r="AY43" s="16" t="n">
        <f aca="false">SUM(AY35:AY42)</f>
        <v>111396069.124801</v>
      </c>
      <c r="AZ43" s="16" t="n">
        <f aca="false">SUM(AZ35:AZ42)</f>
        <v>113735063.305339</v>
      </c>
      <c r="BA43" s="16" t="n">
        <f aca="false">SUM(BA35:BA42)</f>
        <v>127149591.157859</v>
      </c>
      <c r="BB43" s="16" t="n">
        <f aca="false">SUM(BB35:BB42)</f>
        <v>129495844.903505</v>
      </c>
      <c r="BC43" s="16" t="n">
        <f aca="false">SUM(BC35:BC42)</f>
        <v>128951248.687397</v>
      </c>
      <c r="BD43" s="16" t="n">
        <f aca="false">SUM(BD35:BD42)</f>
        <v>137132453.748416</v>
      </c>
      <c r="BE43" s="16" t="n">
        <f aca="false">SUM(BE35:BE42)</f>
        <v>131727974.765308</v>
      </c>
      <c r="BF43" s="16" t="n">
        <f aca="false">SUM(BF35:BF42)</f>
        <v>134547846.295727</v>
      </c>
      <c r="BG43" s="16" t="n">
        <f aca="false">SUM(BG35:BG42)</f>
        <v>135672360.766227</v>
      </c>
      <c r="BH43" s="16" t="n">
        <f aca="false">SUM(BH35:BH42)</f>
        <v>141433262.002</v>
      </c>
      <c r="BI43" s="16" t="n">
        <f aca="false">SUM(BI35:BI42)</f>
        <v>141348753.975595</v>
      </c>
      <c r="BJ43" s="16" t="n">
        <f aca="false">SUM(BJ35:BJ42)</f>
        <v>143842233.576837</v>
      </c>
      <c r="BK43" s="16" t="n">
        <f aca="false">SUM(BK35:BK42)</f>
        <v>144940812.097813</v>
      </c>
      <c r="BL43" s="16" t="n">
        <f aca="false">SUM(BL35:BL42)</f>
        <v>146626655.229688</v>
      </c>
    </row>
    <row r="44" customFormat="false" ht="15" hidden="false" customHeight="false" outlineLevel="0" collapsed="false">
      <c r="A44" s="8" t="s">
        <v>98</v>
      </c>
      <c r="B44" s="14" t="s">
        <v>77</v>
      </c>
      <c r="D44" s="55" t="n">
        <f aca="false">SUM(E44:BL44)</f>
        <v>3885147206.55407</v>
      </c>
      <c r="E44" s="55" t="n">
        <f aca="false">E31-E43</f>
        <v>-32190939.27</v>
      </c>
      <c r="F44" s="55" t="n">
        <f aca="false">F31-F43</f>
        <v>-40596168.9</v>
      </c>
      <c r="G44" s="55" t="n">
        <f aca="false">G31-G43</f>
        <v>-55296168.9</v>
      </c>
      <c r="H44" s="55" t="n">
        <f aca="false">H31-H43</f>
        <v>-37024098.3</v>
      </c>
      <c r="I44" s="55" t="n">
        <f aca="false">I31-I43</f>
        <v>-36360925.055</v>
      </c>
      <c r="J44" s="55" t="n">
        <f aca="false">J31-J43</f>
        <v>-34413336.7183333</v>
      </c>
      <c r="K44" s="55" t="n">
        <f aca="false">K31-K43</f>
        <v>-32814376.1639167</v>
      </c>
      <c r="L44" s="55" t="n">
        <f aca="false">L31-L43</f>
        <v>-31218691.2698167</v>
      </c>
      <c r="M44" s="55" t="n">
        <f aca="false">M31-M43</f>
        <v>-29625266.186817</v>
      </c>
      <c r="N44" s="55" t="n">
        <f aca="false">N31-N43</f>
        <v>-28033041.1699423</v>
      </c>
      <c r="O44" s="55" t="n">
        <f aca="false">O31-O43</f>
        <v>-26211116.8770124</v>
      </c>
      <c r="P44" s="55" t="n">
        <f aca="false">P31-P43</f>
        <v>-24322068.7353263</v>
      </c>
      <c r="Q44" s="55" t="n">
        <f aca="false">Q31-Q43</f>
        <v>-37200474.7049526</v>
      </c>
      <c r="R44" s="55" t="n">
        <f aca="false">R31-R43</f>
        <v>-33401422.8906024</v>
      </c>
      <c r="S44" s="55" t="n">
        <f aca="false">S31-S43</f>
        <v>-35604142.7600838</v>
      </c>
      <c r="T44" s="55" t="n">
        <f aca="false">T31-T43</f>
        <v>-54201377.7016987</v>
      </c>
      <c r="U44" s="55" t="n">
        <f aca="false">U31-U43</f>
        <v>-25290266.260267</v>
      </c>
      <c r="V44" s="55" t="n">
        <f aca="false">V31-V43</f>
        <v>-29697264.6716653</v>
      </c>
      <c r="W44" s="55" t="n">
        <f aca="false">W31-W43</f>
        <v>-27434823.4781276</v>
      </c>
      <c r="X44" s="55" t="n">
        <f aca="false">X31-X43</f>
        <v>-23409256.5057346</v>
      </c>
      <c r="Y44" s="55" t="n">
        <f aca="false">Y31-Y43</f>
        <v>-18366604.060909</v>
      </c>
      <c r="Z44" s="55" t="n">
        <f aca="false">Z31-Z43</f>
        <v>-11808892.0087086</v>
      </c>
      <c r="AA44" s="55" t="n">
        <f aca="false">AA31-AA43</f>
        <v>-6173285.75658575</v>
      </c>
      <c r="AB44" s="55" t="n">
        <f aca="false">AB31-AB43</f>
        <v>-6779085.44293833</v>
      </c>
      <c r="AC44" s="55" t="n">
        <f aca="false">AC31-AC43</f>
        <v>-9208723.55892491</v>
      </c>
      <c r="AD44" s="55" t="n">
        <f aca="false">AD31-AD43</f>
        <v>-2711169.02555962</v>
      </c>
      <c r="AE44" s="55" t="n">
        <f aca="false">AE31-AE43</f>
        <v>5370442.52065776</v>
      </c>
      <c r="AF44" s="55" t="n">
        <f aca="false">AF31-AF43</f>
        <v>2781305.79067121</v>
      </c>
      <c r="AG44" s="55" t="n">
        <f aca="false">AG31-AG43</f>
        <v>4495350.47767878</v>
      </c>
      <c r="AH44" s="55" t="n">
        <f aca="false">AH31-AH43</f>
        <v>21308277.1748292</v>
      </c>
      <c r="AI44" s="55" t="n">
        <f aca="false">AI31-AI43</f>
        <v>28482368.7006163</v>
      </c>
      <c r="AJ44" s="55" t="n">
        <f aca="false">AJ31-AJ43</f>
        <v>36989821.8565185</v>
      </c>
      <c r="AK44" s="55" t="n">
        <f aca="false">AK31-AK43</f>
        <v>44215454.7471502</v>
      </c>
      <c r="AL44" s="55" t="n">
        <f aca="false">AL31-AL43</f>
        <v>49464276.2738977</v>
      </c>
      <c r="AM44" s="55" t="n">
        <f aca="false">AM31-AM43</f>
        <v>58099870.5664379</v>
      </c>
      <c r="AN44" s="55" t="n">
        <f aca="false">AN31-AN43</f>
        <v>65863028.6390486</v>
      </c>
      <c r="AO44" s="55" t="n">
        <f aca="false">AO31-AO43</f>
        <v>65474593.9225656</v>
      </c>
      <c r="AP44" s="55" t="n">
        <f aca="false">AP31-AP43</f>
        <v>76327634.3910284</v>
      </c>
      <c r="AQ44" s="55" t="n">
        <f aca="false">AQ31-AQ43</f>
        <v>83696538.8234258</v>
      </c>
      <c r="AR44" s="55" t="n">
        <f aca="false">AR31-AR43</f>
        <v>83017292.9789078</v>
      </c>
      <c r="AS44" s="55" t="n">
        <f aca="false">AS31-AS43</f>
        <v>102054824.024682</v>
      </c>
      <c r="AT44" s="55" t="n">
        <f aca="false">AT31-AT43</f>
        <v>111957965.669292</v>
      </c>
      <c r="AU44" s="55" t="n">
        <f aca="false">AU31-AU43</f>
        <v>119645988.453709</v>
      </c>
      <c r="AV44" s="55" t="n">
        <f aca="false">AV31-AV43</f>
        <v>131866996.737629</v>
      </c>
      <c r="AW44" s="55" t="n">
        <f aca="false">AW31-AW43</f>
        <v>139500932.071089</v>
      </c>
      <c r="AX44" s="55" t="n">
        <f aca="false">AX31-AX43</f>
        <v>152218666.825054</v>
      </c>
      <c r="AY44" s="55" t="n">
        <f aca="false">AY31-AY43</f>
        <v>163928931.700802</v>
      </c>
      <c r="AZ44" s="55" t="n">
        <f aca="false">AZ31-AZ43</f>
        <v>173895059.348399</v>
      </c>
      <c r="BA44" s="55" t="n">
        <f aca="false">BA31-BA43</f>
        <v>172989560.763744</v>
      </c>
      <c r="BB44" s="55" t="n">
        <f aca="false">BB31-BB43</f>
        <v>184343333.981346</v>
      </c>
      <c r="BC44" s="55" t="n">
        <f aca="false">BC31-BC43</f>
        <v>198597422.156566</v>
      </c>
      <c r="BD44" s="55" t="n">
        <f aca="false">BD31-BD43</f>
        <v>204367235.740341</v>
      </c>
      <c r="BE44" s="55" t="n">
        <f aca="false">BE31-BE43</f>
        <v>223708205.233948</v>
      </c>
      <c r="BF44" s="55" t="n">
        <f aca="false">BF31-BF43</f>
        <v>235124537.751081</v>
      </c>
      <c r="BG44" s="55" t="n">
        <f aca="false">BG31-BG43</f>
        <v>248490758.788632</v>
      </c>
      <c r="BH44" s="55" t="n">
        <f aca="false">BH31-BH43</f>
        <v>257253233.701432</v>
      </c>
      <c r="BI44" s="55" t="n">
        <f aca="false">BI31-BI43</f>
        <v>272172953.52919</v>
      </c>
      <c r="BJ44" s="55" t="n">
        <f aca="false">BJ31-BJ43</f>
        <v>284833455.143736</v>
      </c>
      <c r="BK44" s="55" t="n">
        <f aca="false">BK31-BK43</f>
        <v>299152828.09025</v>
      </c>
      <c r="BL44" s="55" t="n">
        <f aca="false">BL31-BL43</f>
        <v>312851046.35264</v>
      </c>
    </row>
    <row r="45" customFormat="false" ht="15" hidden="false" customHeight="false" outlineLevel="0" collapsed="false">
      <c r="A45" s="12" t="s">
        <v>99</v>
      </c>
      <c r="B45" s="14" t="s">
        <v>96</v>
      </c>
      <c r="E45" s="34" t="n">
        <f aca="false">IFERROR(E44/E23,0)</f>
        <v>0</v>
      </c>
      <c r="F45" s="34" t="n">
        <f aca="false">IFERROR(F44/F23,0)</f>
        <v>0</v>
      </c>
      <c r="G45" s="34" t="n">
        <f aca="false">IFERROR(G44/G23,0)</f>
        <v>0</v>
      </c>
      <c r="H45" s="34" t="n">
        <f aca="false">IFERROR(H44/H23,0)</f>
        <v>0</v>
      </c>
      <c r="I45" s="34" t="n">
        <f aca="false">IFERROR(I44/I23,0)</f>
        <v>-14.1425518391462</v>
      </c>
      <c r="J45" s="34" t="n">
        <f aca="false">IFERROR(J44/J23,0)</f>
        <v>-5.72940889686456</v>
      </c>
      <c r="K45" s="34" t="n">
        <f aca="false">IFERROR(K44/K23,0)</f>
        <v>-3.47765452024162</v>
      </c>
      <c r="L45" s="34" t="n">
        <f aca="false">IFERROR(L44/L23,0)</f>
        <v>-2.42733715515544</v>
      </c>
      <c r="M45" s="34" t="n">
        <f aca="false">IFERROR(M44/M23,0)</f>
        <v>-1.81913973446311</v>
      </c>
      <c r="N45" s="34" t="n">
        <f aca="false">IFERROR(N44/N23,0)</f>
        <v>-1.42225383366837</v>
      </c>
      <c r="O45" s="34" t="n">
        <f aca="false">IFERROR(O44/O23,0)</f>
        <v>-1.12145283910739</v>
      </c>
      <c r="P45" s="34" t="n">
        <f aca="false">IFERROR(P44/P23,0)</f>
        <v>-0.897228700219711</v>
      </c>
      <c r="Q45" s="34" t="n">
        <f aca="false">IFERROR(Q44/Q23,0)</f>
        <v>-1.15359918090582</v>
      </c>
      <c r="R45" s="34" t="n">
        <f aca="false">IFERROR(R44/R23,0)</f>
        <v>-0.881363673512344</v>
      </c>
      <c r="S45" s="34" t="n">
        <f aca="false">IFERROR(S44/S23,0)</f>
        <v>-0.813792035619797</v>
      </c>
      <c r="T45" s="34" t="n">
        <f aca="false">IFERROR(T44/T23,0)</f>
        <v>-1.08812538243064</v>
      </c>
      <c r="U45" s="34" t="n">
        <f aca="false">IFERROR(U44/U23,0)</f>
        <v>-0.450933484070833</v>
      </c>
      <c r="V45" s="34" t="n">
        <f aca="false">IFERROR(V44/V23,0)</f>
        <v>-0.471528003184713</v>
      </c>
      <c r="W45" s="34" t="n">
        <f aca="false">IFERROR(W44/W23,0)</f>
        <v>-0.377360514996276</v>
      </c>
      <c r="X45" s="34" t="n">
        <f aca="false">IFERROR(X44/X23,0)</f>
        <v>-0.28017149286066</v>
      </c>
      <c r="Y45" s="34" t="n">
        <f aca="false">IFERROR(Y44/Y23,0)</f>
        <v>-0.192428062162092</v>
      </c>
      <c r="Z45" s="34" t="n">
        <f aca="false">IFERROR(Z44/Z23,0)</f>
        <v>-0.109328338169211</v>
      </c>
      <c r="AA45" s="34" t="n">
        <f aca="false">IFERROR(AA44/AA23,0)</f>
        <v>-0.0513648948389663</v>
      </c>
      <c r="AB45" s="34" t="n">
        <f aca="false">IFERROR(AB44/AB23,0)</f>
        <v>-0.0510722421690367</v>
      </c>
      <c r="AC45" s="34" t="n">
        <f aca="false">IFERROR(AC44/AC23,0)</f>
        <v>-0.0618229809903754</v>
      </c>
      <c r="AD45" s="34" t="n">
        <f aca="false">IFERROR(AD44/AD23,0)</f>
        <v>-0.0164815927727105</v>
      </c>
      <c r="AE45" s="34" t="n">
        <f aca="false">IFERROR(AE44/AE23,0)</f>
        <v>0.0296684382959777</v>
      </c>
      <c r="AF45" s="34" t="n">
        <f aca="false">IFERROR(AF44/AF23,0)</f>
        <v>0.0140412107175101</v>
      </c>
      <c r="AG45" s="34" t="n">
        <f aca="false">IFERROR(AG44/AG23,0)</f>
        <v>0.0208624259353177</v>
      </c>
      <c r="AH45" s="34" t="n">
        <f aca="false">IFERROR(AH44/AH23,0)</f>
        <v>0.0919127143965117</v>
      </c>
      <c r="AI45" s="34" t="n">
        <f aca="false">IFERROR(AI44/AI23,0)</f>
        <v>0.1145639621029</v>
      </c>
      <c r="AJ45" s="34" t="n">
        <f aca="false">IFERROR(AJ44/AJ23,0)</f>
        <v>0.139215846953225</v>
      </c>
      <c r="AK45" s="34" t="n">
        <f aca="false">IFERROR(AK44/AK23,0)</f>
        <v>0.156317828985409</v>
      </c>
      <c r="AL45" s="34" t="n">
        <f aca="false">IFERROR(AL44/AL23,0)</f>
        <v>0.164832544825935</v>
      </c>
      <c r="AM45" s="34" t="n">
        <f aca="false">IFERROR(AM44/AM23,0)</f>
        <v>0.182633694462945</v>
      </c>
      <c r="AN45" s="34" t="n">
        <f aca="false">IFERROR(AN44/AN23,0)</f>
        <v>0.195726424522233</v>
      </c>
      <c r="AO45" s="34" t="n">
        <f aca="false">IFERROR(AO44/AO23,0)</f>
        <v>0.1834090696887</v>
      </c>
      <c r="AP45" s="34" t="n">
        <f aca="false">IFERROR(AP44/AP23,0)</f>
        <v>0.201492124571052</v>
      </c>
      <c r="AQ45" s="34" t="n">
        <f aca="false">IFERROR(AQ44/AQ23,0)</f>
        <v>0.208807198666859</v>
      </c>
      <c r="AR45" s="34" t="n">
        <f aca="false">IFERROR(AR44/AR23,0)</f>
        <v>0.196311844898865</v>
      </c>
      <c r="AS45" s="34" t="n">
        <f aca="false">IFERROR(AS44/AS23,0)</f>
        <v>0.228926347321105</v>
      </c>
      <c r="AT45" s="34" t="n">
        <f aca="false">IFERROR(AT44/AT23,0)</f>
        <v>0.238673487984237</v>
      </c>
      <c r="AU45" s="34" t="n">
        <f aca="false">IFERROR(AU44/AU23,0)</f>
        <v>0.242885721431374</v>
      </c>
      <c r="AV45" s="34" t="n">
        <f aca="false">IFERROR(AV44/AV23,0)</f>
        <v>0.254770368679136</v>
      </c>
      <c r="AW45" s="34" t="n">
        <f aca="false">IFERROR(AW44/AW23,0)</f>
        <v>0.256895672924034</v>
      </c>
      <c r="AX45" s="34" t="n">
        <f aca="false">IFERROR(AX44/AX23,0)</f>
        <v>0.267520699010242</v>
      </c>
      <c r="AY45" s="34" t="n">
        <f aca="false">IFERROR(AY44/AY23,0)</f>
        <v>0.275513360179644</v>
      </c>
      <c r="AZ45" s="34" t="n">
        <f aca="false">IFERROR(AZ44/AZ23,0)</f>
        <v>0.280086950278859</v>
      </c>
      <c r="BA45" s="34" t="n">
        <f aca="false">IFERROR(BA44/BA23,0)</f>
        <v>0.266486869320871</v>
      </c>
      <c r="BB45" s="34" t="n">
        <f aca="false">IFERROR(BB44/BB23,0)</f>
        <v>0.271902109386224</v>
      </c>
      <c r="BC45" s="34" t="n">
        <f aca="false">IFERROR(BC44/BC23,0)</f>
        <v>0.280779199887485</v>
      </c>
      <c r="BD45" s="34" t="n">
        <f aca="false">IFERROR(BD44/BD23,0)</f>
        <v>0.277416037695034</v>
      </c>
      <c r="BE45" s="34" t="n">
        <f aca="false">IFERROR(BE44/BE23,0)</f>
        <v>0.29186076388192</v>
      </c>
      <c r="BF45" s="34" t="n">
        <f aca="false">IFERROR(BF44/BF23,0)</f>
        <v>0.29501993993517</v>
      </c>
      <c r="BG45" s="34" t="n">
        <f aca="false">IFERROR(BG44/BG23,0)</f>
        <v>0.300276834595134</v>
      </c>
      <c r="BH45" s="34" t="n">
        <f aca="false">IFERROR(BH44/BH23,0)</f>
        <v>0.299600402997451</v>
      </c>
      <c r="BI45" s="34" t="n">
        <f aca="false">IFERROR(BI44/BI23,0)</f>
        <v>0.305670790000498</v>
      </c>
      <c r="BJ45" s="34" t="n">
        <f aca="false">IFERROR(BJ44/BJ23,0)</f>
        <v>0.308630730244668</v>
      </c>
      <c r="BK45" s="34" t="n">
        <f aca="false">IFERROR(BK44/BK23,0)</f>
        <v>0.313129527818787</v>
      </c>
      <c r="BL45" s="34" t="n">
        <f aca="false">IFERROR(BL44/BL23,0)</f>
        <v>0.316610188237902</v>
      </c>
    </row>
    <row r="46" customFormat="false" ht="15" hidden="false" customHeight="false" outlineLevel="0" collapsed="false">
      <c r="A46" s="12" t="s">
        <v>1113</v>
      </c>
      <c r="B46" s="14" t="s">
        <v>77</v>
      </c>
      <c r="D46" s="55" t="n">
        <f aca="false">BL46</f>
        <v>3885147206.55407</v>
      </c>
      <c r="E46" s="32" t="n">
        <f aca="false">E44</f>
        <v>-32190939.27</v>
      </c>
      <c r="F46" s="32" t="n">
        <f aca="false">E46+F44</f>
        <v>-72787108.17</v>
      </c>
      <c r="G46" s="32" t="n">
        <f aca="false">F46+G44</f>
        <v>-128083277.07</v>
      </c>
      <c r="H46" s="32" t="n">
        <f aca="false">G46+H44</f>
        <v>-165107375.37</v>
      </c>
      <c r="I46" s="32" t="n">
        <f aca="false">H46+I44</f>
        <v>-201468300.425</v>
      </c>
      <c r="J46" s="32" t="n">
        <f aca="false">I46+J44</f>
        <v>-235881637.143333</v>
      </c>
      <c r="K46" s="32" t="n">
        <f aca="false">J46+K44</f>
        <v>-268696013.30725</v>
      </c>
      <c r="L46" s="32" t="n">
        <f aca="false">K46+L44</f>
        <v>-299914704.577067</v>
      </c>
      <c r="M46" s="32" t="n">
        <f aca="false">L46+M44</f>
        <v>-329539970.763884</v>
      </c>
      <c r="N46" s="32" t="n">
        <f aca="false">M46+N44</f>
        <v>-357573011.933826</v>
      </c>
      <c r="O46" s="32" t="n">
        <f aca="false">N46+O44</f>
        <v>-383784128.810838</v>
      </c>
      <c r="P46" s="32" t="n">
        <f aca="false">O46+P44</f>
        <v>-408106197.546165</v>
      </c>
      <c r="Q46" s="32" t="n">
        <f aca="false">P46+Q44</f>
        <v>-445306672.251117</v>
      </c>
      <c r="R46" s="32" t="n">
        <f aca="false">Q46+R44</f>
        <v>-478708095.14172</v>
      </c>
      <c r="S46" s="32" t="n">
        <f aca="false">R46+S44</f>
        <v>-514312237.901804</v>
      </c>
      <c r="T46" s="32" t="n">
        <f aca="false">S46+T44</f>
        <v>-568513615.603502</v>
      </c>
      <c r="U46" s="32" t="n">
        <f aca="false">T46+U44</f>
        <v>-593803881.863769</v>
      </c>
      <c r="V46" s="32" t="n">
        <f aca="false">U46+V44</f>
        <v>-623501146.535434</v>
      </c>
      <c r="W46" s="32" t="n">
        <f aca="false">V46+W44</f>
        <v>-650935970.013562</v>
      </c>
      <c r="X46" s="32" t="n">
        <f aca="false">W46+X44</f>
        <v>-674345226.519297</v>
      </c>
      <c r="Y46" s="32" t="n">
        <f aca="false">X46+Y44</f>
        <v>-692711830.580206</v>
      </c>
      <c r="Z46" s="32" t="n">
        <f aca="false">Y46+Z44</f>
        <v>-704520722.588914</v>
      </c>
      <c r="AA46" s="32" t="n">
        <f aca="false">Z46+AA44</f>
        <v>-710694008.3455</v>
      </c>
      <c r="AB46" s="32" t="n">
        <f aca="false">AA46+AB44</f>
        <v>-717473093.788438</v>
      </c>
      <c r="AC46" s="32" t="n">
        <f aca="false">AB46+AC44</f>
        <v>-726681817.347363</v>
      </c>
      <c r="AD46" s="32" t="n">
        <f aca="false">AC46+AD44</f>
        <v>-729392986.372923</v>
      </c>
      <c r="AE46" s="32" t="n">
        <f aca="false">AD46+AE44</f>
        <v>-724022543.852265</v>
      </c>
      <c r="AF46" s="32" t="n">
        <f aca="false">AE46+AF44</f>
        <v>-721241238.061594</v>
      </c>
      <c r="AG46" s="32" t="n">
        <f aca="false">AF46+AG44</f>
        <v>-716745887.583915</v>
      </c>
      <c r="AH46" s="32" t="n">
        <f aca="false">AG46+AH44</f>
        <v>-695437610.409086</v>
      </c>
      <c r="AI46" s="32" t="n">
        <f aca="false">AH46+AI44</f>
        <v>-666955241.70847</v>
      </c>
      <c r="AJ46" s="32" t="n">
        <f aca="false">AI46+AJ44</f>
        <v>-629965419.851951</v>
      </c>
      <c r="AK46" s="32" t="n">
        <f aca="false">AJ46+AK44</f>
        <v>-585749965.104801</v>
      </c>
      <c r="AL46" s="32" t="n">
        <f aca="false">AK46+AL44</f>
        <v>-536285688.830903</v>
      </c>
      <c r="AM46" s="32" t="n">
        <f aca="false">AL46+AM44</f>
        <v>-478185818.264465</v>
      </c>
      <c r="AN46" s="32" t="n">
        <f aca="false">AM46+AN44</f>
        <v>-412322789.625416</v>
      </c>
      <c r="AO46" s="32" t="n">
        <f aca="false">AN46+AO44</f>
        <v>-346848195.702851</v>
      </c>
      <c r="AP46" s="32" t="n">
        <f aca="false">AO46+AP44</f>
        <v>-270520561.311823</v>
      </c>
      <c r="AQ46" s="32" t="n">
        <f aca="false">AP46+AQ44</f>
        <v>-186824022.488397</v>
      </c>
      <c r="AR46" s="32" t="n">
        <f aca="false">AQ46+AR44</f>
        <v>-103806729.509489</v>
      </c>
      <c r="AS46" s="32" t="n">
        <f aca="false">AR46+AS44</f>
        <v>-1751905.48480697</v>
      </c>
      <c r="AT46" s="32" t="n">
        <f aca="false">AS46+AT44</f>
        <v>110206060.184485</v>
      </c>
      <c r="AU46" s="32" t="n">
        <f aca="false">AT46+AU44</f>
        <v>229852048.638194</v>
      </c>
      <c r="AV46" s="32" t="n">
        <f aca="false">AU46+AV44</f>
        <v>361719045.375823</v>
      </c>
      <c r="AW46" s="32" t="n">
        <f aca="false">AV46+AW44</f>
        <v>501219977.446912</v>
      </c>
      <c r="AX46" s="32" t="n">
        <f aca="false">AW46+AX44</f>
        <v>653438644.271966</v>
      </c>
      <c r="AY46" s="32" t="n">
        <f aca="false">AX46+AY44</f>
        <v>817367575.972768</v>
      </c>
      <c r="AZ46" s="32" t="n">
        <f aca="false">AY46+AZ44</f>
        <v>991262635.321167</v>
      </c>
      <c r="BA46" s="32" t="n">
        <f aca="false">AZ46+BA44</f>
        <v>1164252196.08491</v>
      </c>
      <c r="BB46" s="32" t="n">
        <f aca="false">BA46+BB44</f>
        <v>1348595530.06626</v>
      </c>
      <c r="BC46" s="32" t="n">
        <f aca="false">BB46+BC44</f>
        <v>1547192952.22282</v>
      </c>
      <c r="BD46" s="32" t="n">
        <f aca="false">BC46+BD44</f>
        <v>1751560187.96316</v>
      </c>
      <c r="BE46" s="32" t="n">
        <f aca="false">BD46+BE44</f>
        <v>1975268393.19711</v>
      </c>
      <c r="BF46" s="32" t="n">
        <f aca="false">BE46+BF44</f>
        <v>2210392930.94819</v>
      </c>
      <c r="BG46" s="32" t="n">
        <f aca="false">BF46+BG44</f>
        <v>2458883689.73683</v>
      </c>
      <c r="BH46" s="32" t="n">
        <f aca="false">BG46+BH44</f>
        <v>2716136923.43826</v>
      </c>
      <c r="BI46" s="32" t="n">
        <f aca="false">BH46+BI44</f>
        <v>2988309876.96745</v>
      </c>
      <c r="BJ46" s="32" t="n">
        <f aca="false">BI46+BJ44</f>
        <v>3273143332.11118</v>
      </c>
      <c r="BK46" s="32" t="n">
        <f aca="false">BJ46+BK44</f>
        <v>3572296160.20143</v>
      </c>
      <c r="BL46" s="32" t="n">
        <f aca="false">BK46+BL44</f>
        <v>3885147206.55407</v>
      </c>
    </row>
    <row r="47" customFormat="false" ht="15" hidden="false" customHeight="false" outlineLevel="0" collapsed="false">
      <c r="A47" s="12" t="s">
        <v>1114</v>
      </c>
      <c r="B47" s="14" t="s">
        <v>77</v>
      </c>
      <c r="D47" s="55" t="n">
        <f aca="false">SUM(E47:BL47)</f>
        <v>1165544161.96622</v>
      </c>
      <c r="E47" s="32" t="n">
        <f aca="false">Tax_Rate*MAX(0,E46)</f>
        <v>0</v>
      </c>
      <c r="F47" s="32" t="n">
        <f aca="false">Tax_Rate*MAX(0,F46)-Tax_Rate*MAX(0,E46)</f>
        <v>0</v>
      </c>
      <c r="G47" s="32" t="n">
        <f aca="false">Tax_Rate*MAX(0,G46)-Tax_Rate*MAX(0,F46)</f>
        <v>0</v>
      </c>
      <c r="H47" s="32" t="n">
        <f aca="false">Tax_Rate*MAX(0,H46)-Tax_Rate*MAX(0,G46)</f>
        <v>0</v>
      </c>
      <c r="I47" s="32" t="n">
        <f aca="false">Tax_Rate*MAX(0,I46)-Tax_Rate*MAX(0,H46)</f>
        <v>0</v>
      </c>
      <c r="J47" s="32" t="n">
        <f aca="false">Tax_Rate*MAX(0,J46)-Tax_Rate*MAX(0,I46)</f>
        <v>0</v>
      </c>
      <c r="K47" s="32" t="n">
        <f aca="false">Tax_Rate*MAX(0,K46)-Tax_Rate*MAX(0,J46)</f>
        <v>0</v>
      </c>
      <c r="L47" s="32" t="n">
        <f aca="false">Tax_Rate*MAX(0,L46)-Tax_Rate*MAX(0,K46)</f>
        <v>0</v>
      </c>
      <c r="M47" s="32" t="n">
        <f aca="false">Tax_Rate*MAX(0,M46)-Tax_Rate*MAX(0,L46)</f>
        <v>0</v>
      </c>
      <c r="N47" s="32" t="n">
        <f aca="false">Tax_Rate*MAX(0,N46)-Tax_Rate*MAX(0,M46)</f>
        <v>0</v>
      </c>
      <c r="O47" s="32" t="n">
        <f aca="false">Tax_Rate*MAX(0,O46)-Tax_Rate*MAX(0,N46)</f>
        <v>0</v>
      </c>
      <c r="P47" s="32" t="n">
        <f aca="false">Tax_Rate*MAX(0,P46)-Tax_Rate*MAX(0,O46)</f>
        <v>0</v>
      </c>
      <c r="Q47" s="32" t="n">
        <f aca="false">Tax_Rate*MAX(0,Q46)-Tax_Rate*MAX(0,P46)</f>
        <v>0</v>
      </c>
      <c r="R47" s="32" t="n">
        <f aca="false">Tax_Rate*MAX(0,R46)-Tax_Rate*MAX(0,Q46)</f>
        <v>0</v>
      </c>
      <c r="S47" s="32" t="n">
        <f aca="false">Tax_Rate*MAX(0,S46)-Tax_Rate*MAX(0,R46)</f>
        <v>0</v>
      </c>
      <c r="T47" s="32" t="n">
        <f aca="false">Tax_Rate*MAX(0,T46)-Tax_Rate*MAX(0,S46)</f>
        <v>0</v>
      </c>
      <c r="U47" s="32" t="n">
        <f aca="false">Tax_Rate*MAX(0,U46)-Tax_Rate*MAX(0,T46)</f>
        <v>0</v>
      </c>
      <c r="V47" s="32" t="n">
        <f aca="false">Tax_Rate*MAX(0,V46)-Tax_Rate*MAX(0,U46)</f>
        <v>0</v>
      </c>
      <c r="W47" s="32" t="n">
        <f aca="false">Tax_Rate*MAX(0,W46)-Tax_Rate*MAX(0,V46)</f>
        <v>0</v>
      </c>
      <c r="X47" s="32" t="n">
        <f aca="false">Tax_Rate*MAX(0,X46)-Tax_Rate*MAX(0,W46)</f>
        <v>0</v>
      </c>
      <c r="Y47" s="32" t="n">
        <f aca="false">Tax_Rate*MAX(0,Y46)-Tax_Rate*MAX(0,X46)</f>
        <v>0</v>
      </c>
      <c r="Z47" s="32" t="n">
        <f aca="false">Tax_Rate*MAX(0,Z46)-Tax_Rate*MAX(0,Y46)</f>
        <v>0</v>
      </c>
      <c r="AA47" s="32" t="n">
        <f aca="false">Tax_Rate*MAX(0,AA46)-Tax_Rate*MAX(0,Z46)</f>
        <v>0</v>
      </c>
      <c r="AB47" s="32" t="n">
        <f aca="false">Tax_Rate*MAX(0,AB46)-Tax_Rate*MAX(0,AA46)</f>
        <v>0</v>
      </c>
      <c r="AC47" s="32" t="n">
        <f aca="false">Tax_Rate*MAX(0,AC46)-Tax_Rate*MAX(0,AB46)</f>
        <v>0</v>
      </c>
      <c r="AD47" s="32" t="n">
        <f aca="false">Tax_Rate*MAX(0,AD46)-Tax_Rate*MAX(0,AC46)</f>
        <v>0</v>
      </c>
      <c r="AE47" s="32" t="n">
        <f aca="false">Tax_Rate*MAX(0,AE46)-Tax_Rate*MAX(0,AD46)</f>
        <v>0</v>
      </c>
      <c r="AF47" s="32" t="n">
        <f aca="false">Tax_Rate*MAX(0,AF46)-Tax_Rate*MAX(0,AE46)</f>
        <v>0</v>
      </c>
      <c r="AG47" s="32" t="n">
        <f aca="false">Tax_Rate*MAX(0,AG46)-Tax_Rate*MAX(0,AF46)</f>
        <v>0</v>
      </c>
      <c r="AH47" s="32" t="n">
        <f aca="false">Tax_Rate*MAX(0,AH46)-Tax_Rate*MAX(0,AG46)</f>
        <v>0</v>
      </c>
      <c r="AI47" s="32" t="n">
        <f aca="false">Tax_Rate*MAX(0,AI46)-Tax_Rate*MAX(0,AH46)</f>
        <v>0</v>
      </c>
      <c r="AJ47" s="32" t="n">
        <f aca="false">Tax_Rate*MAX(0,AJ46)-Tax_Rate*MAX(0,AI46)</f>
        <v>0</v>
      </c>
      <c r="AK47" s="32" t="n">
        <f aca="false">Tax_Rate*MAX(0,AK46)-Tax_Rate*MAX(0,AJ46)</f>
        <v>0</v>
      </c>
      <c r="AL47" s="32" t="n">
        <f aca="false">Tax_Rate*MAX(0,AL46)-Tax_Rate*MAX(0,AK46)</f>
        <v>0</v>
      </c>
      <c r="AM47" s="32" t="n">
        <f aca="false">Tax_Rate*MAX(0,AM46)-Tax_Rate*MAX(0,AL46)</f>
        <v>0</v>
      </c>
      <c r="AN47" s="32" t="n">
        <f aca="false">Tax_Rate*MAX(0,AN46)-Tax_Rate*MAX(0,AM46)</f>
        <v>0</v>
      </c>
      <c r="AO47" s="32" t="n">
        <f aca="false">Tax_Rate*MAX(0,AO46)-Tax_Rate*MAX(0,AN46)</f>
        <v>0</v>
      </c>
      <c r="AP47" s="32" t="n">
        <f aca="false">Tax_Rate*MAX(0,AP46)-Tax_Rate*MAX(0,AO46)</f>
        <v>0</v>
      </c>
      <c r="AQ47" s="32" t="n">
        <f aca="false">Tax_Rate*MAX(0,AQ46)-Tax_Rate*MAX(0,AP46)</f>
        <v>0</v>
      </c>
      <c r="AR47" s="32" t="n">
        <f aca="false">Tax_Rate*MAX(0,AR46)-Tax_Rate*MAX(0,AQ46)</f>
        <v>0</v>
      </c>
      <c r="AS47" s="32" t="n">
        <f aca="false">Tax_Rate*MAX(0,AS46)-Tax_Rate*MAX(0,AR46)</f>
        <v>0</v>
      </c>
      <c r="AT47" s="32" t="n">
        <f aca="false">Tax_Rate*MAX(0,AT46)-Tax_Rate*MAX(0,AS46)</f>
        <v>33061818.0553456</v>
      </c>
      <c r="AU47" s="32" t="n">
        <f aca="false">Tax_Rate*MAX(0,AU46)-Tax_Rate*MAX(0,AT46)</f>
        <v>35893796.5361127</v>
      </c>
      <c r="AV47" s="32" t="n">
        <f aca="false">Tax_Rate*MAX(0,AV46)-Tax_Rate*MAX(0,AU46)</f>
        <v>39560099.0212886</v>
      </c>
      <c r="AW47" s="32" t="n">
        <f aca="false">Tax_Rate*MAX(0,AW46)-Tax_Rate*MAX(0,AV46)</f>
        <v>41850279.6213266</v>
      </c>
      <c r="AX47" s="32" t="n">
        <f aca="false">Tax_Rate*MAX(0,AX46)-Tax_Rate*MAX(0,AW46)</f>
        <v>45665600.0475162</v>
      </c>
      <c r="AY47" s="32" t="n">
        <f aca="false">Tax_Rate*MAX(0,AY46)-Tax_Rate*MAX(0,AX46)</f>
        <v>49178679.5102406</v>
      </c>
      <c r="AZ47" s="32" t="n">
        <f aca="false">Tax_Rate*MAX(0,AZ46)-Tax_Rate*MAX(0,AY46)</f>
        <v>52168517.8045198</v>
      </c>
      <c r="BA47" s="32" t="n">
        <f aca="false">Tax_Rate*MAX(0,BA46)-Tax_Rate*MAX(0,AZ46)</f>
        <v>51896868.2291233</v>
      </c>
      <c r="BB47" s="32" t="n">
        <f aca="false">Tax_Rate*MAX(0,BB46)-Tax_Rate*MAX(0,BA46)</f>
        <v>55303000.1944038</v>
      </c>
      <c r="BC47" s="32" t="n">
        <f aca="false">Tax_Rate*MAX(0,BC46)-Tax_Rate*MAX(0,BB46)</f>
        <v>59579226.6469699</v>
      </c>
      <c r="BD47" s="32" t="n">
        <f aca="false">Tax_Rate*MAX(0,BD46)-Tax_Rate*MAX(0,BC46)</f>
        <v>61310170.7221022</v>
      </c>
      <c r="BE47" s="32" t="n">
        <f aca="false">Tax_Rate*MAX(0,BE46)-Tax_Rate*MAX(0,BD46)</f>
        <v>67112461.5701845</v>
      </c>
      <c r="BF47" s="32" t="n">
        <f aca="false">Tax_Rate*MAX(0,BF46)-Tax_Rate*MAX(0,BE46)</f>
        <v>70537361.3253243</v>
      </c>
      <c r="BG47" s="32" t="n">
        <f aca="false">Tax_Rate*MAX(0,BG46)-Tax_Rate*MAX(0,BF46)</f>
        <v>74547227.6365894</v>
      </c>
      <c r="BH47" s="32" t="n">
        <f aca="false">Tax_Rate*MAX(0,BH46)-Tax_Rate*MAX(0,BG46)</f>
        <v>77175970.1104296</v>
      </c>
      <c r="BI47" s="32" t="n">
        <f aca="false">Tax_Rate*MAX(0,BI46)-Tax_Rate*MAX(0,BH46)</f>
        <v>81651886.0587571</v>
      </c>
      <c r="BJ47" s="32" t="n">
        <f aca="false">Tax_Rate*MAX(0,BJ46)-Tax_Rate*MAX(0,BI46)</f>
        <v>85450036.5431207</v>
      </c>
      <c r="BK47" s="32" t="n">
        <f aca="false">Tax_Rate*MAX(0,BK46)-Tax_Rate*MAX(0,BJ46)</f>
        <v>89745848.427075</v>
      </c>
      <c r="BL47" s="32" t="n">
        <f aca="false">Tax_Rate*MAX(0,BL46)-Tax_Rate*MAX(0,BK46)</f>
        <v>93855313.9057919</v>
      </c>
    </row>
    <row r="48" customFormat="false" ht="15" hidden="false" customHeight="false" outlineLevel="0" collapsed="false">
      <c r="A48" s="8" t="s">
        <v>100</v>
      </c>
      <c r="B48" s="14" t="s">
        <v>77</v>
      </c>
      <c r="D48" s="55" t="n">
        <f aca="false">SUM(E48:BL48)</f>
        <v>2719603044.58785</v>
      </c>
      <c r="E48" s="55" t="n">
        <f aca="false">E44-E47</f>
        <v>-32190939.27</v>
      </c>
      <c r="F48" s="55" t="n">
        <f aca="false">F44-F47</f>
        <v>-40596168.9</v>
      </c>
      <c r="G48" s="55" t="n">
        <f aca="false">G44-G47</f>
        <v>-55296168.9</v>
      </c>
      <c r="H48" s="55" t="n">
        <f aca="false">H44-H47</f>
        <v>-37024098.3</v>
      </c>
      <c r="I48" s="55" t="n">
        <f aca="false">I44-I47</f>
        <v>-36360925.055</v>
      </c>
      <c r="J48" s="55" t="n">
        <f aca="false">J44-J47</f>
        <v>-34413336.7183333</v>
      </c>
      <c r="K48" s="55" t="n">
        <f aca="false">K44-K47</f>
        <v>-32814376.1639167</v>
      </c>
      <c r="L48" s="55" t="n">
        <f aca="false">L44-L47</f>
        <v>-31218691.2698167</v>
      </c>
      <c r="M48" s="55" t="n">
        <f aca="false">M44-M47</f>
        <v>-29625266.186817</v>
      </c>
      <c r="N48" s="55" t="n">
        <f aca="false">N44-N47</f>
        <v>-28033041.1699423</v>
      </c>
      <c r="O48" s="55" t="n">
        <f aca="false">O44-O47</f>
        <v>-26211116.8770124</v>
      </c>
      <c r="P48" s="55" t="n">
        <f aca="false">P44-P47</f>
        <v>-24322068.7353263</v>
      </c>
      <c r="Q48" s="55" t="n">
        <f aca="false">Q44-Q47</f>
        <v>-37200474.7049526</v>
      </c>
      <c r="R48" s="55" t="n">
        <f aca="false">R44-R47</f>
        <v>-33401422.8906024</v>
      </c>
      <c r="S48" s="55" t="n">
        <f aca="false">S44-S47</f>
        <v>-35604142.7600838</v>
      </c>
      <c r="T48" s="55" t="n">
        <f aca="false">T44-T47</f>
        <v>-54201377.7016987</v>
      </c>
      <c r="U48" s="55" t="n">
        <f aca="false">U44-U47</f>
        <v>-25290266.260267</v>
      </c>
      <c r="V48" s="55" t="n">
        <f aca="false">V44-V47</f>
        <v>-29697264.6716653</v>
      </c>
      <c r="W48" s="55" t="n">
        <f aca="false">W44-W47</f>
        <v>-27434823.4781276</v>
      </c>
      <c r="X48" s="55" t="n">
        <f aca="false">X44-X47</f>
        <v>-23409256.5057346</v>
      </c>
      <c r="Y48" s="55" t="n">
        <f aca="false">Y44-Y47</f>
        <v>-18366604.060909</v>
      </c>
      <c r="Z48" s="55" t="n">
        <f aca="false">Z44-Z47</f>
        <v>-11808892.0087086</v>
      </c>
      <c r="AA48" s="55" t="n">
        <f aca="false">AA44-AA47</f>
        <v>-6173285.75658575</v>
      </c>
      <c r="AB48" s="55" t="n">
        <f aca="false">AB44-AB47</f>
        <v>-6779085.44293833</v>
      </c>
      <c r="AC48" s="55" t="n">
        <f aca="false">AC44-AC47</f>
        <v>-9208723.55892491</v>
      </c>
      <c r="AD48" s="55" t="n">
        <f aca="false">AD44-AD47</f>
        <v>-2711169.02555962</v>
      </c>
      <c r="AE48" s="55" t="n">
        <f aca="false">AE44-AE47</f>
        <v>5370442.52065776</v>
      </c>
      <c r="AF48" s="55" t="n">
        <f aca="false">AF44-AF47</f>
        <v>2781305.79067121</v>
      </c>
      <c r="AG48" s="55" t="n">
        <f aca="false">AG44-AG47</f>
        <v>4495350.47767878</v>
      </c>
      <c r="AH48" s="55" t="n">
        <f aca="false">AH44-AH47</f>
        <v>21308277.1748292</v>
      </c>
      <c r="AI48" s="55" t="n">
        <f aca="false">AI44-AI47</f>
        <v>28482368.7006163</v>
      </c>
      <c r="AJ48" s="55" t="n">
        <f aca="false">AJ44-AJ47</f>
        <v>36989821.8565185</v>
      </c>
      <c r="AK48" s="55" t="n">
        <f aca="false">AK44-AK47</f>
        <v>44215454.7471502</v>
      </c>
      <c r="AL48" s="55" t="n">
        <f aca="false">AL44-AL47</f>
        <v>49464276.2738977</v>
      </c>
      <c r="AM48" s="55" t="n">
        <f aca="false">AM44-AM47</f>
        <v>58099870.5664379</v>
      </c>
      <c r="AN48" s="55" t="n">
        <f aca="false">AN44-AN47</f>
        <v>65863028.6390486</v>
      </c>
      <c r="AO48" s="55" t="n">
        <f aca="false">AO44-AO47</f>
        <v>65474593.9225656</v>
      </c>
      <c r="AP48" s="55" t="n">
        <f aca="false">AP44-AP47</f>
        <v>76327634.3910284</v>
      </c>
      <c r="AQ48" s="55" t="n">
        <f aca="false">AQ44-AQ47</f>
        <v>83696538.8234258</v>
      </c>
      <c r="AR48" s="55" t="n">
        <f aca="false">AR44-AR47</f>
        <v>83017292.9789078</v>
      </c>
      <c r="AS48" s="55" t="n">
        <f aca="false">AS44-AS47</f>
        <v>102054824.024682</v>
      </c>
      <c r="AT48" s="55" t="n">
        <f aca="false">AT44-AT47</f>
        <v>78896147.6139467</v>
      </c>
      <c r="AU48" s="55" t="n">
        <f aca="false">AU44-AU47</f>
        <v>83752191.9175963</v>
      </c>
      <c r="AV48" s="55" t="n">
        <f aca="false">AV44-AV47</f>
        <v>92306897.7163401</v>
      </c>
      <c r="AW48" s="55" t="n">
        <f aca="false">AW44-AW47</f>
        <v>97650652.4497621</v>
      </c>
      <c r="AX48" s="55" t="n">
        <f aca="false">AX44-AX47</f>
        <v>106553066.777538</v>
      </c>
      <c r="AY48" s="55" t="n">
        <f aca="false">AY44-AY47</f>
        <v>114750252.190561</v>
      </c>
      <c r="AZ48" s="55" t="n">
        <f aca="false">AZ44-AZ47</f>
        <v>121726541.54388</v>
      </c>
      <c r="BA48" s="55" t="n">
        <f aca="false">BA44-BA47</f>
        <v>121092692.534621</v>
      </c>
      <c r="BB48" s="55" t="n">
        <f aca="false">BB44-BB47</f>
        <v>129040333.786942</v>
      </c>
      <c r="BC48" s="55" t="n">
        <f aca="false">BC44-BC47</f>
        <v>139018195.509596</v>
      </c>
      <c r="BD48" s="55" t="n">
        <f aca="false">BD44-BD47</f>
        <v>143057065.018239</v>
      </c>
      <c r="BE48" s="55" t="n">
        <f aca="false">BE44-BE47</f>
        <v>156595743.663764</v>
      </c>
      <c r="BF48" s="55" t="n">
        <f aca="false">BF44-BF47</f>
        <v>164587176.425757</v>
      </c>
      <c r="BG48" s="55" t="n">
        <f aca="false">BG44-BG47</f>
        <v>173943531.152042</v>
      </c>
      <c r="BH48" s="55" t="n">
        <f aca="false">BH44-BH47</f>
        <v>180077263.591003</v>
      </c>
      <c r="BI48" s="55" t="n">
        <f aca="false">BI44-BI47</f>
        <v>190521067.470433</v>
      </c>
      <c r="BJ48" s="55" t="n">
        <f aca="false">BJ44-BJ47</f>
        <v>199383418.600615</v>
      </c>
      <c r="BK48" s="55" t="n">
        <f aca="false">BK44-BK47</f>
        <v>209406979.663175</v>
      </c>
      <c r="BL48" s="55" t="n">
        <f aca="false">BL44-BL47</f>
        <v>218995732.446848</v>
      </c>
    </row>
    <row r="49" customFormat="false" ht="15" hidden="false" customHeight="false" outlineLevel="0" collapsed="false">
      <c r="A49" s="12" t="s">
        <v>1115</v>
      </c>
      <c r="B49" s="14" t="s">
        <v>77</v>
      </c>
      <c r="D49" s="55" t="n">
        <f aca="false">BL49</f>
        <v>2719603044.58785</v>
      </c>
      <c r="E49" s="32" t="n">
        <f aca="false">E48</f>
        <v>-32190939.27</v>
      </c>
      <c r="F49" s="32" t="n">
        <f aca="false">E49+F48</f>
        <v>-72787108.17</v>
      </c>
      <c r="G49" s="32" t="n">
        <f aca="false">F49+G48</f>
        <v>-128083277.07</v>
      </c>
      <c r="H49" s="32" t="n">
        <f aca="false">G49+H48</f>
        <v>-165107375.37</v>
      </c>
      <c r="I49" s="32" t="n">
        <f aca="false">H49+I48</f>
        <v>-201468300.425</v>
      </c>
      <c r="J49" s="32" t="n">
        <f aca="false">I49+J48</f>
        <v>-235881637.143333</v>
      </c>
      <c r="K49" s="32" t="n">
        <f aca="false">J49+K48</f>
        <v>-268696013.30725</v>
      </c>
      <c r="L49" s="32" t="n">
        <f aca="false">K49+L48</f>
        <v>-299914704.577067</v>
      </c>
      <c r="M49" s="32" t="n">
        <f aca="false">L49+M48</f>
        <v>-329539970.763884</v>
      </c>
      <c r="N49" s="32" t="n">
        <f aca="false">M49+N48</f>
        <v>-357573011.933826</v>
      </c>
      <c r="O49" s="32" t="n">
        <f aca="false">N49+O48</f>
        <v>-383784128.810838</v>
      </c>
      <c r="P49" s="32" t="n">
        <f aca="false">O49+P48</f>
        <v>-408106197.546165</v>
      </c>
      <c r="Q49" s="32" t="n">
        <f aca="false">P49+Q48</f>
        <v>-445306672.251117</v>
      </c>
      <c r="R49" s="32" t="n">
        <f aca="false">Q49+R48</f>
        <v>-478708095.14172</v>
      </c>
      <c r="S49" s="32" t="n">
        <f aca="false">R49+S48</f>
        <v>-514312237.901804</v>
      </c>
      <c r="T49" s="32" t="n">
        <f aca="false">S49+T48</f>
        <v>-568513615.603502</v>
      </c>
      <c r="U49" s="32" t="n">
        <f aca="false">T49+U48</f>
        <v>-593803881.863769</v>
      </c>
      <c r="V49" s="32" t="n">
        <f aca="false">U49+V48</f>
        <v>-623501146.535434</v>
      </c>
      <c r="W49" s="32" t="n">
        <f aca="false">V49+W48</f>
        <v>-650935970.013562</v>
      </c>
      <c r="X49" s="32" t="n">
        <f aca="false">W49+X48</f>
        <v>-674345226.519297</v>
      </c>
      <c r="Y49" s="32" t="n">
        <f aca="false">X49+Y48</f>
        <v>-692711830.580206</v>
      </c>
      <c r="Z49" s="32" t="n">
        <f aca="false">Y49+Z48</f>
        <v>-704520722.588914</v>
      </c>
      <c r="AA49" s="32" t="n">
        <f aca="false">Z49+AA48</f>
        <v>-710694008.3455</v>
      </c>
      <c r="AB49" s="32" t="n">
        <f aca="false">AA49+AB48</f>
        <v>-717473093.788438</v>
      </c>
      <c r="AC49" s="32" t="n">
        <f aca="false">AB49+AC48</f>
        <v>-726681817.347363</v>
      </c>
      <c r="AD49" s="32" t="n">
        <f aca="false">AC49+AD48</f>
        <v>-729392986.372923</v>
      </c>
      <c r="AE49" s="32" t="n">
        <f aca="false">AD49+AE48</f>
        <v>-724022543.852265</v>
      </c>
      <c r="AF49" s="32" t="n">
        <f aca="false">AE49+AF48</f>
        <v>-721241238.061594</v>
      </c>
      <c r="AG49" s="32" t="n">
        <f aca="false">AF49+AG48</f>
        <v>-716745887.583915</v>
      </c>
      <c r="AH49" s="32" t="n">
        <f aca="false">AG49+AH48</f>
        <v>-695437610.409086</v>
      </c>
      <c r="AI49" s="32" t="n">
        <f aca="false">AH49+AI48</f>
        <v>-666955241.70847</v>
      </c>
      <c r="AJ49" s="32" t="n">
        <f aca="false">AI49+AJ48</f>
        <v>-629965419.851951</v>
      </c>
      <c r="AK49" s="32" t="n">
        <f aca="false">AJ49+AK48</f>
        <v>-585749965.104801</v>
      </c>
      <c r="AL49" s="32" t="n">
        <f aca="false">AK49+AL48</f>
        <v>-536285688.830903</v>
      </c>
      <c r="AM49" s="32" t="n">
        <f aca="false">AL49+AM48</f>
        <v>-478185818.264465</v>
      </c>
      <c r="AN49" s="32" t="n">
        <f aca="false">AM49+AN48</f>
        <v>-412322789.625416</v>
      </c>
      <c r="AO49" s="32" t="n">
        <f aca="false">AN49+AO48</f>
        <v>-346848195.702851</v>
      </c>
      <c r="AP49" s="32" t="n">
        <f aca="false">AO49+AP48</f>
        <v>-270520561.311823</v>
      </c>
      <c r="AQ49" s="32" t="n">
        <f aca="false">AP49+AQ48</f>
        <v>-186824022.488397</v>
      </c>
      <c r="AR49" s="32" t="n">
        <f aca="false">AQ49+AR48</f>
        <v>-103806729.509489</v>
      </c>
      <c r="AS49" s="32" t="n">
        <f aca="false">AR49+AS48</f>
        <v>-1751905.48480697</v>
      </c>
      <c r="AT49" s="32" t="n">
        <f aca="false">AS49+AT48</f>
        <v>77144242.1291397</v>
      </c>
      <c r="AU49" s="32" t="n">
        <f aca="false">AT49+AU48</f>
        <v>160896434.046736</v>
      </c>
      <c r="AV49" s="32" t="n">
        <f aca="false">AU49+AV48</f>
        <v>253203331.763076</v>
      </c>
      <c r="AW49" s="32" t="n">
        <f aca="false">AV49+AW48</f>
        <v>350853984.212838</v>
      </c>
      <c r="AX49" s="32" t="n">
        <f aca="false">AW49+AX48</f>
        <v>457407050.990376</v>
      </c>
      <c r="AY49" s="32" t="n">
        <f aca="false">AX49+AY48</f>
        <v>572157303.180937</v>
      </c>
      <c r="AZ49" s="32" t="n">
        <f aca="false">AY49+AZ48</f>
        <v>693883844.724817</v>
      </c>
      <c r="BA49" s="32" t="n">
        <f aca="false">AZ49+BA48</f>
        <v>814976537.259438</v>
      </c>
      <c r="BB49" s="32" t="n">
        <f aca="false">BA49+BB48</f>
        <v>944016871.04638</v>
      </c>
      <c r="BC49" s="32" t="n">
        <f aca="false">BB49+BC48</f>
        <v>1083035066.55598</v>
      </c>
      <c r="BD49" s="32" t="n">
        <f aca="false">BC49+BD48</f>
        <v>1226092131.57422</v>
      </c>
      <c r="BE49" s="32" t="n">
        <f aca="false">BD49+BE48</f>
        <v>1382687875.23798</v>
      </c>
      <c r="BF49" s="32" t="n">
        <f aca="false">BE49+BF48</f>
        <v>1547275051.66374</v>
      </c>
      <c r="BG49" s="32" t="n">
        <f aca="false">BF49+BG48</f>
        <v>1721218582.81578</v>
      </c>
      <c r="BH49" s="32" t="n">
        <f aca="false">BG49+BH48</f>
        <v>1901295846.40678</v>
      </c>
      <c r="BI49" s="32" t="n">
        <f aca="false">BH49+BI48</f>
        <v>2091816913.87721</v>
      </c>
      <c r="BJ49" s="32" t="n">
        <f aca="false">BI49+BJ48</f>
        <v>2291200332.47783</v>
      </c>
      <c r="BK49" s="32" t="n">
        <f aca="false">BJ49+BK48</f>
        <v>2500607312.141</v>
      </c>
      <c r="BL49" s="32" t="n">
        <f aca="false">BK49+BL48</f>
        <v>2719603044.58785</v>
      </c>
    </row>
    <row r="51" customFormat="false" ht="15" hidden="false" customHeight="false" outlineLevel="0" collapsed="false">
      <c r="A51" s="10" t="s">
        <v>1116</v>
      </c>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row>
    <row r="52" customFormat="false" ht="15" hidden="false" customHeight="false" outlineLevel="0" collapsed="false">
      <c r="A52" s="12" t="s">
        <v>1117</v>
      </c>
      <c r="B52" s="14" t="s">
        <v>74</v>
      </c>
      <c r="E52" s="56" t="n">
        <f aca="false">IF(E44&gt;0,E$3,999)</f>
        <v>999</v>
      </c>
      <c r="F52" s="56" t="n">
        <f aca="false">IF(F44&gt;0,F$3,999)</f>
        <v>999</v>
      </c>
      <c r="G52" s="56" t="n">
        <f aca="false">IF(G44&gt;0,G$3,999)</f>
        <v>999</v>
      </c>
      <c r="H52" s="56" t="n">
        <f aca="false">IF(H44&gt;0,H$3,999)</f>
        <v>999</v>
      </c>
      <c r="I52" s="56" t="n">
        <f aca="false">IF(I44&gt;0,I$3,999)</f>
        <v>999</v>
      </c>
      <c r="J52" s="56" t="n">
        <f aca="false">IF(J44&gt;0,J$3,999)</f>
        <v>999</v>
      </c>
      <c r="K52" s="56" t="n">
        <f aca="false">IF(K44&gt;0,K$3,999)</f>
        <v>999</v>
      </c>
      <c r="L52" s="56" t="n">
        <f aca="false">IF(L44&gt;0,L$3,999)</f>
        <v>999</v>
      </c>
      <c r="M52" s="56" t="n">
        <f aca="false">IF(M44&gt;0,M$3,999)</f>
        <v>999</v>
      </c>
      <c r="N52" s="56" t="n">
        <f aca="false">IF(N44&gt;0,N$3,999)</f>
        <v>999</v>
      </c>
      <c r="O52" s="56" t="n">
        <f aca="false">IF(O44&gt;0,O$3,999)</f>
        <v>999</v>
      </c>
      <c r="P52" s="56" t="n">
        <f aca="false">IF(P44&gt;0,P$3,999)</f>
        <v>999</v>
      </c>
      <c r="Q52" s="56" t="n">
        <f aca="false">IF(Q44&gt;0,Q$3,999)</f>
        <v>999</v>
      </c>
      <c r="R52" s="56" t="n">
        <f aca="false">IF(R44&gt;0,R$3,999)</f>
        <v>999</v>
      </c>
      <c r="S52" s="56" t="n">
        <f aca="false">IF(S44&gt;0,S$3,999)</f>
        <v>999</v>
      </c>
      <c r="T52" s="56" t="n">
        <f aca="false">IF(T44&gt;0,T$3,999)</f>
        <v>999</v>
      </c>
      <c r="U52" s="56" t="n">
        <f aca="false">IF(U44&gt;0,U$3,999)</f>
        <v>999</v>
      </c>
      <c r="V52" s="56" t="n">
        <f aca="false">IF(V44&gt;0,V$3,999)</f>
        <v>999</v>
      </c>
      <c r="W52" s="56" t="n">
        <f aca="false">IF(W44&gt;0,W$3,999)</f>
        <v>999</v>
      </c>
      <c r="X52" s="56" t="n">
        <f aca="false">IF(X44&gt;0,X$3,999)</f>
        <v>999</v>
      </c>
      <c r="Y52" s="56" t="n">
        <f aca="false">IF(Y44&gt;0,Y$3,999)</f>
        <v>999</v>
      </c>
      <c r="Z52" s="56" t="n">
        <f aca="false">IF(Z44&gt;0,Z$3,999)</f>
        <v>999</v>
      </c>
      <c r="AA52" s="56" t="n">
        <f aca="false">IF(AA44&gt;0,AA$3,999)</f>
        <v>999</v>
      </c>
      <c r="AB52" s="56" t="n">
        <f aca="false">IF(AB44&gt;0,AB$3,999)</f>
        <v>999</v>
      </c>
      <c r="AC52" s="56" t="n">
        <f aca="false">IF(AC44&gt;0,AC$3,999)</f>
        <v>999</v>
      </c>
      <c r="AD52" s="56" t="n">
        <f aca="false">IF(AD44&gt;0,AD$3,999)</f>
        <v>999</v>
      </c>
      <c r="AE52" s="56" t="n">
        <f aca="false">IF(AE44&gt;0,AE$3,999)</f>
        <v>27</v>
      </c>
      <c r="AF52" s="56" t="n">
        <f aca="false">IF(AF44&gt;0,AF$3,999)</f>
        <v>28</v>
      </c>
      <c r="AG52" s="56" t="n">
        <f aca="false">IF(AG44&gt;0,AG$3,999)</f>
        <v>29</v>
      </c>
      <c r="AH52" s="56" t="n">
        <f aca="false">IF(AH44&gt;0,AH$3,999)</f>
        <v>30</v>
      </c>
      <c r="AI52" s="56" t="n">
        <f aca="false">IF(AI44&gt;0,AI$3,999)</f>
        <v>31</v>
      </c>
      <c r="AJ52" s="56" t="n">
        <f aca="false">IF(AJ44&gt;0,AJ$3,999)</f>
        <v>32</v>
      </c>
      <c r="AK52" s="56" t="n">
        <f aca="false">IF(AK44&gt;0,AK$3,999)</f>
        <v>33</v>
      </c>
      <c r="AL52" s="56" t="n">
        <f aca="false">IF(AL44&gt;0,AL$3,999)</f>
        <v>34</v>
      </c>
      <c r="AM52" s="56" t="n">
        <f aca="false">IF(AM44&gt;0,AM$3,999)</f>
        <v>35</v>
      </c>
      <c r="AN52" s="56" t="n">
        <f aca="false">IF(AN44&gt;0,AN$3,999)</f>
        <v>36</v>
      </c>
      <c r="AO52" s="56" t="n">
        <f aca="false">IF(AO44&gt;0,AO$3,999)</f>
        <v>37</v>
      </c>
      <c r="AP52" s="56" t="n">
        <f aca="false">IF(AP44&gt;0,AP$3,999)</f>
        <v>38</v>
      </c>
      <c r="AQ52" s="56" t="n">
        <f aca="false">IF(AQ44&gt;0,AQ$3,999)</f>
        <v>39</v>
      </c>
      <c r="AR52" s="56" t="n">
        <f aca="false">IF(AR44&gt;0,AR$3,999)</f>
        <v>40</v>
      </c>
      <c r="AS52" s="56" t="n">
        <f aca="false">IF(AS44&gt;0,AS$3,999)</f>
        <v>41</v>
      </c>
      <c r="AT52" s="56" t="n">
        <f aca="false">IF(AT44&gt;0,AT$3,999)</f>
        <v>42</v>
      </c>
      <c r="AU52" s="56" t="n">
        <f aca="false">IF(AU44&gt;0,AU$3,999)</f>
        <v>43</v>
      </c>
      <c r="AV52" s="56" t="n">
        <f aca="false">IF(AV44&gt;0,AV$3,999)</f>
        <v>44</v>
      </c>
      <c r="AW52" s="56" t="n">
        <f aca="false">IF(AW44&gt;0,AW$3,999)</f>
        <v>45</v>
      </c>
      <c r="AX52" s="56" t="n">
        <f aca="false">IF(AX44&gt;0,AX$3,999)</f>
        <v>46</v>
      </c>
      <c r="AY52" s="56" t="n">
        <f aca="false">IF(AY44&gt;0,AY$3,999)</f>
        <v>47</v>
      </c>
      <c r="AZ52" s="56" t="n">
        <f aca="false">IF(AZ44&gt;0,AZ$3,999)</f>
        <v>48</v>
      </c>
      <c r="BA52" s="56" t="n">
        <f aca="false">IF(BA44&gt;0,BA$3,999)</f>
        <v>49</v>
      </c>
      <c r="BB52" s="56" t="n">
        <f aca="false">IF(BB44&gt;0,BB$3,999)</f>
        <v>50</v>
      </c>
      <c r="BC52" s="56" t="n">
        <f aca="false">IF(BC44&gt;0,BC$3,999)</f>
        <v>51</v>
      </c>
      <c r="BD52" s="56" t="n">
        <f aca="false">IF(BD44&gt;0,BD$3,999)</f>
        <v>52</v>
      </c>
      <c r="BE52" s="56" t="n">
        <f aca="false">IF(BE44&gt;0,BE$3,999)</f>
        <v>53</v>
      </c>
      <c r="BF52" s="56" t="n">
        <f aca="false">IF(BF44&gt;0,BF$3,999)</f>
        <v>54</v>
      </c>
      <c r="BG52" s="56" t="n">
        <f aca="false">IF(BG44&gt;0,BG$3,999)</f>
        <v>55</v>
      </c>
      <c r="BH52" s="56" t="n">
        <f aca="false">IF(BH44&gt;0,BH$3,999)</f>
        <v>56</v>
      </c>
      <c r="BI52" s="56" t="n">
        <f aca="false">IF(BI44&gt;0,BI$3,999)</f>
        <v>57</v>
      </c>
      <c r="BJ52" s="56" t="n">
        <f aca="false">IF(BJ44&gt;0,BJ$3,999)</f>
        <v>58</v>
      </c>
      <c r="BK52" s="56" t="n">
        <f aca="false">IF(BK44&gt;0,BK$3,999)</f>
        <v>59</v>
      </c>
      <c r="BL52" s="56" t="n">
        <f aca="false">IF(BL44&gt;0,BL$3,999)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1118</v>
      </c>
    </row>
    <row r="2" customFormat="false" ht="15" hidden="false" customHeight="false" outlineLevel="0" collapsed="false">
      <c r="A2" s="2" t="s">
        <v>1119</v>
      </c>
    </row>
    <row r="3" customFormat="false" ht="15" hidden="false" customHeight="false" outlineLevel="0" collapsed="false">
      <c r="A3" s="8" t="s">
        <v>917</v>
      </c>
      <c r="D3" s="8" t="s">
        <v>918</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919</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87</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768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1031</v>
      </c>
      <c r="B9" s="14" t="s">
        <v>79</v>
      </c>
      <c r="D9" s="55" t="n">
        <f aca="false">'P&amp;L monthly'!D9/FX_EUR</f>
        <v>5092052.64082483</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1325.06603888161</v>
      </c>
      <c r="K9" s="32" t="n">
        <f aca="false">'P&amp;L monthly'!K9/FX_EUR</f>
        <v>2645.76961598601</v>
      </c>
      <c r="L9" s="32" t="n">
        <f aca="false">'P&amp;L monthly'!L9/FX_EUR</f>
        <v>3962.97437869149</v>
      </c>
      <c r="M9" s="32" t="n">
        <f aca="false">'P&amp;L monthly'!M9/FX_EUR</f>
        <v>5277.57839940465</v>
      </c>
      <c r="N9" s="32" t="n">
        <f aca="false">'P&amp;L monthly'!N9/FX_EUR</f>
        <v>6590.51653840037</v>
      </c>
      <c r="O9" s="32" t="n">
        <f aca="false">'P&amp;L monthly'!O9/FX_EUR</f>
        <v>7902.76294301675</v>
      </c>
      <c r="P9" s="32" t="n">
        <f aca="false">'P&amp;L monthly'!P9/FX_EUR</f>
        <v>9215.33369148876</v>
      </c>
      <c r="Q9" s="32" t="n">
        <f aca="false">'P&amp;L monthly'!Q9/FX_EUR</f>
        <v>10529.2895901992</v>
      </c>
      <c r="R9" s="32" t="n">
        <f aca="false">'P&amp;L monthly'!R9/FX_EUR</f>
        <v>12313.6195948192</v>
      </c>
      <c r="S9" s="32" t="n">
        <f aca="false">'P&amp;L monthly'!S9/FX_EUR</f>
        <v>14095.5220953314</v>
      </c>
      <c r="T9" s="32" t="n">
        <f aca="false">'P&amp;L monthly'!T9/FX_EUR</f>
        <v>15876.3020938341</v>
      </c>
      <c r="U9" s="32" t="n">
        <f aca="false">'P&amp;L monthly'!U9/FX_EUR</f>
        <v>17657.3207012964</v>
      </c>
      <c r="V9" s="32" t="n">
        <f aca="false">'P&amp;L monthly'!V9/FX_EUR</f>
        <v>19439.9988807698</v>
      </c>
      <c r="W9" s="32" t="n">
        <f aca="false">'P&amp;L monthly'!W9/FX_EUR</f>
        <v>21225.8214083623</v>
      </c>
      <c r="X9" s="32" t="n">
        <f aca="false">'P&amp;L monthly'!X9/FX_EUR</f>
        <v>24030.67733213</v>
      </c>
      <c r="Y9" s="32" t="n">
        <f aca="false">'P&amp;L monthly'!Y9/FX_EUR</f>
        <v>26838.3168711379</v>
      </c>
      <c r="Z9" s="32" t="n">
        <f aca="false">'P&amp;L monthly'!Z9/FX_EUR</f>
        <v>29865.3905352407</v>
      </c>
      <c r="AA9" s="32" t="n">
        <f aca="false">'P&amp;L monthly'!AA9/FX_EUR</f>
        <v>32897.2789619806</v>
      </c>
      <c r="AB9" s="32" t="n">
        <f aca="false">'P&amp;L monthly'!AB9/FX_EUR</f>
        <v>35936.6009597458</v>
      </c>
      <c r="AC9" s="32" t="n">
        <f aca="false">'P&amp;L monthly'!AC9/FX_EUR</f>
        <v>38986.0969819471</v>
      </c>
      <c r="AD9" s="32" t="n">
        <f aca="false">'P&amp;L monthly'!AD9/FX_EUR</f>
        <v>42987.9695550876</v>
      </c>
      <c r="AE9" s="32" t="n">
        <f aca="false">'P&amp;L monthly'!AE9/FX_EUR</f>
        <v>46993.686710468</v>
      </c>
      <c r="AF9" s="32" t="n">
        <f aca="false">'P&amp;L monthly'!AF9/FX_EUR</f>
        <v>51220.8833064646</v>
      </c>
      <c r="AG9" s="32" t="n">
        <f aca="false">'P&amp;L monthly'!AG9/FX_EUR</f>
        <v>55455.9695151517</v>
      </c>
      <c r="AH9" s="32" t="n">
        <f aca="false">'P&amp;L monthly'!AH9/FX_EUR</f>
        <v>59702.6418097021</v>
      </c>
      <c r="AI9" s="32" t="n">
        <f aca="false">'P&amp;L monthly'!AI9/FX_EUR</f>
        <v>63964.7695552591</v>
      </c>
      <c r="AJ9" s="32" t="n">
        <f aca="false">'P&amp;L monthly'!AJ9/FX_EUR</f>
        <v>68460.7026021029</v>
      </c>
      <c r="AK9" s="32" t="n">
        <f aca="false">'P&amp;L monthly'!AK9/FX_EUR</f>
        <v>72977.6090127633</v>
      </c>
      <c r="AL9" s="32" t="n">
        <f aca="false">'P&amp;L monthly'!AL9/FX_EUR</f>
        <v>77519.988620086</v>
      </c>
      <c r="AM9" s="32" t="n">
        <f aca="false">'P&amp;L monthly'!AM9/FX_EUR</f>
        <v>82092.5623431068</v>
      </c>
      <c r="AN9" s="32" t="n">
        <f aca="false">'P&amp;L monthly'!AN9/FX_EUR</f>
        <v>86914.5826688132</v>
      </c>
      <c r="AO9" s="32" t="n">
        <f aca="false">'P&amp;L monthly'!AO9/FX_EUR</f>
        <v>91774.1744412605</v>
      </c>
      <c r="AP9" s="32" t="n">
        <f aca="false">'P&amp;L monthly'!AP9/FX_EUR</f>
        <v>97337.5988816044</v>
      </c>
      <c r="AQ9" s="32" t="n">
        <f aca="false">'P&amp;L monthly'!AQ9/FX_EUR</f>
        <v>103155.614175747</v>
      </c>
      <c r="AR9" s="32" t="n">
        <f aca="false">'P&amp;L monthly'!AR9/FX_EUR</f>
        <v>109017.363847462</v>
      </c>
      <c r="AS9" s="32" t="n">
        <f aca="false">'P&amp;L monthly'!AS9/FX_EUR</f>
        <v>114929.430957052</v>
      </c>
      <c r="AT9" s="32" t="n">
        <f aca="false">'P&amp;L monthly'!AT9/FX_EUR</f>
        <v>121113.030455889</v>
      </c>
      <c r="AU9" s="32" t="n">
        <f aca="false">'P&amp;L monthly'!AU9/FX_EUR</f>
        <v>127358.356184827</v>
      </c>
      <c r="AV9" s="32" t="n">
        <f aca="false">'P&amp;L monthly'!AV9/FX_EUR</f>
        <v>133673.104256526</v>
      </c>
      <c r="AW9" s="32" t="n">
        <f aca="false">'P&amp;L monthly'!AW9/FX_EUR</f>
        <v>140472.535931205</v>
      </c>
      <c r="AX9" s="32" t="n">
        <f aca="false">'P&amp;L monthly'!AX9/FX_EUR</f>
        <v>147291.493567711</v>
      </c>
      <c r="AY9" s="32" t="n">
        <f aca="false">'P&amp;L monthly'!AY9/FX_EUR</f>
        <v>154283.104681034</v>
      </c>
      <c r="AZ9" s="32" t="n">
        <f aca="false">'P&amp;L monthly'!AZ9/FX_EUR</f>
        <v>161233.598767957</v>
      </c>
      <c r="BA9" s="32" t="n">
        <f aca="false">'P&amp;L monthly'!BA9/FX_EUR</f>
        <v>168146.440397985</v>
      </c>
      <c r="BB9" s="32" t="n">
        <f aca="false">'P&amp;L monthly'!BB9/FX_EUR</f>
        <v>175903.828613957</v>
      </c>
      <c r="BC9" s="32" t="n">
        <f aca="false">'P&amp;L monthly'!BC9/FX_EUR</f>
        <v>183619.441639644</v>
      </c>
      <c r="BD9" s="32" t="n">
        <f aca="false">'P&amp;L monthly'!BD9/FX_EUR</f>
        <v>191511.596523692</v>
      </c>
      <c r="BE9" s="32" t="n">
        <f aca="false">'P&amp;L monthly'!BE9/FX_EUR</f>
        <v>199367.376359994</v>
      </c>
      <c r="BF9" s="32" t="n">
        <f aca="false">'P&amp;L monthly'!BF9/FX_EUR</f>
        <v>207384.008301677</v>
      </c>
      <c r="BG9" s="32" t="n">
        <f aca="false">'P&amp;L monthly'!BG9/FX_EUR</f>
        <v>215584.940103795</v>
      </c>
      <c r="BH9" s="32" t="n">
        <f aca="false">'P&amp;L monthly'!BH9/FX_EUR</f>
        <v>223757.828373558</v>
      </c>
      <c r="BI9" s="32" t="n">
        <f aca="false">'P&amp;L monthly'!BI9/FX_EUR</f>
        <v>232121.936525677</v>
      </c>
      <c r="BJ9" s="32" t="n">
        <f aca="false">'P&amp;L monthly'!BJ9/FX_EUR</f>
        <v>240658.21627733</v>
      </c>
      <c r="BK9" s="32" t="n">
        <f aca="false">'P&amp;L monthly'!BK9/FX_EUR</f>
        <v>249391.011930827</v>
      </c>
      <c r="BL9" s="32" t="n">
        <f aca="false">'P&amp;L monthly'!BL9/FX_EUR</f>
        <v>258063.006316749</v>
      </c>
    </row>
    <row r="10" customFormat="false" ht="15" hidden="false" customHeight="false" outlineLevel="0" collapsed="false">
      <c r="A10" s="12" t="s">
        <v>771</v>
      </c>
      <c r="B10" s="14" t="s">
        <v>79</v>
      </c>
      <c r="D10" s="55" t="n">
        <f aca="false">'P&amp;L monthly'!D10/FX_EUR</f>
        <v>6861806.96231312</v>
      </c>
      <c r="E10" s="32" t="n">
        <f aca="false">'P&amp;L monthly'!E10/FX_EUR</f>
        <v>0</v>
      </c>
      <c r="F10" s="32" t="n">
        <f aca="false">'P&amp;L monthly'!F10/FX_EUR</f>
        <v>0</v>
      </c>
      <c r="G10" s="32" t="n">
        <f aca="false">'P&amp;L monthly'!G10/FX_EUR</f>
        <v>0</v>
      </c>
      <c r="H10" s="32" t="n">
        <f aca="false">'P&amp;L monthly'!H10/FX_EUR</f>
        <v>0</v>
      </c>
      <c r="I10" s="32" t="n">
        <f aca="false">'P&amp;L monthly'!I10/FX_EUR</f>
        <v>1677.90470005402</v>
      </c>
      <c r="J10" s="32" t="n">
        <f aca="false">'P&amp;L monthly'!J10/FX_EUR</f>
        <v>3351.87126087025</v>
      </c>
      <c r="K10" s="32" t="n">
        <f aca="false">'P&amp;L monthly'!K10/FX_EUR</f>
        <v>5022.9592783902</v>
      </c>
      <c r="L10" s="32" t="n">
        <f aca="false">'P&amp;L monthly'!L10/FX_EUR</f>
        <v>6692.27357761335</v>
      </c>
      <c r="M10" s="32" t="n">
        <f aca="false">'P&amp;L monthly'!M10/FX_EUR</f>
        <v>8360.96721651402</v>
      </c>
      <c r="N10" s="32" t="n">
        <f aca="false">'P&amp;L monthly'!N10/FX_EUR</f>
        <v>10030.2446652151</v>
      </c>
      <c r="O10" s="32" t="n">
        <f aca="false">'P&amp;L monthly'!O10/FX_EUR</f>
        <v>11701.3651710247</v>
      </c>
      <c r="P10" s="32" t="n">
        <f aca="false">'P&amp;L monthly'!P10/FX_EUR</f>
        <v>13375.6463205753</v>
      </c>
      <c r="Q10" s="32" t="n">
        <f aca="false">'P&amp;L monthly'!Q10/FX_EUR</f>
        <v>15646.9355083031</v>
      </c>
      <c r="R10" s="32" t="n">
        <f aca="false">'P&amp;L monthly'!R10/FX_EUR</f>
        <v>17917.0712686745</v>
      </c>
      <c r="S10" s="32" t="n">
        <f aca="false">'P&amp;L monthly'!S10/FX_EUR</f>
        <v>20187.6682142918</v>
      </c>
      <c r="T10" s="32" t="n">
        <f aca="false">'P&amp;L monthly'!T10/FX_EUR</f>
        <v>22460.4142409273</v>
      </c>
      <c r="U10" s="32" t="n">
        <f aca="false">'P&amp;L monthly'!U10/FX_EUR</f>
        <v>24737.0752945547</v>
      </c>
      <c r="V10" s="32" t="n">
        <f aca="false">'P&amp;L monthly'!V10/FX_EUR</f>
        <v>27019.5004180929</v>
      </c>
      <c r="W10" s="32" t="n">
        <f aca="false">'P&amp;L monthly'!W10/FX_EUR</f>
        <v>30594.0608813225</v>
      </c>
      <c r="X10" s="32" t="n">
        <f aca="false">'P&amp;L monthly'!X10/FX_EUR</f>
        <v>34175.0874966234</v>
      </c>
      <c r="Y10" s="32" t="n">
        <f aca="false">'P&amp;L monthly'!Y10/FX_EUR</f>
        <v>38036.8702051978</v>
      </c>
      <c r="Z10" s="32" t="n">
        <f aca="false">'P&amp;L monthly'!Z10/FX_EUR</f>
        <v>41907.8507048403</v>
      </c>
      <c r="AA10" s="32" t="n">
        <f aca="false">'P&amp;L monthly'!AA10/FX_EUR</f>
        <v>45791.2943446684</v>
      </c>
      <c r="AB10" s="32" t="n">
        <f aca="false">'P&amp;L monthly'!AB10/FX_EUR</f>
        <v>49690.624541663</v>
      </c>
      <c r="AC10" s="32" t="n">
        <f aca="false">'P&amp;L monthly'!AC10/FX_EUR</f>
        <v>54798.890905112</v>
      </c>
      <c r="AD10" s="32" t="n">
        <f aca="false">'P&amp;L monthly'!AD10/FX_EUR</f>
        <v>59916.0721225069</v>
      </c>
      <c r="AE10" s="32" t="n">
        <f aca="false">'P&amp;L monthly'!AE10/FX_EUR</f>
        <v>65317.6856465598</v>
      </c>
      <c r="AF10" s="32" t="n">
        <f aca="false">'P&amp;L monthly'!AF10/FX_EUR</f>
        <v>70733.4594183865</v>
      </c>
      <c r="AG10" s="32" t="n">
        <f aca="false">'P&amp;L monthly'!AG10/FX_EUR</f>
        <v>76168.0075173101</v>
      </c>
      <c r="AH10" s="32" t="n">
        <f aca="false">'P&amp;L monthly'!AH10/FX_EUR</f>
        <v>81626.1685538735</v>
      </c>
      <c r="AI10" s="32" t="n">
        <f aca="false">'P&amp;L monthly'!AI10/FX_EUR</f>
        <v>87384.379207363</v>
      </c>
      <c r="AJ10" s="32" t="n">
        <f aca="false">'P&amp;L monthly'!AJ10/FX_EUR</f>
        <v>93173.3415725657</v>
      </c>
      <c r="AK10" s="32" t="n">
        <f aca="false">'P&amp;L monthly'!AK10/FX_EUR</f>
        <v>98998.7021049696</v>
      </c>
      <c r="AL10" s="32" t="n">
        <f aca="false">'P&amp;L monthly'!AL10/FX_EUR</f>
        <v>104866.393506946</v>
      </c>
      <c r="AM10" s="32" t="n">
        <f aca="false">'P&amp;L monthly'!AM10/FX_EUR</f>
        <v>111054.011968084</v>
      </c>
      <c r="AN10" s="32" t="n">
        <f aca="false">'P&amp;L monthly'!AN10/FX_EUR</f>
        <v>117293.488436977</v>
      </c>
      <c r="AO10" s="32" t="n">
        <f aca="false">'P&amp;L monthly'!AO10/FX_EUR</f>
        <v>124428.462749933</v>
      </c>
      <c r="AP10" s="32" t="n">
        <f aca="false">'P&amp;L monthly'!AP10/FX_EUR</f>
        <v>131890.833512406</v>
      </c>
      <c r="AQ10" s="32" t="n">
        <f aca="false">'P&amp;L monthly'!AQ10/FX_EUR</f>
        <v>139413.810319044</v>
      </c>
      <c r="AR10" s="32" t="n">
        <f aca="false">'P&amp;L monthly'!AR10/FX_EUR</f>
        <v>147005.685835369</v>
      </c>
      <c r="AS10" s="32" t="n">
        <f aca="false">'P&amp;L monthly'!AS10/FX_EUR</f>
        <v>154946.545436281</v>
      </c>
      <c r="AT10" s="32" t="n">
        <f aca="false">'P&amp;L monthly'!AT10/FX_EUR</f>
        <v>162970.946420998</v>
      </c>
      <c r="AU10" s="32" t="n">
        <f aca="false">'P&amp;L monthly'!AU10/FX_EUR</f>
        <v>171088.60953538</v>
      </c>
      <c r="AV10" s="32" t="n">
        <f aca="false">'P&amp;L monthly'!AV10/FX_EUR</f>
        <v>179825.356763091</v>
      </c>
      <c r="AW10" s="32" t="n">
        <f aca="false">'P&amp;L monthly'!AW10/FX_EUR</f>
        <v>188592.650446705</v>
      </c>
      <c r="AX10" s="32" t="n">
        <f aca="false">'P&amp;L monthly'!AX10/FX_EUR</f>
        <v>197584.309552842</v>
      </c>
      <c r="AY10" s="32" t="n">
        <f aca="false">'P&amp;L monthly'!AY10/FX_EUR</f>
        <v>206529.742151706</v>
      </c>
      <c r="AZ10" s="32" t="n">
        <f aca="false">'P&amp;L monthly'!AZ10/FX_EUR</f>
        <v>215433.179010306</v>
      </c>
      <c r="BA10" s="32" t="n">
        <f aca="false">'P&amp;L monthly'!BA10/FX_EUR</f>
        <v>225411.581778468</v>
      </c>
      <c r="BB10" s="32" t="n">
        <f aca="false">'P&amp;L monthly'!BB10/FX_EUR</f>
        <v>235343.528029394</v>
      </c>
      <c r="BC10" s="32" t="n">
        <f aca="false">'P&amp;L monthly'!BC10/FX_EUR</f>
        <v>245505.300070517</v>
      </c>
      <c r="BD10" s="32" t="n">
        <f aca="false">'P&amp;L monthly'!BD10/FX_EUR</f>
        <v>255627.381561632</v>
      </c>
      <c r="BE10" s="32" t="n">
        <f aca="false">'P&amp;L monthly'!BE10/FX_EUR</f>
        <v>265959.356776938</v>
      </c>
      <c r="BF10" s="32" t="n">
        <f aca="false">'P&amp;L monthly'!BF10/FX_EUR</f>
        <v>276530.995533534</v>
      </c>
      <c r="BG10" s="32" t="n">
        <f aca="false">'P&amp;L monthly'!BG10/FX_EUR</f>
        <v>287073.516617157</v>
      </c>
      <c r="BH10" s="32" t="n">
        <f aca="false">'P&amp;L monthly'!BH10/FX_EUR</f>
        <v>297864.417803963</v>
      </c>
      <c r="BI10" s="32" t="n">
        <f aca="false">'P&amp;L monthly'!BI10/FX_EUR</f>
        <v>308879.692653978</v>
      </c>
      <c r="BJ10" s="32" t="n">
        <f aca="false">'P&amp;L monthly'!BJ10/FX_EUR</f>
        <v>320150.256980077</v>
      </c>
      <c r="BK10" s="32" t="n">
        <f aca="false">'P&amp;L monthly'!BK10/FX_EUR</f>
        <v>331350.391766088</v>
      </c>
      <c r="BL10" s="32" t="n">
        <f aca="false">'P&amp;L monthly'!BL10/FX_EUR</f>
        <v>342692.124737243</v>
      </c>
    </row>
    <row r="11" customFormat="false" ht="15" hidden="false" customHeight="false" outlineLevel="0" collapsed="false">
      <c r="A11" s="12" t="s">
        <v>1100</v>
      </c>
      <c r="B11" s="14" t="s">
        <v>79</v>
      </c>
      <c r="D11" s="55" t="n">
        <f aca="false">'P&amp;L monthly'!D11/FX_EUR</f>
        <v>0</v>
      </c>
      <c r="E11" s="32" t="n">
        <f aca="false">'P&amp;L monthly'!E11/FX_EUR</f>
        <v>0</v>
      </c>
      <c r="F11" s="32" t="n">
        <f aca="false">'P&amp;L monthly'!F11/FX_EUR</f>
        <v>0</v>
      </c>
      <c r="G11" s="32" t="n">
        <f aca="false">'P&amp;L monthly'!G11/FX_EUR</f>
        <v>0</v>
      </c>
      <c r="H11" s="32" t="n">
        <f aca="false">'P&amp;L monthly'!H11/FX_EUR</f>
        <v>0</v>
      </c>
      <c r="I11" s="32" t="n">
        <f aca="false">'P&amp;L monthly'!I11/FX_EUR</f>
        <v>0</v>
      </c>
      <c r="J11" s="32" t="n">
        <f aca="false">'P&amp;L monthly'!J11/FX_EUR</f>
        <v>0</v>
      </c>
      <c r="K11" s="32" t="n">
        <f aca="false">'P&amp;L monthly'!K11/FX_EUR</f>
        <v>0</v>
      </c>
      <c r="L11" s="32" t="n">
        <f aca="false">'P&amp;L monthly'!L11/FX_EUR</f>
        <v>0</v>
      </c>
      <c r="M11" s="32" t="n">
        <f aca="false">'P&amp;L monthly'!M11/FX_EUR</f>
        <v>0</v>
      </c>
      <c r="N11" s="32" t="n">
        <f aca="false">'P&amp;L monthly'!N11/FX_EUR</f>
        <v>0</v>
      </c>
      <c r="O11" s="32" t="n">
        <f aca="false">'P&amp;L monthly'!O11/FX_EUR</f>
        <v>0</v>
      </c>
      <c r="P11" s="32" t="n">
        <f aca="false">'P&amp;L monthly'!P11/FX_EUR</f>
        <v>0</v>
      </c>
      <c r="Q11" s="32" t="n">
        <f aca="false">'P&amp;L monthly'!Q11/FX_EUR</f>
        <v>0</v>
      </c>
      <c r="R11" s="32" t="n">
        <f aca="false">'P&amp;L monthly'!R11/FX_EUR</f>
        <v>0</v>
      </c>
      <c r="S11" s="32" t="n">
        <f aca="false">'P&amp;L monthly'!S11/FX_EUR</f>
        <v>0</v>
      </c>
      <c r="T11" s="32" t="n">
        <f aca="false">'P&amp;L monthly'!T11/FX_EUR</f>
        <v>0</v>
      </c>
      <c r="U11" s="32" t="n">
        <f aca="false">'P&amp;L monthly'!U11/FX_EUR</f>
        <v>0</v>
      </c>
      <c r="V11" s="32" t="n">
        <f aca="false">'P&amp;L monthly'!V11/FX_EUR</f>
        <v>0</v>
      </c>
      <c r="W11" s="32" t="n">
        <f aca="false">'P&amp;L monthly'!W11/FX_EUR</f>
        <v>0</v>
      </c>
      <c r="X11" s="32" t="n">
        <f aca="false">'P&amp;L monthly'!X11/FX_EUR</f>
        <v>0</v>
      </c>
      <c r="Y11" s="32" t="n">
        <f aca="false">'P&amp;L monthly'!Y11/FX_EUR</f>
        <v>0</v>
      </c>
      <c r="Z11" s="32" t="n">
        <f aca="false">'P&amp;L monthly'!Z11/FX_EUR</f>
        <v>0</v>
      </c>
      <c r="AA11" s="32" t="n">
        <f aca="false">'P&amp;L monthly'!AA11/FX_EUR</f>
        <v>0</v>
      </c>
      <c r="AB11" s="32" t="n">
        <f aca="false">'P&amp;L monthly'!AB11/FX_EUR</f>
        <v>0</v>
      </c>
      <c r="AC11" s="32" t="n">
        <f aca="false">'P&amp;L monthly'!AC11/FX_EUR</f>
        <v>0</v>
      </c>
      <c r="AD11" s="32" t="n">
        <f aca="false">'P&amp;L monthly'!AD11/FX_EUR</f>
        <v>0</v>
      </c>
      <c r="AE11" s="32" t="n">
        <f aca="false">'P&amp;L monthly'!AE11/FX_EUR</f>
        <v>0</v>
      </c>
      <c r="AF11" s="32" t="n">
        <f aca="false">'P&amp;L monthly'!AF11/FX_EUR</f>
        <v>0</v>
      </c>
      <c r="AG11" s="32" t="n">
        <f aca="false">'P&amp;L monthly'!AG11/FX_EUR</f>
        <v>0</v>
      </c>
      <c r="AH11" s="32" t="n">
        <f aca="false">'P&amp;L monthly'!AH11/FX_EUR</f>
        <v>0</v>
      </c>
      <c r="AI11" s="32" t="n">
        <f aca="false">'P&amp;L monthly'!AI11/FX_EUR</f>
        <v>0</v>
      </c>
      <c r="AJ11" s="32" t="n">
        <f aca="false">'P&amp;L monthly'!AJ11/FX_EUR</f>
        <v>0</v>
      </c>
      <c r="AK11" s="32" t="n">
        <f aca="false">'P&amp;L monthly'!AK11/FX_EUR</f>
        <v>0</v>
      </c>
      <c r="AL11" s="32" t="n">
        <f aca="false">'P&amp;L monthly'!AL11/FX_EUR</f>
        <v>0</v>
      </c>
      <c r="AM11" s="32" t="n">
        <f aca="false">'P&amp;L monthly'!AM11/FX_EUR</f>
        <v>0</v>
      </c>
      <c r="AN11" s="32" t="n">
        <f aca="false">'P&amp;L monthly'!AN11/FX_EUR</f>
        <v>0</v>
      </c>
      <c r="AO11" s="32" t="n">
        <f aca="false">'P&amp;L monthly'!AO11/FX_EUR</f>
        <v>0</v>
      </c>
      <c r="AP11" s="32" t="n">
        <f aca="false">'P&amp;L monthly'!AP11/FX_EUR</f>
        <v>0</v>
      </c>
      <c r="AQ11" s="32" t="n">
        <f aca="false">'P&amp;L monthly'!AQ11/FX_EUR</f>
        <v>0</v>
      </c>
      <c r="AR11" s="32" t="n">
        <f aca="false">'P&amp;L monthly'!AR11/FX_EUR</f>
        <v>0</v>
      </c>
      <c r="AS11" s="32" t="n">
        <f aca="false">'P&amp;L monthly'!AS11/FX_EUR</f>
        <v>0</v>
      </c>
      <c r="AT11" s="32" t="n">
        <f aca="false">'P&amp;L monthly'!AT11/FX_EUR</f>
        <v>0</v>
      </c>
      <c r="AU11" s="32" t="n">
        <f aca="false">'P&amp;L monthly'!AU11/FX_EUR</f>
        <v>0</v>
      </c>
      <c r="AV11" s="32" t="n">
        <f aca="false">'P&amp;L monthly'!AV11/FX_EUR</f>
        <v>0</v>
      </c>
      <c r="AW11" s="32" t="n">
        <f aca="false">'P&amp;L monthly'!AW11/FX_EUR</f>
        <v>0</v>
      </c>
      <c r="AX11" s="32" t="n">
        <f aca="false">'P&amp;L monthly'!AX11/FX_EUR</f>
        <v>0</v>
      </c>
      <c r="AY11" s="32" t="n">
        <f aca="false">'P&amp;L monthly'!AY11/FX_EUR</f>
        <v>0</v>
      </c>
      <c r="AZ11" s="32" t="n">
        <f aca="false">'P&amp;L monthly'!AZ11/FX_EUR</f>
        <v>0</v>
      </c>
      <c r="BA11" s="32" t="n">
        <f aca="false">'P&amp;L monthly'!BA11/FX_EUR</f>
        <v>0</v>
      </c>
      <c r="BB11" s="32" t="n">
        <f aca="false">'P&amp;L monthly'!BB11/FX_EUR</f>
        <v>0</v>
      </c>
      <c r="BC11" s="32" t="n">
        <f aca="false">'P&amp;L monthly'!BC11/FX_EUR</f>
        <v>0</v>
      </c>
      <c r="BD11" s="32" t="n">
        <f aca="false">'P&amp;L monthly'!BD11/FX_EUR</f>
        <v>0</v>
      </c>
      <c r="BE11" s="32" t="n">
        <f aca="false">'P&amp;L monthly'!BE11/FX_EUR</f>
        <v>0</v>
      </c>
      <c r="BF11" s="32" t="n">
        <f aca="false">'P&amp;L monthly'!BF11/FX_EUR</f>
        <v>0</v>
      </c>
      <c r="BG11" s="32" t="n">
        <f aca="false">'P&amp;L monthly'!BG11/FX_EUR</f>
        <v>0</v>
      </c>
      <c r="BH11" s="32" t="n">
        <f aca="false">'P&amp;L monthly'!BH11/FX_EUR</f>
        <v>0</v>
      </c>
      <c r="BI11" s="32" t="n">
        <f aca="false">'P&amp;L monthly'!BI11/FX_EUR</f>
        <v>0</v>
      </c>
      <c r="BJ11" s="32" t="n">
        <f aca="false">'P&amp;L monthly'!BJ11/FX_EUR</f>
        <v>0</v>
      </c>
      <c r="BK11" s="32" t="n">
        <f aca="false">'P&amp;L monthly'!BK11/FX_EUR</f>
        <v>0</v>
      </c>
      <c r="BL11" s="32" t="n">
        <f aca="false">'P&amp;L monthly'!BL11/FX_EUR</f>
        <v>0</v>
      </c>
    </row>
    <row r="12" customFormat="false" ht="15" hidden="false" customHeight="false" outlineLevel="0" collapsed="false">
      <c r="A12" s="12" t="s">
        <v>1101</v>
      </c>
      <c r="B12" s="14" t="s">
        <v>79</v>
      </c>
      <c r="D12" s="55" t="n">
        <f aca="false">'P&amp;L monthly'!D12/FX_EUR</f>
        <v>0</v>
      </c>
      <c r="E12" s="32" t="n">
        <f aca="false">'P&amp;L monthly'!E12/FX_EUR</f>
        <v>0</v>
      </c>
      <c r="F12" s="32" t="n">
        <f aca="false">'P&amp;L monthly'!F12/FX_EUR</f>
        <v>0</v>
      </c>
      <c r="G12" s="32" t="n">
        <f aca="false">'P&amp;L monthly'!G12/FX_EUR</f>
        <v>0</v>
      </c>
      <c r="H12" s="32" t="n">
        <f aca="false">'P&amp;L monthly'!H12/FX_EUR</f>
        <v>0</v>
      </c>
      <c r="I12" s="32" t="n">
        <f aca="false">'P&amp;L monthly'!I12/FX_EUR</f>
        <v>0</v>
      </c>
      <c r="J12" s="32" t="n">
        <f aca="false">'P&amp;L monthly'!J12/FX_EUR</f>
        <v>0</v>
      </c>
      <c r="K12" s="32" t="n">
        <f aca="false">'P&amp;L monthly'!K12/FX_EUR</f>
        <v>0</v>
      </c>
      <c r="L12" s="32" t="n">
        <f aca="false">'P&amp;L monthly'!L12/FX_EUR</f>
        <v>0</v>
      </c>
      <c r="M12" s="32" t="n">
        <f aca="false">'P&amp;L monthly'!M12/FX_EUR</f>
        <v>0</v>
      </c>
      <c r="N12" s="32" t="n">
        <f aca="false">'P&amp;L monthly'!N12/FX_EUR</f>
        <v>0</v>
      </c>
      <c r="O12" s="32" t="n">
        <f aca="false">'P&amp;L monthly'!O12/FX_EUR</f>
        <v>0</v>
      </c>
      <c r="P12" s="32" t="n">
        <f aca="false">'P&amp;L monthly'!P12/FX_EUR</f>
        <v>0</v>
      </c>
      <c r="Q12" s="32" t="n">
        <f aca="false">'P&amp;L monthly'!Q12/FX_EUR</f>
        <v>0</v>
      </c>
      <c r="R12" s="32" t="n">
        <f aca="false">'P&amp;L monthly'!R12/FX_EUR</f>
        <v>0</v>
      </c>
      <c r="S12" s="32" t="n">
        <f aca="false">'P&amp;L monthly'!S12/FX_EUR</f>
        <v>0</v>
      </c>
      <c r="T12" s="32" t="n">
        <f aca="false">'P&amp;L monthly'!T12/FX_EUR</f>
        <v>0</v>
      </c>
      <c r="U12" s="32" t="n">
        <f aca="false">'P&amp;L monthly'!U12/FX_EUR</f>
        <v>0</v>
      </c>
      <c r="V12" s="32" t="n">
        <f aca="false">'P&amp;L monthly'!V12/FX_EUR</f>
        <v>0</v>
      </c>
      <c r="W12" s="32" t="n">
        <f aca="false">'P&amp;L monthly'!W12/FX_EUR</f>
        <v>0</v>
      </c>
      <c r="X12" s="32" t="n">
        <f aca="false">'P&amp;L monthly'!X12/FX_EUR</f>
        <v>0</v>
      </c>
      <c r="Y12" s="32" t="n">
        <f aca="false">'P&amp;L monthly'!Y12/FX_EUR</f>
        <v>0</v>
      </c>
      <c r="Z12" s="32" t="n">
        <f aca="false">'P&amp;L monthly'!Z12/FX_EUR</f>
        <v>0</v>
      </c>
      <c r="AA12" s="32" t="n">
        <f aca="false">'P&amp;L monthly'!AA12/FX_EUR</f>
        <v>0</v>
      </c>
      <c r="AB12" s="32" t="n">
        <f aca="false">'P&amp;L monthly'!AB12/FX_EUR</f>
        <v>0</v>
      </c>
      <c r="AC12" s="32" t="n">
        <f aca="false">'P&amp;L monthly'!AC12/FX_EUR</f>
        <v>0</v>
      </c>
      <c r="AD12" s="32" t="n">
        <f aca="false">'P&amp;L monthly'!AD12/FX_EUR</f>
        <v>0</v>
      </c>
      <c r="AE12" s="32" t="n">
        <f aca="false">'P&amp;L monthly'!AE12/FX_EUR</f>
        <v>0</v>
      </c>
      <c r="AF12" s="32" t="n">
        <f aca="false">'P&amp;L monthly'!AF12/FX_EUR</f>
        <v>0</v>
      </c>
      <c r="AG12" s="32" t="n">
        <f aca="false">'P&amp;L monthly'!AG12/FX_EUR</f>
        <v>0</v>
      </c>
      <c r="AH12" s="32" t="n">
        <f aca="false">'P&amp;L monthly'!AH12/FX_EUR</f>
        <v>0</v>
      </c>
      <c r="AI12" s="32" t="n">
        <f aca="false">'P&amp;L monthly'!AI12/FX_EUR</f>
        <v>0</v>
      </c>
      <c r="AJ12" s="32" t="n">
        <f aca="false">'P&amp;L monthly'!AJ12/FX_EUR</f>
        <v>0</v>
      </c>
      <c r="AK12" s="32" t="n">
        <f aca="false">'P&amp;L monthly'!AK12/FX_EUR</f>
        <v>0</v>
      </c>
      <c r="AL12" s="32" t="n">
        <f aca="false">'P&amp;L monthly'!AL12/FX_EUR</f>
        <v>0</v>
      </c>
      <c r="AM12" s="32" t="n">
        <f aca="false">'P&amp;L monthly'!AM12/FX_EUR</f>
        <v>0</v>
      </c>
      <c r="AN12" s="32" t="n">
        <f aca="false">'P&amp;L monthly'!AN12/FX_EUR</f>
        <v>0</v>
      </c>
      <c r="AO12" s="32" t="n">
        <f aca="false">'P&amp;L monthly'!AO12/FX_EUR</f>
        <v>0</v>
      </c>
      <c r="AP12" s="32" t="n">
        <f aca="false">'P&amp;L monthly'!AP12/FX_EUR</f>
        <v>0</v>
      </c>
      <c r="AQ12" s="32" t="n">
        <f aca="false">'P&amp;L monthly'!AQ12/FX_EUR</f>
        <v>0</v>
      </c>
      <c r="AR12" s="32" t="n">
        <f aca="false">'P&amp;L monthly'!AR12/FX_EUR</f>
        <v>0</v>
      </c>
      <c r="AS12" s="32" t="n">
        <f aca="false">'P&amp;L monthly'!AS12/FX_EUR</f>
        <v>0</v>
      </c>
      <c r="AT12" s="32" t="n">
        <f aca="false">'P&amp;L monthly'!AT12/FX_EUR</f>
        <v>0</v>
      </c>
      <c r="AU12" s="32" t="n">
        <f aca="false">'P&amp;L monthly'!AU12/FX_EUR</f>
        <v>0</v>
      </c>
      <c r="AV12" s="32" t="n">
        <f aca="false">'P&amp;L monthly'!AV12/FX_EUR</f>
        <v>0</v>
      </c>
      <c r="AW12" s="32" t="n">
        <f aca="false">'P&amp;L monthly'!AW12/FX_EUR</f>
        <v>0</v>
      </c>
      <c r="AX12" s="32" t="n">
        <f aca="false">'P&amp;L monthly'!AX12/FX_EUR</f>
        <v>0</v>
      </c>
      <c r="AY12" s="32" t="n">
        <f aca="false">'P&amp;L monthly'!AY12/FX_EUR</f>
        <v>0</v>
      </c>
      <c r="AZ12" s="32" t="n">
        <f aca="false">'P&amp;L monthly'!AZ12/FX_EUR</f>
        <v>0</v>
      </c>
      <c r="BA12" s="32" t="n">
        <f aca="false">'P&amp;L monthly'!BA12/FX_EUR</f>
        <v>0</v>
      </c>
      <c r="BB12" s="32" t="n">
        <f aca="false">'P&amp;L monthly'!BB12/FX_EUR</f>
        <v>0</v>
      </c>
      <c r="BC12" s="32" t="n">
        <f aca="false">'P&amp;L monthly'!BC12/FX_EUR</f>
        <v>0</v>
      </c>
      <c r="BD12" s="32" t="n">
        <f aca="false">'P&amp;L monthly'!BD12/FX_EUR</f>
        <v>0</v>
      </c>
      <c r="BE12" s="32" t="n">
        <f aca="false">'P&amp;L monthly'!BE12/FX_EUR</f>
        <v>0</v>
      </c>
      <c r="BF12" s="32" t="n">
        <f aca="false">'P&amp;L monthly'!BF12/FX_EUR</f>
        <v>0</v>
      </c>
      <c r="BG12" s="32" t="n">
        <f aca="false">'P&amp;L monthly'!BG12/FX_EUR</f>
        <v>0</v>
      </c>
      <c r="BH12" s="32" t="n">
        <f aca="false">'P&amp;L monthly'!BH12/FX_EUR</f>
        <v>0</v>
      </c>
      <c r="BI12" s="32" t="n">
        <f aca="false">'P&amp;L monthly'!BI12/FX_EUR</f>
        <v>0</v>
      </c>
      <c r="BJ12" s="32" t="n">
        <f aca="false">'P&amp;L monthly'!BJ12/FX_EUR</f>
        <v>0</v>
      </c>
      <c r="BK12" s="32" t="n">
        <f aca="false">'P&amp;L monthly'!BK12/FX_EUR</f>
        <v>0</v>
      </c>
      <c r="BL12" s="32" t="n">
        <f aca="false">'P&amp;L monthly'!BL12/FX_EUR</f>
        <v>0</v>
      </c>
    </row>
    <row r="13" customFormat="false" ht="15" hidden="false" customHeight="false" outlineLevel="0" collapsed="false">
      <c r="A13" s="12" t="s">
        <v>1102</v>
      </c>
      <c r="B13" s="14" t="s">
        <v>79</v>
      </c>
      <c r="D13" s="55" t="n">
        <f aca="false">'P&amp;L monthly'!D13/FX_EUR</f>
        <v>0</v>
      </c>
      <c r="E13" s="32" t="n">
        <f aca="false">'P&amp;L monthly'!E13/FX_EUR</f>
        <v>0</v>
      </c>
      <c r="F13" s="32" t="n">
        <f aca="false">'P&amp;L monthly'!F13/FX_EUR</f>
        <v>0</v>
      </c>
      <c r="G13" s="32" t="n">
        <f aca="false">'P&amp;L monthly'!G13/FX_EUR</f>
        <v>0</v>
      </c>
      <c r="H13" s="32" t="n">
        <f aca="false">'P&amp;L monthly'!H13/FX_EUR</f>
        <v>0</v>
      </c>
      <c r="I13" s="32" t="n">
        <f aca="false">'P&amp;L monthly'!I13/FX_EUR</f>
        <v>0</v>
      </c>
      <c r="J13" s="32" t="n">
        <f aca="false">'P&amp;L monthly'!J13/FX_EUR</f>
        <v>0</v>
      </c>
      <c r="K13" s="32" t="n">
        <f aca="false">'P&amp;L monthly'!K13/FX_EUR</f>
        <v>0</v>
      </c>
      <c r="L13" s="32" t="n">
        <f aca="false">'P&amp;L monthly'!L13/FX_EUR</f>
        <v>0</v>
      </c>
      <c r="M13" s="32" t="n">
        <f aca="false">'P&amp;L monthly'!M13/FX_EUR</f>
        <v>0</v>
      </c>
      <c r="N13" s="32" t="n">
        <f aca="false">'P&amp;L monthly'!N13/FX_EUR</f>
        <v>0</v>
      </c>
      <c r="O13" s="32" t="n">
        <f aca="false">'P&amp;L monthly'!O13/FX_EUR</f>
        <v>0</v>
      </c>
      <c r="P13" s="32" t="n">
        <f aca="false">'P&amp;L monthly'!P13/FX_EUR</f>
        <v>0</v>
      </c>
      <c r="Q13" s="32" t="n">
        <f aca="false">'P&amp;L monthly'!Q13/FX_EUR</f>
        <v>0</v>
      </c>
      <c r="R13" s="32" t="n">
        <f aca="false">'P&amp;L monthly'!R13/FX_EUR</f>
        <v>0</v>
      </c>
      <c r="S13" s="32" t="n">
        <f aca="false">'P&amp;L monthly'!S13/FX_EUR</f>
        <v>0</v>
      </c>
      <c r="T13" s="32" t="n">
        <f aca="false">'P&amp;L monthly'!T13/FX_EUR</f>
        <v>0</v>
      </c>
      <c r="U13" s="32" t="n">
        <f aca="false">'P&amp;L monthly'!U13/FX_EUR</f>
        <v>0</v>
      </c>
      <c r="V13" s="32" t="n">
        <f aca="false">'P&amp;L monthly'!V13/FX_EUR</f>
        <v>0</v>
      </c>
      <c r="W13" s="32" t="n">
        <f aca="false">'P&amp;L monthly'!W13/FX_EUR</f>
        <v>0</v>
      </c>
      <c r="X13" s="32" t="n">
        <f aca="false">'P&amp;L monthly'!X13/FX_EUR</f>
        <v>0</v>
      </c>
      <c r="Y13" s="32" t="n">
        <f aca="false">'P&amp;L monthly'!Y13/FX_EUR</f>
        <v>0</v>
      </c>
      <c r="Z13" s="32" t="n">
        <f aca="false">'P&amp;L monthly'!Z13/FX_EUR</f>
        <v>0</v>
      </c>
      <c r="AA13" s="32" t="n">
        <f aca="false">'P&amp;L monthly'!AA13/FX_EUR</f>
        <v>0</v>
      </c>
      <c r="AB13" s="32" t="n">
        <f aca="false">'P&amp;L monthly'!AB13/FX_EUR</f>
        <v>0</v>
      </c>
      <c r="AC13" s="32" t="n">
        <f aca="false">'P&amp;L monthly'!AC13/FX_EUR</f>
        <v>0</v>
      </c>
      <c r="AD13" s="32" t="n">
        <f aca="false">'P&amp;L monthly'!AD13/FX_EUR</f>
        <v>0</v>
      </c>
      <c r="AE13" s="32" t="n">
        <f aca="false">'P&amp;L monthly'!AE13/FX_EUR</f>
        <v>0</v>
      </c>
      <c r="AF13" s="32" t="n">
        <f aca="false">'P&amp;L monthly'!AF13/FX_EUR</f>
        <v>0</v>
      </c>
      <c r="AG13" s="32" t="n">
        <f aca="false">'P&amp;L monthly'!AG13/FX_EUR</f>
        <v>0</v>
      </c>
      <c r="AH13" s="32" t="n">
        <f aca="false">'P&amp;L monthly'!AH13/FX_EUR</f>
        <v>0</v>
      </c>
      <c r="AI13" s="32" t="n">
        <f aca="false">'P&amp;L monthly'!AI13/FX_EUR</f>
        <v>0</v>
      </c>
      <c r="AJ13" s="32" t="n">
        <f aca="false">'P&amp;L monthly'!AJ13/FX_EUR</f>
        <v>0</v>
      </c>
      <c r="AK13" s="32" t="n">
        <f aca="false">'P&amp;L monthly'!AK13/FX_EUR</f>
        <v>0</v>
      </c>
      <c r="AL13" s="32" t="n">
        <f aca="false">'P&amp;L monthly'!AL13/FX_EUR</f>
        <v>0</v>
      </c>
      <c r="AM13" s="32" t="n">
        <f aca="false">'P&amp;L monthly'!AM13/FX_EUR</f>
        <v>0</v>
      </c>
      <c r="AN13" s="32" t="n">
        <f aca="false">'P&amp;L monthly'!AN13/FX_EUR</f>
        <v>0</v>
      </c>
      <c r="AO13" s="32" t="n">
        <f aca="false">'P&amp;L monthly'!AO13/FX_EUR</f>
        <v>0</v>
      </c>
      <c r="AP13" s="32" t="n">
        <f aca="false">'P&amp;L monthly'!AP13/FX_EUR</f>
        <v>0</v>
      </c>
      <c r="AQ13" s="32" t="n">
        <f aca="false">'P&amp;L monthly'!AQ13/FX_EUR</f>
        <v>0</v>
      </c>
      <c r="AR13" s="32" t="n">
        <f aca="false">'P&amp;L monthly'!AR13/FX_EUR</f>
        <v>0</v>
      </c>
      <c r="AS13" s="32" t="n">
        <f aca="false">'P&amp;L monthly'!AS13/FX_EUR</f>
        <v>0</v>
      </c>
      <c r="AT13" s="32" t="n">
        <f aca="false">'P&amp;L monthly'!AT13/FX_EUR</f>
        <v>0</v>
      </c>
      <c r="AU13" s="32" t="n">
        <f aca="false">'P&amp;L monthly'!AU13/FX_EUR</f>
        <v>0</v>
      </c>
      <c r="AV13" s="32" t="n">
        <f aca="false">'P&amp;L monthly'!AV13/FX_EUR</f>
        <v>0</v>
      </c>
      <c r="AW13" s="32" t="n">
        <f aca="false">'P&amp;L monthly'!AW13/FX_EUR</f>
        <v>0</v>
      </c>
      <c r="AX13" s="32" t="n">
        <f aca="false">'P&amp;L monthly'!AX13/FX_EUR</f>
        <v>0</v>
      </c>
      <c r="AY13" s="32" t="n">
        <f aca="false">'P&amp;L monthly'!AY13/FX_EUR</f>
        <v>0</v>
      </c>
      <c r="AZ13" s="32" t="n">
        <f aca="false">'P&amp;L monthly'!AZ13/FX_EUR</f>
        <v>0</v>
      </c>
      <c r="BA13" s="32" t="n">
        <f aca="false">'P&amp;L monthly'!BA13/FX_EUR</f>
        <v>0</v>
      </c>
      <c r="BB13" s="32" t="n">
        <f aca="false">'P&amp;L monthly'!BB13/FX_EUR</f>
        <v>0</v>
      </c>
      <c r="BC13" s="32" t="n">
        <f aca="false">'P&amp;L monthly'!BC13/FX_EUR</f>
        <v>0</v>
      </c>
      <c r="BD13" s="32" t="n">
        <f aca="false">'P&amp;L monthly'!BD13/FX_EUR</f>
        <v>0</v>
      </c>
      <c r="BE13" s="32" t="n">
        <f aca="false">'P&amp;L monthly'!BE13/FX_EUR</f>
        <v>0</v>
      </c>
      <c r="BF13" s="32" t="n">
        <f aca="false">'P&amp;L monthly'!BF13/FX_EUR</f>
        <v>0</v>
      </c>
      <c r="BG13" s="32" t="n">
        <f aca="false">'P&amp;L monthly'!BG13/FX_EUR</f>
        <v>0</v>
      </c>
      <c r="BH13" s="32" t="n">
        <f aca="false">'P&amp;L monthly'!BH13/FX_EUR</f>
        <v>0</v>
      </c>
      <c r="BI13" s="32" t="n">
        <f aca="false">'P&amp;L monthly'!BI13/FX_EUR</f>
        <v>0</v>
      </c>
      <c r="BJ13" s="32" t="n">
        <f aca="false">'P&amp;L monthly'!BJ13/FX_EUR</f>
        <v>0</v>
      </c>
      <c r="BK13" s="32" t="n">
        <f aca="false">'P&amp;L monthly'!BK13/FX_EUR</f>
        <v>0</v>
      </c>
      <c r="BL13" s="32" t="n">
        <f aca="false">'P&amp;L monthly'!BL13/FX_EUR</f>
        <v>0</v>
      </c>
    </row>
    <row r="14" customFormat="false" ht="15" hidden="false" customHeight="false" outlineLevel="0" collapsed="false">
      <c r="A14" s="12" t="s">
        <v>773</v>
      </c>
      <c r="B14" s="14" t="s">
        <v>79</v>
      </c>
      <c r="D14" s="55" t="n">
        <f aca="false">'P&amp;L monthly'!D14/FX_EUR</f>
        <v>207579.129986779</v>
      </c>
      <c r="E14" s="32" t="n">
        <f aca="false">'P&amp;L monthly'!E14/FX_EUR</f>
        <v>0</v>
      </c>
      <c r="F14" s="32" t="n">
        <f aca="false">'P&amp;L monthly'!F14/FX_EUR</f>
        <v>0</v>
      </c>
      <c r="G14" s="32" t="n">
        <f aca="false">'P&amp;L monthly'!G14/FX_EUR</f>
        <v>0</v>
      </c>
      <c r="H14" s="32" t="n">
        <f aca="false">'P&amp;L monthly'!H14/FX_EUR</f>
        <v>0</v>
      </c>
      <c r="I14" s="32" t="n">
        <f aca="false">'P&amp;L monthly'!I14/FX_EUR</f>
        <v>50.9027268555713</v>
      </c>
      <c r="J14" s="32" t="n">
        <f aca="false">'P&amp;L monthly'!J14/FX_EUR</f>
        <v>101.673284986668</v>
      </c>
      <c r="K14" s="32" t="n">
        <f aca="false">'P&amp;L monthly'!K14/FX_EUR</f>
        <v>152.344130335525</v>
      </c>
      <c r="L14" s="32" t="n">
        <f aca="false">'P&amp;L monthly'!L14/FX_EUR</f>
        <v>202.949076686877</v>
      </c>
      <c r="M14" s="32" t="n">
        <f aca="false">'P&amp;L monthly'!M14/FX_EUR</f>
        <v>253.523386752826</v>
      </c>
      <c r="N14" s="32" t="n">
        <f aca="false">'P&amp;L monthly'!N14/FX_EUR</f>
        <v>304.103868553571</v>
      </c>
      <c r="O14" s="32" t="n">
        <f aca="false">'P&amp;L monthly'!O14/FX_EUR</f>
        <v>354.728977414893</v>
      </c>
      <c r="P14" s="32" t="n">
        <f aca="false">'P&amp;L monthly'!P14/FX_EUR</f>
        <v>405.438923922447</v>
      </c>
      <c r="Q14" s="32" t="n">
        <f aca="false">'P&amp;L monthly'!Q14/FX_EUR</f>
        <v>474.249527325596</v>
      </c>
      <c r="R14" s="32" t="n">
        <f aca="false">'P&amp;L monthly'!R14/FX_EUR</f>
        <v>543.010042119975</v>
      </c>
      <c r="S14" s="32" t="n">
        <f aca="false">'P&amp;L monthly'!S14/FX_EUR</f>
        <v>611.769798412761</v>
      </c>
      <c r="T14" s="32" t="n">
        <f aca="false">'P&amp;L monthly'!T14/FX_EUR</f>
        <v>680.58033031571</v>
      </c>
      <c r="U14" s="32" t="n">
        <f aca="false">'P&amp;L monthly'!U14/FX_EUR</f>
        <v>749.495520411998</v>
      </c>
      <c r="V14" s="32" t="n">
        <f aca="false">'P&amp;L monthly'!V14/FX_EUR</f>
        <v>818.571752677054</v>
      </c>
      <c r="W14" s="32" t="n">
        <f aca="false">'P&amp;L monthly'!W14/FX_EUR</f>
        <v>926.834043170467</v>
      </c>
      <c r="X14" s="32" t="n">
        <f aca="false">'P&amp;L monthly'!X14/FX_EUR</f>
        <v>1035.26947470687</v>
      </c>
      <c r="Y14" s="32" t="n">
        <f aca="false">'P&amp;L monthly'!Y14/FX_EUR</f>
        <v>1152.1996721085</v>
      </c>
      <c r="Z14" s="32" t="n">
        <f aca="false">'P&amp;L monthly'!Z14/FX_EUR</f>
        <v>1269.38473418723</v>
      </c>
      <c r="AA14" s="32" t="n">
        <f aca="false">'P&amp;L monthly'!AA14/FX_EUR</f>
        <v>1386.92419824728</v>
      </c>
      <c r="AB14" s="32" t="n">
        <f aca="false">'P&amp;L monthly'!AB14/FX_EUR</f>
        <v>1504.92236278878</v>
      </c>
      <c r="AC14" s="32" t="n">
        <f aca="false">'P&amp;L monthly'!AC14/FX_EUR</f>
        <v>1659.57327508189</v>
      </c>
      <c r="AD14" s="32" t="n">
        <f aca="false">'P&amp;L monthly'!AD14/FX_EUR</f>
        <v>1814.46316559805</v>
      </c>
      <c r="AE14" s="32" t="n">
        <f aca="false">'P&amp;L monthly'!AE14/FX_EUR</f>
        <v>1977.95107328594</v>
      </c>
      <c r="AF14" s="32" t="n">
        <f aca="false">'P&amp;L monthly'!AF14/FX_EUR</f>
        <v>2141.83628005095</v>
      </c>
      <c r="AG14" s="32" t="n">
        <f aca="false">'P&amp;L monthly'!AG14/FX_EUR</f>
        <v>2306.25938900361</v>
      </c>
      <c r="AH14" s="32" t="n">
        <f aca="false">'P&amp;L monthly'!AH14/FX_EUR</f>
        <v>2471.36776760151</v>
      </c>
      <c r="AI14" s="32" t="n">
        <f aca="false">'P&amp;L monthly'!AI14/FX_EUR</f>
        <v>2645.54822730921</v>
      </c>
      <c r="AJ14" s="32" t="n">
        <f aca="false">'P&amp;L monthly'!AJ14/FX_EUR</f>
        <v>2820.62948439312</v>
      </c>
      <c r="AK14" s="32" t="n">
        <f aca="false">'P&amp;L monthly'!AK14/FX_EUR</f>
        <v>2996.78333783209</v>
      </c>
      <c r="AL14" s="32" t="n">
        <f aca="false">'P&amp;L monthly'!AL14/FX_EUR</f>
        <v>3174.19021810367</v>
      </c>
      <c r="AM14" s="32" t="n">
        <f aca="false">'P&amp;L monthly'!AM14/FX_EUR</f>
        <v>3361.27197882909</v>
      </c>
      <c r="AN14" s="32" t="n">
        <f aca="false">'P&amp;L monthly'!AN14/FX_EUR</f>
        <v>3549.89447627458</v>
      </c>
      <c r="AO14" s="32" t="n">
        <f aca="false">'P&amp;L monthly'!AO14/FX_EUR</f>
        <v>3765.65163446302</v>
      </c>
      <c r="AP14" s="32" t="n">
        <f aca="false">'P&amp;L monthly'!AP14/FX_EUR</f>
        <v>3991.30288219883</v>
      </c>
      <c r="AQ14" s="32" t="n">
        <f aca="false">'P&amp;L monthly'!AQ14/FX_EUR</f>
        <v>4218.75297741768</v>
      </c>
      <c r="AR14" s="32" t="n">
        <f aca="false">'P&amp;L monthly'!AR14/FX_EUR</f>
        <v>4448.25395080482</v>
      </c>
      <c r="AS14" s="32" t="n">
        <f aca="false">'P&amp;L monthly'!AS14/FX_EUR</f>
        <v>4688.30315877602</v>
      </c>
      <c r="AT14" s="32" t="n">
        <f aca="false">'P&amp;L monthly'!AT14/FX_EUR</f>
        <v>4930.84610336108</v>
      </c>
      <c r="AU14" s="32" t="n">
        <f aca="false">'P&amp;L monthly'!AU14/FX_EUR</f>
        <v>5176.17799064321</v>
      </c>
      <c r="AV14" s="32" t="n">
        <f aca="false">'P&amp;L monthly'!AV14/FX_EUR</f>
        <v>5440.25095197089</v>
      </c>
      <c r="AW14" s="32" t="n">
        <f aca="false">'P&amp;L monthly'!AW14/FX_EUR</f>
        <v>5705.20672029567</v>
      </c>
      <c r="AX14" s="32" t="n">
        <f aca="false">'P&amp;L monthly'!AX14/FX_EUR</f>
        <v>5976.92598144086</v>
      </c>
      <c r="AY14" s="32" t="n">
        <f aca="false">'P&amp;L monthly'!AY14/FX_EUR</f>
        <v>6247.19906920346</v>
      </c>
      <c r="AZ14" s="32" t="n">
        <f aca="false">'P&amp;L monthly'!AZ14/FX_EUR</f>
        <v>6516.15570007878</v>
      </c>
      <c r="BA14" s="32" t="n">
        <f aca="false">'P&amp;L monthly'!BA14/FX_EUR</f>
        <v>6817.68253446572</v>
      </c>
      <c r="BB14" s="32" t="n">
        <f aca="false">'P&amp;L monthly'!BB14/FX_EUR</f>
        <v>7117.75171954383</v>
      </c>
      <c r="BC14" s="32" t="n">
        <f aca="false">'P&amp;L monthly'!BC14/FX_EUR</f>
        <v>7424.74632751983</v>
      </c>
      <c r="BD14" s="32" t="n">
        <f aca="false">'P&amp;L monthly'!BD14/FX_EUR</f>
        <v>7730.48937284438</v>
      </c>
      <c r="BE14" s="32" t="n">
        <f aca="false">'P&amp;L monthly'!BE14/FX_EUR</f>
        <v>8042.55392193943</v>
      </c>
      <c r="BF14" s="32" t="n">
        <f aca="false">'P&amp;L monthly'!BF14/FX_EUR</f>
        <v>8361.8425949132</v>
      </c>
      <c r="BG14" s="32" t="n">
        <f aca="false">'P&amp;L monthly'!BG14/FX_EUR</f>
        <v>8680.2006336767</v>
      </c>
      <c r="BH14" s="32" t="n">
        <f aca="false">'P&amp;L monthly'!BH14/FX_EUR</f>
        <v>9006.04784067437</v>
      </c>
      <c r="BI14" s="32" t="n">
        <f aca="false">'P&amp;L monthly'!BI14/FX_EUR</f>
        <v>9338.65513384988</v>
      </c>
      <c r="BJ14" s="32" t="n">
        <f aca="false">'P&amp;L monthly'!BJ14/FX_EUR</f>
        <v>9678.9598130401</v>
      </c>
      <c r="BK14" s="32" t="n">
        <f aca="false">'P&amp;L monthly'!BK14/FX_EUR</f>
        <v>10017.0797003773</v>
      </c>
      <c r="BL14" s="32" t="n">
        <f aca="false">'P&amp;L monthly'!BL14/FX_EUR</f>
        <v>10359.4487679359</v>
      </c>
    </row>
    <row r="15" customFormat="false" ht="15" hidden="false" customHeight="false" outlineLevel="0" collapsed="false">
      <c r="A15" s="12" t="s">
        <v>1036</v>
      </c>
      <c r="B15" s="14" t="s">
        <v>79</v>
      </c>
      <c r="D15" s="55" t="n">
        <f aca="false">'P&amp;L monthly'!D15/FX_EUR</f>
        <v>1458626.35979948</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506.18628586677</v>
      </c>
      <c r="W15" s="32" t="n">
        <f aca="false">'P&amp;L monthly'!W15/FX_EUR</f>
        <v>1146.33128998482</v>
      </c>
      <c r="X15" s="32" t="n">
        <f aca="false">'P&amp;L monthly'!X15/FX_EUR</f>
        <v>1920.82430970446</v>
      </c>
      <c r="Y15" s="32" t="n">
        <f aca="false">'P&amp;L monthly'!Y15/FX_EUR</f>
        <v>2850.59225991948</v>
      </c>
      <c r="Z15" s="32" t="n">
        <f aca="false">'P&amp;L monthly'!Z15/FX_EUR</f>
        <v>3926.01429579283</v>
      </c>
      <c r="AA15" s="32" t="n">
        <f aca="false">'P&amp;L monthly'!AA15/FX_EUR</f>
        <v>5148.00133177951</v>
      </c>
      <c r="AB15" s="32" t="n">
        <f aca="false">'P&amp;L monthly'!AB15/FX_EUR</f>
        <v>6517.72933444501</v>
      </c>
      <c r="AC15" s="32" t="n">
        <f aca="false">'P&amp;L monthly'!AC15/FX_EUR</f>
        <v>8214.78035660167</v>
      </c>
      <c r="AD15" s="32" t="n">
        <f aca="false">'P&amp;L monthly'!AD15/FX_EUR</f>
        <v>10104.9302387999</v>
      </c>
      <c r="AE15" s="32" t="n">
        <f aca="false">'P&amp;L monthly'!AE15/FX_EUR</f>
        <v>12240.2899514609</v>
      </c>
      <c r="AF15" s="32" t="n">
        <f aca="false">'P&amp;L monthly'!AF15/FX_EUR</f>
        <v>14581.2241998533</v>
      </c>
      <c r="AG15" s="32" t="n">
        <f aca="false">'P&amp;L monthly'!AG15/FX_EUR</f>
        <v>17129.6021981961</v>
      </c>
      <c r="AH15" s="32" t="n">
        <f aca="false">'P&amp;L monthly'!AH15/FX_EUR</f>
        <v>18357.8706096721</v>
      </c>
      <c r="AI15" s="32" t="n">
        <f aca="false">'P&amp;L monthly'!AI15/FX_EUR</f>
        <v>19653.6904681688</v>
      </c>
      <c r="AJ15" s="32" t="n">
        <f aca="false">'P&amp;L monthly'!AJ15/FX_EUR</f>
        <v>20956.577662373</v>
      </c>
      <c r="AK15" s="32" t="n">
        <f aca="false">'P&amp;L monthly'!AK15/FX_EUR</f>
        <v>22267.8001514599</v>
      </c>
      <c r="AL15" s="32" t="n">
        <f aca="false">'P&amp;L monthly'!AL15/FX_EUR</f>
        <v>23588.6903716399</v>
      </c>
      <c r="AM15" s="32" t="n">
        <f aca="false">'P&amp;L monthly'!AM15/FX_EUR</f>
        <v>24981.6044996968</v>
      </c>
      <c r="AN15" s="32" t="n">
        <f aca="false">'P&amp;L monthly'!AN15/FX_EUR</f>
        <v>26386.3350119979</v>
      </c>
      <c r="AO15" s="32" t="n">
        <f aca="false">'P&amp;L monthly'!AO15/FX_EUR</f>
        <v>27992.38824672</v>
      </c>
      <c r="AP15" s="32" t="n">
        <f aca="false">'P&amp;L monthly'!AP15/FX_EUR</f>
        <v>29672.178519336</v>
      </c>
      <c r="AQ15" s="32" t="n">
        <f aca="false">'P&amp;L monthly'!AQ15/FX_EUR</f>
        <v>31365.7854612595</v>
      </c>
      <c r="AR15" s="32" t="n">
        <f aca="false">'P&amp;L monthly'!AR15/FX_EUR</f>
        <v>33075.0720065017</v>
      </c>
      <c r="AS15" s="32" t="n">
        <f aca="false">'P&amp;L monthly'!AS15/FX_EUR</f>
        <v>34862.9539266974</v>
      </c>
      <c r="AT15" s="32" t="n">
        <f aca="false">'P&amp;L monthly'!AT15/FX_EUR</f>
        <v>36669.8141778274</v>
      </c>
      <c r="AU15" s="32" t="n">
        <f aca="false">'P&amp;L monthly'!AU15/FX_EUR</f>
        <v>38497.837110304</v>
      </c>
      <c r="AV15" s="32" t="n">
        <f aca="false">'P&amp;L monthly'!AV15/FX_EUR</f>
        <v>40465.1387840258</v>
      </c>
      <c r="AW15" s="32" t="n">
        <f aca="false">'P&amp;L monthly'!AW15/FX_EUR</f>
        <v>42439.5339120586</v>
      </c>
      <c r="AX15" s="32" t="n">
        <f aca="false">'P&amp;L monthly'!AX15/FX_EUR</f>
        <v>44464.5588636233</v>
      </c>
      <c r="AY15" s="32" t="n">
        <f aca="false">'P&amp;L monthly'!AY15/FX_EUR</f>
        <v>46479.4358027061</v>
      </c>
      <c r="AZ15" s="32" t="n">
        <f aca="false">'P&amp;L monthly'!AZ15/FX_EUR</f>
        <v>48485.111618995</v>
      </c>
      <c r="BA15" s="32" t="n">
        <f aca="false">'P&amp;L monthly'!BA15/FX_EUR</f>
        <v>50732.4852236957</v>
      </c>
      <c r="BB15" s="32" t="n">
        <f aca="false">'P&amp;L monthly'!BB15/FX_EUR</f>
        <v>52969.683923267</v>
      </c>
      <c r="BC15" s="32" t="n">
        <f aca="false">'P&amp;L monthly'!BC15/FX_EUR</f>
        <v>55258.7651108026</v>
      </c>
      <c r="BD15" s="32" t="n">
        <f aca="false">'P&amp;L monthly'!BD15/FX_EUR</f>
        <v>57539.1925005444</v>
      </c>
      <c r="BE15" s="32" t="n">
        <f aca="false">'P&amp;L monthly'!BE15/FX_EUR</f>
        <v>59867.0265228024</v>
      </c>
      <c r="BF15" s="32" t="n">
        <f aca="false">'P&amp;L monthly'!BF15/FX_EUR</f>
        <v>62248.9586674257</v>
      </c>
      <c r="BG15" s="32" t="n">
        <f aca="false">'P&amp;L monthly'!BG15/FX_EUR</f>
        <v>64624.6180307416</v>
      </c>
      <c r="BH15" s="32" t="n">
        <f aca="false">'P&amp;L monthly'!BH15/FX_EUR</f>
        <v>67056.3355032584</v>
      </c>
      <c r="BI15" s="32" t="n">
        <f aca="false">'P&amp;L monthly'!BI15/FX_EUR</f>
        <v>69538.7239967684</v>
      </c>
      <c r="BJ15" s="32" t="n">
        <f aca="false">'P&amp;L monthly'!BJ15/FX_EUR</f>
        <v>72078.7327692794</v>
      </c>
      <c r="BK15" s="32" t="n">
        <f aca="false">'P&amp;L monthly'!BK15/FX_EUR</f>
        <v>74603.2014003658</v>
      </c>
      <c r="BL15" s="32" t="n">
        <f aca="false">'P&amp;L monthly'!BL15/FX_EUR</f>
        <v>77159.7528930621</v>
      </c>
    </row>
    <row r="16" customFormat="false" ht="15" hidden="false" customHeight="false" outlineLevel="0" collapsed="false">
      <c r="A16" s="12" t="s">
        <v>777</v>
      </c>
      <c r="B16" s="14" t="s">
        <v>79</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779</v>
      </c>
      <c r="B17" s="14" t="s">
        <v>79</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194</v>
      </c>
      <c r="B18" s="14" t="s">
        <v>79</v>
      </c>
      <c r="D18" s="55" t="n">
        <f aca="false">'P&amp;L monthly'!D18/FX_EUR</f>
        <v>8661303.41687164</v>
      </c>
      <c r="E18" s="32" t="n">
        <f aca="false">'P&amp;L monthly'!E18/FX_EUR</f>
        <v>0</v>
      </c>
      <c r="F18" s="32" t="n">
        <f aca="false">'P&amp;L monthly'!F18/FX_EUR</f>
        <v>0</v>
      </c>
      <c r="G18" s="32" t="n">
        <f aca="false">'P&amp;L monthly'!G18/FX_EUR</f>
        <v>0</v>
      </c>
      <c r="H18" s="32" t="n">
        <f aca="false">'P&amp;L monthly'!H18/FX_EUR</f>
        <v>0</v>
      </c>
      <c r="I18" s="32" t="n">
        <f aca="false">'P&amp;L monthly'!I18/FX_EUR</f>
        <v>2096.4382319776</v>
      </c>
      <c r="J18" s="32" t="n">
        <f aca="false">'P&amp;L monthly'!J18/FX_EUR</f>
        <v>4189.69088929102</v>
      </c>
      <c r="K18" s="32" t="n">
        <f aca="false">'P&amp;L monthly'!K18/FX_EUR</f>
        <v>6281.0539517072</v>
      </c>
      <c r="L18" s="32" t="n">
        <f aca="false">'P&amp;L monthly'!L18/FX_EUR</f>
        <v>8371.88141927494</v>
      </c>
      <c r="M18" s="32" t="n">
        <f aca="false">'P&amp;L monthly'!M18/FX_EUR</f>
        <v>10463.5890906415</v>
      </c>
      <c r="N18" s="32" t="n">
        <f aca="false">'P&amp;L monthly'!N18/FX_EUR</f>
        <v>12557.6585631419</v>
      </c>
      <c r="O18" s="32" t="n">
        <f aca="false">'P&amp;L monthly'!O18/FX_EUR</f>
        <v>14655.6414680543</v>
      </c>
      <c r="P18" s="32" t="n">
        <f aca="false">'P&amp;L monthly'!P18/FX_EUR</f>
        <v>16759.1639552178</v>
      </c>
      <c r="Q18" s="32" t="n">
        <f aca="false">'P&amp;L monthly'!Q18/FX_EUR</f>
        <v>19610.183216691</v>
      </c>
      <c r="R18" s="32" t="n">
        <f aca="false">'P&amp;L monthly'!R18/FX_EUR</f>
        <v>22461.9293305889</v>
      </c>
      <c r="S18" s="32" t="n">
        <f aca="false">'P&amp;L monthly'!S18/FX_EUR</f>
        <v>25316.3888782176</v>
      </c>
      <c r="T18" s="32" t="n">
        <f aca="false">'P&amp;L monthly'!T18/FX_EUR</f>
        <v>28175.6421306005</v>
      </c>
      <c r="U18" s="32" t="n">
        <f aca="false">'P&amp;L monthly'!U18/FX_EUR</f>
        <v>31041.869050102</v>
      </c>
      <c r="V18" s="32" t="n">
        <f aca="false">'P&amp;L monthly'!V18/FX_EUR</f>
        <v>33917.3556458911</v>
      </c>
      <c r="W18" s="32" t="n">
        <f aca="false">'P&amp;L monthly'!W18/FX_EUR</f>
        <v>38409.3213457727</v>
      </c>
      <c r="X18" s="32" t="n">
        <f aca="false">'P&amp;L monthly'!X18/FX_EUR</f>
        <v>42912.7103620081</v>
      </c>
      <c r="Y18" s="32" t="n">
        <f aca="false">'P&amp;L monthly'!Y18/FX_EUR</f>
        <v>47770.1921495982</v>
      </c>
      <c r="Z18" s="32" t="n">
        <f aca="false">'P&amp;L monthly'!Z18/FX_EUR</f>
        <v>52642.7167069407</v>
      </c>
      <c r="AA18" s="32" t="n">
        <f aca="false">'P&amp;L monthly'!AA18/FX_EUR</f>
        <v>57534.3250992261</v>
      </c>
      <c r="AB18" s="32" t="n">
        <f aca="false">'P&amp;L monthly'!AB18/FX_EUR</f>
        <v>62449.2598512117</v>
      </c>
      <c r="AC18" s="32" t="n">
        <f aca="false">'P&amp;L monthly'!AC18/FX_EUR</f>
        <v>68878.1319697703</v>
      </c>
      <c r="AD18" s="32" t="n">
        <f aca="false">'P&amp;L monthly'!AD18/FX_EUR</f>
        <v>75322.7922714606</v>
      </c>
      <c r="AE18" s="32" t="n">
        <f aca="false">'P&amp;L monthly'!AE18/FX_EUR</f>
        <v>82127.4288100515</v>
      </c>
      <c r="AF18" s="32" t="n">
        <f aca="false">'P&amp;L monthly'!AF18/FX_EUR</f>
        <v>88954.5850594119</v>
      </c>
      <c r="AG18" s="32" t="n">
        <f aca="false">'P&amp;L monthly'!AG18/FX_EUR</f>
        <v>95809.9751682967</v>
      </c>
      <c r="AH18" s="32" t="n">
        <f aca="false">'P&amp;L monthly'!AH18/FX_EUR</f>
        <v>102699.599364505</v>
      </c>
      <c r="AI18" s="32" t="n">
        <f aca="false">'P&amp;L monthly'!AI18/FX_EUR</f>
        <v>109968.808573837</v>
      </c>
      <c r="AJ18" s="32" t="n">
        <f aca="false">'P&amp;L monthly'!AJ18/FX_EUR</f>
        <v>117281.378520766</v>
      </c>
      <c r="AK18" s="32" t="n">
        <f aca="false">'P&amp;L monthly'!AK18/FX_EUR</f>
        <v>124644.329147381</v>
      </c>
      <c r="AL18" s="32" t="n">
        <f aca="false">'P&amp;L monthly'!AL18/FX_EUR</f>
        <v>132065.044431575</v>
      </c>
      <c r="AM18" s="32" t="n">
        <f aca="false">'P&amp;L monthly'!AM18/FX_EUR</f>
        <v>139890.341684913</v>
      </c>
      <c r="AN18" s="32" t="n">
        <f aca="false">'P&amp;L monthly'!AN18/FX_EUR</f>
        <v>147785.550612971</v>
      </c>
      <c r="AO18" s="32" t="n">
        <f aca="false">'P&amp;L monthly'!AO18/FX_EUR</f>
        <v>156804.731719093</v>
      </c>
      <c r="AP18" s="32" t="n">
        <f aca="false">'P&amp;L monthly'!AP18/FX_EUR</f>
        <v>166238.934650688</v>
      </c>
      <c r="AQ18" s="32" t="n">
        <f aca="false">'P&amp;L monthly'!AQ18/FX_EUR</f>
        <v>175755.079405225</v>
      </c>
      <c r="AR18" s="32" t="n">
        <f aca="false">'P&amp;L monthly'!AR18/FX_EUR</f>
        <v>185363.505960064</v>
      </c>
      <c r="AS18" s="32" t="n">
        <f aca="false">'P&amp;L monthly'!AS18/FX_EUR</f>
        <v>195414.151436946</v>
      </c>
      <c r="AT18" s="32" t="n">
        <f aca="false">'P&amp;L monthly'!AT18/FX_EUR</f>
        <v>205575.639187932</v>
      </c>
      <c r="AU18" s="32" t="n">
        <f aca="false">'P&amp;L monthly'!AU18/FX_EUR</f>
        <v>215860.114095569</v>
      </c>
      <c r="AV18" s="32" t="n">
        <f aca="false">'P&amp;L monthly'!AV18/FX_EUR</f>
        <v>226924.567789325</v>
      </c>
      <c r="AW18" s="32" t="n">
        <f aca="false">'P&amp;L monthly'!AW18/FX_EUR</f>
        <v>238034.212023788</v>
      </c>
      <c r="AX18" s="32" t="n">
        <f aca="false">'P&amp;L monthly'!AX18/FX_EUR</f>
        <v>249431.148761595</v>
      </c>
      <c r="AY18" s="32" t="n">
        <f aca="false">'P&amp;L monthly'!AY18/FX_EUR</f>
        <v>260777.42860641</v>
      </c>
      <c r="AZ18" s="32" t="n">
        <f aca="false">'P&amp;L monthly'!AZ18/FX_EUR</f>
        <v>272078.194541972</v>
      </c>
      <c r="BA18" s="32" t="n">
        <f aca="false">'P&amp;L monthly'!BA18/FX_EUR</f>
        <v>284728.884457437</v>
      </c>
      <c r="BB18" s="32" t="n">
        <f aca="false">'P&amp;L monthly'!BB18/FX_EUR</f>
        <v>297329.370524383</v>
      </c>
      <c r="BC18" s="32" t="n">
        <f aca="false">'P&amp;L monthly'!BC18/FX_EUR</f>
        <v>310224.697157525</v>
      </c>
      <c r="BD18" s="32" t="n">
        <f aca="false">'P&amp;L monthly'!BD18/FX_EUR</f>
        <v>323078.254961329</v>
      </c>
      <c r="BE18" s="32" t="n">
        <f aca="false">'P&amp;L monthly'!BE18/FX_EUR</f>
        <v>336201.738254214</v>
      </c>
      <c r="BF18" s="32" t="n">
        <f aca="false">'P&amp;L monthly'!BF18/FX_EUR</f>
        <v>349632.456935196</v>
      </c>
      <c r="BG18" s="32" t="n">
        <f aca="false">'P&amp;L monthly'!BG18/FX_EUR</f>
        <v>363034.72914055</v>
      </c>
      <c r="BH18" s="32" t="n">
        <f aca="false">'P&amp;L monthly'!BH18/FX_EUR</f>
        <v>376755.135055396</v>
      </c>
      <c r="BI18" s="32" t="n">
        <f aca="false">'P&amp;L monthly'!BI18/FX_EUR</f>
        <v>390763.83286624</v>
      </c>
      <c r="BJ18" s="32" t="n">
        <f aca="false">'P&amp;L monthly'!BJ18/FX_EUR</f>
        <v>405099.575889422</v>
      </c>
      <c r="BK18" s="32" t="n">
        <f aca="false">'P&amp;L monthly'!BK18/FX_EUR</f>
        <v>419355.554588213</v>
      </c>
      <c r="BL18" s="32" t="n">
        <f aca="false">'P&amp;L monthly'!BL18/FX_EUR</f>
        <v>433796.501912036</v>
      </c>
    </row>
    <row r="19" customFormat="false" ht="15" hidden="false" customHeight="false" outlineLevel="0" collapsed="false">
      <c r="A19" s="12" t="s">
        <v>199</v>
      </c>
      <c r="B19" s="14" t="s">
        <v>79</v>
      </c>
      <c r="D19" s="55" t="n">
        <f aca="false">'P&amp;L monthly'!D19/FX_EUR</f>
        <v>2484837.92811611</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356.254436301581</v>
      </c>
      <c r="P19" s="32" t="n">
        <f aca="false">'P&amp;L monthly'!P19/FX_EUR</f>
        <v>814.925085620694</v>
      </c>
      <c r="Q19" s="32" t="n">
        <f aca="false">'P&amp;L monthly'!Q19/FX_EUR</f>
        <v>1430.51541186287</v>
      </c>
      <c r="R19" s="32" t="n">
        <f aca="false">'P&amp;L monthly'!R19/FX_EUR</f>
        <v>2185.02821548865</v>
      </c>
      <c r="S19" s="32" t="n">
        <f aca="false">'P&amp;L monthly'!S19/FX_EUR</f>
        <v>3078.83105378128</v>
      </c>
      <c r="T19" s="32" t="n">
        <f aca="false">'P&amp;L monthly'!T19/FX_EUR</f>
        <v>4112.49694555962</v>
      </c>
      <c r="U19" s="32" t="n">
        <f aca="false">'P&amp;L monthly'!U19/FX_EUR</f>
        <v>5286.81688588245</v>
      </c>
      <c r="V19" s="32" t="n">
        <f aca="false">'P&amp;L monthly'!V19/FX_EUR</f>
        <v>6602.81330765319</v>
      </c>
      <c r="W19" s="32" t="n">
        <f aca="false">'P&amp;L monthly'!W19/FX_EUR</f>
        <v>8412.44827455447</v>
      </c>
      <c r="X19" s="32" t="n">
        <f aca="false">'P&amp;L monthly'!X19/FX_EUR</f>
        <v>10443.9730141465</v>
      </c>
      <c r="Y19" s="32" t="n">
        <f aca="false">'P&amp;L monthly'!Y19/FX_EUR</f>
        <v>12789.8535872771</v>
      </c>
      <c r="Z19" s="32" t="n">
        <f aca="false">'P&amp;L monthly'!Z19/FX_EUR</f>
        <v>15377.2438193968</v>
      </c>
      <c r="AA19" s="32" t="n">
        <f aca="false">'P&amp;L monthly'!AA19/FX_EUR</f>
        <v>16807.9691929281</v>
      </c>
      <c r="AB19" s="32" t="n">
        <f aca="false">'P&amp;L monthly'!AB19/FX_EUR</f>
        <v>18245.9756624022</v>
      </c>
      <c r="AC19" s="32" t="n">
        <f aca="false">'P&amp;L monthly'!AC19/FX_EUR</f>
        <v>20125.574348584</v>
      </c>
      <c r="AD19" s="32" t="n">
        <f aca="false">'P&amp;L monthly'!AD19/FX_EUR</f>
        <v>22010.419861986</v>
      </c>
      <c r="AE19" s="32" t="n">
        <f aca="false">'P&amp;L monthly'!AE19/FX_EUR</f>
        <v>24000.790655732</v>
      </c>
      <c r="AF19" s="32" t="n">
        <f aca="false">'P&amp;L monthly'!AF19/FX_EUR</f>
        <v>25998.395684441</v>
      </c>
      <c r="AG19" s="32" t="n">
        <f aca="false">'P&amp;L monthly'!AG19/FX_EUR</f>
        <v>28004.8937479457</v>
      </c>
      <c r="AH19" s="32" t="n">
        <f aca="false">'P&amp;L monthly'!AH19/FX_EUR</f>
        <v>30022.0277373876</v>
      </c>
      <c r="AI19" s="32" t="n">
        <f aca="false">'P&amp;L monthly'!AI19/FX_EUR</f>
        <v>32150.4168669663</v>
      </c>
      <c r="AJ19" s="32" t="n">
        <f aca="false">'P&amp;L monthly'!AJ19/FX_EUR</f>
        <v>34292.1311734261</v>
      </c>
      <c r="AK19" s="32" t="n">
        <f aca="false">'P&amp;L monthly'!AK19/FX_EUR</f>
        <v>36449.2120795944</v>
      </c>
      <c r="AL19" s="32" t="n">
        <f aca="false">'P&amp;L monthly'!AL19/FX_EUR</f>
        <v>38623.8079334929</v>
      </c>
      <c r="AM19" s="32" t="n">
        <f aca="false">'P&amp;L monthly'!AM19/FX_EUR</f>
        <v>40916.9676106914</v>
      </c>
      <c r="AN19" s="32" t="n">
        <f aca="false">'P&amp;L monthly'!AN19/FX_EUR</f>
        <v>43231.2164666386</v>
      </c>
      <c r="AO19" s="32" t="n">
        <f aca="false">'P&amp;L monthly'!AO19/FX_EUR</f>
        <v>45873.6715766643</v>
      </c>
      <c r="AP19" s="32" t="n">
        <f aca="false">'P&amp;L monthly'!AP19/FX_EUR</f>
        <v>48637.8867023895</v>
      </c>
      <c r="AQ19" s="32" t="n">
        <f aca="false">'P&amp;L monthly'!AQ19/FX_EUR</f>
        <v>51426.8497539438</v>
      </c>
      <c r="AR19" s="32" t="n">
        <f aca="false">'P&amp;L monthly'!AR19/FX_EUR</f>
        <v>54243.5715750865</v>
      </c>
      <c r="AS19" s="32" t="n">
        <f aca="false">'P&amp;L monthly'!AS19/FX_EUR</f>
        <v>57190.011587993</v>
      </c>
      <c r="AT19" s="32" t="n">
        <f aca="false">'P&amp;L monthly'!AT19/FX_EUR</f>
        <v>60169.6566810996</v>
      </c>
      <c r="AU19" s="32" t="n">
        <f aca="false">'P&amp;L monthly'!AU19/FX_EUR</f>
        <v>63186.0464234747</v>
      </c>
      <c r="AV19" s="32" t="n">
        <f aca="false">'P&amp;L monthly'!AV19/FX_EUR</f>
        <v>66430.6087630199</v>
      </c>
      <c r="AW19" s="32" t="n">
        <f aca="false">'P&amp;L monthly'!AW19/FX_EUR</f>
        <v>69689.3276272739</v>
      </c>
      <c r="AX19" s="32" t="n">
        <f aca="false">'P&amp;L monthly'!AX19/FX_EUR</f>
        <v>73032.7359990372</v>
      </c>
      <c r="AY19" s="32" t="n">
        <f aca="false">'P&amp;L monthly'!AY19/FX_EUR</f>
        <v>76362.3866891788</v>
      </c>
      <c r="AZ19" s="32" t="n">
        <f aca="false">'P&amp;L monthly'!AZ19/FX_EUR</f>
        <v>79679.7596514257</v>
      </c>
      <c r="BA19" s="32" t="n">
        <f aca="false">'P&amp;L monthly'!BA19/FX_EUR</f>
        <v>83391.421602126</v>
      </c>
      <c r="BB19" s="32" t="n">
        <f aca="false">'P&amp;L monthly'!BB19/FX_EUR</f>
        <v>87089.5626054381</v>
      </c>
      <c r="BC19" s="32" t="n">
        <f aca="false">'P&amp;L monthly'!BC19/FX_EUR</f>
        <v>90874.6973605538</v>
      </c>
      <c r="BD19" s="32" t="n">
        <f aca="false">'P&amp;L monthly'!BD19/FX_EUR</f>
        <v>94648.768652668</v>
      </c>
      <c r="BE19" s="32" t="n">
        <f aca="false">'P&amp;L monthly'!BE19/FX_EUR</f>
        <v>98502.5750508858</v>
      </c>
      <c r="BF19" s="32" t="n">
        <f aca="false">'P&amp;L monthly'!BF19/FX_EUR</f>
        <v>102447.00423296</v>
      </c>
      <c r="BG19" s="32" t="n">
        <f aca="false">'P&amp;L monthly'!BG19/FX_EUR</f>
        <v>106384.270448928</v>
      </c>
      <c r="BH19" s="32" t="n">
        <f aca="false">'P&amp;L monthly'!BH19/FX_EUR</f>
        <v>110415.338156942</v>
      </c>
      <c r="BI19" s="32" t="n">
        <f aca="false">'P&amp;L monthly'!BI19/FX_EUR</f>
        <v>114531.534493782</v>
      </c>
      <c r="BJ19" s="32" t="n">
        <f aca="false">'P&amp;L monthly'!BJ19/FX_EUR</f>
        <v>118744.169282121</v>
      </c>
      <c r="BK19" s="32" t="n">
        <f aca="false">'P&amp;L monthly'!BK19/FX_EUR</f>
        <v>122934.734246029</v>
      </c>
      <c r="BL19" s="32" t="n">
        <f aca="false">'P&amp;L monthly'!BL19/FX_EUR</f>
        <v>127180.339893345</v>
      </c>
    </row>
    <row r="20" customFormat="false" ht="15" hidden="false" customHeight="false" outlineLevel="0" collapsed="false">
      <c r="A20" s="12" t="s">
        <v>800</v>
      </c>
      <c r="B20" s="14" t="s">
        <v>79</v>
      </c>
      <c r="D20" s="55" t="n">
        <f aca="false">'P&amp;L monthly'!D20/FX_EUR</f>
        <v>2989047.81645513</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585.493243611847</v>
      </c>
      <c r="R20" s="32" t="n">
        <f aca="false">'P&amp;L monthly'!R20/FX_EUR</f>
        <v>1340.7655360987</v>
      </c>
      <c r="S20" s="32" t="n">
        <f aca="false">'P&amp;L monthly'!S20/FX_EUR</f>
        <v>2265.81406819541</v>
      </c>
      <c r="T20" s="32" t="n">
        <f aca="false">'P&amp;L monthly'!T20/FX_EUR</f>
        <v>3360.89052007758</v>
      </c>
      <c r="U20" s="32" t="n">
        <f aca="false">'P&amp;L monthly'!U20/FX_EUR</f>
        <v>4626.51555809875</v>
      </c>
      <c r="V20" s="32" t="n">
        <f aca="false">'P&amp;L monthly'!V20/FX_EUR</f>
        <v>6063.49446427448</v>
      </c>
      <c r="W20" s="32" t="n">
        <f aca="false">'P&amp;L monthly'!W20/FX_EUR</f>
        <v>8009.67691628799</v>
      </c>
      <c r="X20" s="32" t="n">
        <f aca="false">'P&amp;L monthly'!X20/FX_EUR</f>
        <v>10224.8837008086</v>
      </c>
      <c r="Y20" s="32" t="n">
        <f aca="false">'P&amp;L monthly'!Y20/FX_EUR</f>
        <v>12802.2185789833</v>
      </c>
      <c r="Z20" s="32" t="n">
        <f aca="false">'P&amp;L monthly'!Z20/FX_EUR</f>
        <v>15671.4164714473</v>
      </c>
      <c r="AA20" s="32" t="n">
        <f aca="false">'P&amp;L monthly'!AA20/FX_EUR</f>
        <v>18834.7730626174</v>
      </c>
      <c r="AB20" s="32" t="n">
        <f aca="false">'P&amp;L monthly'!AB20/FX_EUR</f>
        <v>22295.1461153893</v>
      </c>
      <c r="AC20" s="32" t="n">
        <f aca="false">'P&amp;L monthly'!AC20/FX_EUR</f>
        <v>24586.2707419539</v>
      </c>
      <c r="AD20" s="32" t="n">
        <f aca="false">'P&amp;L monthly'!AD20/FX_EUR</f>
        <v>26880.9357866379</v>
      </c>
      <c r="AE20" s="32" t="n">
        <f aca="false">'P&amp;L monthly'!AE20/FX_EUR</f>
        <v>29302.9788634954</v>
      </c>
      <c r="AF20" s="32" t="n">
        <f aca="false">'P&amp;L monthly'!AF20/FX_EUR</f>
        <v>31730.9078526067</v>
      </c>
      <c r="AG20" s="32" t="n">
        <f aca="false">'P&amp;L monthly'!AG20/FX_EUR</f>
        <v>34166.8057630165</v>
      </c>
      <c r="AH20" s="32" t="n">
        <f aca="false">'P&amp;L monthly'!AH20/FX_EUR</f>
        <v>36612.8558163187</v>
      </c>
      <c r="AI20" s="32" t="n">
        <f aca="false">'P&amp;L monthly'!AI20/FX_EUR</f>
        <v>39193.3070712476</v>
      </c>
      <c r="AJ20" s="32" t="n">
        <f aca="false">'P&amp;L monthly'!AJ20/FX_EUR</f>
        <v>41787.1034724906</v>
      </c>
      <c r="AK20" s="32" t="n">
        <f aca="false">'P&amp;L monthly'!AK20/FX_EUR</f>
        <v>44396.7901901051</v>
      </c>
      <c r="AL20" s="32" t="n">
        <f aca="false">'P&amp;L monthly'!AL20/FX_EUR</f>
        <v>47025.0402682026</v>
      </c>
      <c r="AM20" s="32" t="n">
        <f aca="false">'P&amp;L monthly'!AM20/FX_EUR</f>
        <v>49796.6219085791</v>
      </c>
      <c r="AN20" s="32" t="n">
        <f aca="false">'P&amp;L monthly'!AN20/FX_EUR</f>
        <v>52591.029278142</v>
      </c>
      <c r="AO20" s="32" t="n">
        <f aca="false">'P&amp;L monthly'!AO20/FX_EUR</f>
        <v>55787.4316216744</v>
      </c>
      <c r="AP20" s="32" t="n">
        <f aca="false">'P&amp;L monthly'!AP20/FX_EUR</f>
        <v>59130.4130696123</v>
      </c>
      <c r="AQ20" s="32" t="n">
        <f aca="false">'P&amp;L monthly'!AQ20/FX_EUR</f>
        <v>62500.0441098915</v>
      </c>
      <c r="AR20" s="32" t="n">
        <f aca="false">'P&amp;L monthly'!AR20/FX_EUR</f>
        <v>65900.0585304418</v>
      </c>
      <c r="AS20" s="32" t="n">
        <f aca="false">'P&amp;L monthly'!AS20/FX_EUR</f>
        <v>69456.3430929781</v>
      </c>
      <c r="AT20" s="32" t="n">
        <f aca="false">'P&amp;L monthly'!AT20/FX_EUR</f>
        <v>73049.5719016457</v>
      </c>
      <c r="AU20" s="32" t="n">
        <f aca="false">'P&amp;L monthly'!AU20/FX_EUR</f>
        <v>76684.1183798995</v>
      </c>
      <c r="AV20" s="32" t="n">
        <f aca="false">'P&amp;L monthly'!AV20/FX_EUR</f>
        <v>80596.3103995687</v>
      </c>
      <c r="AW20" s="32" t="n">
        <f aca="false">'P&amp;L monthly'!AW20/FX_EUR</f>
        <v>84521.5810414173</v>
      </c>
      <c r="AX20" s="32" t="n">
        <f aca="false">'P&amp;L monthly'!AX20/FX_EUR</f>
        <v>88547.0515769017</v>
      </c>
      <c r="AY20" s="32" t="n">
        <f aca="false">'P&amp;L monthly'!AY20/FX_EUR</f>
        <v>92551.0973215327</v>
      </c>
      <c r="AZ20" s="32" t="n">
        <f aca="false">'P&amp;L monthly'!AZ20/FX_EUR</f>
        <v>96535.6400011671</v>
      </c>
      <c r="BA20" s="32" t="n">
        <f aca="false">'P&amp;L monthly'!BA20/FX_EUR</f>
        <v>101002.704214307</v>
      </c>
      <c r="BB20" s="32" t="n">
        <f aca="false">'P&amp;L monthly'!BB20/FX_EUR</f>
        <v>105448.173622872</v>
      </c>
      <c r="BC20" s="32" t="n">
        <f aca="false">'P&amp;L monthly'!BC20/FX_EUR</f>
        <v>109996.241889183</v>
      </c>
      <c r="BD20" s="32" t="n">
        <f aca="false">'P&amp;L monthly'!BD20/FX_EUR</f>
        <v>114525.768486583</v>
      </c>
      <c r="BE20" s="32" t="n">
        <f aca="false">'P&amp;L monthly'!BE20/FX_EUR</f>
        <v>119148.946991695</v>
      </c>
      <c r="BF20" s="32" t="n">
        <f aca="false">'P&amp;L monthly'!BF20/FX_EUR</f>
        <v>123879.14955427</v>
      </c>
      <c r="BG20" s="32" t="n">
        <f aca="false">'P&amp;L monthly'!BG20/FX_EUR</f>
        <v>128595.564943359</v>
      </c>
      <c r="BH20" s="32" t="n">
        <f aca="false">'P&amp;L monthly'!BH20/FX_EUR</f>
        <v>133422.930972954</v>
      </c>
      <c r="BI20" s="32" t="n">
        <f aca="false">'P&amp;L monthly'!BI20/FX_EUR</f>
        <v>138350.446427406</v>
      </c>
      <c r="BJ20" s="32" t="n">
        <f aca="false">'P&amp;L monthly'!BJ20/FX_EUR</f>
        <v>143391.997230224</v>
      </c>
      <c r="BK20" s="32" t="n">
        <f aca="false">'P&amp;L monthly'!BK20/FX_EUR</f>
        <v>148401.18074633</v>
      </c>
      <c r="BL20" s="32" t="n">
        <f aca="false">'P&amp;L monthly'!BL20/FX_EUR</f>
        <v>153473.315080532</v>
      </c>
    </row>
    <row r="21" customFormat="false" ht="15" hidden="false" customHeight="false" outlineLevel="0" collapsed="false">
      <c r="A21" s="12" t="s">
        <v>1103</v>
      </c>
      <c r="B21" s="14" t="s">
        <v>79</v>
      </c>
      <c r="D21" s="55" t="n">
        <f aca="false">'P&amp;L monthly'!D21/FX_EUR</f>
        <v>0</v>
      </c>
      <c r="E21" s="32" t="n">
        <f aca="false">'P&amp;L monthly'!E21/FX_EUR</f>
        <v>0</v>
      </c>
      <c r="F21" s="32" t="n">
        <f aca="false">'P&amp;L monthly'!F21/FX_EUR</f>
        <v>0</v>
      </c>
      <c r="G21" s="32" t="n">
        <f aca="false">'P&amp;L monthly'!G21/FX_EUR</f>
        <v>0</v>
      </c>
      <c r="H21" s="32" t="n">
        <f aca="false">'P&amp;L monthly'!H21/FX_EUR</f>
        <v>0</v>
      </c>
      <c r="I21" s="32" t="n">
        <f aca="false">'P&amp;L monthly'!I21/FX_EUR</f>
        <v>0</v>
      </c>
      <c r="J21" s="32" t="n">
        <f aca="false">'P&amp;L monthly'!J21/FX_EUR</f>
        <v>0</v>
      </c>
      <c r="K21" s="32" t="n">
        <f aca="false">'P&amp;L monthly'!K21/FX_EUR</f>
        <v>0</v>
      </c>
      <c r="L21" s="32" t="n">
        <f aca="false">'P&amp;L monthly'!L21/FX_EUR</f>
        <v>0</v>
      </c>
      <c r="M21" s="32" t="n">
        <f aca="false">'P&amp;L monthly'!M21/FX_EUR</f>
        <v>0</v>
      </c>
      <c r="N21" s="32" t="n">
        <f aca="false">'P&amp;L monthly'!N21/FX_EUR</f>
        <v>0</v>
      </c>
      <c r="O21" s="32" t="n">
        <f aca="false">'P&amp;L monthly'!O21/FX_EUR</f>
        <v>0</v>
      </c>
      <c r="P21" s="32" t="n">
        <f aca="false">'P&amp;L monthly'!P21/FX_EUR</f>
        <v>0</v>
      </c>
      <c r="Q21" s="32" t="n">
        <f aca="false">'P&amp;L monthly'!Q21/FX_EUR</f>
        <v>0</v>
      </c>
      <c r="R21" s="32" t="n">
        <f aca="false">'P&amp;L monthly'!R21/FX_EUR</f>
        <v>0</v>
      </c>
      <c r="S21" s="32" t="n">
        <f aca="false">'P&amp;L monthly'!S21/FX_EUR</f>
        <v>0</v>
      </c>
      <c r="T21" s="32" t="n">
        <f aca="false">'P&amp;L monthly'!T21/FX_EUR</f>
        <v>0</v>
      </c>
      <c r="U21" s="32" t="n">
        <f aca="false">'P&amp;L monthly'!U21/FX_EUR</f>
        <v>0</v>
      </c>
      <c r="V21" s="32" t="n">
        <f aca="false">'P&amp;L monthly'!V21/FX_EUR</f>
        <v>0</v>
      </c>
      <c r="W21" s="32" t="n">
        <f aca="false">'P&amp;L monthly'!W21/FX_EUR</f>
        <v>0</v>
      </c>
      <c r="X21" s="32" t="n">
        <f aca="false">'P&amp;L monthly'!X21/FX_EUR</f>
        <v>0</v>
      </c>
      <c r="Y21" s="32" t="n">
        <f aca="false">'P&amp;L monthly'!Y21/FX_EUR</f>
        <v>0</v>
      </c>
      <c r="Z21" s="32" t="n">
        <f aca="false">'P&amp;L monthly'!Z21/FX_EUR</f>
        <v>0</v>
      </c>
      <c r="AA21" s="32" t="n">
        <f aca="false">'P&amp;L monthly'!AA21/FX_EUR</f>
        <v>0</v>
      </c>
      <c r="AB21" s="32" t="n">
        <f aca="false">'P&amp;L monthly'!AB21/FX_EUR</f>
        <v>0</v>
      </c>
      <c r="AC21" s="32" t="n">
        <f aca="false">'P&amp;L monthly'!AC21/FX_EUR</f>
        <v>0</v>
      </c>
      <c r="AD21" s="32" t="n">
        <f aca="false">'P&amp;L monthly'!AD21/FX_EUR</f>
        <v>0</v>
      </c>
      <c r="AE21" s="32" t="n">
        <f aca="false">'P&amp;L monthly'!AE21/FX_EUR</f>
        <v>0</v>
      </c>
      <c r="AF21" s="32" t="n">
        <f aca="false">'P&amp;L monthly'!AF21/FX_EUR</f>
        <v>0</v>
      </c>
      <c r="AG21" s="32" t="n">
        <f aca="false">'P&amp;L monthly'!AG21/FX_EUR</f>
        <v>0</v>
      </c>
      <c r="AH21" s="32" t="n">
        <f aca="false">'P&amp;L monthly'!AH21/FX_EUR</f>
        <v>0</v>
      </c>
      <c r="AI21" s="32" t="n">
        <f aca="false">'P&amp;L monthly'!AI21/FX_EUR</f>
        <v>0</v>
      </c>
      <c r="AJ21" s="32" t="n">
        <f aca="false">'P&amp;L monthly'!AJ21/FX_EUR</f>
        <v>0</v>
      </c>
      <c r="AK21" s="32" t="n">
        <f aca="false">'P&amp;L monthly'!AK21/FX_EUR</f>
        <v>0</v>
      </c>
      <c r="AL21" s="32" t="n">
        <f aca="false">'P&amp;L monthly'!AL21/FX_EUR</f>
        <v>0</v>
      </c>
      <c r="AM21" s="32" t="n">
        <f aca="false">'P&amp;L monthly'!AM21/FX_EUR</f>
        <v>0</v>
      </c>
      <c r="AN21" s="32" t="n">
        <f aca="false">'P&amp;L monthly'!AN21/FX_EUR</f>
        <v>0</v>
      </c>
      <c r="AO21" s="32" t="n">
        <f aca="false">'P&amp;L monthly'!AO21/FX_EUR</f>
        <v>0</v>
      </c>
      <c r="AP21" s="32" t="n">
        <f aca="false">'P&amp;L monthly'!AP21/FX_EUR</f>
        <v>0</v>
      </c>
      <c r="AQ21" s="32" t="n">
        <f aca="false">'P&amp;L monthly'!AQ21/FX_EUR</f>
        <v>0</v>
      </c>
      <c r="AR21" s="32" t="n">
        <f aca="false">'P&amp;L monthly'!AR21/FX_EUR</f>
        <v>0</v>
      </c>
      <c r="AS21" s="32" t="n">
        <f aca="false">'P&amp;L monthly'!AS21/FX_EUR</f>
        <v>0</v>
      </c>
      <c r="AT21" s="32" t="n">
        <f aca="false">'P&amp;L monthly'!AT21/FX_EUR</f>
        <v>0</v>
      </c>
      <c r="AU21" s="32" t="n">
        <f aca="false">'P&amp;L monthly'!AU21/FX_EUR</f>
        <v>0</v>
      </c>
      <c r="AV21" s="32" t="n">
        <f aca="false">'P&amp;L monthly'!AV21/FX_EUR</f>
        <v>0</v>
      </c>
      <c r="AW21" s="32" t="n">
        <f aca="false">'P&amp;L monthly'!AW21/FX_EUR</f>
        <v>0</v>
      </c>
      <c r="AX21" s="32" t="n">
        <f aca="false">'P&amp;L monthly'!AX21/FX_EUR</f>
        <v>0</v>
      </c>
      <c r="AY21" s="32" t="n">
        <f aca="false">'P&amp;L monthly'!AY21/FX_EUR</f>
        <v>0</v>
      </c>
      <c r="AZ21" s="32" t="n">
        <f aca="false">'P&amp;L monthly'!AZ21/FX_EUR</f>
        <v>0</v>
      </c>
      <c r="BA21" s="32" t="n">
        <f aca="false">'P&amp;L monthly'!BA21/FX_EUR</f>
        <v>0</v>
      </c>
      <c r="BB21" s="32" t="n">
        <f aca="false">'P&amp;L monthly'!BB21/FX_EUR</f>
        <v>0</v>
      </c>
      <c r="BC21" s="32" t="n">
        <f aca="false">'P&amp;L monthly'!BC21/FX_EUR</f>
        <v>0</v>
      </c>
      <c r="BD21" s="32" t="n">
        <f aca="false">'P&amp;L monthly'!BD21/FX_EUR</f>
        <v>0</v>
      </c>
      <c r="BE21" s="32" t="n">
        <f aca="false">'P&amp;L monthly'!BE21/FX_EUR</f>
        <v>0</v>
      </c>
      <c r="BF21" s="32" t="n">
        <f aca="false">'P&amp;L monthly'!BF21/FX_EUR</f>
        <v>0</v>
      </c>
      <c r="BG21" s="32" t="n">
        <f aca="false">'P&amp;L monthly'!BG21/FX_EUR</f>
        <v>0</v>
      </c>
      <c r="BH21" s="32" t="n">
        <f aca="false">'P&amp;L monthly'!BH21/FX_EUR</f>
        <v>0</v>
      </c>
      <c r="BI21" s="32" t="n">
        <f aca="false">'P&amp;L monthly'!BI21/FX_EUR</f>
        <v>0</v>
      </c>
      <c r="BJ21" s="32" t="n">
        <f aca="false">'P&amp;L monthly'!BJ21/FX_EUR</f>
        <v>0</v>
      </c>
      <c r="BK21" s="32" t="n">
        <f aca="false">'P&amp;L monthly'!BK21/FX_EUR</f>
        <v>0</v>
      </c>
      <c r="BL21" s="32" t="n">
        <f aca="false">'P&amp;L monthly'!BL21/FX_EUR</f>
        <v>0</v>
      </c>
    </row>
    <row r="22" customFormat="false" ht="15" hidden="false" customHeight="false" outlineLevel="0" collapsed="false">
      <c r="A22" s="12" t="s">
        <v>1104</v>
      </c>
      <c r="B22" s="14" t="s">
        <v>79</v>
      </c>
      <c r="D22" s="55" t="n">
        <f aca="false">'P&amp;L monthly'!D22/FX_EUR</f>
        <v>1571574.46912258</v>
      </c>
      <c r="E22" s="32" t="n">
        <f aca="false">'P&amp;L monthly'!E22/FX_EUR</f>
        <v>0</v>
      </c>
      <c r="F22" s="32" t="n">
        <f aca="false">'P&amp;L monthly'!F22/FX_EUR</f>
        <v>0</v>
      </c>
      <c r="G22" s="32" t="n">
        <f aca="false">'P&amp;L monthly'!G22/FX_EUR</f>
        <v>0</v>
      </c>
      <c r="H22" s="32" t="n">
        <f aca="false">'P&amp;L monthly'!H22/FX_EUR</f>
        <v>0</v>
      </c>
      <c r="I22" s="32" t="n">
        <f aca="false">'P&amp;L monthly'!I22/FX_EUR</f>
        <v>0</v>
      </c>
      <c r="J22" s="32" t="n">
        <f aca="false">'P&amp;L monthly'!J22/FX_EUR</f>
        <v>0</v>
      </c>
      <c r="K22" s="32" t="n">
        <f aca="false">'P&amp;L monthly'!K22/FX_EUR</f>
        <v>0</v>
      </c>
      <c r="L22" s="32" t="n">
        <f aca="false">'P&amp;L monthly'!L22/FX_EUR</f>
        <v>0</v>
      </c>
      <c r="M22" s="32" t="n">
        <f aca="false">'P&amp;L monthly'!M22/FX_EUR</f>
        <v>0</v>
      </c>
      <c r="N22" s="32" t="n">
        <f aca="false">'P&amp;L monthly'!N22/FX_EUR</f>
        <v>0</v>
      </c>
      <c r="O22" s="32" t="n">
        <f aca="false">'P&amp;L monthly'!O22/FX_EUR</f>
        <v>0</v>
      </c>
      <c r="P22" s="32" t="n">
        <f aca="false">'P&amp;L monthly'!P22/FX_EUR</f>
        <v>0</v>
      </c>
      <c r="Q22" s="32" t="n">
        <f aca="false">'P&amp;L monthly'!Q22/FX_EUR</f>
        <v>0</v>
      </c>
      <c r="R22" s="32" t="n">
        <f aca="false">'P&amp;L monthly'!R22/FX_EUR</f>
        <v>0</v>
      </c>
      <c r="S22" s="32" t="n">
        <f aca="false">'P&amp;L monthly'!S22/FX_EUR</f>
        <v>0</v>
      </c>
      <c r="T22" s="32" t="n">
        <f aca="false">'P&amp;L monthly'!T22/FX_EUR</f>
        <v>0</v>
      </c>
      <c r="U22" s="32" t="n">
        <f aca="false">'P&amp;L monthly'!U22/FX_EUR</f>
        <v>0</v>
      </c>
      <c r="V22" s="32" t="n">
        <f aca="false">'P&amp;L monthly'!V22/FX_EUR</f>
        <v>114.912150235279</v>
      </c>
      <c r="W22" s="32" t="n">
        <f aca="false">'P&amp;L monthly'!W22/FX_EUR</f>
        <v>374.966024116483</v>
      </c>
      <c r="X22" s="32" t="n">
        <f aca="false">'P&amp;L monthly'!X22/FX_EUR</f>
        <v>695.378782822818</v>
      </c>
      <c r="Y22" s="32" t="n">
        <f aca="false">'P&amp;L monthly'!Y22/FX_EUR</f>
        <v>1110.18088847713</v>
      </c>
      <c r="Z22" s="32" t="n">
        <f aca="false">'P&amp;L monthly'!Z22/FX_EUR</f>
        <v>1627.52729103896</v>
      </c>
      <c r="AA22" s="32" t="n">
        <f aca="false">'P&amp;L monthly'!AA22/FX_EUR</f>
        <v>2221.45221424136</v>
      </c>
      <c r="AB22" s="32" t="n">
        <f aca="false">'P&amp;L monthly'!AB22/FX_EUR</f>
        <v>2892.05190422016</v>
      </c>
      <c r="AC22" s="32" t="n">
        <f aca="false">'P&amp;L monthly'!AC22/FX_EUR</f>
        <v>6716.25049797779</v>
      </c>
      <c r="AD22" s="32" t="n">
        <f aca="false">'P&amp;L monthly'!AD22/FX_EUR</f>
        <v>8332.63006294664</v>
      </c>
      <c r="AE22" s="32" t="n">
        <f aca="false">'P&amp;L monthly'!AE22/FX_EUR</f>
        <v>10283.8592700594</v>
      </c>
      <c r="AF22" s="32" t="n">
        <f aca="false">'P&amp;L monthly'!AF22/FX_EUR</f>
        <v>12591.6583846271</v>
      </c>
      <c r="AG22" s="32" t="n">
        <f aca="false">'P&amp;L monthly'!AG22/FX_EUR</f>
        <v>15118.3538519917</v>
      </c>
      <c r="AH22" s="32" t="n">
        <f aca="false">'P&amp;L monthly'!AH22/FX_EUR</f>
        <v>17289.2789810379</v>
      </c>
      <c r="AI22" s="32" t="n">
        <f aca="false">'P&amp;L monthly'!AI22/FX_EUR</f>
        <v>19078.1465038376</v>
      </c>
      <c r="AJ22" s="32" t="n">
        <f aca="false">'P&amp;L monthly'!AJ22/FX_EUR</f>
        <v>20982.7926868022</v>
      </c>
      <c r="AK22" s="32" t="n">
        <f aca="false">'P&amp;L monthly'!AK22/FX_EUR</f>
        <v>22841.9282094568</v>
      </c>
      <c r="AL22" s="32" t="n">
        <f aca="false">'P&amp;L monthly'!AL22/FX_EUR</f>
        <v>24643.1852640757</v>
      </c>
      <c r="AM22" s="32" t="n">
        <f aca="false">'P&amp;L monthly'!AM22/FX_EUR</f>
        <v>26551.1114242688</v>
      </c>
      <c r="AN22" s="32" t="n">
        <f aca="false">'P&amp;L monthly'!AN22/FX_EUR</f>
        <v>28558.9656513943</v>
      </c>
      <c r="AO22" s="32" t="n">
        <f aca="false">'P&amp;L monthly'!AO22/FX_EUR</f>
        <v>30698.7725701673</v>
      </c>
      <c r="AP22" s="32" t="n">
        <f aca="false">'P&amp;L monthly'!AP22/FX_EUR</f>
        <v>33070.7331018463</v>
      </c>
      <c r="AQ22" s="32" t="n">
        <f aca="false">'P&amp;L monthly'!AQ22/FX_EUR</f>
        <v>35270.950133687</v>
      </c>
      <c r="AR22" s="32" t="n">
        <f aca="false">'P&amp;L monthly'!AR22/FX_EUR</f>
        <v>37237.0197236379</v>
      </c>
      <c r="AS22" s="32" t="n">
        <f aca="false">'P&amp;L monthly'!AS22/FX_EUR</f>
        <v>39277.0169140118</v>
      </c>
      <c r="AT22" s="32" t="n">
        <f aca="false">'P&amp;L monthly'!AT22/FX_EUR</f>
        <v>41324.0523166146</v>
      </c>
      <c r="AU22" s="32" t="n">
        <f aca="false">'P&amp;L monthly'!AU22/FX_EUR</f>
        <v>43337.8218698133</v>
      </c>
      <c r="AV22" s="32" t="n">
        <f aca="false">'P&amp;L monthly'!AV22/FX_EUR</f>
        <v>45427.7841499078</v>
      </c>
      <c r="AW22" s="32" t="n">
        <f aca="false">'P&amp;L monthly'!AW22/FX_EUR</f>
        <v>47597.435727477</v>
      </c>
      <c r="AX22" s="32" t="n">
        <f aca="false">'P&amp;L monthly'!AX22/FX_EUR</f>
        <v>49800.7547314968</v>
      </c>
      <c r="AY22" s="32" t="n">
        <f aca="false">'P&amp;L monthly'!AY22/FX_EUR</f>
        <v>52014.773998537</v>
      </c>
      <c r="AZ22" s="32" t="n">
        <f aca="false">'P&amp;L monthly'!AZ22/FX_EUR</f>
        <v>54202.9500380405</v>
      </c>
      <c r="BA22" s="32" t="n">
        <f aca="false">'P&amp;L monthly'!BA22/FX_EUR</f>
        <v>56482.8039300651</v>
      </c>
      <c r="BB22" s="32" t="n">
        <f aca="false">'P&amp;L monthly'!BB22/FX_EUR</f>
        <v>58887.9290710439</v>
      </c>
      <c r="BC22" s="32" t="n">
        <f aca="false">'P&amp;L monthly'!BC22/FX_EUR</f>
        <v>61315.1315610148</v>
      </c>
      <c r="BD22" s="32" t="n">
        <f aca="false">'P&amp;L monthly'!BD22/FX_EUR</f>
        <v>63752.303983672</v>
      </c>
      <c r="BE22" s="32" t="n">
        <f aca="false">'P&amp;L monthly'!BE22/FX_EUR</f>
        <v>66169.4857296695</v>
      </c>
      <c r="BF22" s="32" t="n">
        <f aca="false">'P&amp;L monthly'!BF22/FX_EUR</f>
        <v>68643.9490328635</v>
      </c>
      <c r="BG22" s="32" t="n">
        <f aca="false">'P&amp;L monthly'!BG22/FX_EUR</f>
        <v>71129.8163194641</v>
      </c>
      <c r="BH22" s="32" t="n">
        <f aca="false">'P&amp;L monthly'!BH22/FX_EUR</f>
        <v>73640.7625786283</v>
      </c>
      <c r="BI22" s="32" t="n">
        <f aca="false">'P&amp;L monthly'!BI22/FX_EUR</f>
        <v>76170.5725706325</v>
      </c>
      <c r="BJ22" s="32" t="n">
        <f aca="false">'P&amp;L monthly'!BJ22/FX_EUR</f>
        <v>78759.5456911122</v>
      </c>
      <c r="BK22" s="32" t="n">
        <f aca="false">'P&amp;L monthly'!BK22/FX_EUR</f>
        <v>81360.175364685</v>
      </c>
      <c r="BL22" s="32" t="n">
        <f aca="false">'P&amp;L monthly'!BL22/FX_EUR</f>
        <v>83977.2979708625</v>
      </c>
    </row>
    <row r="23" customFormat="false" ht="15" hidden="false" customHeight="false" outlineLevel="0" collapsed="false">
      <c r="A23" s="8" t="s">
        <v>93</v>
      </c>
      <c r="B23" s="14" t="s">
        <v>79</v>
      </c>
      <c r="D23" s="55" t="n">
        <f aca="false">'P&amp;L monthly'!D23/FX_EUR</f>
        <v>29719241.4507781</v>
      </c>
      <c r="E23" s="16" t="n">
        <f aca="false">'P&amp;L monthly'!E23/FX_EUR</f>
        <v>0</v>
      </c>
      <c r="F23" s="16" t="n">
        <f aca="false">'P&amp;L monthly'!F23/FX_EUR</f>
        <v>0</v>
      </c>
      <c r="G23" s="16" t="n">
        <f aca="false">'P&amp;L monthly'!G23/FX_EUR</f>
        <v>0</v>
      </c>
      <c r="H23" s="16" t="n">
        <f aca="false">'P&amp;L monthly'!H23/FX_EUR</f>
        <v>0</v>
      </c>
      <c r="I23" s="16" t="n">
        <f aca="false">'P&amp;L monthly'!I23/FX_EUR</f>
        <v>3919.50996787899</v>
      </c>
      <c r="J23" s="16" t="n">
        <f aca="false">'P&amp;L monthly'!J23/FX_EUR</f>
        <v>9156.75501087216</v>
      </c>
      <c r="K23" s="16" t="n">
        <f aca="false">'P&amp;L monthly'!K23/FX_EUR</f>
        <v>14384.7508955554</v>
      </c>
      <c r="L23" s="16" t="n">
        <f aca="false">'P&amp;L monthly'!L23/FX_EUR</f>
        <v>19606.9128403257</v>
      </c>
      <c r="M23" s="16" t="n">
        <f aca="false">'P&amp;L monthly'!M23/FX_EUR</f>
        <v>24826.8048353628</v>
      </c>
      <c r="N23" s="16" t="n">
        <f aca="false">'P&amp;L monthly'!N23/FX_EUR</f>
        <v>30048.1494608511</v>
      </c>
      <c r="O23" s="16" t="n">
        <f aca="false">'P&amp;L monthly'!O23/FX_EUR</f>
        <v>35631.0927151953</v>
      </c>
      <c r="P23" s="16" t="n">
        <f aca="false">'P&amp;L monthly'!P23/FX_EUR</f>
        <v>41325.8679194419</v>
      </c>
      <c r="Q23" s="16" t="n">
        <f aca="false">'P&amp;L monthly'!Q23/FX_EUR</f>
        <v>49160.712866336</v>
      </c>
      <c r="R23" s="16" t="n">
        <f aca="false">'P&amp;L monthly'!R23/FX_EUR</f>
        <v>57774.2678423672</v>
      </c>
      <c r="S23" s="16" t="n">
        <f aca="false">'P&amp;L monthly'!S23/FX_EUR</f>
        <v>66697.833546888</v>
      </c>
      <c r="T23" s="16" t="n">
        <f aca="false">'P&amp;L monthly'!T23/FX_EUR</f>
        <v>75937.4507474497</v>
      </c>
      <c r="U23" s="16" t="n">
        <f aca="false">'P&amp;L monthly'!U23/FX_EUR</f>
        <v>85499.8879711606</v>
      </c>
      <c r="V23" s="16" t="n">
        <f aca="false">'P&amp;L monthly'!V23/FX_EUR</f>
        <v>96013.7846163327</v>
      </c>
      <c r="W23" s="16" t="n">
        <f aca="false">'P&amp;L monthly'!W23/FX_EUR</f>
        <v>110833.320157083</v>
      </c>
      <c r="X23" s="16" t="n">
        <f aca="false">'P&amp;L monthly'!X23/FX_EUR</f>
        <v>127376.20491363</v>
      </c>
      <c r="Y23" s="16" t="n">
        <f aca="false">'P&amp;L monthly'!Y23/FX_EUR</f>
        <v>145507.401966957</v>
      </c>
      <c r="Z23" s="16" t="n">
        <f aca="false">'P&amp;L monthly'!Z23/FX_EUR</f>
        <v>164664.89947044</v>
      </c>
      <c r="AA23" s="16" t="n">
        <f aca="false">'P&amp;L monthly'!AA23/FX_EUR</f>
        <v>183220.728800803</v>
      </c>
      <c r="AB23" s="16" t="n">
        <f aca="false">'P&amp;L monthly'!AB23/FX_EUR</f>
        <v>202353.542678597</v>
      </c>
      <c r="AC23" s="16" t="n">
        <f aca="false">'P&amp;L monthly'!AC23/FX_EUR</f>
        <v>227077.509702685</v>
      </c>
      <c r="AD23" s="16" t="n">
        <f aca="false">'P&amp;L monthly'!AD23/FX_EUR</f>
        <v>250773.732375806</v>
      </c>
      <c r="AE23" s="16" t="n">
        <f aca="false">'P&amp;L monthly'!AE23/FX_EUR</f>
        <v>275956.110745228</v>
      </c>
      <c r="AF23" s="16" t="n">
        <f aca="false">'P&amp;L monthly'!AF23/FX_EUR</f>
        <v>301973.485730675</v>
      </c>
      <c r="AG23" s="16" t="n">
        <f aca="false">'P&amp;L monthly'!AG23/FX_EUR</f>
        <v>328490.926503278</v>
      </c>
      <c r="AH23" s="16" t="n">
        <f aca="false">'P&amp;L monthly'!AH23/FX_EUR</f>
        <v>353425.087666471</v>
      </c>
      <c r="AI23" s="16" t="n">
        <f aca="false">'P&amp;L monthly'!AI23/FX_EUR</f>
        <v>379011.779734235</v>
      </c>
      <c r="AJ23" s="16" t="n">
        <f aca="false">'P&amp;L monthly'!AJ23/FX_EUR</f>
        <v>405058.914859584</v>
      </c>
      <c r="AK23" s="16" t="n">
        <f aca="false">'P&amp;L monthly'!AK23/FX_EUR</f>
        <v>431211.376633015</v>
      </c>
      <c r="AL23" s="16" t="n">
        <f aca="false">'P&amp;L monthly'!AL23/FX_EUR</f>
        <v>457481.276787823</v>
      </c>
      <c r="AM23" s="16" t="n">
        <f aca="false">'P&amp;L monthly'!AM23/FX_EUR</f>
        <v>484974.483789532</v>
      </c>
      <c r="AN23" s="16" t="n">
        <f aca="false">'P&amp;L monthly'!AN23/FX_EUR</f>
        <v>512999.407862878</v>
      </c>
      <c r="AO23" s="16" t="n">
        <f aca="false">'P&amp;L monthly'!AO23/FX_EUR</f>
        <v>544222.677452936</v>
      </c>
      <c r="AP23" s="16" t="n">
        <f aca="false">'P&amp;L monthly'!AP23/FX_EUR</f>
        <v>577495.168892591</v>
      </c>
      <c r="AQ23" s="16" t="n">
        <f aca="false">'P&amp;L monthly'!AQ23/FX_EUR</f>
        <v>611063.946610438</v>
      </c>
      <c r="AR23" s="16" t="n">
        <f aca="false">'P&amp;L monthly'!AR23/FX_EUR</f>
        <v>644683.703872513</v>
      </c>
      <c r="AS23" s="16" t="n">
        <f aca="false">'P&amp;L monthly'!AS23/FX_EUR</f>
        <v>679614.112091559</v>
      </c>
      <c r="AT23" s="16" t="n">
        <f aca="false">'P&amp;L monthly'!AT23/FX_EUR</f>
        <v>715114.275252499</v>
      </c>
      <c r="AU23" s="16" t="n">
        <f aca="false">'P&amp;L monthly'!AU23/FX_EUR</f>
        <v>750966.884700962</v>
      </c>
      <c r="AV23" s="16" t="n">
        <f aca="false">'P&amp;L monthly'!AV23/FX_EUR</f>
        <v>789063.271483446</v>
      </c>
      <c r="AW23" s="16" t="n">
        <f aca="false">'P&amp;L monthly'!AW23/FX_EUR</f>
        <v>827837.221074135</v>
      </c>
      <c r="AX23" s="16" t="n">
        <f aca="false">'P&amp;L monthly'!AX23/FX_EUR</f>
        <v>867431.426746528</v>
      </c>
      <c r="AY23" s="16" t="n">
        <f aca="false">'P&amp;L monthly'!AY23/FX_EUR</f>
        <v>907063.25523637</v>
      </c>
      <c r="AZ23" s="16" t="n">
        <f aca="false">'P&amp;L monthly'!AZ23/FX_EUR</f>
        <v>946496.467390244</v>
      </c>
      <c r="BA23" s="16" t="n">
        <f aca="false">'P&amp;L monthly'!BA23/FX_EUR</f>
        <v>989620.561717434</v>
      </c>
      <c r="BB23" s="16" t="n">
        <f aca="false">'P&amp;L monthly'!BB23/FX_EUR</f>
        <v>1033569.03567839</v>
      </c>
      <c r="BC23" s="16" t="n">
        <f aca="false">'P&amp;L monthly'!BC23/FX_EUR</f>
        <v>1078284.35460262</v>
      </c>
      <c r="BD23" s="16" t="n">
        <f aca="false">'P&amp;L monthly'!BD23/FX_EUR</f>
        <v>1123063.55836539</v>
      </c>
      <c r="BE23" s="16" t="n">
        <f aca="false">'P&amp;L monthly'!BE23/FX_EUR</f>
        <v>1168505.67997753</v>
      </c>
      <c r="BF23" s="16" t="n">
        <f aca="false">'P&amp;L monthly'!BF23/FX_EUR</f>
        <v>1214985.8316841</v>
      </c>
      <c r="BG23" s="16" t="n">
        <f aca="false">'P&amp;L monthly'!BG23/FX_EUR</f>
        <v>1261574.90706808</v>
      </c>
      <c r="BH23" s="16" t="n">
        <f aca="false">'P&amp;L monthly'!BH23/FX_EUR</f>
        <v>1309010.34399687</v>
      </c>
      <c r="BI23" s="16" t="n">
        <f aca="false">'P&amp;L monthly'!BI23/FX_EUR</f>
        <v>1357424.41350254</v>
      </c>
      <c r="BJ23" s="16" t="n">
        <f aca="false">'P&amp;L monthly'!BJ23/FX_EUR</f>
        <v>1406942.86270765</v>
      </c>
      <c r="BK23" s="16" t="n">
        <f aca="false">'P&amp;L monthly'!BK23/FX_EUR</f>
        <v>1456443.75871647</v>
      </c>
      <c r="BL23" s="16" t="n">
        <f aca="false">'P&amp;L monthly'!BL23/FX_EUR</f>
        <v>1506389.76034208</v>
      </c>
    </row>
    <row r="25" customFormat="false" ht="15" hidden="false" customHeight="false" outlineLevel="0" collapsed="false">
      <c r="A25" s="10" t="s">
        <v>1105</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1106</v>
      </c>
      <c r="B26" s="14" t="s">
        <v>79</v>
      </c>
      <c r="D26" s="55" t="n">
        <f aca="false">'P&amp;L monthly'!D26/FX_EUR</f>
        <v>855436.108521781</v>
      </c>
      <c r="E26" s="32" t="n">
        <f aca="false">'P&amp;L monthly'!E26/FX_EUR</f>
        <v>0</v>
      </c>
      <c r="F26" s="32" t="n">
        <f aca="false">'P&amp;L monthly'!F26/FX_EUR</f>
        <v>0</v>
      </c>
      <c r="G26" s="32" t="n">
        <f aca="false">'P&amp;L monthly'!G26/FX_EUR</f>
        <v>0</v>
      </c>
      <c r="H26" s="32" t="n">
        <f aca="false">'P&amp;L monthly'!H26/FX_EUR</f>
        <v>0</v>
      </c>
      <c r="I26" s="32" t="n">
        <f aca="false">'P&amp;L monthly'!I26/FX_EUR</f>
        <v>437.386393721946</v>
      </c>
      <c r="J26" s="32" t="n">
        <f aca="false">'P&amp;L monthly'!J26/FX_EUR</f>
        <v>627.048470148704</v>
      </c>
      <c r="K26" s="32" t="n">
        <f aca="false">'P&amp;L monthly'!K26/FX_EUR</f>
        <v>815.708823139322</v>
      </c>
      <c r="L26" s="32" t="n">
        <f aca="false">'P&amp;L monthly'!L26/FX_EUR</f>
        <v>1003.51515539668</v>
      </c>
      <c r="M26" s="32" t="n">
        <f aca="false">'P&amp;L monthly'!M26/FX_EUR</f>
        <v>1190.62030585823</v>
      </c>
      <c r="N26" s="32" t="n">
        <f aca="false">'P&amp;L monthly'!N26/FX_EUR</f>
        <v>1377.18262751811</v>
      </c>
      <c r="O26" s="32" t="n">
        <f aca="false">'P&amp;L monthly'!O26/FX_EUR</f>
        <v>1563.36638658271</v>
      </c>
      <c r="P26" s="32" t="n">
        <f aca="false">'P&amp;L monthly'!P26/FX_EUR</f>
        <v>1749.34218426577</v>
      </c>
      <c r="Q26" s="32" t="n">
        <f aca="false">'P&amp;L monthly'!Q26/FX_EUR</f>
        <v>2089.72842033605</v>
      </c>
      <c r="R26" s="32" t="n">
        <f aca="false">'P&amp;L monthly'!R26/FX_EUR</f>
        <v>2341.29870253288</v>
      </c>
      <c r="S26" s="32" t="n">
        <f aca="false">'P&amp;L monthly'!S26/FX_EUR</f>
        <v>2592.13650060199</v>
      </c>
      <c r="T26" s="32" t="n">
        <f aca="false">'P&amp;L monthly'!T26/FX_EUR</f>
        <v>2842.46158693468</v>
      </c>
      <c r="U26" s="32" t="n">
        <f aca="false">'P&amp;L monthly'!U26/FX_EUR</f>
        <v>3092.50221448037</v>
      </c>
      <c r="V26" s="32" t="n">
        <f aca="false">'P&amp;L monthly'!V26/FX_EUR</f>
        <v>3342.49571327418</v>
      </c>
      <c r="W26" s="32" t="n">
        <f aca="false">'P&amp;L monthly'!W26/FX_EUR</f>
        <v>3927.50781600191</v>
      </c>
      <c r="X26" s="32" t="n">
        <f aca="false">'P&amp;L monthly'!X26/FX_EUR</f>
        <v>4323.2788299497</v>
      </c>
      <c r="Y26" s="32" t="n">
        <f aca="false">'P&amp;L monthly'!Y26/FX_EUR</f>
        <v>4789.71335142085</v>
      </c>
      <c r="Z26" s="32" t="n">
        <f aca="false">'P&amp;L monthly'!Z26/FX_EUR</f>
        <v>5215.71734779808</v>
      </c>
      <c r="AA26" s="32" t="n">
        <f aca="false">'P&amp;L monthly'!AA26/FX_EUR</f>
        <v>5641.95466311877</v>
      </c>
      <c r="AB26" s="32" t="n">
        <f aca="false">'P&amp;L monthly'!AB26/FX_EUR</f>
        <v>6068.8600055551</v>
      </c>
      <c r="AC26" s="32" t="n">
        <f aca="false">'P&amp;L monthly'!AC26/FX_EUR</f>
        <v>6806.94764890911</v>
      </c>
      <c r="AD26" s="32" t="n">
        <f aca="false">'P&amp;L monthly'!AD26/FX_EUR</f>
        <v>7368.01058614001</v>
      </c>
      <c r="AE26" s="32" t="n">
        <f aca="false">'P&amp;L monthly'!AE26/FX_EUR</f>
        <v>7999.7325744984</v>
      </c>
      <c r="AF26" s="32" t="n">
        <f aca="false">'P&amp;L monthly'!AF26/FX_EUR</f>
        <v>8591.18291077839</v>
      </c>
      <c r="AG26" s="32" t="n">
        <f aca="false">'P&amp;L monthly'!AG26/FX_EUR</f>
        <v>23185.6425435723</v>
      </c>
      <c r="AH26" s="32" t="n">
        <f aca="false">'P&amp;L monthly'!AH26/FX_EUR</f>
        <v>10784.9501534492</v>
      </c>
      <c r="AI26" s="32" t="n">
        <f aca="false">'P&amp;L monthly'!AI26/FX_EUR</f>
        <v>11506.315049722</v>
      </c>
      <c r="AJ26" s="32" t="n">
        <f aca="false">'P&amp;L monthly'!AJ26/FX_EUR</f>
        <v>12140.4458313665</v>
      </c>
      <c r="AK26" s="32" t="n">
        <f aca="false">'P&amp;L monthly'!AK26/FX_EUR</f>
        <v>12778.2807614431</v>
      </c>
      <c r="AL26" s="32" t="n">
        <f aca="false">'P&amp;L monthly'!AL26/FX_EUR</f>
        <v>13420.6112723047</v>
      </c>
      <c r="AM26" s="32" t="n">
        <f aca="false">'P&amp;L monthly'!AM26/FX_EUR</f>
        <v>14188.3959916816</v>
      </c>
      <c r="AN26" s="32" t="n">
        <f aca="false">'P&amp;L monthly'!AN26/FX_EUR</f>
        <v>14871.6954961834</v>
      </c>
      <c r="AO26" s="32" t="n">
        <f aca="false">'P&amp;L monthly'!AO26/FX_EUR</f>
        <v>15932.0117810484</v>
      </c>
      <c r="AP26" s="32" t="n">
        <f aca="false">'P&amp;L monthly'!AP26/FX_EUR</f>
        <v>16840.4479868006</v>
      </c>
      <c r="AQ26" s="32" t="n">
        <f aca="false">'P&amp;L monthly'!AQ26/FX_EUR</f>
        <v>17665.2967021256</v>
      </c>
      <c r="AR26" s="32" t="n">
        <f aca="false">'P&amp;L monthly'!AR26/FX_EUR</f>
        <v>18497.8387628442</v>
      </c>
      <c r="AS26" s="32" t="n">
        <f aca="false">'P&amp;L monthly'!AS26/FX_EUR</f>
        <v>19459.3563756945</v>
      </c>
      <c r="AT26" s="32" t="n">
        <f aca="false">'P&amp;L monthly'!AT26/FX_EUR</f>
        <v>20340.2507849312</v>
      </c>
      <c r="AU26" s="32" t="n">
        <f aca="false">'P&amp;L monthly'!AU26/FX_EUR</f>
        <v>21231.9825149003</v>
      </c>
      <c r="AV26" s="32" t="n">
        <f aca="false">'P&amp;L monthly'!AV26/FX_EUR</f>
        <v>22364.1410745087</v>
      </c>
      <c r="AW26" s="32" t="n">
        <f aca="false">'P&amp;L monthly'!AW26/FX_EUR</f>
        <v>23303.2791150219</v>
      </c>
      <c r="AX26" s="32" t="n">
        <f aca="false">'P&amp;L monthly'!AX26/FX_EUR</f>
        <v>24328.4669607628</v>
      </c>
      <c r="AY26" s="32" t="n">
        <f aca="false">'P&amp;L monthly'!AY26/FX_EUR</f>
        <v>25256.2181010172</v>
      </c>
      <c r="AZ26" s="32" t="n">
        <f aca="false">'P&amp;L monthly'!AZ26/FX_EUR</f>
        <v>26177.3233779729</v>
      </c>
      <c r="BA26" s="32" t="n">
        <f aca="false">'P&amp;L monthly'!BA26/FX_EUR</f>
        <v>27584.942059946</v>
      </c>
      <c r="BB26" s="32" t="n">
        <f aca="false">'P&amp;L monthly'!BB26/FX_EUR</f>
        <v>28615.4076969214</v>
      </c>
      <c r="BC26" s="32" t="n">
        <f aca="false">'P&amp;L monthly'!BC26/FX_EUR</f>
        <v>29759.2995180327</v>
      </c>
      <c r="BD26" s="32" t="n">
        <f aca="false">'P&amp;L monthly'!BD26/FX_EUR</f>
        <v>30806.5349852815</v>
      </c>
      <c r="BE26" s="32" t="n">
        <f aca="false">'P&amp;L monthly'!BE26/FX_EUR</f>
        <v>31956.1707367129</v>
      </c>
      <c r="BF26" s="32" t="n">
        <f aca="false">'P&amp;L monthly'!BF26/FX_EUR</f>
        <v>33139.3924684576</v>
      </c>
      <c r="BG26" s="32" t="n">
        <f aca="false">'P&amp;L monthly'!BG26/FX_EUR</f>
        <v>34227.3739917238</v>
      </c>
      <c r="BH26" s="32" t="n">
        <f aca="false">'P&amp;L monthly'!BH26/FX_EUR</f>
        <v>35431.2829168088</v>
      </c>
      <c r="BI26" s="32" t="n">
        <f aca="false">'P&amp;L monthly'!BI26/FX_EUR</f>
        <v>36649.3148235613</v>
      </c>
      <c r="BJ26" s="32" t="n">
        <f aca="false">'P&amp;L monthly'!BJ26/FX_EUR</f>
        <v>37902.9829159022</v>
      </c>
      <c r="BK26" s="32" t="n">
        <f aca="false">'P&amp;L monthly'!BK26/FX_EUR</f>
        <v>39037.8723916994</v>
      </c>
      <c r="BL26" s="32" t="n">
        <f aca="false">'P&amp;L monthly'!BL26/FX_EUR</f>
        <v>40254.8841604205</v>
      </c>
    </row>
    <row r="27" customFormat="false" ht="15" hidden="false" customHeight="false" outlineLevel="0" collapsed="false">
      <c r="A27" s="12" t="s">
        <v>1107</v>
      </c>
      <c r="B27" s="14" t="s">
        <v>79</v>
      </c>
      <c r="D27" s="55" t="n">
        <f aca="false">'P&amp;L monthly'!D27/FX_EUR</f>
        <v>5582895.84038812</v>
      </c>
      <c r="E27" s="32" t="n">
        <f aca="false">'P&amp;L monthly'!E27/FX_EUR</f>
        <v>0</v>
      </c>
      <c r="F27" s="32" t="n">
        <f aca="false">'P&amp;L monthly'!F27/FX_EUR</f>
        <v>0</v>
      </c>
      <c r="G27" s="32" t="n">
        <f aca="false">'P&amp;L monthly'!G27/FX_EUR</f>
        <v>0</v>
      </c>
      <c r="H27" s="32" t="n">
        <f aca="false">'P&amp;L monthly'!H27/FX_EUR</f>
        <v>0</v>
      </c>
      <c r="I27" s="32" t="n">
        <f aca="false">'P&amp;L monthly'!I27/FX_EUR</f>
        <v>2101.71703328115</v>
      </c>
      <c r="J27" s="32" t="n">
        <f aca="false">'P&amp;L monthly'!J27/FX_EUR</f>
        <v>3427.08729383176</v>
      </c>
      <c r="K27" s="32" t="n">
        <f aca="false">'P&amp;L monthly'!K27/FX_EUR</f>
        <v>4750.34007907531</v>
      </c>
      <c r="L27" s="32" t="n">
        <f aca="false">'P&amp;L monthly'!L27/FX_EUR</f>
        <v>6072.3780420544</v>
      </c>
      <c r="M27" s="32" t="n">
        <f aca="false">'P&amp;L monthly'!M27/FX_EUR</f>
        <v>7394.14315521194</v>
      </c>
      <c r="N27" s="32" t="n">
        <f aca="false">'P&amp;L monthly'!N27/FX_EUR</f>
        <v>8716.61930780572</v>
      </c>
      <c r="O27" s="32" t="n">
        <f aca="false">'P&amp;L monthly'!O27/FX_EUR</f>
        <v>10040.8350550343</v>
      </c>
      <c r="P27" s="32" t="n">
        <f aca="false">'P&amp;L monthly'!P27/FX_EUR</f>
        <v>11367.8665280523</v>
      </c>
      <c r="Q27" s="32" t="n">
        <f aca="false">'P&amp;L monthly'!Q27/FX_EUR</f>
        <v>13440.9562325542</v>
      </c>
      <c r="R27" s="32" t="n">
        <f aca="false">'P&amp;L monthly'!R27/FX_EUR</f>
        <v>15237.8401974169</v>
      </c>
      <c r="S27" s="32" t="n">
        <f aca="false">'P&amp;L monthly'!S27/FX_EUR</f>
        <v>17035.4344656443</v>
      </c>
      <c r="T27" s="32" t="n">
        <f aca="false">'P&amp;L monthly'!T27/FX_EUR</f>
        <v>18835.1175052672</v>
      </c>
      <c r="U27" s="32" t="n">
        <f aca="false">'P&amp;L monthly'!U27/FX_EUR</f>
        <v>20638.3314369977</v>
      </c>
      <c r="V27" s="32" t="n">
        <f aca="false">'P&amp;L monthly'!V27/FX_EUR</f>
        <v>22446.5861568477</v>
      </c>
      <c r="W27" s="32" t="n">
        <f aca="false">'P&amp;L monthly'!W27/FX_EUR</f>
        <v>25870.3252573442</v>
      </c>
      <c r="X27" s="32" t="n">
        <f aca="false">'P&amp;L monthly'!X27/FX_EUR</f>
        <v>28707.7374915382</v>
      </c>
      <c r="Y27" s="32" t="n">
        <f aca="false">'P&amp;L monthly'!Y27/FX_EUR</f>
        <v>31893.2359828861</v>
      </c>
      <c r="Z27" s="32" t="n">
        <f aca="false">'P&amp;L monthly'!Z27/FX_EUR</f>
        <v>34960.5752079398</v>
      </c>
      <c r="AA27" s="32" t="n">
        <f aca="false">'P&amp;L monthly'!AA27/FX_EUR</f>
        <v>38038.6494083774</v>
      </c>
      <c r="AB27" s="32" t="n">
        <f aca="false">'P&amp;L monthly'!AB27/FX_EUR</f>
        <v>41130.2539808249</v>
      </c>
      <c r="AC27" s="32" t="n">
        <f aca="false">'P&amp;L monthly'!AC27/FX_EUR</f>
        <v>45728.2179343352</v>
      </c>
      <c r="AD27" s="32" t="n">
        <f aca="false">'P&amp;L monthly'!AD27/FX_EUR</f>
        <v>49780.9178139264</v>
      </c>
      <c r="AE27" s="32" t="n">
        <f aca="false">'P&amp;L monthly'!AE27/FX_EUR</f>
        <v>54184.947861162</v>
      </c>
      <c r="AF27" s="32" t="n">
        <f aca="false">'P&amp;L monthly'!AF27/FX_EUR</f>
        <v>58475.1125798108</v>
      </c>
      <c r="AG27" s="32" t="n">
        <f aca="false">'P&amp;L monthly'!AG27/FX_EUR</f>
        <v>62781.407216634</v>
      </c>
      <c r="AH27" s="32" t="n">
        <f aca="false">'P&amp;L monthly'!AH27/FX_EUR</f>
        <v>67107.7823991165</v>
      </c>
      <c r="AI27" s="32" t="n">
        <f aca="false">'P&amp;L monthly'!AI27/FX_EUR</f>
        <v>71798.2839199445</v>
      </c>
      <c r="AJ27" s="32" t="n">
        <f aca="false">'P&amp;L monthly'!AJ27/FX_EUR</f>
        <v>76388.5111500182</v>
      </c>
      <c r="AK27" s="32" t="n">
        <f aca="false">'P&amp;L monthly'!AK27/FX_EUR</f>
        <v>81009.3017465637</v>
      </c>
      <c r="AL27" s="32" t="n">
        <f aca="false">'P&amp;L monthly'!AL27/FX_EUR</f>
        <v>85665.4991428283</v>
      </c>
      <c r="AM27" s="32" t="n">
        <f aca="false">'P&amp;L monthly'!AM27/FX_EUR</f>
        <v>90702.0953556884</v>
      </c>
      <c r="AN27" s="32" t="n">
        <f aca="false">'P&amp;L monthly'!AN27/FX_EUR</f>
        <v>95655.6926032274</v>
      </c>
      <c r="AO27" s="32" t="n">
        <f aca="false">'P&amp;L monthly'!AO27/FX_EUR</f>
        <v>101706.217423631</v>
      </c>
      <c r="AP27" s="32" t="n">
        <f aca="false">'P&amp;L monthly'!AP27/FX_EUR</f>
        <v>107754.217431179</v>
      </c>
      <c r="AQ27" s="32" t="n">
        <f aca="false">'P&amp;L monthly'!AQ27/FX_EUR</f>
        <v>113726.541162754</v>
      </c>
      <c r="AR27" s="32" t="n">
        <f aca="false">'P&amp;L monthly'!AR27/FX_EUR</f>
        <v>119756.186325466</v>
      </c>
      <c r="AS27" s="32" t="n">
        <f aca="false">'P&amp;L monthly'!AS27/FX_EUR</f>
        <v>126190.176898428</v>
      </c>
      <c r="AT27" s="32" t="n">
        <f aca="false">'P&amp;L monthly'!AT27/FX_EUR</f>
        <v>132567.259022937</v>
      </c>
      <c r="AU27" s="32" t="n">
        <f aca="false">'P&amp;L monthly'!AU27/FX_EUR</f>
        <v>139021.595980288</v>
      </c>
      <c r="AV27" s="32" t="n">
        <f aca="false">'P&amp;L monthly'!AV27/FX_EUR</f>
        <v>146207.357189562</v>
      </c>
      <c r="AW27" s="32" t="n">
        <f aca="false">'P&amp;L monthly'!AW27/FX_EUR</f>
        <v>153145.604104159</v>
      </c>
      <c r="AX27" s="32" t="n">
        <f aca="false">'P&amp;L monthly'!AX27/FX_EUR</f>
        <v>160349.589734053</v>
      </c>
      <c r="AY27" s="32" t="n">
        <f aca="false">'P&amp;L monthly'!AY27/FX_EUR</f>
        <v>167391.28082514</v>
      </c>
      <c r="AZ27" s="32" t="n">
        <f aca="false">'P&amp;L monthly'!AZ27/FX_EUR</f>
        <v>174400.357377141</v>
      </c>
      <c r="BA27" s="32" t="n">
        <f aca="false">'P&amp;L monthly'!BA27/FX_EUR</f>
        <v>182773.99166688</v>
      </c>
      <c r="BB27" s="32" t="n">
        <f aca="false">'P&amp;L monthly'!BB27/FX_EUR</f>
        <v>190594.013811174</v>
      </c>
      <c r="BC27" s="32" t="n">
        <f aca="false">'P&amp;L monthly'!BC27/FX_EUR</f>
        <v>198721.875205246</v>
      </c>
      <c r="BD27" s="32" t="n">
        <f aca="false">'P&amp;L monthly'!BD27/FX_EUR</f>
        <v>206692.994465966</v>
      </c>
      <c r="BE27" s="32" t="n">
        <f aca="false">'P&amp;L monthly'!BE27/FX_EUR</f>
        <v>214943.883907296</v>
      </c>
      <c r="BF27" s="32" t="n">
        <f aca="false">'P&amp;L monthly'!BF27/FX_EUR</f>
        <v>223397.116197269</v>
      </c>
      <c r="BG27" s="32" t="n">
        <f aca="false">'P&amp;L monthly'!BG27/FX_EUR</f>
        <v>231702.314570733</v>
      </c>
      <c r="BH27" s="32" t="n">
        <f aca="false">'P&amp;L monthly'!BH27/FX_EUR</f>
        <v>240330.61564841</v>
      </c>
      <c r="BI27" s="32" t="n">
        <f aca="false">'P&amp;L monthly'!BI27/FX_EUR</f>
        <v>249124.397771123</v>
      </c>
      <c r="BJ27" s="32" t="n">
        <f aca="false">'P&amp;L monthly'!BJ27/FX_EUR</f>
        <v>258133.396320446</v>
      </c>
      <c r="BK27" s="32" t="n">
        <f aca="false">'P&amp;L monthly'!BK27/FX_EUR</f>
        <v>266935.386104899</v>
      </c>
      <c r="BL27" s="32" t="n">
        <f aca="false">'P&amp;L monthly'!BL27/FX_EUR</f>
        <v>275945.671702699</v>
      </c>
    </row>
    <row r="28" customFormat="false" ht="15" hidden="false" customHeight="false" outlineLevel="0" collapsed="false">
      <c r="A28" s="12" t="s">
        <v>1108</v>
      </c>
      <c r="B28" s="14" t="s">
        <v>79</v>
      </c>
      <c r="D28" s="55" t="n">
        <f aca="false">'P&amp;L monthly'!D28/FX_EUR</f>
        <v>9276467.51291577</v>
      </c>
      <c r="E28" s="32" t="n">
        <f aca="false">'P&amp;L monthly'!E28/FX_EUR</f>
        <v>0</v>
      </c>
      <c r="F28" s="32" t="n">
        <f aca="false">'P&amp;L monthly'!F28/FX_EUR</f>
        <v>0</v>
      </c>
      <c r="G28" s="32" t="n">
        <f aca="false">'P&amp;L monthly'!G28/FX_EUR</f>
        <v>0</v>
      </c>
      <c r="H28" s="32" t="n">
        <f aca="false">'P&amp;L monthly'!H28/FX_EUR</f>
        <v>0</v>
      </c>
      <c r="I28" s="32" t="n">
        <f aca="false">'P&amp;L monthly'!I28/FX_EUR</f>
        <v>1590.42742130963</v>
      </c>
      <c r="J28" s="32" t="n">
        <f aca="false">'P&amp;L monthly'!J28/FX_EUR</f>
        <v>3178.34152238638</v>
      </c>
      <c r="K28" s="32" t="n">
        <f aca="false">'P&amp;L monthly'!K28/FX_EUR</f>
        <v>4764.72812390904</v>
      </c>
      <c r="L28" s="32" t="n">
        <f aca="false">'P&amp;L monthly'!L28/FX_EUR</f>
        <v>6350.61694549271</v>
      </c>
      <c r="M28" s="32" t="n">
        <f aca="false">'P&amp;L monthly'!M28/FX_EUR</f>
        <v>7937.08447206665</v>
      </c>
      <c r="N28" s="32" t="n">
        <f aca="false">'P&amp;L monthly'!N28/FX_EUR</f>
        <v>9525.25698833578</v>
      </c>
      <c r="O28" s="32" t="n">
        <f aca="false">'P&amp;L monthly'!O28/FX_EUR</f>
        <v>11116.3137914807</v>
      </c>
      <c r="P28" s="32" t="n">
        <f aca="false">'P&amp;L monthly'!P28/FX_EUR</f>
        <v>12711.490592859</v>
      </c>
      <c r="Q28" s="32" t="n">
        <f aca="false">'P&amp;L monthly'!Q28/FX_EUR</f>
        <v>15166.4092356987</v>
      </c>
      <c r="R28" s="32" t="n">
        <f aca="false">'P&amp;L monthly'!R28/FX_EUR</f>
        <v>17706.6559458087</v>
      </c>
      <c r="S28" s="32" t="n">
        <f aca="false">'P&amp;L monthly'!S28/FX_EUR</f>
        <v>20333.7393721948</v>
      </c>
      <c r="T28" s="32" t="n">
        <f aca="false">'P&amp;L monthly'!T28/FX_EUR</f>
        <v>23049.3663290539</v>
      </c>
      <c r="U28" s="32" t="n">
        <f aca="false">'P&amp;L monthly'!U28/FX_EUR</f>
        <v>25855.4535965049</v>
      </c>
      <c r="V28" s="32" t="n">
        <f aca="false">'P&amp;L monthly'!V28/FX_EUR</f>
        <v>29175.9624607762</v>
      </c>
      <c r="W28" s="32" t="n">
        <f aca="false">'P&amp;L monthly'!W28/FX_EUR</f>
        <v>34088.9203072579</v>
      </c>
      <c r="X28" s="32" t="n">
        <f aca="false">'P&amp;L monthly'!X28/FX_EUR</f>
        <v>39256.8417099844</v>
      </c>
      <c r="Y28" s="32" t="n">
        <f aca="false">'P&amp;L monthly'!Y28/FX_EUR</f>
        <v>45003.6820936342</v>
      </c>
      <c r="Z28" s="32" t="n">
        <f aca="false">'P&amp;L monthly'!Z28/FX_EUR</f>
        <v>51029.0651743057</v>
      </c>
      <c r="AA28" s="32" t="n">
        <f aca="false">'P&amp;L monthly'!AA28/FX_EUR</f>
        <v>57337.9677069582</v>
      </c>
      <c r="AB28" s="32" t="n">
        <f aca="false">'P&amp;L monthly'!AB28/FX_EUR</f>
        <v>63936.020923247</v>
      </c>
      <c r="AC28" s="32" t="n">
        <f aca="false">'P&amp;L monthly'!AC28/FX_EUR</f>
        <v>71370.5745117745</v>
      </c>
      <c r="AD28" s="32" t="n">
        <f aca="false">'P&amp;L monthly'!AD28/FX_EUR</f>
        <v>78979.5586760764</v>
      </c>
      <c r="AE28" s="32" t="n">
        <f aca="false">'P&amp;L monthly'!AE28/FX_EUR</f>
        <v>87129.4360417853</v>
      </c>
      <c r="AF28" s="32" t="n">
        <f aca="false">'P&amp;L monthly'!AF28/FX_EUR</f>
        <v>95470.4150264791</v>
      </c>
      <c r="AG28" s="32" t="n">
        <f aca="false">'P&amp;L monthly'!AG28/FX_EUR</f>
        <v>104009.435184069</v>
      </c>
      <c r="AH28" s="32" t="n">
        <f aca="false">'P&amp;L monthly'!AH28/FX_EUR</f>
        <v>111479.184033694</v>
      </c>
      <c r="AI28" s="32" t="n">
        <f aca="false">'P&amp;L monthly'!AI28/FX_EUR</f>
        <v>119360.169610139</v>
      </c>
      <c r="AJ28" s="32" t="n">
        <f aca="false">'P&amp;L monthly'!AJ28/FX_EUR</f>
        <v>127286.378251491</v>
      </c>
      <c r="AK28" s="32" t="n">
        <f aca="false">'P&amp;L monthly'!AK28/FX_EUR</f>
        <v>135265.469206538</v>
      </c>
      <c r="AL28" s="32" t="n">
        <f aca="false">'P&amp;L monthly'!AL28/FX_EUR</f>
        <v>143305.495147888</v>
      </c>
      <c r="AM28" s="32" t="n">
        <f aca="false">'P&amp;L monthly'!AM28/FX_EUR</f>
        <v>151783.914383754</v>
      </c>
      <c r="AN28" s="32" t="n">
        <f aca="false">'P&amp;L monthly'!AN28/FX_EUR</f>
        <v>160336.396680569</v>
      </c>
      <c r="AO28" s="32" t="n">
        <f aca="false">'P&amp;L monthly'!AO28/FX_EUR</f>
        <v>170110.097142137</v>
      </c>
      <c r="AP28" s="32" t="n">
        <f aca="false">'P&amp;L monthly'!AP28/FX_EUR</f>
        <v>180333.107933666</v>
      </c>
      <c r="AQ28" s="32" t="n">
        <f aca="false">'P&amp;L monthly'!AQ28/FX_EUR</f>
        <v>190642.833725794</v>
      </c>
      <c r="AR28" s="32" t="n">
        <f aca="false">'P&amp;L monthly'!AR28/FX_EUR</f>
        <v>201050.542365628</v>
      </c>
      <c r="AS28" s="32" t="n">
        <f aca="false">'P&amp;L monthly'!AS28/FX_EUR</f>
        <v>211937.084628429</v>
      </c>
      <c r="AT28" s="32" t="n">
        <f aca="false">'P&amp;L monthly'!AT28/FX_EUR</f>
        <v>222941.710912245</v>
      </c>
      <c r="AU28" s="32" t="n">
        <f aca="false">'P&amp;L monthly'!AU28/FX_EUR</f>
        <v>234077.644866779</v>
      </c>
      <c r="AV28" s="32" t="n">
        <f aca="false">'P&amp;L monthly'!AV28/FX_EUR</f>
        <v>246059.898596789</v>
      </c>
      <c r="AW28" s="32" t="n">
        <f aca="false">'P&amp;L monthly'!AW28/FX_EUR</f>
        <v>258088.57176464</v>
      </c>
      <c r="AX28" s="32" t="n">
        <f aca="false">'P&amp;L monthly'!AX28/FX_EUR</f>
        <v>270427.178702863</v>
      </c>
      <c r="AY28" s="32" t="n">
        <f aca="false">'P&amp;L monthly'!AY28/FX_EUR</f>
        <v>282707.874801864</v>
      </c>
      <c r="AZ28" s="32" t="n">
        <f aca="false">'P&amp;L monthly'!AZ28/FX_EUR</f>
        <v>294936.322889149</v>
      </c>
      <c r="BA28" s="32" t="n">
        <f aca="false">'P&amp;L monthly'!BA28/FX_EUR</f>
        <v>308631.253809856</v>
      </c>
      <c r="BB28" s="32" t="n">
        <f aca="false">'P&amp;L monthly'!BB28/FX_EUR</f>
        <v>322268.478364194</v>
      </c>
      <c r="BC28" s="32" t="n">
        <f aca="false">'P&amp;L monthly'!BC28/FX_EUR</f>
        <v>336223.582139348</v>
      </c>
      <c r="BD28" s="32" t="n">
        <f aca="false">'P&amp;L monthly'!BD28/FX_EUR</f>
        <v>350130.180907195</v>
      </c>
      <c r="BE28" s="32" t="n">
        <f aca="false">'P&amp;L monthly'!BE28/FX_EUR</f>
        <v>364327.561729299</v>
      </c>
      <c r="BF28" s="32" t="n">
        <f aca="false">'P&amp;L monthly'!BF28/FX_EUR</f>
        <v>378856.288435987</v>
      </c>
      <c r="BG28" s="32" t="n">
        <f aca="false">'P&amp;L monthly'!BG28/FX_EUR</f>
        <v>393350.982336597</v>
      </c>
      <c r="BH28" s="32" t="n">
        <f aca="false">'P&amp;L monthly'!BH28/FX_EUR</f>
        <v>408188.892954295</v>
      </c>
      <c r="BI28" s="32" t="n">
        <f aca="false">'P&amp;L monthly'!BI28/FX_EUR</f>
        <v>423337.486237042</v>
      </c>
      <c r="BJ28" s="32" t="n">
        <f aca="false">'P&amp;L monthly'!BJ28/FX_EUR</f>
        <v>438838.89207042</v>
      </c>
      <c r="BK28" s="32" t="n">
        <f aca="false">'P&amp;L monthly'!BK28/FX_EUR</f>
        <v>454250.317612325</v>
      </c>
      <c r="BL28" s="32" t="n">
        <f aca="false">'P&amp;L monthly'!BL28/FX_EUR</f>
        <v>469859.956521707</v>
      </c>
    </row>
    <row r="29" customFormat="false" ht="15" hidden="false" customHeight="false" outlineLevel="0" collapsed="false">
      <c r="A29" s="12" t="s">
        <v>1109</v>
      </c>
      <c r="B29" s="14" t="s">
        <v>79</v>
      </c>
      <c r="D29" s="55" t="n">
        <f aca="false">'P&amp;L monthly'!D29/FX_EUR</f>
        <v>372235.504944803</v>
      </c>
      <c r="E29" s="32" t="n">
        <f aca="false">'P&amp;L monthly'!E29/FX_EUR</f>
        <v>0</v>
      </c>
      <c r="F29" s="32" t="n">
        <f aca="false">'P&amp;L monthly'!F29/FX_EUR</f>
        <v>0</v>
      </c>
      <c r="G29" s="32" t="n">
        <f aca="false">'P&amp;L monthly'!G29/FX_EUR</f>
        <v>0</v>
      </c>
      <c r="H29" s="32" t="n">
        <f aca="false">'P&amp;L monthly'!H29/FX_EUR</f>
        <v>0</v>
      </c>
      <c r="I29" s="32" t="n">
        <f aca="false">'P&amp;L monthly'!I29/FX_EUR</f>
        <v>26.3940065177036</v>
      </c>
      <c r="J29" s="32" t="n">
        <f aca="false">'P&amp;L monthly'!J29/FX_EUR</f>
        <v>52.6086262768241</v>
      </c>
      <c r="K29" s="32" t="n">
        <f aca="false">'P&amp;L monthly'!K29/FX_EUR</f>
        <v>78.6627204984473</v>
      </c>
      <c r="L29" s="32" t="n">
        <f aca="false">'P&amp;L monthly'!L29/FX_EUR</f>
        <v>104.575750505591</v>
      </c>
      <c r="M29" s="32" t="n">
        <f aca="false">'P&amp;L monthly'!M29/FX_EUR</f>
        <v>130.367823670788</v>
      </c>
      <c r="N29" s="32" t="n">
        <f aca="false">'P&amp;L monthly'!N29/FX_EUR</f>
        <v>156.059741929785</v>
      </c>
      <c r="O29" s="32" t="n">
        <f aca="false">'P&amp;L monthly'!O29/FX_EUR</f>
        <v>187.610626957401</v>
      </c>
      <c r="P29" s="32" t="n">
        <f aca="false">'P&amp;L monthly'!P29/FX_EUR</f>
        <v>220.812189364437</v>
      </c>
      <c r="Q29" s="32" t="n">
        <f aca="false">'P&amp;L monthly'!Q29/FX_EUR</f>
        <v>265.91574159398</v>
      </c>
      <c r="R29" s="32" t="n">
        <f aca="false">'P&amp;L monthly'!R29/FX_EUR</f>
        <v>313.171960777528</v>
      </c>
      <c r="S29" s="32" t="n">
        <f aca="false">'P&amp;L monthly'!S29/FX_EUR</f>
        <v>362.61480273791</v>
      </c>
      <c r="T29" s="32" t="n">
        <f aca="false">'P&amp;L monthly'!T29/FX_EUR</f>
        <v>414.28264612217</v>
      </c>
      <c r="U29" s="32" t="n">
        <f aca="false">'P&amp;L monthly'!U29/FX_EUR</f>
        <v>468.218573404743</v>
      </c>
      <c r="V29" s="32" t="n">
        <f aca="false">'P&amp;L monthly'!V29/FX_EUR</f>
        <v>524.470671778099</v>
      </c>
      <c r="W29" s="32" t="n">
        <f aca="false">'P&amp;L monthly'!W29/FX_EUR</f>
        <v>609.141827006892</v>
      </c>
      <c r="X29" s="32" t="n">
        <f aca="false">'P&amp;L monthly'!X29/FX_EUR</f>
        <v>697.390615486994</v>
      </c>
      <c r="Y29" s="32" t="n">
        <f aca="false">'P&amp;L monthly'!Y29/FX_EUR</f>
        <v>795.075969287634</v>
      </c>
      <c r="Z29" s="32" t="n">
        <f aca="false">'P&amp;L monthly'!Z29/FX_EUR</f>
        <v>896.695987850549</v>
      </c>
      <c r="AA29" s="32" t="n">
        <f aca="false">'P&amp;L monthly'!AA29/FX_EUR</f>
        <v>979.002300734493</v>
      </c>
      <c r="AB29" s="32" t="n">
        <f aca="false">'P&amp;L monthly'!AB29/FX_EUR</f>
        <v>1061.45074896448</v>
      </c>
      <c r="AC29" s="32" t="n">
        <f aca="false">'P&amp;L monthly'!AC29/FX_EUR</f>
        <v>1170.04952476468</v>
      </c>
      <c r="AD29" s="32" t="n">
        <f aca="false">'P&amp;L monthly'!AD29/FX_EUR</f>
        <v>1278.5685184933</v>
      </c>
      <c r="AE29" s="32" t="n">
        <f aca="false">'P&amp;L monthly'!AE29/FX_EUR</f>
        <v>1393.01738381265</v>
      </c>
      <c r="AF29" s="32" t="n">
        <f aca="false">'P&amp;L monthly'!AF29/FX_EUR</f>
        <v>1507.49147146467</v>
      </c>
      <c r="AG29" s="32" t="n">
        <f aca="false">'P&amp;L monthly'!AG29/FX_EUR</f>
        <v>4422.58454771926</v>
      </c>
      <c r="AH29" s="32" t="n">
        <f aca="false">'P&amp;L monthly'!AH29/FX_EUR</f>
        <v>4739.14019264884</v>
      </c>
      <c r="AI29" s="32" t="n">
        <f aca="false">'P&amp;L monthly'!AI29/FX_EUR</f>
        <v>5073.08869130221</v>
      </c>
      <c r="AJ29" s="32" t="n">
        <f aca="false">'P&amp;L monthly'!AJ29/FX_EUR</f>
        <v>5408.75269439474</v>
      </c>
      <c r="AK29" s="32" t="n">
        <f aca="false">'P&amp;L monthly'!AK29/FX_EUR</f>
        <v>5746.46225585324</v>
      </c>
      <c r="AL29" s="32" t="n">
        <f aca="false">'P&amp;L monthly'!AL29/FX_EUR</f>
        <v>6086.56395847911</v>
      </c>
      <c r="AM29" s="32" t="n">
        <f aca="false">'P&amp;L monthly'!AM29/FX_EUR</f>
        <v>6445.21567705131</v>
      </c>
      <c r="AN29" s="32" t="n">
        <f aca="false">'P&amp;L monthly'!AN29/FX_EUR</f>
        <v>6806.81124325368</v>
      </c>
      <c r="AO29" s="32" t="n">
        <f aca="false">'P&amp;L monthly'!AO29/FX_EUR</f>
        <v>7220.45345376537</v>
      </c>
      <c r="AP29" s="32" t="n">
        <f aca="false">'P&amp;L monthly'!AP29/FX_EUR</f>
        <v>7653.06314111507</v>
      </c>
      <c r="AQ29" s="32" t="n">
        <f aca="false">'P&amp;L monthly'!AQ29/FX_EUR</f>
        <v>8089.10887402555</v>
      </c>
      <c r="AR29" s="32" t="n">
        <f aca="false">'P&amp;L monthly'!AR29/FX_EUR</f>
        <v>8529.07465404011</v>
      </c>
      <c r="AS29" s="32" t="n">
        <f aca="false">'P&amp;L monthly'!AS29/FX_EUR</f>
        <v>8989.26325273795</v>
      </c>
      <c r="AT29" s="32" t="n">
        <f aca="false">'P&amp;L monthly'!AT29/FX_EUR</f>
        <v>9454.22133766942</v>
      </c>
      <c r="AU29" s="32" t="n">
        <f aca="false">'P&amp;L monthly'!AU29/FX_EUR</f>
        <v>9924.51567116002</v>
      </c>
      <c r="AV29" s="32" t="n">
        <f aca="false">'P&amp;L monthly'!AV29/FX_EUR</f>
        <v>10430.751073805</v>
      </c>
      <c r="AW29" s="32" t="n">
        <f aca="false">'P&amp;L monthly'!AW29/FX_EUR</f>
        <v>10938.6645009573</v>
      </c>
      <c r="AX29" s="32" t="n">
        <f aca="false">'P&amp;L monthly'!AX29/FX_EUR</f>
        <v>11459.5388175642</v>
      </c>
      <c r="AY29" s="32" t="n">
        <f aca="false">'P&amp;L monthly'!AY29/FX_EUR</f>
        <v>11977.6235408253</v>
      </c>
      <c r="AZ29" s="32" t="n">
        <f aca="false">'P&amp;L monthly'!AZ29/FX_EUR</f>
        <v>12493.1684815998</v>
      </c>
      <c r="BA29" s="32" t="n">
        <f aca="false">'P&amp;L monthly'!BA29/FX_EUR</f>
        <v>13071.1867315697</v>
      </c>
      <c r="BB29" s="32" t="n">
        <f aca="false">'P&amp;L monthly'!BB29/FX_EUR</f>
        <v>13646.3918901857</v>
      </c>
      <c r="BC29" s="32" t="n">
        <f aca="false">'P&amp;L monthly'!BC29/FX_EUR</f>
        <v>14234.8680641681</v>
      </c>
      <c r="BD29" s="32" t="n">
        <f aca="false">'P&amp;L monthly'!BD29/FX_EUR</f>
        <v>14820.927512527</v>
      </c>
      <c r="BE29" s="32" t="n">
        <f aca="false">'P&amp;L monthly'!BE29/FX_EUR</f>
        <v>15419.1002891574</v>
      </c>
      <c r="BF29" s="32" t="n">
        <f aca="false">'P&amp;L monthly'!BF29/FX_EUR</f>
        <v>16031.1181049283</v>
      </c>
      <c r="BG29" s="32" t="n">
        <f aca="false">'P&amp;L monthly'!BG29/FX_EUR</f>
        <v>16641.3358190656</v>
      </c>
      <c r="BH29" s="32" t="n">
        <f aca="false">'P&amp;L monthly'!BH29/FX_EUR</f>
        <v>17265.9079191985</v>
      </c>
      <c r="BI29" s="32" t="n">
        <f aca="false">'P&amp;L monthly'!BI29/FX_EUR</f>
        <v>17903.4355164094</v>
      </c>
      <c r="BJ29" s="32" t="n">
        <f aca="false">'P&amp;L monthly'!BJ29/FX_EUR</f>
        <v>18555.7168106684</v>
      </c>
      <c r="BK29" s="32" t="n">
        <f aca="false">'P&amp;L monthly'!BK29/FX_EUR</f>
        <v>19203.7925269986</v>
      </c>
      <c r="BL29" s="32" t="n">
        <f aca="false">'P&amp;L monthly'!BL29/FX_EUR</f>
        <v>19860.0074699574</v>
      </c>
    </row>
    <row r="30" customFormat="false" ht="15" hidden="false" customHeight="false" outlineLevel="0" collapsed="false">
      <c r="A30" s="8" t="s">
        <v>1110</v>
      </c>
      <c r="B30" s="14" t="s">
        <v>79</v>
      </c>
      <c r="D30" s="55" t="n">
        <f aca="false">'P&amp;L monthly'!D30/FX_EUR</f>
        <v>16087034.9667705</v>
      </c>
      <c r="E30" s="16" t="n">
        <f aca="false">'P&amp;L monthly'!E30/FX_EUR</f>
        <v>0</v>
      </c>
      <c r="F30" s="16" t="n">
        <f aca="false">'P&amp;L monthly'!F30/FX_EUR</f>
        <v>0</v>
      </c>
      <c r="G30" s="16" t="n">
        <f aca="false">'P&amp;L monthly'!G30/FX_EUR</f>
        <v>0</v>
      </c>
      <c r="H30" s="16" t="n">
        <f aca="false">'P&amp;L monthly'!H30/FX_EUR</f>
        <v>0</v>
      </c>
      <c r="I30" s="16" t="n">
        <f aca="false">'P&amp;L monthly'!I30/FX_EUR</f>
        <v>4155.92485483042</v>
      </c>
      <c r="J30" s="16" t="n">
        <f aca="false">'P&amp;L monthly'!J30/FX_EUR</f>
        <v>7285.08591264367</v>
      </c>
      <c r="K30" s="16" t="n">
        <f aca="false">'P&amp;L monthly'!K30/FX_EUR</f>
        <v>10409.4397466221</v>
      </c>
      <c r="L30" s="16" t="n">
        <f aca="false">'P&amp;L monthly'!L30/FX_EUR</f>
        <v>13531.0858934494</v>
      </c>
      <c r="M30" s="16" t="n">
        <f aca="false">'P&amp;L monthly'!M30/FX_EUR</f>
        <v>16652.2157568076</v>
      </c>
      <c r="N30" s="16" t="n">
        <f aca="false">'P&amp;L monthly'!N30/FX_EUR</f>
        <v>19775.1186655894</v>
      </c>
      <c r="O30" s="16" t="n">
        <f aca="false">'P&amp;L monthly'!O30/FX_EUR</f>
        <v>22908.1258600551</v>
      </c>
      <c r="P30" s="16" t="n">
        <f aca="false">'P&amp;L monthly'!P30/FX_EUR</f>
        <v>26049.5114945415</v>
      </c>
      <c r="Q30" s="16" t="n">
        <f aca="false">'P&amp;L monthly'!Q30/FX_EUR</f>
        <v>30963.009630183</v>
      </c>
      <c r="R30" s="16" t="n">
        <f aca="false">'P&amp;L monthly'!R30/FX_EUR</f>
        <v>35598.9668065359</v>
      </c>
      <c r="S30" s="16" t="n">
        <f aca="false">'P&amp;L monthly'!S30/FX_EUR</f>
        <v>40323.925141179</v>
      </c>
      <c r="T30" s="16" t="n">
        <f aca="false">'P&amp;L monthly'!T30/FX_EUR</f>
        <v>45141.228067378</v>
      </c>
      <c r="U30" s="16" t="n">
        <f aca="false">'P&amp;L monthly'!U30/FX_EUR</f>
        <v>50054.5058213878</v>
      </c>
      <c r="V30" s="16" t="n">
        <f aca="false">'P&amp;L monthly'!V30/FX_EUR</f>
        <v>55489.5150026761</v>
      </c>
      <c r="W30" s="16" t="n">
        <f aca="false">'P&amp;L monthly'!W30/FX_EUR</f>
        <v>64495.8952076109</v>
      </c>
      <c r="X30" s="16" t="n">
        <f aca="false">'P&amp;L monthly'!X30/FX_EUR</f>
        <v>72985.2486469592</v>
      </c>
      <c r="Y30" s="16" t="n">
        <f aca="false">'P&amp;L monthly'!Y30/FX_EUR</f>
        <v>82481.7073972288</v>
      </c>
      <c r="Z30" s="16" t="n">
        <f aca="false">'P&amp;L monthly'!Z30/FX_EUR</f>
        <v>92102.0537178941</v>
      </c>
      <c r="AA30" s="16" t="n">
        <f aca="false">'P&amp;L monthly'!AA30/FX_EUR</f>
        <v>101997.574079189</v>
      </c>
      <c r="AB30" s="16" t="n">
        <f aca="false">'P&amp;L monthly'!AB30/FX_EUR</f>
        <v>112196.585658591</v>
      </c>
      <c r="AC30" s="16" t="n">
        <f aca="false">'P&amp;L monthly'!AC30/FX_EUR</f>
        <v>125075.789619783</v>
      </c>
      <c r="AD30" s="16" t="n">
        <f aca="false">'P&amp;L monthly'!AD30/FX_EUR</f>
        <v>137407.055594636</v>
      </c>
      <c r="AE30" s="16" t="n">
        <f aca="false">'P&amp;L monthly'!AE30/FX_EUR</f>
        <v>150707.133861258</v>
      </c>
      <c r="AF30" s="16" t="n">
        <f aca="false">'P&amp;L monthly'!AF30/FX_EUR</f>
        <v>164044.201988533</v>
      </c>
      <c r="AG30" s="16" t="n">
        <f aca="false">'P&amp;L monthly'!AG30/FX_EUR</f>
        <v>194399.069491994</v>
      </c>
      <c r="AH30" s="16" t="n">
        <f aca="false">'P&amp;L monthly'!AH30/FX_EUR</f>
        <v>194111.056778908</v>
      </c>
      <c r="AI30" s="16" t="n">
        <f aca="false">'P&amp;L monthly'!AI30/FX_EUR</f>
        <v>207737.857271108</v>
      </c>
      <c r="AJ30" s="16" t="n">
        <f aca="false">'P&amp;L monthly'!AJ30/FX_EUR</f>
        <v>221224.087927271</v>
      </c>
      <c r="AK30" s="16" t="n">
        <f aca="false">'P&amp;L monthly'!AK30/FX_EUR</f>
        <v>234799.513970398</v>
      </c>
      <c r="AL30" s="16" t="n">
        <f aca="false">'P&amp;L monthly'!AL30/FX_EUR</f>
        <v>248478.1695215</v>
      </c>
      <c r="AM30" s="16" t="n">
        <f aca="false">'P&amp;L monthly'!AM30/FX_EUR</f>
        <v>263119.621408176</v>
      </c>
      <c r="AN30" s="16" t="n">
        <f aca="false">'P&amp;L monthly'!AN30/FX_EUR</f>
        <v>277670.596023234</v>
      </c>
      <c r="AO30" s="16" t="n">
        <f aca="false">'P&amp;L monthly'!AO30/FX_EUR</f>
        <v>294968.779800582</v>
      </c>
      <c r="AP30" s="16" t="n">
        <f aca="false">'P&amp;L monthly'!AP30/FX_EUR</f>
        <v>312580.836492761</v>
      </c>
      <c r="AQ30" s="16" t="n">
        <f aca="false">'P&amp;L monthly'!AQ30/FX_EUR</f>
        <v>330123.780464699</v>
      </c>
      <c r="AR30" s="16" t="n">
        <f aca="false">'P&amp;L monthly'!AR30/FX_EUR</f>
        <v>347833.642107978</v>
      </c>
      <c r="AS30" s="16" t="n">
        <f aca="false">'P&amp;L monthly'!AS30/FX_EUR</f>
        <v>366575.88115529</v>
      </c>
      <c r="AT30" s="16" t="n">
        <f aca="false">'P&amp;L monthly'!AT30/FX_EUR</f>
        <v>385303.442057782</v>
      </c>
      <c r="AU30" s="16" t="n">
        <f aca="false">'P&amp;L monthly'!AU30/FX_EUR</f>
        <v>404255.739033128</v>
      </c>
      <c r="AV30" s="16" t="n">
        <f aca="false">'P&amp;L monthly'!AV30/FX_EUR</f>
        <v>425062.147934665</v>
      </c>
      <c r="AW30" s="16" t="n">
        <f aca="false">'P&amp;L monthly'!AW30/FX_EUR</f>
        <v>445476.119484778</v>
      </c>
      <c r="AX30" s="16" t="n">
        <f aca="false">'P&amp;L monthly'!AX30/FX_EUR</f>
        <v>466564.774215243</v>
      </c>
      <c r="AY30" s="16" t="n">
        <f aca="false">'P&amp;L monthly'!AY30/FX_EUR</f>
        <v>487332.997268847</v>
      </c>
      <c r="AZ30" s="16" t="n">
        <f aca="false">'P&amp;L monthly'!AZ30/FX_EUR</f>
        <v>508007.172125862</v>
      </c>
      <c r="BA30" s="16" t="n">
        <f aca="false">'P&amp;L monthly'!BA30/FX_EUR</f>
        <v>532061.374268252</v>
      </c>
      <c r="BB30" s="16" t="n">
        <f aca="false">'P&amp;L monthly'!BB30/FX_EUR</f>
        <v>555124.291762475</v>
      </c>
      <c r="BC30" s="16" t="n">
        <f aca="false">'P&amp;L monthly'!BC30/FX_EUR</f>
        <v>578939.624926795</v>
      </c>
      <c r="BD30" s="16" t="n">
        <f aca="false">'P&amp;L monthly'!BD30/FX_EUR</f>
        <v>602450.637870969</v>
      </c>
      <c r="BE30" s="16" t="n">
        <f aca="false">'P&amp;L monthly'!BE30/FX_EUR</f>
        <v>626646.716662466</v>
      </c>
      <c r="BF30" s="16" t="n">
        <f aca="false">'P&amp;L monthly'!BF30/FX_EUR</f>
        <v>651423.915206641</v>
      </c>
      <c r="BG30" s="16" t="n">
        <f aca="false">'P&amp;L monthly'!BG30/FX_EUR</f>
        <v>675922.006718119</v>
      </c>
      <c r="BH30" s="16" t="n">
        <f aca="false">'P&amp;L monthly'!BH30/FX_EUR</f>
        <v>701216.699438713</v>
      </c>
      <c r="BI30" s="16" t="n">
        <f aca="false">'P&amp;L monthly'!BI30/FX_EUR</f>
        <v>727014.634348136</v>
      </c>
      <c r="BJ30" s="16" t="n">
        <f aca="false">'P&amp;L monthly'!BJ30/FX_EUR</f>
        <v>753430.988117436</v>
      </c>
      <c r="BK30" s="16" t="n">
        <f aca="false">'P&amp;L monthly'!BK30/FX_EUR</f>
        <v>779427.368635922</v>
      </c>
      <c r="BL30" s="16" t="n">
        <f aca="false">'P&amp;L monthly'!BL30/FX_EUR</f>
        <v>805920.519854783</v>
      </c>
    </row>
    <row r="31" customFormat="false" ht="15" hidden="false" customHeight="false" outlineLevel="0" collapsed="false">
      <c r="A31" s="8" t="s">
        <v>94</v>
      </c>
      <c r="B31" s="14" t="s">
        <v>79</v>
      </c>
      <c r="D31" s="55" t="n">
        <f aca="false">'P&amp;L monthly'!D31/FX_EUR</f>
        <v>13632206.4840076</v>
      </c>
      <c r="E31" s="16" t="n">
        <f aca="false">'P&amp;L monthly'!E31/FX_EUR</f>
        <v>0</v>
      </c>
      <c r="F31" s="16" t="n">
        <f aca="false">'P&amp;L monthly'!F31/FX_EUR</f>
        <v>0</v>
      </c>
      <c r="G31" s="16" t="n">
        <f aca="false">'P&amp;L monthly'!G31/FX_EUR</f>
        <v>0</v>
      </c>
      <c r="H31" s="16" t="n">
        <f aca="false">'P&amp;L monthly'!H31/FX_EUR</f>
        <v>0</v>
      </c>
      <c r="I31" s="16" t="n">
        <f aca="false">'P&amp;L monthly'!I31/FX_EUR</f>
        <v>-236.414886951431</v>
      </c>
      <c r="J31" s="16" t="n">
        <f aca="false">'P&amp;L monthly'!J31/FX_EUR</f>
        <v>1871.66909822849</v>
      </c>
      <c r="K31" s="16" t="n">
        <f aca="false">'P&amp;L monthly'!K31/FX_EUR</f>
        <v>3975.31114893329</v>
      </c>
      <c r="L31" s="16" t="n">
        <f aca="false">'P&amp;L monthly'!L31/FX_EUR</f>
        <v>6075.82694687628</v>
      </c>
      <c r="M31" s="16" t="n">
        <f aca="false">'P&amp;L monthly'!M31/FX_EUR</f>
        <v>8174.58907855517</v>
      </c>
      <c r="N31" s="16" t="n">
        <f aca="false">'P&amp;L monthly'!N31/FX_EUR</f>
        <v>10273.0307952617</v>
      </c>
      <c r="O31" s="16" t="n">
        <f aca="false">'P&amp;L monthly'!O31/FX_EUR</f>
        <v>12722.9668551402</v>
      </c>
      <c r="P31" s="16" t="n">
        <f aca="false">'P&amp;L monthly'!P31/FX_EUR</f>
        <v>15276.3564249004</v>
      </c>
      <c r="Q31" s="16" t="n">
        <f aca="false">'P&amp;L monthly'!Q31/FX_EUR</f>
        <v>18197.7032361531</v>
      </c>
      <c r="R31" s="16" t="n">
        <f aca="false">'P&amp;L monthly'!R31/FX_EUR</f>
        <v>22175.3010358313</v>
      </c>
      <c r="S31" s="16" t="n">
        <f aca="false">'P&amp;L monthly'!S31/FX_EUR</f>
        <v>26373.908405709</v>
      </c>
      <c r="T31" s="16" t="n">
        <f aca="false">'P&amp;L monthly'!T31/FX_EUR</f>
        <v>30796.2226800717</v>
      </c>
      <c r="U31" s="16" t="n">
        <f aca="false">'P&amp;L monthly'!U31/FX_EUR</f>
        <v>35445.3821497728</v>
      </c>
      <c r="V31" s="16" t="n">
        <f aca="false">'P&amp;L monthly'!V31/FX_EUR</f>
        <v>40524.2696136565</v>
      </c>
      <c r="W31" s="16" t="n">
        <f aca="false">'P&amp;L monthly'!W31/FX_EUR</f>
        <v>46337.424949472</v>
      </c>
      <c r="X31" s="16" t="n">
        <f aca="false">'P&amp;L monthly'!X31/FX_EUR</f>
        <v>54390.9562666704</v>
      </c>
      <c r="Y31" s="16" t="n">
        <f aca="false">'P&amp;L monthly'!Y31/FX_EUR</f>
        <v>63025.6945697279</v>
      </c>
      <c r="Z31" s="16" t="n">
        <f aca="false">'P&amp;L monthly'!Z31/FX_EUR</f>
        <v>72562.8457525454</v>
      </c>
      <c r="AA31" s="16" t="n">
        <f aca="false">'P&amp;L monthly'!AA31/FX_EUR</f>
        <v>81223.1547216143</v>
      </c>
      <c r="AB31" s="16" t="n">
        <f aca="false">'P&amp;L monthly'!AB31/FX_EUR</f>
        <v>90156.957020006</v>
      </c>
      <c r="AC31" s="16" t="n">
        <f aca="false">'P&amp;L monthly'!AC31/FX_EUR</f>
        <v>102001.720082902</v>
      </c>
      <c r="AD31" s="16" t="n">
        <f aca="false">'P&amp;L monthly'!AD31/FX_EUR</f>
        <v>113366.67678117</v>
      </c>
      <c r="AE31" s="16" t="n">
        <f aca="false">'P&amp;L monthly'!AE31/FX_EUR</f>
        <v>125248.976883969</v>
      </c>
      <c r="AF31" s="16" t="n">
        <f aca="false">'P&amp;L monthly'!AF31/FX_EUR</f>
        <v>137929.283742142</v>
      </c>
      <c r="AG31" s="16" t="n">
        <f aca="false">'P&amp;L monthly'!AG31/FX_EUR</f>
        <v>134091.857011283</v>
      </c>
      <c r="AH31" s="16" t="n">
        <f aca="false">'P&amp;L monthly'!AH31/FX_EUR</f>
        <v>159314.030887563</v>
      </c>
      <c r="AI31" s="16" t="n">
        <f aca="false">'P&amp;L monthly'!AI31/FX_EUR</f>
        <v>171273.922463127</v>
      </c>
      <c r="AJ31" s="16" t="n">
        <f aca="false">'P&amp;L monthly'!AJ31/FX_EUR</f>
        <v>183834.826932313</v>
      </c>
      <c r="AK31" s="16" t="n">
        <f aca="false">'P&amp;L monthly'!AK31/FX_EUR</f>
        <v>196411.862662617</v>
      </c>
      <c r="AL31" s="16" t="n">
        <f aca="false">'P&amp;L monthly'!AL31/FX_EUR</f>
        <v>209003.107266323</v>
      </c>
      <c r="AM31" s="16" t="n">
        <f aca="false">'P&amp;L monthly'!AM31/FX_EUR</f>
        <v>221854.862381357</v>
      </c>
      <c r="AN31" s="16" t="n">
        <f aca="false">'P&amp;L monthly'!AN31/FX_EUR</f>
        <v>235328.811839644</v>
      </c>
      <c r="AO31" s="16" t="n">
        <f aca="false">'P&amp;L monthly'!AO31/FX_EUR</f>
        <v>249253.897652354</v>
      </c>
      <c r="AP31" s="16" t="n">
        <f aca="false">'P&amp;L monthly'!AP31/FX_EUR</f>
        <v>264914.332399829</v>
      </c>
      <c r="AQ31" s="16" t="n">
        <f aca="false">'P&amp;L monthly'!AQ31/FX_EUR</f>
        <v>280940.166145739</v>
      </c>
      <c r="AR31" s="16" t="n">
        <f aca="false">'P&amp;L monthly'!AR31/FX_EUR</f>
        <v>296850.061764535</v>
      </c>
      <c r="AS31" s="16" t="n">
        <f aca="false">'P&amp;L monthly'!AS31/FX_EUR</f>
        <v>313038.230936268</v>
      </c>
      <c r="AT31" s="16" t="n">
        <f aca="false">'P&amp;L monthly'!AT31/FX_EUR</f>
        <v>329810.833194717</v>
      </c>
      <c r="AU31" s="16" t="n">
        <f aca="false">'P&amp;L monthly'!AU31/FX_EUR</f>
        <v>346711.145667834</v>
      </c>
      <c r="AV31" s="16" t="n">
        <f aca="false">'P&amp;L monthly'!AV31/FX_EUR</f>
        <v>364001.123548781</v>
      </c>
      <c r="AW31" s="16" t="n">
        <f aca="false">'P&amp;L monthly'!AW31/FX_EUR</f>
        <v>382361.101589357</v>
      </c>
      <c r="AX31" s="16" t="n">
        <f aca="false">'P&amp;L monthly'!AX31/FX_EUR</f>
        <v>400866.652531286</v>
      </c>
      <c r="AY31" s="16" t="n">
        <f aca="false">'P&amp;L monthly'!AY31/FX_EUR</f>
        <v>419730.257967523</v>
      </c>
      <c r="AZ31" s="16" t="n">
        <f aca="false">'P&amp;L monthly'!AZ31/FX_EUR</f>
        <v>438489.295264382</v>
      </c>
      <c r="BA31" s="16" t="n">
        <f aca="false">'P&amp;L monthly'!BA31/FX_EUR</f>
        <v>457559.187449182</v>
      </c>
      <c r="BB31" s="16" t="n">
        <f aca="false">'P&amp;L monthly'!BB31/FX_EUR</f>
        <v>478444.743915914</v>
      </c>
      <c r="BC31" s="16" t="n">
        <f aca="false">'P&amp;L monthly'!BC31/FX_EUR</f>
        <v>499344.729675822</v>
      </c>
      <c r="BD31" s="16" t="n">
        <f aca="false">'P&amp;L monthly'!BD31/FX_EUR</f>
        <v>520612.920494418</v>
      </c>
      <c r="BE31" s="16" t="n">
        <f aca="false">'P&amp;L monthly'!BE31/FX_EUR</f>
        <v>541858.96331506</v>
      </c>
      <c r="BF31" s="16" t="n">
        <f aca="false">'P&amp;L monthly'!BF31/FX_EUR</f>
        <v>563561.916477464</v>
      </c>
      <c r="BG31" s="16" t="n">
        <f aca="false">'P&amp;L monthly'!BG31/FX_EUR</f>
        <v>585652.900349959</v>
      </c>
      <c r="BH31" s="16" t="n">
        <f aca="false">'P&amp;L monthly'!BH31/FX_EUR</f>
        <v>607793.644558153</v>
      </c>
      <c r="BI31" s="16" t="n">
        <f aca="false">'P&amp;L monthly'!BI31/FX_EUR</f>
        <v>630409.779154404</v>
      </c>
      <c r="BJ31" s="16" t="n">
        <f aca="false">'P&amp;L monthly'!BJ31/FX_EUR</f>
        <v>653511.874590214</v>
      </c>
      <c r="BK31" s="16" t="n">
        <f aca="false">'P&amp;L monthly'!BK31/FX_EUR</f>
        <v>677016.390080543</v>
      </c>
      <c r="BL31" s="16" t="n">
        <f aca="false">'P&amp;L monthly'!BL31/FX_EUR</f>
        <v>700469.240487299</v>
      </c>
    </row>
    <row r="33" customFormat="false" ht="15" hidden="false" customHeight="false" outlineLevel="0" collapsed="false">
      <c r="A33" s="10" t="s">
        <v>1111</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79</v>
      </c>
      <c r="D34" s="55" t="n">
        <f aca="false">'P&amp;L monthly'!D35/FX_EUR</f>
        <v>3102157.23024718</v>
      </c>
      <c r="E34" s="32" t="n">
        <f aca="false">'P&amp;L monthly'!E35/FX_EUR</f>
        <v>15061.9629030561</v>
      </c>
      <c r="F34" s="32" t="n">
        <f aca="false">'P&amp;L monthly'!F35/FX_EUR</f>
        <v>15061.9629030561</v>
      </c>
      <c r="G34" s="32" t="n">
        <f aca="false">'P&amp;L monthly'!G35/FX_EUR</f>
        <v>15061.9629030561</v>
      </c>
      <c r="H34" s="32" t="n">
        <f aca="false">'P&amp;L monthly'!H35/FX_EUR</f>
        <v>19422.0047960461</v>
      </c>
      <c r="I34" s="32" t="n">
        <f aca="false">'P&amp;L monthly'!I35/FX_EUR</f>
        <v>20214.7396856806</v>
      </c>
      <c r="J34" s="32" t="n">
        <f aca="false">'P&amp;L monthly'!J35/FX_EUR</f>
        <v>20214.7396856806</v>
      </c>
      <c r="K34" s="32" t="n">
        <f aca="false">'P&amp;L monthly'!K35/FX_EUR</f>
        <v>20214.7396856806</v>
      </c>
      <c r="L34" s="32" t="n">
        <f aca="false">'P&amp;L monthly'!L35/FX_EUR</f>
        <v>20214.7396856806</v>
      </c>
      <c r="M34" s="32" t="n">
        <f aca="false">'P&amp;L monthly'!M35/FX_EUR</f>
        <v>20214.7396856806</v>
      </c>
      <c r="N34" s="32" t="n">
        <f aca="false">'P&amp;L monthly'!N35/FX_EUR</f>
        <v>20214.7396856806</v>
      </c>
      <c r="O34" s="32" t="n">
        <f aca="false">'P&amp;L monthly'!O35/FX_EUR</f>
        <v>20214.7396856806</v>
      </c>
      <c r="P34" s="32" t="n">
        <f aca="false">'P&amp;L monthly'!P35/FX_EUR</f>
        <v>20214.7396856806</v>
      </c>
      <c r="Q34" s="32" t="n">
        <f aca="false">'P&amp;L monthly'!Q35/FX_EUR</f>
        <v>26427.7993831913</v>
      </c>
      <c r="R34" s="32" t="n">
        <f aca="false">'P&amp;L monthly'!R35/FX_EUR</f>
        <v>26427.7993831913</v>
      </c>
      <c r="S34" s="32" t="n">
        <f aca="false">'P&amp;L monthly'!S35/FX_EUR</f>
        <v>26427.7993831913</v>
      </c>
      <c r="T34" s="32" t="n">
        <f aca="false">'P&amp;L monthly'!T35/FX_EUR</f>
        <v>27676.3568343657</v>
      </c>
      <c r="U34" s="32" t="n">
        <f aca="false">'P&amp;L monthly'!U35/FX_EUR</f>
        <v>27676.3568343657</v>
      </c>
      <c r="V34" s="32" t="n">
        <f aca="false">'P&amp;L monthly'!V35/FX_EUR</f>
        <v>35375.7944499411</v>
      </c>
      <c r="W34" s="32" t="n">
        <f aca="false">'P&amp;L monthly'!W35/FX_EUR</f>
        <v>35375.7944499411</v>
      </c>
      <c r="X34" s="32" t="n">
        <f aca="false">'P&amp;L monthly'!X35/FX_EUR</f>
        <v>36208.1660840573</v>
      </c>
      <c r="Y34" s="32" t="n">
        <f aca="false">'P&amp;L monthly'!Y35/FX_EUR</f>
        <v>36728.39835538</v>
      </c>
      <c r="Z34" s="32" t="n">
        <f aca="false">'P&amp;L monthly'!Z35/FX_EUR</f>
        <v>36728.39835538</v>
      </c>
      <c r="AA34" s="32" t="n">
        <f aca="false">'P&amp;L monthly'!AA35/FX_EUR</f>
        <v>36728.39835538</v>
      </c>
      <c r="AB34" s="32" t="n">
        <f aca="false">'P&amp;L monthly'!AB35/FX_EUR</f>
        <v>39849.791983316</v>
      </c>
      <c r="AC34" s="32" t="n">
        <f aca="false">'P&amp;L monthly'!AC35/FX_EUR</f>
        <v>42388.5254673706</v>
      </c>
      <c r="AD34" s="32" t="n">
        <f aca="false">'P&amp;L monthly'!AD35/FX_EUR</f>
        <v>43262.5156831927</v>
      </c>
      <c r="AE34" s="32" t="n">
        <f aca="false">'P&amp;L monthly'!AE35/FX_EUR</f>
        <v>43262.5156831927</v>
      </c>
      <c r="AF34" s="32" t="n">
        <f aca="false">'P&amp;L monthly'!AF35/FX_EUR</f>
        <v>46430.7302155477</v>
      </c>
      <c r="AG34" s="32" t="n">
        <f aca="false">'P&amp;L monthly'!AG35/FX_EUR</f>
        <v>48834.2033090584</v>
      </c>
      <c r="AH34" s="32" t="n">
        <f aca="false">'P&amp;L monthly'!AH35/FX_EUR</f>
        <v>49708.1935248804</v>
      </c>
      <c r="AI34" s="32" t="n">
        <f aca="false">'P&amp;L monthly'!AI35/FX_EUR</f>
        <v>50254.4374097692</v>
      </c>
      <c r="AJ34" s="32" t="n">
        <f aca="false">'P&amp;L monthly'!AJ35/FX_EUR</f>
        <v>50254.4374097692</v>
      </c>
      <c r="AK34" s="32" t="n">
        <f aca="false">'P&amp;L monthly'!AK35/FX_EUR</f>
        <v>50800.681294658</v>
      </c>
      <c r="AL34" s="32" t="n">
        <f aca="false">'P&amp;L monthly'!AL35/FX_EUR</f>
        <v>52985.6568342132</v>
      </c>
      <c r="AM34" s="32" t="n">
        <f aca="false">'P&amp;L monthly'!AM35/FX_EUR</f>
        <v>53531.900719102</v>
      </c>
      <c r="AN34" s="32" t="n">
        <f aca="false">'P&amp;L monthly'!AN35/FX_EUR</f>
        <v>54515.1397119019</v>
      </c>
      <c r="AO34" s="32" t="n">
        <f aca="false">'P&amp;L monthly'!AO35/FX_EUR</f>
        <v>58732.1425032434</v>
      </c>
      <c r="AP34" s="32" t="n">
        <f aca="false">'P&amp;L monthly'!AP35/FX_EUR</f>
        <v>58732.1425032434</v>
      </c>
      <c r="AQ34" s="32" t="n">
        <f aca="false">'P&amp;L monthly'!AQ35/FX_EUR</f>
        <v>60682.2331722964</v>
      </c>
      <c r="AR34" s="32" t="n">
        <f aca="false">'P&amp;L monthly'!AR35/FX_EUR</f>
        <v>64926.5481578823</v>
      </c>
      <c r="AS34" s="32" t="n">
        <f aca="false">'P&amp;L monthly'!AS35/FX_EUR</f>
        <v>64926.5481578823</v>
      </c>
      <c r="AT34" s="32" t="n">
        <f aca="false">'P&amp;L monthly'!AT35/FX_EUR</f>
        <v>65500.1042370156</v>
      </c>
      <c r="AU34" s="32" t="n">
        <f aca="false">'P&amp;L monthly'!AU35/FX_EUR</f>
        <v>68023.7509852018</v>
      </c>
      <c r="AV34" s="32" t="n">
        <f aca="false">'P&amp;L monthly'!AV35/FX_EUR</f>
        <v>68023.7509852018</v>
      </c>
      <c r="AW34" s="32" t="n">
        <f aca="false">'P&amp;L monthly'!AW35/FX_EUR</f>
        <v>70891.531380868</v>
      </c>
      <c r="AX34" s="32" t="n">
        <f aca="false">'P&amp;L monthly'!AX35/FX_EUR</f>
        <v>71465.0874600012</v>
      </c>
      <c r="AY34" s="32" t="n">
        <f aca="false">'P&amp;L monthly'!AY35/FX_EUR</f>
        <v>72038.6435391344</v>
      </c>
      <c r="AZ34" s="32" t="n">
        <f aca="false">'P&amp;L monthly'!AZ35/FX_EUR</f>
        <v>73988.7342081874</v>
      </c>
      <c r="BA34" s="32" t="n">
        <f aca="false">'P&amp;L monthly'!BA35/FX_EUR</f>
        <v>81181.1274405182</v>
      </c>
      <c r="BB34" s="32" t="n">
        <f aca="false">'P&amp;L monthly'!BB35/FX_EUR</f>
        <v>84192.2968559677</v>
      </c>
      <c r="BC34" s="32" t="n">
        <f aca="false">'P&amp;L monthly'!BC35/FX_EUR</f>
        <v>84794.5307390576</v>
      </c>
      <c r="BD34" s="32" t="n">
        <f aca="false">'P&amp;L monthly'!BD35/FX_EUR</f>
        <v>86480.7856117093</v>
      </c>
      <c r="BE34" s="32" t="n">
        <f aca="false">'P&amp;L monthly'!BE35/FX_EUR</f>
        <v>87444.3598246532</v>
      </c>
      <c r="BF34" s="32" t="n">
        <f aca="false">'P&amp;L monthly'!BF35/FX_EUR</f>
        <v>89491.9550271588</v>
      </c>
      <c r="BG34" s="32" t="n">
        <f aca="false">'P&amp;L monthly'!BG35/FX_EUR</f>
        <v>91057.7631231926</v>
      </c>
      <c r="BH34" s="32" t="n">
        <f aca="false">'P&amp;L monthly'!BH35/FX_EUR</f>
        <v>95634.7406346758</v>
      </c>
      <c r="BI34" s="32" t="n">
        <f aca="false">'P&amp;L monthly'!BI35/FX_EUR</f>
        <v>97200.5487307095</v>
      </c>
      <c r="BJ34" s="32" t="n">
        <f aca="false">'P&amp;L monthly'!BJ35/FX_EUR</f>
        <v>99248.1439332152</v>
      </c>
      <c r="BK34" s="32" t="n">
        <f aca="false">'P&amp;L monthly'!BK35/FX_EUR</f>
        <v>100813.952029249</v>
      </c>
      <c r="BL34" s="32" t="n">
        <f aca="false">'P&amp;L monthly'!BL35/FX_EUR</f>
        <v>102500.206901901</v>
      </c>
    </row>
    <row r="35" customFormat="false" ht="15" hidden="false" customHeight="false" outlineLevel="0" collapsed="false">
      <c r="A35" s="12" t="s">
        <v>1069</v>
      </c>
      <c r="B35" s="14" t="s">
        <v>79</v>
      </c>
      <c r="D35" s="55" t="n">
        <f aca="false">'P&amp;L monthly'!D36/FX_EUR</f>
        <v>628708.159681199</v>
      </c>
      <c r="E35" s="32" t="n">
        <f aca="false">'P&amp;L monthly'!E36/FX_EUR</f>
        <v>7843.33805417123</v>
      </c>
      <c r="F35" s="32" t="n">
        <f aca="false">'P&amp;L monthly'!F36/FX_EUR</f>
        <v>1538.11225430935</v>
      </c>
      <c r="G35" s="32" t="n">
        <f aca="false">'P&amp;L monthly'!G36/FX_EUR</f>
        <v>1538.11225430935</v>
      </c>
      <c r="H35" s="32" t="n">
        <f aca="false">'P&amp;L monthly'!H36/FX_EUR</f>
        <v>5576.22450861871</v>
      </c>
      <c r="I35" s="32" t="n">
        <f aca="false">'P&amp;L monthly'!I36/FX_EUR</f>
        <v>3883.84695948058</v>
      </c>
      <c r="J35" s="32" t="n">
        <f aca="false">'P&amp;L monthly'!J36/FX_EUR</f>
        <v>3383.84695948058</v>
      </c>
      <c r="K35" s="32" t="n">
        <f aca="false">'P&amp;L monthly'!K36/FX_EUR</f>
        <v>3383.84695948058</v>
      </c>
      <c r="L35" s="32" t="n">
        <f aca="false">'P&amp;L monthly'!L36/FX_EUR</f>
        <v>3383.84695948058</v>
      </c>
      <c r="M35" s="32" t="n">
        <f aca="false">'P&amp;L monthly'!M36/FX_EUR</f>
        <v>3383.84695948058</v>
      </c>
      <c r="N35" s="32" t="n">
        <f aca="false">'P&amp;L monthly'!N36/FX_EUR</f>
        <v>3383.84695948058</v>
      </c>
      <c r="O35" s="32" t="n">
        <f aca="false">'P&amp;L monthly'!O36/FX_EUR</f>
        <v>3383.84695948058</v>
      </c>
      <c r="P35" s="32" t="n">
        <f aca="false">'P&amp;L monthly'!P36/FX_EUR</f>
        <v>3383.84695948058</v>
      </c>
      <c r="Q35" s="32" t="n">
        <f aca="false">'P&amp;L monthly'!Q36/FX_EUR</f>
        <v>4191.46941034245</v>
      </c>
      <c r="R35" s="32" t="n">
        <f aca="false">'P&amp;L monthly'!R36/FX_EUR</f>
        <v>3691.46941034245</v>
      </c>
      <c r="S35" s="32" t="n">
        <f aca="false">'P&amp;L monthly'!S36/FX_EUR</f>
        <v>3691.46941034245</v>
      </c>
      <c r="T35" s="32" t="n">
        <f aca="false">'P&amp;L monthly'!T36/FX_EUR</f>
        <v>4499.09186120432</v>
      </c>
      <c r="U35" s="32" t="n">
        <f aca="false">'P&amp;L monthly'!U36/FX_EUR</f>
        <v>3999.09186120432</v>
      </c>
      <c r="V35" s="32" t="n">
        <f aca="false">'P&amp;L monthly'!V36/FX_EUR</f>
        <v>6421.95921378993</v>
      </c>
      <c r="W35" s="32" t="n">
        <f aca="false">'P&amp;L monthly'!W36/FX_EUR</f>
        <v>4921.95921378993</v>
      </c>
      <c r="X35" s="32" t="n">
        <f aca="false">'P&amp;L monthly'!X36/FX_EUR</f>
        <v>5729.5816646518</v>
      </c>
      <c r="Y35" s="32" t="n">
        <f aca="false">'P&amp;L monthly'!Y36/FX_EUR</f>
        <v>6037.20411551367</v>
      </c>
      <c r="Z35" s="32" t="n">
        <f aca="false">'P&amp;L monthly'!Z36/FX_EUR</f>
        <v>5537.20411551367</v>
      </c>
      <c r="AA35" s="32" t="n">
        <f aca="false">'P&amp;L monthly'!AA36/FX_EUR</f>
        <v>5537.20411551367</v>
      </c>
      <c r="AB35" s="32" t="n">
        <f aca="false">'P&amp;L monthly'!AB36/FX_EUR</f>
        <v>6344.82656637554</v>
      </c>
      <c r="AC35" s="32" t="n">
        <f aca="false">'P&amp;L monthly'!AC36/FX_EUR</f>
        <v>6652.44901723741</v>
      </c>
      <c r="AD35" s="32" t="n">
        <f aca="false">'P&amp;L monthly'!AD36/FX_EUR</f>
        <v>6960.07146809928</v>
      </c>
      <c r="AE35" s="32" t="n">
        <f aca="false">'P&amp;L monthly'!AE36/FX_EUR</f>
        <v>6460.07146809928</v>
      </c>
      <c r="AF35" s="32" t="n">
        <f aca="false">'P&amp;L monthly'!AF36/FX_EUR</f>
        <v>9343.72496977698</v>
      </c>
      <c r="AG35" s="32" t="n">
        <f aca="false">'P&amp;L monthly'!AG36/FX_EUR</f>
        <v>9498.18372240863</v>
      </c>
      <c r="AH35" s="32" t="n">
        <f aca="false">'P&amp;L monthly'!AH36/FX_EUR</f>
        <v>8805.80617327051</v>
      </c>
      <c r="AI35" s="32" t="n">
        <f aca="false">'P&amp;L monthly'!AI36/FX_EUR</f>
        <v>9113.42862413237</v>
      </c>
      <c r="AJ35" s="32" t="n">
        <f aca="false">'P&amp;L monthly'!AJ36/FX_EUR</f>
        <v>8613.42862413237</v>
      </c>
      <c r="AK35" s="32" t="n">
        <f aca="false">'P&amp;L monthly'!AK36/FX_EUR</f>
        <v>9421.05107499424</v>
      </c>
      <c r="AL35" s="32" t="n">
        <f aca="false">'P&amp;L monthly'!AL36/FX_EUR</f>
        <v>10536.295976718</v>
      </c>
      <c r="AM35" s="32" t="n">
        <f aca="false">'P&amp;L monthly'!AM36/FX_EUR</f>
        <v>10343.9184275799</v>
      </c>
      <c r="AN35" s="32" t="n">
        <f aca="false">'P&amp;L monthly'!AN36/FX_EUR</f>
        <v>10651.5408784417</v>
      </c>
      <c r="AO35" s="32" t="n">
        <f aca="false">'P&amp;L monthly'!AO36/FX_EUR</f>
        <v>11766.7857801655</v>
      </c>
      <c r="AP35" s="32" t="n">
        <f aca="false">'P&amp;L monthly'!AP36/FX_EUR</f>
        <v>10766.7857801655</v>
      </c>
      <c r="AQ35" s="32" t="n">
        <f aca="false">'P&amp;L monthly'!AQ36/FX_EUR</f>
        <v>12382.0306818892</v>
      </c>
      <c r="AR35" s="32" t="n">
        <f aca="false">'P&amp;L monthly'!AR36/FX_EUR</f>
        <v>15073.3066344288</v>
      </c>
      <c r="AS35" s="32" t="n">
        <f aca="false">'P&amp;L monthly'!AS36/FX_EUR</f>
        <v>12304.8980344748</v>
      </c>
      <c r="AT35" s="32" t="n">
        <f aca="false">'P&amp;L monthly'!AT36/FX_EUR</f>
        <v>13112.5204853367</v>
      </c>
      <c r="AU35" s="32" t="n">
        <f aca="false">'P&amp;L monthly'!AU36/FX_EUR</f>
        <v>15035.3878379223</v>
      </c>
      <c r="AV35" s="32" t="n">
        <f aca="false">'P&amp;L monthly'!AV36/FX_EUR</f>
        <v>13535.3878379223</v>
      </c>
      <c r="AW35" s="32" t="n">
        <f aca="false">'P&amp;L monthly'!AW36/FX_EUR</f>
        <v>15958.2551905079</v>
      </c>
      <c r="AX35" s="32" t="n">
        <f aca="false">'P&amp;L monthly'!AX36/FX_EUR</f>
        <v>15265.8776413698</v>
      </c>
      <c r="AY35" s="32" t="n">
        <f aca="false">'P&amp;L monthly'!AY36/FX_EUR</f>
        <v>15573.5000922317</v>
      </c>
      <c r="AZ35" s="32" t="n">
        <f aca="false">'P&amp;L monthly'!AZ36/FX_EUR</f>
        <v>16688.7449939554</v>
      </c>
      <c r="BA35" s="32" t="n">
        <f aca="false">'P&amp;L monthly'!BA36/FX_EUR</f>
        <v>18572.3984956331</v>
      </c>
      <c r="BB35" s="32" t="n">
        <f aca="false">'P&amp;L monthly'!BB36/FX_EUR</f>
        <v>18726.8572482647</v>
      </c>
      <c r="BC35" s="32" t="n">
        <f aca="false">'P&amp;L monthly'!BC36/FX_EUR</f>
        <v>18034.4796991266</v>
      </c>
      <c r="BD35" s="32" t="n">
        <f aca="false">'P&amp;L monthly'!BD36/FX_EUR</f>
        <v>19149.7246008504</v>
      </c>
      <c r="BE35" s="32" t="n">
        <f aca="false">'P&amp;L monthly'!BE36/FX_EUR</f>
        <v>18957.3470517122</v>
      </c>
      <c r="BF35" s="32" t="n">
        <f aca="false">'P&amp;L monthly'!BF36/FX_EUR</f>
        <v>20072.591953436</v>
      </c>
      <c r="BG35" s="32" t="n">
        <f aca="false">'P&amp;L monthly'!BG36/FX_EUR</f>
        <v>20687.8368551597</v>
      </c>
      <c r="BH35" s="32" t="n">
        <f aca="false">'P&amp;L monthly'!BH36/FX_EUR</f>
        <v>23379.1128076993</v>
      </c>
      <c r="BI35" s="32" t="n">
        <f aca="false">'P&amp;L monthly'!BI36/FX_EUR</f>
        <v>22225.9491094691</v>
      </c>
      <c r="BJ35" s="32" t="n">
        <f aca="false">'P&amp;L monthly'!BJ36/FX_EUR</f>
        <v>22841.1940111928</v>
      </c>
      <c r="BK35" s="32" t="n">
        <f aca="false">'P&amp;L monthly'!BK36/FX_EUR</f>
        <v>23456.4389129166</v>
      </c>
      <c r="BL35" s="32" t="n">
        <f aca="false">'P&amp;L monthly'!BL36/FX_EUR</f>
        <v>24071.6838146403</v>
      </c>
    </row>
    <row r="36" customFormat="false" ht="15" hidden="false" customHeight="false" outlineLevel="0" collapsed="false">
      <c r="A36" s="12" t="s">
        <v>670</v>
      </c>
      <c r="B36" s="14" t="s">
        <v>79</v>
      </c>
      <c r="D36" s="55" t="n">
        <f aca="false">'P&amp;L monthly'!D37/FX_EUR</f>
        <v>1090193.89697351</v>
      </c>
      <c r="E36" s="32" t="n">
        <f aca="false">'P&amp;L monthly'!E37/FX_EUR</f>
        <v>7713.79196095679</v>
      </c>
      <c r="F36" s="32" t="n">
        <f aca="false">'P&amp;L monthly'!F37/FX_EUR</f>
        <v>10366.4048608877</v>
      </c>
      <c r="G36" s="32" t="n">
        <f aca="false">'P&amp;L monthly'!G37/FX_EUR</f>
        <v>54576.6198597368</v>
      </c>
      <c r="H36" s="32" t="n">
        <f aca="false">'P&amp;L monthly'!H37/FX_EUR</f>
        <v>19420.656892652</v>
      </c>
      <c r="I36" s="32" t="n">
        <f aca="false">'P&amp;L monthly'!I37/FX_EUR</f>
        <v>14543.5689127997</v>
      </c>
      <c r="J36" s="32" t="n">
        <f aca="false">'P&amp;L monthly'!J37/FX_EUR</f>
        <v>14205.2795127323</v>
      </c>
      <c r="K36" s="32" t="n">
        <f aca="false">'P&amp;L monthly'!K37/FX_EUR</f>
        <v>13867.8331401042</v>
      </c>
      <c r="L36" s="32" t="n">
        <f aca="false">'P&amp;L monthly'!L37/FX_EUR</f>
        <v>13531.0018091471</v>
      </c>
      <c r="M36" s="32" t="n">
        <f aca="false">'P&amp;L monthly'!M37/FX_EUR</f>
        <v>13194.5480288361</v>
      </c>
      <c r="N36" s="32" t="n">
        <f aca="false">'P&amp;L monthly'!N37/FX_EUR</f>
        <v>12858.2241635233</v>
      </c>
      <c r="O36" s="32" t="n">
        <f aca="false">'P&amp;L monthly'!O37/FX_EUR</f>
        <v>12521.7717564324</v>
      </c>
      <c r="P36" s="32" t="n">
        <f aca="false">'P&amp;L monthly'!P37/FX_EUR</f>
        <v>12184.9208137648</v>
      </c>
      <c r="Q36" s="32" t="n">
        <f aca="false">'P&amp;L monthly'!Q37/FX_EUR</f>
        <v>14563.7866157725</v>
      </c>
      <c r="R36" s="32" t="n">
        <f aca="false">'P&amp;L monthly'!R37/FX_EUR</f>
        <v>14106.9914655013</v>
      </c>
      <c r="S36" s="32" t="n">
        <f aca="false">'P&amp;L monthly'!S37/FX_EUR</f>
        <v>13650.4260113644</v>
      </c>
      <c r="T36" s="32" t="n">
        <f aca="false">'P&amp;L monthly'!T37/FX_EUR</f>
        <v>22156.0800987463</v>
      </c>
      <c r="U36" s="32" t="n">
        <f aca="false">'P&amp;L monthly'!U37/FX_EUR</f>
        <v>13314.0370989765</v>
      </c>
      <c r="V36" s="32" t="n">
        <f aca="false">'P&amp;L monthly'!V37/FX_EUR</f>
        <v>13361.7841311753</v>
      </c>
      <c r="W36" s="32" t="n">
        <f aca="false">'P&amp;L monthly'!W37/FX_EUR</f>
        <v>13361.7841311753</v>
      </c>
      <c r="X36" s="32" t="n">
        <f aca="false">'P&amp;L monthly'!X37/FX_EUR</f>
        <v>13377.6998085749</v>
      </c>
      <c r="Y36" s="32" t="n">
        <f aca="false">'P&amp;L monthly'!Y37/FX_EUR</f>
        <v>13393.6154859744</v>
      </c>
      <c r="Z36" s="32" t="n">
        <f aca="false">'P&amp;L monthly'!Z37/FX_EUR</f>
        <v>13393.6154859744</v>
      </c>
      <c r="AA36" s="32" t="n">
        <f aca="false">'P&amp;L monthly'!AA37/FX_EUR</f>
        <v>13393.6154859744</v>
      </c>
      <c r="AB36" s="32" t="n">
        <f aca="false">'P&amp;L monthly'!AB37/FX_EUR</f>
        <v>13409.531163374</v>
      </c>
      <c r="AC36" s="32" t="n">
        <f aca="false">'P&amp;L monthly'!AC37/FX_EUR</f>
        <v>16319.4373513304</v>
      </c>
      <c r="AD36" s="32" t="n">
        <f aca="false">'P&amp;L monthly'!AD37/FX_EUR</f>
        <v>16335.35302873</v>
      </c>
      <c r="AE36" s="32" t="n">
        <f aca="false">'P&amp;L monthly'!AE37/FX_EUR</f>
        <v>16335.35302873</v>
      </c>
      <c r="AF36" s="32" t="n">
        <f aca="false">'P&amp;L monthly'!AF37/FX_EUR</f>
        <v>25231.3324907984</v>
      </c>
      <c r="AG36" s="32" t="n">
        <f aca="false">'P&amp;L monthly'!AG37/FX_EUR</f>
        <v>16437.0365232274</v>
      </c>
      <c r="AH36" s="32" t="n">
        <f aca="false">'P&amp;L monthly'!AH37/FX_EUR</f>
        <v>16452.952200627</v>
      </c>
      <c r="AI36" s="32" t="n">
        <f aca="false">'P&amp;L monthly'!AI37/FX_EUR</f>
        <v>16468.8678780266</v>
      </c>
      <c r="AJ36" s="32" t="n">
        <f aca="false">'P&amp;L monthly'!AJ37/FX_EUR</f>
        <v>16468.8678780266</v>
      </c>
      <c r="AK36" s="32" t="n">
        <f aca="false">'P&amp;L monthly'!AK37/FX_EUR</f>
        <v>16484.7835554261</v>
      </c>
      <c r="AL36" s="32" t="n">
        <f aca="false">'P&amp;L monthly'!AL37/FX_EUR</f>
        <v>16516.6149102253</v>
      </c>
      <c r="AM36" s="32" t="n">
        <f aca="false">'P&amp;L monthly'!AM37/FX_EUR</f>
        <v>16532.5305876249</v>
      </c>
      <c r="AN36" s="32" t="n">
        <f aca="false">'P&amp;L monthly'!AN37/FX_EUR</f>
        <v>16548.4462650245</v>
      </c>
      <c r="AO36" s="32" t="n">
        <f aca="false">'P&amp;L monthly'!AO37/FX_EUR</f>
        <v>19085.5231364251</v>
      </c>
      <c r="AP36" s="32" t="n">
        <f aca="false">'P&amp;L monthly'!AP37/FX_EUR</f>
        <v>19085.5231364251</v>
      </c>
      <c r="AQ36" s="32" t="n">
        <f aca="false">'P&amp;L monthly'!AQ37/FX_EUR</f>
        <v>19117.3544912243</v>
      </c>
      <c r="AR36" s="32" t="n">
        <f aca="false">'P&amp;L monthly'!AR37/FX_EUR</f>
        <v>28029.2496306923</v>
      </c>
      <c r="AS36" s="32" t="n">
        <f aca="false">'P&amp;L monthly'!AS37/FX_EUR</f>
        <v>19187.2066309225</v>
      </c>
      <c r="AT36" s="32" t="n">
        <f aca="false">'P&amp;L monthly'!AT37/FX_EUR</f>
        <v>19203.122308322</v>
      </c>
      <c r="AU36" s="32" t="n">
        <f aca="false">'P&amp;L monthly'!AU37/FX_EUR</f>
        <v>19250.8693405208</v>
      </c>
      <c r="AV36" s="32" t="n">
        <f aca="false">'P&amp;L monthly'!AV37/FX_EUR</f>
        <v>19250.8693405208</v>
      </c>
      <c r="AW36" s="32" t="n">
        <f aca="false">'P&amp;L monthly'!AW37/FX_EUR</f>
        <v>19298.6163727196</v>
      </c>
      <c r="AX36" s="32" t="n">
        <f aca="false">'P&amp;L monthly'!AX37/FX_EUR</f>
        <v>19314.5320501191</v>
      </c>
      <c r="AY36" s="32" t="n">
        <f aca="false">'P&amp;L monthly'!AY37/FX_EUR</f>
        <v>19330.4477275187</v>
      </c>
      <c r="AZ36" s="32" t="n">
        <f aca="false">'P&amp;L monthly'!AZ37/FX_EUR</f>
        <v>19362.2790823179</v>
      </c>
      <c r="BA36" s="32" t="n">
        <f aca="false">'P&amp;L monthly'!BA37/FX_EUR</f>
        <v>21921.4610612179</v>
      </c>
      <c r="BB36" s="32" t="n">
        <f aca="false">'P&amp;L monthly'!BB37/FX_EUR</f>
        <v>21969.2080934167</v>
      </c>
      <c r="BC36" s="32" t="n">
        <f aca="false">'P&amp;L monthly'!BC37/FX_EUR</f>
        <v>21985.1237708163</v>
      </c>
      <c r="BD36" s="32" t="n">
        <f aca="false">'P&amp;L monthly'!BD37/FX_EUR</f>
        <v>30858.9981253853</v>
      </c>
      <c r="BE36" s="32" t="n">
        <f aca="false">'P&amp;L monthly'!BE37/FX_EUR</f>
        <v>22032.870803015</v>
      </c>
      <c r="BF36" s="32" t="n">
        <f aca="false">'P&amp;L monthly'!BF37/FX_EUR</f>
        <v>22064.7021578142</v>
      </c>
      <c r="BG36" s="32" t="n">
        <f aca="false">'P&amp;L monthly'!BG37/FX_EUR</f>
        <v>22096.5335126134</v>
      </c>
      <c r="BH36" s="32" t="n">
        <f aca="false">'P&amp;L monthly'!BH37/FX_EUR</f>
        <v>22166.3856523116</v>
      </c>
      <c r="BI36" s="32" t="n">
        <f aca="false">'P&amp;L monthly'!BI37/FX_EUR</f>
        <v>22198.2170071107</v>
      </c>
      <c r="BJ36" s="32" t="n">
        <f aca="false">'P&amp;L monthly'!BJ37/FX_EUR</f>
        <v>22230.0483619099</v>
      </c>
      <c r="BK36" s="32" t="n">
        <f aca="false">'P&amp;L monthly'!BK37/FX_EUR</f>
        <v>22261.8797167091</v>
      </c>
      <c r="BL36" s="32" t="n">
        <f aca="false">'P&amp;L monthly'!BL37/FX_EUR</f>
        <v>22293.7110715082</v>
      </c>
    </row>
    <row r="37" customFormat="false" ht="15" hidden="false" customHeight="false" outlineLevel="0" collapsed="false">
      <c r="A37" s="12" t="s">
        <v>686</v>
      </c>
      <c r="B37" s="14" t="s">
        <v>79</v>
      </c>
      <c r="D37" s="55" t="n">
        <f aca="false">'P&amp;L monthly'!D38/FX_EUR</f>
        <v>350632.739646044</v>
      </c>
      <c r="E37" s="32" t="n">
        <f aca="false">'P&amp;L monthly'!E38/FX_EUR</f>
        <v>0</v>
      </c>
      <c r="F37" s="32" t="n">
        <f aca="false">'P&amp;L monthly'!F38/FX_EUR</f>
        <v>22867.3525856116</v>
      </c>
      <c r="G37" s="32" t="n">
        <f aca="false">'P&amp;L monthly'!G38/FX_EUR</f>
        <v>0</v>
      </c>
      <c r="H37" s="32" t="n">
        <f aca="false">'P&amp;L monthly'!H38/FX_EUR</f>
        <v>0</v>
      </c>
      <c r="I37" s="32" t="n">
        <f aca="false">'P&amp;L monthly'!I38/FX_EUR</f>
        <v>2286.73525856116</v>
      </c>
      <c r="J37" s="32" t="n">
        <f aca="false">'P&amp;L monthly'!J38/FX_EUR</f>
        <v>2286.73525856116</v>
      </c>
      <c r="K37" s="32" t="n">
        <f aca="false">'P&amp;L monthly'!K38/FX_EUR</f>
        <v>2286.73525856116</v>
      </c>
      <c r="L37" s="32" t="n">
        <f aca="false">'P&amp;L monthly'!L38/FX_EUR</f>
        <v>2286.73525856116</v>
      </c>
      <c r="M37" s="32" t="n">
        <f aca="false">'P&amp;L monthly'!M38/FX_EUR</f>
        <v>2286.73525856116</v>
      </c>
      <c r="N37" s="32" t="n">
        <f aca="false">'P&amp;L monthly'!N38/FX_EUR</f>
        <v>2286.73525856116</v>
      </c>
      <c r="O37" s="32" t="n">
        <f aca="false">'P&amp;L monthly'!O38/FX_EUR</f>
        <v>2286.73525856116</v>
      </c>
      <c r="P37" s="32" t="n">
        <f aca="false">'P&amp;L monthly'!P38/FX_EUR</f>
        <v>2286.73525856116</v>
      </c>
      <c r="Q37" s="32" t="n">
        <f aca="false">'P&amp;L monthly'!Q38/FX_EUR</f>
        <v>2667.85780165468</v>
      </c>
      <c r="R37" s="32" t="n">
        <f aca="false">'P&amp;L monthly'!R38/FX_EUR</f>
        <v>2667.85780165468</v>
      </c>
      <c r="S37" s="32" t="n">
        <f aca="false">'P&amp;L monthly'!S38/FX_EUR</f>
        <v>10290.3086635252</v>
      </c>
      <c r="T37" s="32" t="n">
        <f aca="false">'P&amp;L monthly'!T38/FX_EUR</f>
        <v>25535.2103872662</v>
      </c>
      <c r="U37" s="32" t="n">
        <f aca="false">'P&amp;L monthly'!U38/FX_EUR</f>
        <v>2667.85780165468</v>
      </c>
      <c r="V37" s="32" t="n">
        <f aca="false">'P&amp;L monthly'!V38/FX_EUR</f>
        <v>2667.85780165468</v>
      </c>
      <c r="W37" s="32" t="n">
        <f aca="false">'P&amp;L monthly'!W38/FX_EUR</f>
        <v>4954.59306021584</v>
      </c>
      <c r="X37" s="32" t="n">
        <f aca="false">'P&amp;L monthly'!X38/FX_EUR</f>
        <v>4954.59306021584</v>
      </c>
      <c r="Y37" s="32" t="n">
        <f aca="false">'P&amp;L monthly'!Y38/FX_EUR</f>
        <v>4954.59306021584</v>
      </c>
      <c r="Z37" s="32" t="n">
        <f aca="false">'P&amp;L monthly'!Z38/FX_EUR</f>
        <v>4954.59306021584</v>
      </c>
      <c r="AA37" s="32" t="n">
        <f aca="false">'P&amp;L monthly'!AA38/FX_EUR</f>
        <v>4954.59306021584</v>
      </c>
      <c r="AB37" s="32" t="n">
        <f aca="false">'P&amp;L monthly'!AB38/FX_EUR</f>
        <v>4954.59306021584</v>
      </c>
      <c r="AC37" s="32" t="n">
        <f aca="false">'P&amp;L monthly'!AC38/FX_EUR</f>
        <v>6479.08323258994</v>
      </c>
      <c r="AD37" s="32" t="n">
        <f aca="false">'P&amp;L monthly'!AD38/FX_EUR</f>
        <v>6479.08323258994</v>
      </c>
      <c r="AE37" s="32" t="n">
        <f aca="false">'P&amp;L monthly'!AE38/FX_EUR</f>
        <v>6479.08323258994</v>
      </c>
      <c r="AF37" s="32" t="n">
        <f aca="false">'P&amp;L monthly'!AF38/FX_EUR</f>
        <v>6479.08323258994</v>
      </c>
      <c r="AG37" s="32" t="n">
        <f aca="false">'P&amp;L monthly'!AG38/FX_EUR</f>
        <v>6479.08323258994</v>
      </c>
      <c r="AH37" s="32" t="n">
        <f aca="false">'P&amp;L monthly'!AH38/FX_EUR</f>
        <v>6479.08323258994</v>
      </c>
      <c r="AI37" s="32" t="n">
        <f aca="false">'P&amp;L monthly'!AI38/FX_EUR</f>
        <v>6479.08323258994</v>
      </c>
      <c r="AJ37" s="32" t="n">
        <f aca="false">'P&amp;L monthly'!AJ38/FX_EUR</f>
        <v>6479.08323258994</v>
      </c>
      <c r="AK37" s="32" t="n">
        <f aca="false">'P&amp;L monthly'!AK38/FX_EUR</f>
        <v>6479.08323258994</v>
      </c>
      <c r="AL37" s="32" t="n">
        <f aca="false">'P&amp;L monthly'!AL38/FX_EUR</f>
        <v>6479.08323258994</v>
      </c>
      <c r="AM37" s="32" t="n">
        <f aca="false">'P&amp;L monthly'!AM38/FX_EUR</f>
        <v>6479.08323258994</v>
      </c>
      <c r="AN37" s="32" t="n">
        <f aca="false">'P&amp;L monthly'!AN38/FX_EUR</f>
        <v>6479.08323258994</v>
      </c>
      <c r="AO37" s="32" t="n">
        <f aca="false">'P&amp;L monthly'!AO38/FX_EUR</f>
        <v>6479.08323258994</v>
      </c>
      <c r="AP37" s="32" t="n">
        <f aca="false">'P&amp;L monthly'!AP38/FX_EUR</f>
        <v>6479.08323258994</v>
      </c>
      <c r="AQ37" s="32" t="n">
        <f aca="false">'P&amp;L monthly'!AQ38/FX_EUR</f>
        <v>6479.08323258994</v>
      </c>
      <c r="AR37" s="32" t="n">
        <f aca="false">'P&amp;L monthly'!AR38/FX_EUR</f>
        <v>6479.08323258994</v>
      </c>
      <c r="AS37" s="32" t="n">
        <f aca="false">'P&amp;L monthly'!AS38/FX_EUR</f>
        <v>6479.08323258994</v>
      </c>
      <c r="AT37" s="32" t="n">
        <f aca="false">'P&amp;L monthly'!AT38/FX_EUR</f>
        <v>6479.08323258994</v>
      </c>
      <c r="AU37" s="32" t="n">
        <f aca="false">'P&amp;L monthly'!AU38/FX_EUR</f>
        <v>6479.08323258994</v>
      </c>
      <c r="AV37" s="32" t="n">
        <f aca="false">'P&amp;L monthly'!AV38/FX_EUR</f>
        <v>6479.08323258994</v>
      </c>
      <c r="AW37" s="32" t="n">
        <f aca="false">'P&amp;L monthly'!AW38/FX_EUR</f>
        <v>6479.08323258994</v>
      </c>
      <c r="AX37" s="32" t="n">
        <f aca="false">'P&amp;L monthly'!AX38/FX_EUR</f>
        <v>6479.08323258994</v>
      </c>
      <c r="AY37" s="32" t="n">
        <f aca="false">'P&amp;L monthly'!AY38/FX_EUR</f>
        <v>6479.08323258994</v>
      </c>
      <c r="AZ37" s="32" t="n">
        <f aca="false">'P&amp;L monthly'!AZ38/FX_EUR</f>
        <v>6479.08323258994</v>
      </c>
      <c r="BA37" s="32" t="n">
        <f aca="false">'P&amp;L monthly'!BA38/FX_EUR</f>
        <v>6479.08323258994</v>
      </c>
      <c r="BB37" s="32" t="n">
        <f aca="false">'P&amp;L monthly'!BB38/FX_EUR</f>
        <v>6479.08323258994</v>
      </c>
      <c r="BC37" s="32" t="n">
        <f aca="false">'P&amp;L monthly'!BC38/FX_EUR</f>
        <v>6479.08323258994</v>
      </c>
      <c r="BD37" s="32" t="n">
        <f aca="false">'P&amp;L monthly'!BD38/FX_EUR</f>
        <v>6479.08323258994</v>
      </c>
      <c r="BE37" s="32" t="n">
        <f aca="false">'P&amp;L monthly'!BE38/FX_EUR</f>
        <v>6479.08323258994</v>
      </c>
      <c r="BF37" s="32" t="n">
        <f aca="false">'P&amp;L monthly'!BF38/FX_EUR</f>
        <v>6479.08323258994</v>
      </c>
      <c r="BG37" s="32" t="n">
        <f aca="false">'P&amp;L monthly'!BG38/FX_EUR</f>
        <v>6479.08323258994</v>
      </c>
      <c r="BH37" s="32" t="n">
        <f aca="false">'P&amp;L monthly'!BH38/FX_EUR</f>
        <v>6479.08323258994</v>
      </c>
      <c r="BI37" s="32" t="n">
        <f aca="false">'P&amp;L monthly'!BI38/FX_EUR</f>
        <v>6479.08323258994</v>
      </c>
      <c r="BJ37" s="32" t="n">
        <f aca="false">'P&amp;L monthly'!BJ38/FX_EUR</f>
        <v>6479.08323258994</v>
      </c>
      <c r="BK37" s="32" t="n">
        <f aca="false">'P&amp;L monthly'!BK38/FX_EUR</f>
        <v>6479.08323258994</v>
      </c>
      <c r="BL37" s="32" t="n">
        <f aca="false">'P&amp;L monthly'!BL38/FX_EUR</f>
        <v>6479.08323258994</v>
      </c>
    </row>
    <row r="38" customFormat="false" ht="15" hidden="false" customHeight="false" outlineLevel="0" collapsed="false">
      <c r="A38" s="12" t="s">
        <v>697</v>
      </c>
      <c r="B38" s="14" t="s">
        <v>79</v>
      </c>
      <c r="D38" s="55" t="n">
        <f aca="false">'P&amp;L monthly'!D39/FX_EUR</f>
        <v>1000980.24718084</v>
      </c>
      <c r="E38" s="32" t="n">
        <f aca="false">'P&amp;L monthly'!E39/FX_EUR</f>
        <v>8346.58369374822</v>
      </c>
      <c r="F38" s="32" t="n">
        <f aca="false">'P&amp;L monthly'!F39/FX_EUR</f>
        <v>4535.35826281296</v>
      </c>
      <c r="G38" s="32" t="n">
        <f aca="false">'P&amp;L monthly'!G39/FX_EUR</f>
        <v>4535.35826281296</v>
      </c>
      <c r="H38" s="32" t="n">
        <f aca="false">'P&amp;L monthly'!H39/FX_EUR</f>
        <v>4535.35826281296</v>
      </c>
      <c r="I38" s="32" t="n">
        <f aca="false">'P&amp;L monthly'!I39/FX_EUR</f>
        <v>4535.35826281296</v>
      </c>
      <c r="J38" s="32" t="n">
        <f aca="false">'P&amp;L monthly'!J39/FX_EUR</f>
        <v>4535.35826281296</v>
      </c>
      <c r="K38" s="32" t="n">
        <f aca="false">'P&amp;L monthly'!K39/FX_EUR</f>
        <v>4535.35826281296</v>
      </c>
      <c r="L38" s="32" t="n">
        <f aca="false">'P&amp;L monthly'!L39/FX_EUR</f>
        <v>4535.35826281296</v>
      </c>
      <c r="M38" s="32" t="n">
        <f aca="false">'P&amp;L monthly'!M39/FX_EUR</f>
        <v>4535.35826281296</v>
      </c>
      <c r="N38" s="32" t="n">
        <f aca="false">'P&amp;L monthly'!N39/FX_EUR</f>
        <v>4535.35826281296</v>
      </c>
      <c r="O38" s="32" t="n">
        <f aca="false">'P&amp;L monthly'!O39/FX_EUR</f>
        <v>4535.35826281296</v>
      </c>
      <c r="P38" s="32" t="n">
        <f aca="false">'P&amp;L monthly'!P39/FX_EUR</f>
        <v>4535.35826281296</v>
      </c>
      <c r="Q38" s="32" t="n">
        <f aca="false">'P&amp;L monthly'!Q39/FX_EUR</f>
        <v>12348.3703962302</v>
      </c>
      <c r="R38" s="32" t="n">
        <f aca="false">'P&amp;L monthly'!R39/FX_EUR</f>
        <v>12348.3703962302</v>
      </c>
      <c r="S38" s="32" t="n">
        <f aca="false">'P&amp;L monthly'!S39/FX_EUR</f>
        <v>12348.3703962302</v>
      </c>
      <c r="T38" s="32" t="n">
        <f aca="false">'P&amp;L monthly'!T39/FX_EUR</f>
        <v>16921.8409133526</v>
      </c>
      <c r="U38" s="32" t="n">
        <f aca="false">'P&amp;L monthly'!U39/FX_EUR</f>
        <v>12348.3703962302</v>
      </c>
      <c r="V38" s="32" t="n">
        <f aca="false">'P&amp;L monthly'!V39/FX_EUR</f>
        <v>12348.3703962302</v>
      </c>
      <c r="W38" s="32" t="n">
        <f aca="false">'P&amp;L monthly'!W39/FX_EUR</f>
        <v>12348.3703962302</v>
      </c>
      <c r="X38" s="32" t="n">
        <f aca="false">'P&amp;L monthly'!X39/FX_EUR</f>
        <v>12348.3703962302</v>
      </c>
      <c r="Y38" s="32" t="n">
        <f aca="false">'P&amp;L monthly'!Y39/FX_EUR</f>
        <v>12348.3703962302</v>
      </c>
      <c r="Z38" s="32" t="n">
        <f aca="false">'P&amp;L monthly'!Z39/FX_EUR</f>
        <v>12348.3703962302</v>
      </c>
      <c r="AA38" s="32" t="n">
        <f aca="false">'P&amp;L monthly'!AA39/FX_EUR</f>
        <v>12348.3703962302</v>
      </c>
      <c r="AB38" s="32" t="n">
        <f aca="false">'P&amp;L monthly'!AB39/FX_EUR</f>
        <v>16921.8409133526</v>
      </c>
      <c r="AC38" s="32" t="n">
        <f aca="false">'P&amp;L monthly'!AC39/FX_EUR</f>
        <v>19106.9434937554</v>
      </c>
      <c r="AD38" s="32" t="n">
        <f aca="false">'P&amp;L monthly'!AD39/FX_EUR</f>
        <v>19106.9434937554</v>
      </c>
      <c r="AE38" s="32" t="n">
        <f aca="false">'P&amp;L monthly'!AE39/FX_EUR</f>
        <v>19106.9434937554</v>
      </c>
      <c r="AF38" s="32" t="n">
        <f aca="false">'P&amp;L monthly'!AF39/FX_EUR</f>
        <v>19106.9434937554</v>
      </c>
      <c r="AG38" s="32" t="n">
        <f aca="false">'P&amp;L monthly'!AG39/FX_EUR</f>
        <v>19106.9434937554</v>
      </c>
      <c r="AH38" s="32" t="n">
        <f aca="false">'P&amp;L monthly'!AH39/FX_EUR</f>
        <v>19106.9434937554</v>
      </c>
      <c r="AI38" s="32" t="n">
        <f aca="false">'P&amp;L monthly'!AI39/FX_EUR</f>
        <v>19106.9434937554</v>
      </c>
      <c r="AJ38" s="32" t="n">
        <f aca="false">'P&amp;L monthly'!AJ39/FX_EUR</f>
        <v>19106.9434937554</v>
      </c>
      <c r="AK38" s="32" t="n">
        <f aca="false">'P&amp;L monthly'!AK39/FX_EUR</f>
        <v>19106.9434937554</v>
      </c>
      <c r="AL38" s="32" t="n">
        <f aca="false">'P&amp;L monthly'!AL39/FX_EUR</f>
        <v>19106.9434937554</v>
      </c>
      <c r="AM38" s="32" t="n">
        <f aca="false">'P&amp;L monthly'!AM39/FX_EUR</f>
        <v>19106.9434937554</v>
      </c>
      <c r="AN38" s="32" t="n">
        <f aca="false">'P&amp;L monthly'!AN39/FX_EUR</f>
        <v>19106.9434937554</v>
      </c>
      <c r="AO38" s="32" t="n">
        <f aca="false">'P&amp;L monthly'!AO39/FX_EUR</f>
        <v>21393.6787523166</v>
      </c>
      <c r="AP38" s="32" t="n">
        <f aca="false">'P&amp;L monthly'!AP39/FX_EUR</f>
        <v>21393.6787523166</v>
      </c>
      <c r="AQ38" s="32" t="n">
        <f aca="false">'P&amp;L monthly'!AQ39/FX_EUR</f>
        <v>21393.6787523166</v>
      </c>
      <c r="AR38" s="32" t="n">
        <f aca="false">'P&amp;L monthly'!AR39/FX_EUR</f>
        <v>21393.6787523166</v>
      </c>
      <c r="AS38" s="32" t="n">
        <f aca="false">'P&amp;L monthly'!AS39/FX_EUR</f>
        <v>21393.6787523166</v>
      </c>
      <c r="AT38" s="32" t="n">
        <f aca="false">'P&amp;L monthly'!AT39/FX_EUR</f>
        <v>21393.6787523166</v>
      </c>
      <c r="AU38" s="32" t="n">
        <f aca="false">'P&amp;L monthly'!AU39/FX_EUR</f>
        <v>21393.6787523166</v>
      </c>
      <c r="AV38" s="32" t="n">
        <f aca="false">'P&amp;L monthly'!AV39/FX_EUR</f>
        <v>21393.6787523166</v>
      </c>
      <c r="AW38" s="32" t="n">
        <f aca="false">'P&amp;L monthly'!AW39/FX_EUR</f>
        <v>21393.6787523166</v>
      </c>
      <c r="AX38" s="32" t="n">
        <f aca="false">'P&amp;L monthly'!AX39/FX_EUR</f>
        <v>21393.6787523166</v>
      </c>
      <c r="AY38" s="32" t="n">
        <f aca="false">'P&amp;L monthly'!AY39/FX_EUR</f>
        <v>21393.6787523166</v>
      </c>
      <c r="AZ38" s="32" t="n">
        <f aca="false">'P&amp;L monthly'!AZ39/FX_EUR</f>
        <v>21393.6787523166</v>
      </c>
      <c r="BA38" s="32" t="n">
        <f aca="false">'P&amp;L monthly'!BA39/FX_EUR</f>
        <v>24950.8224878562</v>
      </c>
      <c r="BB38" s="32" t="n">
        <f aca="false">'P&amp;L monthly'!BB39/FX_EUR</f>
        <v>24950.8224878562</v>
      </c>
      <c r="BC38" s="32" t="n">
        <f aca="false">'P&amp;L monthly'!BC39/FX_EUR</f>
        <v>24950.8224878562</v>
      </c>
      <c r="BD38" s="32" t="n">
        <f aca="false">'P&amp;L monthly'!BD39/FX_EUR</f>
        <v>24950.8224878562</v>
      </c>
      <c r="BE38" s="32" t="n">
        <f aca="false">'P&amp;L monthly'!BE39/FX_EUR</f>
        <v>24950.8224878562</v>
      </c>
      <c r="BF38" s="32" t="n">
        <f aca="false">'P&amp;L monthly'!BF39/FX_EUR</f>
        <v>24950.8224878562</v>
      </c>
      <c r="BG38" s="32" t="n">
        <f aca="false">'P&amp;L monthly'!BG39/FX_EUR</f>
        <v>24950.8224878562</v>
      </c>
      <c r="BH38" s="32" t="n">
        <f aca="false">'P&amp;L monthly'!BH39/FX_EUR</f>
        <v>24950.8224878562</v>
      </c>
      <c r="BI38" s="32" t="n">
        <f aca="false">'P&amp;L monthly'!BI39/FX_EUR</f>
        <v>24950.8224878562</v>
      </c>
      <c r="BJ38" s="32" t="n">
        <f aca="false">'P&amp;L monthly'!BJ39/FX_EUR</f>
        <v>24950.8224878562</v>
      </c>
      <c r="BK38" s="32" t="n">
        <f aca="false">'P&amp;L monthly'!BK39/FX_EUR</f>
        <v>24950.8224878562</v>
      </c>
      <c r="BL38" s="32" t="n">
        <f aca="false">'P&amp;L monthly'!BL39/FX_EUR</f>
        <v>24950.8224878562</v>
      </c>
    </row>
    <row r="39" customFormat="false" ht="15" hidden="false" customHeight="false" outlineLevel="0" collapsed="false">
      <c r="A39" s="12" t="s">
        <v>713</v>
      </c>
      <c r="B39" s="14" t="s">
        <v>79</v>
      </c>
      <c r="D39" s="55" t="n">
        <f aca="false">'P&amp;L monthly'!D40/FX_EUR</f>
        <v>984144.826515409</v>
      </c>
      <c r="E39" s="32" t="n">
        <f aca="false">'P&amp;L monthly'!E40/FX_EUR</f>
        <v>3447.88860651943</v>
      </c>
      <c r="F39" s="32" t="n">
        <f aca="false">'P&amp;L monthly'!F40/FX_EUR</f>
        <v>3447.88860651943</v>
      </c>
      <c r="G39" s="32" t="n">
        <f aca="false">'P&amp;L monthly'!G40/FX_EUR</f>
        <v>3447.88860651943</v>
      </c>
      <c r="H39" s="32" t="n">
        <f aca="false">'P&amp;L monthly'!H40/FX_EUR</f>
        <v>3676.56213237555</v>
      </c>
      <c r="I39" s="32" t="n">
        <f aca="false">'P&amp;L monthly'!I40/FX_EUR</f>
        <v>5978.54229266044</v>
      </c>
      <c r="J39" s="32" t="n">
        <f aca="false">'P&amp;L monthly'!J40/FX_EUR</f>
        <v>5996.83617472893</v>
      </c>
      <c r="K39" s="32" t="n">
        <f aca="false">'P&amp;L monthly'!K40/FX_EUR</f>
        <v>6016.22768972153</v>
      </c>
      <c r="L39" s="32" t="n">
        <f aca="false">'P&amp;L monthly'!L40/FX_EUR</f>
        <v>6036.78269561369</v>
      </c>
      <c r="M39" s="32" t="n">
        <f aca="false">'P&amp;L monthly'!M40/FX_EUR</f>
        <v>6058.57100185937</v>
      </c>
      <c r="N39" s="32" t="n">
        <f aca="false">'P&amp;L monthly'!N40/FX_EUR</f>
        <v>6081.6666064798</v>
      </c>
      <c r="O39" s="32" t="n">
        <f aca="false">'P&amp;L monthly'!O40/FX_EUR</f>
        <v>6106.14794737745</v>
      </c>
      <c r="P39" s="32" t="n">
        <f aca="false">'P&amp;L monthly'!P40/FX_EUR</f>
        <v>6132.09816872896</v>
      </c>
      <c r="Q39" s="32" t="n">
        <f aca="false">'P&amp;L monthly'!Q40/FX_EUR</f>
        <v>7992.80483564142</v>
      </c>
      <c r="R39" s="32" t="n">
        <f aca="false">'P&amp;L monthly'!R40/FX_EUR</f>
        <v>8021.96250435197</v>
      </c>
      <c r="S39" s="32" t="n">
        <f aca="false">'P&amp;L monthly'!S40/FX_EUR</f>
        <v>8052.86963318516</v>
      </c>
      <c r="T39" s="32" t="n">
        <f aca="false">'P&amp;L monthly'!T40/FX_EUR</f>
        <v>8085.63118974834</v>
      </c>
      <c r="U39" s="32" t="n">
        <f aca="false">'P&amp;L monthly'!U40/FX_EUR</f>
        <v>8120.35843970531</v>
      </c>
      <c r="V39" s="32" t="n">
        <f aca="false">'P&amp;L monthly'!V40/FX_EUR</f>
        <v>8385.84285051582</v>
      </c>
      <c r="W39" s="32" t="n">
        <f aca="false">'P&amp;L monthly'!W40/FX_EUR</f>
        <v>10650.6180402337</v>
      </c>
      <c r="X39" s="32" t="n">
        <f aca="false">'P&amp;L monthly'!X40/FX_EUR</f>
        <v>10820.0359250478</v>
      </c>
      <c r="Y39" s="32" t="n">
        <f aca="false">'P&amp;L monthly'!Y40/FX_EUR</f>
        <v>10878.4219142471</v>
      </c>
      <c r="Z39" s="32" t="n">
        <f aca="false">'P&amp;L monthly'!Z40/FX_EUR</f>
        <v>10940.3110627984</v>
      </c>
      <c r="AA39" s="32" t="n">
        <f aca="false">'P&amp;L monthly'!AA40/FX_EUR</f>
        <v>11005.9135602627</v>
      </c>
      <c r="AB39" s="32" t="n">
        <f aca="false">'P&amp;L monthly'!AB40/FX_EUR</f>
        <v>11075.4522075749</v>
      </c>
      <c r="AC39" s="32" t="n">
        <f aca="false">'P&amp;L monthly'!AC40/FX_EUR</f>
        <v>16569.9961449927</v>
      </c>
      <c r="AD39" s="32" t="n">
        <f aca="false">'P&amp;L monthly'!AD40/FX_EUR</f>
        <v>16762.4665320407</v>
      </c>
      <c r="AE39" s="32" t="n">
        <f aca="false">'P&amp;L monthly'!AE40/FX_EUR</f>
        <v>16845.2881736079</v>
      </c>
      <c r="AF39" s="32" t="n">
        <f aca="false">'P&amp;L monthly'!AF40/FX_EUR</f>
        <v>16933.0791136691</v>
      </c>
      <c r="AG39" s="32" t="n">
        <f aca="false">'P&amp;L monthly'!AG40/FX_EUR</f>
        <v>17026.1375101339</v>
      </c>
      <c r="AH39" s="32" t="n">
        <f aca="false">'P&amp;L monthly'!AH40/FX_EUR</f>
        <v>17239.1161733147</v>
      </c>
      <c r="AI39" s="32" t="n">
        <f aca="false">'P&amp;L monthly'!AI40/FX_EUR</f>
        <v>17343.6765875827</v>
      </c>
      <c r="AJ39" s="32" t="n">
        <f aca="false">'P&amp;L monthly'!AJ40/FX_EUR</f>
        <v>17454.5106267066</v>
      </c>
      <c r="AK39" s="32" t="n">
        <f aca="false">'P&amp;L monthly'!AK40/FX_EUR</f>
        <v>17571.9947081781</v>
      </c>
      <c r="AL39" s="32" t="n">
        <f aca="false">'P&amp;L monthly'!AL40/FX_EUR</f>
        <v>17810.8645974659</v>
      </c>
      <c r="AM39" s="32" t="n">
        <f aca="false">'P&amp;L monthly'!AM40/FX_EUR</f>
        <v>17942.8697114072</v>
      </c>
      <c r="AN39" s="32" t="n">
        <f aca="false">'P&amp;L monthly'!AN40/FX_EUR</f>
        <v>18197.131895113</v>
      </c>
      <c r="AO39" s="32" t="n">
        <f aca="false">'P&amp;L monthly'!AO40/FX_EUR</f>
        <v>21295.3413246813</v>
      </c>
      <c r="AP39" s="32" t="n">
        <f aca="false">'P&amp;L monthly'!AP40/FX_EUR</f>
        <v>21452.5615274672</v>
      </c>
      <c r="AQ39" s="32" t="n">
        <f aca="false">'P&amp;L monthly'!AQ40/FX_EUR</f>
        <v>21619.2149424203</v>
      </c>
      <c r="AR39" s="32" t="n">
        <f aca="false">'P&amp;L monthly'!AR40/FX_EUR</f>
        <v>21910.2043251986</v>
      </c>
      <c r="AS39" s="32" t="n">
        <f aca="false">'P&amp;L monthly'!AS40/FX_EUR</f>
        <v>22097.4561022399</v>
      </c>
      <c r="AT39" s="32" t="n">
        <f aca="false">'P&amp;L monthly'!AT40/FX_EUR</f>
        <v>22295.9429859036</v>
      </c>
      <c r="AU39" s="32" t="n">
        <f aca="false">'P&amp;L monthly'!AU40/FX_EUR</f>
        <v>22735.0126084433</v>
      </c>
      <c r="AV39" s="32" t="n">
        <f aca="false">'P&amp;L monthly'!AV40/FX_EUR</f>
        <v>22958.0324709279</v>
      </c>
      <c r="AW39" s="32" t="n">
        <f aca="false">'P&amp;L monthly'!AW40/FX_EUR</f>
        <v>23221.6554506457</v>
      </c>
      <c r="AX39" s="32" t="n">
        <f aca="false">'P&amp;L monthly'!AX40/FX_EUR</f>
        <v>23284.0748572019</v>
      </c>
      <c r="AY39" s="32" t="n">
        <f aca="false">'P&amp;L monthly'!AY40/FX_EUR</f>
        <v>23350.2394281514</v>
      </c>
      <c r="AZ39" s="32" t="n">
        <f aca="false">'P&amp;L monthly'!AZ40/FX_EUR</f>
        <v>23649.047399214</v>
      </c>
      <c r="BA39" s="32" t="n">
        <f aca="false">'P&amp;L monthly'!BA40/FX_EUR</f>
        <v>26561.4824487027</v>
      </c>
      <c r="BB39" s="32" t="n">
        <f aca="false">'P&amp;L monthly'!BB40/FX_EUR</f>
        <v>26754.6222742647</v>
      </c>
      <c r="BC39" s="32" t="n">
        <f aca="false">'P&amp;L monthly'!BC40/FX_EUR</f>
        <v>26838.1535206568</v>
      </c>
      <c r="BD39" s="32" t="n">
        <f aca="false">'P&amp;L monthly'!BD40/FX_EUR</f>
        <v>27041.0334047604</v>
      </c>
      <c r="BE39" s="32" t="n">
        <f aca="false">'P&amp;L monthly'!BE40/FX_EUR</f>
        <v>27249.2258761346</v>
      </c>
      <c r="BF39" s="32" t="n">
        <f aca="false">'P&amp;L monthly'!BF40/FX_EUR</f>
        <v>27348.7129270875</v>
      </c>
      <c r="BG39" s="32" t="n">
        <f aca="false">'P&amp;L monthly'!BG40/FX_EUR</f>
        <v>27568.5059640256</v>
      </c>
      <c r="BH39" s="32" t="n">
        <f aca="false">'P&amp;L monthly'!BH40/FX_EUR</f>
        <v>27794.6263774043</v>
      </c>
      <c r="BI39" s="32" t="n">
        <f aca="false">'P&amp;L monthly'!BI40/FX_EUR</f>
        <v>28027.4538098101</v>
      </c>
      <c r="BJ39" s="32" t="n">
        <f aca="false">'P&amp;L monthly'!BJ40/FX_EUR</f>
        <v>28153.0539194564</v>
      </c>
      <c r="BK39" s="32" t="n">
        <f aca="false">'P&amp;L monthly'!BK40/FX_EUR</f>
        <v>28335.1906705267</v>
      </c>
      <c r="BL39" s="32" t="n">
        <f aca="false">'P&amp;L monthly'!BL40/FX_EUR</f>
        <v>28449.5274334547</v>
      </c>
    </row>
    <row r="40" customFormat="false" ht="15" hidden="false" customHeight="false" outlineLevel="0" collapsed="false">
      <c r="A40" s="12" t="s">
        <v>720</v>
      </c>
      <c r="B40" s="14" t="s">
        <v>79</v>
      </c>
      <c r="D40" s="55" t="n">
        <f aca="false">'P&amp;L monthly'!D41/FX_EUR</f>
        <v>185409.327745569</v>
      </c>
      <c r="E40" s="32" t="n">
        <f aca="false">'P&amp;L monthly'!E41/FX_EUR</f>
        <v>4324.3115021259</v>
      </c>
      <c r="F40" s="32" t="n">
        <f aca="false">'P&amp;L monthly'!F41/FX_EUR</f>
        <v>1124.3115021259</v>
      </c>
      <c r="G40" s="32" t="n">
        <f aca="false">'P&amp;L monthly'!G41/FX_EUR</f>
        <v>1124.3115021259</v>
      </c>
      <c r="H40" s="32" t="n">
        <f aca="false">'P&amp;L monthly'!H41/FX_EUR</f>
        <v>1124.3115021259</v>
      </c>
      <c r="I40" s="32" t="n">
        <f aca="false">'P&amp;L monthly'!I41/FX_EUR</f>
        <v>1124.3115021259</v>
      </c>
      <c r="J40" s="32" t="n">
        <f aca="false">'P&amp;L monthly'!J41/FX_EUR</f>
        <v>1124.3115021259</v>
      </c>
      <c r="K40" s="32" t="n">
        <f aca="false">'P&amp;L monthly'!K41/FX_EUR</f>
        <v>1124.3115021259</v>
      </c>
      <c r="L40" s="32" t="n">
        <f aca="false">'P&amp;L monthly'!L41/FX_EUR</f>
        <v>1124.3115021259</v>
      </c>
      <c r="M40" s="32" t="n">
        <f aca="false">'P&amp;L monthly'!M41/FX_EUR</f>
        <v>1124.3115021259</v>
      </c>
      <c r="N40" s="32" t="n">
        <f aca="false">'P&amp;L monthly'!N41/FX_EUR</f>
        <v>1124.3115021259</v>
      </c>
      <c r="O40" s="32" t="n">
        <f aca="false">'P&amp;L monthly'!O41/FX_EUR</f>
        <v>1124.3115021259</v>
      </c>
      <c r="P40" s="32" t="n">
        <f aca="false">'P&amp;L monthly'!P41/FX_EUR</f>
        <v>1124.3115021259</v>
      </c>
      <c r="Q40" s="32" t="n">
        <f aca="false">'P&amp;L monthly'!Q41/FX_EUR</f>
        <v>3150.25568241008</v>
      </c>
      <c r="R40" s="32" t="n">
        <f aca="false">'P&amp;L monthly'!R41/FX_EUR</f>
        <v>2350.25568241008</v>
      </c>
      <c r="S40" s="32" t="n">
        <f aca="false">'P&amp;L monthly'!S41/FX_EUR</f>
        <v>2350.25568241008</v>
      </c>
      <c r="T40" s="32" t="n">
        <f aca="false">'P&amp;L monthly'!T41/FX_EUR</f>
        <v>3150.25568241008</v>
      </c>
      <c r="U40" s="32" t="n">
        <f aca="false">'P&amp;L monthly'!U41/FX_EUR</f>
        <v>2350.25568241008</v>
      </c>
      <c r="V40" s="32" t="n">
        <f aca="false">'P&amp;L monthly'!V41/FX_EUR</f>
        <v>3150.25568241008</v>
      </c>
      <c r="W40" s="32" t="n">
        <f aca="false">'P&amp;L monthly'!W41/FX_EUR</f>
        <v>2350.25568241008</v>
      </c>
      <c r="X40" s="32" t="n">
        <f aca="false">'P&amp;L monthly'!X41/FX_EUR</f>
        <v>2350.25568241008</v>
      </c>
      <c r="Y40" s="32" t="n">
        <f aca="false">'P&amp;L monthly'!Y41/FX_EUR</f>
        <v>2350.25568241008</v>
      </c>
      <c r="Z40" s="32" t="n">
        <f aca="false">'P&amp;L monthly'!Z41/FX_EUR</f>
        <v>2350.25568241008</v>
      </c>
      <c r="AA40" s="32" t="n">
        <f aca="false">'P&amp;L monthly'!AA41/FX_EUR</f>
        <v>2350.25568241008</v>
      </c>
      <c r="AB40" s="32" t="n">
        <f aca="false">'P&amp;L monthly'!AB41/FX_EUR</f>
        <v>3150.25568241008</v>
      </c>
      <c r="AC40" s="32" t="n">
        <f aca="false">'P&amp;L monthly'!AC41/FX_EUR</f>
        <v>2998.16400566907</v>
      </c>
      <c r="AD40" s="32" t="n">
        <f aca="false">'P&amp;L monthly'!AD41/FX_EUR</f>
        <v>2998.16400566907</v>
      </c>
      <c r="AE40" s="32" t="n">
        <f aca="false">'P&amp;L monthly'!AE41/FX_EUR</f>
        <v>2998.16400566907</v>
      </c>
      <c r="AF40" s="32" t="n">
        <f aca="false">'P&amp;L monthly'!AF41/FX_EUR</f>
        <v>3798.16400566907</v>
      </c>
      <c r="AG40" s="32" t="n">
        <f aca="false">'P&amp;L monthly'!AG41/FX_EUR</f>
        <v>3798.16400566907</v>
      </c>
      <c r="AH40" s="32" t="n">
        <f aca="false">'P&amp;L monthly'!AH41/FX_EUR</f>
        <v>2998.16400566907</v>
      </c>
      <c r="AI40" s="32" t="n">
        <f aca="false">'P&amp;L monthly'!AI41/FX_EUR</f>
        <v>2998.16400566907</v>
      </c>
      <c r="AJ40" s="32" t="n">
        <f aca="false">'P&amp;L monthly'!AJ41/FX_EUR</f>
        <v>2998.16400566907</v>
      </c>
      <c r="AK40" s="32" t="n">
        <f aca="false">'P&amp;L monthly'!AK41/FX_EUR</f>
        <v>2998.16400566907</v>
      </c>
      <c r="AL40" s="32" t="n">
        <f aca="false">'P&amp;L monthly'!AL41/FX_EUR</f>
        <v>3798.16400566907</v>
      </c>
      <c r="AM40" s="32" t="n">
        <f aca="false">'P&amp;L monthly'!AM41/FX_EUR</f>
        <v>2998.16400566907</v>
      </c>
      <c r="AN40" s="32" t="n">
        <f aca="false">'P&amp;L monthly'!AN41/FX_EUR</f>
        <v>2998.16400566907</v>
      </c>
      <c r="AO40" s="32" t="n">
        <f aca="false">'P&amp;L monthly'!AO41/FX_EUR</f>
        <v>3569.84782030936</v>
      </c>
      <c r="AP40" s="32" t="n">
        <f aca="false">'P&amp;L monthly'!AP41/FX_EUR</f>
        <v>3569.84782030936</v>
      </c>
      <c r="AQ40" s="32" t="n">
        <f aca="false">'P&amp;L monthly'!AQ41/FX_EUR</f>
        <v>4369.84782030936</v>
      </c>
      <c r="AR40" s="32" t="n">
        <f aca="false">'P&amp;L monthly'!AR41/FX_EUR</f>
        <v>4369.84782030936</v>
      </c>
      <c r="AS40" s="32" t="n">
        <f aca="false">'P&amp;L monthly'!AS41/FX_EUR</f>
        <v>3569.84782030936</v>
      </c>
      <c r="AT40" s="32" t="n">
        <f aca="false">'P&amp;L monthly'!AT41/FX_EUR</f>
        <v>3569.84782030936</v>
      </c>
      <c r="AU40" s="32" t="n">
        <f aca="false">'P&amp;L monthly'!AU41/FX_EUR</f>
        <v>3569.84782030936</v>
      </c>
      <c r="AV40" s="32" t="n">
        <f aca="false">'P&amp;L monthly'!AV41/FX_EUR</f>
        <v>3569.84782030936</v>
      </c>
      <c r="AW40" s="32" t="n">
        <f aca="false">'P&amp;L monthly'!AW41/FX_EUR</f>
        <v>4369.84782030936</v>
      </c>
      <c r="AX40" s="32" t="n">
        <f aca="false">'P&amp;L monthly'!AX41/FX_EUR</f>
        <v>3569.84782030936</v>
      </c>
      <c r="AY40" s="32" t="n">
        <f aca="false">'P&amp;L monthly'!AY41/FX_EUR</f>
        <v>3569.84782030936</v>
      </c>
      <c r="AZ40" s="32" t="n">
        <f aca="false">'P&amp;L monthly'!AZ41/FX_EUR</f>
        <v>3569.84782030936</v>
      </c>
      <c r="BA40" s="32" t="n">
        <f aca="false">'P&amp;L monthly'!BA41/FX_EUR</f>
        <v>4941.53163494965</v>
      </c>
      <c r="BB40" s="32" t="n">
        <f aca="false">'P&amp;L monthly'!BB41/FX_EUR</f>
        <v>4941.53163494965</v>
      </c>
      <c r="BC40" s="32" t="n">
        <f aca="false">'P&amp;L monthly'!BC41/FX_EUR</f>
        <v>4141.53163494965</v>
      </c>
      <c r="BD40" s="32" t="n">
        <f aca="false">'P&amp;L monthly'!BD41/FX_EUR</f>
        <v>4141.53163494965</v>
      </c>
      <c r="BE40" s="32" t="n">
        <f aca="false">'P&amp;L monthly'!BE41/FX_EUR</f>
        <v>4141.53163494965</v>
      </c>
      <c r="BF40" s="32" t="n">
        <f aca="false">'P&amp;L monthly'!BF41/FX_EUR</f>
        <v>4941.53163494965</v>
      </c>
      <c r="BG40" s="32" t="n">
        <f aca="false">'P&amp;L monthly'!BG41/FX_EUR</f>
        <v>4141.53163494965</v>
      </c>
      <c r="BH40" s="32" t="n">
        <f aca="false">'P&amp;L monthly'!BH41/FX_EUR</f>
        <v>4941.53163494965</v>
      </c>
      <c r="BI40" s="32" t="n">
        <f aca="false">'P&amp;L monthly'!BI41/FX_EUR</f>
        <v>4141.53163494965</v>
      </c>
      <c r="BJ40" s="32" t="n">
        <f aca="false">'P&amp;L monthly'!BJ41/FX_EUR</f>
        <v>4941.53163494965</v>
      </c>
      <c r="BK40" s="32" t="n">
        <f aca="false">'P&amp;L monthly'!BK41/FX_EUR</f>
        <v>4141.53163494965</v>
      </c>
      <c r="BL40" s="32" t="n">
        <f aca="false">'P&amp;L monthly'!BL41/FX_EUR</f>
        <v>4141.53163494965</v>
      </c>
    </row>
    <row r="41" customFormat="false" ht="15" hidden="false" customHeight="false" outlineLevel="0" collapsed="false">
      <c r="A41" s="12" t="s">
        <v>1112</v>
      </c>
      <c r="B41" s="14" t="s">
        <v>79</v>
      </c>
      <c r="D41" s="55" t="n">
        <f aca="false">'P&amp;L monthly'!D42/FX_EUR</f>
        <v>367111.321399487</v>
      </c>
      <c r="E41" s="32" t="n">
        <f aca="false">'P&amp;L monthly'!E42/FX_EUR</f>
        <v>2336.89383602889</v>
      </c>
      <c r="F41" s="32" t="n">
        <f aca="false">'P&amp;L monthly'!F42/FX_EUR</f>
        <v>2947.06954876615</v>
      </c>
      <c r="G41" s="32" t="n">
        <f aca="false">'P&amp;L monthly'!G42/FX_EUR</f>
        <v>4014.21266942803</v>
      </c>
      <c r="H41" s="32" t="n">
        <f aca="false">'P&amp;L monthly'!H42/FX_EUR</f>
        <v>2687.75590473156</v>
      </c>
      <c r="I41" s="32" t="n">
        <f aca="false">'P&amp;L monthly'!I42/FX_EUR</f>
        <v>2628.35514370607</v>
      </c>
      <c r="J41" s="32" t="n">
        <f aca="false">'P&amp;L monthly'!J42/FX_EUR</f>
        <v>2587.35536780612</v>
      </c>
      <c r="K41" s="32" t="n">
        <f aca="false">'P&amp;L monthly'!K42/FX_EUR</f>
        <v>2571.45262492435</v>
      </c>
      <c r="L41" s="32" t="n">
        <f aca="false">'P&amp;L monthly'!L42/FX_EUR</f>
        <v>2555.6388086711</v>
      </c>
      <c r="M41" s="32" t="n">
        <f aca="false">'P&amp;L monthly'!M42/FX_EUR</f>
        <v>2539.90553496784</v>
      </c>
      <c r="N41" s="32" t="n">
        <f aca="false">'P&amp;L monthly'!N42/FX_EUR</f>
        <v>2524.24412193321</v>
      </c>
      <c r="O41" s="32" t="n">
        <f aca="false">'P&amp;L monthly'!O42/FX_EUR</f>
        <v>2508.64556862356</v>
      </c>
      <c r="P41" s="32" t="n">
        <f aca="false">'P&amp;L monthly'!P42/FX_EUR</f>
        <v>2493.10053255775</v>
      </c>
      <c r="Q41" s="32" t="n">
        <f aca="false">'P&amp;L monthly'!Q42/FX_EUR</f>
        <v>3567.11720626213</v>
      </c>
      <c r="R41" s="32" t="n">
        <f aca="false">'P&amp;L monthly'!R42/FX_EUR</f>
        <v>3480.7353321841</v>
      </c>
      <c r="S41" s="32" t="n">
        <f aca="false">'P&amp;L monthly'!S42/FX_EUR</f>
        <v>3840.57495901244</v>
      </c>
      <c r="T41" s="32" t="n">
        <f aca="false">'P&amp;L monthly'!T42/FX_EUR</f>
        <v>5401.22334835468</v>
      </c>
      <c r="U41" s="32" t="n">
        <f aca="false">'P&amp;L monthly'!U42/FX_EUR</f>
        <v>3523.81640572734</v>
      </c>
      <c r="V41" s="32" t="n">
        <f aca="false">'P&amp;L monthly'!V42/FX_EUR</f>
        <v>4085.59322628585</v>
      </c>
      <c r="W41" s="32" t="n">
        <f aca="false">'P&amp;L monthly'!W42/FX_EUR</f>
        <v>4198.16874869981</v>
      </c>
      <c r="X41" s="32" t="n">
        <f aca="false">'P&amp;L monthly'!X42/FX_EUR</f>
        <v>4289.4351310594</v>
      </c>
      <c r="Y41" s="32" t="n">
        <f aca="false">'P&amp;L monthly'!Y42/FX_EUR</f>
        <v>4334.54295049857</v>
      </c>
      <c r="Z41" s="32" t="n">
        <f aca="false">'P&amp;L monthly'!Z42/FX_EUR</f>
        <v>4312.63740792613</v>
      </c>
      <c r="AA41" s="32" t="n">
        <f aca="false">'P&amp;L monthly'!AA42/FX_EUR</f>
        <v>4315.91753279935</v>
      </c>
      <c r="AB41" s="32" t="n">
        <f aca="false">'P&amp;L monthly'!AB42/FX_EUR</f>
        <v>4785.31457883094</v>
      </c>
      <c r="AC41" s="32" t="n">
        <f aca="false">'P&amp;L monthly'!AC42/FX_EUR</f>
        <v>5525.72993564728</v>
      </c>
      <c r="AD41" s="32" t="n">
        <f aca="false">'P&amp;L monthly'!AD42/FX_EUR</f>
        <v>5595.22987220386</v>
      </c>
      <c r="AE41" s="32" t="n">
        <f aca="false">'P&amp;L monthly'!AE42/FX_EUR</f>
        <v>5574.37095428221</v>
      </c>
      <c r="AF41" s="32" t="n">
        <f aca="false">'P&amp;L monthly'!AF42/FX_EUR</f>
        <v>6366.15287609033</v>
      </c>
      <c r="AG41" s="32" t="n">
        <f aca="false">'P&amp;L monthly'!AG42/FX_EUR</f>
        <v>6058.98758984214</v>
      </c>
      <c r="AH41" s="32" t="n">
        <f aca="false">'P&amp;L monthly'!AH42/FX_EUR</f>
        <v>6039.51294020536</v>
      </c>
      <c r="AI41" s="32" t="n">
        <f aca="false">'P&amp;L monthly'!AI42/FX_EUR</f>
        <v>6088.23006157626</v>
      </c>
      <c r="AJ41" s="32" t="n">
        <f aca="false">'P&amp;L monthly'!AJ42/FX_EUR</f>
        <v>6068.77176353246</v>
      </c>
      <c r="AK41" s="32" t="n">
        <f aca="false">'P&amp;L monthly'!AK42/FX_EUR</f>
        <v>6143.13506826355</v>
      </c>
      <c r="AL41" s="32" t="n">
        <f aca="false">'P&amp;L monthly'!AL42/FX_EUR</f>
        <v>6361.68115253184</v>
      </c>
      <c r="AM41" s="32" t="n">
        <f aca="false">'P&amp;L monthly'!AM42/FX_EUR</f>
        <v>6346.77050888642</v>
      </c>
      <c r="AN41" s="32" t="n">
        <f aca="false">'P&amp;L monthly'!AN42/FX_EUR</f>
        <v>6424.82247412478</v>
      </c>
      <c r="AO41" s="32" t="n">
        <f aca="false">'P&amp;L monthly'!AO42/FX_EUR</f>
        <v>7116.12012748656</v>
      </c>
      <c r="AP41" s="32" t="n">
        <f aca="false">'P&amp;L monthly'!AP42/FX_EUR</f>
        <v>7073.98113762585</v>
      </c>
      <c r="AQ41" s="32" t="n">
        <f aca="false">'P&amp;L monthly'!AQ42/FX_EUR</f>
        <v>7302.1721546523</v>
      </c>
      <c r="AR41" s="32" t="n">
        <f aca="false">'P&amp;L monthly'!AR42/FX_EUR</f>
        <v>8109.09592767089</v>
      </c>
      <c r="AS41" s="32" t="n">
        <f aca="false">'P&amp;L monthly'!AS42/FX_EUR</f>
        <v>7497.93593653677</v>
      </c>
      <c r="AT41" s="32" t="n">
        <f aca="false">'P&amp;L monthly'!AT42/FX_EUR</f>
        <v>7577.71499108969</v>
      </c>
      <c r="AU41" s="32" t="n">
        <f aca="false">'P&amp;L monthly'!AU42/FX_EUR</f>
        <v>7824.38152886521</v>
      </c>
      <c r="AV41" s="32" t="n">
        <f aca="false">'P&amp;L monthly'!AV42/FX_EUR</f>
        <v>7760.53252198943</v>
      </c>
      <c r="AW41" s="32" t="n">
        <f aca="false">'P&amp;L monthly'!AW42/FX_EUR</f>
        <v>8080.63340999785</v>
      </c>
      <c r="AX41" s="32" t="n">
        <f aca="false">'P&amp;L monthly'!AX42/FX_EUR</f>
        <v>8038.6090906954</v>
      </c>
      <c r="AY41" s="32" t="n">
        <f aca="false">'P&amp;L monthly'!AY42/FX_EUR</f>
        <v>8086.77202961261</v>
      </c>
      <c r="AZ41" s="32" t="n">
        <f aca="false">'P&amp;L monthly'!AZ42/FX_EUR</f>
        <v>8256.57077444453</v>
      </c>
      <c r="BA41" s="32" t="n">
        <f aca="false">'P&amp;L monthly'!BA42/FX_EUR</f>
        <v>9230.39534007338</v>
      </c>
      <c r="BB41" s="32" t="n">
        <f aca="false">'P&amp;L monthly'!BB42/FX_EUR</f>
        <v>9400.72109136548</v>
      </c>
      <c r="BC41" s="32" t="n">
        <f aca="false">'P&amp;L monthly'!BC42/FX_EUR</f>
        <v>9361.18625425265</v>
      </c>
      <c r="BD41" s="32" t="n">
        <f aca="false">'P&amp;L monthly'!BD42/FX_EUR</f>
        <v>9955.09895490506</v>
      </c>
      <c r="BE41" s="32" t="n">
        <f aca="false">'P&amp;L monthly'!BE42/FX_EUR</f>
        <v>9562.76204554554</v>
      </c>
      <c r="BF41" s="32" t="n">
        <f aca="false">'P&amp;L monthly'!BF42/FX_EUR</f>
        <v>9767.46997104461</v>
      </c>
      <c r="BG41" s="32" t="n">
        <f aca="false">'P&amp;L monthly'!BG42/FX_EUR</f>
        <v>9849.10384051935</v>
      </c>
      <c r="BH41" s="32" t="n">
        <f aca="false">'P&amp;L monthly'!BH42/FX_EUR</f>
        <v>10267.3151413743</v>
      </c>
      <c r="BI41" s="32" t="n">
        <f aca="false">'P&amp;L monthly'!BI42/FX_EUR</f>
        <v>10261.1803006248</v>
      </c>
      <c r="BJ41" s="32" t="n">
        <f aca="false">'P&amp;L monthly'!BJ42/FX_EUR</f>
        <v>10442.1938790585</v>
      </c>
      <c r="BK41" s="32" t="n">
        <f aca="false">'P&amp;L monthly'!BK42/FX_EUR</f>
        <v>10521.9449342398</v>
      </c>
      <c r="BL41" s="32" t="n">
        <f aca="false">'P&amp;L monthly'!BL42/FX_EUR</f>
        <v>10644.328328845</v>
      </c>
    </row>
    <row r="42" customFormat="false" ht="15" hidden="false" customHeight="false" outlineLevel="0" collapsed="false">
      <c r="A42" s="8" t="s">
        <v>97</v>
      </c>
      <c r="B42" s="14" t="s">
        <v>79</v>
      </c>
      <c r="D42" s="55" t="n">
        <f aca="false">'P&amp;L monthly'!D43/FX_EUR</f>
        <v>7709337.74938924</v>
      </c>
      <c r="E42" s="16" t="n">
        <f aca="false">'P&amp;L monthly'!E43/FX_EUR</f>
        <v>49074.7705566066</v>
      </c>
      <c r="F42" s="16" t="n">
        <f aca="false">'P&amp;L monthly'!F43/FX_EUR</f>
        <v>61888.4605240892</v>
      </c>
      <c r="G42" s="16" t="n">
        <f aca="false">'P&amp;L monthly'!G43/FX_EUR</f>
        <v>84298.4660579886</v>
      </c>
      <c r="H42" s="16" t="n">
        <f aca="false">'P&amp;L monthly'!H43/FX_EUR</f>
        <v>56442.8739993628</v>
      </c>
      <c r="I42" s="16" t="n">
        <f aca="false">'P&amp;L monthly'!I43/FX_EUR</f>
        <v>55195.4580178274</v>
      </c>
      <c r="J42" s="16" t="n">
        <f aca="false">'P&amp;L monthly'!J43/FX_EUR</f>
        <v>54334.4627239286</v>
      </c>
      <c r="K42" s="16" t="n">
        <f aca="false">'P&amp;L monthly'!K43/FX_EUR</f>
        <v>54000.5051234113</v>
      </c>
      <c r="L42" s="16" t="n">
        <f aca="false">'P&amp;L monthly'!L43/FX_EUR</f>
        <v>53668.4149820931</v>
      </c>
      <c r="M42" s="16" t="n">
        <f aca="false">'P&amp;L monthly'!M43/FX_EUR</f>
        <v>53338.0162343245</v>
      </c>
      <c r="N42" s="16" t="n">
        <f aca="false">'P&amp;L monthly'!N43/FX_EUR</f>
        <v>53009.1265605975</v>
      </c>
      <c r="O42" s="16" t="n">
        <f aca="false">'P&amp;L monthly'!O43/FX_EUR</f>
        <v>52681.5569410947</v>
      </c>
      <c r="P42" s="16" t="n">
        <f aca="false">'P&amp;L monthly'!P43/FX_EUR</f>
        <v>52355.1111837128</v>
      </c>
      <c r="Q42" s="16" t="n">
        <f aca="false">'P&amp;L monthly'!Q43/FX_EUR</f>
        <v>74909.4613315048</v>
      </c>
      <c r="R42" s="16" t="n">
        <f aca="false">'P&amp;L monthly'!R43/FX_EUR</f>
        <v>73095.4419758661</v>
      </c>
      <c r="S42" s="16" t="n">
        <f aca="false">'P&amp;L monthly'!S43/FX_EUR</f>
        <v>80652.0741392613</v>
      </c>
      <c r="T42" s="16" t="n">
        <f aca="false">'P&amp;L monthly'!T43/FX_EUR</f>
        <v>113425.690315448</v>
      </c>
      <c r="U42" s="16" t="n">
        <f aca="false">'P&amp;L monthly'!U43/FX_EUR</f>
        <v>74000.1445202742</v>
      </c>
      <c r="V42" s="16" t="n">
        <f aca="false">'P&amp;L monthly'!V43/FX_EUR</f>
        <v>85797.4577520029</v>
      </c>
      <c r="W42" s="16" t="n">
        <f aca="false">'P&amp;L monthly'!W43/FX_EUR</f>
        <v>88161.5437226959</v>
      </c>
      <c r="X42" s="16" t="n">
        <f aca="false">'P&amp;L monthly'!X43/FX_EUR</f>
        <v>90078.1377522474</v>
      </c>
      <c r="Y42" s="16" t="n">
        <f aca="false">'P&amp;L monthly'!Y43/FX_EUR</f>
        <v>91025.40196047</v>
      </c>
      <c r="Z42" s="16" t="n">
        <f aca="false">'P&amp;L monthly'!Z43/FX_EUR</f>
        <v>90565.3855664488</v>
      </c>
      <c r="AA42" s="16" t="n">
        <f aca="false">'P&amp;L monthly'!AA43/FX_EUR</f>
        <v>90634.2681887863</v>
      </c>
      <c r="AB42" s="16" t="n">
        <f aca="false">'P&amp;L monthly'!AB43/FX_EUR</f>
        <v>100491.60615545</v>
      </c>
      <c r="AC42" s="16" t="n">
        <f aca="false">'P&amp;L monthly'!AC43/FX_EUR</f>
        <v>116040.328648593</v>
      </c>
      <c r="AD42" s="16" t="n">
        <f aca="false">'P&amp;L monthly'!AD43/FX_EUR</f>
        <v>117499.827316281</v>
      </c>
      <c r="AE42" s="16" t="n">
        <f aca="false">'P&amp;L monthly'!AE43/FX_EUR</f>
        <v>117061.790039926</v>
      </c>
      <c r="AF42" s="16" t="n">
        <f aca="false">'P&amp;L monthly'!AF43/FX_EUR</f>
        <v>133689.210397897</v>
      </c>
      <c r="AG42" s="16" t="n">
        <f aca="false">'P&amp;L monthly'!AG43/FX_EUR</f>
        <v>127238.739386685</v>
      </c>
      <c r="AH42" s="16" t="n">
        <f aca="false">'P&amp;L monthly'!AH43/FX_EUR</f>
        <v>126829.771744312</v>
      </c>
      <c r="AI42" s="16" t="n">
        <f aca="false">'P&amp;L monthly'!AI43/FX_EUR</f>
        <v>127852.831293102</v>
      </c>
      <c r="AJ42" s="16" t="n">
        <f aca="false">'P&amp;L monthly'!AJ43/FX_EUR</f>
        <v>127444.207034182</v>
      </c>
      <c r="AK42" s="16" t="n">
        <f aca="false">'P&amp;L monthly'!AK43/FX_EUR</f>
        <v>129005.836433535</v>
      </c>
      <c r="AL42" s="16" t="n">
        <f aca="false">'P&amp;L monthly'!AL43/FX_EUR</f>
        <v>133595.304203169</v>
      </c>
      <c r="AM42" s="16" t="n">
        <f aca="false">'P&amp;L monthly'!AM43/FX_EUR</f>
        <v>133282.180686615</v>
      </c>
      <c r="AN42" s="16" t="n">
        <f aca="false">'P&amp;L monthly'!AN43/FX_EUR</f>
        <v>134921.27195662</v>
      </c>
      <c r="AO42" s="16" t="n">
        <f aca="false">'P&amp;L monthly'!AO43/FX_EUR</f>
        <v>149438.522677218</v>
      </c>
      <c r="AP42" s="16" t="n">
        <f aca="false">'P&amp;L monthly'!AP43/FX_EUR</f>
        <v>148553.603890143</v>
      </c>
      <c r="AQ42" s="16" t="n">
        <f aca="false">'P&amp;L monthly'!AQ43/FX_EUR</f>
        <v>153345.615247698</v>
      </c>
      <c r="AR42" s="16" t="n">
        <f aca="false">'P&amp;L monthly'!AR43/FX_EUR</f>
        <v>170291.014481089</v>
      </c>
      <c r="AS42" s="16" t="n">
        <f aca="false">'P&amp;L monthly'!AS43/FX_EUR</f>
        <v>157456.654667272</v>
      </c>
      <c r="AT42" s="16" t="n">
        <f aca="false">'P&amp;L monthly'!AT43/FX_EUR</f>
        <v>159132.014812883</v>
      </c>
      <c r="AU42" s="16" t="n">
        <f aca="false">'P&amp;L monthly'!AU43/FX_EUR</f>
        <v>164312.012106169</v>
      </c>
      <c r="AV42" s="16" t="n">
        <f aca="false">'P&amp;L monthly'!AV43/FX_EUR</f>
        <v>162971.182961778</v>
      </c>
      <c r="AW42" s="16" t="n">
        <f aca="false">'P&amp;L monthly'!AW43/FX_EUR</f>
        <v>169693.301609955</v>
      </c>
      <c r="AX42" s="16" t="n">
        <f aca="false">'P&amp;L monthly'!AX43/FX_EUR</f>
        <v>168810.790904603</v>
      </c>
      <c r="AY42" s="16" t="n">
        <f aca="false">'P&amp;L monthly'!AY43/FX_EUR</f>
        <v>169822.212621865</v>
      </c>
      <c r="AZ42" s="16" t="n">
        <f aca="false">'P&amp;L monthly'!AZ43/FX_EUR</f>
        <v>173387.986263335</v>
      </c>
      <c r="BA42" s="16" t="n">
        <f aca="false">'P&amp;L monthly'!BA43/FX_EUR</f>
        <v>193838.302141541</v>
      </c>
      <c r="BB42" s="16" t="n">
        <f aca="false">'P&amp;L monthly'!BB43/FX_EUR</f>
        <v>197415.142918675</v>
      </c>
      <c r="BC42" s="16" t="n">
        <f aca="false">'P&amp;L monthly'!BC43/FX_EUR</f>
        <v>196584.911339306</v>
      </c>
      <c r="BD42" s="16" t="n">
        <f aca="false">'P&amp;L monthly'!BD43/FX_EUR</f>
        <v>209057.078053006</v>
      </c>
      <c r="BE42" s="16" t="n">
        <f aca="false">'P&amp;L monthly'!BE43/FX_EUR</f>
        <v>200818.002956456</v>
      </c>
      <c r="BF42" s="16" t="n">
        <f aca="false">'P&amp;L monthly'!BF43/FX_EUR</f>
        <v>205116.869391937</v>
      </c>
      <c r="BG42" s="16" t="n">
        <f aca="false">'P&amp;L monthly'!BG43/FX_EUR</f>
        <v>206831.180650906</v>
      </c>
      <c r="BH42" s="16" t="n">
        <f aca="false">'P&amp;L monthly'!BH43/FX_EUR</f>
        <v>215613.617968861</v>
      </c>
      <c r="BI42" s="16" t="n">
        <f aca="false">'P&amp;L monthly'!BI43/FX_EUR</f>
        <v>215484.78631312</v>
      </c>
      <c r="BJ42" s="16" t="n">
        <f aca="false">'P&amp;L monthly'!BJ43/FX_EUR</f>
        <v>219286.071460229</v>
      </c>
      <c r="BK42" s="16" t="n">
        <f aca="false">'P&amp;L monthly'!BK43/FX_EUR</f>
        <v>220960.843619037</v>
      </c>
      <c r="BL42" s="16" t="n">
        <f aca="false">'P&amp;L monthly'!BL43/FX_EUR</f>
        <v>223530.894905745</v>
      </c>
    </row>
    <row r="43" customFormat="false" ht="15" hidden="false" customHeight="false" outlineLevel="0" collapsed="false">
      <c r="A43" s="8" t="s">
        <v>98</v>
      </c>
      <c r="B43" s="14" t="s">
        <v>79</v>
      </c>
      <c r="D43" s="55" t="n">
        <f aca="false">'P&amp;L monthly'!D44/FX_EUR</f>
        <v>5922868.73461839</v>
      </c>
      <c r="E43" s="16" t="n">
        <f aca="false">'P&amp;L monthly'!E44/FX_EUR</f>
        <v>-49074.7705566066</v>
      </c>
      <c r="F43" s="16" t="n">
        <f aca="false">'P&amp;L monthly'!F44/FX_EUR</f>
        <v>-61888.4605240892</v>
      </c>
      <c r="G43" s="16" t="n">
        <f aca="false">'P&amp;L monthly'!G44/FX_EUR</f>
        <v>-84298.4660579886</v>
      </c>
      <c r="H43" s="16" t="n">
        <f aca="false">'P&amp;L monthly'!H44/FX_EUR</f>
        <v>-56442.8739993628</v>
      </c>
      <c r="I43" s="16" t="n">
        <f aca="false">'P&amp;L monthly'!I44/FX_EUR</f>
        <v>-55431.8729047788</v>
      </c>
      <c r="J43" s="16" t="n">
        <f aca="false">'P&amp;L monthly'!J44/FX_EUR</f>
        <v>-52462.7936257001</v>
      </c>
      <c r="K43" s="16" t="n">
        <f aca="false">'P&amp;L monthly'!K44/FX_EUR</f>
        <v>-50025.193974478</v>
      </c>
      <c r="L43" s="16" t="n">
        <f aca="false">'P&amp;L monthly'!L44/FX_EUR</f>
        <v>-47592.5880352168</v>
      </c>
      <c r="M43" s="16" t="n">
        <f aca="false">'P&amp;L monthly'!M44/FX_EUR</f>
        <v>-45163.4271557694</v>
      </c>
      <c r="N43" s="16" t="n">
        <f aca="false">'P&amp;L monthly'!N44/FX_EUR</f>
        <v>-42736.0957653358</v>
      </c>
      <c r="O43" s="16" t="n">
        <f aca="false">'P&amp;L monthly'!O44/FX_EUR</f>
        <v>-39958.5900859544</v>
      </c>
      <c r="P43" s="16" t="n">
        <f aca="false">'P&amp;L monthly'!P44/FX_EUR</f>
        <v>-37078.7547588123</v>
      </c>
      <c r="Q43" s="16" t="n">
        <f aca="false">'P&amp;L monthly'!Q44/FX_EUR</f>
        <v>-56711.7580953517</v>
      </c>
      <c r="R43" s="16" t="n">
        <f aca="false">'P&amp;L monthly'!R44/FX_EUR</f>
        <v>-50920.1409400348</v>
      </c>
      <c r="S43" s="16" t="n">
        <f aca="false">'P&amp;L monthly'!S44/FX_EUR</f>
        <v>-54278.1657335523</v>
      </c>
      <c r="T43" s="16" t="n">
        <f aca="false">'P&amp;L monthly'!T44/FX_EUR</f>
        <v>-82629.4676353765</v>
      </c>
      <c r="U43" s="16" t="n">
        <f aca="false">'P&amp;L monthly'!U44/FX_EUR</f>
        <v>-38554.7623705014</v>
      </c>
      <c r="V43" s="16" t="n">
        <f aca="false">'P&amp;L monthly'!V44/FX_EUR</f>
        <v>-45273.1881383464</v>
      </c>
      <c r="W43" s="16" t="n">
        <f aca="false">'P&amp;L monthly'!W44/FX_EUR</f>
        <v>-41824.1187732239</v>
      </c>
      <c r="X43" s="16" t="n">
        <f aca="false">'P&amp;L monthly'!X44/FX_EUR</f>
        <v>-35687.1814855769</v>
      </c>
      <c r="Y43" s="16" t="n">
        <f aca="false">'P&amp;L monthly'!Y44/FX_EUR</f>
        <v>-27999.7073907421</v>
      </c>
      <c r="Z43" s="16" t="n">
        <f aca="false">'P&amp;L monthly'!Z44/FX_EUR</f>
        <v>-18002.5398139034</v>
      </c>
      <c r="AA43" s="16" t="n">
        <f aca="false">'P&amp;L monthly'!AA44/FX_EUR</f>
        <v>-9411.11346717202</v>
      </c>
      <c r="AB43" s="16" t="n">
        <f aca="false">'P&amp;L monthly'!AB44/FX_EUR</f>
        <v>-10334.6491354438</v>
      </c>
      <c r="AC43" s="16" t="n">
        <f aca="false">'P&amp;L monthly'!AC44/FX_EUR</f>
        <v>-14038.6085656909</v>
      </c>
      <c r="AD43" s="16" t="n">
        <f aca="false">'P&amp;L monthly'!AD44/FX_EUR</f>
        <v>-4133.15053511071</v>
      </c>
      <c r="AE43" s="16" t="n">
        <f aca="false">'P&amp;L monthly'!AE44/FX_EUR</f>
        <v>8187.18684404277</v>
      </c>
      <c r="AF43" s="16" t="n">
        <f aca="false">'P&amp;L monthly'!AF44/FX_EUR</f>
        <v>4240.07334424545</v>
      </c>
      <c r="AG43" s="16" t="n">
        <f aca="false">'P&amp;L monthly'!AG44/FX_EUR</f>
        <v>6853.11762459853</v>
      </c>
      <c r="AH43" s="16" t="n">
        <f aca="false">'P&amp;L monthly'!AH44/FX_EUR</f>
        <v>32484.2591432505</v>
      </c>
      <c r="AI43" s="16" t="n">
        <f aca="false">'P&amp;L monthly'!AI44/FX_EUR</f>
        <v>43421.0911700254</v>
      </c>
      <c r="AJ43" s="16" t="n">
        <f aca="false">'P&amp;L monthly'!AJ44/FX_EUR</f>
        <v>56390.6198981313</v>
      </c>
      <c r="AK43" s="16" t="n">
        <f aca="false">'P&amp;L monthly'!AK44/FX_EUR</f>
        <v>67406.0262290825</v>
      </c>
      <c r="AL43" s="16" t="n">
        <f aca="false">'P&amp;L monthly'!AL44/FX_EUR</f>
        <v>75407.8030631546</v>
      </c>
      <c r="AM43" s="16" t="n">
        <f aca="false">'P&amp;L monthly'!AM44/FX_EUR</f>
        <v>88572.6816947421</v>
      </c>
      <c r="AN43" s="16" t="n">
        <f aca="false">'P&amp;L monthly'!AN44/FX_EUR</f>
        <v>100407.539883024</v>
      </c>
      <c r="AO43" s="16" t="n">
        <f aca="false">'P&amp;L monthly'!AO44/FX_EUR</f>
        <v>99815.3749751364</v>
      </c>
      <c r="AP43" s="16" t="n">
        <f aca="false">'P&amp;L monthly'!AP44/FX_EUR</f>
        <v>116360.728509686</v>
      </c>
      <c r="AQ43" s="16" t="n">
        <f aca="false">'P&amp;L monthly'!AQ44/FX_EUR</f>
        <v>127594.55089804</v>
      </c>
      <c r="AR43" s="16" t="n">
        <f aca="false">'P&amp;L monthly'!AR44/FX_EUR</f>
        <v>126559.047283447</v>
      </c>
      <c r="AS43" s="16" t="n">
        <f aca="false">'P&amp;L monthly'!AS44/FX_EUR</f>
        <v>155581.576268996</v>
      </c>
      <c r="AT43" s="16" t="n">
        <f aca="false">'P&amp;L monthly'!AT44/FX_EUR</f>
        <v>170678.818381833</v>
      </c>
      <c r="AU43" s="16" t="n">
        <f aca="false">'P&amp;L monthly'!AU44/FX_EUR</f>
        <v>182399.133561665</v>
      </c>
      <c r="AV43" s="16" t="n">
        <f aca="false">'P&amp;L monthly'!AV44/FX_EUR</f>
        <v>201029.940587003</v>
      </c>
      <c r="AW43" s="16" t="n">
        <f aca="false">'P&amp;L monthly'!AW44/FX_EUR</f>
        <v>212667.799979402</v>
      </c>
      <c r="AX43" s="16" t="n">
        <f aca="false">'P&amp;L monthly'!AX44/FX_EUR</f>
        <v>232055.861626683</v>
      </c>
      <c r="AY43" s="16" t="n">
        <f aca="false">'P&amp;L monthly'!AY44/FX_EUR</f>
        <v>249908.045345658</v>
      </c>
      <c r="AZ43" s="16" t="n">
        <f aca="false">'P&amp;L monthly'!AZ44/FX_EUR</f>
        <v>265101.309001047</v>
      </c>
      <c r="BA43" s="16" t="n">
        <f aca="false">'P&amp;L monthly'!BA44/FX_EUR</f>
        <v>263720.885307641</v>
      </c>
      <c r="BB43" s="16" t="n">
        <f aca="false">'P&amp;L monthly'!BB44/FX_EUR</f>
        <v>281029.600997239</v>
      </c>
      <c r="BC43" s="16" t="n">
        <f aca="false">'P&amp;L monthly'!BC44/FX_EUR</f>
        <v>302759.818336516</v>
      </c>
      <c r="BD43" s="16" t="n">
        <f aca="false">'P&amp;L monthly'!BD44/FX_EUR</f>
        <v>311555.842441411</v>
      </c>
      <c r="BE43" s="16" t="n">
        <f aca="false">'P&amp;L monthly'!BE44/FX_EUR</f>
        <v>341040.960358603</v>
      </c>
      <c r="BF43" s="16" t="n">
        <f aca="false">'P&amp;L monthly'!BF44/FX_EUR</f>
        <v>358445.047085527</v>
      </c>
      <c r="BG43" s="16" t="n">
        <f aca="false">'P&amp;L monthly'!BG44/FX_EUR</f>
        <v>378821.719699053</v>
      </c>
      <c r="BH43" s="16" t="n">
        <f aca="false">'P&amp;L monthly'!BH44/FX_EUR</f>
        <v>392180.026589292</v>
      </c>
      <c r="BI43" s="16" t="n">
        <f aca="false">'P&amp;L monthly'!BI44/FX_EUR</f>
        <v>414924.992841284</v>
      </c>
      <c r="BJ43" s="16" t="n">
        <f aca="false">'P&amp;L monthly'!BJ44/FX_EUR</f>
        <v>434225.803129985</v>
      </c>
      <c r="BK43" s="16" t="n">
        <f aca="false">'P&amp;L monthly'!BK44/FX_EUR</f>
        <v>456055.546461506</v>
      </c>
      <c r="BL43" s="16" t="n">
        <f aca="false">'P&amp;L monthly'!BL44/FX_EUR</f>
        <v>476938.345581555</v>
      </c>
    </row>
    <row r="44" customFormat="false" ht="15" hidden="false" customHeight="false" outlineLevel="0" collapsed="false">
      <c r="A44" s="12" t="s">
        <v>1113</v>
      </c>
      <c r="B44" s="14" t="s">
        <v>79</v>
      </c>
      <c r="D44" s="55" t="n">
        <f aca="false">'P&amp;L monthly'!D46/FX_EUR</f>
        <v>5922868.73461839</v>
      </c>
      <c r="E44" s="32" t="n">
        <f aca="false">'P&amp;L monthly'!E46/FX_EUR</f>
        <v>-49074.7705566066</v>
      </c>
      <c r="F44" s="32" t="n">
        <f aca="false">'P&amp;L monthly'!F46/FX_EUR</f>
        <v>-110963.231080696</v>
      </c>
      <c r="G44" s="32" t="n">
        <f aca="false">'P&amp;L monthly'!G46/FX_EUR</f>
        <v>-195261.697138684</v>
      </c>
      <c r="H44" s="32" t="n">
        <f aca="false">'P&amp;L monthly'!H46/FX_EUR</f>
        <v>-251704.571138047</v>
      </c>
      <c r="I44" s="32" t="n">
        <f aca="false">'P&amp;L monthly'!I46/FX_EUR</f>
        <v>-307136.444042826</v>
      </c>
      <c r="J44" s="32" t="n">
        <f aca="false">'P&amp;L monthly'!J46/FX_EUR</f>
        <v>-359599.237668526</v>
      </c>
      <c r="K44" s="32" t="n">
        <f aca="false">'P&amp;L monthly'!K46/FX_EUR</f>
        <v>-409624.431643004</v>
      </c>
      <c r="L44" s="32" t="n">
        <f aca="false">'P&amp;L monthly'!L46/FX_EUR</f>
        <v>-457217.019678221</v>
      </c>
      <c r="M44" s="32" t="n">
        <f aca="false">'P&amp;L monthly'!M46/FX_EUR</f>
        <v>-502380.44683399</v>
      </c>
      <c r="N44" s="32" t="n">
        <f aca="false">'P&amp;L monthly'!N46/FX_EUR</f>
        <v>-545116.542599326</v>
      </c>
      <c r="O44" s="32" t="n">
        <f aca="false">'P&amp;L monthly'!O46/FX_EUR</f>
        <v>-585075.13268528</v>
      </c>
      <c r="P44" s="32" t="n">
        <f aca="false">'P&amp;L monthly'!P46/FX_EUR</f>
        <v>-622153.887444093</v>
      </c>
      <c r="Q44" s="32" t="n">
        <f aca="false">'P&amp;L monthly'!Q46/FX_EUR</f>
        <v>-678865.645539444</v>
      </c>
      <c r="R44" s="32" t="n">
        <f aca="false">'P&amp;L monthly'!R46/FX_EUR</f>
        <v>-729785.786479479</v>
      </c>
      <c r="S44" s="32" t="n">
        <f aca="false">'P&amp;L monthly'!S46/FX_EUR</f>
        <v>-784063.952213032</v>
      </c>
      <c r="T44" s="32" t="n">
        <f aca="false">'P&amp;L monthly'!T46/FX_EUR</f>
        <v>-866693.419848408</v>
      </c>
      <c r="U44" s="32" t="n">
        <f aca="false">'P&amp;L monthly'!U46/FX_EUR</f>
        <v>-905248.182218909</v>
      </c>
      <c r="V44" s="32" t="n">
        <f aca="false">'P&amp;L monthly'!V46/FX_EUR</f>
        <v>-950521.370357256</v>
      </c>
      <c r="W44" s="32" t="n">
        <f aca="false">'P&amp;L monthly'!W46/FX_EUR</f>
        <v>-992345.48913048</v>
      </c>
      <c r="X44" s="32" t="n">
        <f aca="false">'P&amp;L monthly'!X46/FX_EUR</f>
        <v>-1028032.67061606</v>
      </c>
      <c r="Y44" s="32" t="n">
        <f aca="false">'P&amp;L monthly'!Y46/FX_EUR</f>
        <v>-1056032.3780068</v>
      </c>
      <c r="Z44" s="32" t="n">
        <f aca="false">'P&amp;L monthly'!Z46/FX_EUR</f>
        <v>-1074034.9178207</v>
      </c>
      <c r="AA44" s="32" t="n">
        <f aca="false">'P&amp;L monthly'!AA46/FX_EUR</f>
        <v>-1083446.03128787</v>
      </c>
      <c r="AB44" s="32" t="n">
        <f aca="false">'P&amp;L monthly'!AB46/FX_EUR</f>
        <v>-1093780.68042332</v>
      </c>
      <c r="AC44" s="32" t="n">
        <f aca="false">'P&amp;L monthly'!AC46/FX_EUR</f>
        <v>-1107819.28898901</v>
      </c>
      <c r="AD44" s="32" t="n">
        <f aca="false">'P&amp;L monthly'!AD46/FX_EUR</f>
        <v>-1111952.43952412</v>
      </c>
      <c r="AE44" s="32" t="n">
        <f aca="false">'P&amp;L monthly'!AE46/FX_EUR</f>
        <v>-1103765.25268008</v>
      </c>
      <c r="AF44" s="32" t="n">
        <f aca="false">'P&amp;L monthly'!AF46/FX_EUR</f>
        <v>-1099525.17933583</v>
      </c>
      <c r="AG44" s="32" t="n">
        <f aca="false">'P&amp;L monthly'!AG46/FX_EUR</f>
        <v>-1092672.06171123</v>
      </c>
      <c r="AH44" s="32" t="n">
        <f aca="false">'P&amp;L monthly'!AH46/FX_EUR</f>
        <v>-1060187.80256798</v>
      </c>
      <c r="AI44" s="32" t="n">
        <f aca="false">'P&amp;L monthly'!AI46/FX_EUR</f>
        <v>-1016766.71139796</v>
      </c>
      <c r="AJ44" s="32" t="n">
        <f aca="false">'P&amp;L monthly'!AJ46/FX_EUR</f>
        <v>-960376.091499826</v>
      </c>
      <c r="AK44" s="32" t="n">
        <f aca="false">'P&amp;L monthly'!AK46/FX_EUR</f>
        <v>-892970.065270743</v>
      </c>
      <c r="AL44" s="32" t="n">
        <f aca="false">'P&amp;L monthly'!AL46/FX_EUR</f>
        <v>-817562.262207588</v>
      </c>
      <c r="AM44" s="32" t="n">
        <f aca="false">'P&amp;L monthly'!AM46/FX_EUR</f>
        <v>-728989.580512846</v>
      </c>
      <c r="AN44" s="32" t="n">
        <f aca="false">'P&amp;L monthly'!AN46/FX_EUR</f>
        <v>-628582.040629823</v>
      </c>
      <c r="AO44" s="32" t="n">
        <f aca="false">'P&amp;L monthly'!AO46/FX_EUR</f>
        <v>-528766.665654686</v>
      </c>
      <c r="AP44" s="32" t="n">
        <f aca="false">'P&amp;L monthly'!AP46/FX_EUR</f>
        <v>-412405.937145</v>
      </c>
      <c r="AQ44" s="32" t="n">
        <f aca="false">'P&amp;L monthly'!AQ46/FX_EUR</f>
        <v>-284811.386246959</v>
      </c>
      <c r="AR44" s="32" t="n">
        <f aca="false">'P&amp;L monthly'!AR46/FX_EUR</f>
        <v>-158252.338963513</v>
      </c>
      <c r="AS44" s="32" t="n">
        <f aca="false">'P&amp;L monthly'!AS46/FX_EUR</f>
        <v>-2670.76269451652</v>
      </c>
      <c r="AT44" s="32" t="n">
        <f aca="false">'P&amp;L monthly'!AT46/FX_EUR</f>
        <v>168008.055687317</v>
      </c>
      <c r="AU44" s="32" t="n">
        <f aca="false">'P&amp;L monthly'!AU46/FX_EUR</f>
        <v>350407.189248982</v>
      </c>
      <c r="AV44" s="32" t="n">
        <f aca="false">'P&amp;L monthly'!AV46/FX_EUR</f>
        <v>551437.129835985</v>
      </c>
      <c r="AW44" s="32" t="n">
        <f aca="false">'P&amp;L monthly'!AW46/FX_EUR</f>
        <v>764104.929815387</v>
      </c>
      <c r="AX44" s="32" t="n">
        <f aca="false">'P&amp;L monthly'!AX46/FX_EUR</f>
        <v>996160.791442069</v>
      </c>
      <c r="AY44" s="32" t="n">
        <f aca="false">'P&amp;L monthly'!AY46/FX_EUR</f>
        <v>1246068.83678773</v>
      </c>
      <c r="AZ44" s="32" t="n">
        <f aca="false">'P&amp;L monthly'!AZ46/FX_EUR</f>
        <v>1511170.14578877</v>
      </c>
      <c r="BA44" s="32" t="n">
        <f aca="false">'P&amp;L monthly'!BA46/FX_EUR</f>
        <v>1774891.03109642</v>
      </c>
      <c r="BB44" s="32" t="n">
        <f aca="false">'P&amp;L monthly'!BB46/FX_EUR</f>
        <v>2055920.63209365</v>
      </c>
      <c r="BC44" s="32" t="n">
        <f aca="false">'P&amp;L monthly'!BC46/FX_EUR</f>
        <v>2358680.45043017</v>
      </c>
      <c r="BD44" s="32" t="n">
        <f aca="false">'P&amp;L monthly'!BD46/FX_EUR</f>
        <v>2670236.29287158</v>
      </c>
      <c r="BE44" s="32" t="n">
        <f aca="false">'P&amp;L monthly'!BE46/FX_EUR</f>
        <v>3011277.25323019</v>
      </c>
      <c r="BF44" s="32" t="n">
        <f aca="false">'P&amp;L monthly'!BF46/FX_EUR</f>
        <v>3369722.30031571</v>
      </c>
      <c r="BG44" s="32" t="n">
        <f aca="false">'P&amp;L monthly'!BG46/FX_EUR</f>
        <v>3748544.02001476</v>
      </c>
      <c r="BH44" s="32" t="n">
        <f aca="false">'P&amp;L monthly'!BH46/FX_EUR</f>
        <v>4140724.04660406</v>
      </c>
      <c r="BI44" s="32" t="n">
        <f aca="false">'P&amp;L monthly'!BI46/FX_EUR</f>
        <v>4555649.03944534</v>
      </c>
      <c r="BJ44" s="32" t="n">
        <f aca="false">'P&amp;L monthly'!BJ46/FX_EUR</f>
        <v>4989874.84257533</v>
      </c>
      <c r="BK44" s="32" t="n">
        <f aca="false">'P&amp;L monthly'!BK46/FX_EUR</f>
        <v>5445930.38903683</v>
      </c>
      <c r="BL44" s="32" t="n">
        <f aca="false">'P&amp;L monthly'!BL46/FX_EUR</f>
        <v>5922868.73461839</v>
      </c>
    </row>
    <row r="45" customFormat="false" ht="15" hidden="false" customHeight="false" outlineLevel="0" collapsed="false">
      <c r="A45" s="12" t="s">
        <v>1114</v>
      </c>
      <c r="B45" s="14" t="s">
        <v>79</v>
      </c>
      <c r="D45" s="55" t="n">
        <f aca="false">'P&amp;L monthly'!D47/FX_EUR</f>
        <v>1776860.62038552</v>
      </c>
      <c r="E45" s="32" t="n">
        <f aca="false">'P&amp;L monthly'!E47/FX_EUR</f>
        <v>0</v>
      </c>
      <c r="F45" s="32" t="n">
        <f aca="false">'P&amp;L monthly'!F47/FX_EUR</f>
        <v>0</v>
      </c>
      <c r="G45" s="32" t="n">
        <f aca="false">'P&amp;L monthly'!G47/FX_EUR</f>
        <v>0</v>
      </c>
      <c r="H45" s="32" t="n">
        <f aca="false">'P&amp;L monthly'!H47/FX_EUR</f>
        <v>0</v>
      </c>
      <c r="I45" s="32" t="n">
        <f aca="false">'P&amp;L monthly'!I47/FX_EUR</f>
        <v>0</v>
      </c>
      <c r="J45" s="32" t="n">
        <f aca="false">'P&amp;L monthly'!J47/FX_EUR</f>
        <v>0</v>
      </c>
      <c r="K45" s="32" t="n">
        <f aca="false">'P&amp;L monthly'!K47/FX_EUR</f>
        <v>0</v>
      </c>
      <c r="L45" s="32" t="n">
        <f aca="false">'P&amp;L monthly'!L47/FX_EUR</f>
        <v>0</v>
      </c>
      <c r="M45" s="32" t="n">
        <f aca="false">'P&amp;L monthly'!M47/FX_EUR</f>
        <v>0</v>
      </c>
      <c r="N45" s="32" t="n">
        <f aca="false">'P&amp;L monthly'!N47/FX_EUR</f>
        <v>0</v>
      </c>
      <c r="O45" s="32" t="n">
        <f aca="false">'P&amp;L monthly'!O47/FX_EUR</f>
        <v>0</v>
      </c>
      <c r="P45" s="32" t="n">
        <f aca="false">'P&amp;L monthly'!P47/FX_EUR</f>
        <v>0</v>
      </c>
      <c r="Q45" s="32" t="n">
        <f aca="false">'P&amp;L monthly'!Q47/FX_EUR</f>
        <v>0</v>
      </c>
      <c r="R45" s="32" t="n">
        <f aca="false">'P&amp;L monthly'!R47/FX_EUR</f>
        <v>0</v>
      </c>
      <c r="S45" s="32" t="n">
        <f aca="false">'P&amp;L monthly'!S47/FX_EUR</f>
        <v>0</v>
      </c>
      <c r="T45" s="32" t="n">
        <f aca="false">'P&amp;L monthly'!T47/FX_EUR</f>
        <v>0</v>
      </c>
      <c r="U45" s="32" t="n">
        <f aca="false">'P&amp;L monthly'!U47/FX_EUR</f>
        <v>0</v>
      </c>
      <c r="V45" s="32" t="n">
        <f aca="false">'P&amp;L monthly'!V47/FX_EUR</f>
        <v>0</v>
      </c>
      <c r="W45" s="32" t="n">
        <f aca="false">'P&amp;L monthly'!W47/FX_EUR</f>
        <v>0</v>
      </c>
      <c r="X45" s="32" t="n">
        <f aca="false">'P&amp;L monthly'!X47/FX_EUR</f>
        <v>0</v>
      </c>
      <c r="Y45" s="32" t="n">
        <f aca="false">'P&amp;L monthly'!Y47/FX_EUR</f>
        <v>0</v>
      </c>
      <c r="Z45" s="32" t="n">
        <f aca="false">'P&amp;L monthly'!Z47/FX_EUR</f>
        <v>0</v>
      </c>
      <c r="AA45" s="32" t="n">
        <f aca="false">'P&amp;L monthly'!AA47/FX_EUR</f>
        <v>0</v>
      </c>
      <c r="AB45" s="32" t="n">
        <f aca="false">'P&amp;L monthly'!AB47/FX_EUR</f>
        <v>0</v>
      </c>
      <c r="AC45" s="32" t="n">
        <f aca="false">'P&amp;L monthly'!AC47/FX_EUR</f>
        <v>0</v>
      </c>
      <c r="AD45" s="32" t="n">
        <f aca="false">'P&amp;L monthly'!AD47/FX_EUR</f>
        <v>0</v>
      </c>
      <c r="AE45" s="32" t="n">
        <f aca="false">'P&amp;L monthly'!AE47/FX_EUR</f>
        <v>0</v>
      </c>
      <c r="AF45" s="32" t="n">
        <f aca="false">'P&amp;L monthly'!AF47/FX_EUR</f>
        <v>0</v>
      </c>
      <c r="AG45" s="32" t="n">
        <f aca="false">'P&amp;L monthly'!AG47/FX_EUR</f>
        <v>0</v>
      </c>
      <c r="AH45" s="32" t="n">
        <f aca="false">'P&amp;L monthly'!AH47/FX_EUR</f>
        <v>0</v>
      </c>
      <c r="AI45" s="32" t="n">
        <f aca="false">'P&amp;L monthly'!AI47/FX_EUR</f>
        <v>0</v>
      </c>
      <c r="AJ45" s="32" t="n">
        <f aca="false">'P&amp;L monthly'!AJ47/FX_EUR</f>
        <v>0</v>
      </c>
      <c r="AK45" s="32" t="n">
        <f aca="false">'P&amp;L monthly'!AK47/FX_EUR</f>
        <v>0</v>
      </c>
      <c r="AL45" s="32" t="n">
        <f aca="false">'P&amp;L monthly'!AL47/FX_EUR</f>
        <v>0</v>
      </c>
      <c r="AM45" s="32" t="n">
        <f aca="false">'P&amp;L monthly'!AM47/FX_EUR</f>
        <v>0</v>
      </c>
      <c r="AN45" s="32" t="n">
        <f aca="false">'P&amp;L monthly'!AN47/FX_EUR</f>
        <v>0</v>
      </c>
      <c r="AO45" s="32" t="n">
        <f aca="false">'P&amp;L monthly'!AO47/FX_EUR</f>
        <v>0</v>
      </c>
      <c r="AP45" s="32" t="n">
        <f aca="false">'P&amp;L monthly'!AP47/FX_EUR</f>
        <v>0</v>
      </c>
      <c r="AQ45" s="32" t="n">
        <f aca="false">'P&amp;L monthly'!AQ47/FX_EUR</f>
        <v>0</v>
      </c>
      <c r="AR45" s="32" t="n">
        <f aca="false">'P&amp;L monthly'!AR47/FX_EUR</f>
        <v>0</v>
      </c>
      <c r="AS45" s="32" t="n">
        <f aca="false">'P&amp;L monthly'!AS47/FX_EUR</f>
        <v>0</v>
      </c>
      <c r="AT45" s="32" t="n">
        <f aca="false">'P&amp;L monthly'!AT47/FX_EUR</f>
        <v>50402.4167061951</v>
      </c>
      <c r="AU45" s="32" t="n">
        <f aca="false">'P&amp;L monthly'!AU47/FX_EUR</f>
        <v>54719.7400684994</v>
      </c>
      <c r="AV45" s="32" t="n">
        <f aca="false">'P&amp;L monthly'!AV47/FX_EUR</f>
        <v>60308.9821761009</v>
      </c>
      <c r="AW45" s="32" t="n">
        <f aca="false">'P&amp;L monthly'!AW47/FX_EUR</f>
        <v>63800.3399938206</v>
      </c>
      <c r="AX45" s="32" t="n">
        <f aca="false">'P&amp;L monthly'!AX47/FX_EUR</f>
        <v>69616.7584880048</v>
      </c>
      <c r="AY45" s="32" t="n">
        <f aca="false">'P&amp;L monthly'!AY47/FX_EUR</f>
        <v>74972.4136036975</v>
      </c>
      <c r="AZ45" s="32" t="n">
        <f aca="false">'P&amp;L monthly'!AZ47/FX_EUR</f>
        <v>79530.3927003139</v>
      </c>
      <c r="BA45" s="32" t="n">
        <f aca="false">'P&amp;L monthly'!BA47/FX_EUR</f>
        <v>79116.2655922923</v>
      </c>
      <c r="BB45" s="32" t="n">
        <f aca="false">'P&amp;L monthly'!BB47/FX_EUR</f>
        <v>84308.8802991717</v>
      </c>
      <c r="BC45" s="32" t="n">
        <f aca="false">'P&amp;L monthly'!BC47/FX_EUR</f>
        <v>90827.945500955</v>
      </c>
      <c r="BD45" s="32" t="n">
        <f aca="false">'P&amp;L monthly'!BD47/FX_EUR</f>
        <v>93466.7527324234</v>
      </c>
      <c r="BE45" s="32" t="n">
        <f aca="false">'P&amp;L monthly'!BE47/FX_EUR</f>
        <v>102312.288107581</v>
      </c>
      <c r="BF45" s="32" t="n">
        <f aca="false">'P&amp;L monthly'!BF47/FX_EUR</f>
        <v>107533.514125658</v>
      </c>
      <c r="BG45" s="32" t="n">
        <f aca="false">'P&amp;L monthly'!BG47/FX_EUR</f>
        <v>113646.515909716</v>
      </c>
      <c r="BH45" s="32" t="n">
        <f aca="false">'P&amp;L monthly'!BH47/FX_EUR</f>
        <v>117654.007976788</v>
      </c>
      <c r="BI45" s="32" t="n">
        <f aca="false">'P&amp;L monthly'!BI47/FX_EUR</f>
        <v>124477.497852385</v>
      </c>
      <c r="BJ45" s="32" t="n">
        <f aca="false">'P&amp;L monthly'!BJ47/FX_EUR</f>
        <v>130267.740938996</v>
      </c>
      <c r="BK45" s="32" t="n">
        <f aca="false">'P&amp;L monthly'!BK47/FX_EUR</f>
        <v>136816.663938452</v>
      </c>
      <c r="BL45" s="32" t="n">
        <f aca="false">'P&amp;L monthly'!BL47/FX_EUR</f>
        <v>143081.503674466</v>
      </c>
    </row>
    <row r="46" customFormat="false" ht="15" hidden="false" customHeight="false" outlineLevel="0" collapsed="false">
      <c r="A46" s="8" t="s">
        <v>100</v>
      </c>
      <c r="B46" s="14" t="s">
        <v>79</v>
      </c>
      <c r="D46" s="55" t="n">
        <f aca="false">'P&amp;L monthly'!D48/FX_EUR</f>
        <v>4146008.11423287</v>
      </c>
      <c r="E46" s="16" t="n">
        <f aca="false">'P&amp;L monthly'!E48/FX_EUR</f>
        <v>-49074.7705566066</v>
      </c>
      <c r="F46" s="16" t="n">
        <f aca="false">'P&amp;L monthly'!F48/FX_EUR</f>
        <v>-61888.4605240892</v>
      </c>
      <c r="G46" s="16" t="n">
        <f aca="false">'P&amp;L monthly'!G48/FX_EUR</f>
        <v>-84298.4660579886</v>
      </c>
      <c r="H46" s="16" t="n">
        <f aca="false">'P&amp;L monthly'!H48/FX_EUR</f>
        <v>-56442.8739993628</v>
      </c>
      <c r="I46" s="16" t="n">
        <f aca="false">'P&amp;L monthly'!I48/FX_EUR</f>
        <v>-55431.8729047788</v>
      </c>
      <c r="J46" s="16" t="n">
        <f aca="false">'P&amp;L monthly'!J48/FX_EUR</f>
        <v>-52462.7936257001</v>
      </c>
      <c r="K46" s="16" t="n">
        <f aca="false">'P&amp;L monthly'!K48/FX_EUR</f>
        <v>-50025.193974478</v>
      </c>
      <c r="L46" s="16" t="n">
        <f aca="false">'P&amp;L monthly'!L48/FX_EUR</f>
        <v>-47592.5880352168</v>
      </c>
      <c r="M46" s="16" t="n">
        <f aca="false">'P&amp;L monthly'!M48/FX_EUR</f>
        <v>-45163.4271557694</v>
      </c>
      <c r="N46" s="16" t="n">
        <f aca="false">'P&amp;L monthly'!N48/FX_EUR</f>
        <v>-42736.0957653358</v>
      </c>
      <c r="O46" s="16" t="n">
        <f aca="false">'P&amp;L monthly'!O48/FX_EUR</f>
        <v>-39958.5900859544</v>
      </c>
      <c r="P46" s="16" t="n">
        <f aca="false">'P&amp;L monthly'!P48/FX_EUR</f>
        <v>-37078.7547588123</v>
      </c>
      <c r="Q46" s="16" t="n">
        <f aca="false">'P&amp;L monthly'!Q48/FX_EUR</f>
        <v>-56711.7580953517</v>
      </c>
      <c r="R46" s="16" t="n">
        <f aca="false">'P&amp;L monthly'!R48/FX_EUR</f>
        <v>-50920.1409400348</v>
      </c>
      <c r="S46" s="16" t="n">
        <f aca="false">'P&amp;L monthly'!S48/FX_EUR</f>
        <v>-54278.1657335523</v>
      </c>
      <c r="T46" s="16" t="n">
        <f aca="false">'P&amp;L monthly'!T48/FX_EUR</f>
        <v>-82629.4676353765</v>
      </c>
      <c r="U46" s="16" t="n">
        <f aca="false">'P&amp;L monthly'!U48/FX_EUR</f>
        <v>-38554.7623705014</v>
      </c>
      <c r="V46" s="16" t="n">
        <f aca="false">'P&amp;L monthly'!V48/FX_EUR</f>
        <v>-45273.1881383464</v>
      </c>
      <c r="W46" s="16" t="n">
        <f aca="false">'P&amp;L monthly'!W48/FX_EUR</f>
        <v>-41824.1187732239</v>
      </c>
      <c r="X46" s="16" t="n">
        <f aca="false">'P&amp;L monthly'!X48/FX_EUR</f>
        <v>-35687.1814855769</v>
      </c>
      <c r="Y46" s="16" t="n">
        <f aca="false">'P&amp;L monthly'!Y48/FX_EUR</f>
        <v>-27999.7073907421</v>
      </c>
      <c r="Z46" s="16" t="n">
        <f aca="false">'P&amp;L monthly'!Z48/FX_EUR</f>
        <v>-18002.5398139034</v>
      </c>
      <c r="AA46" s="16" t="n">
        <f aca="false">'P&amp;L monthly'!AA48/FX_EUR</f>
        <v>-9411.11346717202</v>
      </c>
      <c r="AB46" s="16" t="n">
        <f aca="false">'P&amp;L monthly'!AB48/FX_EUR</f>
        <v>-10334.6491354438</v>
      </c>
      <c r="AC46" s="16" t="n">
        <f aca="false">'P&amp;L monthly'!AC48/FX_EUR</f>
        <v>-14038.6085656909</v>
      </c>
      <c r="AD46" s="16" t="n">
        <f aca="false">'P&amp;L monthly'!AD48/FX_EUR</f>
        <v>-4133.15053511071</v>
      </c>
      <c r="AE46" s="16" t="n">
        <f aca="false">'P&amp;L monthly'!AE48/FX_EUR</f>
        <v>8187.18684404277</v>
      </c>
      <c r="AF46" s="16" t="n">
        <f aca="false">'P&amp;L monthly'!AF48/FX_EUR</f>
        <v>4240.07334424545</v>
      </c>
      <c r="AG46" s="16" t="n">
        <f aca="false">'P&amp;L monthly'!AG48/FX_EUR</f>
        <v>6853.11762459853</v>
      </c>
      <c r="AH46" s="16" t="n">
        <f aca="false">'P&amp;L monthly'!AH48/FX_EUR</f>
        <v>32484.2591432505</v>
      </c>
      <c r="AI46" s="16" t="n">
        <f aca="false">'P&amp;L monthly'!AI48/FX_EUR</f>
        <v>43421.0911700254</v>
      </c>
      <c r="AJ46" s="16" t="n">
        <f aca="false">'P&amp;L monthly'!AJ48/FX_EUR</f>
        <v>56390.6198981313</v>
      </c>
      <c r="AK46" s="16" t="n">
        <f aca="false">'P&amp;L monthly'!AK48/FX_EUR</f>
        <v>67406.0262290825</v>
      </c>
      <c r="AL46" s="16" t="n">
        <f aca="false">'P&amp;L monthly'!AL48/FX_EUR</f>
        <v>75407.8030631546</v>
      </c>
      <c r="AM46" s="16" t="n">
        <f aca="false">'P&amp;L monthly'!AM48/FX_EUR</f>
        <v>88572.6816947421</v>
      </c>
      <c r="AN46" s="16" t="n">
        <f aca="false">'P&amp;L monthly'!AN48/FX_EUR</f>
        <v>100407.539883024</v>
      </c>
      <c r="AO46" s="16" t="n">
        <f aca="false">'P&amp;L monthly'!AO48/FX_EUR</f>
        <v>99815.3749751364</v>
      </c>
      <c r="AP46" s="16" t="n">
        <f aca="false">'P&amp;L monthly'!AP48/FX_EUR</f>
        <v>116360.728509686</v>
      </c>
      <c r="AQ46" s="16" t="n">
        <f aca="false">'P&amp;L monthly'!AQ48/FX_EUR</f>
        <v>127594.55089804</v>
      </c>
      <c r="AR46" s="16" t="n">
        <f aca="false">'P&amp;L monthly'!AR48/FX_EUR</f>
        <v>126559.047283447</v>
      </c>
      <c r="AS46" s="16" t="n">
        <f aca="false">'P&amp;L monthly'!AS48/FX_EUR</f>
        <v>155581.576268996</v>
      </c>
      <c r="AT46" s="16" t="n">
        <f aca="false">'P&amp;L monthly'!AT48/FX_EUR</f>
        <v>120276.401675638</v>
      </c>
      <c r="AU46" s="16" t="n">
        <f aca="false">'P&amp;L monthly'!AU48/FX_EUR</f>
        <v>127679.393493165</v>
      </c>
      <c r="AV46" s="16" t="n">
        <f aca="false">'P&amp;L monthly'!AV48/FX_EUR</f>
        <v>140720.958410902</v>
      </c>
      <c r="AW46" s="16" t="n">
        <f aca="false">'P&amp;L monthly'!AW48/FX_EUR</f>
        <v>148867.459985581</v>
      </c>
      <c r="AX46" s="16" t="n">
        <f aca="false">'P&amp;L monthly'!AX48/FX_EUR</f>
        <v>162439.103138678</v>
      </c>
      <c r="AY46" s="16" t="n">
        <f aca="false">'P&amp;L monthly'!AY48/FX_EUR</f>
        <v>174935.631741961</v>
      </c>
      <c r="AZ46" s="16" t="n">
        <f aca="false">'P&amp;L monthly'!AZ48/FX_EUR</f>
        <v>185570.916300733</v>
      </c>
      <c r="BA46" s="16" t="n">
        <f aca="false">'P&amp;L monthly'!BA48/FX_EUR</f>
        <v>184604.619715349</v>
      </c>
      <c r="BB46" s="16" t="n">
        <f aca="false">'P&amp;L monthly'!BB48/FX_EUR</f>
        <v>196720.720698067</v>
      </c>
      <c r="BC46" s="16" t="n">
        <f aca="false">'P&amp;L monthly'!BC48/FX_EUR</f>
        <v>211931.872835562</v>
      </c>
      <c r="BD46" s="16" t="n">
        <f aca="false">'P&amp;L monthly'!BD48/FX_EUR</f>
        <v>218089.089708988</v>
      </c>
      <c r="BE46" s="16" t="n">
        <f aca="false">'P&amp;L monthly'!BE48/FX_EUR</f>
        <v>238728.672251022</v>
      </c>
      <c r="BF46" s="16" t="n">
        <f aca="false">'P&amp;L monthly'!BF48/FX_EUR</f>
        <v>250911.532959869</v>
      </c>
      <c r="BG46" s="16" t="n">
        <f aca="false">'P&amp;L monthly'!BG48/FX_EUR</f>
        <v>265175.203789337</v>
      </c>
      <c r="BH46" s="16" t="n">
        <f aca="false">'P&amp;L monthly'!BH48/FX_EUR</f>
        <v>274526.018612505</v>
      </c>
      <c r="BI46" s="16" t="n">
        <f aca="false">'P&amp;L monthly'!BI48/FX_EUR</f>
        <v>290447.494988899</v>
      </c>
      <c r="BJ46" s="16" t="n">
        <f aca="false">'P&amp;L monthly'!BJ48/FX_EUR</f>
        <v>303958.06219099</v>
      </c>
      <c r="BK46" s="16" t="n">
        <f aca="false">'P&amp;L monthly'!BK48/FX_EUR</f>
        <v>319238.882523054</v>
      </c>
      <c r="BL46" s="16" t="n">
        <f aca="false">'P&amp;L monthly'!BL48/FX_EUR</f>
        <v>333856.841907088</v>
      </c>
    </row>
    <row r="47" customFormat="false" ht="15" hidden="false" customHeight="false" outlineLevel="0" collapsed="false">
      <c r="A47" s="12" t="s">
        <v>1115</v>
      </c>
      <c r="B47" s="14" t="s">
        <v>79</v>
      </c>
      <c r="D47" s="55" t="n">
        <f aca="false">'P&amp;L monthly'!D49/FX_EUR</f>
        <v>4146008.11423287</v>
      </c>
      <c r="E47" s="32" t="n">
        <f aca="false">'P&amp;L monthly'!E49/FX_EUR</f>
        <v>-49074.7705566066</v>
      </c>
      <c r="F47" s="32" t="n">
        <f aca="false">'P&amp;L monthly'!F49/FX_EUR</f>
        <v>-110963.231080696</v>
      </c>
      <c r="G47" s="32" t="n">
        <f aca="false">'P&amp;L monthly'!G49/FX_EUR</f>
        <v>-195261.697138684</v>
      </c>
      <c r="H47" s="32" t="n">
        <f aca="false">'P&amp;L monthly'!H49/FX_EUR</f>
        <v>-251704.571138047</v>
      </c>
      <c r="I47" s="32" t="n">
        <f aca="false">'P&amp;L monthly'!I49/FX_EUR</f>
        <v>-307136.444042826</v>
      </c>
      <c r="J47" s="32" t="n">
        <f aca="false">'P&amp;L monthly'!J49/FX_EUR</f>
        <v>-359599.237668526</v>
      </c>
      <c r="K47" s="32" t="n">
        <f aca="false">'P&amp;L monthly'!K49/FX_EUR</f>
        <v>-409624.431643004</v>
      </c>
      <c r="L47" s="32" t="n">
        <f aca="false">'P&amp;L monthly'!L49/FX_EUR</f>
        <v>-457217.019678221</v>
      </c>
      <c r="M47" s="32" t="n">
        <f aca="false">'P&amp;L monthly'!M49/FX_EUR</f>
        <v>-502380.44683399</v>
      </c>
      <c r="N47" s="32" t="n">
        <f aca="false">'P&amp;L monthly'!N49/FX_EUR</f>
        <v>-545116.542599326</v>
      </c>
      <c r="O47" s="32" t="n">
        <f aca="false">'P&amp;L monthly'!O49/FX_EUR</f>
        <v>-585075.13268528</v>
      </c>
      <c r="P47" s="32" t="n">
        <f aca="false">'P&amp;L monthly'!P49/FX_EUR</f>
        <v>-622153.887444093</v>
      </c>
      <c r="Q47" s="32" t="n">
        <f aca="false">'P&amp;L monthly'!Q49/FX_EUR</f>
        <v>-678865.645539444</v>
      </c>
      <c r="R47" s="32" t="n">
        <f aca="false">'P&amp;L monthly'!R49/FX_EUR</f>
        <v>-729785.786479479</v>
      </c>
      <c r="S47" s="32" t="n">
        <f aca="false">'P&amp;L monthly'!S49/FX_EUR</f>
        <v>-784063.952213032</v>
      </c>
      <c r="T47" s="32" t="n">
        <f aca="false">'P&amp;L monthly'!T49/FX_EUR</f>
        <v>-866693.419848408</v>
      </c>
      <c r="U47" s="32" t="n">
        <f aca="false">'P&amp;L monthly'!U49/FX_EUR</f>
        <v>-905248.182218909</v>
      </c>
      <c r="V47" s="32" t="n">
        <f aca="false">'P&amp;L monthly'!V49/FX_EUR</f>
        <v>-950521.370357256</v>
      </c>
      <c r="W47" s="32" t="n">
        <f aca="false">'P&amp;L monthly'!W49/FX_EUR</f>
        <v>-992345.48913048</v>
      </c>
      <c r="X47" s="32" t="n">
        <f aca="false">'P&amp;L monthly'!X49/FX_EUR</f>
        <v>-1028032.67061606</v>
      </c>
      <c r="Y47" s="32" t="n">
        <f aca="false">'P&amp;L monthly'!Y49/FX_EUR</f>
        <v>-1056032.3780068</v>
      </c>
      <c r="Z47" s="32" t="n">
        <f aca="false">'P&amp;L monthly'!Z49/FX_EUR</f>
        <v>-1074034.9178207</v>
      </c>
      <c r="AA47" s="32" t="n">
        <f aca="false">'P&amp;L monthly'!AA49/FX_EUR</f>
        <v>-1083446.03128787</v>
      </c>
      <c r="AB47" s="32" t="n">
        <f aca="false">'P&amp;L monthly'!AB49/FX_EUR</f>
        <v>-1093780.68042332</v>
      </c>
      <c r="AC47" s="32" t="n">
        <f aca="false">'P&amp;L monthly'!AC49/FX_EUR</f>
        <v>-1107819.28898901</v>
      </c>
      <c r="AD47" s="32" t="n">
        <f aca="false">'P&amp;L monthly'!AD49/FX_EUR</f>
        <v>-1111952.43952412</v>
      </c>
      <c r="AE47" s="32" t="n">
        <f aca="false">'P&amp;L monthly'!AE49/FX_EUR</f>
        <v>-1103765.25268008</v>
      </c>
      <c r="AF47" s="32" t="n">
        <f aca="false">'P&amp;L monthly'!AF49/FX_EUR</f>
        <v>-1099525.17933583</v>
      </c>
      <c r="AG47" s="32" t="n">
        <f aca="false">'P&amp;L monthly'!AG49/FX_EUR</f>
        <v>-1092672.06171123</v>
      </c>
      <c r="AH47" s="32" t="n">
        <f aca="false">'P&amp;L monthly'!AH49/FX_EUR</f>
        <v>-1060187.80256798</v>
      </c>
      <c r="AI47" s="32" t="n">
        <f aca="false">'P&amp;L monthly'!AI49/FX_EUR</f>
        <v>-1016766.71139796</v>
      </c>
      <c r="AJ47" s="32" t="n">
        <f aca="false">'P&amp;L monthly'!AJ49/FX_EUR</f>
        <v>-960376.091499826</v>
      </c>
      <c r="AK47" s="32" t="n">
        <f aca="false">'P&amp;L monthly'!AK49/FX_EUR</f>
        <v>-892970.065270743</v>
      </c>
      <c r="AL47" s="32" t="n">
        <f aca="false">'P&amp;L monthly'!AL49/FX_EUR</f>
        <v>-817562.262207588</v>
      </c>
      <c r="AM47" s="32" t="n">
        <f aca="false">'P&amp;L monthly'!AM49/FX_EUR</f>
        <v>-728989.580512846</v>
      </c>
      <c r="AN47" s="32" t="n">
        <f aca="false">'P&amp;L monthly'!AN49/FX_EUR</f>
        <v>-628582.040629823</v>
      </c>
      <c r="AO47" s="32" t="n">
        <f aca="false">'P&amp;L monthly'!AO49/FX_EUR</f>
        <v>-528766.665654686</v>
      </c>
      <c r="AP47" s="32" t="n">
        <f aca="false">'P&amp;L monthly'!AP49/FX_EUR</f>
        <v>-412405.937145</v>
      </c>
      <c r="AQ47" s="32" t="n">
        <f aca="false">'P&amp;L monthly'!AQ49/FX_EUR</f>
        <v>-284811.386246959</v>
      </c>
      <c r="AR47" s="32" t="n">
        <f aca="false">'P&amp;L monthly'!AR49/FX_EUR</f>
        <v>-158252.338963513</v>
      </c>
      <c r="AS47" s="32" t="n">
        <f aca="false">'P&amp;L monthly'!AS49/FX_EUR</f>
        <v>-2670.76269451652</v>
      </c>
      <c r="AT47" s="32" t="n">
        <f aca="false">'P&amp;L monthly'!AT49/FX_EUR</f>
        <v>117605.638981122</v>
      </c>
      <c r="AU47" s="32" t="n">
        <f aca="false">'P&amp;L monthly'!AU49/FX_EUR</f>
        <v>245285.032474287</v>
      </c>
      <c r="AV47" s="32" t="n">
        <f aca="false">'P&amp;L monthly'!AV49/FX_EUR</f>
        <v>386005.990885189</v>
      </c>
      <c r="AW47" s="32" t="n">
        <f aca="false">'P&amp;L monthly'!AW49/FX_EUR</f>
        <v>534873.450870771</v>
      </c>
      <c r="AX47" s="32" t="n">
        <f aca="false">'P&amp;L monthly'!AX49/FX_EUR</f>
        <v>697312.554009449</v>
      </c>
      <c r="AY47" s="32" t="n">
        <f aca="false">'P&amp;L monthly'!AY49/FX_EUR</f>
        <v>872248.18575141</v>
      </c>
      <c r="AZ47" s="32" t="n">
        <f aca="false">'P&amp;L monthly'!AZ49/FX_EUR</f>
        <v>1057819.10205214</v>
      </c>
      <c r="BA47" s="32" t="n">
        <f aca="false">'P&amp;L monthly'!BA49/FX_EUR</f>
        <v>1242423.72176749</v>
      </c>
      <c r="BB47" s="32" t="n">
        <f aca="false">'P&amp;L monthly'!BB49/FX_EUR</f>
        <v>1439144.44246556</v>
      </c>
      <c r="BC47" s="32" t="n">
        <f aca="false">'P&amp;L monthly'!BC49/FX_EUR</f>
        <v>1651076.31530112</v>
      </c>
      <c r="BD47" s="32" t="n">
        <f aca="false">'P&amp;L monthly'!BD49/FX_EUR</f>
        <v>1869165.40501011</v>
      </c>
      <c r="BE47" s="32" t="n">
        <f aca="false">'P&amp;L monthly'!BE49/FX_EUR</f>
        <v>2107894.07726113</v>
      </c>
      <c r="BF47" s="32" t="n">
        <f aca="false">'P&amp;L monthly'!BF49/FX_EUR</f>
        <v>2358805.610221</v>
      </c>
      <c r="BG47" s="32" t="n">
        <f aca="false">'P&amp;L monthly'!BG49/FX_EUR</f>
        <v>2623980.81401034</v>
      </c>
      <c r="BH47" s="32" t="n">
        <f aca="false">'P&amp;L monthly'!BH49/FX_EUR</f>
        <v>2898506.83262284</v>
      </c>
      <c r="BI47" s="32" t="n">
        <f aca="false">'P&amp;L monthly'!BI49/FX_EUR</f>
        <v>3188954.32761174</v>
      </c>
      <c r="BJ47" s="32" t="n">
        <f aca="false">'P&amp;L monthly'!BJ49/FX_EUR</f>
        <v>3492912.38980273</v>
      </c>
      <c r="BK47" s="32" t="n">
        <f aca="false">'P&amp;L monthly'!BK49/FX_EUR</f>
        <v>3812151.27232578</v>
      </c>
      <c r="BL47" s="32" t="n">
        <f aca="false">'P&amp;L monthly'!BL49/FX_EUR</f>
        <v>4146008.11423287</v>
      </c>
    </row>
    <row r="49" customFormat="false" ht="15" hidden="false" customHeight="false" outlineLevel="0" collapsed="false">
      <c r="A49" s="10" t="s">
        <v>1116</v>
      </c>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1120</v>
      </c>
    </row>
    <row r="4" customFormat="false" ht="15" hidden="false" customHeight="false" outlineLevel="0" collapsed="false">
      <c r="A4" s="0" t="s">
        <v>87</v>
      </c>
      <c r="D4" s="54" t="n">
        <v>1</v>
      </c>
      <c r="E4" s="54" t="n">
        <v>2</v>
      </c>
      <c r="F4" s="54" t="n">
        <v>3</v>
      </c>
      <c r="G4" s="54" t="n">
        <v>4</v>
      </c>
      <c r="H4" s="54" t="n">
        <v>5</v>
      </c>
      <c r="I4" s="21" t="s">
        <v>1121</v>
      </c>
      <c r="K4" s="21" t="s">
        <v>1122</v>
      </c>
      <c r="L4" s="21" t="s">
        <v>1123</v>
      </c>
      <c r="M4" s="21" t="s">
        <v>1124</v>
      </c>
      <c r="N4" s="21" t="s">
        <v>1125</v>
      </c>
      <c r="O4" s="21" t="s">
        <v>1126</v>
      </c>
      <c r="P4" s="21" t="s">
        <v>1127</v>
      </c>
    </row>
    <row r="5" customFormat="false" ht="15" hidden="false" customHeight="false" outlineLevel="0" collapsed="false">
      <c r="A5" s="0" t="s">
        <v>1128</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768</v>
      </c>
      <c r="B8" s="11"/>
      <c r="C8" s="11"/>
      <c r="D8" s="11"/>
      <c r="E8" s="11"/>
      <c r="F8" s="11"/>
      <c r="G8" s="11"/>
      <c r="H8" s="11"/>
      <c r="I8" s="11"/>
    </row>
    <row r="9" customFormat="false" ht="15" hidden="false" customHeight="false" outlineLevel="0" collapsed="false">
      <c r="A9" s="12" t="s">
        <v>1031</v>
      </c>
      <c r="B9" s="14" t="s">
        <v>77</v>
      </c>
      <c r="D9" s="23" t="n">
        <f aca="false">SUMIF('P&amp;L monthly'!$E$5:$BL$5,D$4,'P&amp;L monthly'!$E$9:$BL$9)</f>
        <v>24217933.4933814</v>
      </c>
      <c r="E9" s="23" t="n">
        <f aca="false">SUMIF('P&amp;L monthly'!$E$5:$BL$5,E$4,'P&amp;L monthly'!$E$9:$BL$9)</f>
        <v>171012016.836322</v>
      </c>
      <c r="F9" s="23" t="n">
        <f aca="false">SUMIF('P&amp;L monthly'!$E$5:$BL$5,F$4,'P&amp;L monthly'!$E$9:$BL$9)</f>
        <v>490181882.58781</v>
      </c>
      <c r="G9" s="23" t="n">
        <f aca="false">SUMIF('P&amp;L monthly'!$E$5:$BL$5,G$4,'P&amp;L monthly'!$E$9:$BL$9)</f>
        <v>985010879.938804</v>
      </c>
      <c r="H9" s="23" t="n">
        <f aca="false">SUMIF('P&amp;L monthly'!$E$5:$BL$5,H$4,'P&amp;L monthly'!$E$9:$BL$9)</f>
        <v>1669744861.26122</v>
      </c>
      <c r="I9" s="55" t="n">
        <f aca="false">SUM(D9:H9)</f>
        <v>3340167574.11753</v>
      </c>
      <c r="K9" s="24" t="n">
        <f aca="false">D9/FX_EUR</f>
        <v>36920.0016058696</v>
      </c>
      <c r="L9" s="24" t="n">
        <f aca="false">E9/FX_EUR</f>
        <v>260706.139024847</v>
      </c>
      <c r="M9" s="24" t="n">
        <f aca="false">F9/FX_EUR</f>
        <v>747277.462680952</v>
      </c>
      <c r="N9" s="24" t="n">
        <f aca="false">G9/FX_EUR</f>
        <v>1501639.40614828</v>
      </c>
      <c r="O9" s="24" t="n">
        <f aca="false">H9/FX_EUR</f>
        <v>2545509.63136489</v>
      </c>
      <c r="P9" s="24" t="n">
        <f aca="false">I9/FX_EUR</f>
        <v>5092052.64082483</v>
      </c>
    </row>
    <row r="10" customFormat="false" ht="15" hidden="false" customHeight="false" outlineLevel="0" collapsed="false">
      <c r="A10" s="12" t="s">
        <v>771</v>
      </c>
      <c r="B10" s="14" t="s">
        <v>77</v>
      </c>
      <c r="D10" s="23" t="n">
        <f aca="false">SUMIF('P&amp;L monthly'!$E$5:$BL$5,D$4,'P&amp;L monthly'!$E$10:$BL$10)</f>
        <v>39497291.1478244</v>
      </c>
      <c r="E10" s="23" t="n">
        <f aca="false">SUMIF('P&amp;L monthly'!$E$5:$BL$5,E$4,'P&amp;L monthly'!$E$10:$BL$10)</f>
        <v>241500050.174685</v>
      </c>
      <c r="F10" s="23" t="n">
        <f aca="false">SUMIF('P&amp;L monthly'!$E$5:$BL$5,F$4,'P&amp;L monthly'!$E$10:$BL$10)</f>
        <v>669948957.014348</v>
      </c>
      <c r="G10" s="23" t="n">
        <f aca="false">SUMIF('P&amp;L monthly'!$E$5:$BL$5,G$4,'P&amp;L monthly'!$E$10:$BL$10)</f>
        <v>1324842998.88188</v>
      </c>
      <c r="H10" s="23" t="n">
        <f aca="false">SUMIF('P&amp;L monthly'!$E$5:$BL$5,H$4,'P&amp;L monthly'!$E$10:$BL$10)</f>
        <v>2225261012.35929</v>
      </c>
      <c r="I10" s="55" t="n">
        <f aca="false">SUM(D10:H10)</f>
        <v>4501050309.57803</v>
      </c>
      <c r="K10" s="24" t="n">
        <f aca="false">D10/FX_EUR</f>
        <v>60213.232190257</v>
      </c>
      <c r="L10" s="24" t="n">
        <f aca="false">E10/FX_EUR</f>
        <v>368164.45311916</v>
      </c>
      <c r="M10" s="24" t="n">
        <f aca="false">F10/FX_EUR</f>
        <v>1021330.60096065</v>
      </c>
      <c r="N10" s="24" t="n">
        <f aca="false">G10/FX_EUR</f>
        <v>2019710.13173406</v>
      </c>
      <c r="O10" s="24" t="n">
        <f aca="false">H10/FX_EUR</f>
        <v>3392388.54430899</v>
      </c>
      <c r="P10" s="24" t="n">
        <f aca="false">I10/FX_EUR</f>
        <v>6861806.96231312</v>
      </c>
    </row>
    <row r="11" customFormat="false" ht="15" hidden="false" customHeight="false" outlineLevel="0" collapsed="false">
      <c r="A11" s="12" t="s">
        <v>1100</v>
      </c>
      <c r="B11" s="14" t="s">
        <v>77</v>
      </c>
      <c r="D11" s="23" t="n">
        <f aca="false">SUMIF('P&amp;L monthly'!$E$5:$BL$5,D$4,'P&amp;L monthly'!$E$11:$BL$11)</f>
        <v>0</v>
      </c>
      <c r="E11" s="23" t="n">
        <f aca="false">SUMIF('P&amp;L monthly'!$E$5:$BL$5,E$4,'P&amp;L monthly'!$E$11:$BL$11)</f>
        <v>0</v>
      </c>
      <c r="F11" s="23" t="n">
        <f aca="false">SUMIF('P&amp;L monthly'!$E$5:$BL$5,F$4,'P&amp;L monthly'!$E$11:$BL$11)</f>
        <v>0</v>
      </c>
      <c r="G11" s="23" t="n">
        <f aca="false">SUMIF('P&amp;L monthly'!$E$5:$BL$5,G$4,'P&amp;L monthly'!$E$11:$BL$11)</f>
        <v>0</v>
      </c>
      <c r="H11" s="23" t="n">
        <f aca="false">SUMIF('P&amp;L monthly'!$E$5:$BL$5,H$4,'P&amp;L monthly'!$E$11:$BL$11)</f>
        <v>0</v>
      </c>
      <c r="I11" s="55" t="n">
        <f aca="false">SUM(D11:H11)</f>
        <v>0</v>
      </c>
      <c r="K11" s="24" t="n">
        <f aca="false">D11/FX_EUR</f>
        <v>0</v>
      </c>
      <c r="L11" s="24" t="n">
        <f aca="false">E11/FX_EUR</f>
        <v>0</v>
      </c>
      <c r="M11" s="24" t="n">
        <f aca="false">F11/FX_EUR</f>
        <v>0</v>
      </c>
      <c r="N11" s="24" t="n">
        <f aca="false">G11/FX_EUR</f>
        <v>0</v>
      </c>
      <c r="O11" s="24" t="n">
        <f aca="false">H11/FX_EUR</f>
        <v>0</v>
      </c>
      <c r="P11" s="24" t="n">
        <f aca="false">I11/FX_EUR</f>
        <v>0</v>
      </c>
    </row>
    <row r="12" customFormat="false" ht="15" hidden="false" customHeight="false" outlineLevel="0" collapsed="false">
      <c r="A12" s="12" t="s">
        <v>1101</v>
      </c>
      <c r="B12" s="14" t="s">
        <v>77</v>
      </c>
      <c r="D12" s="23" t="n">
        <f aca="false">SUMIF('P&amp;L monthly'!$E$5:$BL$5,D$4,'P&amp;L monthly'!$E$12:$BL$12)</f>
        <v>0</v>
      </c>
      <c r="E12" s="23" t="n">
        <f aca="false">SUMIF('P&amp;L monthly'!$E$5:$BL$5,E$4,'P&amp;L monthly'!$E$12:$BL$12)</f>
        <v>0</v>
      </c>
      <c r="F12" s="23" t="n">
        <f aca="false">SUMIF('P&amp;L monthly'!$E$5:$BL$5,F$4,'P&amp;L monthly'!$E$12:$BL$12)</f>
        <v>0</v>
      </c>
      <c r="G12" s="23" t="n">
        <f aca="false">SUMIF('P&amp;L monthly'!$E$5:$BL$5,G$4,'P&amp;L monthly'!$E$12:$BL$12)</f>
        <v>0</v>
      </c>
      <c r="H12" s="23" t="n">
        <f aca="false">SUMIF('P&amp;L monthly'!$E$5:$BL$5,H$4,'P&amp;L monthly'!$E$12:$BL$12)</f>
        <v>0</v>
      </c>
      <c r="I12" s="55" t="n">
        <f aca="false">SUM(D12:H12)</f>
        <v>0</v>
      </c>
      <c r="K12" s="24" t="n">
        <f aca="false">D12/FX_EUR</f>
        <v>0</v>
      </c>
      <c r="L12" s="24" t="n">
        <f aca="false">E12/FX_EUR</f>
        <v>0</v>
      </c>
      <c r="M12" s="24" t="n">
        <f aca="false">F12/FX_EUR</f>
        <v>0</v>
      </c>
      <c r="N12" s="24" t="n">
        <f aca="false">G12/FX_EUR</f>
        <v>0</v>
      </c>
      <c r="O12" s="24" t="n">
        <f aca="false">H12/FX_EUR</f>
        <v>0</v>
      </c>
      <c r="P12" s="24" t="n">
        <f aca="false">I12/FX_EUR</f>
        <v>0</v>
      </c>
    </row>
    <row r="13" customFormat="false" ht="15" hidden="false" customHeight="false" outlineLevel="0" collapsed="false">
      <c r="A13" s="12" t="s">
        <v>1102</v>
      </c>
      <c r="B13" s="14" t="s">
        <v>77</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5"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773</v>
      </c>
      <c r="B14" s="14" t="s">
        <v>77</v>
      </c>
      <c r="D14" s="23" t="n">
        <f aca="false">SUMIF('P&amp;L monthly'!$E$5:$BL$5,D$4,'P&amp;L monthly'!$E$14:$BL$14)</f>
        <v>1197557.32676535</v>
      </c>
      <c r="E14" s="23" t="n">
        <f aca="false">SUMIF('P&amp;L monthly'!$E$5:$BL$5,E$4,'P&amp;L monthly'!$E$14:$BL$14)</f>
        <v>7316027.12735315</v>
      </c>
      <c r="F14" s="23" t="n">
        <f aca="false">SUMIF('P&amp;L monthly'!$E$5:$BL$5,F$4,'P&amp;L monthly'!$E$14:$BL$14)</f>
        <v>20282038.6996737</v>
      </c>
      <c r="G14" s="23" t="n">
        <f aca="false">SUMIF('P&amp;L monthly'!$E$5:$BL$5,G$4,'P&amp;L monthly'!$E$14:$BL$14)</f>
        <v>40082270.2749831</v>
      </c>
      <c r="H14" s="23" t="n">
        <f aca="false">SUMIF('P&amp;L monthly'!$E$5:$BL$5,H$4,'P&amp;L monthly'!$E$14:$BL$14)</f>
        <v>67285089.9399626</v>
      </c>
      <c r="I14" s="55" t="n">
        <f aca="false">SUM(D14:H14)</f>
        <v>136162983.368738</v>
      </c>
      <c r="K14" s="24" t="n">
        <f aca="false">D14/FX_EUR</f>
        <v>1825.66437550838</v>
      </c>
      <c r="L14" s="24" t="n">
        <f aca="false">E14/FX_EUR</f>
        <v>11153.2114564722</v>
      </c>
      <c r="M14" s="24" t="n">
        <f aca="false">F14/FX_EUR</f>
        <v>30919.7686733637</v>
      </c>
      <c r="N14" s="24" t="n">
        <f aca="false">G14/FX_EUR</f>
        <v>61105.0271206543</v>
      </c>
      <c r="O14" s="24" t="n">
        <f aca="false">H14/FX_EUR</f>
        <v>102575.458360781</v>
      </c>
      <c r="P14" s="24" t="n">
        <f aca="false">I14/FX_EUR</f>
        <v>207579.129986779</v>
      </c>
    </row>
    <row r="15" customFormat="false" ht="15" hidden="false" customHeight="false" outlineLevel="0" collapsed="false">
      <c r="A15" s="12" t="s">
        <v>1036</v>
      </c>
      <c r="B15" s="14" t="s">
        <v>77</v>
      </c>
      <c r="D15" s="23" t="n">
        <f aca="false">SUMIF('P&amp;L monthly'!$E$5:$BL$5,D$4,'P&amp;L monthly'!$E$15:$BL$15)</f>
        <v>0</v>
      </c>
      <c r="E15" s="23" t="n">
        <f aca="false">SUMIF('P&amp;L monthly'!$E$5:$BL$5,E$4,'P&amp;L monthly'!$E$15:$BL$15)</f>
        <v>14441338.8203137</v>
      </c>
      <c r="F15" s="23" t="n">
        <f aca="false">SUMIF('P&amp;L monthly'!$E$5:$BL$5,F$4,'P&amp;L monthly'!$E$15:$BL$15)</f>
        <v>143302593.666252</v>
      </c>
      <c r="G15" s="23" t="n">
        <f aca="false">SUMIF('P&amp;L monthly'!$E$5:$BL$5,G$4,'P&amp;L monthly'!$E$15:$BL$15)</f>
        <v>298112652.128353</v>
      </c>
      <c r="H15" s="23" t="n">
        <f aca="false">SUMIF('P&amp;L monthly'!$E$5:$BL$5,H$4,'P&amp;L monthly'!$E$15:$BL$15)</f>
        <v>500939586.48007</v>
      </c>
      <c r="I15" s="55" t="n">
        <f aca="false">SUM(D15:H15)</f>
        <v>956796171.094988</v>
      </c>
      <c r="K15" s="24" t="n">
        <f aca="false">D15/FX_EUR</f>
        <v>0</v>
      </c>
      <c r="L15" s="24" t="n">
        <f aca="false">E15/FX_EUR</f>
        <v>22015.6791074929</v>
      </c>
      <c r="M15" s="24" t="n">
        <f aca="false">F15/FX_EUR</f>
        <v>218463.39571992</v>
      </c>
      <c r="N15" s="24" t="n">
        <f aca="false">G15/FX_EUR</f>
        <v>454469.808430055</v>
      </c>
      <c r="O15" s="24" t="n">
        <f aca="false">H15/FX_EUR</f>
        <v>763677.476542014</v>
      </c>
      <c r="P15" s="24" t="n">
        <f aca="false">I15/FX_EUR</f>
        <v>1458626.35979948</v>
      </c>
    </row>
    <row r="16" customFormat="false" ht="15" hidden="false" customHeight="false" outlineLevel="0" collapsed="false">
      <c r="A16" s="12" t="s">
        <v>777</v>
      </c>
      <c r="B16" s="14" t="s">
        <v>77</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779</v>
      </c>
      <c r="B17" s="14" t="s">
        <v>77</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194</v>
      </c>
      <c r="B18" s="14" t="s">
        <v>77</v>
      </c>
      <c r="D18" s="23" t="n">
        <f aca="false">SUMIF('P&amp;L monthly'!$E$5:$BL$5,D$4,'P&amp;L monthly'!$E$18:$BL$18)</f>
        <v>49442835.9954095</v>
      </c>
      <c r="E18" s="23" t="n">
        <f aca="false">SUMIF('P&amp;L monthly'!$E$5:$BL$5,E$4,'P&amp;L monthly'!$E$18:$BL$18)</f>
        <v>303210805.909621</v>
      </c>
      <c r="F18" s="23" t="n">
        <f aca="false">SUMIF('P&amp;L monthly'!$E$5:$BL$5,F$4,'P&amp;L monthly'!$E$18:$BL$18)</f>
        <v>843185472.040878</v>
      </c>
      <c r="G18" s="23" t="n">
        <f aca="false">SUMIF('P&amp;L monthly'!$E$5:$BL$5,G$4,'P&amp;L monthly'!$E$18:$BL$18)</f>
        <v>1671547481.48372</v>
      </c>
      <c r="H18" s="23" t="n">
        <f aca="false">SUMIF('P&amp;L monthly'!$E$5:$BL$5,H$4,'P&amp;L monthly'!$E$18:$BL$18)</f>
        <v>2814056009.99125</v>
      </c>
      <c r="I18" s="55" t="n">
        <f aca="false">SUM(D18:H18)</f>
        <v>5681442605.42087</v>
      </c>
      <c r="K18" s="24" t="n">
        <f aca="false">D18/FX_EUR</f>
        <v>75375.1175693063</v>
      </c>
      <c r="L18" s="24" t="n">
        <f aca="false">E18/FX_EUR</f>
        <v>462241.893766849</v>
      </c>
      <c r="M18" s="24" t="n">
        <f aca="false">F18/FX_EUR</f>
        <v>1285427.96561494</v>
      </c>
      <c r="N18" s="24" t="n">
        <f aca="false">G18/FX_EUR</f>
        <v>2548257.70817861</v>
      </c>
      <c r="O18" s="24" t="n">
        <f aca="false">H18/FX_EUR</f>
        <v>4290000.73174194</v>
      </c>
      <c r="P18" s="24" t="n">
        <f aca="false">I18/FX_EUR</f>
        <v>8661303.41687164</v>
      </c>
    </row>
    <row r="19" customFormat="false" ht="15" hidden="false" customHeight="false" outlineLevel="0" collapsed="false">
      <c r="A19" s="12" t="s">
        <v>199</v>
      </c>
      <c r="B19" s="14" t="s">
        <v>77</v>
      </c>
      <c r="D19" s="23" t="n">
        <f aca="false">SUMIF('P&amp;L monthly'!$E$5:$BL$5,D$4,'P&amp;L monthly'!$E$19:$BL$19)</f>
        <v>768243.40566157</v>
      </c>
      <c r="E19" s="23" t="n">
        <f aca="false">SUMIF('P&amp;L monthly'!$E$5:$BL$5,E$4,'P&amp;L monthly'!$E$19:$BL$19)</f>
        <v>68727216.0028212</v>
      </c>
      <c r="F19" s="23" t="n">
        <f aca="false">SUMIF('P&amp;L monthly'!$E$5:$BL$5,F$4,'P&amp;L monthly'!$E$19:$BL$19)</f>
        <v>246525599.821748</v>
      </c>
      <c r="G19" s="23" t="n">
        <f aca="false">SUMIF('P&amp;L monthly'!$E$5:$BL$5,G$4,'P&amp;L monthly'!$E$19:$BL$19)</f>
        <v>489293093.880005</v>
      </c>
      <c r="H19" s="23" t="n">
        <f aca="false">SUMIF('P&amp;L monthly'!$E$5:$BL$5,H$4,'P&amp;L monthly'!$E$19:$BL$19)</f>
        <v>824632679.703022</v>
      </c>
      <c r="I19" s="55" t="n">
        <f aca="false">SUM(D19:H19)</f>
        <v>1629946832.81326</v>
      </c>
      <c r="K19" s="24" t="n">
        <f aca="false">D19/FX_EUR</f>
        <v>1171.17952192227</v>
      </c>
      <c r="L19" s="24" t="n">
        <f aca="false">E19/FX_EUR</f>
        <v>104773.965370933</v>
      </c>
      <c r="M19" s="24" t="n">
        <f aca="false">F19/FX_EUR</f>
        <v>375825.854166886</v>
      </c>
      <c r="N19" s="24" t="n">
        <f aca="false">G19/FX_EUR</f>
        <v>745922.513030587</v>
      </c>
      <c r="O19" s="24" t="n">
        <f aca="false">H19/FX_EUR</f>
        <v>1257144.41602578</v>
      </c>
      <c r="P19" s="24" t="n">
        <f aca="false">I19/FX_EUR</f>
        <v>2484837.92811611</v>
      </c>
    </row>
    <row r="20" customFormat="false" ht="15" hidden="false" customHeight="false" outlineLevel="0" collapsed="false">
      <c r="A20" s="12" t="s">
        <v>800</v>
      </c>
      <c r="B20" s="14" t="s">
        <v>77</v>
      </c>
      <c r="D20" s="23" t="n">
        <f aca="false">SUMIF('P&amp;L monthly'!$E$5:$BL$5,D$4,'P&amp;L monthly'!$E$20:$BL$20)</f>
        <v>0</v>
      </c>
      <c r="E20" s="23" t="n">
        <f aca="false">SUMIF('P&amp;L monthly'!$E$5:$BL$5,E$4,'P&amp;L monthly'!$E$20:$BL$20)</f>
        <v>69584632.3959502</v>
      </c>
      <c r="F20" s="23" t="n">
        <f aca="false">SUMIF('P&amp;L monthly'!$E$5:$BL$5,F$4,'P&amp;L monthly'!$E$20:$BL$20)</f>
        <v>300474647.402573</v>
      </c>
      <c r="G20" s="23" t="n">
        <f aca="false">SUMIF('P&amp;L monthly'!$E$5:$BL$5,G$4,'P&amp;L monthly'!$E$20:$BL$20)</f>
        <v>593811411.48123</v>
      </c>
      <c r="H20" s="23" t="n">
        <f aca="false">SUMIF('P&amp;L monthly'!$E$5:$BL$5,H$4,'P&amp;L monthly'!$E$20:$BL$20)</f>
        <v>996816147.258706</v>
      </c>
      <c r="I20" s="55" t="n">
        <f aca="false">SUM(D20:H20)</f>
        <v>1960686838.53846</v>
      </c>
      <c r="K20" s="24" t="n">
        <f aca="false">D20/FX_EUR</f>
        <v>0</v>
      </c>
      <c r="L20" s="24" t="n">
        <f aca="false">E20/FX_EUR</f>
        <v>106081.088235891</v>
      </c>
      <c r="M20" s="24" t="n">
        <f aca="false">F20/FX_EUR</f>
        <v>458070.647012796</v>
      </c>
      <c r="N20" s="24" t="n">
        <f aca="false">G20/FX_EUR</f>
        <v>905259.661046731</v>
      </c>
      <c r="O20" s="24" t="n">
        <f aca="false">H20/FX_EUR</f>
        <v>1519636.42015971</v>
      </c>
      <c r="P20" s="24" t="n">
        <f aca="false">I20/FX_EUR</f>
        <v>2989047.81645513</v>
      </c>
    </row>
    <row r="21" customFormat="false" ht="15" hidden="false" customHeight="false" outlineLevel="0" collapsed="false">
      <c r="A21" s="12" t="s">
        <v>1103</v>
      </c>
      <c r="B21" s="14" t="s">
        <v>77</v>
      </c>
      <c r="D21" s="23" t="n">
        <f aca="false">SUMIF('P&amp;L monthly'!$E$5:$BL$5,D$4,'P&amp;L monthly'!$E$21:$BL$21)</f>
        <v>0</v>
      </c>
      <c r="E21" s="23" t="n">
        <f aca="false">SUMIF('P&amp;L monthly'!$E$5:$BL$5,E$4,'P&amp;L monthly'!$E$21:$BL$21)</f>
        <v>0</v>
      </c>
      <c r="F21" s="23" t="n">
        <f aca="false">SUMIF('P&amp;L monthly'!$E$5:$BL$5,F$4,'P&amp;L monthly'!$E$21:$BL$21)</f>
        <v>0</v>
      </c>
      <c r="G21" s="23" t="n">
        <f aca="false">SUMIF('P&amp;L monthly'!$E$5:$BL$5,G$4,'P&amp;L monthly'!$E$21:$BL$21)</f>
        <v>0</v>
      </c>
      <c r="H21" s="23" t="n">
        <f aca="false">SUMIF('P&amp;L monthly'!$E$5:$BL$5,H$4,'P&amp;L monthly'!$E$21:$BL$21)</f>
        <v>0</v>
      </c>
      <c r="I21" s="55" t="n">
        <f aca="false">SUM(D21:H21)</f>
        <v>0</v>
      </c>
      <c r="K21" s="24" t="n">
        <f aca="false">D21/FX_EUR</f>
        <v>0</v>
      </c>
      <c r="L21" s="24" t="n">
        <f aca="false">E21/FX_EUR</f>
        <v>0</v>
      </c>
      <c r="M21" s="24" t="n">
        <f aca="false">F21/FX_EUR</f>
        <v>0</v>
      </c>
      <c r="N21" s="24" t="n">
        <f aca="false">G21/FX_EUR</f>
        <v>0</v>
      </c>
      <c r="O21" s="24" t="n">
        <f aca="false">H21/FX_EUR</f>
        <v>0</v>
      </c>
      <c r="P21" s="24" t="n">
        <f aca="false">I21/FX_EUR</f>
        <v>0</v>
      </c>
    </row>
    <row r="22" customFormat="false" ht="15" hidden="false" customHeight="false" outlineLevel="0" collapsed="false">
      <c r="A22" s="12" t="s">
        <v>1104</v>
      </c>
      <c r="B22" s="14" t="s">
        <v>77</v>
      </c>
      <c r="D22" s="23" t="n">
        <f aca="false">SUMIF('P&amp;L monthly'!$E$5:$BL$5,D$4,'P&amp;L monthly'!$E$22:$BL$22)</f>
        <v>0</v>
      </c>
      <c r="E22" s="23" t="n">
        <f aca="false">SUMIF('P&amp;L monthly'!$E$5:$BL$5,E$4,'P&amp;L monthly'!$E$22:$BL$22)</f>
        <v>5927535.26320186</v>
      </c>
      <c r="F22" s="23" t="n">
        <f aca="false">SUMIF('P&amp;L monthly'!$E$5:$BL$5,F$4,'P&amp;L monthly'!$E$22:$BL$22)</f>
        <v>139711074.986326</v>
      </c>
      <c r="G22" s="23" t="n">
        <f aca="false">SUMIF('P&amp;L monthly'!$E$5:$BL$5,G$4,'P&amp;L monthly'!$E$22:$BL$22)</f>
        <v>334052704.637749</v>
      </c>
      <c r="H22" s="23" t="n">
        <f aca="false">SUMIF('P&amp;L monthly'!$E$5:$BL$5,H$4,'P&amp;L monthly'!$E$22:$BL$22)</f>
        <v>551193959.154962</v>
      </c>
      <c r="I22" s="55" t="n">
        <f aca="false">SUM(D22:H22)</f>
        <v>1030885274.04224</v>
      </c>
      <c r="K22" s="24" t="n">
        <f aca="false">D22/FX_EUR</f>
        <v>0</v>
      </c>
      <c r="L22" s="24" t="n">
        <f aca="false">E22/FX_EUR</f>
        <v>9036.46925515218</v>
      </c>
      <c r="M22" s="24" t="n">
        <f aca="false">F22/FX_EUR</f>
        <v>212988.160788476</v>
      </c>
      <c r="N22" s="24" t="n">
        <f aca="false">G22/FX_EUR</f>
        <v>509260.065275237</v>
      </c>
      <c r="O22" s="24" t="n">
        <f aca="false">H22/FX_EUR</f>
        <v>840289.773803713</v>
      </c>
      <c r="P22" s="24" t="n">
        <f aca="false">I22/FX_EUR</f>
        <v>1571574.46912258</v>
      </c>
    </row>
    <row r="23" customFormat="false" ht="15" hidden="false" customHeight="false" outlineLevel="0" collapsed="false">
      <c r="A23" s="8" t="s">
        <v>93</v>
      </c>
      <c r="B23" s="14" t="s">
        <v>77</v>
      </c>
      <c r="D23" s="22" t="n">
        <f aca="false">SUMIF('P&amp;L monthly'!$E$5:$BL$5,D$4,'P&amp;L monthly'!$E$23:$BL$23)</f>
        <v>117350604.73816</v>
      </c>
      <c r="E23" s="22" t="n">
        <f aca="false">SUMIF('P&amp;L monthly'!$E$5:$BL$5,E$4,'P&amp;L monthly'!$E$23:$BL$23)</f>
        <v>895407566.617667</v>
      </c>
      <c r="F23" s="22" t="n">
        <f aca="false">SUMIF('P&amp;L monthly'!$E$5:$BL$5,F$4,'P&amp;L monthly'!$E$23:$BL$23)</f>
        <v>2891743201.94266</v>
      </c>
      <c r="G23" s="22" t="n">
        <f aca="false">SUMIF('P&amp;L monthly'!$E$5:$BL$5,G$4,'P&amp;L monthly'!$E$23:$BL$23)</f>
        <v>5812469356.2339</v>
      </c>
      <c r="H23" s="22" t="n">
        <f aca="false">SUMIF('P&amp;L monthly'!$E$5:$BL$5,H$4,'P&amp;L monthly'!$E$23:$BL$23)</f>
        <v>9777573734.79566</v>
      </c>
      <c r="I23" s="55" t="n">
        <f aca="false">SUM(D23:H23)</f>
        <v>19494544464.3281</v>
      </c>
      <c r="K23" s="17" t="n">
        <f aca="false">D23/FX_EUR</f>
        <v>178899.843645483</v>
      </c>
      <c r="L23" s="17" t="n">
        <f aca="false">E23/FX_EUR</f>
        <v>1365040.03557804</v>
      </c>
      <c r="M23" s="17" t="n">
        <f aca="false">F23/FX_EUR</f>
        <v>4408434.09239121</v>
      </c>
      <c r="N23" s="17" t="n">
        <f aca="false">G23/FX_EUR</f>
        <v>8861052.41080422</v>
      </c>
      <c r="O23" s="17" t="n">
        <f aca="false">H23/FX_EUR</f>
        <v>14905815.0683591</v>
      </c>
      <c r="P23" s="17" t="n">
        <f aca="false">I23/FX_EUR</f>
        <v>29719241.4507781</v>
      </c>
    </row>
    <row r="24" customFormat="false" ht="15" hidden="false" customHeight="false" outlineLevel="0" collapsed="false">
      <c r="A24" s="12" t="s">
        <v>1129</v>
      </c>
      <c r="B24" s="14" t="s">
        <v>96</v>
      </c>
      <c r="D24" s="34" t="n">
        <f aca="false">0</f>
        <v>0</v>
      </c>
      <c r="E24" s="34" t="n">
        <f aca="false">IFERROR(E23/D23-1,0)</f>
        <v>6.63019132807669</v>
      </c>
      <c r="F24" s="34" t="n">
        <f aca="false">IFERROR(F23/E23-1,0)</f>
        <v>2.22952732336851</v>
      </c>
      <c r="G24" s="34" t="n">
        <f aca="false">IFERROR(G23/F23-1,0)</f>
        <v>1.01002265772739</v>
      </c>
      <c r="H24" s="34" t="n">
        <f aca="false">IFERROR(H23/G23-1,0)</f>
        <v>0.682172091678928</v>
      </c>
    </row>
    <row r="26" customFormat="false" ht="15" hidden="false" customHeight="false" outlineLevel="0" collapsed="false">
      <c r="A26" s="10" t="s">
        <v>1130</v>
      </c>
      <c r="B26" s="11"/>
      <c r="C26" s="11"/>
      <c r="D26" s="11"/>
      <c r="E26" s="11"/>
      <c r="F26" s="11"/>
      <c r="G26" s="11"/>
      <c r="H26" s="11"/>
      <c r="I26" s="11"/>
    </row>
    <row r="27" customFormat="false" ht="15" hidden="false" customHeight="false" outlineLevel="0" collapsed="false">
      <c r="A27" s="12" t="s">
        <v>1106</v>
      </c>
      <c r="B27" s="14" t="s">
        <v>77</v>
      </c>
      <c r="D27" s="23" t="n">
        <f aca="false">SUMIF('P&amp;L monthly'!$E$5:$BL$5,D$4,'P&amp;L monthly'!$E$26:$BL$26)</f>
        <v>5748918.88806535</v>
      </c>
      <c r="E27" s="23" t="n">
        <f aca="false">SUMIF('P&amp;L monthly'!$E$5:$BL$5,E$4,'P&amp;L monthly'!$E$26:$BL$26)</f>
        <v>30349592.2705435</v>
      </c>
      <c r="F27" s="23" t="n">
        <f aca="false">SUMIF('P&amp;L monthly'!$E$5:$BL$5,F$4,'P&amp;L monthly'!$E$26:$BL$26)</f>
        <v>94223113.6828867</v>
      </c>
      <c r="G27" s="23" t="n">
        <f aca="false">SUMIF('P&amp;L monthly'!$E$5:$BL$5,G$4,'P&amp;L monthly'!$E$26:$BL$26)</f>
        <v>164905368.426302</v>
      </c>
      <c r="H27" s="23" t="n">
        <f aca="false">SUMIF('P&amp;L monthly'!$E$5:$BL$5,H$4,'P&amp;L monthly'!$E$26:$BL$26)</f>
        <v>265902310.169824</v>
      </c>
      <c r="I27" s="55" t="n">
        <f aca="false">SUM(D27:H27)</f>
        <v>561129303.437622</v>
      </c>
      <c r="K27" s="24" t="n">
        <f aca="false">D27/FX_EUR</f>
        <v>8764.17034663148</v>
      </c>
      <c r="L27" s="24" t="n">
        <f aca="false">E27/FX_EUR</f>
        <v>46267.6551520046</v>
      </c>
      <c r="M27" s="24" t="n">
        <f aca="false">F27/FX_EUR</f>
        <v>143642.210820049</v>
      </c>
      <c r="N27" s="24" t="n">
        <f aca="false">G27/FX_EUR</f>
        <v>251396.613537628</v>
      </c>
      <c r="O27" s="24" t="n">
        <f aca="false">H27/FX_EUR</f>
        <v>405365.458665468</v>
      </c>
      <c r="P27" s="24" t="n">
        <f aca="false">I27/FX_EUR</f>
        <v>855436.108521781</v>
      </c>
    </row>
    <row r="28" customFormat="false" ht="15" hidden="false" customHeight="false" outlineLevel="0" collapsed="false">
      <c r="A28" s="12" t="s">
        <v>1107</v>
      </c>
      <c r="B28" s="14" t="s">
        <v>77</v>
      </c>
      <c r="D28" s="23" t="n">
        <f aca="false">SUMIF('P&amp;L monthly'!$E$5:$BL$5,D$4,'P&amp;L monthly'!$E$27:$BL$27)</f>
        <v>35337050.6878723</v>
      </c>
      <c r="E28" s="23" t="n">
        <f aca="false">SUMIF('P&amp;L monthly'!$E$5:$BL$5,E$4,'P&amp;L monthly'!$E$27:$BL$27)</f>
        <v>202188934.313444</v>
      </c>
      <c r="F28" s="23" t="n">
        <f aca="false">SUMIF('P&amp;L monthly'!$E$5:$BL$5,F$4,'P&amp;L monthly'!$E$27:$BL$27)</f>
        <v>550530127.994357</v>
      </c>
      <c r="G28" s="23" t="n">
        <f aca="false">SUMIF('P&amp;L monthly'!$E$5:$BL$5,G$4,'P&amp;L monthly'!$E$27:$BL$27)</f>
        <v>1077223332.25494</v>
      </c>
      <c r="H28" s="23" t="n">
        <f aca="false">SUMIF('P&amp;L monthly'!$E$5:$BL$5,H$4,'P&amp;L monthly'!$E$27:$BL$27)</f>
        <v>1796860161.52286</v>
      </c>
      <c r="I28" s="55" t="n">
        <f aca="false">SUM(D28:H28)</f>
        <v>3662139606.77347</v>
      </c>
      <c r="K28" s="24" t="n">
        <f aca="false">D28/FX_EUR</f>
        <v>53870.9864943469</v>
      </c>
      <c r="L28" s="24" t="n">
        <f aca="false">E28/FX_EUR</f>
        <v>308235.043323638</v>
      </c>
      <c r="M28" s="24" t="n">
        <f aca="false">F28/FX_EUR</f>
        <v>839277.769723255</v>
      </c>
      <c r="N28" s="24" t="n">
        <f aca="false">G28/FX_EUR</f>
        <v>1642216.38347474</v>
      </c>
      <c r="O28" s="24" t="n">
        <f aca="false">H28/FX_EUR</f>
        <v>2739295.65737214</v>
      </c>
      <c r="P28" s="24" t="n">
        <f aca="false">I28/FX_EUR</f>
        <v>5582895.84038812</v>
      </c>
    </row>
    <row r="29" customFormat="false" ht="15" hidden="false" customHeight="false" outlineLevel="0" collapsed="false">
      <c r="A29" s="12" t="s">
        <v>1108</v>
      </c>
      <c r="B29" s="14" t="s">
        <v>77</v>
      </c>
      <c r="D29" s="23" t="n">
        <f aca="false">SUMIF('P&amp;L monthly'!$E$5:$BL$5,D$4,'P&amp;L monthly'!$E$28:$BL$28)</f>
        <v>37503855.9735691</v>
      </c>
      <c r="E29" s="23" t="n">
        <f aca="false">SUMIF('P&amp;L monthly'!$E$5:$BL$5,E$4,'P&amp;L monthly'!$E$28:$BL$28)</f>
        <v>276774552.24151</v>
      </c>
      <c r="F29" s="23" t="n">
        <f aca="false">SUMIF('P&amp;L monthly'!$E$5:$BL$5,F$4,'P&amp;L monthly'!$E$28:$BL$28)</f>
        <v>909009747.564442</v>
      </c>
      <c r="G29" s="23" t="n">
        <f aca="false">SUMIF('P&amp;L monthly'!$E$5:$BL$5,G$4,'P&amp;L monthly'!$E$28:$BL$28)</f>
        <v>1812614419.17113</v>
      </c>
      <c r="H29" s="23" t="n">
        <f aca="false">SUMIF('P&amp;L monthly'!$E$5:$BL$5,H$4,'P&amp;L monthly'!$E$28:$BL$28)</f>
        <v>3049061225.41904</v>
      </c>
      <c r="I29" s="55" t="n">
        <f aca="false">SUM(D29:H29)</f>
        <v>6084963800.36969</v>
      </c>
      <c r="K29" s="24" t="n">
        <f aca="false">D29/FX_EUR</f>
        <v>57174.2598578399</v>
      </c>
      <c r="L29" s="24" t="n">
        <f aca="false">E29/FX_EUR</f>
        <v>421940.084855425</v>
      </c>
      <c r="M29" s="24" t="n">
        <f aca="false">F29/FX_EUR</f>
        <v>1385776.42675426</v>
      </c>
      <c r="N29" s="24" t="n">
        <f aca="false">G29/FX_EUR</f>
        <v>2763312.86832998</v>
      </c>
      <c r="O29" s="24" t="n">
        <f aca="false">H29/FX_EUR</f>
        <v>4648263.87311827</v>
      </c>
      <c r="P29" s="24" t="n">
        <f aca="false">I29/FX_EUR</f>
        <v>9276467.51291577</v>
      </c>
    </row>
    <row r="30" customFormat="false" ht="15" hidden="false" customHeight="false" outlineLevel="0" collapsed="false">
      <c r="A30" s="12" t="s">
        <v>1109</v>
      </c>
      <c r="B30" s="14" t="s">
        <v>77</v>
      </c>
      <c r="D30" s="23" t="n">
        <f aca="false">SUMIF('P&amp;L monthly'!$E$5:$BL$5,D$4,'P&amp;L monthly'!$E$29:$BL$29)</f>
        <v>627810.859699075</v>
      </c>
      <c r="E30" s="23" t="n">
        <f aca="false">SUMIF('P&amp;L monthly'!$E$5:$BL$5,E$4,'P&amp;L monthly'!$E$29:$BL$29)</f>
        <v>4845837.63123967</v>
      </c>
      <c r="F30" s="23" t="n">
        <f aca="false">SUMIF('P&amp;L monthly'!$E$5:$BL$5,F$4,'P&amp;L monthly'!$E$29:$BL$29)</f>
        <v>32848848.1373751</v>
      </c>
      <c r="G30" s="23" t="n">
        <f aca="false">SUMIF('P&amp;L monthly'!$E$5:$BL$5,G$4,'P&amp;L monthly'!$E$29:$BL$29)</f>
        <v>76851559.2441056</v>
      </c>
      <c r="H30" s="23" t="n">
        <f aca="false">SUMIF('P&amp;L monthly'!$E$5:$BL$5,H$4,'P&amp;L monthly'!$E$29:$BL$29)</f>
        <v>128996429.244659</v>
      </c>
      <c r="I30" s="55" t="n">
        <f aca="false">SUM(D30:H30)</f>
        <v>244170485.117078</v>
      </c>
      <c r="K30" s="24" t="n">
        <f aca="false">D30/FX_EUR</f>
        <v>957.091485720977</v>
      </c>
      <c r="L30" s="24" t="n">
        <f aca="false">E30/FX_EUR</f>
        <v>7387.43184574548</v>
      </c>
      <c r="M30" s="24" t="n">
        <f aca="false">F30/FX_EUR</f>
        <v>50077.7461592377</v>
      </c>
      <c r="N30" s="24" t="n">
        <f aca="false">G30/FX_EUR</f>
        <v>117159.446799265</v>
      </c>
      <c r="O30" s="24" t="n">
        <f aca="false">H30/FX_EUR</f>
        <v>196653.788654834</v>
      </c>
      <c r="P30" s="24" t="n">
        <f aca="false">I30/FX_EUR</f>
        <v>372235.504944803</v>
      </c>
    </row>
    <row r="31" customFormat="false" ht="15" hidden="false" customHeight="false" outlineLevel="0" collapsed="false">
      <c r="A31" s="8" t="s">
        <v>1110</v>
      </c>
      <c r="B31" s="14" t="s">
        <v>77</v>
      </c>
      <c r="D31" s="22" t="n">
        <f aca="false">SUMIF('P&amp;L monthly'!$E$5:$BL$5,D$4,'P&amp;L monthly'!$E$30:$BL$30)</f>
        <v>79217636.4092058</v>
      </c>
      <c r="E31" s="22" t="n">
        <f aca="false">SUMIF('P&amp;L monthly'!$E$5:$BL$5,E$4,'P&amp;L monthly'!$E$30:$BL$30)</f>
        <v>514158916.456737</v>
      </c>
      <c r="F31" s="22" t="n">
        <f aca="false">SUMIF('P&amp;L monthly'!$E$5:$BL$5,F$4,'P&amp;L monthly'!$E$30:$BL$30)</f>
        <v>1586611837.37906</v>
      </c>
      <c r="G31" s="22" t="n">
        <f aca="false">SUMIF('P&amp;L monthly'!$E$5:$BL$5,G$4,'P&amp;L monthly'!$E$30:$BL$30)</f>
        <v>3131594679.09648</v>
      </c>
      <c r="H31" s="22" t="n">
        <f aca="false">SUMIF('P&amp;L monthly'!$E$5:$BL$5,H$4,'P&amp;L monthly'!$E$30:$BL$30)</f>
        <v>5240820126.35638</v>
      </c>
      <c r="I31" s="55" t="n">
        <f aca="false">SUM(D31:H31)</f>
        <v>10552403195.6979</v>
      </c>
      <c r="K31" s="17" t="n">
        <f aca="false">D31/FX_EUR</f>
        <v>120766.508184539</v>
      </c>
      <c r="L31" s="17" t="n">
        <f aca="false">E31/FX_EUR</f>
        <v>783830.215176813</v>
      </c>
      <c r="M31" s="17" t="n">
        <f aca="false">F31/FX_EUR</f>
        <v>2418774.1534568</v>
      </c>
      <c r="N31" s="17" t="n">
        <f aca="false">G31/FX_EUR</f>
        <v>4774085.31214162</v>
      </c>
      <c r="O31" s="17" t="n">
        <f aca="false">H31/FX_EUR</f>
        <v>7989578.77781071</v>
      </c>
      <c r="P31" s="17" t="n">
        <f aca="false">I31/FX_EUR</f>
        <v>16087034.9667705</v>
      </c>
    </row>
    <row r="32" customFormat="false" ht="15" hidden="false" customHeight="false" outlineLevel="0" collapsed="false">
      <c r="A32" s="8" t="s">
        <v>94</v>
      </c>
      <c r="B32" s="14" t="s">
        <v>77</v>
      </c>
      <c r="D32" s="55" t="n">
        <f aca="false">D23-D31</f>
        <v>38132968.3289546</v>
      </c>
      <c r="E32" s="55" t="n">
        <f aca="false">E23-E31</f>
        <v>381248650.16093</v>
      </c>
      <c r="F32" s="55" t="n">
        <f aca="false">F23-F31</f>
        <v>1305131364.5636</v>
      </c>
      <c r="G32" s="55" t="n">
        <f aca="false">G23-G31</f>
        <v>2680874677.13743</v>
      </c>
      <c r="H32" s="55" t="n">
        <f aca="false">H23-H31</f>
        <v>4536753608.43928</v>
      </c>
      <c r="I32" s="55" t="n">
        <f aca="false">SUM(D32:H32)</f>
        <v>8942141268.63019</v>
      </c>
      <c r="K32" s="17" t="n">
        <f aca="false">D32/FX_EUR</f>
        <v>58133.3354609442</v>
      </c>
      <c r="L32" s="17" t="n">
        <f aca="false">E32/FX_EUR</f>
        <v>581209.82040123</v>
      </c>
      <c r="M32" s="17" t="n">
        <f aca="false">F32/FX_EUR</f>
        <v>1989659.93893441</v>
      </c>
      <c r="N32" s="17" t="n">
        <f aca="false">G32/FX_EUR</f>
        <v>4086967.09866261</v>
      </c>
      <c r="O32" s="17" t="n">
        <f aca="false">H32/FX_EUR</f>
        <v>6916236.29054843</v>
      </c>
      <c r="P32" s="17" t="n">
        <f aca="false">I32/FX_EUR</f>
        <v>13632206.4840076</v>
      </c>
    </row>
    <row r="33" customFormat="false" ht="15" hidden="false" customHeight="false" outlineLevel="0" collapsed="false">
      <c r="A33" s="12" t="s">
        <v>95</v>
      </c>
      <c r="B33" s="14" t="s">
        <v>96</v>
      </c>
      <c r="D33" s="34" t="n">
        <f aca="false">IFERROR(D32/D23,0)</f>
        <v>0.324949056837322</v>
      </c>
      <c r="E33" s="34" t="n">
        <f aca="false">IFERROR(E32/E23,0)</f>
        <v>0.42578225198729</v>
      </c>
      <c r="F33" s="34" t="n">
        <f aca="false">IFERROR(F32/F23,0)</f>
        <v>0.451330313039836</v>
      </c>
      <c r="G33" s="34" t="n">
        <f aca="false">IFERROR(G32/G23,0)</f>
        <v>0.461228182521457</v>
      </c>
      <c r="H33" s="34" t="n">
        <f aca="false">IFERROR(H32/H23,0)</f>
        <v>0.46399584717978</v>
      </c>
      <c r="I33" s="60" t="n">
        <f aca="false">IFERROR(I32/I23,0)</f>
        <v>0.458699678004423</v>
      </c>
    </row>
    <row r="35" customFormat="false" ht="15" hidden="false" customHeight="false" outlineLevel="0" collapsed="false">
      <c r="A35" s="10" t="s">
        <v>1111</v>
      </c>
      <c r="B35" s="11"/>
      <c r="C35" s="11"/>
      <c r="D35" s="11"/>
      <c r="E35" s="11"/>
      <c r="F35" s="11"/>
      <c r="G35" s="11"/>
      <c r="H35" s="11"/>
      <c r="I35" s="11"/>
    </row>
    <row r="36" customFormat="false" ht="15" hidden="false" customHeight="false" outlineLevel="0" collapsed="false">
      <c r="A36" s="12" t="s">
        <v>22</v>
      </c>
      <c r="B36" s="14" t="s">
        <v>77</v>
      </c>
      <c r="D36" s="23" t="n">
        <f aca="false">SUMIF('P&amp;L monthly'!$E$5:$BL$5,D$4,'P&amp;L monthly'!$E$35:$BL$35)</f>
        <v>148460000</v>
      </c>
      <c r="E36" s="23" t="n">
        <f aca="false">SUMIF('P&amp;L monthly'!$E$5:$BL$5,E$4,'P&amp;L monthly'!$E$35:$BL$35)</f>
        <v>256893000</v>
      </c>
      <c r="F36" s="23" t="n">
        <f aca="false">SUMIF('P&amp;L monthly'!$E$5:$BL$5,F$4,'P&amp;L monthly'!$E$35:$BL$35)</f>
        <v>384540975</v>
      </c>
      <c r="G36" s="23" t="n">
        <f aca="false">SUMIF('P&amp;L monthly'!$E$5:$BL$5,G$4,'P&amp;L monthly'!$E$35:$BL$35)</f>
        <v>523408567.5</v>
      </c>
      <c r="H36" s="23" t="n">
        <f aca="false">SUMIF('P&amp;L monthly'!$E$5:$BL$5,H$4,'P&amp;L monthly'!$E$35:$BL$35)</f>
        <v>721579207.78125</v>
      </c>
      <c r="I36" s="55" t="n">
        <f aca="false">SUM(D36:H36)</f>
        <v>2034881750.28125</v>
      </c>
      <c r="K36" s="24" t="n">
        <f aca="false">D36/FX_EUR</f>
        <v>226325.810990659</v>
      </c>
      <c r="L36" s="24" t="n">
        <f aca="false">E36/FX_EUR</f>
        <v>391630.853851701</v>
      </c>
      <c r="M36" s="24" t="n">
        <f aca="false">F36/FX_EUR</f>
        <v>586228.937262656</v>
      </c>
      <c r="N36" s="24" t="n">
        <f aca="false">G36/FX_EUR</f>
        <v>797931.217290158</v>
      </c>
      <c r="O36" s="24" t="n">
        <f aca="false">H36/FX_EUR</f>
        <v>1100040.41085201</v>
      </c>
      <c r="P36" s="24" t="n">
        <f aca="false">I36/FX_EUR</f>
        <v>3102157.23024718</v>
      </c>
    </row>
    <row r="37" customFormat="false" ht="15" hidden="false" customHeight="false" outlineLevel="0" collapsed="false">
      <c r="A37" s="12" t="s">
        <v>1069</v>
      </c>
      <c r="B37" s="14" t="s">
        <v>77</v>
      </c>
      <c r="D37" s="23" t="n">
        <f aca="false">SUMIF('P&amp;L monthly'!$E$5:$BL$5,D$4,'P&amp;L monthly'!$E$36:$BL$36)</f>
        <v>28905770.3</v>
      </c>
      <c r="E37" s="23" t="n">
        <f aca="false">SUMIF('P&amp;L monthly'!$E$5:$BL$5,E$4,'P&amp;L monthly'!$E$36:$BL$36)</f>
        <v>39752654.4</v>
      </c>
      <c r="F37" s="23" t="n">
        <f aca="false">SUMIF('P&amp;L monthly'!$E$5:$BL$5,F$4,'P&amp;L monthly'!$E$36:$BL$36)</f>
        <v>69793805.4</v>
      </c>
      <c r="G37" s="23" t="n">
        <f aca="false">SUMIF('P&amp;L monthly'!$E$5:$BL$5,G$4,'P&amp;L monthly'!$E$36:$BL$36)</f>
        <v>109848842.6</v>
      </c>
      <c r="H37" s="23" t="n">
        <f aca="false">SUMIF('P&amp;L monthly'!$E$5:$BL$5,H$4,'P&amp;L monthly'!$E$36:$BL$36)</f>
        <v>164104445.6</v>
      </c>
      <c r="I37" s="55" t="n">
        <f aca="false">SUM(D37:H37)</f>
        <v>412405518.3</v>
      </c>
      <c r="K37" s="24" t="n">
        <f aca="false">D37/FX_EUR</f>
        <v>44066.5627472533</v>
      </c>
      <c r="L37" s="24" t="n">
        <f aca="false">E37/FX_EUR</f>
        <v>60602.5309585842</v>
      </c>
      <c r="M37" s="24" t="n">
        <f aca="false">F37/FX_EUR</f>
        <v>106399.970424891</v>
      </c>
      <c r="N37" s="24" t="n">
        <f aca="false">G37/FX_EUR</f>
        <v>167463.48099037</v>
      </c>
      <c r="O37" s="24" t="n">
        <f aca="false">H37/FX_EUR</f>
        <v>250175.614560101</v>
      </c>
      <c r="P37" s="24" t="n">
        <f aca="false">I37/FX_EUR</f>
        <v>628708.159681199</v>
      </c>
    </row>
    <row r="38" customFormat="false" ht="15" hidden="false" customHeight="false" outlineLevel="0" collapsed="false">
      <c r="A38" s="12" t="s">
        <v>670</v>
      </c>
      <c r="B38" s="14" t="s">
        <v>77</v>
      </c>
      <c r="D38" s="23" t="n">
        <f aca="false">SUMIF('P&amp;L monthly'!$E$5:$BL$5,D$4,'P&amp;L monthly'!$E$37:$BL$37)</f>
        <v>130525355.504058</v>
      </c>
      <c r="E38" s="23" t="n">
        <f aca="false">SUMIF('P&amp;L monthly'!$E$5:$BL$5,E$4,'P&amp;L monthly'!$E$37:$BL$37)</f>
        <v>112485452.572995</v>
      </c>
      <c r="F38" s="23" t="n">
        <f aca="false">SUMIF('P&amp;L monthly'!$E$5:$BL$5,F$4,'P&amp;L monthly'!$E$37:$BL$37)</f>
        <v>135213450</v>
      </c>
      <c r="G38" s="23" t="n">
        <f aca="false">SUMIF('P&amp;L monthly'!$E$5:$BL$5,G$4,'P&amp;L monthly'!$E$37:$BL$37)</f>
        <v>157111930</v>
      </c>
      <c r="H38" s="23" t="n">
        <f aca="false">SUMIF('P&amp;L monthly'!$E$5:$BL$5,H$4,'P&amp;L monthly'!$E$37:$BL$37)</f>
        <v>179784130</v>
      </c>
      <c r="I38" s="55" t="n">
        <f aca="false">SUM(D38:H38)</f>
        <v>715120318.077053</v>
      </c>
      <c r="K38" s="24" t="n">
        <f aca="false">D38/FX_EUR</f>
        <v>198984.621711573</v>
      </c>
      <c r="L38" s="24" t="n">
        <f aca="false">E38/FX_EUR</f>
        <v>171482.966982584</v>
      </c>
      <c r="M38" s="24" t="n">
        <f aca="false">F38/FX_EUR</f>
        <v>206131.575697797</v>
      </c>
      <c r="N38" s="24" t="n">
        <f aca="false">G38/FX_EUR</f>
        <v>239515.593247728</v>
      </c>
      <c r="O38" s="24" t="n">
        <f aca="false">H38/FX_EUR</f>
        <v>274079.139333828</v>
      </c>
      <c r="P38" s="24" t="n">
        <f aca="false">I38/FX_EUR</f>
        <v>1090193.89697351</v>
      </c>
    </row>
    <row r="39" customFormat="false" ht="15" hidden="false" customHeight="false" outlineLevel="0" collapsed="false">
      <c r="A39" s="12" t="s">
        <v>686</v>
      </c>
      <c r="B39" s="14" t="s">
        <v>77</v>
      </c>
      <c r="D39" s="23" t="n">
        <f aca="false">SUMIF('P&amp;L monthly'!$E$5:$BL$5,D$4,'P&amp;L monthly'!$E$38:$BL$38)</f>
        <v>27000000</v>
      </c>
      <c r="E39" s="23" t="n">
        <f aca="false">SUMIF('P&amp;L monthly'!$E$5:$BL$5,E$4,'P&amp;L monthly'!$E$38:$BL$38)</f>
        <v>50000000</v>
      </c>
      <c r="F39" s="23" t="n">
        <f aca="false">SUMIF('P&amp;L monthly'!$E$5:$BL$5,F$4,'P&amp;L monthly'!$E$38:$BL$38)</f>
        <v>51000000</v>
      </c>
      <c r="G39" s="23" t="n">
        <f aca="false">SUMIF('P&amp;L monthly'!$E$5:$BL$5,G$4,'P&amp;L monthly'!$E$38:$BL$38)</f>
        <v>51000000</v>
      </c>
      <c r="H39" s="23" t="n">
        <f aca="false">SUMIF('P&amp;L monthly'!$E$5:$BL$5,H$4,'P&amp;L monthly'!$E$38:$BL$38)</f>
        <v>51000000</v>
      </c>
      <c r="I39" s="55" t="n">
        <f aca="false">SUM(D39:H39)</f>
        <v>230000000</v>
      </c>
      <c r="K39" s="24" t="n">
        <f aca="false">D39/FX_EUR</f>
        <v>41161.2346541008</v>
      </c>
      <c r="L39" s="24" t="n">
        <f aca="false">E39/FX_EUR</f>
        <v>76224.5086187052</v>
      </c>
      <c r="M39" s="24" t="n">
        <f aca="false">F39/FX_EUR</f>
        <v>77748.9987910793</v>
      </c>
      <c r="N39" s="24" t="n">
        <f aca="false">G39/FX_EUR</f>
        <v>77748.9987910793</v>
      </c>
      <c r="O39" s="24" t="n">
        <f aca="false">H39/FX_EUR</f>
        <v>77748.9987910793</v>
      </c>
      <c r="P39" s="24" t="n">
        <f aca="false">I39/FX_EUR</f>
        <v>350632.739646044</v>
      </c>
    </row>
    <row r="40" customFormat="false" ht="15" hidden="false" customHeight="false" outlineLevel="0" collapsed="false">
      <c r="A40" s="12" t="s">
        <v>697</v>
      </c>
      <c r="B40" s="14" t="s">
        <v>77</v>
      </c>
      <c r="D40" s="23" t="n">
        <f aca="false">SUMIF('P&amp;L monthly'!$E$5:$BL$5,D$4,'P&amp;L monthly'!$E$39:$BL$39)</f>
        <v>38200000</v>
      </c>
      <c r="E40" s="23" t="n">
        <f aca="false">SUMIF('P&amp;L monthly'!$E$5:$BL$5,E$4,'P&amp;L monthly'!$E$39:$BL$39)</f>
        <v>103200000</v>
      </c>
      <c r="F40" s="23" t="n">
        <f aca="false">SUMIF('P&amp;L monthly'!$E$5:$BL$5,F$4,'P&amp;L monthly'!$E$39:$BL$39)</f>
        <v>150400000</v>
      </c>
      <c r="G40" s="23" t="n">
        <f aca="false">SUMIF('P&amp;L monthly'!$E$5:$BL$5,G$4,'P&amp;L monthly'!$E$39:$BL$39)</f>
        <v>168400000</v>
      </c>
      <c r="H40" s="23" t="n">
        <f aca="false">SUMIF('P&amp;L monthly'!$E$5:$BL$5,H$4,'P&amp;L monthly'!$E$39:$BL$39)</f>
        <v>196400000</v>
      </c>
      <c r="I40" s="55" t="n">
        <f aca="false">SUM(D40:H40)</f>
        <v>656600000</v>
      </c>
      <c r="K40" s="24" t="n">
        <f aca="false">D40/FX_EUR</f>
        <v>58235.5245846908</v>
      </c>
      <c r="L40" s="24" t="n">
        <f aca="false">E40/FX_EUR</f>
        <v>157327.385789008</v>
      </c>
      <c r="M40" s="24" t="n">
        <f aca="false">F40/FX_EUR</f>
        <v>229283.321925065</v>
      </c>
      <c r="N40" s="24" t="n">
        <f aca="false">G40/FX_EUR</f>
        <v>256724.145027799</v>
      </c>
      <c r="O40" s="24" t="n">
        <f aca="false">H40/FX_EUR</f>
        <v>299409.869854274</v>
      </c>
      <c r="P40" s="24" t="n">
        <f aca="false">I40/FX_EUR</f>
        <v>1000980.24718084</v>
      </c>
    </row>
    <row r="41" customFormat="false" ht="15" hidden="false" customHeight="false" outlineLevel="0" collapsed="false">
      <c r="A41" s="12" t="s">
        <v>713</v>
      </c>
      <c r="B41" s="14" t="s">
        <v>77</v>
      </c>
      <c r="D41" s="23" t="n">
        <f aca="false">SUMIF('P&amp;L monthly'!$E$5:$BL$5,D$4,'P&amp;L monthly'!$E$40:$BL$40)</f>
        <v>40949493.5817695</v>
      </c>
      <c r="E41" s="23" t="n">
        <f aca="false">SUMIF('P&amp;L monthly'!$E$5:$BL$5,E$4,'P&amp;L monthly'!$E$40:$BL$40)</f>
        <v>74798922.43958</v>
      </c>
      <c r="F41" s="23" t="n">
        <f aca="false">SUMIF('P&amp;L monthly'!$E$5:$BL$5,F$4,'P&amp;L monthly'!$E$40:$BL$40)</f>
        <v>136240387.467217</v>
      </c>
      <c r="G41" s="23" t="n">
        <f aca="false">SUMIF('P&amp;L monthly'!$E$5:$BL$5,G$4,'P&amp;L monthly'!$E$40:$BL$40)</f>
        <v>177022317.56747</v>
      </c>
      <c r="H41" s="23" t="n">
        <f aca="false">SUMIF('P&amp;L monthly'!$E$5:$BL$5,H$4,'P&amp;L monthly'!$E$40:$BL$40)</f>
        <v>216545566.910532</v>
      </c>
      <c r="I41" s="55" t="n">
        <f aca="false">SUM(D41:H41)</f>
        <v>645556687.966568</v>
      </c>
      <c r="K41" s="24" t="n">
        <f aca="false">D41/FX_EUR</f>
        <v>62427.100529104</v>
      </c>
      <c r="L41" s="24" t="n">
        <f aca="false">E41/FX_EUR</f>
        <v>114030.222163313</v>
      </c>
      <c r="M41" s="24" t="n">
        <f aca="false">F41/FX_EUR</f>
        <v>207697.131774212</v>
      </c>
      <c r="N41" s="24" t="n">
        <f aca="false">G41/FX_EUR</f>
        <v>269868.783422495</v>
      </c>
      <c r="O41" s="24" t="n">
        <f aca="false">H41/FX_EUR</f>
        <v>330121.588626284</v>
      </c>
      <c r="P41" s="24" t="n">
        <f aca="false">I41/FX_EUR</f>
        <v>984144.826515409</v>
      </c>
    </row>
    <row r="42" customFormat="false" ht="15" hidden="false" customHeight="false" outlineLevel="0" collapsed="false">
      <c r="A42" s="12" t="s">
        <v>720</v>
      </c>
      <c r="B42" s="14" t="s">
        <v>77</v>
      </c>
      <c r="D42" s="23" t="n">
        <f aca="false">SUMIF('P&amp;L monthly'!$E$5:$BL$5,D$4,'P&amp;L monthly'!$E$41:$BL$41)</f>
        <v>10949062.4</v>
      </c>
      <c r="E42" s="23" t="n">
        <f aca="false">SUMIF('P&amp;L monthly'!$E$5:$BL$5,E$4,'P&amp;L monthly'!$E$41:$BL$41)</f>
        <v>20599062.4</v>
      </c>
      <c r="F42" s="23" t="n">
        <f aca="false">SUMIF('P&amp;L monthly'!$E$5:$BL$5,F$4,'P&amp;L monthly'!$E$41:$BL$41)</f>
        <v>25174296.8</v>
      </c>
      <c r="G42" s="23" t="n">
        <f aca="false">SUMIF('P&amp;L monthly'!$E$5:$BL$5,G$4,'P&amp;L monthly'!$E$41:$BL$41)</f>
        <v>29674296.8</v>
      </c>
      <c r="H42" s="23" t="n">
        <f aca="false">SUMIF('P&amp;L monthly'!$E$5:$BL$5,H$4,'P&amp;L monthly'!$E$41:$BL$41)</f>
        <v>35223828</v>
      </c>
      <c r="I42" s="55" t="n">
        <f aca="false">SUM(D42:H42)</f>
        <v>121620546.4</v>
      </c>
      <c r="K42" s="24" t="n">
        <f aca="false">D42/FX_EUR</f>
        <v>16691.7380255108</v>
      </c>
      <c r="L42" s="24" t="n">
        <f aca="false">E42/FX_EUR</f>
        <v>31403.0681889209</v>
      </c>
      <c r="M42" s="24" t="n">
        <f aca="false">F42/FX_EUR</f>
        <v>38377.9680680289</v>
      </c>
      <c r="N42" s="24" t="n">
        <f aca="false">G42/FX_EUR</f>
        <v>45238.1738437123</v>
      </c>
      <c r="O42" s="24" t="n">
        <f aca="false">H42/FX_EUR</f>
        <v>53698.3796193958</v>
      </c>
      <c r="P42" s="24" t="n">
        <f aca="false">I42/FX_EUR</f>
        <v>185409.327745569</v>
      </c>
    </row>
    <row r="43" customFormat="false" ht="15" hidden="false" customHeight="false" outlineLevel="0" collapsed="false">
      <c r="A43" s="12" t="s">
        <v>1112</v>
      </c>
      <c r="B43" s="14" t="s">
        <v>77</v>
      </c>
      <c r="D43" s="23" t="n">
        <f aca="false">SUMIF('P&amp;L monthly'!$E$5:$BL$5,D$4,'P&amp;L monthly'!$E$42:$BL$42)</f>
        <v>21249484.0892914</v>
      </c>
      <c r="E43" s="23" t="n">
        <f aca="false">SUMIF('P&amp;L monthly'!$E$5:$BL$5,E$4,'P&amp;L monthly'!$E$42:$BL$42)</f>
        <v>32886454.5906287</v>
      </c>
      <c r="F43" s="23" t="n">
        <f aca="false">SUMIF('P&amp;L monthly'!$E$5:$BL$5,F$4,'P&amp;L monthly'!$E$42:$BL$42)</f>
        <v>47618145.7333609</v>
      </c>
      <c r="G43" s="23" t="n">
        <f aca="false">SUMIF('P&amp;L monthly'!$E$5:$BL$5,G$4,'P&amp;L monthly'!$E$42:$BL$42)</f>
        <v>60823297.7233735</v>
      </c>
      <c r="H43" s="23" t="n">
        <f aca="false">SUMIF('P&amp;L monthly'!$E$5:$BL$5,H$4,'P&amp;L monthly'!$E$42:$BL$42)</f>
        <v>78231858.9145891</v>
      </c>
      <c r="I43" s="55" t="n">
        <f aca="false">SUM(D43:H43)</f>
        <v>240809241.051244</v>
      </c>
      <c r="K43" s="24" t="n">
        <f aca="false">D43/FX_EUR</f>
        <v>32394.6296621446</v>
      </c>
      <c r="L43" s="24" t="n">
        <f aca="false">E43/FX_EUR</f>
        <v>50135.0768276407</v>
      </c>
      <c r="M43" s="24" t="n">
        <f aca="false">F43/FX_EUR</f>
        <v>72593.3951971865</v>
      </c>
      <c r="N43" s="24" t="n">
        <f aca="false">G43/FX_EUR</f>
        <v>92724.5196306671</v>
      </c>
      <c r="O43" s="24" t="n">
        <f aca="false">H43/FX_EUR</f>
        <v>119263.700081849</v>
      </c>
      <c r="P43" s="24" t="n">
        <f aca="false">I43/FX_EUR</f>
        <v>367111.321399487</v>
      </c>
    </row>
    <row r="44" customFormat="false" ht="15" hidden="false" customHeight="false" outlineLevel="0" collapsed="false">
      <c r="A44" s="8" t="s">
        <v>97</v>
      </c>
      <c r="B44" s="14" t="s">
        <v>77</v>
      </c>
      <c r="D44" s="22" t="n">
        <f aca="false">SUMIF('P&amp;L monthly'!$E$5:$BL$5,D$4,'P&amp;L monthly'!$E$43:$BL$43)</f>
        <v>446239165.875119</v>
      </c>
      <c r="E44" s="22" t="n">
        <f aca="false">SUMIF('P&amp;L monthly'!$E$5:$BL$5,E$4,'P&amp;L monthly'!$E$43:$BL$43)</f>
        <v>690615546.403204</v>
      </c>
      <c r="F44" s="22" t="n">
        <f aca="false">SUMIF('P&amp;L monthly'!$E$5:$BL$5,F$4,'P&amp;L monthly'!$E$43:$BL$43)</f>
        <v>999981060.400578</v>
      </c>
      <c r="G44" s="22" t="n">
        <f aca="false">SUMIF('P&amp;L monthly'!$E$5:$BL$5,G$4,'P&amp;L monthly'!$E$43:$BL$43)</f>
        <v>1277289252.19084</v>
      </c>
      <c r="H44" s="22" t="n">
        <f aca="false">SUMIF('P&amp;L monthly'!$E$5:$BL$5,H$4,'P&amp;L monthly'!$E$43:$BL$43)</f>
        <v>1642869037.20637</v>
      </c>
      <c r="I44" s="55" t="n">
        <f aca="false">SUM(D44:H44)</f>
        <v>5056994062.07612</v>
      </c>
      <c r="K44" s="17" t="n">
        <f aca="false">D44/FX_EUR</f>
        <v>680287.222905037</v>
      </c>
      <c r="L44" s="17" t="n">
        <f aca="false">E44/FX_EUR</f>
        <v>1052836.61338046</v>
      </c>
      <c r="M44" s="17" t="n">
        <f aca="false">F44/FX_EUR</f>
        <v>1524461.29914092</v>
      </c>
      <c r="N44" s="17" t="n">
        <f aca="false">G44/FX_EUR</f>
        <v>1947214.91224401</v>
      </c>
      <c r="O44" s="17" t="n">
        <f aca="false">H44/FX_EUR</f>
        <v>2504537.70171882</v>
      </c>
      <c r="P44" s="17" t="n">
        <f aca="false">I44/FX_EUR</f>
        <v>7709337.74938924</v>
      </c>
    </row>
    <row r="45" customFormat="false" ht="15" hidden="false" customHeight="false" outlineLevel="0" collapsed="false">
      <c r="A45" s="8" t="s">
        <v>98</v>
      </c>
      <c r="B45" s="14" t="s">
        <v>77</v>
      </c>
      <c r="D45" s="55" t="n">
        <f aca="false">D32-D44</f>
        <v>-408106197.546165</v>
      </c>
      <c r="E45" s="55" t="n">
        <f aca="false">E32-E44</f>
        <v>-309366896.242274</v>
      </c>
      <c r="F45" s="55" t="n">
        <f aca="false">F32-F44</f>
        <v>305150304.163022</v>
      </c>
      <c r="G45" s="55" t="n">
        <f aca="false">G32-G44</f>
        <v>1403585424.94658</v>
      </c>
      <c r="H45" s="55" t="n">
        <f aca="false">H32-H44</f>
        <v>2893884571.23291</v>
      </c>
      <c r="I45" s="55" t="n">
        <f aca="false">SUM(D45:H45)</f>
        <v>3885147206.55407</v>
      </c>
      <c r="K45" s="17" t="n">
        <f aca="false">D45/FX_EUR</f>
        <v>-622153.887444093</v>
      </c>
      <c r="L45" s="17" t="n">
        <f aca="false">E45/FX_EUR</f>
        <v>-471626.792979225</v>
      </c>
      <c r="M45" s="17" t="n">
        <f aca="false">F45/FX_EUR</f>
        <v>465198.639793496</v>
      </c>
      <c r="N45" s="17" t="n">
        <f aca="false">G45/FX_EUR</f>
        <v>2139752.1864186</v>
      </c>
      <c r="O45" s="17" t="n">
        <f aca="false">H45/FX_EUR</f>
        <v>4411698.58882962</v>
      </c>
      <c r="P45" s="17" t="n">
        <f aca="false">I45/FX_EUR</f>
        <v>5922868.73461839</v>
      </c>
    </row>
    <row r="46" customFormat="false" ht="15" hidden="false" customHeight="false" outlineLevel="0" collapsed="false">
      <c r="A46" s="12" t="s">
        <v>99</v>
      </c>
      <c r="B46" s="14" t="s">
        <v>96</v>
      </c>
      <c r="D46" s="34" t="n">
        <f aca="false">IFERROR(D45/D23,0)</f>
        <v>-3.47766590940674</v>
      </c>
      <c r="E46" s="34" t="n">
        <f aca="false">IFERROR(E45/E23,0)</f>
        <v>-0.345504000385973</v>
      </c>
      <c r="F46" s="34" t="n">
        <f aca="false">IFERROR(F45/F23,0)</f>
        <v>0.105524689729718</v>
      </c>
      <c r="G46" s="34" t="n">
        <f aca="false">IFERROR(G45/G23,0)</f>
        <v>0.241478335441241</v>
      </c>
      <c r="H46" s="34" t="n">
        <f aca="false">IFERROR(H45/H23,0)</f>
        <v>0.295971643858269</v>
      </c>
      <c r="I46" s="60" t="n">
        <f aca="false">IFERROR(I45/I23,0)</f>
        <v>0.199294074999459</v>
      </c>
    </row>
    <row r="47" customFormat="false" ht="15" hidden="false" customHeight="false" outlineLevel="0" collapsed="false">
      <c r="A47" s="12" t="s">
        <v>1114</v>
      </c>
      <c r="B47" s="14" t="s">
        <v>77</v>
      </c>
      <c r="D47" s="23" t="n">
        <f aca="false">SUMIF('P&amp;L monthly'!$E$5:$BL$5,D$4,'P&amp;L monthly'!$E$47:$BL$47)</f>
        <v>0</v>
      </c>
      <c r="E47" s="23" t="n">
        <f aca="false">SUMIF('P&amp;L monthly'!$E$5:$BL$5,E$4,'P&amp;L monthly'!$E$47:$BL$47)</f>
        <v>0</v>
      </c>
      <c r="F47" s="23" t="n">
        <f aca="false">SUMIF('P&amp;L monthly'!$E$5:$BL$5,F$4,'P&amp;L monthly'!$E$47:$BL$47)</f>
        <v>0</v>
      </c>
      <c r="G47" s="23" t="n">
        <f aca="false">SUMIF('P&amp;L monthly'!$E$5:$BL$5,G$4,'P&amp;L monthly'!$E$47:$BL$47)</f>
        <v>297378790.59635</v>
      </c>
      <c r="H47" s="23" t="n">
        <f aca="false">SUMIF('P&amp;L monthly'!$E$5:$BL$5,H$4,'P&amp;L monthly'!$E$47:$BL$47)</f>
        <v>868165371.369872</v>
      </c>
      <c r="I47" s="55" t="n">
        <f aca="false">SUM(D47:H47)</f>
        <v>1165544161.96622</v>
      </c>
      <c r="K47" s="24" t="n">
        <f aca="false">D47/FX_EUR</f>
        <v>0</v>
      </c>
      <c r="L47" s="24" t="n">
        <f aca="false">E47/FX_EUR</f>
        <v>0</v>
      </c>
      <c r="M47" s="24" t="n">
        <f aca="false">F47/FX_EUR</f>
        <v>0</v>
      </c>
      <c r="N47" s="24" t="n">
        <f aca="false">G47/FX_EUR</f>
        <v>453351.043736632</v>
      </c>
      <c r="O47" s="24" t="n">
        <f aca="false">H47/FX_EUR</f>
        <v>1323509.57664888</v>
      </c>
      <c r="P47" s="24" t="n">
        <f aca="false">I47/FX_EUR</f>
        <v>1776860.62038552</v>
      </c>
    </row>
    <row r="48" customFormat="false" ht="15" hidden="false" customHeight="false" outlineLevel="0" collapsed="false">
      <c r="A48" s="8" t="s">
        <v>100</v>
      </c>
      <c r="B48" s="14" t="s">
        <v>77</v>
      </c>
      <c r="D48" s="55" t="n">
        <f aca="false">D45-D47</f>
        <v>-408106197.546165</v>
      </c>
      <c r="E48" s="55" t="n">
        <f aca="false">E45-E47</f>
        <v>-309366896.242274</v>
      </c>
      <c r="F48" s="55" t="n">
        <f aca="false">F45-F47</f>
        <v>305150304.163022</v>
      </c>
      <c r="G48" s="55" t="n">
        <f aca="false">G45-G47</f>
        <v>1106206634.35023</v>
      </c>
      <c r="H48" s="55" t="n">
        <f aca="false">H45-H47</f>
        <v>2025719199.86304</v>
      </c>
      <c r="I48" s="55" t="n">
        <f aca="false">SUM(D48:H48)</f>
        <v>2719603044.58785</v>
      </c>
      <c r="K48" s="17" t="n">
        <f aca="false">D48/FX_EUR</f>
        <v>-622153.887444093</v>
      </c>
      <c r="L48" s="17" t="n">
        <f aca="false">E48/FX_EUR</f>
        <v>-471626.792979225</v>
      </c>
      <c r="M48" s="17" t="n">
        <f aca="false">F48/FX_EUR</f>
        <v>465198.639793496</v>
      </c>
      <c r="N48" s="17" t="n">
        <f aca="false">G48/FX_EUR</f>
        <v>1686401.14268196</v>
      </c>
      <c r="O48" s="17" t="n">
        <f aca="false">H48/FX_EUR</f>
        <v>3088189.01218073</v>
      </c>
      <c r="P48" s="17" t="n">
        <f aca="false">I48/FX_EUR</f>
        <v>4146008.11423287</v>
      </c>
    </row>
    <row r="50" customFormat="false" ht="15" hidden="false" customHeight="false" outlineLevel="0" collapsed="false">
      <c r="A50" s="10" t="s">
        <v>1131</v>
      </c>
      <c r="B50" s="11"/>
      <c r="C50" s="11"/>
      <c r="D50" s="11"/>
      <c r="E50" s="11"/>
      <c r="F50" s="11"/>
      <c r="G50" s="11"/>
      <c r="H50" s="11"/>
      <c r="I50" s="11"/>
    </row>
    <row r="51" customFormat="false" ht="15" hidden="false" customHeight="false" outlineLevel="0" collapsed="false">
      <c r="A51" s="12" t="s">
        <v>1132</v>
      </c>
      <c r="B51" s="14" t="s">
        <v>77</v>
      </c>
      <c r="D51" s="23" t="n">
        <f aca="false">SUMIF('Cash flow'!$E$5:$BL$5,D$4,'Cash flow'!$E$15:$BL$15)</f>
        <v>-468106197.546165</v>
      </c>
      <c r="E51" s="23" t="n">
        <f aca="false">SUMIF('Cash flow'!$E$5:$BL$5,E$4,'Cash flow'!$E$15:$BL$15)</f>
        <v>-1005615660.14776</v>
      </c>
      <c r="F51" s="23" t="n">
        <f aca="false">SUMIF('Cash flow'!$E$5:$BL$5,F$4,'Cash flow'!$E$15:$BL$15)</f>
        <v>-6527772.14000262</v>
      </c>
      <c r="G51" s="23" t="n">
        <f aca="false">SUMIF('Cash flow'!$E$5:$BL$5,G$4,'Cash flow'!$E$15:$BL$15)</f>
        <v>786282938.262585</v>
      </c>
      <c r="H51" s="23" t="n">
        <f aca="false">SUMIF('Cash flow'!$E$5:$BL$5,H$4,'Cash flow'!$E$15:$BL$15)</f>
        <v>1650592340.56654</v>
      </c>
      <c r="I51" s="55" t="n">
        <f aca="false">SUM(D51:H51)</f>
        <v>956625648.995193</v>
      </c>
      <c r="K51" s="24" t="n">
        <f aca="false">D51/FX_EUR</f>
        <v>-713623.297786539</v>
      </c>
      <c r="L51" s="24" t="n">
        <f aca="false">E51/FX_EUR</f>
        <v>-1533051.19108076</v>
      </c>
      <c r="M51" s="24" t="n">
        <f aca="false">F51/FX_EUR</f>
        <v>-9951.52447493146</v>
      </c>
      <c r="N51" s="24" t="n">
        <f aca="false">G51/FX_EUR</f>
        <v>1198680.61208674</v>
      </c>
      <c r="O51" s="24" t="n">
        <f aca="false">H51/FX_EUR</f>
        <v>2516311.80178965</v>
      </c>
      <c r="P51" s="24" t="n">
        <f aca="false">I51/FX_EUR</f>
        <v>1458366.40053417</v>
      </c>
    </row>
    <row r="52" customFormat="false" ht="15" hidden="false" customHeight="false" outlineLevel="0" collapsed="false">
      <c r="A52" s="12" t="s">
        <v>1133</v>
      </c>
      <c r="B52" s="14" t="s">
        <v>77</v>
      </c>
      <c r="D52" s="23" t="n">
        <f aca="false">SUMIF('Cash flow'!$E$5:$BL$5,D$4,'Cash flow'!$E$19:$BL$19)</f>
        <v>900000000</v>
      </c>
      <c r="E52" s="23" t="n">
        <f aca="false">SUMIF('Cash flow'!$E$5:$BL$5,E$4,'Cash flow'!$E$19:$BL$19)</f>
        <v>2400000000</v>
      </c>
      <c r="F52" s="23" t="n">
        <f aca="false">SUMIF('Cash flow'!$E$5:$BL$5,F$4,'Cash flow'!$E$19:$BL$19)</f>
        <v>0</v>
      </c>
      <c r="G52" s="23" t="n">
        <f aca="false">SUMIF('Cash flow'!$E$5:$BL$5,G$4,'Cash flow'!$E$19:$BL$19)</f>
        <v>0</v>
      </c>
      <c r="H52" s="23" t="n">
        <f aca="false">SUMIF('Cash flow'!$E$5:$BL$5,H$4,'Cash flow'!$E$19:$BL$19)</f>
        <v>0</v>
      </c>
      <c r="I52" s="55" t="n">
        <f aca="false">SUM(D52:H52)</f>
        <v>3300000000</v>
      </c>
      <c r="K52" s="24" t="n">
        <f aca="false">D52/FX_EUR</f>
        <v>1372041.15513669</v>
      </c>
      <c r="L52" s="24" t="n">
        <f aca="false">E52/FX_EUR</f>
        <v>3658776.41369785</v>
      </c>
      <c r="M52" s="24" t="n">
        <f aca="false">F52/FX_EUR</f>
        <v>0</v>
      </c>
      <c r="N52" s="24" t="n">
        <f aca="false">G52/FX_EUR</f>
        <v>0</v>
      </c>
      <c r="O52" s="24" t="n">
        <f aca="false">H52/FX_EUR</f>
        <v>0</v>
      </c>
      <c r="P52" s="24" t="n">
        <f aca="false">I52/FX_EUR</f>
        <v>5030817.56883454</v>
      </c>
    </row>
    <row r="53" customFormat="false" ht="15" hidden="false" customHeight="false" outlineLevel="0" collapsed="false">
      <c r="A53" s="8" t="s">
        <v>1134</v>
      </c>
      <c r="B53" s="14" t="s">
        <v>77</v>
      </c>
      <c r="D53" s="22" t="n">
        <f aca="false">INDEX('Cash flow'!$E$24:$BL$24,1,D$4*12)</f>
        <v>431893802.453835</v>
      </c>
      <c r="E53" s="22" t="n">
        <f aca="false">INDEX('Cash flow'!$E$24:$BL$24,1,E$4*12)</f>
        <v>1826278142.30608</v>
      </c>
      <c r="F53" s="22" t="n">
        <f aca="false">INDEX('Cash flow'!$E$24:$BL$24,1,F$4*12)</f>
        <v>1819750370.16607</v>
      </c>
      <c r="G53" s="22" t="n">
        <f aca="false">INDEX('Cash flow'!$E$24:$BL$24,1,G$4*12)</f>
        <v>2606033308.42866</v>
      </c>
      <c r="H53" s="22" t="n">
        <f aca="false">INDEX('Cash flow'!$E$24:$BL$24,1,H$4*12)</f>
        <v>4256625648.99519</v>
      </c>
      <c r="K53" s="17" t="n">
        <f aca="false">D53/FX_EUR</f>
        <v>658417.857350155</v>
      </c>
      <c r="L53" s="17" t="n">
        <f aca="false">E53/FX_EUR</f>
        <v>2784143.07996725</v>
      </c>
      <c r="M53" s="17" t="n">
        <f aca="false">F53/FX_EUR</f>
        <v>2774191.55549232</v>
      </c>
      <c r="N53" s="17" t="n">
        <f aca="false">G53/FX_EUR</f>
        <v>3972872.16757906</v>
      </c>
      <c r="O53" s="17" t="n">
        <f aca="false">H53/FX_EUR</f>
        <v>6489183.96936871</v>
      </c>
    </row>
    <row r="55" customFormat="false" ht="15" hidden="false" customHeight="false" outlineLevel="0" collapsed="false">
      <c r="A55" s="10" t="s">
        <v>1135</v>
      </c>
      <c r="B55" s="11"/>
      <c r="C55" s="11"/>
      <c r="D55" s="11"/>
      <c r="E55" s="11"/>
      <c r="F55" s="11"/>
      <c r="G55" s="11"/>
      <c r="H55" s="11"/>
      <c r="I55" s="11"/>
    </row>
    <row r="56" customFormat="false" ht="15" hidden="false" customHeight="false" outlineLevel="0" collapsed="false">
      <c r="A56" s="8" t="s">
        <v>1042</v>
      </c>
      <c r="B56" s="14" t="s">
        <v>89</v>
      </c>
      <c r="D56" s="22" t="n">
        <f aca="false">INDEX('Clients &amp; revenue'!$E$17:$BL$17,1,D$4*12)</f>
        <v>388.382964930819</v>
      </c>
      <c r="E56" s="22" t="n">
        <f aca="false">INDEX('Clients &amp; revenue'!$E$17:$BL$17,1,E$4*12)</f>
        <v>1419.39940374893</v>
      </c>
      <c r="F56" s="22" t="n">
        <f aca="false">INDEX('Clients &amp; revenue'!$E$17:$BL$17,1,F$4*12)</f>
        <v>3304.46645441948</v>
      </c>
      <c r="G56" s="22" t="n">
        <f aca="false">INDEX('Clients &amp; revenue'!$E$17:$BL$17,1,G$4*12)</f>
        <v>5992.06696901879</v>
      </c>
      <c r="H56" s="22" t="n">
        <f aca="false">INDEX('Clients &amp; revenue'!$E$17:$BL$17,1,H$4*12)</f>
        <v>9412.61027096753</v>
      </c>
    </row>
    <row r="57" customFormat="false" ht="15" hidden="false" customHeight="false" outlineLevel="0" collapsed="false">
      <c r="A57" s="12" t="s">
        <v>1136</v>
      </c>
      <c r="B57" s="14" t="s">
        <v>89</v>
      </c>
      <c r="D57" s="23" t="n">
        <f aca="false">INDEX('Clients &amp; revenue'!$E$19:$BL$19,1,D$4*12)</f>
        <v>388.329341569838</v>
      </c>
      <c r="E57" s="23" t="n">
        <f aca="false">INDEX('Clients &amp; revenue'!$E$19:$BL$19,1,E$4*12)</f>
        <v>1194.56402486491</v>
      </c>
      <c r="F57" s="23" t="n">
        <f aca="false">INDEX('Clients &amp; revenue'!$E$19:$BL$19,1,F$4*12)</f>
        <v>2442.01211400313</v>
      </c>
      <c r="G57" s="23" t="n">
        <f aca="false">INDEX('Clients &amp; revenue'!$E$19:$BL$19,1,G$4*12)</f>
        <v>4255.2202064322</v>
      </c>
      <c r="H57" s="23" t="n">
        <f aca="false">INDEX('Clients &amp; revenue'!$E$19:$BL$19,1,H$4*12)</f>
        <v>6381.32536714945</v>
      </c>
    </row>
    <row r="58" customFormat="false" ht="15" hidden="false" customHeight="false" outlineLevel="0" collapsed="false">
      <c r="A58" s="12" t="s">
        <v>1137</v>
      </c>
      <c r="B58" s="14" t="s">
        <v>89</v>
      </c>
      <c r="D58" s="23" t="n">
        <f aca="false">INDEX('Clients &amp; revenue'!$E$20:$BL$20,1,D$4*12)</f>
        <v>0</v>
      </c>
      <c r="E58" s="23" t="n">
        <f aca="false">INDEX('Clients &amp; revenue'!$E$20:$BL$20,1,E$4*12)</f>
        <v>223.760780918427</v>
      </c>
      <c r="F58" s="23" t="n">
        <f aca="false">INDEX('Clients &amp; revenue'!$E$20:$BL$20,1,F$4*12)</f>
        <v>857.136584914707</v>
      </c>
      <c r="G58" s="23" t="n">
        <f aca="false">INDEX('Clients &amp; revenue'!$E$20:$BL$20,1,G$4*12)</f>
        <v>1720.58062628607</v>
      </c>
      <c r="H58" s="23" t="n">
        <f aca="false">INDEX('Clients &amp; revenue'!$E$20:$BL$20,1,H$4*12)</f>
        <v>2993.14600653526</v>
      </c>
    </row>
    <row r="59" customFormat="false" ht="15" hidden="false" customHeight="false" outlineLevel="0" collapsed="false">
      <c r="A59" s="12" t="s">
        <v>90</v>
      </c>
      <c r="B59" s="14" t="s">
        <v>89</v>
      </c>
      <c r="D59" s="23" t="n">
        <f aca="false">SUMIF('Sales &amp; marketing'!$E$5:$BL$5,D$4,'Sales &amp; marketing'!$E$33:$BL$33)</f>
        <v>410.913076604112</v>
      </c>
      <c r="E59" s="23" t="n">
        <f aca="false">SUMIF('Sales &amp; marketing'!$E$5:$BL$5,E$4,'Sales &amp; marketing'!$E$33:$BL$33)</f>
        <v>1187.3568975832</v>
      </c>
      <c r="F59" s="23" t="n">
        <f aca="false">SUMIF('Sales &amp; marketing'!$E$5:$BL$5,F$4,'Sales &amp; marketing'!$E$33:$BL$33)</f>
        <v>2326.81549868868</v>
      </c>
      <c r="G59" s="23" t="n">
        <f aca="false">SUMIF('Sales &amp; marketing'!$E$5:$BL$5,G$4,'Sales &amp; marketing'!$E$33:$BL$33)</f>
        <v>3562.29270269879</v>
      </c>
      <c r="H59" s="23" t="n">
        <f aca="false">SUMIF('Sales &amp; marketing'!$E$5:$BL$5,H$4,'Sales &amp; marketing'!$E$33:$BL$33)</f>
        <v>4883.02267642127</v>
      </c>
      <c r="I59" s="55" t="n">
        <f aca="false">SUM(D59:H59)</f>
        <v>12370.400851996</v>
      </c>
    </row>
    <row r="60" customFormat="false" ht="15" hidden="false" customHeight="false" outlineLevel="0" collapsed="false">
      <c r="A60" s="12" t="s">
        <v>882</v>
      </c>
      <c r="B60" s="14" t="s">
        <v>92</v>
      </c>
      <c r="D60" s="23" t="n">
        <f aca="false">INDEX(Staff!$E$82:$BL$82,1,D$4*12)</f>
        <v>11</v>
      </c>
      <c r="E60" s="23" t="n">
        <f aca="false">INDEX(Staff!$E$82:$BL$82,1,E$4*12)</f>
        <v>19</v>
      </c>
      <c r="F60" s="23" t="n">
        <f aca="false">INDEX(Staff!$E$82:$BL$82,1,F$4*12)</f>
        <v>33</v>
      </c>
      <c r="G60" s="23" t="n">
        <f aca="false">INDEX(Staff!$E$82:$BL$82,1,G$4*12)</f>
        <v>51</v>
      </c>
      <c r="H60" s="23" t="n">
        <f aca="false">INDEX(Staff!$E$82:$BL$82,1,H$4*12)</f>
        <v>75</v>
      </c>
    </row>
    <row r="61" customFormat="false" ht="15" hidden="false" customHeight="false" outlineLevel="0" collapsed="false">
      <c r="A61" s="12" t="s">
        <v>1138</v>
      </c>
      <c r="B61" s="14" t="s">
        <v>77</v>
      </c>
      <c r="D61" s="23" t="n">
        <f aca="false">INDEX(Credit!$E$25:$BL$25,1,D$4*12)</f>
        <v>0</v>
      </c>
      <c r="E61" s="23" t="n">
        <f aca="false">INDEX(Credit!$E$25:$BL$25,1,E$4*12)</f>
        <v>462487639.054858</v>
      </c>
      <c r="F61" s="23" t="n">
        <f aca="false">INDEX(Credit!$E$25:$BL$25,1,F$4*12)</f>
        <v>2612419116.03863</v>
      </c>
      <c r="G61" s="23" t="n">
        <f aca="false">INDEX(Credit!$E$25:$BL$25,1,G$4*12)</f>
        <v>4998758956.29875</v>
      </c>
      <c r="H61" s="23" t="n">
        <f aca="false">INDEX(Credit!$E$25:$BL$25,1,H$4*12)</f>
        <v>7855949970.08209</v>
      </c>
      <c r="K61" s="24" t="n">
        <f aca="false">D61/FX_EUR</f>
        <v>0</v>
      </c>
      <c r="L61" s="24" t="n">
        <f aca="false">E61/FX_EUR</f>
        <v>705057.860583633</v>
      </c>
      <c r="M61" s="24" t="n">
        <f aca="false">F61/FX_EUR</f>
        <v>3982607.26852314</v>
      </c>
      <c r="N61" s="24" t="n">
        <f aca="false">G61/FX_EUR</f>
        <v>7620558.90294447</v>
      </c>
      <c r="O61" s="24" t="n">
        <f aca="false">H61/FX_EUR</f>
        <v>11976318.5240528</v>
      </c>
    </row>
    <row r="62" customFormat="false" ht="15" hidden="false" customHeight="false" outlineLevel="0" collapsed="false">
      <c r="A62" s="12" t="s">
        <v>1139</v>
      </c>
      <c r="B62" s="14" t="s">
        <v>586</v>
      </c>
      <c r="D62" s="23" t="n">
        <f aca="false">INDEX('Clients &amp; revenue'!$E$32:$BL$32,1,D$4*12)</f>
        <v>0</v>
      </c>
      <c r="E62" s="23" t="n">
        <f aca="false">INDEX('Clients &amp; revenue'!$E$32:$BL$32,1,E$4*12)</f>
        <v>0</v>
      </c>
      <c r="F62" s="23" t="n">
        <f aca="false">INDEX('Clients &amp; revenue'!$E$32:$BL$32,1,F$4*12)</f>
        <v>15754.3439221149</v>
      </c>
      <c r="G62" s="23" t="n">
        <f aca="false">INDEX('Clients &amp; revenue'!$E$32:$BL$32,1,G$4*12)</f>
        <v>29036.9422787057</v>
      </c>
      <c r="H62"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1140</v>
      </c>
    </row>
    <row r="5" customFormat="false" ht="15" hidden="false" customHeight="false" outlineLevel="0" collapsed="false">
      <c r="A5" s="27" t="s">
        <v>1141</v>
      </c>
    </row>
    <row r="6" customFormat="false" ht="15" hidden="false" customHeight="false" outlineLevel="0" collapsed="false">
      <c r="A6" s="2" t="s">
        <v>1142</v>
      </c>
    </row>
    <row r="7" customFormat="false" ht="30" hidden="false" customHeight="true" outlineLevel="0" collapsed="false">
      <c r="A7" s="28" t="s">
        <v>214</v>
      </c>
      <c r="B7" s="28" t="s">
        <v>182</v>
      </c>
      <c r="C7" s="28" t="s">
        <v>664</v>
      </c>
    </row>
    <row r="8" customFormat="false" ht="15" hidden="false" customHeight="false" outlineLevel="0" collapsed="false">
      <c r="A8" s="12" t="s">
        <v>93</v>
      </c>
      <c r="B8" s="30" t="s">
        <v>77</v>
      </c>
      <c r="C8" s="32" t="n">
        <f aca="false">'P&amp;L annual'!$H$23</f>
        <v>9777573734.79566</v>
      </c>
    </row>
    <row r="9" customFormat="false" ht="15" hidden="false" customHeight="false" outlineLevel="0" collapsed="false">
      <c r="A9" s="2" t="s">
        <v>127</v>
      </c>
      <c r="C9" s="31" t="n">
        <f aca="false">IF(ISNUMBER(C8),C8/FX_EUR,"")</f>
        <v>14905815.0683591</v>
      </c>
    </row>
    <row r="10" customFormat="false" ht="15" hidden="false" customHeight="false" outlineLevel="0" collapsed="false">
      <c r="A10" s="12" t="s">
        <v>98</v>
      </c>
      <c r="B10" s="30" t="s">
        <v>77</v>
      </c>
      <c r="C10" s="32" t="n">
        <f aca="false">'P&amp;L annual'!$H$45</f>
        <v>2893884571.23291</v>
      </c>
    </row>
    <row r="11" customFormat="false" ht="15" hidden="false" customHeight="false" outlineLevel="0" collapsed="false">
      <c r="A11" s="2" t="s">
        <v>127</v>
      </c>
      <c r="C11" s="31" t="n">
        <f aca="false">IF(ISNUMBER(C10),C10/FX_EUR,"")</f>
        <v>4411698.58882962</v>
      </c>
    </row>
    <row r="12" customFormat="false" ht="15" hidden="false" customHeight="false" outlineLevel="0" collapsed="false">
      <c r="A12" s="12" t="s">
        <v>99</v>
      </c>
      <c r="B12" s="30" t="s">
        <v>96</v>
      </c>
      <c r="C12" s="34" t="n">
        <f aca="false">IFERROR('P&amp;L annual'!$H$45/'P&amp;L annual'!$H$23,0)</f>
        <v>0.295971643858269</v>
      </c>
    </row>
    <row r="13" customFormat="false" ht="15" hidden="false" customHeight="false" outlineLevel="0" collapsed="false">
      <c r="A13" s="12" t="s">
        <v>1143</v>
      </c>
      <c r="B13" s="30" t="s">
        <v>1144</v>
      </c>
      <c r="C13" s="56" t="n">
        <f aca="false">Pricing_Option</f>
        <v>2</v>
      </c>
    </row>
    <row r="15" customFormat="false" ht="15" hidden="false" customHeight="false" outlineLevel="0" collapsed="false">
      <c r="A15" s="27" t="s">
        <v>14</v>
      </c>
    </row>
    <row r="16" customFormat="false" ht="15" hidden="false" customHeight="false" outlineLevel="0" collapsed="false">
      <c r="A16" s="2" t="s">
        <v>1145</v>
      </c>
    </row>
    <row r="17" customFormat="false" ht="30" hidden="false" customHeight="true" outlineLevel="0" collapsed="false">
      <c r="A17" s="28" t="s">
        <v>1146</v>
      </c>
      <c r="B17" s="28" t="s">
        <v>1147</v>
      </c>
      <c r="C17" s="28" t="s">
        <v>1148</v>
      </c>
      <c r="D17" s="28" t="s">
        <v>1149</v>
      </c>
      <c r="E17" s="28" t="s">
        <v>1150</v>
      </c>
      <c r="F17" s="28" t="s">
        <v>1151</v>
      </c>
      <c r="G17" s="28" t="s">
        <v>1152</v>
      </c>
      <c r="H17" s="28" t="s">
        <v>1153</v>
      </c>
    </row>
    <row r="18" customFormat="false" ht="15" hidden="false" customHeight="false" outlineLevel="0" collapsed="false">
      <c r="A18" s="12" t="s">
        <v>1154</v>
      </c>
      <c r="B18" s="30" t="s">
        <v>1155</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annual'!$H$45+G18)/('P&amp;L annual'!$H$23+F18),0)</f>
        <v>0.289011503880196</v>
      </c>
    </row>
    <row r="19" customFormat="false" ht="15" hidden="false" customHeight="false" outlineLevel="0" collapsed="false">
      <c r="A19" s="2" t="s">
        <v>127</v>
      </c>
      <c r="F19" s="31" t="n">
        <f aca="false">IF(ISNUMBER(F18),F18/FX_EUR,"")</f>
        <v>-145918.759486615</v>
      </c>
      <c r="G19" s="31" t="n">
        <f aca="false">IF(ISNUMBER(G18),G18/FX_EUR,"")</f>
        <v>-145918.759486615</v>
      </c>
    </row>
    <row r="20" customFormat="false" ht="15" hidden="false" customHeight="false" outlineLevel="0" collapsed="false">
      <c r="A20" s="12" t="s">
        <v>1156</v>
      </c>
      <c r="B20" s="30" t="s">
        <v>1155</v>
      </c>
      <c r="C20" s="32" t="n">
        <f aca="false">Price_Moyenne</f>
        <v>19500</v>
      </c>
      <c r="D20" s="39" t="n">
        <v>-5000</v>
      </c>
      <c r="E20" s="32" t="n">
        <f aca="false">C20+D20</f>
        <v>14500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annual'!$H$45+G20)/('P&amp;L annual'!$H$23+F20),0)</f>
        <v>0.286181819183832</v>
      </c>
    </row>
    <row r="21" customFormat="false" ht="15" hidden="false" customHeight="false" outlineLevel="0" collapsed="false">
      <c r="A21" s="2" t="s">
        <v>127</v>
      </c>
      <c r="F21" s="31" t="n">
        <f aca="false">IF(ISNUMBER(F20),F20/FX_EUR,"")</f>
        <v>-204429.251132224</v>
      </c>
      <c r="G21" s="31" t="n">
        <f aca="false">IF(ISNUMBER(G20),G20/FX_EUR,"")</f>
        <v>-204429.251132224</v>
      </c>
    </row>
    <row r="22" customFormat="false" ht="15" hidden="false" customHeight="false" outlineLevel="0" collapsed="false">
      <c r="A22" s="12" t="s">
        <v>1157</v>
      </c>
      <c r="B22" s="30" t="s">
        <v>1155</v>
      </c>
      <c r="C22" s="32" t="n">
        <f aca="false">Price_Grande</f>
        <v>69500</v>
      </c>
      <c r="D22" s="39" t="n">
        <v>-10000</v>
      </c>
      <c r="E22" s="32" t="n">
        <f aca="false">C22+D22</f>
        <v>59500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annual'!$H$45+G22)/('P&amp;L annual'!$H$23+F22),0)</f>
        <v>0.288929692899328</v>
      </c>
    </row>
    <row r="23" customFormat="false" ht="15" hidden="false" customHeight="false" outlineLevel="0" collapsed="false">
      <c r="A23" s="2" t="s">
        <v>127</v>
      </c>
      <c r="F23" s="31" t="n">
        <f aca="false">IF(ISNUMBER(F22),F22/FX_EUR,"")</f>
        <v>-147616.93417129</v>
      </c>
      <c r="G23" s="31" t="n">
        <f aca="false">IF(ISNUMBER(G22),G22/FX_EUR,"")</f>
        <v>-147616.93417129</v>
      </c>
    </row>
    <row r="24" customFormat="false" ht="15" hidden="false" customHeight="false" outlineLevel="0" collapsed="false">
      <c r="A24" s="12" t="s">
        <v>1158</v>
      </c>
      <c r="B24" s="30" t="s">
        <v>1159</v>
      </c>
      <c r="C24" s="33" t="n">
        <f aca="false">0</f>
        <v>0</v>
      </c>
      <c r="D24" s="46" t="n">
        <v>-0.1</v>
      </c>
      <c r="E24" s="33" t="n">
        <f aca="false">C24+D24</f>
        <v>-0.1</v>
      </c>
      <c r="F24" s="32" t="n">
        <f aca="false">D24*SUMIF('Clients &amp; revenue'!$E$5:$BL$5,5,'Clients &amp; revenue'!$E$57:$BL$57)</f>
        <v>-166974486.126122</v>
      </c>
      <c r="G24" s="32" t="n">
        <f aca="false">D24*SUMIF('Clients &amp; revenue'!$E$5:$BL$5,5,'Clients &amp; revenue'!$E$57:$BL$57)</f>
        <v>-166974486.126122</v>
      </c>
      <c r="H24" s="34" t="n">
        <f aca="false">IFERROR(('P&amp;L annual'!$H$45+G24)/('P&amp;L annual'!$H$23+F24),0)</f>
        <v>0.2837398599764</v>
      </c>
    </row>
    <row r="25" customFormat="false" ht="15" hidden="false" customHeight="false" outlineLevel="0" collapsed="false">
      <c r="A25" s="2" t="s">
        <v>127</v>
      </c>
      <c r="F25" s="31" t="n">
        <f aca="false">IF(ISNUMBER(F24),F24/FX_EUR,"")</f>
        <v>-254550.963136489</v>
      </c>
      <c r="G25" s="31" t="n">
        <f aca="false">IF(ISNUMBER(G24),G24/FX_EUR,"")</f>
        <v>-254550.963136489</v>
      </c>
    </row>
    <row r="26" customFormat="false" ht="23.85" hidden="false" customHeight="false" outlineLevel="0" collapsed="false">
      <c r="A26" s="12" t="s">
        <v>1160</v>
      </c>
      <c r="B26" s="30" t="s">
        <v>1161</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G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H26" s="34" t="n">
        <f aca="false">IFERROR(('P&amp;L annual'!$H$45+G26)/('P&amp;L annual'!$H$23+F26),0)</f>
        <v>0.289655971861542</v>
      </c>
    </row>
    <row r="27" customFormat="false" ht="15" hidden="false" customHeight="false" outlineLevel="0" collapsed="false">
      <c r="A27" s="2" t="s">
        <v>127</v>
      </c>
      <c r="F27" s="31" t="n">
        <f aca="false">IF(ISNUMBER(F26),F26/FX_EUR,"")</f>
        <v>-132527.669814222</v>
      </c>
      <c r="G27" s="31" t="n">
        <f aca="false">IF(ISNUMBER(G26),G26/FX_EUR,"")</f>
        <v>-132527.669814222</v>
      </c>
    </row>
    <row r="28" customFormat="false" ht="23.85" hidden="false" customHeight="false" outlineLevel="0" collapsed="false">
      <c r="A28" s="12" t="s">
        <v>1162</v>
      </c>
      <c r="B28" s="30" t="s">
        <v>1163</v>
      </c>
      <c r="C28" s="42" t="n">
        <f aca="false">0</f>
        <v>0</v>
      </c>
      <c r="D28" s="43" t="n">
        <v>1</v>
      </c>
      <c r="E28" s="42" t="n">
        <f aca="false">C28+D28</f>
        <v>1</v>
      </c>
      <c r="F28" s="32" t="n">
        <f aca="false">D28*SUMIF('Clients &amp; revenue'!$E$5:$BL$5,5,'Clients &amp; revenue'!$E$17:$BL$17)*Overage_Fee</f>
        <v>42157649.9305368</v>
      </c>
      <c r="G28" s="32" t="n">
        <f aca="false">D28*SUMIF('Clients &amp; revenue'!$E$5:$BL$5,5,'Clients &amp; revenue'!$E$17:$BL$17)*(Overage_Fee-Supplier_Payout_Cost)</f>
        <v>14052549.9768456</v>
      </c>
      <c r="H28" s="34" t="n">
        <f aca="false">IFERROR(('P&amp;L annual'!$H$45+G28)/('P&amp;L annual'!$H$23+F28),0)</f>
        <v>0.29613204346229</v>
      </c>
    </row>
    <row r="29" customFormat="false" ht="15" hidden="false" customHeight="false" outlineLevel="0" collapsed="false">
      <c r="A29" s="2" t="s">
        <v>127</v>
      </c>
      <c r="F29" s="31" t="n">
        <f aca="false">IF(ISNUMBER(F28),F28/FX_EUR,"")</f>
        <v>64268.9230094911</v>
      </c>
      <c r="G29" s="31" t="n">
        <f aca="false">IF(ISNUMBER(G28),G28/FX_EUR,"")</f>
        <v>21422.9743364971</v>
      </c>
    </row>
    <row r="30" customFormat="false" ht="15" hidden="false" customHeight="false" outlineLevel="0" collapsed="false">
      <c r="A30" s="12" t="s">
        <v>1164</v>
      </c>
      <c r="B30" s="30" t="s">
        <v>1165</v>
      </c>
      <c r="C30" s="32" t="n">
        <f aca="false">Overage_Fee</f>
        <v>450</v>
      </c>
      <c r="D30" s="39" t="n">
        <v>100</v>
      </c>
      <c r="E30" s="32" t="n">
        <f aca="false">C30+D30</f>
        <v>550</v>
      </c>
      <c r="F30" s="32" t="n">
        <f aca="false">D30*SUMIF('Clients &amp; revenue'!$E$5:$BL$5,5,'Clients &amp; revenue'!$E$43:$BL$43)</f>
        <v>14952242.2088806</v>
      </c>
      <c r="G30" s="32" t="n">
        <f aca="false">D30*SUMIF('Clients &amp; revenue'!$E$5:$BL$5,5,'Clients &amp; revenue'!$E$43:$BL$43)</f>
        <v>14952242.2088806</v>
      </c>
      <c r="H30" s="34" t="n">
        <f aca="false">IFERROR(('P&amp;L annual'!$H$45+G30)/('P&amp;L annual'!$H$23+F30),0)</f>
        <v>0.297046627220853</v>
      </c>
    </row>
    <row r="31" customFormat="false" ht="15" hidden="false" customHeight="false" outlineLevel="0" collapsed="false">
      <c r="A31" s="2" t="s">
        <v>127</v>
      </c>
      <c r="F31" s="31" t="n">
        <f aca="false">IF(ISNUMBER(F30),F30/FX_EUR,"")</f>
        <v>22794.5463023957</v>
      </c>
      <c r="G31" s="31" t="n">
        <f aca="false">IF(ISNUMBER(G30),G30/FX_EUR,"")</f>
        <v>22794.5463023957</v>
      </c>
    </row>
    <row r="32" customFormat="false" ht="23.85" hidden="false" customHeight="false" outlineLevel="0" collapsed="false">
      <c r="A32" s="12" t="s">
        <v>1166</v>
      </c>
      <c r="B32" s="30" t="s">
        <v>1167</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annual'!$H$45+G32)/('P&amp;L annual'!$H$23+F32),0)</f>
        <v>0.304303895247942</v>
      </c>
    </row>
    <row r="33" customFormat="false" ht="15" hidden="false" customHeight="false" outlineLevel="0" collapsed="false">
      <c r="A33" s="2" t="s">
        <v>127</v>
      </c>
      <c r="F33" s="31" t="n">
        <f aca="false">IF(ISNUMBER(F32),F32/FX_EUR,"")</f>
        <v>178524.786137475</v>
      </c>
      <c r="G33" s="31" t="n">
        <f aca="false">IF(ISNUMBER(G32),G32/FX_EUR,"")</f>
        <v>178524.786137475</v>
      </c>
    </row>
    <row r="34" customFormat="false" ht="15" hidden="false" customHeight="false" outlineLevel="0" collapsed="false">
      <c r="A34" s="12" t="s">
        <v>1168</v>
      </c>
      <c r="B34" s="30" t="s">
        <v>1169</v>
      </c>
      <c r="C34" s="32" t="n">
        <f aca="false">Extra_User_Fee</f>
        <v>2500</v>
      </c>
      <c r="D34" s="39" t="n">
        <v>500</v>
      </c>
      <c r="E34" s="32" t="n">
        <f aca="false">C34+D34</f>
        <v>3000</v>
      </c>
      <c r="F34" s="32" t="n">
        <f aca="false">D34*SUMIF('Clients &amp; revenue'!$E$5:$BL$5,5,'Clients &amp; revenue'!$E$44:$BL$44)</f>
        <v>25528877.7294355</v>
      </c>
      <c r="G34" s="32" t="n">
        <f aca="false">D34*SUMIF('Clients &amp; revenue'!$E$5:$BL$5,5,'Clients &amp; revenue'!$E$44:$BL$44)</f>
        <v>25528877.7294355</v>
      </c>
      <c r="H34" s="34" t="n">
        <f aca="false">IFERROR(('P&amp;L annual'!$H$45+G34)/('P&amp;L annual'!$H$23+F34),0)</f>
        <v>0.297805048498861</v>
      </c>
    </row>
    <row r="35" customFormat="false" ht="15" hidden="false" customHeight="false" outlineLevel="0" collapsed="false">
      <c r="A35" s="2" t="s">
        <v>127</v>
      </c>
      <c r="F35" s="31" t="n">
        <f aca="false">IF(ISNUMBER(F34),F34/FX_EUR,"")</f>
        <v>38918.5232102646</v>
      </c>
      <c r="G35" s="31" t="n">
        <f aca="false">IF(ISNUMBER(G34),G34/FX_EUR,"")</f>
        <v>38918.5232102646</v>
      </c>
    </row>
    <row r="36" customFormat="false" ht="23.85" hidden="false" customHeight="false" outlineLevel="0" collapsed="false">
      <c r="A36" s="12" t="s">
        <v>1170</v>
      </c>
      <c r="B36" s="30" t="s">
        <v>1171</v>
      </c>
      <c r="C36" s="42" t="n">
        <f aca="false">0</f>
        <v>0</v>
      </c>
      <c r="D36" s="43" t="n">
        <v>0.5</v>
      </c>
      <c r="E36" s="42" t="n">
        <f aca="false">C36+D36</f>
        <v>0.5</v>
      </c>
      <c r="F36" s="32" t="n">
        <f aca="false">D36*SUMIF('Clients &amp; revenue'!$E$5:$BL$5,5,'Clients &amp; revenue'!$E$17:$BL$17)*Extra_Card_Fee</f>
        <v>93683666.512304</v>
      </c>
      <c r="G36" s="32" t="n">
        <f aca="false">D36*SUMIF('Clients &amp; revenue'!$E$5:$BL$5,5,'Clients &amp; revenue'!$E$17:$BL$17)*(Extra_Card_Fee-Card_Proc_Fee)</f>
        <v>46841833.256152</v>
      </c>
      <c r="H36" s="34" t="n">
        <f aca="false">IFERROR(('P&amp;L annual'!$H$45+G36)/('P&amp;L annual'!$H$23+F36),0)</f>
        <v>0.297907985268362</v>
      </c>
    </row>
    <row r="37" customFormat="false" ht="15" hidden="false" customHeight="false" outlineLevel="0" collapsed="false">
      <c r="A37" s="2" t="s">
        <v>127</v>
      </c>
      <c r="F37" s="31" t="n">
        <f aca="false">IF(ISNUMBER(F36),F36/FX_EUR,"")</f>
        <v>142819.82890998</v>
      </c>
      <c r="G37" s="31" t="n">
        <f aca="false">IF(ISNUMBER(G36),G36/FX_EUR,"")</f>
        <v>71409.9144549902</v>
      </c>
    </row>
    <row r="38" customFormat="false" ht="15" hidden="false" customHeight="false" outlineLevel="0" collapsed="false">
      <c r="A38" s="12" t="s">
        <v>1172</v>
      </c>
      <c r="B38" s="30" t="s">
        <v>1173</v>
      </c>
      <c r="C38" s="32" t="n">
        <f aca="false">Extra_Card_Fee</f>
        <v>2000</v>
      </c>
      <c r="D38" s="39" t="n">
        <v>500</v>
      </c>
      <c r="E38" s="32" t="n">
        <f aca="false">C38+D38</f>
        <v>2500</v>
      </c>
      <c r="F38" s="32" t="n">
        <f aca="false">D38*SUMIF('Clients &amp; revenue'!$E$5:$BL$5,5,'Clients &amp; revenue'!$E$45:$BL$45)</f>
        <v>0</v>
      </c>
      <c r="G38" s="32" t="n">
        <f aca="false">D38*SUMIF('Clients &amp; revenue'!$E$5:$BL$5,5,'Clients &amp; revenue'!$E$45:$BL$45)</f>
        <v>0</v>
      </c>
      <c r="H38" s="34" t="n">
        <f aca="false">IFERROR(('P&amp;L annual'!$H$45+G38)/('P&amp;L annual'!$H$23+F38),0)</f>
        <v>0.295971643858269</v>
      </c>
    </row>
    <row r="39" customFormat="false" ht="15" hidden="false" customHeight="false" outlineLevel="0" collapsed="false">
      <c r="A39" s="2" t="s">
        <v>127</v>
      </c>
      <c r="F39" s="31" t="n">
        <f aca="false">IF(ISNUMBER(F38),F38/FX_EUR,"")</f>
        <v>0</v>
      </c>
      <c r="G39" s="31" t="n">
        <f aca="false">IF(ISNUMBER(G38),G38/FX_EUR,"")</f>
        <v>0</v>
      </c>
    </row>
    <row r="40" customFormat="false" ht="15" hidden="false" customHeight="false" outlineLevel="0" collapsed="false">
      <c r="A40" s="12" t="s">
        <v>391</v>
      </c>
      <c r="B40" s="30" t="s">
        <v>1174</v>
      </c>
      <c r="C40" s="33" t="n">
        <f aca="false">MM_Fee</f>
        <v>0.01</v>
      </c>
      <c r="D40" s="46" t="n">
        <v>0.0015</v>
      </c>
      <c r="E40" s="33" t="n">
        <f aca="false">C40+D40</f>
        <v>0.0115</v>
      </c>
      <c r="F40" s="32" t="n">
        <f aca="false">D40*SUMIF('Clients &amp; revenue'!$E$5:$BL$5,5,'Clients &amp; revenue'!$E$46:$BL$46)</f>
        <v>422108401.498687</v>
      </c>
      <c r="G40" s="32" t="n">
        <f aca="false">D40*SUMIF('Clients &amp; revenue'!$E$5:$BL$5,5,'Clients &amp; revenue'!$E$46:$BL$46)</f>
        <v>422108401.498687</v>
      </c>
      <c r="H40" s="34" t="n">
        <f aca="false">IFERROR(('P&amp;L annual'!$H$45+G40)/('P&amp;L annual'!$H$23+F40),0)</f>
        <v>0.325107481627494</v>
      </c>
    </row>
    <row r="41" customFormat="false" ht="15" hidden="false" customHeight="false" outlineLevel="0" collapsed="false">
      <c r="A41" s="2" t="s">
        <v>127</v>
      </c>
      <c r="F41" s="31" t="n">
        <f aca="false">IF(ISNUMBER(F40),F40/FX_EUR,"")</f>
        <v>643500.109761291</v>
      </c>
      <c r="G41" s="31" t="n">
        <f aca="false">IF(ISNUMBER(G40),G40/FX_EUR,"")</f>
        <v>643500.109761291</v>
      </c>
    </row>
    <row r="43" customFormat="false" ht="15" hidden="false" customHeight="false" outlineLevel="0" collapsed="false">
      <c r="A43" s="27" t="s">
        <v>1175</v>
      </c>
    </row>
    <row r="44" customFormat="false" ht="15" hidden="false" customHeight="false" outlineLevel="0" collapsed="false">
      <c r="A44" s="2" t="s">
        <v>1176</v>
      </c>
    </row>
    <row r="45" customFormat="false" ht="30" hidden="false" customHeight="true" outlineLevel="0" collapsed="false">
      <c r="A45" s="28" t="s">
        <v>1146</v>
      </c>
      <c r="B45" s="28" t="s">
        <v>1147</v>
      </c>
      <c r="C45" s="28" t="s">
        <v>1148</v>
      </c>
      <c r="D45" s="28" t="s">
        <v>1149</v>
      </c>
      <c r="E45" s="28" t="s">
        <v>1150</v>
      </c>
      <c r="F45" s="28" t="s">
        <v>1151</v>
      </c>
      <c r="G45" s="28" t="s">
        <v>1152</v>
      </c>
      <c r="H45" s="28" t="s">
        <v>1153</v>
      </c>
    </row>
    <row r="46" customFormat="false" ht="15" hidden="false" customHeight="false" outlineLevel="0" collapsed="false">
      <c r="A46" s="12" t="s">
        <v>419</v>
      </c>
      <c r="B46" s="30" t="s">
        <v>1177</v>
      </c>
      <c r="C46" s="32" t="n">
        <f aca="false">Payslip_Fee</f>
        <v>900</v>
      </c>
      <c r="D46" s="39" t="n">
        <v>250</v>
      </c>
      <c r="E46" s="32" t="n">
        <f aca="false">C46+D46</f>
        <v>1150</v>
      </c>
      <c r="F46" s="32" t="n">
        <f aca="false">D46*SUMIF('Clients &amp; revenue'!$E$5:$BL$5,5,'Clients &amp; revenue'!$E$47:$BL$47)</f>
        <v>229064633.250839</v>
      </c>
      <c r="G46" s="32" t="n">
        <f aca="false">D46*SUMIF('Clients &amp; revenue'!$E$5:$BL$5,5,'Clients &amp; revenue'!$E$47:$BL$47)</f>
        <v>229064633.250839</v>
      </c>
      <c r="H46" s="34" t="n">
        <f aca="false">IFERROR(('P&amp;L annual'!$H$45+G46)/('P&amp;L annual'!$H$23+F46),0)</f>
        <v>0.312087745116886</v>
      </c>
    </row>
    <row r="47" customFormat="false" ht="15" hidden="false" customHeight="false" outlineLevel="0" collapsed="false">
      <c r="A47" s="2" t="s">
        <v>127</v>
      </c>
      <c r="F47" s="31" t="n">
        <f aca="false">IF(ISNUMBER(F46),F46/FX_EUR,"")</f>
        <v>349206.782229383</v>
      </c>
      <c r="G47" s="31" t="n">
        <f aca="false">IF(ISNUMBER(G46),G46/FX_EUR,"")</f>
        <v>349206.782229383</v>
      </c>
    </row>
    <row r="48" customFormat="false" ht="15" hidden="false" customHeight="false" outlineLevel="0" collapsed="false">
      <c r="A48" s="12" t="s">
        <v>1178</v>
      </c>
      <c r="B48" s="30" t="s">
        <v>1179</v>
      </c>
      <c r="C48" s="33" t="n">
        <f aca="false">Payroll_Mod_Uptake</f>
        <v>0.4</v>
      </c>
      <c r="D48" s="46" t="n">
        <v>0.1</v>
      </c>
      <c r="E48" s="33" t="n">
        <f aca="false">C48+D48</f>
        <v>0.5</v>
      </c>
      <c r="F48" s="32" t="n">
        <f aca="false">D48/Payroll_Mod_Uptake*SUMIF('Clients &amp; revenue'!$E$5:$BL$5,5,'Clients &amp; revenue'!$E$47:$BL$47)*Payslip_Fee</f>
        <v>206158169.925756</v>
      </c>
      <c r="G48" s="32" t="n">
        <f aca="false">D48/Payroll_Mod_Uptake*SUMIF('Clients &amp; revenue'!$E$5:$BL$5,5,'Clients &amp; revenue'!$E$47:$BL$47)*(Payslip_Fee-Payslip_Cost)</f>
        <v>202722200.426993</v>
      </c>
      <c r="H48" s="34" t="n">
        <f aca="false">IFERROR(('P&amp;L annual'!$H$45+G48)/('P&amp;L annual'!$H$23+F48),0)</f>
        <v>0.310165256961225</v>
      </c>
    </row>
    <row r="49" customFormat="false" ht="15" hidden="false" customHeight="false" outlineLevel="0" collapsed="false">
      <c r="A49" s="2" t="s">
        <v>127</v>
      </c>
      <c r="F49" s="31" t="n">
        <f aca="false">IF(ISNUMBER(F48),F48/FX_EUR,"")</f>
        <v>314286.104006445</v>
      </c>
      <c r="G49" s="31" t="n">
        <f aca="false">IF(ISNUMBER(G48),G48/FX_EUR,"")</f>
        <v>309048.002273004</v>
      </c>
    </row>
    <row r="50" customFormat="false" ht="15" hidden="false" customHeight="false" outlineLevel="0" collapsed="false">
      <c r="A50" s="12" t="s">
        <v>1180</v>
      </c>
      <c r="B50" s="30" t="s">
        <v>1181</v>
      </c>
      <c r="C50" s="33" t="n">
        <f aca="false">Intl_Fee</f>
        <v>0.02</v>
      </c>
      <c r="D50" s="46" t="n">
        <v>0.005</v>
      </c>
      <c r="E50" s="33" t="n">
        <f aca="false">C50+D50</f>
        <v>0.025</v>
      </c>
      <c r="F50" s="32" t="n">
        <f aca="false">D50*SUMIF('Clients &amp; revenue'!$E$5:$BL$5,5,'Clients &amp; revenue'!$E$48:$BL$48)</f>
        <v>249204036.814676</v>
      </c>
      <c r="G50" s="32" t="n">
        <f aca="false">D50*SUMIF('Clients &amp; revenue'!$E$5:$BL$5,5,'Clients &amp; revenue'!$E$48:$BL$48)</f>
        <v>249204036.814676</v>
      </c>
      <c r="H50" s="34" t="n">
        <f aca="false">IFERROR(('P&amp;L annual'!$H$45+G50)/('P&amp;L annual'!$H$23+F50),0)</f>
        <v>0.313469459445574</v>
      </c>
    </row>
    <row r="51" customFormat="false" ht="15" hidden="false" customHeight="false" outlineLevel="0" collapsed="false">
      <c r="A51" s="2" t="s">
        <v>127</v>
      </c>
      <c r="F51" s="31" t="n">
        <f aca="false">IF(ISNUMBER(F50),F50/FX_EUR,"")</f>
        <v>379909.105039929</v>
      </c>
      <c r="G51" s="31" t="n">
        <f aca="false">IF(ISNUMBER(G50),G50/FX_EUR,"")</f>
        <v>379909.105039929</v>
      </c>
    </row>
    <row r="52" customFormat="false" ht="15" hidden="false" customHeight="false" outlineLevel="0" collapsed="false">
      <c r="A52" s="12" t="s">
        <v>1182</v>
      </c>
      <c r="B52" s="30" t="s">
        <v>1183</v>
      </c>
      <c r="C52" s="33" t="n">
        <f aca="false">Intl_Uptake</f>
        <v>0.2</v>
      </c>
      <c r="D52" s="46" t="n">
        <v>0.1</v>
      </c>
      <c r="E52" s="33" t="n">
        <f aca="false">C52+D52</f>
        <v>0.3</v>
      </c>
      <c r="F52" s="32" t="n">
        <f aca="false">D52/Intl_Uptake*SUMIF('Clients &amp; revenue'!$E$5:$BL$5,5,'Clients &amp; revenue'!$E$48:$BL$48)*Intl_Fee</f>
        <v>498408073.629353</v>
      </c>
      <c r="G52" s="32" t="n">
        <f aca="false">D52/Intl_Uptake*SUMIF('Clients &amp; revenue'!$E$5:$BL$5,5,'Clients &amp; revenue'!$E$48:$BL$48)*(Intl_Fee-Intl_Cost)</f>
        <v>249204036.814676</v>
      </c>
      <c r="H52" s="34" t="n">
        <f aca="false">IFERROR(('P&amp;L annual'!$H$45+G52)/('P&amp;L annual'!$H$23+F52),0)</f>
        <v>0.305867474918129</v>
      </c>
    </row>
    <row r="53" customFormat="false" ht="15" hidden="false" customHeight="false" outlineLevel="0" collapsed="false">
      <c r="A53" s="2" t="s">
        <v>127</v>
      </c>
      <c r="F53" s="31" t="n">
        <f aca="false">IF(ISNUMBER(F52),F52/FX_EUR,"")</f>
        <v>759818.210079857</v>
      </c>
      <c r="G53" s="31" t="n">
        <f aca="false">IF(ISNUMBER(G52),G52/FX_EUR,"")</f>
        <v>379909.105039929</v>
      </c>
    </row>
    <row r="54" customFormat="false" ht="23.85" hidden="false" customHeight="false" outlineLevel="0" collapsed="false">
      <c r="A54" s="12" t="s">
        <v>1184</v>
      </c>
      <c r="B54" s="30" t="s">
        <v>1185</v>
      </c>
      <c r="C54" s="33" t="n">
        <f aca="false">FX_Fee</f>
        <v>0.025</v>
      </c>
      <c r="D54" s="46" t="n">
        <v>0.005</v>
      </c>
      <c r="E54" s="33" t="n">
        <f aca="false">C54+D54</f>
        <v>0.03</v>
      </c>
      <c r="F54" s="32" t="n">
        <f aca="false">D54*SUMIF('Clients &amp; revenue'!$E$5:$BL$5,5,'Clients &amp; revenue'!$E$37:$BL$37)</f>
        <v>445052202.471858</v>
      </c>
      <c r="G54" s="32" t="n">
        <f aca="false">D54*SUMIF('Clients &amp; revenue'!$E$5:$BL$5,5,'Clients &amp; revenue'!$E$37:$BL$37)</f>
        <v>445052202.471858</v>
      </c>
      <c r="H54" s="34" t="n">
        <f aca="false">IFERROR(('P&amp;L annual'!$H$45+G54)/('P&amp;L annual'!$H$23+F54),0)</f>
        <v>0.326622219593536</v>
      </c>
    </row>
    <row r="55" customFormat="false" ht="15" hidden="false" customHeight="false" outlineLevel="0" collapsed="false">
      <c r="A55" s="2" t="s">
        <v>127</v>
      </c>
      <c r="F55" s="31" t="n">
        <f aca="false">IF(ISNUMBER(F54),F54/FX_EUR,"")</f>
        <v>678477.708861798</v>
      </c>
      <c r="G55" s="31" t="n">
        <f aca="false">IF(ISNUMBER(G54),G54/FX_EUR,"")</f>
        <v>678477.708861798</v>
      </c>
    </row>
    <row r="56" customFormat="false" ht="23.85" hidden="false" customHeight="false" outlineLevel="0" collapsed="false">
      <c r="A56" s="12" t="s">
        <v>1186</v>
      </c>
      <c r="B56" s="30" t="s">
        <v>1187</v>
      </c>
      <c r="C56" s="42" t="n">
        <f aca="false">Foreign_Spend_Factor</f>
        <v>1</v>
      </c>
      <c r="D56" s="43" t="n">
        <v>-0.4</v>
      </c>
      <c r="E56" s="42" t="n">
        <f aca="false">C56+D56</f>
        <v>0.6</v>
      </c>
      <c r="F56" s="32" t="n">
        <f aca="false">D56/Foreign_Spend_Factor*SUMIF('Clients &amp; revenue'!$E$5:$BL$5,5,'Clients &amp; revenue'!$E$37:$BL$37)*(FX_Fee+FX_Interchange)</f>
        <v>-890104404.943716</v>
      </c>
      <c r="G56" s="32" t="n">
        <f aca="false">D56/Foreign_Spend_Factor*SUMIF('Clients &amp; revenue'!$E$5:$BL$5,5,'Clients &amp; revenue'!$E$37:$BL$37)*(FX_Fee+FX_Interchange-Scheme_Rate-Fraud_Rate)</f>
        <v>-409448026.27411</v>
      </c>
      <c r="H56" s="34" t="n">
        <f aca="false">IFERROR(('P&amp;L annual'!$H$45+G56)/('P&amp;L annual'!$H$23+F56),0)</f>
        <v>0.279543754554952</v>
      </c>
    </row>
    <row r="57" customFormat="false" ht="15" hidden="false" customHeight="false" outlineLevel="0" collapsed="false">
      <c r="A57" s="2" t="s">
        <v>127</v>
      </c>
      <c r="F57" s="31" t="n">
        <f aca="false">IF(ISNUMBER(F56),F56/FX_EUR,"")</f>
        <v>-1356955.4177236</v>
      </c>
      <c r="G57" s="31" t="n">
        <f aca="false">IF(ISNUMBER(G56),G56/FX_EUR,"")</f>
        <v>-624199.492152854</v>
      </c>
    </row>
    <row r="58" customFormat="false" ht="15" hidden="false" customHeight="false" outlineLevel="0" collapsed="false">
      <c r="A58" s="12" t="s">
        <v>1188</v>
      </c>
      <c r="B58" s="30" t="s">
        <v>1189</v>
      </c>
      <c r="C58" s="33" t="n">
        <f aca="false">PL_Fee</f>
        <v>0.012</v>
      </c>
      <c r="D58" s="46" t="n">
        <v>0.005</v>
      </c>
      <c r="E58" s="33" t="n">
        <f aca="false">C58+D58</f>
        <v>0.017</v>
      </c>
      <c r="F58" s="32" t="n">
        <f aca="false">D58*SUMIF('Clients &amp; revenue'!$E$5:$BL$5,5,'Clients &amp; revenue'!$E$50:$BL$50)*PL_Momo_Share</f>
        <v>208724827.700029</v>
      </c>
      <c r="G58" s="32" t="n">
        <f aca="false">D58*SUMIF('Clients &amp; revenue'!$E$5:$BL$5,5,'Clients &amp; revenue'!$E$50:$BL$50)*PL_Momo_Share</f>
        <v>208724827.700029</v>
      </c>
      <c r="H58" s="34" t="n">
        <f aca="false">IFERROR(('P&amp;L annual'!$H$45+G58)/('P&amp;L annual'!$H$23+F58),0)</f>
        <v>0.310686625231197</v>
      </c>
    </row>
    <row r="59" customFormat="false" ht="15" hidden="false" customHeight="false" outlineLevel="0" collapsed="false">
      <c r="A59" s="2" t="s">
        <v>127</v>
      </c>
      <c r="F59" s="31" t="n">
        <f aca="false">IF(ISNUMBER(F58),F58/FX_EUR,"")</f>
        <v>318198.948559172</v>
      </c>
      <c r="G59" s="31" t="n">
        <f aca="false">IF(ISNUMBER(G58),G58/FX_EUR,"")</f>
        <v>318198.948559172</v>
      </c>
    </row>
    <row r="61" customFormat="false" ht="15" hidden="false" customHeight="false" outlineLevel="0" collapsed="false">
      <c r="A61" s="27" t="s">
        <v>226</v>
      </c>
    </row>
    <row r="62" customFormat="false" ht="15" hidden="false" customHeight="false" outlineLevel="0" collapsed="false">
      <c r="A62" s="2" t="s">
        <v>1190</v>
      </c>
    </row>
    <row r="63" customFormat="false" ht="30" hidden="false" customHeight="true" outlineLevel="0" collapsed="false">
      <c r="A63" s="28" t="s">
        <v>1146</v>
      </c>
      <c r="B63" s="28" t="s">
        <v>1147</v>
      </c>
      <c r="C63" s="28" t="s">
        <v>1148</v>
      </c>
      <c r="D63" s="28" t="s">
        <v>1149</v>
      </c>
      <c r="E63" s="28" t="s">
        <v>1150</v>
      </c>
      <c r="F63" s="28" t="s">
        <v>1151</v>
      </c>
      <c r="G63" s="28" t="s">
        <v>1152</v>
      </c>
      <c r="H63" s="28" t="s">
        <v>1153</v>
      </c>
    </row>
    <row r="64" customFormat="false" ht="23.85" hidden="false" customHeight="false" outlineLevel="0" collapsed="false">
      <c r="A64" s="12" t="s">
        <v>1191</v>
      </c>
      <c r="B64" s="30" t="s">
        <v>1192</v>
      </c>
      <c r="C64" s="33" t="n">
        <f aca="false">Interchange_Share</f>
        <v>0</v>
      </c>
      <c r="D64" s="46" t="n">
        <v>0.003</v>
      </c>
      <c r="E64" s="33" t="n">
        <f aca="false">C64+D64</f>
        <v>0.003</v>
      </c>
      <c r="F64" s="32" t="n">
        <f aca="false">D64*SUMIF('Clients &amp; revenue'!$E$5:$BL$5,5,'Clients &amp; revenue'!$E$36:$BL$36)</f>
        <v>199353431.806314</v>
      </c>
      <c r="G64" s="32" t="n">
        <f aca="false">D64*SUMIF('Clients &amp; revenue'!$E$5:$BL$5,5,'Clients &amp; revenue'!$E$36:$BL$36)</f>
        <v>199353431.806314</v>
      </c>
      <c r="H64" s="34" t="n">
        <f aca="false">IFERROR(('P&amp;L annual'!$H$45+G64)/('P&amp;L annual'!$H$23+F64),0)</f>
        <v>0.310039148465864</v>
      </c>
    </row>
    <row r="65" customFormat="false" ht="15" hidden="false" customHeight="false" outlineLevel="0" collapsed="false">
      <c r="A65" s="2" t="s">
        <v>127</v>
      </c>
      <c r="F65" s="31" t="n">
        <f aca="false">IF(ISNUMBER(F64),F64/FX_EUR,"")</f>
        <v>303912.347617777</v>
      </c>
      <c r="G65" s="31" t="n">
        <f aca="false">IF(ISNUMBER(G64),G64/FX_EUR,"")</f>
        <v>303912.347617777</v>
      </c>
    </row>
    <row r="66" customFormat="false" ht="15" hidden="false" customHeight="false" outlineLevel="0" collapsed="false">
      <c r="A66" s="12" t="s">
        <v>238</v>
      </c>
      <c r="B66" s="30" t="s">
        <v>1193</v>
      </c>
      <c r="C66" s="33" t="n">
        <f aca="false">FX_Interchange</f>
        <v>0</v>
      </c>
      <c r="D66" s="46" t="n">
        <v>0.008</v>
      </c>
      <c r="E66" s="33" t="n">
        <f aca="false">C66+D66</f>
        <v>0.008</v>
      </c>
      <c r="F66" s="32" t="n">
        <f aca="false">D66*SUMIF('Clients &amp; revenue'!$E$5:$BL$5,5,'Clients &amp; revenue'!$E$37:$BL$37)</f>
        <v>712083523.954973</v>
      </c>
      <c r="G66" s="32" t="n">
        <f aca="false">D66*SUMIF('Clients &amp; revenue'!$E$5:$BL$5,5,'Clients &amp; revenue'!$E$37:$BL$37)</f>
        <v>712083523.954973</v>
      </c>
      <c r="H66" s="34" t="n">
        <f aca="false">IFERROR(('P&amp;L annual'!$H$45+G66)/('P&amp;L annual'!$H$23+F66),0)</f>
        <v>0.343764148459639</v>
      </c>
    </row>
    <row r="67" customFormat="false" ht="15" hidden="false" customHeight="false" outlineLevel="0" collapsed="false">
      <c r="A67" s="2" t="s">
        <v>127</v>
      </c>
      <c r="F67" s="31" t="n">
        <f aca="false">IF(ISNUMBER(F66),F66/FX_EUR,"")</f>
        <v>1085564.33417888</v>
      </c>
      <c r="G67" s="31" t="n">
        <f aca="false">IF(ISNUMBER(G66),G66/FX_EUR,"")</f>
        <v>1085564.33417888</v>
      </c>
    </row>
    <row r="68" customFormat="false" ht="23.85" hidden="false" customHeight="false" outlineLevel="0" collapsed="false">
      <c r="A68" s="12" t="s">
        <v>1194</v>
      </c>
      <c r="B68" s="30" t="s">
        <v>1195</v>
      </c>
      <c r="C68" s="33" t="n">
        <f aca="false">Deposit_Share</f>
        <v>0</v>
      </c>
      <c r="D68" s="46" t="n">
        <v>0.0125</v>
      </c>
      <c r="E68" s="33" t="n">
        <f aca="false">C68+D68</f>
        <v>0.0125</v>
      </c>
      <c r="F68" s="32" t="n">
        <f aca="false">D68*SUMIF('Clients &amp; revenue'!$E$5:$BL$5,5,'Clients &amp; revenue'!$E$38:$BL$38)/12</f>
        <v>920955875.956572</v>
      </c>
      <c r="G68" s="32" t="n">
        <f aca="false">D68*SUMIF('Clients &amp; revenue'!$E$5:$BL$5,5,'Clients &amp; revenue'!$E$38:$BL$38)/12</f>
        <v>920955875.956572</v>
      </c>
      <c r="H68" s="34" t="n">
        <f aca="false">IFERROR(('P&amp;L annual'!$H$45+G68)/('P&amp;L annual'!$H$23+F68),0)</f>
        <v>0.356576145132644</v>
      </c>
    </row>
    <row r="69" customFormat="false" ht="15" hidden="false" customHeight="false" outlineLevel="0" collapsed="false">
      <c r="A69" s="2" t="s">
        <v>127</v>
      </c>
      <c r="F69" s="31" t="n">
        <f aca="false">IF(ISNUMBER(F68),F68/FX_EUR,"")</f>
        <v>1403988.18208598</v>
      </c>
      <c r="G69" s="31" t="n">
        <f aca="false">IF(ISNUMBER(G68),G68/FX_EUR,"")</f>
        <v>1403988.18208598</v>
      </c>
    </row>
    <row r="71" customFormat="false" ht="15" hidden="false" customHeight="false" outlineLevel="0" collapsed="false">
      <c r="A71" s="27" t="s">
        <v>1196</v>
      </c>
    </row>
    <row r="72" customFormat="false" ht="15" hidden="false" customHeight="false" outlineLevel="0" collapsed="false">
      <c r="A72" s="2" t="s">
        <v>1197</v>
      </c>
    </row>
    <row r="73" customFormat="false" ht="30" hidden="false" customHeight="true" outlineLevel="0" collapsed="false">
      <c r="A73" s="28" t="s">
        <v>1146</v>
      </c>
      <c r="B73" s="28" t="s">
        <v>1147</v>
      </c>
      <c r="C73" s="28" t="s">
        <v>1148</v>
      </c>
      <c r="D73" s="28" t="s">
        <v>1149</v>
      </c>
      <c r="E73" s="28" t="s">
        <v>1150</v>
      </c>
      <c r="F73" s="28" t="s">
        <v>1151</v>
      </c>
      <c r="G73" s="28" t="s">
        <v>1152</v>
      </c>
      <c r="H73" s="28" t="s">
        <v>1153</v>
      </c>
    </row>
    <row r="74" customFormat="false" ht="23.85" hidden="false" customHeight="false" outlineLevel="0" collapsed="false">
      <c r="A74" s="12" t="s">
        <v>1198</v>
      </c>
      <c r="B74" s="30" t="s">
        <v>1199</v>
      </c>
      <c r="C74" s="32" t="n">
        <f aca="false">IFERROR(SUMIF(Costs!$E$5:$BL$5,5,Costs!$E$15:$BL$15)/SUMIF('Clients &amp; revenue'!$E$5:$BL$5,5,'Clients &amp; revenue'!$E$41:$BL$41),0)</f>
        <v>500</v>
      </c>
      <c r="D74" s="39" t="n">
        <v>-200</v>
      </c>
      <c r="E74" s="32" t="n">
        <f aca="false">C74+D74</f>
        <v>300</v>
      </c>
      <c r="F74" s="32" t="n">
        <f aca="false">0</f>
        <v>0</v>
      </c>
      <c r="G74" s="32" t="n">
        <f aca="false">-D74*SUMIF('Clients &amp; revenue'!$E$5:$BL$5,5,'Clients &amp; revenue'!$E$41:$BL$41)</f>
        <v>540721326.224468</v>
      </c>
      <c r="H74" s="34" t="n">
        <f aca="false">IFERROR(('P&amp;L annual'!$H$45+G74)/('P&amp;L annual'!$H$23+F74),0)</f>
        <v>0.35127384263384</v>
      </c>
    </row>
    <row r="75" customFormat="false" ht="15" hidden="false" customHeight="false" outlineLevel="0" collapsed="false">
      <c r="A75" s="2" t="s">
        <v>127</v>
      </c>
      <c r="F75" s="31" t="n">
        <f aca="false">IF(ISNUMBER(F74),F74/FX_EUR,"")</f>
        <v>0</v>
      </c>
      <c r="G75" s="31" t="n">
        <f aca="false">IF(ISNUMBER(G74),G74/FX_EUR,"")</f>
        <v>824324.347822293</v>
      </c>
    </row>
    <row r="76" customFormat="false" ht="15" hidden="false" customHeight="false" outlineLevel="0" collapsed="false">
      <c r="A76" s="12" t="s">
        <v>798</v>
      </c>
      <c r="B76" s="30" t="s">
        <v>1200</v>
      </c>
      <c r="C76" s="32" t="n">
        <f aca="false">Supplier_Payout_Cost</f>
        <v>300</v>
      </c>
      <c r="D76" s="39" t="n">
        <v>-150</v>
      </c>
      <c r="E76" s="32" t="n">
        <f aca="false">C76+D76</f>
        <v>150</v>
      </c>
      <c r="F76" s="32" t="n">
        <f aca="false">0</f>
        <v>0</v>
      </c>
      <c r="G76" s="32" t="n">
        <f aca="false">-D76*SUMIF('Clients &amp; revenue'!$E$5:$BL$5,5,'Clients &amp; revenue'!$E$40:$BL$40)*(1-Sup_Wallet_Share)</f>
        <v>299074237.113893</v>
      </c>
      <c r="H76" s="34" t="n">
        <f aca="false">IFERROR(('P&amp;L annual'!$H$45+G76)/('P&amp;L annual'!$H$23+F76),0)</f>
        <v>0.326559420051618</v>
      </c>
    </row>
    <row r="77" customFormat="false" ht="15" hidden="false" customHeight="false" outlineLevel="0" collapsed="false">
      <c r="A77" s="2" t="s">
        <v>127</v>
      </c>
      <c r="F77" s="31" t="n">
        <f aca="false">IF(ISNUMBER(F76),F76/FX_EUR,"")</f>
        <v>0</v>
      </c>
      <c r="G77" s="31" t="n">
        <f aca="false">IF(ISNUMBER(G76),G76/FX_EUR,"")</f>
        <v>455935.735290412</v>
      </c>
    </row>
    <row r="78" customFormat="false" ht="15" hidden="false" customHeight="false" outlineLevel="0" collapsed="false">
      <c r="A78" s="12" t="s">
        <v>1201</v>
      </c>
      <c r="B78" s="30" t="s">
        <v>1202</v>
      </c>
      <c r="C78" s="33" t="n">
        <f aca="false">Intl_Cost</f>
        <v>0.01</v>
      </c>
      <c r="D78" s="46" t="n">
        <v>0.003</v>
      </c>
      <c r="E78" s="33" t="n">
        <f aca="false">C78+D78</f>
        <v>0.013</v>
      </c>
      <c r="F78" s="32" t="n">
        <f aca="false">0</f>
        <v>0</v>
      </c>
      <c r="G78" s="32" t="n">
        <f aca="false">-D78*SUMIF('Clients &amp; revenue'!$E$5:$BL$5,5,'Clients &amp; revenue'!$E$48:$BL$48)</f>
        <v>-149522422.088806</v>
      </c>
      <c r="H78" s="34" t="n">
        <f aca="false">IFERROR(('P&amp;L annual'!$H$45+G78)/('P&amp;L annual'!$H$23+F78),0)</f>
        <v>0.280679258840839</v>
      </c>
    </row>
    <row r="79" customFormat="false" ht="15" hidden="false" customHeight="false" outlineLevel="0" collapsed="false">
      <c r="A79" s="2" t="s">
        <v>127</v>
      </c>
      <c r="F79" s="31" t="n">
        <f aca="false">IF(ISNUMBER(F78),F78/FX_EUR,"")</f>
        <v>0</v>
      </c>
      <c r="G79" s="31" t="n">
        <f aca="false">IF(ISNUMBER(G78),G78/FX_EUR,"")</f>
        <v>-227945.463023957</v>
      </c>
    </row>
    <row r="80" customFormat="false" ht="15" hidden="false" customHeight="false" outlineLevel="0" collapsed="false">
      <c r="A80" s="12" t="s">
        <v>1203</v>
      </c>
      <c r="B80" s="30" t="s">
        <v>1204</v>
      </c>
      <c r="C80" s="33" t="n">
        <f aca="false">Scheme_Rate</f>
        <v>0.012</v>
      </c>
      <c r="D80" s="46" t="n">
        <v>0.003</v>
      </c>
      <c r="E80" s="33" t="n">
        <f aca="false">C80+D80</f>
        <v>0.015</v>
      </c>
      <c r="F80" s="32" t="n">
        <f aca="false">0</f>
        <v>0</v>
      </c>
      <c r="G80" s="32" t="n">
        <f aca="false">-D80*SUMIF('Clients &amp; revenue'!$E$5:$BL$5,5,'Clients &amp; revenue'!$E$37:$BL$37)</f>
        <v>-267031321.483115</v>
      </c>
      <c r="H80" s="34" t="n">
        <f aca="false">IFERROR(('P&amp;L annual'!$H$45+G80)/('P&amp;L annual'!$H$23+F80),0)</f>
        <v>0.268661052424648</v>
      </c>
    </row>
    <row r="81" customFormat="false" ht="15" hidden="false" customHeight="false" outlineLevel="0" collapsed="false">
      <c r="A81" s="2" t="s">
        <v>127</v>
      </c>
      <c r="F81" s="31" t="n">
        <f aca="false">IF(ISNUMBER(F80),F80/FX_EUR,"")</f>
        <v>0</v>
      </c>
      <c r="G81" s="31" t="n">
        <f aca="false">IF(ISNUMBER(G80),G80/FX_EUR,"")</f>
        <v>-407086.625317079</v>
      </c>
    </row>
    <row r="82" customFormat="false" ht="15" hidden="false" customHeight="false" outlineLevel="0" collapsed="false">
      <c r="A82" s="12" t="s">
        <v>790</v>
      </c>
      <c r="B82" s="30" t="s">
        <v>1205</v>
      </c>
      <c r="C82" s="32" t="n">
        <f aca="false">Card_Proc_Fee</f>
        <v>1000</v>
      </c>
      <c r="D82" s="39" t="n">
        <v>-500</v>
      </c>
      <c r="E82" s="32" t="n">
        <f aca="false">C82+D82</f>
        <v>500</v>
      </c>
      <c r="F82" s="32" t="n">
        <f aca="false">0</f>
        <v>0</v>
      </c>
      <c r="G82" s="32" t="n">
        <f aca="false">-D82*SUMIF('Clients &amp; revenue'!$E$5:$BL$5,5,'Clients &amp; revenue'!$E$35:$BL$35)</f>
        <v>222501607.122361</v>
      </c>
      <c r="H82" s="34" t="n">
        <f aca="false">IFERROR(('P&amp;L annual'!$H$45+G82)/('P&amp;L annual'!$H$23+F82),0)</f>
        <v>0.31872796492088</v>
      </c>
    </row>
    <row r="83" customFormat="false" ht="15" hidden="false" customHeight="false" outlineLevel="0" collapsed="false">
      <c r="A83" s="2" t="s">
        <v>127</v>
      </c>
      <c r="F83" s="31" t="n">
        <f aca="false">IF(ISNUMBER(F82),F82/FX_EUR,"")</f>
        <v>0</v>
      </c>
      <c r="G83" s="31" t="n">
        <f aca="false">IF(ISNUMBER(G82),G82/FX_EUR,"")</f>
        <v>339201.513395484</v>
      </c>
    </row>
    <row r="84" customFormat="false" ht="15" hidden="false" customHeight="false" outlineLevel="0" collapsed="false">
      <c r="A84" s="12" t="s">
        <v>1206</v>
      </c>
      <c r="B84" s="30" t="s">
        <v>1207</v>
      </c>
      <c r="C84" s="32" t="n">
        <f aca="false">Bank_Fee</f>
        <v>2500</v>
      </c>
      <c r="D84" s="39" t="n">
        <v>-1500</v>
      </c>
      <c r="E84" s="32" t="n">
        <f aca="false">C84+D84</f>
        <v>1000</v>
      </c>
      <c r="F84" s="32" t="n">
        <f aca="false">0</f>
        <v>0</v>
      </c>
      <c r="G84" s="32" t="n">
        <f aca="false">-D84*SUMIF('Clients &amp; revenue'!$E$5:$BL$5,5,'Clients &amp; revenue'!$E$17:$BL$17)</f>
        <v>140525499.768456</v>
      </c>
      <c r="H84" s="34" t="n">
        <f aca="false">IFERROR(('P&amp;L annual'!$H$45+G84)/('P&amp;L annual'!$H$23+F84),0)</f>
        <v>0.310343869891029</v>
      </c>
    </row>
    <row r="85" customFormat="false" ht="15" hidden="false" customHeight="false" outlineLevel="0" collapsed="false">
      <c r="A85" s="2" t="s">
        <v>127</v>
      </c>
      <c r="F85" s="31" t="n">
        <f aca="false">IF(ISNUMBER(F84),F84/FX_EUR,"")</f>
        <v>0</v>
      </c>
      <c r="G85" s="31" t="n">
        <f aca="false">IF(ISNUMBER(G84),G84/FX_EUR,"")</f>
        <v>214229.74336497</v>
      </c>
    </row>
    <row r="87" customFormat="false" ht="15" hidden="false" customHeight="false" outlineLevel="0" collapsed="false">
      <c r="A87" s="27" t="s">
        <v>1208</v>
      </c>
    </row>
    <row r="88" customFormat="false" ht="15" hidden="false" customHeight="false" outlineLevel="0" collapsed="false">
      <c r="A88" s="2" t="s">
        <v>1209</v>
      </c>
    </row>
    <row r="89" customFormat="false" ht="30" hidden="false" customHeight="true" outlineLevel="0" collapsed="false">
      <c r="A89" s="28" t="s">
        <v>1210</v>
      </c>
      <c r="B89" s="28" t="s">
        <v>1211</v>
      </c>
      <c r="C89" s="28" t="s">
        <v>1212</v>
      </c>
      <c r="D89" s="28" t="s">
        <v>1213</v>
      </c>
      <c r="E89" s="28" t="s">
        <v>1214</v>
      </c>
      <c r="F89" s="28" t="s">
        <v>1215</v>
      </c>
    </row>
    <row r="90" customFormat="false" ht="15" hidden="false" customHeight="false" outlineLevel="0" collapsed="false">
      <c r="A90" s="12" t="s">
        <v>1216</v>
      </c>
      <c r="B90" s="61" t="n">
        <f aca="false">1000000*(0.015-0.003)</f>
        <v>12000</v>
      </c>
      <c r="C90" s="32" t="n">
        <f aca="false">(0.01-0.003)*SUMIF('Clients &amp; revenue'!$E$5:$BL$5,5,'Clients &amp; revenue'!$E$48:$BL$48)</f>
        <v>348885651.540547</v>
      </c>
      <c r="D90" s="32" t="n">
        <f aca="false">(0.015-0.003)*SUMIF('Clients &amp; revenue'!$E$5:$BL$5,5,'Clients &amp; revenue'!$E$48:$BL$48)</f>
        <v>598089688.355223</v>
      </c>
      <c r="E90" s="32" t="n">
        <f aca="false">(0.02-0.003)*SUMIF('Clients &amp; revenue'!$E$5:$BL$5,5,'Clients &amp; revenue'!$E$48:$BL$48)</f>
        <v>847293725.1699</v>
      </c>
      <c r="F90" s="32" t="n">
        <f aca="false">(0.025-0.003)*SUMIF('Clients &amp; revenue'!$E$5:$BL$5,5,'Clients &amp; revenue'!$E$48:$BL$48)</f>
        <v>1096497761.98458</v>
      </c>
    </row>
    <row r="91" customFormat="false" ht="15" hidden="false" customHeight="false" outlineLevel="0" collapsed="false">
      <c r="A91" s="12" t="s">
        <v>1217</v>
      </c>
      <c r="B91" s="61" t="n">
        <f aca="false">1000000*(0.015-0.005)</f>
        <v>10000</v>
      </c>
      <c r="C91" s="32" t="n">
        <f aca="false">(0.01-0.005)*SUMIF('Clients &amp; revenue'!$E$5:$BL$5,5,'Clients &amp; revenue'!$E$48:$BL$48)</f>
        <v>249204036.814676</v>
      </c>
      <c r="D91" s="32" t="n">
        <f aca="false">(0.015-0.005)*SUMIF('Clients &amp; revenue'!$E$5:$BL$5,5,'Clients &amp; revenue'!$E$48:$BL$48)</f>
        <v>498408073.629353</v>
      </c>
      <c r="E91" s="32" t="n">
        <f aca="false">(0.02-0.005)*SUMIF('Clients &amp; revenue'!$E$5:$BL$5,5,'Clients &amp; revenue'!$E$48:$BL$48)</f>
        <v>747612110.444029</v>
      </c>
      <c r="F91" s="32" t="n">
        <f aca="false">(0.025-0.005)*SUMIF('Clients &amp; revenue'!$E$5:$BL$5,5,'Clients &amp; revenue'!$E$48:$BL$48)</f>
        <v>996816147.258706</v>
      </c>
    </row>
    <row r="92" customFormat="false" ht="15" hidden="false" customHeight="false" outlineLevel="0" collapsed="false">
      <c r="A92" s="12" t="s">
        <v>1218</v>
      </c>
      <c r="B92" s="61" t="n">
        <f aca="false">1000000*(0.015-0.008)</f>
        <v>7000</v>
      </c>
      <c r="C92" s="32" t="n">
        <f aca="false">(0.01-0.008)*SUMIF('Clients &amp; revenue'!$E$5:$BL$5,5,'Clients &amp; revenue'!$E$48:$BL$48)</f>
        <v>99681614.7258706</v>
      </c>
      <c r="D92" s="32" t="n">
        <f aca="false">(0.015-0.008)*SUMIF('Clients &amp; revenue'!$E$5:$BL$5,5,'Clients &amp; revenue'!$E$48:$BL$48)</f>
        <v>348885651.540547</v>
      </c>
      <c r="E92" s="32" t="n">
        <f aca="false">(0.02-0.008)*SUMIF('Clients &amp; revenue'!$E$5:$BL$5,5,'Clients &amp; revenue'!$E$48:$BL$48)</f>
        <v>598089688.355223</v>
      </c>
      <c r="F92" s="32" t="n">
        <f aca="false">(0.025-0.008)*SUMIF('Clients &amp; revenue'!$E$5:$BL$5,5,'Clients &amp; revenue'!$E$48:$BL$48)</f>
        <v>847293725.1699</v>
      </c>
    </row>
    <row r="93" customFormat="false" ht="15" hidden="false" customHeight="false" outlineLevel="0" collapsed="false">
      <c r="A93" s="12" t="s">
        <v>1219</v>
      </c>
      <c r="B93" s="61" t="n">
        <f aca="false">1000000*(0.015-0.01)</f>
        <v>5000</v>
      </c>
      <c r="C93" s="32" t="n">
        <f aca="false">(0.01-0.01)*SUMIF('Clients &amp; revenue'!$E$5:$BL$5,5,'Clients &amp; revenue'!$E$48:$BL$48)</f>
        <v>0</v>
      </c>
      <c r="D93" s="32" t="n">
        <f aca="false">(0.015-0.01)*SUMIF('Clients &amp; revenue'!$E$5:$BL$5,5,'Clients &amp; revenue'!$E$48:$BL$48)</f>
        <v>249204036.814676</v>
      </c>
      <c r="E93" s="32" t="n">
        <f aca="false">(0.02-0.01)*SUMIF('Clients &amp; revenue'!$E$5:$BL$5,5,'Clients &amp; revenue'!$E$48:$BL$48)</f>
        <v>498408073.629353</v>
      </c>
      <c r="F93" s="32" t="n">
        <f aca="false">(0.025-0.01)*SUMIF('Clients &amp; revenue'!$E$5:$BL$5,5,'Clients &amp; revenue'!$E$48:$BL$48)</f>
        <v>747612110.444029</v>
      </c>
    </row>
    <row r="95" customFormat="false" ht="15" hidden="false" customHeight="false" outlineLevel="0" collapsed="false">
      <c r="A95" s="27" t="s">
        <v>1220</v>
      </c>
    </row>
    <row r="96" customFormat="false" ht="15" hidden="false" customHeight="false" outlineLevel="0" collapsed="false">
      <c r="A96" s="2" t="s">
        <v>1221</v>
      </c>
    </row>
    <row r="97" customFormat="false" ht="30" hidden="false" customHeight="true" outlineLevel="0" collapsed="false">
      <c r="A97" s="28" t="s">
        <v>1210</v>
      </c>
      <c r="B97" s="28" t="s">
        <v>1211</v>
      </c>
      <c r="C97" s="28" t="s">
        <v>1212</v>
      </c>
      <c r="D97" s="28" t="s">
        <v>1213</v>
      </c>
      <c r="E97" s="28" t="s">
        <v>1214</v>
      </c>
      <c r="F97" s="28" t="s">
        <v>1215</v>
      </c>
    </row>
    <row r="98" customFormat="false" ht="15" hidden="false" customHeight="false" outlineLevel="0" collapsed="false">
      <c r="A98" s="12" t="s">
        <v>1216</v>
      </c>
      <c r="B98" s="61" t="n">
        <f aca="false">1000000*(0.015-0.003)</f>
        <v>12000</v>
      </c>
      <c r="C98" s="32" t="n">
        <f aca="false">(0.01-0.003)*SUMIF('Clients &amp; revenue'!$E$5:$BL$5,5,'Clients &amp; revenue'!$E$37:$BL$37)</f>
        <v>623073083.460601</v>
      </c>
      <c r="D98" s="32" t="n">
        <f aca="false">(0.015-0.003)*SUMIF('Clients &amp; revenue'!$E$5:$BL$5,5,'Clients &amp; revenue'!$E$37:$BL$37)</f>
        <v>1068125285.93246</v>
      </c>
      <c r="E98" s="32" t="n">
        <f aca="false">(0.02-0.003)*SUMIF('Clients &amp; revenue'!$E$5:$BL$5,5,'Clients &amp; revenue'!$E$37:$BL$37)</f>
        <v>1513177488.40432</v>
      </c>
      <c r="F98" s="32" t="n">
        <f aca="false">(0.025-0.003)*SUMIF('Clients &amp; revenue'!$E$5:$BL$5,5,'Clients &amp; revenue'!$E$37:$BL$37)</f>
        <v>1958229690.87618</v>
      </c>
    </row>
    <row r="99" customFormat="false" ht="15" hidden="false" customHeight="false" outlineLevel="0" collapsed="false">
      <c r="A99" s="12" t="s">
        <v>1217</v>
      </c>
      <c r="B99" s="61" t="n">
        <f aca="false">1000000*(0.015-0.005)</f>
        <v>10000</v>
      </c>
      <c r="C99" s="32" t="n">
        <f aca="false">(0.01-0.005)*SUMIF('Clients &amp; revenue'!$E$5:$BL$5,5,'Clients &amp; revenue'!$E$37:$BL$37)</f>
        <v>445052202.471858</v>
      </c>
      <c r="D99" s="32" t="n">
        <f aca="false">(0.015-0.005)*SUMIF('Clients &amp; revenue'!$E$5:$BL$5,5,'Clients &amp; revenue'!$E$37:$BL$37)</f>
        <v>890104404.943716</v>
      </c>
      <c r="E99" s="32" t="n">
        <f aca="false">(0.02-0.005)*SUMIF('Clients &amp; revenue'!$E$5:$BL$5,5,'Clients &amp; revenue'!$E$37:$BL$37)</f>
        <v>1335156607.41557</v>
      </c>
      <c r="F99" s="32" t="n">
        <f aca="false">(0.025-0.005)*SUMIF('Clients &amp; revenue'!$E$5:$BL$5,5,'Clients &amp; revenue'!$E$37:$BL$37)</f>
        <v>1780208809.88743</v>
      </c>
    </row>
    <row r="100" customFormat="false" ht="15" hidden="false" customHeight="false" outlineLevel="0" collapsed="false">
      <c r="A100" s="12" t="s">
        <v>1218</v>
      </c>
      <c r="B100" s="61" t="n">
        <f aca="false">1000000*(0.015-0.008)</f>
        <v>7000</v>
      </c>
      <c r="C100" s="32" t="n">
        <f aca="false">(0.01-0.008)*SUMIF('Clients &amp; revenue'!$E$5:$BL$5,5,'Clients &amp; revenue'!$E$37:$BL$37)</f>
        <v>178020880.988743</v>
      </c>
      <c r="D100" s="32" t="n">
        <f aca="false">(0.015-0.008)*SUMIF('Clients &amp; revenue'!$E$5:$BL$5,5,'Clients &amp; revenue'!$E$37:$BL$37)</f>
        <v>623073083.460601</v>
      </c>
      <c r="E100" s="32" t="n">
        <f aca="false">(0.02-0.008)*SUMIF('Clients &amp; revenue'!$E$5:$BL$5,5,'Clients &amp; revenue'!$E$37:$BL$37)</f>
        <v>1068125285.93246</v>
      </c>
      <c r="F100" s="32" t="n">
        <f aca="false">(0.025-0.008)*SUMIF('Clients &amp; revenue'!$E$5:$BL$5,5,'Clients &amp; revenue'!$E$37:$BL$37)</f>
        <v>1513177488.40432</v>
      </c>
    </row>
    <row r="101" customFormat="false" ht="15" hidden="false" customHeight="false" outlineLevel="0" collapsed="false">
      <c r="A101" s="12" t="s">
        <v>1219</v>
      </c>
      <c r="B101" s="61" t="n">
        <f aca="false">1000000*(0.015-0.01)</f>
        <v>5000</v>
      </c>
      <c r="C101" s="32" t="n">
        <f aca="false">(0.01-0.01)*SUMIF('Clients &amp; revenue'!$E$5:$BL$5,5,'Clients &amp; revenue'!$E$37:$BL$37)</f>
        <v>0</v>
      </c>
      <c r="D101" s="32" t="n">
        <f aca="false">(0.015-0.01)*SUMIF('Clients &amp; revenue'!$E$5:$BL$5,5,'Clients &amp; revenue'!$E$37:$BL$37)</f>
        <v>445052202.471858</v>
      </c>
      <c r="E101" s="32" t="n">
        <f aca="false">(0.02-0.01)*SUMIF('Clients &amp; revenue'!$E$5:$BL$5,5,'Clients &amp; revenue'!$E$37:$BL$37)</f>
        <v>890104404.943716</v>
      </c>
      <c r="F101" s="32" t="n">
        <f aca="false">(0.025-0.01)*SUMIF('Clients &amp; revenue'!$E$5:$BL$5,5,'Clients &amp; revenue'!$E$37:$BL$37)</f>
        <v>1335156607.41557</v>
      </c>
    </row>
    <row r="103" customFormat="false" ht="15" hidden="false" customHeight="false" outlineLevel="0" collapsed="false">
      <c r="A103" s="27" t="s">
        <v>1222</v>
      </c>
    </row>
    <row r="104" customFormat="false" ht="15" hidden="false" customHeight="false" outlineLevel="0" collapsed="false">
      <c r="A104" s="2" t="s">
        <v>1223</v>
      </c>
    </row>
    <row r="105" customFormat="false" ht="30" hidden="false" customHeight="true" outlineLevel="0" collapsed="false">
      <c r="A105" s="28" t="s">
        <v>214</v>
      </c>
      <c r="B105" s="28" t="s">
        <v>1147</v>
      </c>
      <c r="C105" s="28" t="s">
        <v>1224</v>
      </c>
    </row>
    <row r="106" customFormat="false" ht="15" hidden="false" customHeight="false" outlineLevel="0" collapsed="false">
      <c r="A106" s="12" t="s">
        <v>1225</v>
      </c>
      <c r="B106" s="30" t="s">
        <v>1226</v>
      </c>
      <c r="C106" s="40" t="n">
        <v>0.1</v>
      </c>
    </row>
    <row r="107" customFormat="false" ht="15" hidden="false" customHeight="false" outlineLevel="0" collapsed="false">
      <c r="A107" s="12" t="s">
        <v>1227</v>
      </c>
      <c r="B107" s="30" t="s">
        <v>1228</v>
      </c>
      <c r="C107" s="39" t="n">
        <v>150000</v>
      </c>
    </row>
    <row r="108" customFormat="false" ht="15" hidden="false" customHeight="false" outlineLevel="0" collapsed="false">
      <c r="A108" s="12" t="s">
        <v>204</v>
      </c>
      <c r="B108" s="30" t="s">
        <v>1229</v>
      </c>
      <c r="C108" s="40" t="n">
        <v>0.1</v>
      </c>
    </row>
    <row r="109" customFormat="false" ht="15" hidden="false" customHeight="false" outlineLevel="0" collapsed="false">
      <c r="A109" s="12" t="s">
        <v>1230</v>
      </c>
      <c r="B109" s="30" t="s">
        <v>1231</v>
      </c>
      <c r="C109" s="40" t="n">
        <v>0.2</v>
      </c>
    </row>
    <row r="110" customFormat="false" ht="15" hidden="false" customHeight="false" outlineLevel="0" collapsed="false">
      <c r="A110" s="8" t="s">
        <v>1232</v>
      </c>
      <c r="B110" s="30" t="s">
        <v>1233</v>
      </c>
      <c r="C110" s="16" t="n">
        <f aca="false">SUMIF('Clients &amp; revenue'!$E$5:$BL$5,5,'Clients &amp; revenue'!$E$17:$BL$17)*C106*C107*C108</f>
        <v>140525499.768456</v>
      </c>
    </row>
    <row r="111" customFormat="false" ht="15" hidden="false" customHeight="false" outlineLevel="0" collapsed="false">
      <c r="A111" s="2" t="s">
        <v>127</v>
      </c>
      <c r="C111" s="31" t="n">
        <f aca="false">IF(ISNUMBER(C110),C110/FX_EUR,"")</f>
        <v>214229.743364971</v>
      </c>
    </row>
    <row r="112" customFormat="false" ht="15" hidden="false" customHeight="false" outlineLevel="0" collapsed="false">
      <c r="A112" s="8" t="s">
        <v>1234</v>
      </c>
      <c r="B112" s="30" t="s">
        <v>1235</v>
      </c>
      <c r="C112" s="16" t="n">
        <f aca="false">C110*(1-C109)</f>
        <v>112420399.814765</v>
      </c>
    </row>
    <row r="113" customFormat="false" ht="15" hidden="false" customHeight="false" outlineLevel="0" collapsed="false">
      <c r="A113" s="2" t="s">
        <v>127</v>
      </c>
      <c r="C113" s="31" t="n">
        <f aca="false">IF(ISNUMBER(C112),C112/FX_EUR,"")</f>
        <v>171383.794691976</v>
      </c>
    </row>
    <row r="115" customFormat="false" ht="15" hidden="false" customHeight="false" outlineLevel="0" collapsed="false">
      <c r="A115" s="27" t="s">
        <v>1236</v>
      </c>
    </row>
    <row r="116" customFormat="false" ht="15" hidden="false" customHeight="false" outlineLevel="0" collapsed="false">
      <c r="A116" s="2" t="s">
        <v>1237</v>
      </c>
    </row>
    <row r="117" customFormat="false" ht="30" hidden="false" customHeight="true" outlineLevel="0" collapsed="false">
      <c r="A117" s="28" t="s">
        <v>214</v>
      </c>
      <c r="B117" s="28" t="s">
        <v>1147</v>
      </c>
      <c r="C117" s="28" t="s">
        <v>1224</v>
      </c>
    </row>
    <row r="118" customFormat="false" ht="15" hidden="false" customHeight="false" outlineLevel="0" collapsed="false">
      <c r="A118" s="12" t="s">
        <v>1238</v>
      </c>
      <c r="B118" s="30" t="s">
        <v>1239</v>
      </c>
      <c r="C118" s="40" t="n">
        <v>-0.1</v>
      </c>
    </row>
    <row r="119" customFormat="false" ht="15" hidden="false" customHeight="false" outlineLevel="0" collapsed="false">
      <c r="A119" s="12" t="s">
        <v>1240</v>
      </c>
      <c r="B119" s="30" t="s">
        <v>1241</v>
      </c>
      <c r="C119" s="40" t="n">
        <v>0.05</v>
      </c>
    </row>
    <row r="120" customFormat="false" ht="15" hidden="false" customHeight="false" outlineLevel="0" collapsed="false">
      <c r="A120" s="12" t="s">
        <v>1242</v>
      </c>
      <c r="B120" s="30" t="s">
        <v>1243</v>
      </c>
      <c r="C120" s="32" t="n">
        <f aca="false">C118*SUMIF('Clients &amp; revenue'!$E$5:$BL$5,5,'Clients &amp; revenue'!$E$57:$BL$57)</f>
        <v>-166974486.126122</v>
      </c>
    </row>
    <row r="121" customFormat="false" ht="15" hidden="false" customHeight="false" outlineLevel="0" collapsed="false">
      <c r="A121" s="2" t="s">
        <v>127</v>
      </c>
      <c r="C121" s="31" t="n">
        <f aca="false">IF(ISNUMBER(C120),C120/FX_EUR,"")</f>
        <v>-254550.963136489</v>
      </c>
    </row>
    <row r="122" customFormat="false" ht="23.85" hidden="false" customHeight="false" outlineLevel="0" collapsed="false">
      <c r="A122" s="12" t="s">
        <v>1244</v>
      </c>
      <c r="B122" s="30" t="s">
        <v>1245</v>
      </c>
      <c r="C122" s="32" t="n">
        <f aca="false">C119*(('P&amp;L annual'!$H$23-'P&amp;L annual'!$H$22-'P&amp;L annual'!$H$31)+C120)</f>
        <v>190929258.15791</v>
      </c>
    </row>
    <row r="123" customFormat="false" ht="15" hidden="false" customHeight="false" outlineLevel="0" collapsed="false">
      <c r="A123" s="2" t="s">
        <v>127</v>
      </c>
      <c r="C123" s="31" t="n">
        <f aca="false">IF(ISNUMBER(C122),C122/FX_EUR,"")</f>
        <v>291069.777680412</v>
      </c>
    </row>
    <row r="124" customFormat="false" ht="15" hidden="false" customHeight="false" outlineLevel="0" collapsed="false">
      <c r="A124" s="8" t="s">
        <v>1246</v>
      </c>
      <c r="B124" s="30" t="s">
        <v>1247</v>
      </c>
      <c r="C124" s="16" t="n">
        <f aca="false">C120+C122</f>
        <v>23954772.0317881</v>
      </c>
    </row>
    <row r="125" customFormat="false" ht="15" hidden="false" customHeight="false" outlineLevel="0" collapsed="false">
      <c r="A125" s="2" t="s">
        <v>127</v>
      </c>
      <c r="C125" s="31" t="n">
        <f aca="false">IF(ISNUMBER(C124),C124/FX_EUR,"")</f>
        <v>36518.814543923</v>
      </c>
    </row>
    <row r="126" customFormat="false" ht="15" hidden="false" customHeight="false" outlineLevel="0" collapsed="false">
      <c r="A126" s="8" t="s">
        <v>1248</v>
      </c>
      <c r="B126" s="30" t="s">
        <v>1249</v>
      </c>
      <c r="C126" s="19" t="n">
        <f aca="false">IFERROR(-C120/(('P&amp;L annual'!$H$23-'P&amp;L annual'!$H$22-'P&amp;L annual'!$H$31)+C120),0)</f>
        <v>0.0437267938232976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1250</v>
      </c>
    </row>
    <row r="3" customFormat="false" ht="15" hidden="false" customHeight="false" outlineLevel="0" collapsed="false">
      <c r="A3" s="8" t="s">
        <v>917</v>
      </c>
      <c r="D3" s="8" t="s">
        <v>918</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919</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1251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77</v>
      </c>
      <c r="D9" s="55" t="n">
        <f aca="false">SUM(E9:BL9)</f>
        <v>2719603044.58785</v>
      </c>
      <c r="E9" s="23" t="n">
        <f aca="false">'P&amp;L monthly'!E48</f>
        <v>-32190939.27</v>
      </c>
      <c r="F9" s="23" t="n">
        <f aca="false">'P&amp;L monthly'!F48</f>
        <v>-40596168.9</v>
      </c>
      <c r="G9" s="23" t="n">
        <f aca="false">'P&amp;L monthly'!G48</f>
        <v>-55296168.9</v>
      </c>
      <c r="H9" s="23" t="n">
        <f aca="false">'P&amp;L monthly'!H48</f>
        <v>-37024098.3</v>
      </c>
      <c r="I9" s="23" t="n">
        <f aca="false">'P&amp;L monthly'!I48</f>
        <v>-36360925.055</v>
      </c>
      <c r="J9" s="23" t="n">
        <f aca="false">'P&amp;L monthly'!J48</f>
        <v>-34413336.7183333</v>
      </c>
      <c r="K9" s="23" t="n">
        <f aca="false">'P&amp;L monthly'!K48</f>
        <v>-32814376.1639167</v>
      </c>
      <c r="L9" s="23" t="n">
        <f aca="false">'P&amp;L monthly'!L48</f>
        <v>-31218691.2698167</v>
      </c>
      <c r="M9" s="23" t="n">
        <f aca="false">'P&amp;L monthly'!M48</f>
        <v>-29625266.186817</v>
      </c>
      <c r="N9" s="23" t="n">
        <f aca="false">'P&amp;L monthly'!N48</f>
        <v>-28033041.1699423</v>
      </c>
      <c r="O9" s="23" t="n">
        <f aca="false">'P&amp;L monthly'!O48</f>
        <v>-26211116.8770124</v>
      </c>
      <c r="P9" s="23" t="n">
        <f aca="false">'P&amp;L monthly'!P48</f>
        <v>-24322068.7353263</v>
      </c>
      <c r="Q9" s="23" t="n">
        <f aca="false">'P&amp;L monthly'!Q48</f>
        <v>-37200474.7049526</v>
      </c>
      <c r="R9" s="23" t="n">
        <f aca="false">'P&amp;L monthly'!R48</f>
        <v>-33401422.8906024</v>
      </c>
      <c r="S9" s="23" t="n">
        <f aca="false">'P&amp;L monthly'!S48</f>
        <v>-35604142.7600838</v>
      </c>
      <c r="T9" s="23" t="n">
        <f aca="false">'P&amp;L monthly'!T48</f>
        <v>-54201377.7016987</v>
      </c>
      <c r="U9" s="23" t="n">
        <f aca="false">'P&amp;L monthly'!U48</f>
        <v>-25290266.260267</v>
      </c>
      <c r="V9" s="23" t="n">
        <f aca="false">'P&amp;L monthly'!V48</f>
        <v>-29697264.6716653</v>
      </c>
      <c r="W9" s="23" t="n">
        <f aca="false">'P&amp;L monthly'!W48</f>
        <v>-27434823.4781276</v>
      </c>
      <c r="X9" s="23" t="n">
        <f aca="false">'P&amp;L monthly'!X48</f>
        <v>-23409256.5057346</v>
      </c>
      <c r="Y9" s="23" t="n">
        <f aca="false">'P&amp;L monthly'!Y48</f>
        <v>-18366604.060909</v>
      </c>
      <c r="Z9" s="23" t="n">
        <f aca="false">'P&amp;L monthly'!Z48</f>
        <v>-11808892.0087086</v>
      </c>
      <c r="AA9" s="23" t="n">
        <f aca="false">'P&amp;L monthly'!AA48</f>
        <v>-6173285.75658575</v>
      </c>
      <c r="AB9" s="23" t="n">
        <f aca="false">'P&amp;L monthly'!AB48</f>
        <v>-6779085.44293833</v>
      </c>
      <c r="AC9" s="23" t="n">
        <f aca="false">'P&amp;L monthly'!AC48</f>
        <v>-9208723.55892491</v>
      </c>
      <c r="AD9" s="23" t="n">
        <f aca="false">'P&amp;L monthly'!AD48</f>
        <v>-2711169.02555962</v>
      </c>
      <c r="AE9" s="23" t="n">
        <f aca="false">'P&amp;L monthly'!AE48</f>
        <v>5370442.52065776</v>
      </c>
      <c r="AF9" s="23" t="n">
        <f aca="false">'P&amp;L monthly'!AF48</f>
        <v>2781305.79067121</v>
      </c>
      <c r="AG9" s="23" t="n">
        <f aca="false">'P&amp;L monthly'!AG48</f>
        <v>4495350.47767878</v>
      </c>
      <c r="AH9" s="23" t="n">
        <f aca="false">'P&amp;L monthly'!AH48</f>
        <v>21308277.1748292</v>
      </c>
      <c r="AI9" s="23" t="n">
        <f aca="false">'P&amp;L monthly'!AI48</f>
        <v>28482368.7006163</v>
      </c>
      <c r="AJ9" s="23" t="n">
        <f aca="false">'P&amp;L monthly'!AJ48</f>
        <v>36989821.8565185</v>
      </c>
      <c r="AK9" s="23" t="n">
        <f aca="false">'P&amp;L monthly'!AK48</f>
        <v>44215454.7471502</v>
      </c>
      <c r="AL9" s="23" t="n">
        <f aca="false">'P&amp;L monthly'!AL48</f>
        <v>49464276.2738977</v>
      </c>
      <c r="AM9" s="23" t="n">
        <f aca="false">'P&amp;L monthly'!AM48</f>
        <v>58099870.5664379</v>
      </c>
      <c r="AN9" s="23" t="n">
        <f aca="false">'P&amp;L monthly'!AN48</f>
        <v>65863028.6390486</v>
      </c>
      <c r="AO9" s="23" t="n">
        <f aca="false">'P&amp;L monthly'!AO48</f>
        <v>65474593.9225656</v>
      </c>
      <c r="AP9" s="23" t="n">
        <f aca="false">'P&amp;L monthly'!AP48</f>
        <v>76327634.3910284</v>
      </c>
      <c r="AQ9" s="23" t="n">
        <f aca="false">'P&amp;L monthly'!AQ48</f>
        <v>83696538.8234258</v>
      </c>
      <c r="AR9" s="23" t="n">
        <f aca="false">'P&amp;L monthly'!AR48</f>
        <v>83017292.9789078</v>
      </c>
      <c r="AS9" s="23" t="n">
        <f aca="false">'P&amp;L monthly'!AS48</f>
        <v>102054824.024682</v>
      </c>
      <c r="AT9" s="23" t="n">
        <f aca="false">'P&amp;L monthly'!AT48</f>
        <v>78896147.6139467</v>
      </c>
      <c r="AU9" s="23" t="n">
        <f aca="false">'P&amp;L monthly'!AU48</f>
        <v>83752191.9175963</v>
      </c>
      <c r="AV9" s="23" t="n">
        <f aca="false">'P&amp;L monthly'!AV48</f>
        <v>92306897.7163401</v>
      </c>
      <c r="AW9" s="23" t="n">
        <f aca="false">'P&amp;L monthly'!AW48</f>
        <v>97650652.4497621</v>
      </c>
      <c r="AX9" s="23" t="n">
        <f aca="false">'P&amp;L monthly'!AX48</f>
        <v>106553066.777538</v>
      </c>
      <c r="AY9" s="23" t="n">
        <f aca="false">'P&amp;L monthly'!AY48</f>
        <v>114750252.190561</v>
      </c>
      <c r="AZ9" s="23" t="n">
        <f aca="false">'P&amp;L monthly'!AZ48</f>
        <v>121726541.54388</v>
      </c>
      <c r="BA9" s="23" t="n">
        <f aca="false">'P&amp;L monthly'!BA48</f>
        <v>121092692.534621</v>
      </c>
      <c r="BB9" s="23" t="n">
        <f aca="false">'P&amp;L monthly'!BB48</f>
        <v>129040333.786942</v>
      </c>
      <c r="BC9" s="23" t="n">
        <f aca="false">'P&amp;L monthly'!BC48</f>
        <v>139018195.509596</v>
      </c>
      <c r="BD9" s="23" t="n">
        <f aca="false">'P&amp;L monthly'!BD48</f>
        <v>143057065.018239</v>
      </c>
      <c r="BE9" s="23" t="n">
        <f aca="false">'P&amp;L monthly'!BE48</f>
        <v>156595743.663764</v>
      </c>
      <c r="BF9" s="23" t="n">
        <f aca="false">'P&amp;L monthly'!BF48</f>
        <v>164587176.425757</v>
      </c>
      <c r="BG9" s="23" t="n">
        <f aca="false">'P&amp;L monthly'!BG48</f>
        <v>173943531.152042</v>
      </c>
      <c r="BH9" s="23" t="n">
        <f aca="false">'P&amp;L monthly'!BH48</f>
        <v>180077263.591003</v>
      </c>
      <c r="BI9" s="23" t="n">
        <f aca="false">'P&amp;L monthly'!BI48</f>
        <v>190521067.470433</v>
      </c>
      <c r="BJ9" s="23" t="n">
        <f aca="false">'P&amp;L monthly'!BJ48</f>
        <v>199383418.600615</v>
      </c>
      <c r="BK9" s="23" t="n">
        <f aca="false">'P&amp;L monthly'!BK48</f>
        <v>209406979.663175</v>
      </c>
      <c r="BL9" s="23" t="n">
        <f aca="false">'P&amp;L monthly'!BL48</f>
        <v>218995732.446848</v>
      </c>
    </row>
    <row r="11" customFormat="false" ht="15" hidden="false" customHeight="false" outlineLevel="0" collapsed="false">
      <c r="A11" s="10" t="s">
        <v>1252</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1253</v>
      </c>
      <c r="B12" s="14" t="s">
        <v>77</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727</v>
      </c>
      <c r="B13" s="14" t="s">
        <v>77</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1254</v>
      </c>
      <c r="B14" s="14" t="s">
        <v>77</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1132</v>
      </c>
      <c r="B15" s="14" t="s">
        <v>77</v>
      </c>
      <c r="D15" s="55" t="n">
        <f aca="false">SUM(E15:BL15)</f>
        <v>956625648.995193</v>
      </c>
      <c r="E15" s="16" t="n">
        <f aca="false">SUM(E9:E14)</f>
        <v>-32190939.27</v>
      </c>
      <c r="F15" s="16" t="n">
        <f aca="false">SUM(F9:F14)</f>
        <v>-40596168.9</v>
      </c>
      <c r="G15" s="16" t="n">
        <f aca="false">SUM(G9:G14)</f>
        <v>-55296168.9</v>
      </c>
      <c r="H15" s="16" t="n">
        <f aca="false">SUM(H9:H14)</f>
        <v>-97024098.3</v>
      </c>
      <c r="I15" s="16" t="n">
        <f aca="false">SUM(I9:I14)</f>
        <v>-36360925.055</v>
      </c>
      <c r="J15" s="16" t="n">
        <f aca="false">SUM(J9:J14)</f>
        <v>-34413336.7183333</v>
      </c>
      <c r="K15" s="16" t="n">
        <f aca="false">SUM(K9:K14)</f>
        <v>-32814376.1639167</v>
      </c>
      <c r="L15" s="16" t="n">
        <f aca="false">SUM(L9:L14)</f>
        <v>-31218691.2698167</v>
      </c>
      <c r="M15" s="16" t="n">
        <f aca="false">SUM(M9:M14)</f>
        <v>-29625266.186817</v>
      </c>
      <c r="N15" s="16" t="n">
        <f aca="false">SUM(N9:N14)</f>
        <v>-28033041.1699423</v>
      </c>
      <c r="O15" s="16" t="n">
        <f aca="false">SUM(O9:O14)</f>
        <v>-26211116.8770124</v>
      </c>
      <c r="P15" s="16" t="n">
        <f aca="false">SUM(P9:P14)</f>
        <v>-24322068.7353263</v>
      </c>
      <c r="Q15" s="16" t="n">
        <f aca="false">SUM(Q9:Q14)</f>
        <v>-37200474.7049526</v>
      </c>
      <c r="R15" s="16" t="n">
        <f aca="false">SUM(R9:R14)</f>
        <v>-33401422.8906024</v>
      </c>
      <c r="S15" s="16" t="n">
        <f aca="false">SUM(S9:S14)</f>
        <v>-35604142.7600838</v>
      </c>
      <c r="T15" s="16" t="n">
        <f aca="false">SUM(T9:T14)</f>
        <v>-54201377.7016987</v>
      </c>
      <c r="U15" s="16" t="n">
        <f aca="false">SUM(U9:U14)</f>
        <v>-25290266.260267</v>
      </c>
      <c r="V15" s="16" t="n">
        <f aca="false">SUM(V9:V14)</f>
        <v>-32868780.1240551</v>
      </c>
      <c r="W15" s="16" t="n">
        <f aca="false">SUM(W9:W14)</f>
        <v>-31440659.4005001</v>
      </c>
      <c r="X15" s="16" t="n">
        <f aca="false">SUM(X9:X14)</f>
        <v>-28246645.7192538</v>
      </c>
      <c r="Y15" s="16" t="n">
        <f aca="false">SUM(Y9:Y14)</f>
        <v>-25255551.2982112</v>
      </c>
      <c r="Z15" s="16" t="n">
        <f aca="false">SUM(Z9:Z14)</f>
        <v>-19810359.8906142</v>
      </c>
      <c r="AA15" s="16" t="n">
        <f aca="false">SUM(AA9:AA14)</f>
        <v>-15287498.681712</v>
      </c>
      <c r="AB15" s="16" t="n">
        <f aca="false">SUM(AB9:AB14)</f>
        <v>-667008480.715809</v>
      </c>
      <c r="AC15" s="16" t="n">
        <f aca="false">SUM(AC9:AC14)</f>
        <v>-46100127.6404055</v>
      </c>
      <c r="AD15" s="16" t="n">
        <f aca="false">SUM(AD9:AD14)</f>
        <v>-22047288.8588616</v>
      </c>
      <c r="AE15" s="16" t="n">
        <f aca="false">SUM(AE9:AE14)</f>
        <v>-20796203.4961406</v>
      </c>
      <c r="AF15" s="16" t="n">
        <f aca="false">SUM(AF9:AF14)</f>
        <v>-26102195.9952275</v>
      </c>
      <c r="AG15" s="16" t="n">
        <f aca="false">SUM(AG9:AG14)</f>
        <v>-27114937.9825774</v>
      </c>
      <c r="AH15" s="16" t="n">
        <f aca="false">SUM(AH9:AH14)</f>
        <v>-591216.63791199</v>
      </c>
      <c r="AI15" s="16" t="n">
        <f aca="false">SUM(AI9:AI14)</f>
        <v>4565391.60388337</v>
      </c>
      <c r="AJ15" s="16" t="n">
        <f aca="false">SUM(AJ9:AJ14)</f>
        <v>11804903.8920628</v>
      </c>
      <c r="AK15" s="16" t="n">
        <f aca="false">SUM(AK9:AK14)</f>
        <v>21589451.9675436</v>
      </c>
      <c r="AL15" s="16" t="n">
        <f aca="false">SUM(AL9:AL14)</f>
        <v>25955309.7907369</v>
      </c>
      <c r="AM15" s="16" t="n">
        <f aca="false">SUM(AM9:AM14)</f>
        <v>32756321.7511578</v>
      </c>
      <c r="AN15" s="16" t="n">
        <f aca="false">SUM(AN9:AN14)</f>
        <v>39552819.4657376</v>
      </c>
      <c r="AO15" s="16" t="n">
        <f aca="false">SUM(AO9:AO14)</f>
        <v>35823638.3793303</v>
      </c>
      <c r="AP15" s="16" t="n">
        <f aca="false">SUM(AP9:AP14)</f>
        <v>44584156.0975252</v>
      </c>
      <c r="AQ15" s="16" t="n">
        <f aca="false">SUM(AQ9:AQ14)</f>
        <v>59692062.42923</v>
      </c>
      <c r="AR15" s="16" t="n">
        <f aca="false">SUM(AR9:AR14)</f>
        <v>58739707.0077644</v>
      </c>
      <c r="AS15" s="16" t="n">
        <f aca="false">SUM(AS9:AS14)</f>
        <v>76473357.9087379</v>
      </c>
      <c r="AT15" s="16" t="n">
        <f aca="false">SUM(AT9:AT14)</f>
        <v>54232193.3116612</v>
      </c>
      <c r="AU15" s="16" t="n">
        <f aca="false">SUM(AU9:AU14)</f>
        <v>58850498.4279798</v>
      </c>
      <c r="AV15" s="16" t="n">
        <f aca="false">SUM(AV9:AV14)</f>
        <v>65535130.565927</v>
      </c>
      <c r="AW15" s="16" t="n">
        <f aca="false">SUM(AW9:AW14)</f>
        <v>70882208.8633727</v>
      </c>
      <c r="AX15" s="16" t="n">
        <f aca="false">SUM(AX9:AX14)</f>
        <v>79076648.4331781</v>
      </c>
      <c r="AY15" s="16" t="n">
        <f aca="false">SUM(AY9:AY14)</f>
        <v>87568258.7130209</v>
      </c>
      <c r="AZ15" s="16" t="n">
        <f aca="false">SUM(AZ9:AZ14)</f>
        <v>94825078.1248571</v>
      </c>
      <c r="BA15" s="16" t="n">
        <f aca="false">SUM(BA9:BA14)</f>
        <v>91029022.1928241</v>
      </c>
      <c r="BB15" s="16" t="n">
        <f aca="false">SUM(BB9:BB14)</f>
        <v>99284598.0564315</v>
      </c>
      <c r="BC15" s="16" t="n">
        <f aca="false">SUM(BC9:BC14)</f>
        <v>108555077.448345</v>
      </c>
      <c r="BD15" s="16" t="n">
        <f aca="false">SUM(BD9:BD14)</f>
        <v>112886245.981335</v>
      </c>
      <c r="BE15" s="16" t="n">
        <f aca="false">SUM(BE9:BE14)</f>
        <v>126102166.317248</v>
      </c>
      <c r="BF15" s="16" t="n">
        <f aca="false">SUM(BF9:BF14)</f>
        <v>133362095.07602</v>
      </c>
      <c r="BG15" s="16" t="n">
        <f aca="false">SUM(BG9:BG14)</f>
        <v>142984996.98033</v>
      </c>
      <c r="BH15" s="16" t="n">
        <f aca="false">SUM(BH9:BH14)</f>
        <v>148367063.683657</v>
      </c>
      <c r="BI15" s="16" t="n">
        <f aca="false">SUM(BI9:BI14)</f>
        <v>158457888.861424</v>
      </c>
      <c r="BJ15" s="16" t="n">
        <f aca="false">SUM(BJ9:BJ14)</f>
        <v>166555591.877796</v>
      </c>
      <c r="BK15" s="16" t="n">
        <f aca="false">SUM(BK9:BK14)</f>
        <v>176952166.03886</v>
      </c>
      <c r="BL15" s="16" t="n">
        <f aca="false">SUM(BL9:BL14)</f>
        <v>186055428.052264</v>
      </c>
    </row>
    <row r="16" customFormat="false" ht="15" hidden="false" customHeight="false" outlineLevel="0" collapsed="false">
      <c r="A16" s="12" t="s">
        <v>1255</v>
      </c>
      <c r="B16" s="14" t="s">
        <v>77</v>
      </c>
      <c r="D16" s="55" t="n">
        <f aca="false">BL16</f>
        <v>956625648.995193</v>
      </c>
      <c r="E16" s="32" t="n">
        <f aca="false">E15</f>
        <v>-32190939.27</v>
      </c>
      <c r="F16" s="32" t="n">
        <f aca="false">E16+F15</f>
        <v>-72787108.17</v>
      </c>
      <c r="G16" s="32" t="n">
        <f aca="false">F16+G15</f>
        <v>-128083277.07</v>
      </c>
      <c r="H16" s="32" t="n">
        <f aca="false">G16+H15</f>
        <v>-225107375.37</v>
      </c>
      <c r="I16" s="32" t="n">
        <f aca="false">H16+I15</f>
        <v>-261468300.425</v>
      </c>
      <c r="J16" s="32" t="n">
        <f aca="false">I16+J15</f>
        <v>-295881637.143333</v>
      </c>
      <c r="K16" s="32" t="n">
        <f aca="false">J16+K15</f>
        <v>-328696013.30725</v>
      </c>
      <c r="L16" s="32" t="n">
        <f aca="false">K16+L15</f>
        <v>-359914704.577067</v>
      </c>
      <c r="M16" s="32" t="n">
        <f aca="false">L16+M15</f>
        <v>-389539970.763884</v>
      </c>
      <c r="N16" s="32" t="n">
        <f aca="false">M16+N15</f>
        <v>-417573011.933826</v>
      </c>
      <c r="O16" s="32" t="n">
        <f aca="false">N16+O15</f>
        <v>-443784128.810838</v>
      </c>
      <c r="P16" s="32" t="n">
        <f aca="false">O16+P15</f>
        <v>-468106197.546165</v>
      </c>
      <c r="Q16" s="32" t="n">
        <f aca="false">P16+Q15</f>
        <v>-505306672.251117</v>
      </c>
      <c r="R16" s="32" t="n">
        <f aca="false">Q16+R15</f>
        <v>-538708095.14172</v>
      </c>
      <c r="S16" s="32" t="n">
        <f aca="false">R16+S15</f>
        <v>-574312237.901804</v>
      </c>
      <c r="T16" s="32" t="n">
        <f aca="false">S16+T15</f>
        <v>-628513615.603502</v>
      </c>
      <c r="U16" s="32" t="n">
        <f aca="false">T16+U15</f>
        <v>-653803881.863769</v>
      </c>
      <c r="V16" s="32" t="n">
        <f aca="false">U16+V15</f>
        <v>-686672661.987824</v>
      </c>
      <c r="W16" s="32" t="n">
        <f aca="false">V16+W15</f>
        <v>-718113321.388324</v>
      </c>
      <c r="X16" s="32" t="n">
        <f aca="false">W16+X15</f>
        <v>-746359967.107578</v>
      </c>
      <c r="Y16" s="32" t="n">
        <f aca="false">X16+Y15</f>
        <v>-771615518.405789</v>
      </c>
      <c r="Z16" s="32" t="n">
        <f aca="false">Y16+Z15</f>
        <v>-791425878.296403</v>
      </c>
      <c r="AA16" s="32" t="n">
        <f aca="false">Z16+AA15</f>
        <v>-806713376.978115</v>
      </c>
      <c r="AB16" s="32" t="n">
        <f aca="false">AA16+AB15</f>
        <v>-1473721857.69392</v>
      </c>
      <c r="AC16" s="32" t="n">
        <f aca="false">AB16+AC15</f>
        <v>-1519821985.33433</v>
      </c>
      <c r="AD16" s="32" t="n">
        <f aca="false">AC16+AD15</f>
        <v>-1541869274.19319</v>
      </c>
      <c r="AE16" s="32" t="n">
        <f aca="false">AD16+AE15</f>
        <v>-1562665477.68933</v>
      </c>
      <c r="AF16" s="32" t="n">
        <f aca="false">AE16+AF15</f>
        <v>-1588767673.68456</v>
      </c>
      <c r="AG16" s="32" t="n">
        <f aca="false">AF16+AG15</f>
        <v>-1615882611.66714</v>
      </c>
      <c r="AH16" s="32" t="n">
        <f aca="false">AG16+AH15</f>
        <v>-1616473828.30505</v>
      </c>
      <c r="AI16" s="32" t="n">
        <f aca="false">AH16+AI15</f>
        <v>-1611908436.70117</v>
      </c>
      <c r="AJ16" s="32" t="n">
        <f aca="false">AI16+AJ15</f>
        <v>-1600103532.8091</v>
      </c>
      <c r="AK16" s="32" t="n">
        <f aca="false">AJ16+AK15</f>
        <v>-1578514080.84156</v>
      </c>
      <c r="AL16" s="32" t="n">
        <f aca="false">AK16+AL15</f>
        <v>-1552558771.05082</v>
      </c>
      <c r="AM16" s="32" t="n">
        <f aca="false">AL16+AM15</f>
        <v>-1519802449.29966</v>
      </c>
      <c r="AN16" s="32" t="n">
        <f aca="false">AM16+AN15</f>
        <v>-1480249629.83393</v>
      </c>
      <c r="AO16" s="32" t="n">
        <f aca="false">AN16+AO15</f>
        <v>-1444425991.4546</v>
      </c>
      <c r="AP16" s="32" t="n">
        <f aca="false">AO16+AP15</f>
        <v>-1399841835.35707</v>
      </c>
      <c r="AQ16" s="32" t="n">
        <f aca="false">AP16+AQ15</f>
        <v>-1340149772.92784</v>
      </c>
      <c r="AR16" s="32" t="n">
        <f aca="false">AQ16+AR15</f>
        <v>-1281410065.92008</v>
      </c>
      <c r="AS16" s="32" t="n">
        <f aca="false">AR16+AS15</f>
        <v>-1204936708.01134</v>
      </c>
      <c r="AT16" s="32" t="n">
        <f aca="false">AS16+AT15</f>
        <v>-1150704514.69968</v>
      </c>
      <c r="AU16" s="32" t="n">
        <f aca="false">AT16+AU15</f>
        <v>-1091854016.2717</v>
      </c>
      <c r="AV16" s="32" t="n">
        <f aca="false">AU16+AV15</f>
        <v>-1026318885.70577</v>
      </c>
      <c r="AW16" s="32" t="n">
        <f aca="false">AV16+AW15</f>
        <v>-955436676.842398</v>
      </c>
      <c r="AX16" s="32" t="n">
        <f aca="false">AW16+AX15</f>
        <v>-876360028.40922</v>
      </c>
      <c r="AY16" s="32" t="n">
        <f aca="false">AX16+AY15</f>
        <v>-788791769.696199</v>
      </c>
      <c r="AZ16" s="32" t="n">
        <f aca="false">AY16+AZ15</f>
        <v>-693966691.571342</v>
      </c>
      <c r="BA16" s="32" t="n">
        <f aca="false">AZ16+BA15</f>
        <v>-602937669.378518</v>
      </c>
      <c r="BB16" s="32" t="n">
        <f aca="false">BA16+BB15</f>
        <v>-503653071.322087</v>
      </c>
      <c r="BC16" s="32" t="n">
        <f aca="false">BB16+BC15</f>
        <v>-395097993.873741</v>
      </c>
      <c r="BD16" s="32" t="n">
        <f aca="false">BC16+BD15</f>
        <v>-282211747.892407</v>
      </c>
      <c r="BE16" s="32" t="n">
        <f aca="false">BD16+BE15</f>
        <v>-156109581.575159</v>
      </c>
      <c r="BF16" s="32" t="n">
        <f aca="false">BE16+BF15</f>
        <v>-22747486.4991383</v>
      </c>
      <c r="BG16" s="32" t="n">
        <f aca="false">BF16+BG15</f>
        <v>120237510.481192</v>
      </c>
      <c r="BH16" s="32" t="n">
        <f aca="false">BG16+BH15</f>
        <v>268604574.164849</v>
      </c>
      <c r="BI16" s="32" t="n">
        <f aca="false">BH16+BI15</f>
        <v>427062463.026273</v>
      </c>
      <c r="BJ16" s="32" t="n">
        <f aca="false">BI16+BJ15</f>
        <v>593618054.904069</v>
      </c>
      <c r="BK16" s="32" t="n">
        <f aca="false">BJ16+BK15</f>
        <v>770570220.942929</v>
      </c>
      <c r="BL16" s="32" t="n">
        <f aca="false">BK16+BL15</f>
        <v>956625648.995193</v>
      </c>
    </row>
    <row r="18" customFormat="false" ht="15" hidden="false" customHeight="false" outlineLevel="0" collapsed="false">
      <c r="A18" s="10" t="s">
        <v>1256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1133</v>
      </c>
      <c r="B19" s="14" t="s">
        <v>77</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1257</v>
      </c>
      <c r="B20" s="14" t="s">
        <v>77</v>
      </c>
      <c r="D20" s="55" t="n">
        <f aca="false">SUM(E20:BL20)</f>
        <v>4256625648.99519</v>
      </c>
      <c r="E20" s="16" t="n">
        <f aca="false">E15+E19</f>
        <v>867809060.73</v>
      </c>
      <c r="F20" s="16" t="n">
        <f aca="false">F15+F19</f>
        <v>-40596168.9</v>
      </c>
      <c r="G20" s="16" t="n">
        <f aca="false">G15+G19</f>
        <v>-55296168.9</v>
      </c>
      <c r="H20" s="16" t="n">
        <f aca="false">H15+H19</f>
        <v>-97024098.3</v>
      </c>
      <c r="I20" s="16" t="n">
        <f aca="false">I15+I19</f>
        <v>-36360925.055</v>
      </c>
      <c r="J20" s="16" t="n">
        <f aca="false">J15+J19</f>
        <v>-34413336.7183333</v>
      </c>
      <c r="K20" s="16" t="n">
        <f aca="false">K15+K19</f>
        <v>-32814376.1639167</v>
      </c>
      <c r="L20" s="16" t="n">
        <f aca="false">L15+L19</f>
        <v>-31218691.2698167</v>
      </c>
      <c r="M20" s="16" t="n">
        <f aca="false">M15+M19</f>
        <v>-29625266.186817</v>
      </c>
      <c r="N20" s="16" t="n">
        <f aca="false">N15+N19</f>
        <v>-28033041.1699423</v>
      </c>
      <c r="O20" s="16" t="n">
        <f aca="false">O15+O19</f>
        <v>-26211116.8770124</v>
      </c>
      <c r="P20" s="16" t="n">
        <f aca="false">P15+P19</f>
        <v>-24322068.7353263</v>
      </c>
      <c r="Q20" s="16" t="n">
        <f aca="false">Q15+Q19</f>
        <v>-37200474.7049526</v>
      </c>
      <c r="R20" s="16" t="n">
        <f aca="false">R15+R19</f>
        <v>-33401422.8906024</v>
      </c>
      <c r="S20" s="16" t="n">
        <f aca="false">S15+S19</f>
        <v>1164395857.23992</v>
      </c>
      <c r="T20" s="16" t="n">
        <f aca="false">T15+T19</f>
        <v>-54201377.7016987</v>
      </c>
      <c r="U20" s="16" t="n">
        <f aca="false">U15+U19</f>
        <v>-25290266.260267</v>
      </c>
      <c r="V20" s="16" t="n">
        <f aca="false">V15+V19</f>
        <v>-32868780.1240551</v>
      </c>
      <c r="W20" s="16" t="n">
        <f aca="false">W15+W19</f>
        <v>-31440659.4005001</v>
      </c>
      <c r="X20" s="16" t="n">
        <f aca="false">X15+X19</f>
        <v>-28246645.7192538</v>
      </c>
      <c r="Y20" s="16" t="n">
        <f aca="false">Y15+Y19</f>
        <v>-25255551.2982112</v>
      </c>
      <c r="Z20" s="16" t="n">
        <f aca="false">Z15+Z19</f>
        <v>-19810359.8906142</v>
      </c>
      <c r="AA20" s="16" t="n">
        <f aca="false">AA15+AA19</f>
        <v>-15287498.681712</v>
      </c>
      <c r="AB20" s="16" t="n">
        <f aca="false">AB15+AB19</f>
        <v>532991519.284191</v>
      </c>
      <c r="AC20" s="16" t="n">
        <f aca="false">AC15+AC19</f>
        <v>-46100127.6404055</v>
      </c>
      <c r="AD20" s="16" t="n">
        <f aca="false">AD15+AD19</f>
        <v>-22047288.8588616</v>
      </c>
      <c r="AE20" s="16" t="n">
        <f aca="false">AE15+AE19</f>
        <v>-20796203.4961406</v>
      </c>
      <c r="AF20" s="16" t="n">
        <f aca="false">AF15+AF19</f>
        <v>-26102195.9952275</v>
      </c>
      <c r="AG20" s="16" t="n">
        <f aca="false">AG15+AG19</f>
        <v>-27114937.9825774</v>
      </c>
      <c r="AH20" s="16" t="n">
        <f aca="false">AH15+AH19</f>
        <v>-591216.63791199</v>
      </c>
      <c r="AI20" s="16" t="n">
        <f aca="false">AI15+AI19</f>
        <v>4565391.60388337</v>
      </c>
      <c r="AJ20" s="16" t="n">
        <f aca="false">AJ15+AJ19</f>
        <v>11804903.8920628</v>
      </c>
      <c r="AK20" s="16" t="n">
        <f aca="false">AK15+AK19</f>
        <v>21589451.9675436</v>
      </c>
      <c r="AL20" s="16" t="n">
        <f aca="false">AL15+AL19</f>
        <v>25955309.7907369</v>
      </c>
      <c r="AM20" s="16" t="n">
        <f aca="false">AM15+AM19</f>
        <v>32756321.7511578</v>
      </c>
      <c r="AN20" s="16" t="n">
        <f aca="false">AN15+AN19</f>
        <v>39552819.4657376</v>
      </c>
      <c r="AO20" s="16" t="n">
        <f aca="false">AO15+AO19</f>
        <v>35823638.3793303</v>
      </c>
      <c r="AP20" s="16" t="n">
        <f aca="false">AP15+AP19</f>
        <v>44584156.0975252</v>
      </c>
      <c r="AQ20" s="16" t="n">
        <f aca="false">AQ15+AQ19</f>
        <v>59692062.42923</v>
      </c>
      <c r="AR20" s="16" t="n">
        <f aca="false">AR15+AR19</f>
        <v>58739707.0077644</v>
      </c>
      <c r="AS20" s="16" t="n">
        <f aca="false">AS15+AS19</f>
        <v>76473357.9087379</v>
      </c>
      <c r="AT20" s="16" t="n">
        <f aca="false">AT15+AT19</f>
        <v>54232193.3116612</v>
      </c>
      <c r="AU20" s="16" t="n">
        <f aca="false">AU15+AU19</f>
        <v>58850498.4279798</v>
      </c>
      <c r="AV20" s="16" t="n">
        <f aca="false">AV15+AV19</f>
        <v>65535130.565927</v>
      </c>
      <c r="AW20" s="16" t="n">
        <f aca="false">AW15+AW19</f>
        <v>70882208.8633727</v>
      </c>
      <c r="AX20" s="16" t="n">
        <f aca="false">AX15+AX19</f>
        <v>79076648.4331781</v>
      </c>
      <c r="AY20" s="16" t="n">
        <f aca="false">AY15+AY19</f>
        <v>87568258.7130209</v>
      </c>
      <c r="AZ20" s="16" t="n">
        <f aca="false">AZ15+AZ19</f>
        <v>94825078.1248571</v>
      </c>
      <c r="BA20" s="16" t="n">
        <f aca="false">BA15+BA19</f>
        <v>91029022.1928241</v>
      </c>
      <c r="BB20" s="16" t="n">
        <f aca="false">BB15+BB19</f>
        <v>99284598.0564315</v>
      </c>
      <c r="BC20" s="16" t="n">
        <f aca="false">BC15+BC19</f>
        <v>108555077.448345</v>
      </c>
      <c r="BD20" s="16" t="n">
        <f aca="false">BD15+BD19</f>
        <v>112886245.981335</v>
      </c>
      <c r="BE20" s="16" t="n">
        <f aca="false">BE15+BE19</f>
        <v>126102166.317248</v>
      </c>
      <c r="BF20" s="16" t="n">
        <f aca="false">BF15+BF19</f>
        <v>133362095.07602</v>
      </c>
      <c r="BG20" s="16" t="n">
        <f aca="false">BG15+BG19</f>
        <v>142984996.98033</v>
      </c>
      <c r="BH20" s="16" t="n">
        <f aca="false">BH15+BH19</f>
        <v>148367063.683657</v>
      </c>
      <c r="BI20" s="16" t="n">
        <f aca="false">BI15+BI19</f>
        <v>158457888.861424</v>
      </c>
      <c r="BJ20" s="16" t="n">
        <f aca="false">BJ15+BJ19</f>
        <v>166555591.877796</v>
      </c>
      <c r="BK20" s="16" t="n">
        <f aca="false">BK15+BK19</f>
        <v>176952166.03886</v>
      </c>
      <c r="BL20" s="16" t="n">
        <f aca="false">BL15+BL19</f>
        <v>186055428.052264</v>
      </c>
    </row>
    <row r="22" customFormat="false" ht="15" hidden="false" customHeight="false" outlineLevel="0" collapsed="false">
      <c r="A22" s="10" t="s">
        <v>1258</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1259</v>
      </c>
      <c r="B23" s="14" t="s">
        <v>77</v>
      </c>
      <c r="E23" s="32" t="n">
        <f aca="false">Opening_Cash</f>
        <v>0</v>
      </c>
      <c r="F23" s="32" t="n">
        <f aca="false">E24</f>
        <v>867809060.73</v>
      </c>
      <c r="G23" s="32" t="n">
        <f aca="false">F24</f>
        <v>827212891.83</v>
      </c>
      <c r="H23" s="32" t="n">
        <f aca="false">G24</f>
        <v>771916722.93</v>
      </c>
      <c r="I23" s="32" t="n">
        <f aca="false">H24</f>
        <v>674892624.63</v>
      </c>
      <c r="J23" s="32" t="n">
        <f aca="false">I24</f>
        <v>638531699.575</v>
      </c>
      <c r="K23" s="32" t="n">
        <f aca="false">J24</f>
        <v>604118362.856667</v>
      </c>
      <c r="L23" s="32" t="n">
        <f aca="false">K24</f>
        <v>571303986.69275</v>
      </c>
      <c r="M23" s="32" t="n">
        <f aca="false">L24</f>
        <v>540085295.422933</v>
      </c>
      <c r="N23" s="32" t="n">
        <f aca="false">M24</f>
        <v>510460029.236116</v>
      </c>
      <c r="O23" s="32" t="n">
        <f aca="false">N24</f>
        <v>482426988.066174</v>
      </c>
      <c r="P23" s="32" t="n">
        <f aca="false">O24</f>
        <v>456215871.189162</v>
      </c>
      <c r="Q23" s="32" t="n">
        <f aca="false">P24</f>
        <v>431893802.453835</v>
      </c>
      <c r="R23" s="32" t="n">
        <f aca="false">Q24</f>
        <v>394693327.748883</v>
      </c>
      <c r="S23" s="32" t="n">
        <f aca="false">R24</f>
        <v>361291904.85828</v>
      </c>
      <c r="T23" s="32" t="n">
        <f aca="false">S24</f>
        <v>1525687762.0982</v>
      </c>
      <c r="U23" s="32" t="n">
        <f aca="false">T24</f>
        <v>1471486384.3965</v>
      </c>
      <c r="V23" s="32" t="n">
        <f aca="false">U24</f>
        <v>1446196118.13623</v>
      </c>
      <c r="W23" s="32" t="n">
        <f aca="false">V24</f>
        <v>1413327338.01218</v>
      </c>
      <c r="X23" s="32" t="n">
        <f aca="false">W24</f>
        <v>1381886678.61168</v>
      </c>
      <c r="Y23" s="32" t="n">
        <f aca="false">X24</f>
        <v>1353640032.89242</v>
      </c>
      <c r="Z23" s="32" t="n">
        <f aca="false">Y24</f>
        <v>1328384481.59421</v>
      </c>
      <c r="AA23" s="32" t="n">
        <f aca="false">Z24</f>
        <v>1308574121.7036</v>
      </c>
      <c r="AB23" s="32" t="n">
        <f aca="false">AA24</f>
        <v>1293286623.02188</v>
      </c>
      <c r="AC23" s="32" t="n">
        <f aca="false">AB24</f>
        <v>1826278142.30608</v>
      </c>
      <c r="AD23" s="32" t="n">
        <f aca="false">AC24</f>
        <v>1780178014.66567</v>
      </c>
      <c r="AE23" s="32" t="n">
        <f aca="false">AD24</f>
        <v>1758130725.80681</v>
      </c>
      <c r="AF23" s="32" t="n">
        <f aca="false">AE24</f>
        <v>1737334522.31067</v>
      </c>
      <c r="AG23" s="32" t="n">
        <f aca="false">AF24</f>
        <v>1711232326.31544</v>
      </c>
      <c r="AH23" s="32" t="n">
        <f aca="false">AG24</f>
        <v>1684117388.33286</v>
      </c>
      <c r="AI23" s="32" t="n">
        <f aca="false">AH24</f>
        <v>1683526171.69495</v>
      </c>
      <c r="AJ23" s="32" t="n">
        <f aca="false">AI24</f>
        <v>1688091563.29883</v>
      </c>
      <c r="AK23" s="32" t="n">
        <f aca="false">AJ24</f>
        <v>1699896467.1909</v>
      </c>
      <c r="AL23" s="32" t="n">
        <f aca="false">AK24</f>
        <v>1721485919.15844</v>
      </c>
      <c r="AM23" s="32" t="n">
        <f aca="false">AL24</f>
        <v>1747441228.94918</v>
      </c>
      <c r="AN23" s="32" t="n">
        <f aca="false">AM24</f>
        <v>1780197550.70034</v>
      </c>
      <c r="AO23" s="32" t="n">
        <f aca="false">AN24</f>
        <v>1819750370.16607</v>
      </c>
      <c r="AP23" s="32" t="n">
        <f aca="false">AO24</f>
        <v>1855574008.5454</v>
      </c>
      <c r="AQ23" s="32" t="n">
        <f aca="false">AP24</f>
        <v>1900158164.64293</v>
      </c>
      <c r="AR23" s="32" t="n">
        <f aca="false">AQ24</f>
        <v>1959850227.07216</v>
      </c>
      <c r="AS23" s="32" t="n">
        <f aca="false">AR24</f>
        <v>2018589934.07992</v>
      </c>
      <c r="AT23" s="32" t="n">
        <f aca="false">AS24</f>
        <v>2095063291.98866</v>
      </c>
      <c r="AU23" s="32" t="n">
        <f aca="false">AT24</f>
        <v>2149295485.30032</v>
      </c>
      <c r="AV23" s="32" t="n">
        <f aca="false">AU24</f>
        <v>2208145983.7283</v>
      </c>
      <c r="AW23" s="32" t="n">
        <f aca="false">AV24</f>
        <v>2273681114.29423</v>
      </c>
      <c r="AX23" s="32" t="n">
        <f aca="false">AW24</f>
        <v>2344563323.1576</v>
      </c>
      <c r="AY23" s="32" t="n">
        <f aca="false">AX24</f>
        <v>2423639971.59078</v>
      </c>
      <c r="AZ23" s="32" t="n">
        <f aca="false">AY24</f>
        <v>2511208230.3038</v>
      </c>
      <c r="BA23" s="32" t="n">
        <f aca="false">AZ24</f>
        <v>2606033308.42866</v>
      </c>
      <c r="BB23" s="32" t="n">
        <f aca="false">BA24</f>
        <v>2697062330.62148</v>
      </c>
      <c r="BC23" s="32" t="n">
        <f aca="false">BB24</f>
        <v>2796346928.67791</v>
      </c>
      <c r="BD23" s="32" t="n">
        <f aca="false">BC24</f>
        <v>2904902006.12626</v>
      </c>
      <c r="BE23" s="32" t="n">
        <f aca="false">BD24</f>
        <v>3017788252.10759</v>
      </c>
      <c r="BF23" s="32" t="n">
        <f aca="false">BE24</f>
        <v>3143890418.42484</v>
      </c>
      <c r="BG23" s="32" t="n">
        <f aca="false">BF24</f>
        <v>3277252513.50086</v>
      </c>
      <c r="BH23" s="32" t="n">
        <f aca="false">BG24</f>
        <v>3420237510.48119</v>
      </c>
      <c r="BI23" s="32" t="n">
        <f aca="false">BH24</f>
        <v>3568604574.16485</v>
      </c>
      <c r="BJ23" s="32" t="n">
        <f aca="false">BI24</f>
        <v>3727062463.02627</v>
      </c>
      <c r="BK23" s="32" t="n">
        <f aca="false">BJ24</f>
        <v>3893618054.90407</v>
      </c>
      <c r="BL23" s="32" t="n">
        <f aca="false">BK24</f>
        <v>4070570220.94293</v>
      </c>
    </row>
    <row r="24" customFormat="false" ht="15" hidden="false" customHeight="false" outlineLevel="0" collapsed="false">
      <c r="A24" s="8" t="s">
        <v>101</v>
      </c>
      <c r="B24" s="14" t="s">
        <v>77</v>
      </c>
      <c r="D24" s="55" t="n">
        <f aca="false">BL24</f>
        <v>4256625648.99519</v>
      </c>
      <c r="E24" s="55" t="n">
        <f aca="false">E23+E20</f>
        <v>867809060.73</v>
      </c>
      <c r="F24" s="55" t="n">
        <f aca="false">F23+F20</f>
        <v>827212891.83</v>
      </c>
      <c r="G24" s="55" t="n">
        <f aca="false">G23+G20</f>
        <v>771916722.93</v>
      </c>
      <c r="H24" s="55" t="n">
        <f aca="false">H23+H20</f>
        <v>674892624.63</v>
      </c>
      <c r="I24" s="55" t="n">
        <f aca="false">I23+I20</f>
        <v>638531699.575</v>
      </c>
      <c r="J24" s="55" t="n">
        <f aca="false">J23+J20</f>
        <v>604118362.856667</v>
      </c>
      <c r="K24" s="55" t="n">
        <f aca="false">K23+K20</f>
        <v>571303986.69275</v>
      </c>
      <c r="L24" s="55" t="n">
        <f aca="false">L23+L20</f>
        <v>540085295.422933</v>
      </c>
      <c r="M24" s="55" t="n">
        <f aca="false">M23+M20</f>
        <v>510460029.236116</v>
      </c>
      <c r="N24" s="55" t="n">
        <f aca="false">N23+N20</f>
        <v>482426988.066174</v>
      </c>
      <c r="O24" s="55" t="n">
        <f aca="false">O23+O20</f>
        <v>456215871.189162</v>
      </c>
      <c r="P24" s="55" t="n">
        <f aca="false">P23+P20</f>
        <v>431893802.453835</v>
      </c>
      <c r="Q24" s="55" t="n">
        <f aca="false">Q23+Q20</f>
        <v>394693327.748883</v>
      </c>
      <c r="R24" s="55" t="n">
        <f aca="false">R23+R20</f>
        <v>361291904.85828</v>
      </c>
      <c r="S24" s="55" t="n">
        <f aca="false">S23+S20</f>
        <v>1525687762.0982</v>
      </c>
      <c r="T24" s="55" t="n">
        <f aca="false">T23+T20</f>
        <v>1471486384.3965</v>
      </c>
      <c r="U24" s="55" t="n">
        <f aca="false">U23+U20</f>
        <v>1446196118.13623</v>
      </c>
      <c r="V24" s="55" t="n">
        <f aca="false">V23+V20</f>
        <v>1413327338.01218</v>
      </c>
      <c r="W24" s="55" t="n">
        <f aca="false">W23+W20</f>
        <v>1381886678.61168</v>
      </c>
      <c r="X24" s="55" t="n">
        <f aca="false">X23+X20</f>
        <v>1353640032.89242</v>
      </c>
      <c r="Y24" s="55" t="n">
        <f aca="false">Y23+Y20</f>
        <v>1328384481.59421</v>
      </c>
      <c r="Z24" s="55" t="n">
        <f aca="false">Z23+Z20</f>
        <v>1308574121.7036</v>
      </c>
      <c r="AA24" s="55" t="n">
        <f aca="false">AA23+AA20</f>
        <v>1293286623.02188</v>
      </c>
      <c r="AB24" s="55" t="n">
        <f aca="false">AB23+AB20</f>
        <v>1826278142.30608</v>
      </c>
      <c r="AC24" s="55" t="n">
        <f aca="false">AC23+AC20</f>
        <v>1780178014.66567</v>
      </c>
      <c r="AD24" s="55" t="n">
        <f aca="false">AD23+AD20</f>
        <v>1758130725.80681</v>
      </c>
      <c r="AE24" s="55" t="n">
        <f aca="false">AE23+AE20</f>
        <v>1737334522.31067</v>
      </c>
      <c r="AF24" s="55" t="n">
        <f aca="false">AF23+AF20</f>
        <v>1711232326.31544</v>
      </c>
      <c r="AG24" s="55" t="n">
        <f aca="false">AG23+AG20</f>
        <v>1684117388.33286</v>
      </c>
      <c r="AH24" s="55" t="n">
        <f aca="false">AH23+AH20</f>
        <v>1683526171.69495</v>
      </c>
      <c r="AI24" s="55" t="n">
        <f aca="false">AI23+AI20</f>
        <v>1688091563.29883</v>
      </c>
      <c r="AJ24" s="55" t="n">
        <f aca="false">AJ23+AJ20</f>
        <v>1699896467.1909</v>
      </c>
      <c r="AK24" s="55" t="n">
        <f aca="false">AK23+AK20</f>
        <v>1721485919.15844</v>
      </c>
      <c r="AL24" s="55" t="n">
        <f aca="false">AL23+AL20</f>
        <v>1747441228.94918</v>
      </c>
      <c r="AM24" s="55" t="n">
        <f aca="false">AM23+AM20</f>
        <v>1780197550.70034</v>
      </c>
      <c r="AN24" s="55" t="n">
        <f aca="false">AN23+AN20</f>
        <v>1819750370.16607</v>
      </c>
      <c r="AO24" s="55" t="n">
        <f aca="false">AO23+AO20</f>
        <v>1855574008.5454</v>
      </c>
      <c r="AP24" s="55" t="n">
        <f aca="false">AP23+AP20</f>
        <v>1900158164.64293</v>
      </c>
      <c r="AQ24" s="55" t="n">
        <f aca="false">AQ23+AQ20</f>
        <v>1959850227.07216</v>
      </c>
      <c r="AR24" s="55" t="n">
        <f aca="false">AR23+AR20</f>
        <v>2018589934.07992</v>
      </c>
      <c r="AS24" s="55" t="n">
        <f aca="false">AS23+AS20</f>
        <v>2095063291.98866</v>
      </c>
      <c r="AT24" s="55" t="n">
        <f aca="false">AT23+AT20</f>
        <v>2149295485.30032</v>
      </c>
      <c r="AU24" s="55" t="n">
        <f aca="false">AU23+AU20</f>
        <v>2208145983.7283</v>
      </c>
      <c r="AV24" s="55" t="n">
        <f aca="false">AV23+AV20</f>
        <v>2273681114.29423</v>
      </c>
      <c r="AW24" s="55" t="n">
        <f aca="false">AW23+AW20</f>
        <v>2344563323.1576</v>
      </c>
      <c r="AX24" s="55" t="n">
        <f aca="false">AX23+AX20</f>
        <v>2423639971.59078</v>
      </c>
      <c r="AY24" s="55" t="n">
        <f aca="false">AY23+AY20</f>
        <v>2511208230.3038</v>
      </c>
      <c r="AZ24" s="55" t="n">
        <f aca="false">AZ23+AZ20</f>
        <v>2606033308.42866</v>
      </c>
      <c r="BA24" s="55" t="n">
        <f aca="false">BA23+BA20</f>
        <v>2697062330.62148</v>
      </c>
      <c r="BB24" s="55" t="n">
        <f aca="false">BB23+BB20</f>
        <v>2796346928.67791</v>
      </c>
      <c r="BC24" s="55" t="n">
        <f aca="false">BC23+BC20</f>
        <v>2904902006.12626</v>
      </c>
      <c r="BD24" s="55" t="n">
        <f aca="false">BD23+BD20</f>
        <v>3017788252.10759</v>
      </c>
      <c r="BE24" s="55" t="n">
        <f aca="false">BE23+BE20</f>
        <v>3143890418.42484</v>
      </c>
      <c r="BF24" s="55" t="n">
        <f aca="false">BF23+BF20</f>
        <v>3277252513.50086</v>
      </c>
      <c r="BG24" s="55" t="n">
        <f aca="false">BG23+BG20</f>
        <v>3420237510.48119</v>
      </c>
      <c r="BH24" s="55" t="n">
        <f aca="false">BH23+BH20</f>
        <v>3568604574.16485</v>
      </c>
      <c r="BI24" s="55" t="n">
        <f aca="false">BI23+BI20</f>
        <v>3727062463.02627</v>
      </c>
      <c r="BJ24" s="55" t="n">
        <f aca="false">BJ23+BJ20</f>
        <v>3893618054.90407</v>
      </c>
      <c r="BK24" s="55" t="n">
        <f aca="false">BK23+BK20</f>
        <v>4070570220.94293</v>
      </c>
      <c r="BL24" s="55" t="n">
        <f aca="false">BL23+BL20</f>
        <v>4256625648.99519</v>
      </c>
    </row>
    <row r="25" customFormat="false" ht="15" hidden="false" customHeight="false" outlineLevel="0" collapsed="false">
      <c r="A25" s="12" t="s">
        <v>1260</v>
      </c>
      <c r="B25" s="14" t="s">
        <v>77</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1261</v>
      </c>
      <c r="B26" s="14" t="s">
        <v>77</v>
      </c>
      <c r="E26" s="32" t="n">
        <f aca="false">MAX(0,-AVERAGE(E15))</f>
        <v>32190939.27</v>
      </c>
      <c r="F26" s="32" t="n">
        <f aca="false">MAX(0,-AVERAGE(F15))</f>
        <v>40596168.9</v>
      </c>
      <c r="G26" s="32" t="n">
        <f aca="false">MAX(0,-AVERAGE(E15:G15))</f>
        <v>42694425.69</v>
      </c>
      <c r="H26" s="32" t="n">
        <f aca="false">MAX(0,-AVERAGE(F15:H15))</f>
        <v>64305478.7</v>
      </c>
      <c r="I26" s="32" t="n">
        <f aca="false">MAX(0,-AVERAGE(G15:I15))</f>
        <v>62893730.7516667</v>
      </c>
      <c r="J26" s="32" t="n">
        <f aca="false">MAX(0,-AVERAGE(H15:J15))</f>
        <v>55932786.6911111</v>
      </c>
      <c r="K26" s="32" t="n">
        <f aca="false">MAX(0,-AVERAGE(I15:K15))</f>
        <v>34529545.9790833</v>
      </c>
      <c r="L26" s="32" t="n">
        <f aca="false">MAX(0,-AVERAGE(J15:L15))</f>
        <v>32815468.0506889</v>
      </c>
      <c r="M26" s="32" t="n">
        <f aca="false">MAX(0,-AVERAGE(K15:M15))</f>
        <v>31219444.5401835</v>
      </c>
      <c r="N26" s="32" t="n">
        <f aca="false">MAX(0,-AVERAGE(L15:N15))</f>
        <v>29625666.2088587</v>
      </c>
      <c r="O26" s="32" t="n">
        <f aca="false">MAX(0,-AVERAGE(M15:O15))</f>
        <v>27956474.7445906</v>
      </c>
      <c r="P26" s="32" t="n">
        <f aca="false">MAX(0,-AVERAGE(N15:P15))</f>
        <v>26188742.2607603</v>
      </c>
      <c r="Q26" s="32" t="n">
        <f aca="false">MAX(0,-AVERAGE(O15:Q15))</f>
        <v>29244553.4390971</v>
      </c>
      <c r="R26" s="32" t="n">
        <f aca="false">MAX(0,-AVERAGE(P15:R15))</f>
        <v>31641322.1102938</v>
      </c>
      <c r="S26" s="32" t="n">
        <f aca="false">MAX(0,-AVERAGE(Q15:S15))</f>
        <v>35402013.4518796</v>
      </c>
      <c r="T26" s="32" t="n">
        <f aca="false">MAX(0,-AVERAGE(R15:T15))</f>
        <v>41068981.1174616</v>
      </c>
      <c r="U26" s="32" t="n">
        <f aca="false">MAX(0,-AVERAGE(S15:U15))</f>
        <v>38365262.2406831</v>
      </c>
      <c r="V26" s="32" t="n">
        <f aca="false">MAX(0,-AVERAGE(T15:V15))</f>
        <v>37453474.6953402</v>
      </c>
      <c r="W26" s="32" t="n">
        <f aca="false">MAX(0,-AVERAGE(U15:W15))</f>
        <v>29866568.5949407</v>
      </c>
      <c r="X26" s="32" t="n">
        <f aca="false">MAX(0,-AVERAGE(V15:X15))</f>
        <v>30852028.414603</v>
      </c>
      <c r="Y26" s="32" t="n">
        <f aca="false">MAX(0,-AVERAGE(W15:Y15))</f>
        <v>28314285.472655</v>
      </c>
      <c r="Z26" s="32" t="n">
        <f aca="false">MAX(0,-AVERAGE(X15:Z15))</f>
        <v>24437518.9693597</v>
      </c>
      <c r="AA26" s="32" t="n">
        <f aca="false">MAX(0,-AVERAGE(Y15:AA15))</f>
        <v>20117803.2901791</v>
      </c>
      <c r="AB26" s="32" t="n">
        <f aca="false">MAX(0,-AVERAGE(Z15:AB15))</f>
        <v>234035446.429378</v>
      </c>
      <c r="AC26" s="32" t="n">
        <f aca="false">MAX(0,-AVERAGE(AA15:AC15))</f>
        <v>242798702.345975</v>
      </c>
      <c r="AD26" s="32" t="n">
        <f aca="false">MAX(0,-AVERAGE(AB15:AD15))</f>
        <v>245051965.738359</v>
      </c>
      <c r="AE26" s="32" t="n">
        <f aca="false">MAX(0,-AVERAGE(AC15:AE15))</f>
        <v>29647873.3318026</v>
      </c>
      <c r="AF26" s="32" t="n">
        <f aca="false">MAX(0,-AVERAGE(AD15:AF15))</f>
        <v>22981896.1167432</v>
      </c>
      <c r="AG26" s="32" t="n">
        <f aca="false">MAX(0,-AVERAGE(AE15:AG15))</f>
        <v>24671112.4913152</v>
      </c>
      <c r="AH26" s="32" t="n">
        <f aca="false">MAX(0,-AVERAGE(AF15:AH15))</f>
        <v>17936116.8719056</v>
      </c>
      <c r="AI26" s="32" t="n">
        <f aca="false">MAX(0,-AVERAGE(AG15:AI15))</f>
        <v>7713587.67220201</v>
      </c>
      <c r="AJ26" s="32" t="n">
        <f aca="false">MAX(0,-AVERAGE(AH15:AJ15))</f>
        <v>0</v>
      </c>
      <c r="AK26" s="32" t="n">
        <f aca="false">MAX(0,-AVERAGE(AI15:AK15))</f>
        <v>0</v>
      </c>
      <c r="AL26" s="32" t="n">
        <f aca="false">MAX(0,-AVERAGE(AJ15:AL15))</f>
        <v>0</v>
      </c>
      <c r="AM26" s="32" t="n">
        <f aca="false">MAX(0,-AVERAGE(AK15:AM15))</f>
        <v>0</v>
      </c>
      <c r="AN26" s="32" t="n">
        <f aca="false">MAX(0,-AVERAGE(AL15:AN15))</f>
        <v>0</v>
      </c>
      <c r="AO26" s="32" t="n">
        <f aca="false">MAX(0,-AVERAGE(AM15:AO15))</f>
        <v>0</v>
      </c>
      <c r="AP26" s="32" t="n">
        <f aca="false">MAX(0,-AVERAGE(AN15:AP15))</f>
        <v>0</v>
      </c>
      <c r="AQ26" s="32" t="n">
        <f aca="false">MAX(0,-AVERAGE(AO15:AQ15))</f>
        <v>0</v>
      </c>
      <c r="AR26" s="32" t="n">
        <f aca="false">MAX(0,-AVERAGE(AP15:AR15))</f>
        <v>0</v>
      </c>
      <c r="AS26" s="32" t="n">
        <f aca="false">MAX(0,-AVERAGE(AQ15:AS15))</f>
        <v>0</v>
      </c>
      <c r="AT26" s="32" t="n">
        <f aca="false">MAX(0,-AVERAGE(AR15:AT15))</f>
        <v>0</v>
      </c>
      <c r="AU26" s="32" t="n">
        <f aca="false">MAX(0,-AVERAGE(AS15:AU15))</f>
        <v>0</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1262</v>
      </c>
      <c r="B27" s="14" t="s">
        <v>108</v>
      </c>
      <c r="E27" s="42" t="n">
        <f aca="false">IF(E26=0,"cash positive",E24/E26)</f>
        <v>26.9581776863139</v>
      </c>
      <c r="F27" s="42" t="n">
        <f aca="false">IF(F26=0,"cash positive",F24/F26)</f>
        <v>20.3766245496629</v>
      </c>
      <c r="G27" s="42" t="n">
        <f aca="false">IF(G26=0,"cash positive",G24/G26)</f>
        <v>18.0800352845782</v>
      </c>
      <c r="H27" s="42" t="n">
        <f aca="false">IF(H26=0,"cash positive",H24/H26)</f>
        <v>10.4951030343547</v>
      </c>
      <c r="I27" s="42" t="n">
        <f aca="false">IF(I26=0,"cash positive",I24/I26)</f>
        <v>10.1525492595791</v>
      </c>
      <c r="J27" s="42" t="n">
        <f aca="false">IF(J26=0,"cash positive",J24/J26)</f>
        <v>10.8007914247669</v>
      </c>
      <c r="K27" s="42" t="n">
        <f aca="false">IF(K26=0,"cash positive",K24/K26)</f>
        <v>16.545366308576</v>
      </c>
      <c r="L27" s="42" t="n">
        <f aca="false">IF(L26=0,"cash positive",L24/L26)</f>
        <v>16.4582536073745</v>
      </c>
      <c r="M27" s="42" t="n">
        <f aca="false">IF(M26=0,"cash positive",M24/M26)</f>
        <v>16.3507082446354</v>
      </c>
      <c r="N27" s="42" t="n">
        <f aca="false">IF(N26=0,"cash positive",N24/N26)</f>
        <v>16.2840890957557</v>
      </c>
      <c r="O27" s="42" t="n">
        <f aca="false">IF(O26=0,"cash positive",O24/O26)</f>
        <v>16.3187910978453</v>
      </c>
      <c r="P27" s="42" t="n">
        <f aca="false">IF(P26=0,"cash positive",P24/P26)</f>
        <v>16.4915824575875</v>
      </c>
      <c r="Q27" s="42" t="n">
        <f aca="false">IF(Q26=0,"cash positive",Q24/Q26)</f>
        <v>13.4963020916304</v>
      </c>
      <c r="R27" s="42" t="n">
        <f aca="false">IF(R26=0,"cash positive",R24/R26)</f>
        <v>11.4183567803806</v>
      </c>
      <c r="S27" s="42" t="n">
        <f aca="false">IF(S26=0,"cash positive",S24/S26)</f>
        <v>43.0960731703014</v>
      </c>
      <c r="T27" s="42" t="n">
        <f aca="false">IF(T26=0,"cash positive",T24/T26)</f>
        <v>35.8296296708188</v>
      </c>
      <c r="U27" s="42" t="n">
        <f aca="false">IF(U26=0,"cash positive",U24/U26)</f>
        <v>37.6954576529041</v>
      </c>
      <c r="V27" s="42" t="n">
        <f aca="false">IF(V26=0,"cash positive",V24/V26)</f>
        <v>37.7355465549907</v>
      </c>
      <c r="W27" s="42" t="n">
        <f aca="false">IF(W26=0,"cash positive",W24/W26)</f>
        <v>46.2686791158782</v>
      </c>
      <c r="X27" s="42" t="n">
        <f aca="false">IF(X26=0,"cash positive",X24/X26)</f>
        <v>43.875236166051</v>
      </c>
      <c r="Y27" s="42" t="n">
        <f aca="false">IF(Y26=0,"cash positive",Y24/Y26)</f>
        <v>46.9156985394217</v>
      </c>
      <c r="Z27" s="42" t="n">
        <f aca="false">IF(Z26=0,"cash positive",Z24/Z26)</f>
        <v>53.5477485805459</v>
      </c>
      <c r="AA27" s="42" t="n">
        <f aca="false">IF(AA26=0,"cash positive",AA24/AA26)</f>
        <v>64.285677932502</v>
      </c>
      <c r="AB27" s="42" t="n">
        <f aca="false">IF(AB26=0,"cash positive",AB24/AB26)</f>
        <v>7.80342537922847</v>
      </c>
      <c r="AC27" s="42" t="n">
        <f aca="false">IF(AC26=0,"cash positive",AC24/AC26)</f>
        <v>7.33190909780486</v>
      </c>
      <c r="AD27" s="42" t="n">
        <f aca="false">IF(AD26=0,"cash positive",AD24/AD26)</f>
        <v>7.1745220264177</v>
      </c>
      <c r="AE27" s="42" t="n">
        <f aca="false">IF(AE26=0,"cash positive",AE24/AE26)</f>
        <v>58.5989592868056</v>
      </c>
      <c r="AF27" s="42" t="n">
        <f aca="false">IF(AF26=0,"cash positive",AF24/AF26)</f>
        <v>74.4600148579011</v>
      </c>
      <c r="AG27" s="42" t="n">
        <f aca="false">IF(AG26=0,"cash positive",AG24/AG26)</f>
        <v>68.2627258469075</v>
      </c>
      <c r="AH27" s="42" t="n">
        <f aca="false">IF(AH26=0,"cash positive",AH24/AH26)</f>
        <v>93.8623551417618</v>
      </c>
      <c r="AI27" s="42" t="n">
        <f aca="false">IF(AI26=0,"cash positive",AI24/AI26)</f>
        <v>218.846486879552</v>
      </c>
      <c r="AJ27" s="42" t="str">
        <f aca="false">IF(AJ26=0,"cash positive",AJ24/AJ26)</f>
        <v>cash positive</v>
      </c>
      <c r="AK27" s="42" t="str">
        <f aca="false">IF(AK26=0,"cash positive",AK24/AK26)</f>
        <v>cash positive</v>
      </c>
      <c r="AL27" s="42" t="str">
        <f aca="false">IF(AL26=0,"cash positive",AL24/AL26)</f>
        <v>cash positive</v>
      </c>
      <c r="AM27" s="42" t="str">
        <f aca="false">IF(AM26=0,"cash positive",AM24/AM26)</f>
        <v>cash positive</v>
      </c>
      <c r="AN27" s="42" t="str">
        <f aca="false">IF(AN26=0,"cash positive",AN24/AN26)</f>
        <v>cash positive</v>
      </c>
      <c r="AO27" s="42" t="str">
        <f aca="false">IF(AO26=0,"cash positive",AO24/AO26)</f>
        <v>cash positive</v>
      </c>
      <c r="AP27" s="42" t="str">
        <f aca="false">IF(AP26=0,"cash positive",AP24/AP26)</f>
        <v>cash positive</v>
      </c>
      <c r="AQ27" s="42" t="str">
        <f aca="false">IF(AQ26=0,"cash positive",AQ24/AQ26)</f>
        <v>cash positive</v>
      </c>
      <c r="AR27" s="42" t="str">
        <f aca="false">IF(AR26=0,"cash positive",AR24/AR26)</f>
        <v>cash positive</v>
      </c>
      <c r="AS27" s="42" t="str">
        <f aca="false">IF(AS26=0,"cash positive",AS24/AS26)</f>
        <v>cash positive</v>
      </c>
      <c r="AT27" s="42" t="str">
        <f aca="false">IF(AT26=0,"cash positive",AT24/AT26)</f>
        <v>cash positive</v>
      </c>
      <c r="AU27" s="42" t="str">
        <f aca="false">IF(AU26=0,"cash positive",AU24/AU26)</f>
        <v>cash positive</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1263</v>
      </c>
    </row>
    <row r="2" customFormat="false" ht="15" hidden="false" customHeight="false" outlineLevel="0" collapsed="false">
      <c r="A2" s="2" t="s">
        <v>1264</v>
      </c>
    </row>
    <row r="3" customFormat="false" ht="15" hidden="false" customHeight="false" outlineLevel="0" collapsed="false">
      <c r="A3" s="8" t="s">
        <v>917</v>
      </c>
      <c r="D3" s="8" t="s">
        <v>918</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919</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87</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1251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79</v>
      </c>
      <c r="D9" s="55" t="n">
        <f aca="false">'Cash flow'!D9/FX_EUR</f>
        <v>4146008.11423287</v>
      </c>
      <c r="E9" s="32" t="n">
        <f aca="false">'Cash flow'!E9/FX_EUR</f>
        <v>-49074.7705566066</v>
      </c>
      <c r="F9" s="32" t="n">
        <f aca="false">'Cash flow'!F9/FX_EUR</f>
        <v>-61888.4605240892</v>
      </c>
      <c r="G9" s="32" t="n">
        <f aca="false">'Cash flow'!G9/FX_EUR</f>
        <v>-84298.4660579886</v>
      </c>
      <c r="H9" s="32" t="n">
        <f aca="false">'Cash flow'!H9/FX_EUR</f>
        <v>-56442.8739993628</v>
      </c>
      <c r="I9" s="32" t="n">
        <f aca="false">'Cash flow'!I9/FX_EUR</f>
        <v>-55431.8729047788</v>
      </c>
      <c r="J9" s="32" t="n">
        <f aca="false">'Cash flow'!J9/FX_EUR</f>
        <v>-52462.7936257001</v>
      </c>
      <c r="K9" s="32" t="n">
        <f aca="false">'Cash flow'!K9/FX_EUR</f>
        <v>-50025.193974478</v>
      </c>
      <c r="L9" s="32" t="n">
        <f aca="false">'Cash flow'!L9/FX_EUR</f>
        <v>-47592.5880352168</v>
      </c>
      <c r="M9" s="32" t="n">
        <f aca="false">'Cash flow'!M9/FX_EUR</f>
        <v>-45163.4271557694</v>
      </c>
      <c r="N9" s="32" t="n">
        <f aca="false">'Cash flow'!N9/FX_EUR</f>
        <v>-42736.0957653358</v>
      </c>
      <c r="O9" s="32" t="n">
        <f aca="false">'Cash flow'!O9/FX_EUR</f>
        <v>-39958.5900859544</v>
      </c>
      <c r="P9" s="32" t="n">
        <f aca="false">'Cash flow'!P9/FX_EUR</f>
        <v>-37078.7547588123</v>
      </c>
      <c r="Q9" s="32" t="n">
        <f aca="false">'Cash flow'!Q9/FX_EUR</f>
        <v>-56711.7580953517</v>
      </c>
      <c r="R9" s="32" t="n">
        <f aca="false">'Cash flow'!R9/FX_EUR</f>
        <v>-50920.1409400348</v>
      </c>
      <c r="S9" s="32" t="n">
        <f aca="false">'Cash flow'!S9/FX_EUR</f>
        <v>-54278.1657335523</v>
      </c>
      <c r="T9" s="32" t="n">
        <f aca="false">'Cash flow'!T9/FX_EUR</f>
        <v>-82629.4676353765</v>
      </c>
      <c r="U9" s="32" t="n">
        <f aca="false">'Cash flow'!U9/FX_EUR</f>
        <v>-38554.7623705014</v>
      </c>
      <c r="V9" s="32" t="n">
        <f aca="false">'Cash flow'!V9/FX_EUR</f>
        <v>-45273.1881383464</v>
      </c>
      <c r="W9" s="32" t="n">
        <f aca="false">'Cash flow'!W9/FX_EUR</f>
        <v>-41824.1187732239</v>
      </c>
      <c r="X9" s="32" t="n">
        <f aca="false">'Cash flow'!X9/FX_EUR</f>
        <v>-35687.1814855769</v>
      </c>
      <c r="Y9" s="32" t="n">
        <f aca="false">'Cash flow'!Y9/FX_EUR</f>
        <v>-27999.7073907421</v>
      </c>
      <c r="Z9" s="32" t="n">
        <f aca="false">'Cash flow'!Z9/FX_EUR</f>
        <v>-18002.5398139034</v>
      </c>
      <c r="AA9" s="32" t="n">
        <f aca="false">'Cash flow'!AA9/FX_EUR</f>
        <v>-9411.11346717202</v>
      </c>
      <c r="AB9" s="32" t="n">
        <f aca="false">'Cash flow'!AB9/FX_EUR</f>
        <v>-10334.6491354438</v>
      </c>
      <c r="AC9" s="32" t="n">
        <f aca="false">'Cash flow'!AC9/FX_EUR</f>
        <v>-14038.6085656909</v>
      </c>
      <c r="AD9" s="32" t="n">
        <f aca="false">'Cash flow'!AD9/FX_EUR</f>
        <v>-4133.15053511071</v>
      </c>
      <c r="AE9" s="32" t="n">
        <f aca="false">'Cash flow'!AE9/FX_EUR</f>
        <v>8187.18684404277</v>
      </c>
      <c r="AF9" s="32" t="n">
        <f aca="false">'Cash flow'!AF9/FX_EUR</f>
        <v>4240.07334424545</v>
      </c>
      <c r="AG9" s="32" t="n">
        <f aca="false">'Cash flow'!AG9/FX_EUR</f>
        <v>6853.11762459853</v>
      </c>
      <c r="AH9" s="32" t="n">
        <f aca="false">'Cash flow'!AH9/FX_EUR</f>
        <v>32484.2591432505</v>
      </c>
      <c r="AI9" s="32" t="n">
        <f aca="false">'Cash flow'!AI9/FX_EUR</f>
        <v>43421.0911700254</v>
      </c>
      <c r="AJ9" s="32" t="n">
        <f aca="false">'Cash flow'!AJ9/FX_EUR</f>
        <v>56390.6198981313</v>
      </c>
      <c r="AK9" s="32" t="n">
        <f aca="false">'Cash flow'!AK9/FX_EUR</f>
        <v>67406.0262290825</v>
      </c>
      <c r="AL9" s="32" t="n">
        <f aca="false">'Cash flow'!AL9/FX_EUR</f>
        <v>75407.8030631546</v>
      </c>
      <c r="AM9" s="32" t="n">
        <f aca="false">'Cash flow'!AM9/FX_EUR</f>
        <v>88572.6816947421</v>
      </c>
      <c r="AN9" s="32" t="n">
        <f aca="false">'Cash flow'!AN9/FX_EUR</f>
        <v>100407.539883024</v>
      </c>
      <c r="AO9" s="32" t="n">
        <f aca="false">'Cash flow'!AO9/FX_EUR</f>
        <v>99815.3749751364</v>
      </c>
      <c r="AP9" s="32" t="n">
        <f aca="false">'Cash flow'!AP9/FX_EUR</f>
        <v>116360.728509686</v>
      </c>
      <c r="AQ9" s="32" t="n">
        <f aca="false">'Cash flow'!AQ9/FX_EUR</f>
        <v>127594.55089804</v>
      </c>
      <c r="AR9" s="32" t="n">
        <f aca="false">'Cash flow'!AR9/FX_EUR</f>
        <v>126559.047283447</v>
      </c>
      <c r="AS9" s="32" t="n">
        <f aca="false">'Cash flow'!AS9/FX_EUR</f>
        <v>155581.576268996</v>
      </c>
      <c r="AT9" s="32" t="n">
        <f aca="false">'Cash flow'!AT9/FX_EUR</f>
        <v>120276.401675638</v>
      </c>
      <c r="AU9" s="32" t="n">
        <f aca="false">'Cash flow'!AU9/FX_EUR</f>
        <v>127679.393493165</v>
      </c>
      <c r="AV9" s="32" t="n">
        <f aca="false">'Cash flow'!AV9/FX_EUR</f>
        <v>140720.958410902</v>
      </c>
      <c r="AW9" s="32" t="n">
        <f aca="false">'Cash flow'!AW9/FX_EUR</f>
        <v>148867.459985581</v>
      </c>
      <c r="AX9" s="32" t="n">
        <f aca="false">'Cash flow'!AX9/FX_EUR</f>
        <v>162439.103138678</v>
      </c>
      <c r="AY9" s="32" t="n">
        <f aca="false">'Cash flow'!AY9/FX_EUR</f>
        <v>174935.631741961</v>
      </c>
      <c r="AZ9" s="32" t="n">
        <f aca="false">'Cash flow'!AZ9/FX_EUR</f>
        <v>185570.916300733</v>
      </c>
      <c r="BA9" s="32" t="n">
        <f aca="false">'Cash flow'!BA9/FX_EUR</f>
        <v>184604.619715349</v>
      </c>
      <c r="BB9" s="32" t="n">
        <f aca="false">'Cash flow'!BB9/FX_EUR</f>
        <v>196720.720698067</v>
      </c>
      <c r="BC9" s="32" t="n">
        <f aca="false">'Cash flow'!BC9/FX_EUR</f>
        <v>211931.872835562</v>
      </c>
      <c r="BD9" s="32" t="n">
        <f aca="false">'Cash flow'!BD9/FX_EUR</f>
        <v>218089.089708988</v>
      </c>
      <c r="BE9" s="32" t="n">
        <f aca="false">'Cash flow'!BE9/FX_EUR</f>
        <v>238728.672251022</v>
      </c>
      <c r="BF9" s="32" t="n">
        <f aca="false">'Cash flow'!BF9/FX_EUR</f>
        <v>250911.532959869</v>
      </c>
      <c r="BG9" s="32" t="n">
        <f aca="false">'Cash flow'!BG9/FX_EUR</f>
        <v>265175.203789337</v>
      </c>
      <c r="BH9" s="32" t="n">
        <f aca="false">'Cash flow'!BH9/FX_EUR</f>
        <v>274526.018612505</v>
      </c>
      <c r="BI9" s="32" t="n">
        <f aca="false">'Cash flow'!BI9/FX_EUR</f>
        <v>290447.494988899</v>
      </c>
      <c r="BJ9" s="32" t="n">
        <f aca="false">'Cash flow'!BJ9/FX_EUR</f>
        <v>303958.06219099</v>
      </c>
      <c r="BK9" s="32" t="n">
        <f aca="false">'Cash flow'!BK9/FX_EUR</f>
        <v>319238.882523054</v>
      </c>
      <c r="BL9" s="32" t="n">
        <f aca="false">'Cash flow'!BL9/FX_EUR</f>
        <v>333856.841907088</v>
      </c>
    </row>
    <row r="11" customFormat="false" ht="15" hidden="false" customHeight="false" outlineLevel="0" collapsed="false">
      <c r="A11" s="10" t="s">
        <v>1252</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1253</v>
      </c>
      <c r="B12" s="14" t="s">
        <v>79</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727</v>
      </c>
      <c r="B13" s="14" t="s">
        <v>79</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1254</v>
      </c>
      <c r="B14" s="14" t="s">
        <v>79</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1132</v>
      </c>
      <c r="B15" s="14" t="s">
        <v>79</v>
      </c>
      <c r="D15" s="55" t="n">
        <f aca="false">'Cash flow'!D15/FX_EUR</f>
        <v>1458366.40053417</v>
      </c>
      <c r="E15" s="16" t="n">
        <f aca="false">'Cash flow'!E15/FX_EUR</f>
        <v>-49074.7705566066</v>
      </c>
      <c r="F15" s="16" t="n">
        <f aca="false">'Cash flow'!F15/FX_EUR</f>
        <v>-61888.4605240892</v>
      </c>
      <c r="G15" s="16" t="n">
        <f aca="false">'Cash flow'!G15/FX_EUR</f>
        <v>-84298.4660579886</v>
      </c>
      <c r="H15" s="16" t="n">
        <f aca="false">'Cash flow'!H15/FX_EUR</f>
        <v>-147912.284341809</v>
      </c>
      <c r="I15" s="16" t="n">
        <f aca="false">'Cash flow'!I15/FX_EUR</f>
        <v>-55431.8729047788</v>
      </c>
      <c r="J15" s="16" t="n">
        <f aca="false">'Cash flow'!J15/FX_EUR</f>
        <v>-52462.7936257001</v>
      </c>
      <c r="K15" s="16" t="n">
        <f aca="false">'Cash flow'!K15/FX_EUR</f>
        <v>-50025.193974478</v>
      </c>
      <c r="L15" s="16" t="n">
        <f aca="false">'Cash flow'!L15/FX_EUR</f>
        <v>-47592.5880352168</v>
      </c>
      <c r="M15" s="16" t="n">
        <f aca="false">'Cash flow'!M15/FX_EUR</f>
        <v>-45163.4271557694</v>
      </c>
      <c r="N15" s="16" t="n">
        <f aca="false">'Cash flow'!N15/FX_EUR</f>
        <v>-42736.0957653358</v>
      </c>
      <c r="O15" s="16" t="n">
        <f aca="false">'Cash flow'!O15/FX_EUR</f>
        <v>-39958.5900859544</v>
      </c>
      <c r="P15" s="16" t="n">
        <f aca="false">'Cash flow'!P15/FX_EUR</f>
        <v>-37078.7547588123</v>
      </c>
      <c r="Q15" s="16" t="n">
        <f aca="false">'Cash flow'!Q15/FX_EUR</f>
        <v>-56711.7580953517</v>
      </c>
      <c r="R15" s="16" t="n">
        <f aca="false">'Cash flow'!R15/FX_EUR</f>
        <v>-50920.1409400348</v>
      </c>
      <c r="S15" s="16" t="n">
        <f aca="false">'Cash flow'!S15/FX_EUR</f>
        <v>-54278.1657335523</v>
      </c>
      <c r="T15" s="16" t="n">
        <f aca="false">'Cash flow'!T15/FX_EUR</f>
        <v>-82629.4676353765</v>
      </c>
      <c r="U15" s="16" t="n">
        <f aca="false">'Cash flow'!U15/FX_EUR</f>
        <v>-38554.7623705014</v>
      </c>
      <c r="V15" s="16" t="n">
        <f aca="false">'Cash flow'!V15/FX_EUR</f>
        <v>-50108.1322770472</v>
      </c>
      <c r="W15" s="16" t="n">
        <f aca="false">'Cash flow'!W15/FX_EUR</f>
        <v>-47930.9762690238</v>
      </c>
      <c r="X15" s="16" t="n">
        <f aca="false">'Cash flow'!X15/FX_EUR</f>
        <v>-43061.7338015355</v>
      </c>
      <c r="Y15" s="16" t="n">
        <f aca="false">'Cash flow'!Y15/FX_EUR</f>
        <v>-38501.8397520131</v>
      </c>
      <c r="Z15" s="16" t="n">
        <f aca="false">'Cash flow'!Z15/FX_EUR</f>
        <v>-30200.6989644354</v>
      </c>
      <c r="AA15" s="16" t="n">
        <f aca="false">'Cash flow'!AA15/FX_EUR</f>
        <v>-23305.641500452</v>
      </c>
      <c r="AB15" s="16" t="n">
        <f aca="false">'Cash flow'!AB15/FX_EUR</f>
        <v>-1016847.87374143</v>
      </c>
      <c r="AC15" s="16" t="n">
        <f aca="false">'Cash flow'!AC15/FX_EUR</f>
        <v>-70279.19153299</v>
      </c>
      <c r="AD15" s="16" t="n">
        <f aca="false">'Cash flow'!AD15/FX_EUR</f>
        <v>-33610.8751928275</v>
      </c>
      <c r="AE15" s="16" t="n">
        <f aca="false">'Cash flow'!AE15/FX_EUR</f>
        <v>-31703.6078525584</v>
      </c>
      <c r="AF15" s="16" t="n">
        <f aca="false">'Cash flow'!AF15/FX_EUR</f>
        <v>-39792.541272107</v>
      </c>
      <c r="AG15" s="16" t="n">
        <f aca="false">'Cash flow'!AG15/FX_EUR</f>
        <v>-41336.4564789726</v>
      </c>
      <c r="AH15" s="16" t="n">
        <f aca="false">'Cash flow'!AH15/FX_EUR</f>
        <v>-901.303954240888</v>
      </c>
      <c r="AI15" s="16" t="n">
        <f aca="false">'Cash flow'!AI15/FX_EUR</f>
        <v>6959.89463315945</v>
      </c>
      <c r="AJ15" s="16" t="n">
        <f aca="false">'Cash flow'!AJ15/FX_EUR</f>
        <v>17996.4599692705</v>
      </c>
      <c r="AK15" s="16" t="n">
        <f aca="false">'Cash flow'!AK15/FX_EUR</f>
        <v>32912.907351463</v>
      </c>
      <c r="AL15" s="16" t="n">
        <f aca="false">'Cash flow'!AL15/FX_EUR</f>
        <v>39568.6146969037</v>
      </c>
      <c r="AM15" s="16" t="n">
        <f aca="false">'Cash flow'!AM15/FX_EUR</f>
        <v>49936.6905927642</v>
      </c>
      <c r="AN15" s="16" t="n">
        <f aca="false">'Cash flow'!AN15/FX_EUR</f>
        <v>60297.8845652042</v>
      </c>
      <c r="AO15" s="16" t="n">
        <f aca="false">'Cash flow'!AO15/FX_EUR</f>
        <v>54612.7846479728</v>
      </c>
      <c r="AP15" s="16" t="n">
        <f aca="false">'Cash flow'!AP15/FX_EUR</f>
        <v>67968.1078142701</v>
      </c>
      <c r="AQ15" s="16" t="n">
        <f aca="false">'Cash flow'!AQ15/FX_EUR</f>
        <v>90999.9625421026</v>
      </c>
      <c r="AR15" s="16" t="n">
        <f aca="false">'Cash flow'!AR15/FX_EUR</f>
        <v>89548.1060614712</v>
      </c>
      <c r="AS15" s="16" t="n">
        <f aca="false">'Cash flow'!AS15/FX_EUR</f>
        <v>116582.882580318</v>
      </c>
      <c r="AT15" s="16" t="n">
        <f aca="false">'Cash flow'!AT15/FX_EUR</f>
        <v>82676.4457299201</v>
      </c>
      <c r="AU15" s="16" t="n">
        <f aca="false">'Cash flow'!AU15/FX_EUR</f>
        <v>89717.0064927729</v>
      </c>
      <c r="AV15" s="16" t="n">
        <f aca="false">'Cash flow'!AV15/FX_EUR</f>
        <v>99907.6624930094</v>
      </c>
      <c r="AW15" s="16" t="n">
        <f aca="false">'Cash flow'!AW15/FX_EUR</f>
        <v>108059.23080838</v>
      </c>
      <c r="AX15" s="16" t="n">
        <f aca="false">'Cash flow'!AX15/FX_EUR</f>
        <v>120551.573400662</v>
      </c>
      <c r="AY15" s="16" t="n">
        <f aca="false">'Cash flow'!AY15/FX_EUR</f>
        <v>133496.949819913</v>
      </c>
      <c r="AZ15" s="16" t="n">
        <f aca="false">'Cash flow'!AZ15/FX_EUR</f>
        <v>144559.899695951</v>
      </c>
      <c r="BA15" s="16" t="n">
        <f aca="false">'Cash flow'!BA15/FX_EUR</f>
        <v>138772.849733785</v>
      </c>
      <c r="BB15" s="16" t="n">
        <f aca="false">'Cash flow'!BB15/FX_EUR</f>
        <v>151358.394005143</v>
      </c>
      <c r="BC15" s="16" t="n">
        <f aca="false">'Cash flow'!BC15/FX_EUR</f>
        <v>165491.148731312</v>
      </c>
      <c r="BD15" s="16" t="n">
        <f aca="false">'Cash flow'!BD15/FX_EUR</f>
        <v>172093.97259475</v>
      </c>
      <c r="BE15" s="16" t="n">
        <f aca="false">'Cash flow'!BE15/FX_EUR</f>
        <v>192241.513265729</v>
      </c>
      <c r="BF15" s="16" t="n">
        <f aca="false">'Cash flow'!BF15/FX_EUR</f>
        <v>203309.203310614</v>
      </c>
      <c r="BG15" s="16" t="n">
        <f aca="false">'Cash flow'!BG15/FX_EUR</f>
        <v>217979.222693454</v>
      </c>
      <c r="BH15" s="16" t="n">
        <f aca="false">'Cash flow'!BH15/FX_EUR</f>
        <v>226184.130489738</v>
      </c>
      <c r="BI15" s="16" t="n">
        <f aca="false">'Cash flow'!BI15/FX_EUR</f>
        <v>241567.494304389</v>
      </c>
      <c r="BJ15" s="16" t="n">
        <f aca="false">'Cash flow'!BJ15/FX_EUR</f>
        <v>253912.362971652</v>
      </c>
      <c r="BK15" s="16" t="n">
        <f aca="false">'Cash flow'!BK15/FX_EUR</f>
        <v>269761.838106553</v>
      </c>
      <c r="BL15" s="16" t="n">
        <f aca="false">'Cash flow'!BL15/FX_EUR</f>
        <v>283639.671582534</v>
      </c>
    </row>
    <row r="16" customFormat="false" ht="15" hidden="false" customHeight="false" outlineLevel="0" collapsed="false">
      <c r="A16" s="12" t="s">
        <v>1255</v>
      </c>
      <c r="B16" s="14" t="s">
        <v>79</v>
      </c>
      <c r="D16" s="55" t="n">
        <f aca="false">'Cash flow'!D16/FX_EUR</f>
        <v>1458366.40053417</v>
      </c>
      <c r="E16" s="32" t="n">
        <f aca="false">'Cash flow'!E16/FX_EUR</f>
        <v>-49074.7705566066</v>
      </c>
      <c r="F16" s="32" t="n">
        <f aca="false">'Cash flow'!F16/FX_EUR</f>
        <v>-110963.231080696</v>
      </c>
      <c r="G16" s="32" t="n">
        <f aca="false">'Cash flow'!G16/FX_EUR</f>
        <v>-195261.697138684</v>
      </c>
      <c r="H16" s="32" t="n">
        <f aca="false">'Cash flow'!H16/FX_EUR</f>
        <v>-343173.981480493</v>
      </c>
      <c r="I16" s="32" t="n">
        <f aca="false">'Cash flow'!I16/FX_EUR</f>
        <v>-398605.854385272</v>
      </c>
      <c r="J16" s="32" t="n">
        <f aca="false">'Cash flow'!J16/FX_EUR</f>
        <v>-451068.648010972</v>
      </c>
      <c r="K16" s="32" t="n">
        <f aca="false">'Cash flow'!K16/FX_EUR</f>
        <v>-501093.84198545</v>
      </c>
      <c r="L16" s="32" t="n">
        <f aca="false">'Cash flow'!L16/FX_EUR</f>
        <v>-548686.430020667</v>
      </c>
      <c r="M16" s="32" t="n">
        <f aca="false">'Cash flow'!M16/FX_EUR</f>
        <v>-593849.857176437</v>
      </c>
      <c r="N16" s="32" t="n">
        <f aca="false">'Cash flow'!N16/FX_EUR</f>
        <v>-636585.952941772</v>
      </c>
      <c r="O16" s="32" t="n">
        <f aca="false">'Cash flow'!O16/FX_EUR</f>
        <v>-676544.543027727</v>
      </c>
      <c r="P16" s="32" t="n">
        <f aca="false">'Cash flow'!P16/FX_EUR</f>
        <v>-713623.297786539</v>
      </c>
      <c r="Q16" s="32" t="n">
        <f aca="false">'Cash flow'!Q16/FX_EUR</f>
        <v>-770335.055881891</v>
      </c>
      <c r="R16" s="32" t="n">
        <f aca="false">'Cash flow'!R16/FX_EUR</f>
        <v>-821255.196821925</v>
      </c>
      <c r="S16" s="32" t="n">
        <f aca="false">'Cash flow'!S16/FX_EUR</f>
        <v>-875533.362555478</v>
      </c>
      <c r="T16" s="32" t="n">
        <f aca="false">'Cash flow'!T16/FX_EUR</f>
        <v>-958162.830190854</v>
      </c>
      <c r="U16" s="32" t="n">
        <f aca="false">'Cash flow'!U16/FX_EUR</f>
        <v>-996717.592561355</v>
      </c>
      <c r="V16" s="32" t="n">
        <f aca="false">'Cash flow'!V16/FX_EUR</f>
        <v>-1046825.7248384</v>
      </c>
      <c r="W16" s="32" t="n">
        <f aca="false">'Cash flow'!W16/FX_EUR</f>
        <v>-1094756.70110743</v>
      </c>
      <c r="X16" s="32" t="n">
        <f aca="false">'Cash flow'!X16/FX_EUR</f>
        <v>-1137818.43490896</v>
      </c>
      <c r="Y16" s="32" t="n">
        <f aca="false">'Cash flow'!Y16/FX_EUR</f>
        <v>-1176320.27466098</v>
      </c>
      <c r="Z16" s="32" t="n">
        <f aca="false">'Cash flow'!Z16/FX_EUR</f>
        <v>-1206520.97362541</v>
      </c>
      <c r="AA16" s="32" t="n">
        <f aca="false">'Cash flow'!AA16/FX_EUR</f>
        <v>-1229826.61512586</v>
      </c>
      <c r="AB16" s="32" t="n">
        <f aca="false">'Cash flow'!AB16/FX_EUR</f>
        <v>-2246674.48886729</v>
      </c>
      <c r="AC16" s="32" t="n">
        <f aca="false">'Cash flow'!AC16/FX_EUR</f>
        <v>-2316953.68040029</v>
      </c>
      <c r="AD16" s="32" t="n">
        <f aca="false">'Cash flow'!AD16/FX_EUR</f>
        <v>-2350564.55559311</v>
      </c>
      <c r="AE16" s="32" t="n">
        <f aca="false">'Cash flow'!AE16/FX_EUR</f>
        <v>-2382268.16344567</v>
      </c>
      <c r="AF16" s="32" t="n">
        <f aca="false">'Cash flow'!AF16/FX_EUR</f>
        <v>-2422060.70471778</v>
      </c>
      <c r="AG16" s="32" t="n">
        <f aca="false">'Cash flow'!AG16/FX_EUR</f>
        <v>-2463397.16119675</v>
      </c>
      <c r="AH16" s="32" t="n">
        <f aca="false">'Cash flow'!AH16/FX_EUR</f>
        <v>-2464298.46515099</v>
      </c>
      <c r="AI16" s="32" t="n">
        <f aca="false">'Cash flow'!AI16/FX_EUR</f>
        <v>-2457338.57051783</v>
      </c>
      <c r="AJ16" s="32" t="n">
        <f aca="false">'Cash flow'!AJ16/FX_EUR</f>
        <v>-2439342.11054856</v>
      </c>
      <c r="AK16" s="32" t="n">
        <f aca="false">'Cash flow'!AK16/FX_EUR</f>
        <v>-2406429.2031971</v>
      </c>
      <c r="AL16" s="32" t="n">
        <f aca="false">'Cash flow'!AL16/FX_EUR</f>
        <v>-2366860.58850019</v>
      </c>
      <c r="AM16" s="32" t="n">
        <f aca="false">'Cash flow'!AM16/FX_EUR</f>
        <v>-2316923.89790743</v>
      </c>
      <c r="AN16" s="32" t="n">
        <f aca="false">'Cash flow'!AN16/FX_EUR</f>
        <v>-2256626.01334223</v>
      </c>
      <c r="AO16" s="32" t="n">
        <f aca="false">'Cash flow'!AO16/FX_EUR</f>
        <v>-2202013.22869425</v>
      </c>
      <c r="AP16" s="32" t="n">
        <f aca="false">'Cash flow'!AP16/FX_EUR</f>
        <v>-2134045.12087998</v>
      </c>
      <c r="AQ16" s="32" t="n">
        <f aca="false">'Cash flow'!AQ16/FX_EUR</f>
        <v>-2043045.15833788</v>
      </c>
      <c r="AR16" s="32" t="n">
        <f aca="false">'Cash flow'!AR16/FX_EUR</f>
        <v>-1953497.05227641</v>
      </c>
      <c r="AS16" s="32" t="n">
        <f aca="false">'Cash flow'!AS16/FX_EUR</f>
        <v>-1836914.16969609</v>
      </c>
      <c r="AT16" s="32" t="n">
        <f aca="false">'Cash flow'!AT16/FX_EUR</f>
        <v>-1754237.72396617</v>
      </c>
      <c r="AU16" s="32" t="n">
        <f aca="false">'Cash flow'!AU16/FX_EUR</f>
        <v>-1664520.7174734</v>
      </c>
      <c r="AV16" s="32" t="n">
        <f aca="false">'Cash flow'!AV16/FX_EUR</f>
        <v>-1564613.05498039</v>
      </c>
      <c r="AW16" s="32" t="n">
        <f aca="false">'Cash flow'!AW16/FX_EUR</f>
        <v>-1456553.82417201</v>
      </c>
      <c r="AX16" s="32" t="n">
        <f aca="false">'Cash flow'!AX16/FX_EUR</f>
        <v>-1336002.25077135</v>
      </c>
      <c r="AY16" s="32" t="n">
        <f aca="false">'Cash flow'!AY16/FX_EUR</f>
        <v>-1202505.30095143</v>
      </c>
      <c r="AZ16" s="32" t="n">
        <f aca="false">'Cash flow'!AZ16/FX_EUR</f>
        <v>-1057945.40125548</v>
      </c>
      <c r="BA16" s="32" t="n">
        <f aca="false">'Cash flow'!BA16/FX_EUR</f>
        <v>-919172.551521697</v>
      </c>
      <c r="BB16" s="32" t="n">
        <f aca="false">'Cash flow'!BB16/FX_EUR</f>
        <v>-767814.157516555</v>
      </c>
      <c r="BC16" s="32" t="n">
        <f aca="false">'Cash flow'!BC16/FX_EUR</f>
        <v>-602323.008785242</v>
      </c>
      <c r="BD16" s="32" t="n">
        <f aca="false">'Cash flow'!BD16/FX_EUR</f>
        <v>-430229.036190492</v>
      </c>
      <c r="BE16" s="32" t="n">
        <f aca="false">'Cash flow'!BE16/FX_EUR</f>
        <v>-237987.522924763</v>
      </c>
      <c r="BF16" s="32" t="n">
        <f aca="false">'Cash flow'!BF16/FX_EUR</f>
        <v>-34678.3196141489</v>
      </c>
      <c r="BG16" s="32" t="n">
        <f aca="false">'Cash flow'!BG16/FX_EUR</f>
        <v>183300.903079305</v>
      </c>
      <c r="BH16" s="32" t="n">
        <f aca="false">'Cash flow'!BH16/FX_EUR</f>
        <v>409485.033569043</v>
      </c>
      <c r="BI16" s="32" t="n">
        <f aca="false">'Cash flow'!BI16/FX_EUR</f>
        <v>651052.527873432</v>
      </c>
      <c r="BJ16" s="32" t="n">
        <f aca="false">'Cash flow'!BJ16/FX_EUR</f>
        <v>904964.890845084</v>
      </c>
      <c r="BK16" s="32" t="n">
        <f aca="false">'Cash flow'!BK16/FX_EUR</f>
        <v>1174726.72895164</v>
      </c>
      <c r="BL16" s="32" t="n">
        <f aca="false">'Cash flow'!BL16/FX_EUR</f>
        <v>1458366.40053417</v>
      </c>
    </row>
    <row r="18" customFormat="false" ht="15" hidden="false" customHeight="false" outlineLevel="0" collapsed="false">
      <c r="A18" s="10" t="s">
        <v>1256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1133</v>
      </c>
      <c r="B19" s="14" t="s">
        <v>79</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1257</v>
      </c>
      <c r="B20" s="14" t="s">
        <v>79</v>
      </c>
      <c r="D20" s="55" t="n">
        <f aca="false">'Cash flow'!D20/FX_EUR</f>
        <v>6489183.96936871</v>
      </c>
      <c r="E20" s="16" t="n">
        <f aca="false">'Cash flow'!E20/FX_EUR</f>
        <v>1322966.38458009</v>
      </c>
      <c r="F20" s="16" t="n">
        <f aca="false">'Cash flow'!F20/FX_EUR</f>
        <v>-61888.4605240892</v>
      </c>
      <c r="G20" s="16" t="n">
        <f aca="false">'Cash flow'!G20/FX_EUR</f>
        <v>-84298.4660579886</v>
      </c>
      <c r="H20" s="16" t="n">
        <f aca="false">'Cash flow'!H20/FX_EUR</f>
        <v>-147912.284341809</v>
      </c>
      <c r="I20" s="16" t="n">
        <f aca="false">'Cash flow'!I20/FX_EUR</f>
        <v>-55431.8729047788</v>
      </c>
      <c r="J20" s="16" t="n">
        <f aca="false">'Cash flow'!J20/FX_EUR</f>
        <v>-52462.7936257001</v>
      </c>
      <c r="K20" s="16" t="n">
        <f aca="false">'Cash flow'!K20/FX_EUR</f>
        <v>-50025.193974478</v>
      </c>
      <c r="L20" s="16" t="n">
        <f aca="false">'Cash flow'!L20/FX_EUR</f>
        <v>-47592.5880352168</v>
      </c>
      <c r="M20" s="16" t="n">
        <f aca="false">'Cash flow'!M20/FX_EUR</f>
        <v>-45163.4271557694</v>
      </c>
      <c r="N20" s="16" t="n">
        <f aca="false">'Cash flow'!N20/FX_EUR</f>
        <v>-42736.0957653358</v>
      </c>
      <c r="O20" s="16" t="n">
        <f aca="false">'Cash flow'!O20/FX_EUR</f>
        <v>-39958.5900859544</v>
      </c>
      <c r="P20" s="16" t="n">
        <f aca="false">'Cash flow'!P20/FX_EUR</f>
        <v>-37078.7547588123</v>
      </c>
      <c r="Q20" s="16" t="n">
        <f aca="false">'Cash flow'!Q20/FX_EUR</f>
        <v>-56711.7580953517</v>
      </c>
      <c r="R20" s="16" t="n">
        <f aca="false">'Cash flow'!R20/FX_EUR</f>
        <v>-50920.1409400348</v>
      </c>
      <c r="S20" s="16" t="n">
        <f aca="false">'Cash flow'!S20/FX_EUR</f>
        <v>1775110.04111537</v>
      </c>
      <c r="T20" s="16" t="n">
        <f aca="false">'Cash flow'!T20/FX_EUR</f>
        <v>-82629.4676353765</v>
      </c>
      <c r="U20" s="16" t="n">
        <f aca="false">'Cash flow'!U20/FX_EUR</f>
        <v>-38554.7623705014</v>
      </c>
      <c r="V20" s="16" t="n">
        <f aca="false">'Cash flow'!V20/FX_EUR</f>
        <v>-50108.1322770472</v>
      </c>
      <c r="W20" s="16" t="n">
        <f aca="false">'Cash flow'!W20/FX_EUR</f>
        <v>-47930.9762690238</v>
      </c>
      <c r="X20" s="16" t="n">
        <f aca="false">'Cash flow'!X20/FX_EUR</f>
        <v>-43061.7338015355</v>
      </c>
      <c r="Y20" s="16" t="n">
        <f aca="false">'Cash flow'!Y20/FX_EUR</f>
        <v>-38501.8397520131</v>
      </c>
      <c r="Z20" s="16" t="n">
        <f aca="false">'Cash flow'!Z20/FX_EUR</f>
        <v>-30200.6989644354</v>
      </c>
      <c r="AA20" s="16" t="n">
        <f aca="false">'Cash flow'!AA20/FX_EUR</f>
        <v>-23305.641500452</v>
      </c>
      <c r="AB20" s="16" t="n">
        <f aca="false">'Cash flow'!AB20/FX_EUR</f>
        <v>812540.333107492</v>
      </c>
      <c r="AC20" s="16" t="n">
        <f aca="false">'Cash flow'!AC20/FX_EUR</f>
        <v>-70279.19153299</v>
      </c>
      <c r="AD20" s="16" t="n">
        <f aca="false">'Cash flow'!AD20/FX_EUR</f>
        <v>-33610.8751928275</v>
      </c>
      <c r="AE20" s="16" t="n">
        <f aca="false">'Cash flow'!AE20/FX_EUR</f>
        <v>-31703.6078525584</v>
      </c>
      <c r="AF20" s="16" t="n">
        <f aca="false">'Cash flow'!AF20/FX_EUR</f>
        <v>-39792.541272107</v>
      </c>
      <c r="AG20" s="16" t="n">
        <f aca="false">'Cash flow'!AG20/FX_EUR</f>
        <v>-41336.4564789726</v>
      </c>
      <c r="AH20" s="16" t="n">
        <f aca="false">'Cash flow'!AH20/FX_EUR</f>
        <v>-901.303954240888</v>
      </c>
      <c r="AI20" s="16" t="n">
        <f aca="false">'Cash flow'!AI20/FX_EUR</f>
        <v>6959.89463315945</v>
      </c>
      <c r="AJ20" s="16" t="n">
        <f aca="false">'Cash flow'!AJ20/FX_EUR</f>
        <v>17996.4599692705</v>
      </c>
      <c r="AK20" s="16" t="n">
        <f aca="false">'Cash flow'!AK20/FX_EUR</f>
        <v>32912.907351463</v>
      </c>
      <c r="AL20" s="16" t="n">
        <f aca="false">'Cash flow'!AL20/FX_EUR</f>
        <v>39568.6146969037</v>
      </c>
      <c r="AM20" s="16" t="n">
        <f aca="false">'Cash flow'!AM20/FX_EUR</f>
        <v>49936.6905927642</v>
      </c>
      <c r="AN20" s="16" t="n">
        <f aca="false">'Cash flow'!AN20/FX_EUR</f>
        <v>60297.8845652042</v>
      </c>
      <c r="AO20" s="16" t="n">
        <f aca="false">'Cash flow'!AO20/FX_EUR</f>
        <v>54612.7846479728</v>
      </c>
      <c r="AP20" s="16" t="n">
        <f aca="false">'Cash flow'!AP20/FX_EUR</f>
        <v>67968.1078142701</v>
      </c>
      <c r="AQ20" s="16" t="n">
        <f aca="false">'Cash flow'!AQ20/FX_EUR</f>
        <v>90999.9625421026</v>
      </c>
      <c r="AR20" s="16" t="n">
        <f aca="false">'Cash flow'!AR20/FX_EUR</f>
        <v>89548.1060614712</v>
      </c>
      <c r="AS20" s="16" t="n">
        <f aca="false">'Cash flow'!AS20/FX_EUR</f>
        <v>116582.882580318</v>
      </c>
      <c r="AT20" s="16" t="n">
        <f aca="false">'Cash flow'!AT20/FX_EUR</f>
        <v>82676.4457299201</v>
      </c>
      <c r="AU20" s="16" t="n">
        <f aca="false">'Cash flow'!AU20/FX_EUR</f>
        <v>89717.0064927729</v>
      </c>
      <c r="AV20" s="16" t="n">
        <f aca="false">'Cash flow'!AV20/FX_EUR</f>
        <v>99907.6624930094</v>
      </c>
      <c r="AW20" s="16" t="n">
        <f aca="false">'Cash flow'!AW20/FX_EUR</f>
        <v>108059.23080838</v>
      </c>
      <c r="AX20" s="16" t="n">
        <f aca="false">'Cash flow'!AX20/FX_EUR</f>
        <v>120551.573400662</v>
      </c>
      <c r="AY20" s="16" t="n">
        <f aca="false">'Cash flow'!AY20/FX_EUR</f>
        <v>133496.949819913</v>
      </c>
      <c r="AZ20" s="16" t="n">
        <f aca="false">'Cash flow'!AZ20/FX_EUR</f>
        <v>144559.899695951</v>
      </c>
      <c r="BA20" s="16" t="n">
        <f aca="false">'Cash flow'!BA20/FX_EUR</f>
        <v>138772.849733785</v>
      </c>
      <c r="BB20" s="16" t="n">
        <f aca="false">'Cash flow'!BB20/FX_EUR</f>
        <v>151358.394005143</v>
      </c>
      <c r="BC20" s="16" t="n">
        <f aca="false">'Cash flow'!BC20/FX_EUR</f>
        <v>165491.148731312</v>
      </c>
      <c r="BD20" s="16" t="n">
        <f aca="false">'Cash flow'!BD20/FX_EUR</f>
        <v>172093.97259475</v>
      </c>
      <c r="BE20" s="16" t="n">
        <f aca="false">'Cash flow'!BE20/FX_EUR</f>
        <v>192241.513265729</v>
      </c>
      <c r="BF20" s="16" t="n">
        <f aca="false">'Cash flow'!BF20/FX_EUR</f>
        <v>203309.203310614</v>
      </c>
      <c r="BG20" s="16" t="n">
        <f aca="false">'Cash flow'!BG20/FX_EUR</f>
        <v>217979.222693454</v>
      </c>
      <c r="BH20" s="16" t="n">
        <f aca="false">'Cash flow'!BH20/FX_EUR</f>
        <v>226184.130489738</v>
      </c>
      <c r="BI20" s="16" t="n">
        <f aca="false">'Cash flow'!BI20/FX_EUR</f>
        <v>241567.494304389</v>
      </c>
      <c r="BJ20" s="16" t="n">
        <f aca="false">'Cash flow'!BJ20/FX_EUR</f>
        <v>253912.362971652</v>
      </c>
      <c r="BK20" s="16" t="n">
        <f aca="false">'Cash flow'!BK20/FX_EUR</f>
        <v>269761.838106553</v>
      </c>
      <c r="BL20" s="16" t="n">
        <f aca="false">'Cash flow'!BL20/FX_EUR</f>
        <v>283639.671582534</v>
      </c>
    </row>
    <row r="22" customFormat="false" ht="15" hidden="false" customHeight="false" outlineLevel="0" collapsed="false">
      <c r="A22" s="10" t="s">
        <v>1258</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1259</v>
      </c>
      <c r="B23" s="14" t="s">
        <v>79</v>
      </c>
      <c r="E23" s="32" t="n">
        <f aca="false">'Cash flow'!E23/FX_EUR</f>
        <v>0</v>
      </c>
      <c r="F23" s="32" t="n">
        <f aca="false">'Cash flow'!F23/FX_EUR</f>
        <v>1322966.38458009</v>
      </c>
      <c r="G23" s="32" t="n">
        <f aca="false">'Cash flow'!G23/FX_EUR</f>
        <v>1261077.924056</v>
      </c>
      <c r="H23" s="32" t="n">
        <f aca="false">'Cash flow'!H23/FX_EUR</f>
        <v>1176779.45799801</v>
      </c>
      <c r="I23" s="32" t="n">
        <f aca="false">'Cash flow'!I23/FX_EUR</f>
        <v>1028867.1736562</v>
      </c>
      <c r="J23" s="32" t="n">
        <f aca="false">'Cash flow'!J23/FX_EUR</f>
        <v>973435.300751422</v>
      </c>
      <c r="K23" s="32" t="n">
        <f aca="false">'Cash flow'!K23/FX_EUR</f>
        <v>920972.507125721</v>
      </c>
      <c r="L23" s="32" t="n">
        <f aca="false">'Cash flow'!L23/FX_EUR</f>
        <v>870947.313151243</v>
      </c>
      <c r="M23" s="32" t="n">
        <f aca="false">'Cash flow'!M23/FX_EUR</f>
        <v>823354.725116027</v>
      </c>
      <c r="N23" s="32" t="n">
        <f aca="false">'Cash flow'!N23/FX_EUR</f>
        <v>778191.297960257</v>
      </c>
      <c r="O23" s="32" t="n">
        <f aca="false">'Cash flow'!O23/FX_EUR</f>
        <v>735455.202194921</v>
      </c>
      <c r="P23" s="32" t="n">
        <f aca="false">'Cash flow'!P23/FX_EUR</f>
        <v>695496.612108967</v>
      </c>
      <c r="Q23" s="32" t="n">
        <f aca="false">'Cash flow'!Q23/FX_EUR</f>
        <v>658417.857350155</v>
      </c>
      <c r="R23" s="32" t="n">
        <f aca="false">'Cash flow'!R23/FX_EUR</f>
        <v>601706.099254803</v>
      </c>
      <c r="S23" s="32" t="n">
        <f aca="false">'Cash flow'!S23/FX_EUR</f>
        <v>550785.958314768</v>
      </c>
      <c r="T23" s="32" t="n">
        <f aca="false">'Cash flow'!T23/FX_EUR</f>
        <v>2325895.99943014</v>
      </c>
      <c r="U23" s="32" t="n">
        <f aca="false">'Cash flow'!U23/FX_EUR</f>
        <v>2243266.53179476</v>
      </c>
      <c r="V23" s="32" t="n">
        <f aca="false">'Cash flow'!V23/FX_EUR</f>
        <v>2204711.76942426</v>
      </c>
      <c r="W23" s="32" t="n">
        <f aca="false">'Cash flow'!W23/FX_EUR</f>
        <v>2154603.63714722</v>
      </c>
      <c r="X23" s="32" t="n">
        <f aca="false">'Cash flow'!X23/FX_EUR</f>
        <v>2106672.66087819</v>
      </c>
      <c r="Y23" s="32" t="n">
        <f aca="false">'Cash flow'!Y23/FX_EUR</f>
        <v>2063610.92707666</v>
      </c>
      <c r="Z23" s="32" t="n">
        <f aca="false">'Cash flow'!Z23/FX_EUR</f>
        <v>2025109.08732464</v>
      </c>
      <c r="AA23" s="32" t="n">
        <f aca="false">'Cash flow'!AA23/FX_EUR</f>
        <v>1994908.38836021</v>
      </c>
      <c r="AB23" s="32" t="n">
        <f aca="false">'Cash flow'!AB23/FX_EUR</f>
        <v>1971602.74685976</v>
      </c>
      <c r="AC23" s="32" t="n">
        <f aca="false">'Cash flow'!AC23/FX_EUR</f>
        <v>2784143.07996725</v>
      </c>
      <c r="AD23" s="32" t="n">
        <f aca="false">'Cash flow'!AD23/FX_EUR</f>
        <v>2713863.88843426</v>
      </c>
      <c r="AE23" s="32" t="n">
        <f aca="false">'Cash flow'!AE23/FX_EUR</f>
        <v>2680253.01324143</v>
      </c>
      <c r="AF23" s="32" t="n">
        <f aca="false">'Cash flow'!AF23/FX_EUR</f>
        <v>2648549.40538887</v>
      </c>
      <c r="AG23" s="32" t="n">
        <f aca="false">'Cash flow'!AG23/FX_EUR</f>
        <v>2608756.86411676</v>
      </c>
      <c r="AH23" s="32" t="n">
        <f aca="false">'Cash flow'!AH23/FX_EUR</f>
        <v>2567420.40763779</v>
      </c>
      <c r="AI23" s="32" t="n">
        <f aca="false">'Cash flow'!AI23/FX_EUR</f>
        <v>2566519.10368355</v>
      </c>
      <c r="AJ23" s="32" t="n">
        <f aca="false">'Cash flow'!AJ23/FX_EUR</f>
        <v>2573478.99831671</v>
      </c>
      <c r="AK23" s="32" t="n">
        <f aca="false">'Cash flow'!AK23/FX_EUR</f>
        <v>2591475.45828598</v>
      </c>
      <c r="AL23" s="32" t="n">
        <f aca="false">'Cash flow'!AL23/FX_EUR</f>
        <v>2624388.36563744</v>
      </c>
      <c r="AM23" s="32" t="n">
        <f aca="false">'Cash flow'!AM23/FX_EUR</f>
        <v>2663956.98033435</v>
      </c>
      <c r="AN23" s="32" t="n">
        <f aca="false">'Cash flow'!AN23/FX_EUR</f>
        <v>2713893.67092711</v>
      </c>
      <c r="AO23" s="32" t="n">
        <f aca="false">'Cash flow'!AO23/FX_EUR</f>
        <v>2774191.55549232</v>
      </c>
      <c r="AP23" s="32" t="n">
        <f aca="false">'Cash flow'!AP23/FX_EUR</f>
        <v>2828804.34014029</v>
      </c>
      <c r="AQ23" s="32" t="n">
        <f aca="false">'Cash flow'!AQ23/FX_EUR</f>
        <v>2896772.44795456</v>
      </c>
      <c r="AR23" s="32" t="n">
        <f aca="false">'Cash flow'!AR23/FX_EUR</f>
        <v>2987772.41049666</v>
      </c>
      <c r="AS23" s="32" t="n">
        <f aca="false">'Cash flow'!AS23/FX_EUR</f>
        <v>3077320.51655813</v>
      </c>
      <c r="AT23" s="32" t="n">
        <f aca="false">'Cash flow'!AT23/FX_EUR</f>
        <v>3193903.39913845</v>
      </c>
      <c r="AU23" s="32" t="n">
        <f aca="false">'Cash flow'!AU23/FX_EUR</f>
        <v>3276579.84486837</v>
      </c>
      <c r="AV23" s="32" t="n">
        <f aca="false">'Cash flow'!AV23/FX_EUR</f>
        <v>3366296.85136114</v>
      </c>
      <c r="AW23" s="32" t="n">
        <f aca="false">'Cash flow'!AW23/FX_EUR</f>
        <v>3466204.51385415</v>
      </c>
      <c r="AX23" s="32" t="n">
        <f aca="false">'Cash flow'!AX23/FX_EUR</f>
        <v>3574263.74466253</v>
      </c>
      <c r="AY23" s="32" t="n">
        <f aca="false">'Cash flow'!AY23/FX_EUR</f>
        <v>3694815.3180632</v>
      </c>
      <c r="AZ23" s="32" t="n">
        <f aca="false">'Cash flow'!AZ23/FX_EUR</f>
        <v>3828312.26788311</v>
      </c>
      <c r="BA23" s="32" t="n">
        <f aca="false">'Cash flow'!BA23/FX_EUR</f>
        <v>3972872.16757906</v>
      </c>
      <c r="BB23" s="32" t="n">
        <f aca="false">'Cash flow'!BB23/FX_EUR</f>
        <v>4111645.01731285</v>
      </c>
      <c r="BC23" s="32" t="n">
        <f aca="false">'Cash flow'!BC23/FX_EUR</f>
        <v>4263003.41131799</v>
      </c>
      <c r="BD23" s="32" t="n">
        <f aca="false">'Cash flow'!BD23/FX_EUR</f>
        <v>4428494.5600493</v>
      </c>
      <c r="BE23" s="32" t="n">
        <f aca="false">'Cash flow'!BE23/FX_EUR</f>
        <v>4600588.53264405</v>
      </c>
      <c r="BF23" s="32" t="n">
        <f aca="false">'Cash flow'!BF23/FX_EUR</f>
        <v>4792830.04590978</v>
      </c>
      <c r="BG23" s="32" t="n">
        <f aca="false">'Cash flow'!BG23/FX_EUR</f>
        <v>4996139.24922039</v>
      </c>
      <c r="BH23" s="32" t="n">
        <f aca="false">'Cash flow'!BH23/FX_EUR</f>
        <v>5214118.47191385</v>
      </c>
      <c r="BI23" s="32" t="n">
        <f aca="false">'Cash flow'!BI23/FX_EUR</f>
        <v>5440302.60240359</v>
      </c>
      <c r="BJ23" s="32" t="n">
        <f aca="false">'Cash flow'!BJ23/FX_EUR</f>
        <v>5681870.09670798</v>
      </c>
      <c r="BK23" s="32" t="n">
        <f aca="false">'Cash flow'!BK23/FX_EUR</f>
        <v>5935782.45967963</v>
      </c>
      <c r="BL23" s="32" t="n">
        <f aca="false">'Cash flow'!BL23/FX_EUR</f>
        <v>6205544.29778618</v>
      </c>
    </row>
    <row r="24" customFormat="false" ht="15" hidden="false" customHeight="false" outlineLevel="0" collapsed="false">
      <c r="A24" s="8" t="s">
        <v>101</v>
      </c>
      <c r="B24" s="14" t="s">
        <v>79</v>
      </c>
      <c r="D24" s="55" t="n">
        <f aca="false">'Cash flow'!D24/FX_EUR</f>
        <v>6489183.96936871</v>
      </c>
      <c r="E24" s="16" t="n">
        <f aca="false">'Cash flow'!E24/FX_EUR</f>
        <v>1322966.38458009</v>
      </c>
      <c r="F24" s="16" t="n">
        <f aca="false">'Cash flow'!F24/FX_EUR</f>
        <v>1261077.924056</v>
      </c>
      <c r="G24" s="16" t="n">
        <f aca="false">'Cash flow'!G24/FX_EUR</f>
        <v>1176779.45799801</v>
      </c>
      <c r="H24" s="16" t="n">
        <f aca="false">'Cash flow'!H24/FX_EUR</f>
        <v>1028867.1736562</v>
      </c>
      <c r="I24" s="16" t="n">
        <f aca="false">'Cash flow'!I24/FX_EUR</f>
        <v>973435.300751422</v>
      </c>
      <c r="J24" s="16" t="n">
        <f aca="false">'Cash flow'!J24/FX_EUR</f>
        <v>920972.507125721</v>
      </c>
      <c r="K24" s="16" t="n">
        <f aca="false">'Cash flow'!K24/FX_EUR</f>
        <v>870947.313151243</v>
      </c>
      <c r="L24" s="16" t="n">
        <f aca="false">'Cash flow'!L24/FX_EUR</f>
        <v>823354.725116027</v>
      </c>
      <c r="M24" s="16" t="n">
        <f aca="false">'Cash flow'!M24/FX_EUR</f>
        <v>778191.297960257</v>
      </c>
      <c r="N24" s="16" t="n">
        <f aca="false">'Cash flow'!N24/FX_EUR</f>
        <v>735455.202194921</v>
      </c>
      <c r="O24" s="16" t="n">
        <f aca="false">'Cash flow'!O24/FX_EUR</f>
        <v>695496.612108967</v>
      </c>
      <c r="P24" s="16" t="n">
        <f aca="false">'Cash flow'!P24/FX_EUR</f>
        <v>658417.857350155</v>
      </c>
      <c r="Q24" s="16" t="n">
        <f aca="false">'Cash flow'!Q24/FX_EUR</f>
        <v>601706.099254803</v>
      </c>
      <c r="R24" s="16" t="n">
        <f aca="false">'Cash flow'!R24/FX_EUR</f>
        <v>550785.958314768</v>
      </c>
      <c r="S24" s="16" t="n">
        <f aca="false">'Cash flow'!S24/FX_EUR</f>
        <v>2325895.99943014</v>
      </c>
      <c r="T24" s="16" t="n">
        <f aca="false">'Cash flow'!T24/FX_EUR</f>
        <v>2243266.53179476</v>
      </c>
      <c r="U24" s="16" t="n">
        <f aca="false">'Cash flow'!U24/FX_EUR</f>
        <v>2204711.76942426</v>
      </c>
      <c r="V24" s="16" t="n">
        <f aca="false">'Cash flow'!V24/FX_EUR</f>
        <v>2154603.63714722</v>
      </c>
      <c r="W24" s="16" t="n">
        <f aca="false">'Cash flow'!W24/FX_EUR</f>
        <v>2106672.66087819</v>
      </c>
      <c r="X24" s="16" t="n">
        <f aca="false">'Cash flow'!X24/FX_EUR</f>
        <v>2063610.92707666</v>
      </c>
      <c r="Y24" s="16" t="n">
        <f aca="false">'Cash flow'!Y24/FX_EUR</f>
        <v>2025109.08732464</v>
      </c>
      <c r="Z24" s="16" t="n">
        <f aca="false">'Cash flow'!Z24/FX_EUR</f>
        <v>1994908.38836021</v>
      </c>
      <c r="AA24" s="16" t="n">
        <f aca="false">'Cash flow'!AA24/FX_EUR</f>
        <v>1971602.74685976</v>
      </c>
      <c r="AB24" s="16" t="n">
        <f aca="false">'Cash flow'!AB24/FX_EUR</f>
        <v>2784143.07996725</v>
      </c>
      <c r="AC24" s="16" t="n">
        <f aca="false">'Cash flow'!AC24/FX_EUR</f>
        <v>2713863.88843426</v>
      </c>
      <c r="AD24" s="16" t="n">
        <f aca="false">'Cash flow'!AD24/FX_EUR</f>
        <v>2680253.01324143</v>
      </c>
      <c r="AE24" s="16" t="n">
        <f aca="false">'Cash flow'!AE24/FX_EUR</f>
        <v>2648549.40538887</v>
      </c>
      <c r="AF24" s="16" t="n">
        <f aca="false">'Cash flow'!AF24/FX_EUR</f>
        <v>2608756.86411676</v>
      </c>
      <c r="AG24" s="16" t="n">
        <f aca="false">'Cash flow'!AG24/FX_EUR</f>
        <v>2567420.40763779</v>
      </c>
      <c r="AH24" s="16" t="n">
        <f aca="false">'Cash flow'!AH24/FX_EUR</f>
        <v>2566519.10368355</v>
      </c>
      <c r="AI24" s="16" t="n">
        <f aca="false">'Cash flow'!AI24/FX_EUR</f>
        <v>2573478.99831671</v>
      </c>
      <c r="AJ24" s="16" t="n">
        <f aca="false">'Cash flow'!AJ24/FX_EUR</f>
        <v>2591475.45828598</v>
      </c>
      <c r="AK24" s="16" t="n">
        <f aca="false">'Cash flow'!AK24/FX_EUR</f>
        <v>2624388.36563744</v>
      </c>
      <c r="AL24" s="16" t="n">
        <f aca="false">'Cash flow'!AL24/FX_EUR</f>
        <v>2663956.98033435</v>
      </c>
      <c r="AM24" s="16" t="n">
        <f aca="false">'Cash flow'!AM24/FX_EUR</f>
        <v>2713893.67092711</v>
      </c>
      <c r="AN24" s="16" t="n">
        <f aca="false">'Cash flow'!AN24/FX_EUR</f>
        <v>2774191.55549232</v>
      </c>
      <c r="AO24" s="16" t="n">
        <f aca="false">'Cash flow'!AO24/FX_EUR</f>
        <v>2828804.34014029</v>
      </c>
      <c r="AP24" s="16" t="n">
        <f aca="false">'Cash flow'!AP24/FX_EUR</f>
        <v>2896772.44795456</v>
      </c>
      <c r="AQ24" s="16" t="n">
        <f aca="false">'Cash flow'!AQ24/FX_EUR</f>
        <v>2987772.41049666</v>
      </c>
      <c r="AR24" s="16" t="n">
        <f aca="false">'Cash flow'!AR24/FX_EUR</f>
        <v>3077320.51655813</v>
      </c>
      <c r="AS24" s="16" t="n">
        <f aca="false">'Cash flow'!AS24/FX_EUR</f>
        <v>3193903.39913845</v>
      </c>
      <c r="AT24" s="16" t="n">
        <f aca="false">'Cash flow'!AT24/FX_EUR</f>
        <v>3276579.84486837</v>
      </c>
      <c r="AU24" s="16" t="n">
        <f aca="false">'Cash flow'!AU24/FX_EUR</f>
        <v>3366296.85136114</v>
      </c>
      <c r="AV24" s="16" t="n">
        <f aca="false">'Cash flow'!AV24/FX_EUR</f>
        <v>3466204.51385415</v>
      </c>
      <c r="AW24" s="16" t="n">
        <f aca="false">'Cash flow'!AW24/FX_EUR</f>
        <v>3574263.74466253</v>
      </c>
      <c r="AX24" s="16" t="n">
        <f aca="false">'Cash flow'!AX24/FX_EUR</f>
        <v>3694815.3180632</v>
      </c>
      <c r="AY24" s="16" t="n">
        <f aca="false">'Cash flow'!AY24/FX_EUR</f>
        <v>3828312.26788311</v>
      </c>
      <c r="AZ24" s="16" t="n">
        <f aca="false">'Cash flow'!AZ24/FX_EUR</f>
        <v>3972872.16757906</v>
      </c>
      <c r="BA24" s="16" t="n">
        <f aca="false">'Cash flow'!BA24/FX_EUR</f>
        <v>4111645.01731285</v>
      </c>
      <c r="BB24" s="16" t="n">
        <f aca="false">'Cash flow'!BB24/FX_EUR</f>
        <v>4263003.41131799</v>
      </c>
      <c r="BC24" s="16" t="n">
        <f aca="false">'Cash flow'!BC24/FX_EUR</f>
        <v>4428494.5600493</v>
      </c>
      <c r="BD24" s="16" t="n">
        <f aca="false">'Cash flow'!BD24/FX_EUR</f>
        <v>4600588.53264405</v>
      </c>
      <c r="BE24" s="16" t="n">
        <f aca="false">'Cash flow'!BE24/FX_EUR</f>
        <v>4792830.04590978</v>
      </c>
      <c r="BF24" s="16" t="n">
        <f aca="false">'Cash flow'!BF24/FX_EUR</f>
        <v>4996139.24922039</v>
      </c>
      <c r="BG24" s="16" t="n">
        <f aca="false">'Cash flow'!BG24/FX_EUR</f>
        <v>5214118.47191385</v>
      </c>
      <c r="BH24" s="16" t="n">
        <f aca="false">'Cash flow'!BH24/FX_EUR</f>
        <v>5440302.60240359</v>
      </c>
      <c r="BI24" s="16" t="n">
        <f aca="false">'Cash flow'!BI24/FX_EUR</f>
        <v>5681870.09670798</v>
      </c>
      <c r="BJ24" s="16" t="n">
        <f aca="false">'Cash flow'!BJ24/FX_EUR</f>
        <v>5935782.45967963</v>
      </c>
      <c r="BK24" s="16" t="n">
        <f aca="false">'Cash flow'!BK24/FX_EUR</f>
        <v>6205544.29778618</v>
      </c>
      <c r="BL24" s="16" t="n">
        <f aca="false">'Cash flow'!BL24/FX_EUR</f>
        <v>6489183.96936871</v>
      </c>
    </row>
    <row r="25" customFormat="false" ht="15" hidden="false" customHeight="false" outlineLevel="0" collapsed="false">
      <c r="A25" s="12" t="s">
        <v>1260</v>
      </c>
      <c r="B25" s="14" t="s">
        <v>79</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1261</v>
      </c>
      <c r="B26" s="14" t="s">
        <v>79</v>
      </c>
      <c r="E26" s="32" t="n">
        <f aca="false">'Cash flow'!E26/FX_EUR</f>
        <v>49074.7705566066</v>
      </c>
      <c r="F26" s="32" t="n">
        <f aca="false">'Cash flow'!F26/FX_EUR</f>
        <v>61888.4605240892</v>
      </c>
      <c r="G26" s="32" t="n">
        <f aca="false">'Cash flow'!G26/FX_EUR</f>
        <v>65087.2323795615</v>
      </c>
      <c r="H26" s="32" t="n">
        <f aca="false">'Cash flow'!H26/FX_EUR</f>
        <v>98033.0703079623</v>
      </c>
      <c r="I26" s="32" t="n">
        <f aca="false">'Cash flow'!I26/FX_EUR</f>
        <v>95880.8744348588</v>
      </c>
      <c r="J26" s="32" t="n">
        <f aca="false">'Cash flow'!J26/FX_EUR</f>
        <v>85268.983624096</v>
      </c>
      <c r="K26" s="32" t="n">
        <f aca="false">'Cash flow'!K26/FX_EUR</f>
        <v>52639.9535016523</v>
      </c>
      <c r="L26" s="32" t="n">
        <f aca="false">'Cash flow'!L26/FX_EUR</f>
        <v>50026.8585451316</v>
      </c>
      <c r="M26" s="32" t="n">
        <f aca="false">'Cash flow'!M26/FX_EUR</f>
        <v>47593.7363884881</v>
      </c>
      <c r="N26" s="32" t="n">
        <f aca="false">'Cash flow'!N26/FX_EUR</f>
        <v>45164.0369854406</v>
      </c>
      <c r="O26" s="32" t="n">
        <f aca="false">'Cash flow'!O26/FX_EUR</f>
        <v>42619.3710023532</v>
      </c>
      <c r="P26" s="32" t="n">
        <f aca="false">'Cash flow'!P26/FX_EUR</f>
        <v>39924.4802033675</v>
      </c>
      <c r="Q26" s="32" t="n">
        <f aca="false">'Cash flow'!Q26/FX_EUR</f>
        <v>44583.0343133728</v>
      </c>
      <c r="R26" s="32" t="n">
        <f aca="false">'Cash flow'!R26/FX_EUR</f>
        <v>48236.8845980663</v>
      </c>
      <c r="S26" s="32" t="n">
        <f aca="false">'Cash flow'!S26/FX_EUR</f>
        <v>53970.0215896463</v>
      </c>
      <c r="T26" s="32" t="n">
        <f aca="false">'Cash flow'!T26/FX_EUR</f>
        <v>62609.2581029879</v>
      </c>
      <c r="U26" s="32" t="n">
        <f aca="false">'Cash flow'!U26/FX_EUR</f>
        <v>58487.4652464767</v>
      </c>
      <c r="V26" s="32" t="n">
        <f aca="false">'Cash flow'!V26/FX_EUR</f>
        <v>57097.4540943084</v>
      </c>
      <c r="W26" s="32" t="n">
        <f aca="false">'Cash flow'!W26/FX_EUR</f>
        <v>45531.2903055241</v>
      </c>
      <c r="X26" s="32" t="n">
        <f aca="false">'Cash flow'!X26/FX_EUR</f>
        <v>47033.6141158689</v>
      </c>
      <c r="Y26" s="32" t="n">
        <f aca="false">'Cash flow'!Y26/FX_EUR</f>
        <v>43164.8499408575</v>
      </c>
      <c r="Z26" s="32" t="n">
        <f aca="false">'Cash flow'!Z26/FX_EUR</f>
        <v>37254.7575059947</v>
      </c>
      <c r="AA26" s="32" t="n">
        <f aca="false">'Cash flow'!AA26/FX_EUR</f>
        <v>30669.3934056335</v>
      </c>
      <c r="AB26" s="32" t="n">
        <f aca="false">'Cash flow'!AB26/FX_EUR</f>
        <v>356784.738068773</v>
      </c>
      <c r="AC26" s="32" t="n">
        <f aca="false">'Cash flow'!AC26/FX_EUR</f>
        <v>370144.235591625</v>
      </c>
      <c r="AD26" s="32" t="n">
        <f aca="false">'Cash flow'!AD26/FX_EUR</f>
        <v>373579.313489083</v>
      </c>
      <c r="AE26" s="32" t="n">
        <f aca="false">'Cash flow'!AE26/FX_EUR</f>
        <v>45197.8915261253</v>
      </c>
      <c r="AF26" s="32" t="n">
        <f aca="false">'Cash flow'!AF26/FX_EUR</f>
        <v>35035.6747724976</v>
      </c>
      <c r="AG26" s="32" t="n">
        <f aca="false">'Cash flow'!AG26/FX_EUR</f>
        <v>37610.868534546</v>
      </c>
      <c r="AH26" s="32" t="n">
        <f aca="false">'Cash flow'!AH26/FX_EUR</f>
        <v>27343.4339017735</v>
      </c>
      <c r="AI26" s="32" t="n">
        <f aca="false">'Cash flow'!AI26/FX_EUR</f>
        <v>11759.288600018</v>
      </c>
      <c r="AJ26" s="32" t="n">
        <f aca="false">'Cash flow'!AJ26/FX_EUR</f>
        <v>0</v>
      </c>
      <c r="AK26" s="32" t="n">
        <f aca="false">'Cash flow'!AK26/FX_EUR</f>
        <v>0</v>
      </c>
      <c r="AL26" s="32" t="n">
        <f aca="false">'Cash flow'!AL26/FX_EUR</f>
        <v>0</v>
      </c>
      <c r="AM26" s="32" t="n">
        <f aca="false">'Cash flow'!AM26/FX_EUR</f>
        <v>0</v>
      </c>
      <c r="AN26" s="32" t="n">
        <f aca="false">'Cash flow'!AN26/FX_EUR</f>
        <v>0</v>
      </c>
      <c r="AO26" s="32" t="n">
        <f aca="false">'Cash flow'!AO26/FX_EUR</f>
        <v>0</v>
      </c>
      <c r="AP26" s="32" t="n">
        <f aca="false">'Cash flow'!AP26/FX_EUR</f>
        <v>0</v>
      </c>
      <c r="AQ26" s="32" t="n">
        <f aca="false">'Cash flow'!AQ26/FX_EUR</f>
        <v>0</v>
      </c>
      <c r="AR26" s="32" t="n">
        <f aca="false">'Cash flow'!AR26/FX_EUR</f>
        <v>0</v>
      </c>
      <c r="AS26" s="32" t="n">
        <f aca="false">'Cash flow'!AS26/FX_EUR</f>
        <v>0</v>
      </c>
      <c r="AT26" s="32" t="n">
        <f aca="false">'Cash flow'!AT26/FX_EUR</f>
        <v>0</v>
      </c>
      <c r="AU26" s="32" t="n">
        <f aca="false">'Cash flow'!AU26/FX_EUR</f>
        <v>0</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1265</v>
      </c>
    </row>
    <row r="2" customFormat="false" ht="15" hidden="false" customHeight="false" outlineLevel="0" collapsed="false">
      <c r="A2" s="2" t="s">
        <v>1266</v>
      </c>
    </row>
    <row r="4" customFormat="false" ht="15" hidden="false" customHeight="false" outlineLevel="0" collapsed="false">
      <c r="A4" s="0" t="s">
        <v>87</v>
      </c>
      <c r="D4" s="54" t="n">
        <v>1</v>
      </c>
      <c r="E4" s="54" t="n">
        <v>2</v>
      </c>
      <c r="F4" s="54" t="n">
        <v>3</v>
      </c>
      <c r="G4" s="54" t="n">
        <v>4</v>
      </c>
      <c r="H4" s="54" t="n">
        <v>5</v>
      </c>
      <c r="J4" s="21" t="s">
        <v>1122</v>
      </c>
      <c r="K4" s="21" t="s">
        <v>1123</v>
      </c>
      <c r="L4" s="21" t="s">
        <v>1124</v>
      </c>
      <c r="M4" s="21" t="s">
        <v>1125</v>
      </c>
      <c r="N4" s="21" t="s">
        <v>1126</v>
      </c>
    </row>
    <row r="7" customFormat="false" ht="15" hidden="false" customHeight="false" outlineLevel="0" collapsed="false">
      <c r="A7" s="10" t="s">
        <v>1267</v>
      </c>
      <c r="B7" s="11"/>
      <c r="C7" s="11"/>
      <c r="D7" s="11"/>
      <c r="E7" s="11"/>
      <c r="F7" s="11"/>
      <c r="G7" s="11"/>
      <c r="H7" s="11"/>
    </row>
    <row r="8" customFormat="false" ht="15" hidden="false" customHeight="false" outlineLevel="0" collapsed="false">
      <c r="A8" s="12" t="s">
        <v>1268</v>
      </c>
      <c r="B8" s="14" t="s">
        <v>89</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969</v>
      </c>
      <c r="B9" s="14" t="s">
        <v>89</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1269</v>
      </c>
      <c r="B10" s="14" t="s">
        <v>89</v>
      </c>
      <c r="D10" s="32" t="n">
        <f aca="false">MAX(0,SUMIF('Sales &amp; marketing'!$E$5:$BL$5,D$4,'Sales &amp; marketing'!$E$33:$BL$33)-('P&amp;L annual'!D56-IF(D$4=1,0,INDEX('P&amp;L annual'!$D$56:$H$56,1,D$4-1))))</f>
        <v>22.5301116732933</v>
      </c>
      <c r="E10" s="32" t="n">
        <f aca="false">MAX(0,SUMIF('Sales &amp; marketing'!$E$5:$BL$5,E$4,'Sales &amp; marketing'!$E$33:$BL$33)-('P&amp;L annual'!E56-IF(E$4=1,0,INDEX('P&amp;L annual'!$D$56:$H$56,1,E$4-1))))</f>
        <v>156.340458765094</v>
      </c>
      <c r="F10" s="32" t="n">
        <f aca="false">MAX(0,SUMIF('Sales &amp; marketing'!$E$5:$BL$5,F$4,'Sales &amp; marketing'!$E$33:$BL$33)-('P&amp;L annual'!F56-IF(F$4=1,0,INDEX('P&amp;L annual'!$D$56:$H$56,1,F$4-1))))</f>
        <v>441.748448018123</v>
      </c>
      <c r="G10" s="32" t="n">
        <f aca="false">MAX(0,SUMIF('Sales &amp; marketing'!$E$5:$BL$5,G$4,'Sales &amp; marketing'!$E$33:$BL$33)-('P&amp;L annual'!G56-IF(G$4=1,0,INDEX('P&amp;L annual'!$D$56:$H$56,1,G$4-1))))</f>
        <v>874.692188099485</v>
      </c>
      <c r="H10" s="32" t="n">
        <f aca="false">MAX(0,SUMIF('Sales &amp; marketing'!$E$5:$BL$5,H$4,'Sales &amp; marketing'!$E$33:$BL$33)-('P&amp;L annual'!H56-IF(H$4=1,0,INDEX('P&amp;L annual'!$D$56:$H$56,1,H$4-1))))</f>
        <v>1462.47937447252</v>
      </c>
    </row>
    <row r="12" customFormat="false" ht="15" hidden="false" customHeight="false" outlineLevel="0" collapsed="false">
      <c r="A12" s="10" t="s">
        <v>1270</v>
      </c>
      <c r="B12" s="11"/>
      <c r="C12" s="11"/>
      <c r="D12" s="11"/>
      <c r="E12" s="11"/>
      <c r="F12" s="11"/>
      <c r="G12" s="11"/>
      <c r="H12" s="11"/>
    </row>
    <row r="13" customFormat="false" ht="15" hidden="false" customHeight="false" outlineLevel="0" collapsed="false">
      <c r="A13" s="8" t="s">
        <v>1271</v>
      </c>
      <c r="B13" s="14" t="s">
        <v>104</v>
      </c>
      <c r="D13" s="16" t="n">
        <f aca="false">IFERROR('P&amp;L annual'!D23/D8/12,0)</f>
        <v>66784.1582599429</v>
      </c>
      <c r="E13" s="16" t="n">
        <f aca="false">IFERROR('P&amp;L annual'!E23/E8/12,0)</f>
        <v>84691.9253986663</v>
      </c>
      <c r="F13" s="16" t="n">
        <f aca="false">IFERROR('P&amp;L annual'!F23/F8/12,0)</f>
        <v>99900.3216361085</v>
      </c>
      <c r="G13" s="16" t="n">
        <f aca="false">IFERROR('P&amp;L annual'!G23/G8/12,0)</f>
        <v>102915.298978569</v>
      </c>
      <c r="H13" s="16" t="n">
        <f aca="false">IFERROR('P&amp;L annual'!H23/H8/12,0)</f>
        <v>104367.966143933</v>
      </c>
      <c r="J13" s="24" t="n">
        <f aca="false">D13/FX_EUR</f>
        <v>101.81179293756</v>
      </c>
      <c r="K13" s="24" t="n">
        <f aca="false">E13/FX_EUR</f>
        <v>129.112007949707</v>
      </c>
      <c r="L13" s="24" t="n">
        <f aca="false">F13/FX_EUR</f>
        <v>152.297058551259</v>
      </c>
      <c r="M13" s="24" t="n">
        <f aca="false">G13/FX_EUR</f>
        <v>156.893361879771</v>
      </c>
      <c r="N13" s="24" t="n">
        <f aca="false">H13/FX_EUR</f>
        <v>159.107938697099</v>
      </c>
    </row>
    <row r="14" customFormat="false" ht="15" hidden="false" customHeight="false" outlineLevel="0" collapsed="false">
      <c r="A14" s="12" t="s">
        <v>1272</v>
      </c>
      <c r="B14" s="14" t="s">
        <v>104</v>
      </c>
      <c r="D14" s="32" t="n">
        <f aca="false">IFERROR('P&amp;L annual'!D9/D8/12,0)</f>
        <v>13782.4113199888</v>
      </c>
      <c r="E14" s="32" t="n">
        <f aca="false">IFERROR('P&amp;L annual'!E9/E8/12,0)</f>
        <v>16175.1335505092</v>
      </c>
      <c r="F14" s="32" t="n">
        <f aca="false">IFERROR('P&amp;L annual'!F9/F8/12,0)</f>
        <v>16934.1896257655</v>
      </c>
      <c r="G14" s="32" t="n">
        <f aca="false">IFERROR('P&amp;L annual'!G9/G8/12,0)</f>
        <v>17440.5546065069</v>
      </c>
      <c r="H14" s="32" t="n">
        <f aca="false">IFERROR('P&amp;L annual'!H9/H8/12,0)</f>
        <v>17823.2228031118</v>
      </c>
      <c r="J14" s="24" t="n">
        <f aca="false">D14/FX_EUR</f>
        <v>21.0111506089406</v>
      </c>
      <c r="K14" s="24" t="n">
        <f aca="false">E14/FX_EUR</f>
        <v>24.6588321345899</v>
      </c>
      <c r="L14" s="24" t="n">
        <f aca="false">F14/FX_EUR</f>
        <v>25.816005661599</v>
      </c>
      <c r="M14" s="24" t="n">
        <f aca="false">G14/FX_EUR</f>
        <v>26.5879540983737</v>
      </c>
      <c r="N14" s="24" t="n">
        <f aca="false">H14/FX_EUR</f>
        <v>27.171328003378</v>
      </c>
    </row>
    <row r="15" customFormat="false" ht="15" hidden="false" customHeight="false" outlineLevel="0" collapsed="false">
      <c r="A15" s="12" t="s">
        <v>807</v>
      </c>
      <c r="B15" s="14" t="s">
        <v>104</v>
      </c>
      <c r="D15" s="32" t="n">
        <f aca="false">IFERROR('P&amp;L annual'!D31/D8/12,0)</f>
        <v>45082.7090217</v>
      </c>
      <c r="E15" s="32" t="n">
        <f aca="false">IFERROR('P&amp;L annual'!E31/E8/12,0)</f>
        <v>48631.6066772825</v>
      </c>
      <c r="F15" s="32" t="n">
        <f aca="false">IFERROR('P&amp;L annual'!F31/F8/12,0)</f>
        <v>54812.2781993033</v>
      </c>
      <c r="G15" s="32" t="n">
        <f aca="false">IFERROR('P&amp;L annual'!G31/G8/12,0)</f>
        <v>55447.8626770313</v>
      </c>
      <c r="H15" s="32" t="n">
        <f aca="false">IFERROR('P&amp;L annual'!H31/H8/12,0)</f>
        <v>55941.6632745482</v>
      </c>
      <c r="J15" s="24" t="n">
        <f aca="false">D15/FX_EUR</f>
        <v>68.728146847583</v>
      </c>
      <c r="K15" s="24" t="n">
        <f aca="false">E15/FX_EUR</f>
        <v>74.1384064462801</v>
      </c>
      <c r="L15" s="24" t="n">
        <f aca="false">F15/FX_EUR</f>
        <v>83.5607794402732</v>
      </c>
      <c r="M15" s="24" t="n">
        <f aca="false">G15/FX_EUR</f>
        <v>84.5297217302831</v>
      </c>
      <c r="N15" s="24" t="n">
        <f aca="false">H15/FX_EUR</f>
        <v>85.2825158883101</v>
      </c>
    </row>
    <row r="16" customFormat="false" ht="15" hidden="false" customHeight="false" outlineLevel="0" collapsed="false">
      <c r="A16" s="8" t="s">
        <v>1273</v>
      </c>
      <c r="B16" s="14" t="s">
        <v>104</v>
      </c>
      <c r="D16" s="16" t="n">
        <f aca="false">D13-D15</f>
        <v>21701.4492382429</v>
      </c>
      <c r="E16" s="16" t="n">
        <f aca="false">E13-E15</f>
        <v>36060.3187213837</v>
      </c>
      <c r="F16" s="16" t="n">
        <f aca="false">F13-F15</f>
        <v>45088.0434368052</v>
      </c>
      <c r="G16" s="16" t="n">
        <f aca="false">G13-G15</f>
        <v>47467.4363015378</v>
      </c>
      <c r="H16" s="16" t="n">
        <f aca="false">H13-H15</f>
        <v>48426.3028693849</v>
      </c>
      <c r="J16" s="24" t="n">
        <f aca="false">D16/FX_EUR</f>
        <v>33.0836460899768</v>
      </c>
      <c r="K16" s="24" t="n">
        <f aca="false">E16/FX_EUR</f>
        <v>54.9736015034274</v>
      </c>
      <c r="L16" s="24" t="n">
        <f aca="false">F16/FX_EUR</f>
        <v>68.7362791109862</v>
      </c>
      <c r="M16" s="24" t="n">
        <f aca="false">G16/FX_EUR</f>
        <v>72.3636401494881</v>
      </c>
      <c r="N16" s="24" t="n">
        <f aca="false">H16/FX_EUR</f>
        <v>73.8254228087891</v>
      </c>
    </row>
    <row r="18" customFormat="false" ht="15" hidden="false" customHeight="false" outlineLevel="0" collapsed="false">
      <c r="A18" s="10" t="s">
        <v>1274</v>
      </c>
      <c r="B18" s="11"/>
      <c r="C18" s="11"/>
      <c r="D18" s="11"/>
      <c r="E18" s="11"/>
      <c r="F18" s="11"/>
      <c r="G18" s="11"/>
      <c r="H18" s="11"/>
    </row>
    <row r="19" customFormat="false" ht="15" hidden="false" customHeight="false" outlineLevel="0" collapsed="false">
      <c r="A19" s="12" t="s">
        <v>1275</v>
      </c>
      <c r="B19" s="14" t="s">
        <v>77</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1276</v>
      </c>
      <c r="B20" s="14" t="s">
        <v>77</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1277</v>
      </c>
      <c r="B21" s="14" t="s">
        <v>108</v>
      </c>
      <c r="D21" s="42" t="n">
        <f aca="false">IFERROR(D20/D16,0)</f>
        <v>9.38832019663673</v>
      </c>
      <c r="E21" s="42" t="n">
        <f aca="false">IFERROR(E20/E16,0)</f>
        <v>3.27403049467542</v>
      </c>
      <c r="F21" s="42" t="n">
        <f aca="false">IFERROR(F20/F16,0)</f>
        <v>2.17364086205805</v>
      </c>
      <c r="G21" s="42" t="n">
        <f aca="false">IFERROR(G20/G16,0)</f>
        <v>1.85634113447359</v>
      </c>
      <c r="H21" s="42" t="n">
        <f aca="false">IFERROR(H20/H16,0)</f>
        <v>1.77744644314017</v>
      </c>
    </row>
    <row r="22" customFormat="false" ht="15" hidden="false" customHeight="false" outlineLevel="0" collapsed="false">
      <c r="A22" s="12" t="s">
        <v>997</v>
      </c>
      <c r="B22" s="14" t="s">
        <v>325</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1278</v>
      </c>
      <c r="B23" s="14" t="s">
        <v>77</v>
      </c>
      <c r="D23" s="32" t="n">
        <f aca="false">IFERROR(D16/D22,0)</f>
        <v>1315239.3477723</v>
      </c>
      <c r="E23" s="32" t="n">
        <f aca="false">IFERROR(E16/E22,0)</f>
        <v>2185473.86190204</v>
      </c>
      <c r="F23" s="32" t="n">
        <f aca="false">IFERROR(F16/F22,0)</f>
        <v>2732608.69313971</v>
      </c>
      <c r="G23" s="32" t="n">
        <f aca="false">IFERROR(G16/G22,0)</f>
        <v>2876814.32130532</v>
      </c>
      <c r="H23" s="32" t="n">
        <f aca="false">IFERROR(H16/H22,0)</f>
        <v>2934927.44662938</v>
      </c>
      <c r="J23" s="24" t="n">
        <f aca="false">D23/FX_EUR</f>
        <v>2005.06945999859</v>
      </c>
      <c r="K23" s="24" t="n">
        <f aca="false">E23/FX_EUR</f>
        <v>3331.73342445014</v>
      </c>
      <c r="L23" s="24" t="n">
        <f aca="false">F23/FX_EUR</f>
        <v>4165.83509763553</v>
      </c>
      <c r="M23" s="24" t="n">
        <f aca="false">G23/FX_EUR</f>
        <v>4385.67516057504</v>
      </c>
      <c r="N23" s="24" t="n">
        <f aca="false">H23/FX_EUR</f>
        <v>4474.26804901752</v>
      </c>
    </row>
    <row r="24" customFormat="false" ht="15" hidden="false" customHeight="false" outlineLevel="0" collapsed="false">
      <c r="A24" s="12" t="s">
        <v>1279</v>
      </c>
      <c r="B24" s="14" t="s">
        <v>319</v>
      </c>
      <c r="D24" s="62" t="n">
        <f aca="false">IFERROR(D23/D20,0)</f>
        <v>6.45547439123051</v>
      </c>
      <c r="E24" s="62" t="n">
        <f aca="false">IFERROR(E23/E20,0)</f>
        <v>18.5111472555386</v>
      </c>
      <c r="F24" s="62" t="n">
        <f aca="false">IFERROR(F23/F20,0)</f>
        <v>27.882278836384</v>
      </c>
      <c r="G24" s="62" t="n">
        <f aca="false">IFERROR(G23/G20,0)</f>
        <v>32.6481267265818</v>
      </c>
      <c r="H24" s="62" t="n">
        <f aca="false">IFERROR(H23/H20,0)</f>
        <v>34.0972639935015</v>
      </c>
    </row>
    <row r="26" customFormat="false" ht="15" hidden="false" customHeight="false" outlineLevel="0" collapsed="false">
      <c r="A26" s="10" t="s">
        <v>1280</v>
      </c>
      <c r="B26" s="11"/>
      <c r="C26" s="11"/>
      <c r="D26" s="11"/>
      <c r="E26" s="11"/>
      <c r="F26" s="11"/>
      <c r="G26" s="11"/>
      <c r="H26" s="11"/>
    </row>
    <row r="27" customFormat="false" ht="15" hidden="false" customHeight="false" outlineLevel="0" collapsed="false">
      <c r="A27" s="12" t="s">
        <v>91</v>
      </c>
      <c r="B27" s="14" t="s">
        <v>92</v>
      </c>
      <c r="D27" s="32" t="n">
        <f aca="false">'P&amp;L annual'!D60</f>
        <v>11</v>
      </c>
      <c r="E27" s="32" t="n">
        <f aca="false">'P&amp;L annual'!E60</f>
        <v>19</v>
      </c>
      <c r="F27" s="32" t="n">
        <f aca="false">'P&amp;L annual'!F60</f>
        <v>33</v>
      </c>
      <c r="G27" s="32" t="n">
        <f aca="false">'P&amp;L annual'!G60</f>
        <v>51</v>
      </c>
      <c r="H27" s="32" t="n">
        <f aca="false">'P&amp;L annual'!H60</f>
        <v>75</v>
      </c>
    </row>
    <row r="28" customFormat="false" ht="15" hidden="false" customHeight="false" outlineLevel="0" collapsed="false">
      <c r="A28" s="12" t="s">
        <v>1281</v>
      </c>
      <c r="B28" s="14" t="s">
        <v>77</v>
      </c>
      <c r="D28" s="32" t="n">
        <f aca="false">IFERROR('P&amp;L annual'!D23/D27,0)</f>
        <v>10668236.7943782</v>
      </c>
      <c r="E28" s="32" t="n">
        <f aca="false">IFERROR('P&amp;L annual'!E23/E27,0)</f>
        <v>47126714.0325088</v>
      </c>
      <c r="F28" s="32" t="n">
        <f aca="false">IFERROR('P&amp;L annual'!F23/F27,0)</f>
        <v>87628581.8770503</v>
      </c>
      <c r="G28" s="32" t="n">
        <f aca="false">IFERROR('P&amp;L annual'!G23/G27,0)</f>
        <v>113969987.377135</v>
      </c>
      <c r="H28" s="32" t="n">
        <f aca="false">IFERROR('P&amp;L annual'!H23/H27,0)</f>
        <v>130367649.797275</v>
      </c>
      <c r="J28" s="24" t="n">
        <f aca="false">D28/FX_EUR</f>
        <v>16263.6221495894</v>
      </c>
      <c r="K28" s="24" t="n">
        <f aca="false">E28/FX_EUR</f>
        <v>71844.2123988444</v>
      </c>
      <c r="L28" s="24" t="n">
        <f aca="false">F28/FX_EUR</f>
        <v>133588.911890643</v>
      </c>
      <c r="M28" s="24" t="n">
        <f aca="false">G28/FX_EUR</f>
        <v>173746.125702044</v>
      </c>
      <c r="N28" s="24" t="n">
        <f aca="false">H28/FX_EUR</f>
        <v>198744.200911455</v>
      </c>
    </row>
    <row r="29" customFormat="false" ht="15" hidden="false" customHeight="false" outlineLevel="0" collapsed="false">
      <c r="A29" s="12" t="s">
        <v>1282</v>
      </c>
      <c r="B29" s="14" t="s">
        <v>96</v>
      </c>
      <c r="D29" s="34" t="n">
        <f aca="false">IFERROR('P&amp;L annual'!D36/'P&amp;L annual'!D23,0)</f>
        <v>1.26509786916951</v>
      </c>
      <c r="E29" s="34" t="n">
        <f aca="false">IFERROR('P&amp;L annual'!E36/'P&amp;L annual'!E23,0)</f>
        <v>0.286900635618251</v>
      </c>
      <c r="F29" s="34" t="n">
        <f aca="false">IFERROR('P&amp;L annual'!F36/'P&amp;L annual'!F23,0)</f>
        <v>0.132978950116202</v>
      </c>
      <c r="G29" s="34" t="n">
        <f aca="false">IFERROR('P&amp;L annual'!G36/'P&amp;L annual'!G23,0)</f>
        <v>0.0900492605502757</v>
      </c>
      <c r="H29" s="34" t="n">
        <f aca="false">IFERROR('P&amp;L annual'!H36/'P&amp;L annual'!H23,0)</f>
        <v>0.0737994135716258</v>
      </c>
    </row>
    <row r="30" customFormat="false" ht="15" hidden="false" customHeight="false" outlineLevel="0" collapsed="false">
      <c r="A30" s="12" t="s">
        <v>1283</v>
      </c>
      <c r="B30" s="14" t="s">
        <v>89</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1284</v>
      </c>
      <c r="B33" s="14" t="s">
        <v>96</v>
      </c>
      <c r="D33" s="34" t="n">
        <f aca="false">IFERROR('P&amp;L annual'!D22/'P&amp;L annual'!D23,0)</f>
        <v>0</v>
      </c>
      <c r="E33" s="34" t="n">
        <f aca="false">IFERROR('P&amp;L annual'!E22/'P&amp;L annual'!E23,0)</f>
        <v>0.00661992983328549</v>
      </c>
      <c r="F33" s="34" t="n">
        <f aca="false">IFERROR('P&amp;L annual'!F22/'P&amp;L annual'!F23,0)</f>
        <v>0.0483137904128101</v>
      </c>
      <c r="G33" s="34" t="n">
        <f aca="false">IFERROR('P&amp;L annual'!G22/'P&amp;L annual'!G23,0)</f>
        <v>0.0574717360495803</v>
      </c>
      <c r="H33" s="34" t="n">
        <f aca="false">IFERROR('P&amp;L annual'!H22/'P&amp;L annual'!H23,0)</f>
        <v>0.0563732858585783</v>
      </c>
    </row>
    <row r="34" customFormat="false" ht="15" hidden="false" customHeight="false" outlineLevel="0" collapsed="false">
      <c r="A34" s="12" t="s">
        <v>1285</v>
      </c>
      <c r="B34" s="14" t="s">
        <v>77</v>
      </c>
      <c r="D34" s="32" t="n">
        <f aca="false">IFERROR('P&amp;L annual'!D61/'P&amp;L annual'!D56,0)</f>
        <v>0</v>
      </c>
      <c r="E34" s="32" t="n">
        <f aca="false">IFERROR('P&amp;L annual'!E61/'P&amp;L annual'!E56,0)</f>
        <v>325833.333333333</v>
      </c>
      <c r="F34" s="32" t="n">
        <f aca="false">IFERROR('P&amp;L annual'!F61/'P&amp;L annual'!F56,0)</f>
        <v>790572.139881981</v>
      </c>
      <c r="G34" s="32" t="n">
        <f aca="false">IFERROR('P&amp;L annual'!G61/'P&amp;L annual'!G56,0)</f>
        <v>834229.487444681</v>
      </c>
      <c r="H34" s="32" t="n">
        <f aca="false">IFERROR('P&amp;L annual'!H61/'P&amp;L annual'!H56,0)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1286</v>
      </c>
      <c r="B35" s="14" t="s">
        <v>96</v>
      </c>
      <c r="D35" s="34" t="n">
        <f aca="false">IFERROR('P&amp;L annual'!D18/'P&amp;L annual'!D23,0)</f>
        <v>0.421325787845144</v>
      </c>
      <c r="E35" s="34" t="n">
        <f aca="false">IFERROR('P&amp;L annual'!E18/'P&amp;L annual'!E23,0)</f>
        <v>0.338628817997346</v>
      </c>
      <c r="F35" s="34" t="n">
        <f aca="false">IFERROR('P&amp;L annual'!F18/'P&amp;L annual'!F23,0)</f>
        <v>0.291583800205506</v>
      </c>
      <c r="G35" s="34" t="n">
        <f aca="false">IFERROR('P&amp;L annual'!G18/'P&amp;L annual'!G23,0)</f>
        <v>0.28757957746323</v>
      </c>
      <c r="H35" s="34" t="n">
        <f aca="false">IFERROR('P&amp;L annual'!H18/'P&amp;L annual'!H23,0)</f>
        <v>0.287807188809715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1287</v>
      </c>
    </row>
    <row r="5" customFormat="false" ht="15" hidden="false" customHeight="false" outlineLevel="0" collapsed="false">
      <c r="A5" s="36" t="s">
        <v>1288</v>
      </c>
      <c r="B5" s="36" t="s">
        <v>182</v>
      </c>
      <c r="C5" s="36"/>
      <c r="D5" s="36" t="s">
        <v>1224</v>
      </c>
      <c r="E5" s="36" t="s">
        <v>1289</v>
      </c>
      <c r="F5" s="36"/>
      <c r="G5" s="36"/>
      <c r="H5" s="36"/>
      <c r="I5" s="36" t="s">
        <v>271</v>
      </c>
    </row>
    <row r="6" customFormat="false" ht="15" hidden="false" customHeight="false" outlineLevel="0" collapsed="false">
      <c r="A6" s="12" t="s">
        <v>1290</v>
      </c>
      <c r="B6" s="14" t="s">
        <v>1291</v>
      </c>
      <c r="D6" s="39" t="n">
        <v>40300</v>
      </c>
      <c r="I6" s="14" t="s">
        <v>1292</v>
      </c>
    </row>
    <row r="7" customFormat="false" ht="15" hidden="false" customHeight="false" outlineLevel="0" collapsed="false">
      <c r="A7" s="12" t="s">
        <v>1293</v>
      </c>
      <c r="B7" s="14" t="s">
        <v>282</v>
      </c>
      <c r="D7" s="40" t="n">
        <v>0.049</v>
      </c>
      <c r="I7" s="14" t="s">
        <v>1294</v>
      </c>
    </row>
    <row r="8" customFormat="false" ht="15" hidden="false" customHeight="false" outlineLevel="0" collapsed="false">
      <c r="A8" s="12" t="s">
        <v>1295</v>
      </c>
      <c r="B8" s="14" t="s">
        <v>92</v>
      </c>
      <c r="D8" s="39" t="n">
        <v>577171</v>
      </c>
      <c r="I8" s="14" t="s">
        <v>1296</v>
      </c>
    </row>
    <row r="9" customFormat="false" ht="15" hidden="false" customHeight="false" outlineLevel="0" collapsed="false">
      <c r="A9" s="12" t="s">
        <v>1297</v>
      </c>
      <c r="B9" s="14" t="s">
        <v>1298</v>
      </c>
      <c r="D9" s="39" t="n">
        <v>26000</v>
      </c>
      <c r="I9" s="14" t="s">
        <v>1299</v>
      </c>
    </row>
    <row r="10" customFormat="false" ht="15" hidden="false" customHeight="false" outlineLevel="0" collapsed="false">
      <c r="A10" s="12" t="s">
        <v>1300</v>
      </c>
      <c r="B10" s="14" t="s">
        <v>1301</v>
      </c>
      <c r="D10" s="39" t="n">
        <v>407882</v>
      </c>
      <c r="I10" s="14" t="s">
        <v>1302</v>
      </c>
    </row>
    <row r="11" customFormat="false" ht="15" hidden="false" customHeight="false" outlineLevel="0" collapsed="false">
      <c r="A11" s="12" t="s">
        <v>1303</v>
      </c>
      <c r="B11" s="14" t="s">
        <v>96</v>
      </c>
      <c r="D11" s="40" t="n">
        <v>0.5</v>
      </c>
      <c r="I11" s="14" t="s">
        <v>1304</v>
      </c>
    </row>
    <row r="12" customFormat="false" ht="15" hidden="false" customHeight="false" outlineLevel="0" collapsed="false">
      <c r="A12" s="12" t="s">
        <v>1305</v>
      </c>
      <c r="B12" s="14" t="s">
        <v>1291</v>
      </c>
      <c r="D12" s="39" t="n">
        <v>24000</v>
      </c>
      <c r="I12" s="14" t="s">
        <v>1306</v>
      </c>
    </row>
    <row r="14" customFormat="false" ht="15" hidden="false" customHeight="false" outlineLevel="0" collapsed="false">
      <c r="A14" s="36" t="s">
        <v>1307</v>
      </c>
      <c r="B14" s="36" t="s">
        <v>182</v>
      </c>
      <c r="C14" s="36"/>
      <c r="D14" s="36" t="s">
        <v>1224</v>
      </c>
      <c r="E14" s="36" t="s">
        <v>1289</v>
      </c>
      <c r="F14" s="36"/>
      <c r="G14" s="36"/>
      <c r="H14" s="36"/>
      <c r="I14" s="36" t="s">
        <v>271</v>
      </c>
    </row>
    <row r="15" customFormat="false" ht="15" hidden="false" customHeight="false" outlineLevel="0" collapsed="false">
      <c r="A15" s="12" t="s">
        <v>1308</v>
      </c>
      <c r="B15" s="14" t="s">
        <v>1291</v>
      </c>
      <c r="D15" s="39" t="n">
        <v>49000</v>
      </c>
      <c r="I15" s="14" t="s">
        <v>1309</v>
      </c>
    </row>
    <row r="16" customFormat="false" ht="15" hidden="false" customHeight="false" outlineLevel="0" collapsed="false">
      <c r="A16" s="12" t="s">
        <v>1293</v>
      </c>
      <c r="B16" s="14" t="s">
        <v>282</v>
      </c>
      <c r="D16" s="40" t="n">
        <v>0.05</v>
      </c>
      <c r="I16" s="14" t="s">
        <v>463</v>
      </c>
    </row>
    <row r="17" customFormat="false" ht="15" hidden="false" customHeight="false" outlineLevel="0" collapsed="false">
      <c r="A17" s="12" t="s">
        <v>1310</v>
      </c>
      <c r="B17" s="14" t="s">
        <v>1298</v>
      </c>
      <c r="D17" s="39" t="n">
        <v>26948</v>
      </c>
      <c r="I17" s="14" t="s">
        <v>1311</v>
      </c>
    </row>
    <row r="18" customFormat="false" ht="15" hidden="false" customHeight="false" outlineLevel="0" collapsed="false">
      <c r="A18" s="12" t="s">
        <v>1312</v>
      </c>
      <c r="B18" s="14" t="s">
        <v>96</v>
      </c>
      <c r="D18" s="40" t="n">
        <v>0.5</v>
      </c>
      <c r="I18" s="14" t="s">
        <v>1313</v>
      </c>
    </row>
    <row r="20" customFormat="false" ht="15" hidden="false" customHeight="false" outlineLevel="0" collapsed="false">
      <c r="A20" s="36" t="s">
        <v>1314</v>
      </c>
      <c r="B20" s="36" t="s">
        <v>182</v>
      </c>
      <c r="C20" s="36"/>
      <c r="D20" s="36" t="s">
        <v>1315</v>
      </c>
      <c r="E20" s="36" t="s">
        <v>1316</v>
      </c>
      <c r="F20" s="36" t="s">
        <v>1317</v>
      </c>
      <c r="G20" s="36" t="s">
        <v>1318</v>
      </c>
      <c r="H20" s="36" t="s">
        <v>1319</v>
      </c>
      <c r="I20" s="36" t="s">
        <v>271</v>
      </c>
    </row>
    <row r="21" customFormat="false" ht="15" hidden="false" customHeight="false" outlineLevel="0" collapsed="false">
      <c r="A21" s="12" t="s">
        <v>1320</v>
      </c>
      <c r="B21" s="14" t="s">
        <v>1291</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1321</v>
      </c>
      <c r="B22" s="14" t="s">
        <v>1291</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1322</v>
      </c>
      <c r="B23" s="14" t="s">
        <v>89</v>
      </c>
      <c r="D23" s="32" t="n">
        <f aca="false">'P&amp;L annual'!D57</f>
        <v>388.329341569838</v>
      </c>
      <c r="E23" s="32" t="n">
        <f aca="false">'P&amp;L annual'!E57</f>
        <v>1194.56402486491</v>
      </c>
      <c r="F23" s="32" t="n">
        <f aca="false">'P&amp;L annual'!F57</f>
        <v>2442.01211400313</v>
      </c>
      <c r="G23" s="32" t="n">
        <f aca="false">'P&amp;L annual'!G57</f>
        <v>4255.2202064322</v>
      </c>
      <c r="H23" s="32" t="n">
        <f aca="false">'P&amp;L annual'!H57</f>
        <v>6381.32536714945</v>
      </c>
    </row>
    <row r="24" customFormat="false" ht="15" hidden="false" customHeight="false" outlineLevel="0" collapsed="false">
      <c r="A24" s="8" t="s">
        <v>1323</v>
      </c>
      <c r="B24" s="14" t="s">
        <v>96</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1324</v>
      </c>
      <c r="B25" s="14" t="s">
        <v>96</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1325</v>
      </c>
      <c r="B26" s="14" t="s">
        <v>1291</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1326</v>
      </c>
      <c r="B27" s="14" t="s">
        <v>1291</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1327</v>
      </c>
      <c r="B28" s="14" t="s">
        <v>89</v>
      </c>
      <c r="D28" s="32" t="n">
        <f aca="false">'P&amp;L annual'!D58</f>
        <v>0</v>
      </c>
      <c r="E28" s="32" t="n">
        <f aca="false">'P&amp;L annual'!E58</f>
        <v>223.760780918427</v>
      </c>
      <c r="F28" s="32" t="n">
        <f aca="false">'P&amp;L annual'!F58</f>
        <v>857.136584914707</v>
      </c>
      <c r="G28" s="32" t="n">
        <f aca="false">'P&amp;L annual'!G58</f>
        <v>1720.58062628607</v>
      </c>
      <c r="H28" s="32" t="n">
        <f aca="false">'P&amp;L annual'!H58</f>
        <v>2993.14600653526</v>
      </c>
    </row>
    <row r="29" customFormat="false" ht="15" hidden="false" customHeight="false" outlineLevel="0" collapsed="false">
      <c r="A29" s="8" t="s">
        <v>1328</v>
      </c>
      <c r="B29" s="14" t="s">
        <v>96</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1329</v>
      </c>
      <c r="B30" s="14" t="s">
        <v>96</v>
      </c>
      <c r="D30" s="33" t="n">
        <f aca="false">IFERROR('P&amp;L annual'!D62/$D$8,0)</f>
        <v>0</v>
      </c>
      <c r="E30" s="33" t="n">
        <f aca="false">IFERROR('P&amp;L annual'!E62/$D$8,0)</f>
        <v>0</v>
      </c>
      <c r="F30" s="33" t="n">
        <f aca="false">IFERROR('P&amp;L annual'!F62/$D$8,0)</f>
        <v>0.0272957995500725</v>
      </c>
      <c r="G30" s="33" t="n">
        <f aca="false">IFERROR('P&amp;L annual'!G62/$D$8,0)</f>
        <v>0.0503090804609131</v>
      </c>
      <c r="H30" s="33" t="n">
        <f aca="false">IFERROR('P&amp;L annual'!H62/$D$8,0)</f>
        <v>0.0803005177316206</v>
      </c>
    </row>
    <row r="32" customFormat="false" ht="15" hidden="false" customHeight="false" outlineLevel="0" collapsed="false">
      <c r="A32" s="36" t="s">
        <v>1330</v>
      </c>
      <c r="B32" s="36" t="s">
        <v>182</v>
      </c>
      <c r="C32" s="36"/>
      <c r="D32" s="36" t="s">
        <v>1224</v>
      </c>
      <c r="E32" s="36" t="s">
        <v>1289</v>
      </c>
      <c r="F32" s="36"/>
      <c r="G32" s="36"/>
      <c r="H32" s="36"/>
      <c r="I32" s="36" t="s">
        <v>271</v>
      </c>
    </row>
    <row r="33" customFormat="false" ht="15" hidden="false" customHeight="false" outlineLevel="0" collapsed="false">
      <c r="A33" s="12" t="s">
        <v>1331</v>
      </c>
      <c r="B33" s="14" t="s">
        <v>104</v>
      </c>
      <c r="D33" s="39" t="n">
        <v>15000</v>
      </c>
      <c r="E33" s="51" t="n">
        <f aca="false">D33/FX_EUR</f>
        <v>22.8673525856116</v>
      </c>
      <c r="I33" s="14" t="s">
        <v>1332</v>
      </c>
    </row>
    <row r="34" customFormat="false" ht="15" hidden="false" customHeight="false" outlineLevel="0" collapsed="false">
      <c r="A34" s="12" t="s">
        <v>1333</v>
      </c>
      <c r="B34" s="14" t="s">
        <v>676</v>
      </c>
      <c r="D34" s="32" t="n">
        <f aca="false">D22*D33*12</f>
        <v>4186720993.923</v>
      </c>
      <c r="E34" s="24" t="n">
        <f aca="false">D34/FX_EUR</f>
        <v>6382615.00970795</v>
      </c>
      <c r="I34" s="14" t="s">
        <v>1334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1335</v>
      </c>
    </row>
    <row r="4" customFormat="false" ht="15" hidden="false" customHeight="false" outlineLevel="0" collapsed="false">
      <c r="A4" s="2" t="s">
        <v>1336</v>
      </c>
    </row>
    <row r="5" customFormat="false" ht="15" hidden="false" customHeight="false" outlineLevel="0" collapsed="false">
      <c r="A5" s="2" t="s">
        <v>1337</v>
      </c>
    </row>
    <row r="7" customFormat="false" ht="15" hidden="false" customHeight="false" outlineLevel="0" collapsed="false">
      <c r="A7" s="36" t="s">
        <v>1338</v>
      </c>
      <c r="B7" s="36" t="s">
        <v>1339</v>
      </c>
      <c r="C7" s="36" t="s">
        <v>1340</v>
      </c>
      <c r="D7" s="36" t="s">
        <v>1341</v>
      </c>
      <c r="E7" s="36" t="s">
        <v>1342</v>
      </c>
      <c r="F7" s="36" t="s">
        <v>1343</v>
      </c>
      <c r="G7" s="36" t="s">
        <v>1344</v>
      </c>
    </row>
    <row r="8" customFormat="false" ht="35.05" hidden="false" customHeight="false" outlineLevel="0" collapsed="false">
      <c r="A8" s="63" t="s">
        <v>1345</v>
      </c>
      <c r="B8" s="63" t="str">
        <f aca="false">"Months 1 to "&amp;(Launch_SN-1)</f>
        <v>Months 1 to 4</v>
      </c>
      <c r="C8" s="64"/>
      <c r="D8" s="65" t="s">
        <v>1346</v>
      </c>
      <c r="E8" s="64"/>
      <c r="F8" s="64"/>
      <c r="G8" s="64"/>
    </row>
    <row r="9" customFormat="false" ht="35.05" hidden="false" customHeight="false" outlineLevel="0" collapsed="false">
      <c r="C9" s="29" t="s">
        <v>1347</v>
      </c>
      <c r="D9" s="4" t="s">
        <v>1348</v>
      </c>
      <c r="E9" s="30" t="s">
        <v>1349</v>
      </c>
      <c r="F9" s="4" t="s">
        <v>1350</v>
      </c>
      <c r="G9" s="4" t="s">
        <v>1351</v>
      </c>
    </row>
    <row r="10" customFormat="false" ht="57.45" hidden="false" customHeight="false" outlineLevel="0" collapsed="false">
      <c r="C10" s="29" t="s">
        <v>1352</v>
      </c>
      <c r="D10" s="4" t="s">
        <v>1353</v>
      </c>
      <c r="E10" s="30" t="s">
        <v>1354</v>
      </c>
      <c r="F10" s="4" t="s">
        <v>1355</v>
      </c>
      <c r="G10" s="4" t="s">
        <v>1351</v>
      </c>
    </row>
    <row r="11" customFormat="false" ht="46.25" hidden="false" customHeight="false" outlineLevel="0" collapsed="false">
      <c r="C11" s="29" t="s">
        <v>1356</v>
      </c>
      <c r="D11" s="4" t="s">
        <v>1357</v>
      </c>
      <c r="E11" s="30" t="s">
        <v>1358</v>
      </c>
      <c r="F11" s="4" t="s">
        <v>1359</v>
      </c>
      <c r="G11" s="4" t="s">
        <v>1351</v>
      </c>
    </row>
    <row r="12" customFormat="false" ht="46.25" hidden="false" customHeight="false" outlineLevel="0" collapsed="false">
      <c r="C12" s="29" t="s">
        <v>1360</v>
      </c>
      <c r="D12" s="4" t="s">
        <v>1361</v>
      </c>
      <c r="E12" s="30" t="s">
        <v>1362</v>
      </c>
      <c r="F12" s="4" t="s">
        <v>1363</v>
      </c>
      <c r="G12" s="4" t="s">
        <v>1364</v>
      </c>
    </row>
    <row r="13" customFormat="false" ht="35.05" hidden="false" customHeight="false" outlineLevel="0" collapsed="false">
      <c r="C13" s="29" t="s">
        <v>1365</v>
      </c>
      <c r="D13" s="4" t="s">
        <v>1366</v>
      </c>
      <c r="E13" s="30" t="s">
        <v>1367</v>
      </c>
      <c r="F13" s="4" t="s">
        <v>1368</v>
      </c>
      <c r="G13" s="4" t="s">
        <v>1351</v>
      </c>
    </row>
    <row r="14" customFormat="false" ht="35.05" hidden="false" customHeight="false" outlineLevel="0" collapsed="false">
      <c r="A14" s="63" t="s">
        <v>1369</v>
      </c>
      <c r="B14" s="63" t="str">
        <f aca="false">"From month "&amp;Launch_SN</f>
        <v>From month 5</v>
      </c>
      <c r="C14" s="64"/>
      <c r="D14" s="65" t="s">
        <v>1370</v>
      </c>
      <c r="E14" s="64"/>
      <c r="F14" s="64"/>
      <c r="G14" s="64"/>
    </row>
    <row r="15" customFormat="false" ht="68.65" hidden="false" customHeight="false" outlineLevel="0" collapsed="false">
      <c r="C15" s="29" t="s">
        <v>1371</v>
      </c>
      <c r="D15" s="4" t="s">
        <v>1372</v>
      </c>
      <c r="E15" s="30" t="s">
        <v>1373</v>
      </c>
      <c r="F15" s="4" t="s">
        <v>1374</v>
      </c>
      <c r="G15" s="4" t="s">
        <v>1375</v>
      </c>
    </row>
    <row r="16" customFormat="false" ht="35.05" hidden="false" customHeight="false" outlineLevel="0" collapsed="false">
      <c r="C16" s="29" t="s">
        <v>1376</v>
      </c>
      <c r="D16" s="4" t="s">
        <v>1377</v>
      </c>
      <c r="E16" s="30" t="s">
        <v>1378</v>
      </c>
      <c r="F16" s="4" t="s">
        <v>1355</v>
      </c>
      <c r="G16" s="4" t="s">
        <v>1351</v>
      </c>
    </row>
    <row r="17" customFormat="false" ht="35.05" hidden="false" customHeight="false" outlineLevel="0" collapsed="false">
      <c r="C17" s="29" t="s">
        <v>1379</v>
      </c>
      <c r="D17" s="4" t="s">
        <v>1380</v>
      </c>
      <c r="E17" s="30" t="s">
        <v>1381</v>
      </c>
      <c r="F17" s="4" t="s">
        <v>1382</v>
      </c>
      <c r="G17" s="4" t="s">
        <v>1351</v>
      </c>
    </row>
    <row r="18" customFormat="false" ht="23.85" hidden="false" customHeight="false" outlineLevel="0" collapsed="false">
      <c r="C18" s="29" t="s">
        <v>1383</v>
      </c>
      <c r="D18" s="4" t="s">
        <v>1384</v>
      </c>
      <c r="E18" s="30" t="s">
        <v>1385</v>
      </c>
      <c r="F18" s="4" t="s">
        <v>1386</v>
      </c>
      <c r="G18" s="4" t="s">
        <v>1351</v>
      </c>
    </row>
    <row r="19" customFormat="false" ht="35.05" hidden="false" customHeight="false" outlineLevel="0" collapsed="false">
      <c r="C19" s="29" t="s">
        <v>1387</v>
      </c>
      <c r="D19" s="4" t="s">
        <v>1388</v>
      </c>
      <c r="E19" s="30" t="s">
        <v>1389</v>
      </c>
      <c r="F19" s="4" t="s">
        <v>1390</v>
      </c>
      <c r="G19" s="4" t="s">
        <v>1351</v>
      </c>
    </row>
    <row r="20" customFormat="false" ht="68.65" hidden="false" customHeight="false" outlineLevel="0" collapsed="false">
      <c r="C20" s="29" t="s">
        <v>1391</v>
      </c>
      <c r="D20" s="4" t="s">
        <v>1392</v>
      </c>
      <c r="E20" s="30" t="s">
        <v>1393</v>
      </c>
      <c r="F20" s="4" t="s">
        <v>1394</v>
      </c>
      <c r="G20" s="4" t="s">
        <v>1395</v>
      </c>
    </row>
    <row r="21" customFormat="false" ht="91" hidden="false" customHeight="false" outlineLevel="0" collapsed="false">
      <c r="C21" s="29" t="s">
        <v>1396</v>
      </c>
      <c r="D21" s="4" t="s">
        <v>1397</v>
      </c>
      <c r="E21" s="30" t="s">
        <v>1398</v>
      </c>
      <c r="F21" s="4" t="s">
        <v>1399</v>
      </c>
      <c r="G21" s="4" t="s">
        <v>1351</v>
      </c>
    </row>
    <row r="22" customFormat="false" ht="46.25" hidden="false" customHeight="false" outlineLevel="0" collapsed="false">
      <c r="C22" s="29" t="s">
        <v>1400</v>
      </c>
      <c r="D22" s="4" t="s">
        <v>1401</v>
      </c>
      <c r="E22" s="30" t="s">
        <v>1402</v>
      </c>
      <c r="F22" s="4" t="s">
        <v>1403</v>
      </c>
      <c r="G22" s="4" t="s">
        <v>1364</v>
      </c>
    </row>
    <row r="23" customFormat="false" ht="35.05" hidden="false" customHeight="false" outlineLevel="0" collapsed="false">
      <c r="C23" s="29" t="s">
        <v>1404</v>
      </c>
      <c r="D23" s="4" t="s">
        <v>1405</v>
      </c>
      <c r="E23" s="30" t="s">
        <v>1406</v>
      </c>
      <c r="F23" s="4" t="s">
        <v>1407</v>
      </c>
      <c r="G23" s="4" t="s">
        <v>1364</v>
      </c>
    </row>
    <row r="24" customFormat="false" ht="35.05" hidden="false" customHeight="false" outlineLevel="0" collapsed="false">
      <c r="C24" s="29" t="s">
        <v>1408</v>
      </c>
      <c r="D24" s="4" t="s">
        <v>1409</v>
      </c>
      <c r="E24" s="30" t="s">
        <v>1410</v>
      </c>
      <c r="F24" s="4" t="s">
        <v>1355</v>
      </c>
      <c r="G24" s="4" t="s">
        <v>1351</v>
      </c>
    </row>
    <row r="25" customFormat="false" ht="23.85" hidden="false" customHeight="false" outlineLevel="0" collapsed="false">
      <c r="A25" s="63" t="s">
        <v>1411</v>
      </c>
      <c r="B25" s="63" t="str">
        <f aca="false">"From month "&amp;MIN(Start_Factoring,Start_Bridge)&amp;" (credit) and month "&amp;CI_Office_Start&amp;" (Côte d'Ivoire)"</f>
        <v>From month 18 (credit) and month 18 (Côte d'Ivoire)</v>
      </c>
      <c r="C25" s="64"/>
      <c r="D25" s="65" t="s">
        <v>1412</v>
      </c>
      <c r="E25" s="64"/>
      <c r="F25" s="64"/>
      <c r="G25" s="64"/>
    </row>
    <row r="26" customFormat="false" ht="46.25" hidden="false" customHeight="false" outlineLevel="0" collapsed="false">
      <c r="C26" s="29" t="s">
        <v>1413</v>
      </c>
      <c r="D26" s="4" t="s">
        <v>1414</v>
      </c>
      <c r="E26" s="30" t="s">
        <v>1415</v>
      </c>
      <c r="F26" s="4" t="s">
        <v>1416</v>
      </c>
      <c r="G26" s="4" t="s">
        <v>1351</v>
      </c>
    </row>
    <row r="27" customFormat="false" ht="35.05" hidden="false" customHeight="false" outlineLevel="0" collapsed="false">
      <c r="C27" s="29" t="s">
        <v>1417</v>
      </c>
      <c r="D27" s="4" t="s">
        <v>1418</v>
      </c>
      <c r="E27" s="30" t="s">
        <v>1419</v>
      </c>
      <c r="F27" s="4" t="s">
        <v>1420</v>
      </c>
      <c r="G27" s="4" t="s">
        <v>1351</v>
      </c>
    </row>
    <row r="28" customFormat="false" ht="35.05" hidden="false" customHeight="false" outlineLevel="0" collapsed="false">
      <c r="C28" s="29" t="s">
        <v>1421</v>
      </c>
      <c r="D28" s="4" t="s">
        <v>1422</v>
      </c>
      <c r="E28" s="30" t="s">
        <v>1423</v>
      </c>
      <c r="F28" s="4" t="s">
        <v>1424</v>
      </c>
      <c r="G28" s="4" t="s">
        <v>1364</v>
      </c>
    </row>
    <row r="29" customFormat="false" ht="46.25" hidden="false" customHeight="false" outlineLevel="0" collapsed="false">
      <c r="C29" s="29" t="s">
        <v>1425</v>
      </c>
      <c r="D29" s="4" t="s">
        <v>1426</v>
      </c>
      <c r="E29" s="30" t="s">
        <v>1427</v>
      </c>
      <c r="F29" s="4" t="s">
        <v>1428</v>
      </c>
      <c r="G29" s="4" t="s">
        <v>1364</v>
      </c>
    </row>
    <row r="30" customFormat="false" ht="23.85" hidden="false" customHeight="false" outlineLevel="0" collapsed="false">
      <c r="C30" s="29" t="s">
        <v>1421</v>
      </c>
      <c r="D30" s="4" t="s">
        <v>1429</v>
      </c>
      <c r="E30" s="30" t="s">
        <v>1430</v>
      </c>
      <c r="F30" s="4" t="s">
        <v>1355</v>
      </c>
      <c r="G30" s="4" t="s">
        <v>1351</v>
      </c>
    </row>
    <row r="31" customFormat="false" ht="35.05" hidden="false" customHeight="false" outlineLevel="0" collapsed="false">
      <c r="C31" s="29" t="s">
        <v>833</v>
      </c>
      <c r="D31" s="4" t="s">
        <v>1431</v>
      </c>
      <c r="E31" s="30" t="s">
        <v>1432</v>
      </c>
      <c r="F31" s="4" t="s">
        <v>1433</v>
      </c>
      <c r="G31" s="4" t="s">
        <v>1395</v>
      </c>
    </row>
    <row r="32" customFormat="false" ht="57.45" hidden="false" customHeight="false" outlineLevel="0" collapsed="false">
      <c r="C32" s="29" t="s">
        <v>1434</v>
      </c>
      <c r="D32" s="4" t="s">
        <v>1435</v>
      </c>
      <c r="E32" s="30" t="s">
        <v>1436</v>
      </c>
      <c r="F32" s="4" t="s">
        <v>1437</v>
      </c>
      <c r="G32" s="4" t="s">
        <v>1364</v>
      </c>
    </row>
    <row r="33" customFormat="false" ht="46.25" hidden="false" customHeight="false" outlineLevel="0" collapsed="false">
      <c r="C33" s="29" t="s">
        <v>1438</v>
      </c>
      <c r="D33" s="4" t="s">
        <v>1439</v>
      </c>
      <c r="E33" s="30" t="s">
        <v>1440</v>
      </c>
      <c r="F33" s="4" t="s">
        <v>869</v>
      </c>
      <c r="G33" s="4" t="s">
        <v>1351</v>
      </c>
    </row>
    <row r="34" customFormat="false" ht="23.85" hidden="false" customHeight="false" outlineLevel="0" collapsed="false">
      <c r="C34" s="29" t="s">
        <v>1441</v>
      </c>
      <c r="D34" s="4" t="s">
        <v>1442</v>
      </c>
      <c r="E34" s="30" t="s">
        <v>1443</v>
      </c>
      <c r="F34" s="4" t="s">
        <v>1444</v>
      </c>
      <c r="G34" s="4" t="s">
        <v>1364</v>
      </c>
    </row>
    <row r="35" customFormat="false" ht="35.05" hidden="false" customHeight="false" outlineLevel="0" collapsed="false">
      <c r="A35" s="63" t="s">
        <v>1445</v>
      </c>
      <c r="B35" s="63" t="str">
        <f aca="false">"Closing in month "&amp;SFD_Acq_Month&amp;"; file about 6 months before"</f>
        <v>Closing in month 24; file about 6 months before</v>
      </c>
      <c r="C35" s="64"/>
      <c r="D35" s="65" t="s">
        <v>1446</v>
      </c>
      <c r="E35" s="64"/>
      <c r="F35" s="64"/>
      <c r="G35" s="64"/>
    </row>
    <row r="36" customFormat="false" ht="35.05" hidden="false" customHeight="false" outlineLevel="0" collapsed="false">
      <c r="C36" s="29" t="s">
        <v>1447</v>
      </c>
      <c r="D36" s="4" t="s">
        <v>1448</v>
      </c>
      <c r="E36" s="30" t="s">
        <v>1449</v>
      </c>
      <c r="F36" s="4" t="s">
        <v>1450</v>
      </c>
      <c r="G36" s="4" t="s">
        <v>1351</v>
      </c>
    </row>
    <row r="37" customFormat="false" ht="46.25" hidden="false" customHeight="false" outlineLevel="0" collapsed="false">
      <c r="C37" s="29" t="s">
        <v>1451</v>
      </c>
      <c r="D37" s="4" t="s">
        <v>1452</v>
      </c>
      <c r="E37" s="30" t="s">
        <v>1453</v>
      </c>
      <c r="F37" s="4" t="s">
        <v>1454</v>
      </c>
      <c r="G37" s="4" t="s">
        <v>1351</v>
      </c>
    </row>
    <row r="38" customFormat="false" ht="46.25" hidden="false" customHeight="false" outlineLevel="0" collapsed="false">
      <c r="C38" s="29" t="s">
        <v>1455</v>
      </c>
      <c r="D38" s="4" t="s">
        <v>1456</v>
      </c>
      <c r="E38" s="30" t="s">
        <v>1457</v>
      </c>
      <c r="F38" s="4" t="s">
        <v>1355</v>
      </c>
      <c r="G38" s="4" t="s">
        <v>1458</v>
      </c>
    </row>
    <row r="39" customFormat="false" ht="46.25" hidden="false" customHeight="false" outlineLevel="0" collapsed="false">
      <c r="C39" s="29" t="s">
        <v>1459</v>
      </c>
      <c r="D39" s="4" t="s">
        <v>1460</v>
      </c>
      <c r="E39" s="30" t="s">
        <v>1461</v>
      </c>
      <c r="F39" s="4" t="s">
        <v>1462</v>
      </c>
      <c r="G39" s="4" t="s">
        <v>1351</v>
      </c>
    </row>
    <row r="40" customFormat="false" ht="35.05" hidden="false" customHeight="false" outlineLevel="0" collapsed="false">
      <c r="C40" s="29" t="s">
        <v>1463</v>
      </c>
      <c r="D40" s="4" t="s">
        <v>1464</v>
      </c>
      <c r="E40" s="30" t="s">
        <v>1465</v>
      </c>
      <c r="F40" s="4" t="s">
        <v>1466</v>
      </c>
      <c r="G40" s="4" t="s">
        <v>1351</v>
      </c>
    </row>
    <row r="41" customFormat="false" ht="35.05" hidden="false" customHeight="false" outlineLevel="0" collapsed="false">
      <c r="C41" s="29" t="s">
        <v>1467</v>
      </c>
      <c r="D41" s="4" t="s">
        <v>1468</v>
      </c>
      <c r="E41" s="30" t="s">
        <v>1469</v>
      </c>
      <c r="F41" s="4" t="s">
        <v>1470</v>
      </c>
      <c r="G41" s="4" t="s">
        <v>1471</v>
      </c>
    </row>
    <row r="42" customFormat="false" ht="46.25" hidden="false" customHeight="false" outlineLevel="0" collapsed="false">
      <c r="C42" s="29" t="s">
        <v>1472</v>
      </c>
      <c r="D42" s="4" t="s">
        <v>1473</v>
      </c>
      <c r="E42" s="30" t="s">
        <v>1474</v>
      </c>
      <c r="F42" s="4" t="s">
        <v>1475</v>
      </c>
      <c r="G42" s="4" t="s">
        <v>1351</v>
      </c>
    </row>
    <row r="43" customFormat="false" ht="35.05" hidden="false" customHeight="false" outlineLevel="0" collapsed="false">
      <c r="C43" s="29" t="s">
        <v>1476</v>
      </c>
      <c r="D43" s="4" t="s">
        <v>1477</v>
      </c>
      <c r="E43" s="30" t="s">
        <v>1478</v>
      </c>
      <c r="F43" s="4" t="s">
        <v>1355</v>
      </c>
      <c r="G43" s="4" t="s">
        <v>1395</v>
      </c>
    </row>
    <row r="44" customFormat="false" ht="23.85" hidden="false" customHeight="false" outlineLevel="0" collapsed="false">
      <c r="A44" s="63" t="s">
        <v>1479</v>
      </c>
      <c r="B44" s="63" t="str">
        <f aca="false">"From month "&amp;EmpAcc_Start</f>
        <v>From month 29</v>
      </c>
      <c r="C44" s="64"/>
      <c r="D44" s="65" t="s">
        <v>1480</v>
      </c>
      <c r="E44" s="64"/>
      <c r="F44" s="64"/>
      <c r="G44" s="64"/>
    </row>
    <row r="45" customFormat="false" ht="57.45" hidden="false" customHeight="false" outlineLevel="0" collapsed="false">
      <c r="C45" s="29" t="s">
        <v>1481</v>
      </c>
      <c r="D45" s="4" t="s">
        <v>1482</v>
      </c>
      <c r="E45" s="30" t="s">
        <v>1483</v>
      </c>
      <c r="F45" s="4" t="s">
        <v>1484</v>
      </c>
      <c r="G45" s="4" t="s">
        <v>1485</v>
      </c>
    </row>
    <row r="46" customFormat="false" ht="35.05" hidden="false" customHeight="false" outlineLevel="0" collapsed="false">
      <c r="C46" s="29" t="s">
        <v>1486</v>
      </c>
      <c r="D46" s="4" t="s">
        <v>1487</v>
      </c>
      <c r="E46" s="30" t="s">
        <v>1488</v>
      </c>
      <c r="F46" s="4" t="s">
        <v>1489</v>
      </c>
      <c r="G46" s="4" t="s">
        <v>1351</v>
      </c>
    </row>
    <row r="47" customFormat="false" ht="46.25" hidden="false" customHeight="false" outlineLevel="0" collapsed="false">
      <c r="C47" s="29" t="s">
        <v>1490</v>
      </c>
      <c r="D47" s="4" t="s">
        <v>1491</v>
      </c>
      <c r="E47" s="30" t="s">
        <v>1492</v>
      </c>
      <c r="F47" s="4" t="s">
        <v>1493</v>
      </c>
      <c r="G47" s="4" t="s">
        <v>1351</v>
      </c>
    </row>
    <row r="48" customFormat="false" ht="23.85" hidden="false" customHeight="false" outlineLevel="0" collapsed="false">
      <c r="C48" s="29" t="s">
        <v>835</v>
      </c>
      <c r="D48" s="4" t="s">
        <v>1494</v>
      </c>
      <c r="E48" s="30" t="s">
        <v>1495</v>
      </c>
      <c r="F48" s="4" t="s">
        <v>1496</v>
      </c>
      <c r="G48" s="4" t="s">
        <v>1351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2026-10-19T12:35:45Z</dcterms:created>
  <dc:creator>openpyxl</dc:creator>
  <dc:description/>
  <dc:language>en-US</dc:language>
  <cp:lastModifiedBy/>
  <dcterms:modified xsi:type="dcterms:W3CDTF">2026-10-19T12:35:56Z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