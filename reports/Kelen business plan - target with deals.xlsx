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Dashboard" sheetId="2" state="visible" r:id="rId4"/>
    <sheet name="Plans" sheetId="3" state="visible" r:id="rId5"/>
    <sheet name="How it works" sheetId="4" state="visible" r:id="rId6"/>
    <sheet name="Assumptions" sheetId="5" state="visible" r:id="rId7"/>
    <sheet name="Unit costs" sheetId="6" state="visible" r:id="rId8"/>
    <sheet name="Hiring plan" sheetId="7" state="visible" r:id="rId9"/>
    <sheet name="Staff" sheetId="8" state="visible" r:id="rId10"/>
    <sheet name="Staff (€)" sheetId="9" state="visible" r:id="rId11"/>
    <sheet name="Sales &amp; marketing" sheetId="10" state="visible" r:id="rId12"/>
    <sheet name="Sales &amp; marketing (€)" sheetId="11" state="visible" r:id="rId13"/>
    <sheet name="Clients &amp; revenue" sheetId="12" state="visible" r:id="rId14"/>
    <sheet name="Clients &amp; revenue (€)" sheetId="13" state="visible" r:id="rId15"/>
    <sheet name="Credit" sheetId="14" state="visible" r:id="rId16"/>
    <sheet name="Credit (€)" sheetId="15" state="visible" r:id="rId17"/>
    <sheet name="Costs" sheetId="16" state="visible" r:id="rId18"/>
    <sheet name="Costs (€)" sheetId="17" state="visible" r:id="rId19"/>
    <sheet name="P&amp;L monthly" sheetId="18" state="visible" r:id="rId20"/>
    <sheet name="P&amp;L monthly (€)" sheetId="19" state="visible" r:id="rId21"/>
    <sheet name="P&amp;L annual" sheetId="20" state="visible" r:id="rId22"/>
    <sheet name="Pricing levers" sheetId="21" state="visible" r:id="rId23"/>
    <sheet name="Cash flow" sheetId="22" state="visible" r:id="rId24"/>
    <sheet name="Cash flow (€)" sheetId="23" state="visible" r:id="rId25"/>
    <sheet name="Unit economics" sheetId="24" state="visible" r:id="rId26"/>
    <sheet name="Market" sheetId="25" state="visible" r:id="rId27"/>
    <sheet name="Regulatory path" sheetId="26" state="visible" r:id="rId28"/>
  </sheets>
  <definedNames>
    <definedName function="false" hidden="false" name="Accountant_Ext" vbProcedure="false">Assumptions!$D$275:$H$275</definedName>
    <definedName function="false" hidden="false" name="Agency_Credit" vbProcedure="false">Assumptions!$D$233</definedName>
    <definedName function="false" hidden="false" name="Agency_Dev" vbProcedure="false">Assumptions!$D$232</definedName>
    <definedName function="false" hidden="false" name="Agency_Fee_EUR" vbProcedure="false">Assumptions!$D$231</definedName>
    <definedName function="false" hidden="false" name="Agency_Rep" vbProcedure="false">Assumptions!$D$235</definedName>
    <definedName function="false" hidden="false" name="Agency_Support" vbProcedure="false">Assumptions!$D$234</definedName>
    <definedName function="false" hidden="false" name="AML_Audit" vbProcedure="false">Assumptions!$D$276:$H$276</definedName>
    <definedName function="false" hidden="false" name="Annual_Free" vbProcedure="false">Assumptions!$D$64</definedName>
    <definedName function="false" hidden="false" name="Annual_Share" vbProcedure="false">Assumptions!$D$63</definedName>
    <definedName function="false" hidden="false" name="Auditor" vbProcedure="false">Assumptions!$D$274:$H$274</definedName>
    <definedName function="false" hidden="false" name="Audit_Month" vbProcedure="false">Assumptions!$D$32</definedName>
    <definedName function="false" hidden="false" name="Avg_Advance" vbProcedure="false">Assumptions!$D$200</definedName>
    <definedName function="false" hidden="false" name="Avg_Bridge" vbProcedure="false">Assumptions!$D$185</definedName>
    <definedName function="false" hidden="false" name="Avg_Factoring" vbProcedure="false">Assumptions!$D$180</definedName>
    <definedName function="false" hidden="false" name="Avg_Line" vbProcedure="false">Assumptions!$D$190</definedName>
    <definedName function="false" hidden="false" name="Avg_Salary" vbProcedure="false">Assumptions!$D$147</definedName>
    <definedName function="false" hidden="false" name="Avg_Term" vbProcedure="false">Assumptions!$D$195</definedName>
    <definedName function="false" hidden="false" name="Balance_Grande" vbProcedure="false">Assumptions!$D$122</definedName>
    <definedName function="false" hidden="false" name="Balance_Moyenne" vbProcedure="false">Assumptions!$D$121</definedName>
    <definedName function="false" hidden="false" name="Balance_Petite" vbProcedure="false">Assumptions!$D$120</definedName>
    <definedName function="false" hidden="false" name="Bank_Fee" vbProcedure="false">Assumptions!$D$156</definedName>
    <definedName function="false" hidden="false" name="Bank_Min_CI" vbProcedure="false">Assumptions!$D$266:$H$266</definedName>
    <definedName function="false" hidden="false" name="Bank_Min_SN" vbProcedure="false">Assumptions!$D$265:$H$265</definedName>
    <definedName function="false" hidden="false" name="Bank_Payout_Cost" vbProcedure="false">Assumptions!$D$168</definedName>
    <definedName function="false" hidden="false" name="Bank_Setup_CI" vbProcedure="false">Assumptions!$D$263</definedName>
    <definedName function="false" hidden="false" name="Bank_Setup_Month" vbProcedure="false">Assumptions!$D$25</definedName>
    <definedName function="false" hidden="false" name="Bank_Setup_SN" vbProcedure="false">Assumptions!$D$262</definedName>
    <definedName function="false" hidden="false" name="Book_per_Credit" vbProcedure="false">Assumptions!$D$226</definedName>
    <definedName function="false" hidden="false" name="Brand_PR" vbProcedure="false">Assumptions!$D$282:$H$282</definedName>
    <definedName function="false" hidden="false" name="CAC_Digital" vbProcedure="false">Assumptions!$D$42</definedName>
    <definedName function="false" hidden="false" name="Capital_Ratio" vbProcedure="false">Assumptions!$D$207</definedName>
    <definedName function="false" hidden="false" name="Cards_Act_Grande" vbProcedure="false">Assumptions!$D$143</definedName>
    <definedName function="false" hidden="false" name="Cards_Act_Moyenne" vbProcedure="false">Assumptions!$D$142</definedName>
    <definedName function="false" hidden="false" name="Cards_Act_Petite" vbProcedure="false">Assumptions!$D$141</definedName>
    <definedName function="false" hidden="false" name="Cards_New_Grande" vbProcedure="false">Assumptions!$D$140</definedName>
    <definedName function="false" hidden="false" name="Cards_New_Moyenne" vbProcedure="false">Assumptions!$D$139</definedName>
    <definedName function="false" hidden="false" name="Cards_New_Petite" vbProcedure="false">Assumptions!$D$138</definedName>
    <definedName function="false" hidden="false" name="Cards_Phys_Incl_Grande" vbProcedure="false">Assumptions!$D$73</definedName>
    <definedName function="false" hidden="false" name="Cards_Phys_Incl_Moyenne" vbProcedure="false">Assumptions!$D$72</definedName>
    <definedName function="false" hidden="false" name="Cards_Phys_Incl_Petite" vbProcedure="false">Assumptions!$D$71</definedName>
    <definedName function="false" hidden="false" name="Card_Collateral" vbProcedure="false">Assumptions!$D$290</definedName>
    <definedName function="false" hidden="false" name="Card_Fee" vbProcedure="false">Assumptions!$D$84</definedName>
    <definedName function="false" hidden="false" name="Card_Proc_Fee" vbProcedure="false">Assumptions!$D$160</definedName>
    <definedName function="false" hidden="false" name="Card_Prod_Cost" vbProcedure="false">Assumptions!$D$161</definedName>
    <definedName function="false" hidden="false" name="Churn_Grande" vbProcedure="false">Assumptions!$D$48</definedName>
    <definedName function="false" hidden="false" name="Churn_Moyenne" vbProcedure="false">Assumptions!$D$47</definedName>
    <definedName function="false" hidden="false" name="Churn_Petite" vbProcedure="false">Assumptions!$D$46</definedName>
    <definedName function="false" hidden="false" name="CI_Bank_Setup_Month" vbProcedure="false">Assumptions!$D$26</definedName>
    <definedName function="false" hidden="false" name="CI_Company_Month" vbProcedure="false">Assumptions!$D$31</definedName>
    <definedName function="false" hidden="false" name="CI_Office_Start" vbProcedure="false">Assumptions!$D$19</definedName>
    <definedName function="false" hidden="false" name="CI_Productivity" vbProcedure="false">Assumptions!$D$36</definedName>
    <definedName function="false" hidden="false" name="Claude_Shared" vbProcedure="false">Assumptions!$D$240</definedName>
    <definedName function="false" hidden="false" name="Claude_USD" vbProcedure="false">Assumptions!$D$239</definedName>
    <definedName function="false" hidden="false" name="ClickUp_USD" vbProcedure="false">Assumptions!$D$238</definedName>
    <definedName function="false" hidden="false" name="Clients_per_Dev" vbProcedure="false">Assumptions!$D$217</definedName>
    <definedName function="false" hidden="false" name="Clients_per_Rep" vbProcedure="false">Assumptions!$D$222</definedName>
    <definedName function="false" hidden="false" name="Clients_per_Support" vbProcedure="false">Assumptions!$D$213</definedName>
    <definedName function="false" hidden="false" name="Cloud_Start" vbProcedure="false">Assumptions!$D$29</definedName>
    <definedName function="false" hidden="false" name="Cloud_USD" vbProcedure="false">Assumptions!$D$254:$H$254</definedName>
    <definedName function="false" hidden="false" name="CoF" vbProcedure="false">Assumptions!$D$203</definedName>
    <definedName function="false" hidden="false" name="Collateral_Month" vbProcedure="false">Assumptions!$D$24</definedName>
    <definedName function="false" hidden="false" name="Company_Setup_CI" vbProcedure="false">Assumptions!$D$270</definedName>
    <definedName function="false" hidden="false" name="Company_Setup_SN" vbProcedure="false">Assumptions!$D$269</definedName>
    <definedName function="false" hidden="false" name="Contingency_Pct" vbProcedure="false">Assumptions!$D$13</definedName>
    <definedName function="false" hidden="false" name="CoR_Advance" vbProcedure="false">Assumptions!$D$202</definedName>
    <definedName function="false" hidden="false" name="CoR_Bridge" vbProcedure="false">Assumptions!$D$187</definedName>
    <definedName function="false" hidden="false" name="CoR_Factoring" vbProcedure="false">Assumptions!$D$182</definedName>
    <definedName function="false" hidden="false" name="CoR_Line" vbProcedure="false">Assumptions!$D$192</definedName>
    <definedName function="false" hidden="false" name="CoR_Mult" vbProcedure="false">Assumptions!$D$176</definedName>
    <definedName function="false" hidden="false" name="CoR_Term" vbProcedure="false">Assumptions!$D$197</definedName>
    <definedName function="false" hidden="false" name="Credit_Bureau" vbProcedure="false">Assumptions!$D$256:$H$256</definedName>
    <definedName function="false" hidden="false" name="Credit_Lead_Months" vbProcedure="false">Assumptions!$D$225</definedName>
    <definedName function="false" hidden="false" name="Credit_Mult" vbProcedure="false">Assumptions!$D$175</definedName>
    <definedName function="false" hidden="false" name="Credit_Ramp" vbProcedure="false">Assumptions!$D$177</definedName>
    <definedName function="false" hidden="false" name="Data_Protection" vbProcedure="false">Assumptions!$D$277:$H$277</definedName>
    <definedName function="false" hidden="false" name="Deposit_Share" vbProcedure="false">Assumptions!$D$91</definedName>
    <definedName function="false" hidden="false" name="Devs_Min" vbProcedure="false">Assumptions!$D$216</definedName>
    <definedName function="false" hidden="false" name="Digital_CI" vbProcedure="false">Assumptions!$D$281:$H$281</definedName>
    <definedName function="false" hidden="false" name="Digital_SN" vbProcedure="false">Assumptions!$D$280:$H$280</definedName>
    <definedName function="false" hidden="false" name="Domain_USD" vbProcedure="false">Assumptions!$D$242</definedName>
    <definedName function="false" hidden="false" name="EmpAcc_Adoption" vbProcedure="false">Assumptions!$D$153</definedName>
    <definedName function="false" hidden="false" name="EmpAcc_Cost" vbProcedure="false">Assumptions!$D$172</definedName>
    <definedName function="false" hidden="false" name="EmpAcc_per_Support" vbProcedure="false">Assumptions!$D$214</definedName>
    <definedName function="false" hidden="false" name="EmpAcc_Start" vbProcedure="false">Assumptions!$D$21</definedName>
    <definedName function="false" hidden="false" name="Employer_Charges" vbProcedure="false">Assumptions!$D$210</definedName>
    <definedName function="false" hidden="false" name="Emp_Grande" vbProcedure="false">Assumptions!$D$125</definedName>
    <definedName function="false" hidden="false" name="Emp_Moyenne" vbProcedure="false">Assumptions!$D$124</definedName>
    <definedName function="false" hidden="false" name="Emp_Notif" vbProcedure="false">Assumptions!$D$171</definedName>
    <definedName function="false" hidden="false" name="Emp_Petite" vbProcedure="false">Assumptions!$D$123</definedName>
    <definedName function="false" hidden="false" name="Events" vbProcedure="false">Assumptions!$D$283:$H$283</definedName>
    <definedName function="false" hidden="false" name="Extra_Card_Fee" vbProcedure="false">Assumptions!$D$78</definedName>
    <definedName function="false" hidden="false" name="Extra_User_Fee" vbProcedure="false">Assumptions!$D$77</definedName>
    <definedName function="false" hidden="false" name="First_Loss" vbProcedure="false">Assumptions!$D$206</definedName>
    <definedName function="false" hidden="false" name="Foreign_Spend_Factor" vbProcedure="false">Assumptions!$D$89</definedName>
    <definedName function="false" hidden="false" name="Fraud_Rate" vbProcedure="false">Assumptions!$D$164</definedName>
    <definedName function="false" hidden="false" name="Freelance" vbProcedure="false">Assumptions!$D$258:$H$258</definedName>
    <definedName function="false" hidden="false" name="Free_Months" vbProcedure="false">Assumptions!$D$62</definedName>
    <definedName function="false" hidden="false" name="FX_Avg_Txn" vbProcedure="false">Assumptions!$D$86</definedName>
    <definedName function="false" hidden="false" name="FX_EUR" vbProcedure="false">Assumptions!$D$9</definedName>
    <definedName function="false" hidden="false" name="FX_Fee" vbProcedure="false">Assumptions!$D$87</definedName>
    <definedName function="false" hidden="false" name="FX_Fixed_Fee" vbProcedure="false">Assumptions!$D$85</definedName>
    <definedName function="false" hidden="false" name="FX_Interchange" vbProcedure="false">Assumptions!$D$88</definedName>
    <definedName function="false" hidden="false" name="FX_USD" vbProcedure="false">Assumptions!$D$10</definedName>
    <definedName function="false" hidden="false" name="Gmail_USD" vbProcedure="false">Assumptions!$D$237</definedName>
    <definedName function="false" hidden="false" name="Insurance_USD" vbProcedure="false">Assumptions!$D$278:$H$278</definedName>
    <definedName function="false" hidden="false" name="Interchange_Share" vbProcedure="false">Assumptions!$D$90</definedName>
    <definedName function="false" hidden="false" name="Intl_Avg_Payment" vbProcedure="false">Assumptions!$D$109</definedName>
    <definedName function="false" hidden="false" name="Intl_Cost" vbProcedure="false">Assumptions!$D$107</definedName>
    <definedName function="false" hidden="false" name="Intl_Fee" vbProcedure="false">Assumptions!$D$106</definedName>
    <definedName function="false" hidden="false" name="Intl_Fixed_Fee" vbProcedure="false">Assumptions!$D$108</definedName>
    <definedName function="false" hidden="false" name="Intl_Ramp" vbProcedure="false">Assumptions!$D$111</definedName>
    <definedName function="false" hidden="false" name="Intl_Start" vbProcedure="false">Assumptions!$D$105</definedName>
    <definedName function="false" hidden="false" name="Intl_Uptake" vbProcedure="false">Assumptions!$D$110</definedName>
    <definedName function="false" hidden="false" name="Intl_Vol_Grande" vbProcedure="false">Assumptions!$D$137</definedName>
    <definedName function="false" hidden="false" name="Intl_Vol_Moyenne" vbProcedure="false">Assumptions!$D$136</definedName>
    <definedName function="false" hidden="false" name="Intl_Vol_Petite" vbProcedure="false">Assumptions!$D$135</definedName>
    <definedName function="false" hidden="false" name="KYB_Cost" vbProcedure="false">Assumptions!$D$157</definedName>
    <definedName function="false" hidden="false" name="KYC_Cost" vbProcedure="false">Assumptions!$D$158</definedName>
    <definedName function="false" hidden="false" name="KYC_Min_USD" vbProcedure="false">Assumptions!$D$255</definedName>
    <definedName function="false" hidden="false" name="KYC_Persons" vbProcedure="false">Assumptions!$D$159</definedName>
    <definedName function="false" hidden="false" name="Laptop_Dev_USD" vbProcedure="false">Assumptions!$D$230</definedName>
    <definedName function="false" hidden="false" name="Laptop_EUR" vbProcedure="false">Assumptions!$D$229</definedName>
    <definedName function="false" hidden="false" name="Launch_CI" vbProcedure="false">Assumptions!$D$17</definedName>
    <definedName function="false" hidden="false" name="Launch_SN" vbProcedure="false">Assumptions!$D$16</definedName>
    <definedName function="false" hidden="false" name="Legal_Counsel" vbProcedure="false">Assumptions!$D$273:$H$273</definedName>
    <definedName function="false" hidden="false" name="Maak_Equity_Pct" vbProcedure="false">Assumptions!$D$249</definedName>
    <definedName function="false" hidden="false" name="Maak_Lease_EUR" vbProcedure="false">Assumptions!$D$246</definedName>
    <definedName function="false" hidden="false" name="Maak_Lease_Months" vbProcedure="false">Assumptions!$D$247</definedName>
    <definedName function="false" hidden="false" name="Maak_Maint_USD" vbProcedure="false">Assumptions!$D$248</definedName>
    <definedName function="false" hidden="false" name="Maak_Option" vbProcedure="false">Assumptions!$D$245</definedName>
    <definedName function="false" hidden="false" name="Misc" vbProcedure="false">Assumptions!$D$286:$H$286</definedName>
    <definedName function="false" hidden="false" name="Mix_Grande" vbProcedure="false">Assumptions!$D$45</definedName>
    <definedName function="false" hidden="false" name="Mix_Moyenne" vbProcedure="false">Assumptions!$D$44</definedName>
    <definedName function="false" hidden="false" name="Mix_Petite" vbProcedure="false">Assumptions!$D$43</definedName>
    <definedName function="false" hidden="false" name="MM_Cost_Cap" vbProcedure="false">Assumptions!$D$166</definedName>
    <definedName function="false" hidden="false" name="MM_Cost_Flat" vbProcedure="false">Assumptions!$D$167</definedName>
    <definedName function="false" hidden="false" name="MM_Cost_Pct" vbProcedure="false">Assumptions!$D$165</definedName>
    <definedName function="false" hidden="false" name="MM_Fee" vbProcedure="false">Assumptions!$D$82</definedName>
    <definedName function="false" hidden="false" name="MM_Fee_Cap" vbProcedure="false">Assumptions!$D$83</definedName>
    <definedName function="false" hidden="false" name="MM_Free_Grande" vbProcedure="false">Assumptions!$D$81</definedName>
    <definedName function="false" hidden="false" name="MM_Free_Moyenne" vbProcedure="false">Assumptions!$D$80</definedName>
    <definedName function="false" hidden="false" name="MM_Free_Petite" vbProcedure="false">Assumptions!$D$79</definedName>
    <definedName function="false" hidden="false" name="MM_Low_Share" vbProcedure="false">Assumptions!$D$151</definedName>
    <definedName function="false" hidden="false" name="MM_Mid_Share" vbProcedure="false">Assumptions!$D$152</definedName>
    <definedName function="false" hidden="false" name="Monitoring_USD" vbProcedure="false">Assumptions!$D$257:$H$257</definedName>
    <definedName function="false" hidden="false" name="Notif_Cost" vbProcedure="false">Assumptions!$D$170</definedName>
    <definedName function="false" hidden="false" name="Office_Start" vbProcedure="false">Assumptions!$D$18</definedName>
    <definedName function="false" hidden="false" name="Opening_Cash" vbProcedure="false">Assumptions!$D$289</definedName>
    <definedName function="false" hidden="false" name="Overage_Fee" vbProcedure="false">Assumptions!$D$92</definedName>
    <definedName function="false" hidden="false" name="Overage_Grande" vbProcedure="false">Assumptions!$D$131</definedName>
    <definedName function="false" hidden="false" name="Overage_Moyenne" vbProcedure="false">Assumptions!$D$130</definedName>
    <definedName function="false" hidden="false" name="Overage_Petite" vbProcedure="false">Assumptions!$D$129</definedName>
    <definedName function="false" hidden="false" name="Own_Funding_Month" vbProcedure="false">Assumptions!$D$23</definedName>
    <definedName function="false" hidden="false" name="Partner_Base_CI" vbProcedure="false">Assumptions!$D$38</definedName>
    <definedName function="false" hidden="false" name="Partner_Base_SN" vbProcedure="false">Assumptions!$D$37</definedName>
    <definedName function="false" hidden="false" name="Partner_Cap_CI" vbProcedure="false">Assumptions!$D$41</definedName>
    <definedName function="false" hidden="false" name="Partner_Cap_SN" vbProcedure="false">Assumptions!$D$40</definedName>
    <definedName function="false" hidden="false" name="Partner_Growth" vbProcedure="false">Assumptions!$D$39</definedName>
    <definedName function="false" hidden="false" name="Partner_Share" vbProcedure="false">Assumptions!$D$205</definedName>
    <definedName function="false" hidden="false" name="PayLinks_Start" vbProcedure="false">Assumptions!$D$20</definedName>
    <definedName function="false" hidden="false" name="Payroll_Free_Grande" vbProcedure="false">Assumptions!$D$76</definedName>
    <definedName function="false" hidden="false" name="Payroll_Free_Moyenne" vbProcedure="false">Assumptions!$D$75</definedName>
    <definedName function="false" hidden="false" name="Payroll_Free_Petite" vbProcedure="false">Assumptions!$D$74</definedName>
    <definedName function="false" hidden="false" name="Payroll_Mod_Ramp" vbProcedure="false">Assumptions!$D$103</definedName>
    <definedName function="false" hidden="false" name="Payroll_Mod_Start" vbProcedure="false">Assumptions!$D$100</definedName>
    <definedName function="false" hidden="false" name="Payroll_Mod_Uptake" vbProcedure="false">Assumptions!$D$102</definedName>
    <definedName function="false" hidden="false" name="Payslip_Cost" vbProcedure="false">Assumptions!$D$104</definedName>
    <definedName function="false" hidden="false" name="Payslip_Fee" vbProcedure="false">Assumptions!$D$101</definedName>
    <definedName function="false" hidden="false" name="Phone_Cost" vbProcedure="false">Assumptions!$D$236</definedName>
    <definedName function="false" hidden="false" name="PL_Adoption" vbProcedure="false">Assumptions!$D$96</definedName>
    <definedName function="false" hidden="false" name="PL_Coll_Grande" vbProcedure="false">Assumptions!$D$146</definedName>
    <definedName function="false" hidden="false" name="PL_Coll_Moyenne" vbProcedure="false">Assumptions!$D$145</definedName>
    <definedName function="false" hidden="false" name="PL_Coll_Petite" vbProcedure="false">Assumptions!$D$144</definedName>
    <definedName function="false" hidden="false" name="PL_Cost" vbProcedure="false">Assumptions!$D$94</definedName>
    <definedName function="false" hidden="false" name="PL_Fee" vbProcedure="false">Assumptions!$D$93</definedName>
    <definedName function="false" hidden="false" name="PL_Momo_Share" vbProcedure="false">Assumptions!$D$95</definedName>
    <definedName function="false" hidden="false" name="PL_Ramp" vbProcedure="false">Assumptions!$D$97</definedName>
    <definedName function="false" hidden="false" name="Price_Grande" vbProcedure="false">Assumptions!$D$58</definedName>
    <definedName function="false" hidden="false" name="Price_Increase" vbProcedure="false">Assumptions!$D$61</definedName>
    <definedName function="false" hidden="false" name="Price_Moyenne" vbProcedure="false">Assumptions!$D$57</definedName>
    <definedName function="false" hidden="false" name="Price_Petite" vbProcedure="false">Assumptions!$D$56</definedName>
    <definedName function="false" hidden="false" name="Pricing_Option" vbProcedure="false">Assumptions!$D$53</definedName>
    <definedName function="false" hidden="false" name="Proc_Min_Start" vbProcedure="false">Assumptions!$D$28</definedName>
    <definedName function="false" hidden="false" name="Proc_Min_USD" vbProcedure="false">Assumptions!$D$259:$H$259</definedName>
    <definedName function="false" hidden="false" name="Proc_Setup_Month" vbProcedure="false">Assumptions!$D$27</definedName>
    <definedName function="false" hidden="false" name="Proc_Setup_USD" vbProcedure="false">Assumptions!$D$260</definedName>
    <definedName function="false" hidden="false" name="Referral_Fee" vbProcedure="false">Assumptions!$D$49</definedName>
    <definedName function="false" hidden="false" name="Regus_EUR" vbProcedure="false">Assumptions!$D$228</definedName>
    <definedName function="false" hidden="false" name="Reps_Min_CI" vbProcedure="false">Assumptions!$D$221</definedName>
    <definedName function="false" hidden="false" name="Reps_Min_SN" vbProcedure="false">Assumptions!$D$220</definedName>
    <definedName function="false" hidden="false" name="Reps_Start" vbProcedure="false">Assumptions!$D$219</definedName>
    <definedName function="false" hidden="false" name="Rep_Productivity" vbProcedure="false">Assumptions!$D$35</definedName>
    <definedName function="false" hidden="false" name="Rep_Transport" vbProcedure="false">Assumptions!$D$50</definedName>
    <definedName function="false" hidden="false" name="Salary_Credit" vbProcedure="false">Assumptions!$D$227</definedName>
    <definedName function="false" hidden="false" name="Salary_Dev" vbProcedure="false">Assumptions!$D$218</definedName>
    <definedName function="false" hidden="false" name="Salary_Raise" vbProcedure="false">Assumptions!$D$12</definedName>
    <definedName function="false" hidden="false" name="Salary_Rep_CI" vbProcedure="false">Assumptions!$D$224</definedName>
    <definedName function="false" hidden="false" name="Salary_Rep_SN" vbProcedure="false">Assumptions!$D$223</definedName>
    <definedName function="false" hidden="false" name="Salary_Support" vbProcedure="false">Assumptions!$D$215</definedName>
    <definedName function="false" hidden="false" name="Scenario" vbProcedure="false">Assumptions!$D$4</definedName>
    <definedName function="false" hidden="false" name="Scheme_Fixed" vbProcedure="false">Assumptions!$D$163</definedName>
    <definedName function="false" hidden="false" name="Scheme_Rate" vbProcedure="false">Assumptions!$D$162</definedName>
    <definedName function="false" hidden="false" name="Seed_Amount" vbProcedure="false">Assumptions!$D$293</definedName>
    <definedName function="false" hidden="false" name="Seed_Month" vbProcedure="false">Assumptions!$D$292</definedName>
    <definedName function="false" hidden="false" name="SeriesA_Amount" vbProcedure="false">Assumptions!$D$295</definedName>
    <definedName function="false" hidden="false" name="SeriesA_Month" vbProcedure="false">Assumptions!$D$294</definedName>
    <definedName function="false" hidden="false" name="SeriesB_Amount" vbProcedure="false">Assumptions!$D$297</definedName>
    <definedName function="false" hidden="false" name="SeriesB_Month" vbProcedure="false">Assumptions!$D$296</definedName>
    <definedName function="false" hidden="false" name="Servicing" vbProcedure="false">Assumptions!$D$204</definedName>
    <definedName function="false" hidden="false" name="SFD_Acquisition" vbProcedure="false">Assumptions!$D$291</definedName>
    <definedName function="false" hidden="false" name="SFD_Acq_Month" vbProcedure="false">Assumptions!$D$22</definedName>
    <definedName function="false" hidden="false" name="SFD_Annual" vbProcedure="false">Assumptions!$D$267:$H$267</definedName>
    <definedName function="false" hidden="false" name="SFD_Project" vbProcedure="false">Assumptions!$D$271:$H$271</definedName>
    <definedName function="false" hidden="false" name="SFD_Running" vbProcedure="false">Assumptions!$D$272:$H$272</definedName>
    <definedName function="false" hidden="false" name="SFD_Setup" vbProcedure="false">Assumptions!$D$264</definedName>
    <definedName function="false" hidden="false" name="SFD_Setup_Month" vbProcedure="false">Assumptions!$D$30</definedName>
    <definedName function="false" hidden="false" name="Spend_Dom_Grande" vbProcedure="false">Assumptions!$D$116</definedName>
    <definedName function="false" hidden="false" name="Spend_Dom_Moyenne" vbProcedure="false">Assumptions!$D$115</definedName>
    <definedName function="false" hidden="false" name="Spend_Dom_Petite" vbProcedure="false">Assumptions!$D$114</definedName>
    <definedName function="false" hidden="false" name="Spend_For_Grande" vbProcedure="false">Assumptions!$D$119</definedName>
    <definedName function="false" hidden="false" name="Spend_For_Moyenne" vbProcedure="false">Assumptions!$D$118</definedName>
    <definedName function="false" hidden="false" name="Spend_For_Petite" vbProcedure="false">Assumptions!$D$117</definedName>
    <definedName function="false" hidden="false" name="Start_Advance" vbProcedure="false">Assumptions!$D$198</definedName>
    <definedName function="false" hidden="false" name="Start_Bridge" vbProcedure="false">Assumptions!$D$183</definedName>
    <definedName function="false" hidden="false" name="Start_Date" vbProcedure="false">Assumptions!$D$8</definedName>
    <definedName function="false" hidden="false" name="Start_Factoring" vbProcedure="false">Assumptions!$D$178</definedName>
    <definedName function="false" hidden="false" name="Start_Line" vbProcedure="false">Assumptions!$D$188</definedName>
    <definedName function="false" hidden="false" name="Start_Term" vbProcedure="false">Assumptions!$D$193</definedName>
    <definedName function="false" hidden="false" name="Supplier_Grande" vbProcedure="false">Assumptions!$D$128</definedName>
    <definedName function="false" hidden="false" name="Supplier_Moyenne" vbProcedure="false">Assumptions!$D$127</definedName>
    <definedName function="false" hidden="false" name="Supplier_Payout_Cost" vbProcedure="false">Assumptions!$D$169</definedName>
    <definedName function="false" hidden="false" name="Supplier_Petite" vbProcedure="false">Assumptions!$D$126</definedName>
    <definedName function="false" hidden="false" name="Support_Min" vbProcedure="false">Assumptions!$D$212</definedName>
    <definedName function="false" hidden="false" name="Support_Start" vbProcedure="false">Assumptions!$D$211</definedName>
    <definedName function="false" hidden="false" name="Sup_Avg_Amount" vbProcedure="false">Assumptions!$D$150</definedName>
    <definedName function="false" hidden="false" name="Sup_Wallet_Share" vbProcedure="false">Assumptions!$D$149</definedName>
    <definedName function="false" hidden="false" name="Tax_Rate" vbProcedure="false">Assumptions!$D$11</definedName>
    <definedName function="false" hidden="false" name="Tech_Audit_USD" vbProcedure="false">Assumptions!$D$250</definedName>
    <definedName function="false" hidden="false" name="Transfers_Incl_Grande" vbProcedure="false">Assumptions!$D$70</definedName>
    <definedName function="false" hidden="false" name="Transfers_Incl_Moyenne" vbProcedure="false">Assumptions!$D$69</definedName>
    <definedName function="false" hidden="false" name="Transfers_Incl_Petite" vbProcedure="false">Assumptions!$D$68</definedName>
    <definedName function="false" hidden="false" name="Travel" vbProcedure="false">Assumptions!$D$285:$H$285</definedName>
    <definedName function="false" hidden="false" name="Uptake_Bridge" vbProcedure="false">Assumptions!$D$184</definedName>
    <definedName function="false" hidden="false" name="Uptake_Factoring" vbProcedure="false">Assumptions!$D$179</definedName>
    <definedName function="false" hidden="false" name="Uptake_Line" vbProcedure="false">Assumptions!$D$189</definedName>
    <definedName function="false" hidden="false" name="Uptake_Term" vbProcedure="false">Assumptions!$D$194</definedName>
    <definedName function="false" hidden="false" name="Usage_Advance" vbProcedure="false">Assumptions!$D$199</definedName>
    <definedName function="false" hidden="false" name="Users_Grande" vbProcedure="false">Assumptions!$D$134</definedName>
    <definedName function="false" hidden="false" name="Users_Incl_Grande" vbProcedure="false">Assumptions!$D$67</definedName>
    <definedName function="false" hidden="false" name="Users_Incl_Moyenne" vbProcedure="false">Assumptions!$D$66</definedName>
    <definedName function="false" hidden="false" name="Users_Incl_Petite" vbProcedure="false">Assumptions!$D$65</definedName>
    <definedName function="false" hidden="false" name="Users_Moyenne" vbProcedure="false">Assumptions!$D$133</definedName>
    <definedName function="false" hidden="false" name="Users_Petite" vbProcedure="false">Assumptions!$D$132</definedName>
    <definedName function="false" hidden="false" name="Wallet_Share" vbProcedure="false">Assumptions!$D$148</definedName>
    <definedName function="false" hidden="false" name="Website_USD" vbProcedure="false">Assumptions!$D$241</definedName>
    <definedName function="false" hidden="false" name="Yield_Advance" vbProcedure="false">Assumptions!$D$201</definedName>
    <definedName function="false" hidden="false" name="Yield_Bridge" vbProcedure="false">Assumptions!$D$186</definedName>
    <definedName function="false" hidden="false" name="Yield_Factoring" vbProcedure="false">Assumptions!$D$181</definedName>
    <definedName function="false" hidden="false" name="Yield_Line" vbProcedure="false">Assumptions!$D$191</definedName>
    <definedName function="false" hidden="false" name="Yield_Term" vbProcedure="false">Assumptions!$D$196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<sst xmlns="http://schemas.openxmlformats.org/spreadsheetml/2006/main" count="3565" uniqueCount="1727">
  <si>
    <t xml:space="preserve">Kelen: business plan model</t>
  </si>
  <si>
    <t xml:space="preserve">B2B neobank for SMEs in Senegal, then Côte d'Ivoire. Five years, monthly, every figure driven by formulas.</t>
  </si>
  <si>
    <t xml:space="preserve">How to use</t>
  </si>
  <si>
    <t xml:space="preserve">1. Pick a scenario</t>
  </si>
  <si>
    <t xml:space="preserve">Assumptions › cell D4: 1 = Prudent, 2 = Base, 3 = Ambitious. Rows with three values switch with it.</t>
  </si>
  <si>
    <t xml:space="preserve">2. Change any input</t>
  </si>
  <si>
    <t xml:space="preserve">Inputs are blue on a cream background (Assumptions, Hiring plan, Market). Everything else is a formula: do not type over it.</t>
  </si>
  <si>
    <t xml:space="preserve">3. Change the team</t>
  </si>
  <si>
    <t xml:space="preserve">Hiring plan: the fixed roles (founder, CTO, financial expert, sales lead, marketing, country manager, compliance officer). Support, developers, field sales reps and credit analysts grow with clients and the loan book: ratios on Assumptions, section 8.</t>
  </si>
  <si>
    <t xml:space="preserve">4. Check the cash</t>
  </si>
  <si>
    <t xml:space="preserve">Dashboard › checks. If cash goes negative, raise more or earlier (Assumptions, section 11).</t>
  </si>
  <si>
    <t xml:space="preserve">Tabs</t>
  </si>
  <si>
    <t xml:space="preserve">Dashboard</t>
  </si>
  <si>
    <t xml:space="preserve">Headline numbers, year-by-year summary and checks.</t>
  </si>
  <si>
    <t xml:space="preserve">Plans</t>
  </si>
  <si>
    <t xml:space="preserve">The three plans with their prices, limits and features; add-ons, commissions, what is always free, partner income, credit rates and the A/B/C pricing options.</t>
  </si>
  <si>
    <t xml:space="preserve">Assumptions</t>
  </si>
  <si>
    <t xml:space="preserve">Every hypothesis with its source: timing, acquisition, pricing, usage per client, cost to serve, credit, team and tools, Maak, fixed costs by year, funding.</t>
  </si>
  <si>
    <t xml:space="preserve">Unit costs</t>
  </si>
  <si>
    <t xml:space="preserve">What one of each thing costs or earns: one employee by role, one client by plan, one loan, and the price of every fixed item.</t>
  </si>
  <si>
    <t xml:space="preserve">Hiring plan</t>
  </si>
  <si>
    <t xml:space="preserve">Fixed roles, start months and salaries (employer cost = gross + 30% charges); 'Agency hire' adds the €800 agency fee.</t>
  </si>
  <si>
    <t xml:space="preserve">Staff</t>
  </si>
  <si>
    <t xml:space="preserve">Headcount and employer cost by month: fixed roles plus the team that grows with volume.</t>
  </si>
  <si>
    <t xml:space="preserve">Sales &amp; marketing</t>
  </si>
  <si>
    <t xml:space="preserve">New clients by channel (field sales, partners, digital) and country; marketing budget; cost to acquire a client.</t>
  </si>
  <si>
    <t xml:space="preserve">Clients &amp; revenue</t>
  </si>
  <si>
    <t xml:space="preserve">Active clients by plan, usage (cards, balances, payroll, payouts) and every non-credit revenue line.</t>
  </si>
  <si>
    <t xml:space="preserve">Credit</t>
  </si>
  <si>
    <t xml:space="preserve">Loan book by product, interest, cost of funds, losses and the share kept by Kelen; cash tied up by credit.</t>
  </si>
  <si>
    <t xml:space="preserve">Costs</t>
  </si>
  <si>
    <t xml:space="preserve">Variable costs, fixed costs by category and the contingency, month by month.</t>
  </si>
  <si>
    <t xml:space="preserve">P&amp;L monthly</t>
  </si>
  <si>
    <t xml:space="preserve">Revenue, cost of revenue, gross margin, operating expenses, EBITDA, tax, net income (no depreciation: equipment is expensed).</t>
  </si>
  <si>
    <t xml:space="preserve">P&amp;L annual</t>
  </si>
  <si>
    <t xml:space="preserve">Years 1–5, cash and funding, operating figures and a euro view.</t>
  </si>
  <si>
    <t xml:space="preserve">Cash flow</t>
  </si>
  <si>
    <t xml:space="preserve">Monthly cash, cash set aside, funding rounds, runway.</t>
  </si>
  <si>
    <t xml:space="preserve">Pricing levers</t>
  </si>
  <si>
    <t xml:space="preserve">What changing a price, a limit, a fee or a cost does to year-5 revenue and EBITDA; fee-versus-cost grids for international payments and card fees; insurance referrals kept outside the plan.</t>
  </si>
  <si>
    <t xml:space="preserve">Unit economics</t>
  </si>
  <si>
    <t xml:space="preserve">ARPA, cost to serve, contribution, CAC, payback, lifetime value, efficiency and credit ratios.</t>
  </si>
  <si>
    <t xml:space="preserve">Market</t>
  </si>
  <si>
    <t xml:space="preserve">Formal employers in Senegal and Côte d'Ivoire, target market and penetration.</t>
  </si>
  <si>
    <t xml:space="preserve">Sheets ending in (€)</t>
  </si>
  <si>
    <t xml:space="preserve">The same monthly sheet with every amount in euros. Annual sheets, Dashboard, Assumptions and Hiring plan show euros in extra columns.</t>
  </si>
  <si>
    <t xml:space="preserve">Regulatory path</t>
  </si>
  <si>
    <t xml:space="preserve">What each stage requires from regulators, and where its cost sits in the model.</t>
  </si>
  <si>
    <t xml:space="preserve">Colour code</t>
  </si>
  <si>
    <t xml:space="preserve">Blue on cream</t>
  </si>
  <si>
    <t xml:space="preserve">Input: change freely.</t>
  </si>
  <si>
    <t xml:space="preserve">Black</t>
  </si>
  <si>
    <t xml:space="preserve">Formula on the same sheet.</t>
  </si>
  <si>
    <t xml:space="preserve">Green</t>
  </si>
  <si>
    <t xml:space="preserve">Link to another sheet.</t>
  </si>
  <si>
    <t xml:space="preserve">Main caveats</t>
  </si>
  <si>
    <t xml:space="preserve">Estimates to replace</t>
  </si>
  <si>
    <t xml:space="preserve">Every cost line was checked against published prices and proxies in the cost research (Oct 2026, research/costs). Partner bank fees, card processing, Visa/Mastercard fees, PI-SPI business pricing (transfers to wallets) and FX costs have no public price: prudent uses public prices, base the researched value, ambitious negotiated targets. Replace them with term sheets.</t>
  </si>
  <si>
    <t xml:space="preserve">Partner income</t>
  </si>
  <si>
    <t xml:space="preserve">Interchange and a share of bank income on balances go to the partner bank. No partner has agreed to share them, so the plan counts zero; Pricing levers shows what they would add.</t>
  </si>
  <si>
    <t xml:space="preserve">Taxes</t>
  </si>
  <si>
    <t xml:space="preserve">Amounts exclude VAT and the 17% tax on financial activities (TAF), which apply to fees. Corporate tax is simplified (30%, losses carried forward without limit).</t>
  </si>
  <si>
    <t xml:space="preserve">Côte d'Ivoire</t>
  </si>
  <si>
    <t xml:space="preserve">Same 30% employer charges as Senegal; the number of formal employers is an estimate.</t>
  </si>
  <si>
    <t xml:space="preserve">No loans before month 18. A partner microfinance institution (SFD) lends at 23% a year, under the 24% SFD usury cap. Kelen buys an SFD around month 24 and lends from it in Senegal; Côte d'Ivoire loans stay with a partner. The loan book is funded by debt lines, not equity.</t>
  </si>
  <si>
    <t xml:space="preserve">Licences</t>
  </si>
  <si>
    <t xml:space="preserve">Kelen holds no licence of its own until the SFD acquisition: partners hold the accounts, cards and loans. See Regulatory path.</t>
  </si>
  <si>
    <t xml:space="preserve">Sources</t>
  </si>
  <si>
    <t xml:space="preserve">Business model v2, Cost breakdown in euros, Senegal launch plan, the market and competitor analysis (Oct 2026, research/market) and the research notes in this project, plus IPRES/ANSD 2024, CNPS and CEPICI 2025 for the market.</t>
  </si>
  <si>
    <t xml:space="preserve">Kelen business plan: dashboard</t>
  </si>
  <si>
    <t xml:space="preserve">Key results for the scenario selected on Assumptions. FCFA in columns B–H, euros in column D (headline) and J–N (year by year).</t>
  </si>
  <si>
    <t xml:space="preserve">Scenario</t>
  </si>
  <si>
    <t xml:space="preserve">Headline numbers</t>
  </si>
  <si>
    <t xml:space="preserve">First month with positive EBITDA</t>
  </si>
  <si>
    <t xml:space="preserve">month #</t>
  </si>
  <si>
    <t xml:space="preserve">   which is</t>
  </si>
  <si>
    <t xml:space="preserve">Peak funding need (lowest cumulative cash flow before funding)</t>
  </si>
  <si>
    <t xml:space="preserve">FCFA</t>
  </si>
  <si>
    <t xml:space="preserve">   in euros</t>
  </si>
  <si>
    <t xml:space="preserve">€</t>
  </si>
  <si>
    <t xml:space="preserve">Equity raised in the plan</t>
  </si>
  <si>
    <t xml:space="preserve">Lowest closing cash</t>
  </si>
  <si>
    <t xml:space="preserve">   in month</t>
  </si>
  <si>
    <t xml:space="preserve">Cash at the end of year 5</t>
  </si>
  <si>
    <t xml:space="preserve">Technology from Maak</t>
  </si>
  <si>
    <t xml:space="preserve">   Maak's stake in Kelen</t>
  </si>
  <si>
    <t xml:space="preserve">Year by year</t>
  </si>
  <si>
    <t xml:space="preserve">Year</t>
  </si>
  <si>
    <t xml:space="preserve">Active clients (end of year)</t>
  </si>
  <si>
    <t xml:space="preserve">clients</t>
  </si>
  <si>
    <t xml:space="preserve">New clients in the year</t>
  </si>
  <si>
    <t xml:space="preserve">Headcount (end of year)</t>
  </si>
  <si>
    <t xml:space="preserve">people</t>
  </si>
  <si>
    <t xml:space="preserve">Total revenue</t>
  </si>
  <si>
    <t xml:space="preserve">Gross margin</t>
  </si>
  <si>
    <t xml:space="preserve">Gross margin %</t>
  </si>
  <si>
    <t xml:space="preserve">%</t>
  </si>
  <si>
    <t xml:space="preserve">Total operating expenses</t>
  </si>
  <si>
    <t xml:space="preserve">EBITDA</t>
  </si>
  <si>
    <t xml:space="preserve">EBITDA margin</t>
  </si>
  <si>
    <t xml:space="preserve">Net income</t>
  </si>
  <si>
    <t xml:space="preserve">Closing cash</t>
  </si>
  <si>
    <t xml:space="preserve">Loan book (end of year)</t>
  </si>
  <si>
    <t xml:space="preserve">Revenue per active client a month (ARPA)</t>
  </si>
  <si>
    <t xml:space="preserve">FCFA / month</t>
  </si>
  <si>
    <t xml:space="preserve">Blended CAC</t>
  </si>
  <si>
    <t xml:space="preserve">FCFA / client</t>
  </si>
  <si>
    <t xml:space="preserve">CAC payback (months)</t>
  </si>
  <si>
    <t xml:space="preserve">months</t>
  </si>
  <si>
    <t xml:space="preserve">Checks</t>
  </si>
  <si>
    <t xml:space="preserve">New-client mix adds up to 100%</t>
  </si>
  <si>
    <t xml:space="preserve">Cost of revenue in the P&amp;L equals variable costs</t>
  </si>
  <si>
    <t xml:space="preserve">Opex in the P&amp;L equals fixed costs</t>
  </si>
  <si>
    <t xml:space="preserve">Annual revenue equals monthly revenue</t>
  </si>
  <si>
    <t xml:space="preserve">Closing cash never negative</t>
  </si>
  <si>
    <t xml:space="preserve">Plans, add-ons and commissions</t>
  </si>
  <si>
    <t xml:space="preserve">The offer as clients see it, for the pricing option selected on Assumptions. Every price, limit and fee links to Assumptions; feature rows are the product definition.</t>
  </si>
  <si>
    <t xml:space="preserve">The three plans</t>
  </si>
  <si>
    <t xml:space="preserve">Clients choose by what they need, not by staff count. Two simple limits: a number of transfers to bank accounts (salaries never count) and an amount sent to mobile money (salaries included).</t>
  </si>
  <si>
    <t xml:space="preserve">What is included</t>
  </si>
  <si>
    <t xml:space="preserve">Essentiel</t>
  </si>
  <si>
    <t xml:space="preserve">Pro</t>
  </si>
  <si>
    <t xml:space="preserve">Business</t>
  </si>
  <si>
    <t xml:space="preserve">Notes</t>
  </si>
  <si>
    <t xml:space="preserve">Price</t>
  </si>
  <si>
    <t xml:space="preserve">Monthly price</t>
  </si>
  <si>
    <t xml:space="preserve">FCFA a month, excluding VAT. Option A / B / C on Assumptions.</t>
  </si>
  <si>
    <t xml:space="preserve">   in €</t>
  </si>
  <si>
    <t xml:space="preserve">Yearly billing (price for 12 months)</t>
  </si>
  <si>
    <t xml:space="preserve">Free trial</t>
  </si>
  <si>
    <t xml:space="preserve">Every new client, every plan.</t>
  </si>
  <si>
    <t xml:space="preserve">Limits</t>
  </si>
  <si>
    <t xml:space="preserve">Users included</t>
  </si>
  <si>
    <t xml:space="preserve">Essentiel: 1 main user + 1 invited free. More users: add-on below.</t>
  </si>
  <si>
    <t xml:space="preserve">Bank transfers a month</t>
  </si>
  <si>
    <t xml:space="preserve">Payments to suppliers and others by bank transfer. Salaries and transfers to wallets never count. Above it: fee per extra transfer. Incoming transfers are free and unlimited.</t>
  </si>
  <si>
    <t xml:space="preserve">Mobile money free up to</t>
  </si>
  <si>
    <t xml:space="preserve">FCFA a month sent to wallets (Wave, Orange Money, Mixx…), salaries included. Above it: the mobile money fee below. Fair use: no splitting into many tiny transfers.</t>
  </si>
  <si>
    <t xml:space="preserve">Salaries to bank accounts free up to</t>
  </si>
  <si>
    <t xml:space="preserve">FCFA of salaries a month. Above it: fee per extra transfer for each salary.</t>
  </si>
  <si>
    <t xml:space="preserve">Physical cards included</t>
  </si>
  <si>
    <t xml:space="preserve">Visa cards for staff, co-branded with the partner bank. More cards: one-off fee below.</t>
  </si>
  <si>
    <t xml:space="preserve">Virtual cards</t>
  </si>
  <si>
    <t xml:space="preserve">2</t>
  </si>
  <si>
    <t xml:space="preserve">10</t>
  </si>
  <si>
    <t xml:space="preserve">Unlimited</t>
  </si>
  <si>
    <t xml:space="preserve">For online payments: ads, software, subscriptions.</t>
  </si>
  <si>
    <t xml:space="preserve">Sub-accounts</t>
  </si>
  <si>
    <t xml:space="preserve">1</t>
  </si>
  <si>
    <t xml:space="preserve">5</t>
  </si>
  <si>
    <t xml:space="preserve">Separate balances by project, site or budget.</t>
  </si>
  <si>
    <t xml:space="preserve">Features</t>
  </si>
  <si>
    <t xml:space="preserve">Business account with its own IBAN</t>
  </si>
  <si>
    <t xml:space="preserve">✓</t>
  </si>
  <si>
    <t xml:space="preserve">Held at the partner bank.</t>
  </si>
  <si>
    <t xml:space="preserve">Salary payments to any bank or wallet</t>
  </si>
  <si>
    <t xml:space="preserve">Bulk runs, scheduled paydays, status per employee.</t>
  </si>
  <si>
    <t xml:space="preserve">Import a payroll file (KayFay, Sage, Excel…)</t>
  </si>
  <si>
    <t xml:space="preserve">Invoices and payment links (Wave, Orange Money, card)</t>
  </si>
  <si>
    <t xml:space="preserve">Commission on mobile-money collections: see commissions.</t>
  </si>
  <si>
    <t xml:space="preserve">Approvals (double signature)</t>
  </si>
  <si>
    <t xml:space="preserve">—</t>
  </si>
  <si>
    <t xml:space="preserve">✓ multi-level, custom rules</t>
  </si>
  <si>
    <t xml:space="preserve">Locked on Essentiel: tapping it shows an "Unlock with Pro" button.</t>
  </si>
  <si>
    <t xml:space="preserve">Accounting module (accountant access, receipts, SYSCOHADA export)</t>
  </si>
  <si>
    <t xml:space="preserve">Locked on Essentiel.</t>
  </si>
  <si>
    <t xml:space="preserve">Spend control (limits and budgets per card or person)</t>
  </si>
  <si>
    <t xml:space="preserve">Basic</t>
  </si>
  <si>
    <t xml:space="preserve">Full</t>
  </si>
  <si>
    <t xml:space="preserve">API and several companies under one login</t>
  </si>
  <si>
    <t xml:space="preserve">Support</t>
  </si>
  <si>
    <t xml:space="preserve">Chat</t>
  </si>
  <si>
    <t xml:space="preserve">Priority</t>
  </si>
  <si>
    <t xml:space="preserve">Dedicated adviser</t>
  </si>
  <si>
    <t xml:space="preserve">Payroll module (payslips and declarations)</t>
  </si>
  <si>
    <t xml:space="preserve">Paid option</t>
  </si>
  <si>
    <t xml:space="preserve">Per payslip: see add-ons.</t>
  </si>
  <si>
    <t xml:space="preserve">International supplier payments</t>
  </si>
  <si>
    <t xml:space="preserve">Fee per payment: see commissions.</t>
  </si>
  <si>
    <t xml:space="preserve">Add-ons</t>
  </si>
  <si>
    <t xml:space="preserve">Paid only when a client goes beyond its plan or chooses an option. Upgrade prompts appear at 80% and 100% of each limit.</t>
  </si>
  <si>
    <t xml:space="preserve">Add-on</t>
  </si>
  <si>
    <t xml:space="preserve">Unit</t>
  </si>
  <si>
    <t xml:space="preserve">When it applies</t>
  </si>
  <si>
    <t xml:space="preserve">Extra user</t>
  </si>
  <si>
    <t xml:space="preserve">Each user beyond the plan.</t>
  </si>
  <si>
    <t xml:space="preserve">Extra physical card</t>
  </si>
  <si>
    <t xml:space="preserve">FCFA, one-off</t>
  </si>
  <si>
    <t xml:space="preserve">The first physical card is free; each other card is paid once, for printing and delivery. No monthly fee.</t>
  </si>
  <si>
    <t xml:space="preserve">Bank transfer above the plan allowance</t>
  </si>
  <si>
    <t xml:space="preserve">FCFA / transfer</t>
  </si>
  <si>
    <t xml:space="preserve">Each bank transfer beyond the monthly number, and each salary to a bank account above the free amount. Not charged on transfers to wallets. Banks charge 3,000–5,000.</t>
  </si>
  <si>
    <t xml:space="preserve">Mobile money above the free amount</t>
  </si>
  <si>
    <t xml:space="preserve">% of amount</t>
  </si>
  <si>
    <t xml:space="preserve">Only the part sent to wallets above the plan's free amount. Kelen pays the operators 1% (capped at 5,000 FCFA) until a deal is signed. Wave charges 1%.</t>
  </si>
  <si>
    <t xml:space="preserve">Mobile money fee: cap per transfer</t>
  </si>
  <si>
    <t xml:space="preserve">The fee above never exceeds this on a single transfer (reached at 680,000 FCFA).</t>
  </si>
  <si>
    <t xml:space="preserve">Card payment in other currencies</t>
  </si>
  <si>
    <t xml:space="preserve">FCFA / payment</t>
  </si>
  <si>
    <t xml:space="preserve">On top of the % below, for each card payment in dollars or euros.</t>
  </si>
  <si>
    <t xml:space="preserve">International payment</t>
  </si>
  <si>
    <t xml:space="preserve">On top of the % below, for each payment abroad.</t>
  </si>
  <si>
    <t xml:space="preserve">Payroll module</t>
  </si>
  <si>
    <t xml:space="preserve">FCFA / payslip</t>
  </si>
  <si>
    <t xml:space="preserve">Payslip plus the monthly IPRES, CSS and income-tax declarations. Optional, every plan.</t>
  </si>
  <si>
    <t xml:space="preserve">Commissions</t>
  </si>
  <si>
    <t xml:space="preserve">Charged as a share of the amount, on top of the plan.</t>
  </si>
  <si>
    <t xml:space="preserve">Commission</t>
  </si>
  <si>
    <t xml:space="preserve">Rate</t>
  </si>
  <si>
    <t xml:space="preserve">What it is for</t>
  </si>
  <si>
    <t xml:space="preserve">Payment links and QR collections (mobile money)</t>
  </si>
  <si>
    <t xml:space="preserve">When a client's customer pays an invoice by Wave or Orange Money. Card and transfer payments are free.</t>
  </si>
  <si>
    <t xml:space="preserve">Card spending in other currencies</t>
  </si>
  <si>
    <t xml:space="preserve">Ads, software and travel paid in dollars or euros, plus a fixed fee per payment (below). Card spending in FCFA is free.</t>
  </si>
  <si>
    <t xml:space="preserve">Paying suppliers abroad (China, Turkey, Dubai, France). About the rate the bank or provider charges Kelen (3.5% assumed), plus a fixed fee (below). The 0.6% tax on transfers out of the zone is added at cost.</t>
  </si>
  <si>
    <t xml:space="preserve">Always free</t>
  </si>
  <si>
    <t xml:space="preserve">What clients never pay for.</t>
  </si>
  <si>
    <t xml:space="preserve">Item</t>
  </si>
  <si>
    <t xml:space="preserve">Note</t>
  </si>
  <si>
    <t xml:space="preserve">Opening the account</t>
  </si>
  <si>
    <t xml:space="preserve">Online, no branch visit.</t>
  </si>
  <si>
    <t xml:space="preserve">Salaries to bank accounts up to the plan's free amount</t>
  </si>
  <si>
    <t xml:space="preserve">Any number of employees.</t>
  </si>
  <si>
    <t xml:space="preserve">Mobile money up to the plan's free amount</t>
  </si>
  <si>
    <t xml:space="preserve">Salaries and other payments to wallets.</t>
  </si>
  <si>
    <t xml:space="preserve">Incoming transfers</t>
  </si>
  <si>
    <t xml:space="preserve">From any bank or wallet in the WAEMU.</t>
  </si>
  <si>
    <t xml:space="preserve">Card spending in FCFA</t>
  </si>
  <si>
    <t xml:space="preserve">Virtual cards up to the plan limit</t>
  </si>
  <si>
    <t xml:space="preserve">Possible income from partners (not in the plan)</t>
  </si>
  <si>
    <t xml:space="preserve">This income goes to the partner bank, which owns the accounts and cards. Nothing obliges it to share; the plan counts zero. Items to ask for in the negotiation; what they would add is on Pricing levers.</t>
  </si>
  <si>
    <t xml:space="preserve">Possible rate</t>
  </si>
  <si>
    <t xml:space="preserve">What it is</t>
  </si>
  <si>
    <t xml:space="preserve">Interchange share on card spending in FCFA</t>
  </si>
  <si>
    <t xml:space="preserve">about 0.3%</t>
  </si>
  <si>
    <t xml:space="preserve">% of spending</t>
  </si>
  <si>
    <t xml:space="preserve">Part of the fee shops pay on every card payment. The BCEAO gives it to the bank that issues the card.</t>
  </si>
  <si>
    <t xml:space="preserve">Share of bank income on client balances</t>
  </si>
  <si>
    <t xml:space="preserve">about 1.25%</t>
  </si>
  <si>
    <t xml:space="preserve">% a year</t>
  </si>
  <si>
    <t xml:space="preserve">Part of what the partner bank earns on the money clients keep in their accounts.</t>
  </si>
  <si>
    <t xml:space="preserve">Interchange on card spending abroad</t>
  </si>
  <si>
    <t xml:space="preserve">about 0.8%</t>
  </si>
  <si>
    <t xml:space="preserve">Paid by Visa / Mastercard to the bank that issues the card, on foreign payments.</t>
  </si>
  <si>
    <t xml:space="preserve">Credit (from month 18)</t>
  </si>
  <si>
    <t xml:space="preserve">Loans made by a partner microfinance institution, then by Kelen's own in Senegal. Rates are all-in, under the 24% cap.</t>
  </si>
  <si>
    <t xml:space="preserve">Product</t>
  </si>
  <si>
    <t xml:space="preserve">Invoice financing</t>
  </si>
  <si>
    <t xml:space="preserve">Cash now against an invoice a client will pay in 30–90 days.</t>
  </si>
  <si>
    <t xml:space="preserve">Payroll bridge</t>
  </si>
  <si>
    <t xml:space="preserve">Short loan to pay salaries on time when a client pays late.</t>
  </si>
  <si>
    <t xml:space="preserve">Credit line</t>
  </si>
  <si>
    <t xml:space="preserve">Cash reserve to draw and repay, sized on the account's flows.</t>
  </si>
  <si>
    <t xml:space="preserve">Equipment loan</t>
  </si>
  <si>
    <t xml:space="preserve">Vehicles, machines, computers; 6–24 months.</t>
  </si>
  <si>
    <t xml:space="preserve">Salary advance (employees)</t>
  </si>
  <si>
    <t xml:space="preserve">Part of earned salary before payday, repaid from the next salary.</t>
  </si>
  <si>
    <t xml:space="preserve">Pricing options</t>
  </si>
  <si>
    <t xml:space="preserve">Switch on Assumptions (Pricing option). B is the base.</t>
  </si>
  <si>
    <t xml:space="preserve">Plan</t>
  </si>
  <si>
    <t xml:space="preserve">A: acquisition first</t>
  </si>
  <si>
    <t xml:space="preserve">B: balanced</t>
  </si>
  <si>
    <t xml:space="preserve">C: revenue first</t>
  </si>
  <si>
    <t xml:space="preserve">FCFA a month</t>
  </si>
  <si>
    <t xml:space="preserve">How Kelen works</t>
  </si>
  <si>
    <t xml:space="preserve">Who does what, how the money moves, and when Kelen needs its own cash. Kelen never holds client money: it sits at the partner bank, and later also at Kelen's own SFD.</t>
  </si>
  <si>
    <t xml:space="preserve">The partners</t>
  </si>
  <si>
    <t xml:space="preserve">Kelen is the app, the onboarding, the support and the controls. The licences, the accounts and the cards belong to partners until Kelen owns an SFD.</t>
  </si>
  <si>
    <t xml:space="preserve">Partner</t>
  </si>
  <si>
    <t xml:space="preserve">What it does</t>
  </si>
  <si>
    <t xml:space="preserve">What Kelen pays it</t>
  </si>
  <si>
    <t xml:space="preserve">When</t>
  </si>
  <si>
    <t xml:space="preserve">Partner bank</t>
  </si>
  <si>
    <t xml:space="preserve">Holds every client account (in the client's name, at the bank), signs off the identity checks, executes transfers (same bank, interbank, PI-SPI, SWIFT), issues the Visa cards under its name and keeps the client money.</t>
  </si>
  <si>
    <t xml:space="preserve">A fee per account, a fee per transfer, card programme set-up, and a cash guarantee (collateral) for the cards.</t>
  </si>
  <si>
    <t xml:space="preserve">From launch, both countries.</t>
  </si>
  <si>
    <t xml:space="preserve">Wave and Orange Money (directly or through an aggregator: HUB2, PayDunya, CinetPay, InTouch)</t>
  </si>
  <si>
    <t xml:space="preserve">Deliver transfers to wallets and collect payment-link payments.</t>
  </si>
  <si>
    <t xml:space="preserve">1% per transfer to a wallet today (Wave capped at 5,000 FCFA), about 1% on collections. Aggregators: 1.5–2% public, less with volume.</t>
  </si>
  <si>
    <t xml:space="preserve">From launch.</t>
  </si>
  <si>
    <t xml:space="preserve">Card processor (HPS, Paymentology, GIM-UEMOA…)</t>
  </si>
  <si>
    <t xml:space="preserve">Approves every card payment in real time against the client's balance and handles card files.</t>
  </si>
  <si>
    <t xml:space="preserve">A monthly fee per active card.</t>
  </si>
  <si>
    <t xml:space="preserve">From the card launch.</t>
  </si>
  <si>
    <t xml:space="preserve">Visa / Mastercard</t>
  </si>
  <si>
    <t xml:space="preserve">The card network. Paid through the partner bank.</t>
  </si>
  <si>
    <t xml:space="preserve">Cross-border fees on payments in other currencies.</t>
  </si>
  <si>
    <t xml:space="preserve">Partner SFD (microfinance institution)</t>
  </si>
  <si>
    <t xml:space="preserve">Lends under its licence and with its funding; Kelen finds, scores and services the loans.</t>
  </si>
  <si>
    <t xml:space="preserve">Kelen keeps a share of the net margin and puts up a first-loss reserve.</t>
  </si>
  <si>
    <t xml:space="preserve">Month 18 to month 24 in Senegal; all along in Côte d'Ivoire.</t>
  </si>
  <si>
    <t xml:space="preserve">International payment provider (partner bank, Capi Money or others)</t>
  </si>
  <si>
    <t xml:space="preserve">Converts FCFA and pays suppliers abroad in euros, dollars or yuan.</t>
  </si>
  <si>
    <t xml:space="preserve">Its rate (about 3.5% assumed); Kelen charges 3.8% plus 1,500 FCFA per payment. The 0.6% tax is passed on to the client.</t>
  </si>
  <si>
    <t xml:space="preserve">From month 13.</t>
  </si>
  <si>
    <t xml:space="preserve">Maak (group company)</t>
  </si>
  <si>
    <t xml:space="preserve">The banking platform: accounts ledger, payments, cards and app back-end.</t>
  </si>
  <si>
    <t xml:space="preserve">A lease for 3 years, then upgrades and maintenance.</t>
  </si>
  <si>
    <t xml:space="preserve">From month 1.</t>
  </si>
  <si>
    <t xml:space="preserve">Service by service</t>
  </si>
  <si>
    <t xml:space="preserve">What each side does and how the money moves. 'Cash Kelen must put up' is Kelen's own money, not client money.</t>
  </si>
  <si>
    <t xml:space="preserve">Service</t>
  </si>
  <si>
    <t xml:space="preserve">Partner bank or SFD does</t>
  </si>
  <si>
    <t xml:space="preserve">Kelen does</t>
  </si>
  <si>
    <t xml:space="preserve">How the money moves</t>
  </si>
  <si>
    <t xml:space="preserve">Cash Kelen must put up</t>
  </si>
  <si>
    <t xml:space="preserve">Business account</t>
  </si>
  <si>
    <t xml:space="preserve">Opens the account in the client's name and holds the money.</t>
  </si>
  <si>
    <t xml:space="preserve">App and web access, onboarding file, identity checks, support.</t>
  </si>
  <si>
    <t xml:space="preserve">The client's money stays in the client's account at the bank.</t>
  </si>
  <si>
    <t xml:space="preserve">None.</t>
  </si>
  <si>
    <t xml:space="preserve">Bank transfers and salaries to bank accounts</t>
  </si>
  <si>
    <t xml:space="preserve">Executes the transfer from the client's account: free inside the same bank, through the interbank system or PI-SPI otherwise.</t>
  </si>
  <si>
    <t xml:space="preserve">Payment screens, bulk payroll runs, approvals, status per payment.</t>
  </si>
  <si>
    <t xml:space="preserve">Client account → recipient's bank account, directly.</t>
  </si>
  <si>
    <t xml:space="preserve">Transfers to wallets (salaries and others)</t>
  </si>
  <si>
    <t xml:space="preserve">Route 1: sends from the client's account straight to Wave or Orange Money through PI-SPI, if the bank offers business transfers to wallets.</t>
  </si>
  <si>
    <t xml:space="preserve">Bulk runs and approvals. Route 2 or 3: Kelen runs the payout through Wave, Orange Money or an aggregator.</t>
  </si>
  <si>
    <t xml:space="preserve">Route 1: client account → wallet. Routes 2 and 3: client account → a prefunded business wallet or aggregator balance → employee's wallet.</t>
  </si>
  <si>
    <t xml:space="preserve">Route 1: none. Routes 2 and 3: a float covering 1–3 days of payouts, larger on paydays. Not in the plan yet: see the routes below.</t>
  </si>
  <si>
    <t xml:space="preserve">Payment links (collections)</t>
  </si>
  <si>
    <t xml:space="preserve">Receives the settlement and credits the client's account.</t>
  </si>
  <si>
    <t xml:space="preserve">The link, the invoice, matching payments to invoices.</t>
  </si>
  <si>
    <t xml:space="preserve">The customer pays by Wave or Orange Money → operator or aggregator merchant account → settled to the bank (same day to 5 days; Orange D+5) → client's account.</t>
  </si>
  <si>
    <t xml:space="preserve">None if the client is credited at settlement. A float if Kelen credits instantly.</t>
  </si>
  <si>
    <t xml:space="preserve">Cards (co-branded with the partner bank)</t>
  </si>
  <si>
    <t xml:space="preserve">Issues the cards under its name and Visa licence, pays Visa every day and debits the client's account.</t>
  </si>
  <si>
    <t xml:space="preserve">Card design and ordering, spending limits and controls in the app, first-line disputes.</t>
  </si>
  <si>
    <t xml:space="preserve">The client pays → the processor checks the balance and blocks the amount → next day Visa debits the bank → the bank debits the client's account.</t>
  </si>
  <si>
    <t xml:space="preserve">Collateral at the bank (60M FCFA in the plan, from month 4). If the bank runs the cards as prepaid, also a float of a few days of card spending.</t>
  </si>
  <si>
    <t xml:space="preserve">International payments</t>
  </si>
  <si>
    <t xml:space="preserve">Converts and sends the payment (SWIFT), checks the foreign-exchange paperwork.</t>
  </si>
  <si>
    <t xml:space="preserve">Collects invoices and import documents, compliance checks, sends the instruction.</t>
  </si>
  <si>
    <t xml:space="preserve">Client account debited (amount + fee + 0.6% tax) → provider → supplier abroad.</t>
  </si>
  <si>
    <t xml:space="preserve">None if the provider debits on execution; a balance if it needs prefunding.</t>
  </si>
  <si>
    <t xml:space="preserve">Payroll module and accounting</t>
  </si>
  <si>
    <t xml:space="preserve">Nothing.</t>
  </si>
  <si>
    <t xml:space="preserve">Software only: payslips, declarations, accountant access, exports.</t>
  </si>
  <si>
    <t xml:space="preserve">No money moves.</t>
  </si>
  <si>
    <t xml:space="preserve">Credit, partner SFD (Senegal months 18–24; Côte d'Ivoire)</t>
  </si>
  <si>
    <t xml:space="preserve">Signs the loan, lends its money (or debt lines), carries the risk above the first-loss reserve.</t>
  </si>
  <si>
    <t xml:space="preserve">Scoring from account data, the loan offer in the app, repayments collected from the account.</t>
  </si>
  <si>
    <t xml:space="preserve">SFD → client's account; repayments taken from the account.</t>
  </si>
  <si>
    <t xml:space="preserve">First-loss reserve (share of the loan book).</t>
  </si>
  <si>
    <t xml:space="preserve">Credit, Kelen's own SFD (Senegal from month 24)</t>
  </si>
  <si>
    <t xml:space="preserve">Lends itself and keeps the whole margin, under the 24% rate cap.</t>
  </si>
  <si>
    <t xml:space="preserve">Kelen's SFD → client's account; repayments back to the SFD.</t>
  </si>
  <si>
    <t xml:space="preserve">Equity in the loans (capital ratio) plus debt lines for the rest.</t>
  </si>
  <si>
    <t xml:space="preserve">Transfers to mobile money: the three routes</t>
  </si>
  <si>
    <t xml:space="preserve">Not every bank can send to wallets today. The route decides the cost and whether Kelen must prefund a float. The plan assumes no deal: 1% capped at 5,000 FCFA.</t>
  </si>
  <si>
    <t xml:space="preserve">Route</t>
  </si>
  <si>
    <t xml:space="preserve">How it works</t>
  </si>
  <si>
    <t xml:space="preserve">Cost today</t>
  </si>
  <si>
    <t xml:space="preserve">Status</t>
  </si>
  <si>
    <t xml:space="preserve">1. Partner bank through PI-SPI</t>
  </si>
  <si>
    <t xml:space="preserve">The bank sends from the client's account straight to the wallet. From 2 November 2026 every interoperable transfer goes through PI-SPI, Wave included.</t>
  </si>
  <si>
    <t xml:space="preserve">Set freely by the bank for businesses: to negotiate (capped or flat).</t>
  </si>
  <si>
    <t xml:space="preserve">The bank needs PI-SPI business access (bulk payments). Certified in Senegal so far: 9 participants, including Ecobank, which is certified in all 8 countries. Make it a condition when choosing the bank.</t>
  </si>
  <si>
    <t xml:space="preserve">2. Direct contract with Wave Business and Orange Money</t>
  </si>
  <si>
    <t xml:space="preserve">A business wallet with each operator, paid out through their API.</t>
  </si>
  <si>
    <t xml:space="preserve">Wave 1% (reportedly capped at 5,000 FCFA); Orange 1%, 1.5% to other wallets.</t>
  </si>
  <si>
    <t xml:space="preserve">The business wallets must be topped up before payouts (1–3 days of volume, more on paydays).</t>
  </si>
  <si>
    <t xml:space="preserve">Possible now. The float is client money in transit: it must sit under a licensed partner's name.</t>
  </si>
  <si>
    <t xml:space="preserve">3. Aggregator (HUB2, PayDunya, CinetPay, InTouch)</t>
  </si>
  <si>
    <t xml:space="preserve">One API to every operator.</t>
  </si>
  <si>
    <t xml:space="preserve">1.5–2% public; HUB2 and InTouch on quote, lower with volume.</t>
  </si>
  <si>
    <t xml:space="preserve">A prefunded balance at the aggregator.</t>
  </si>
  <si>
    <t xml:space="preserve">Possible now; the most expensive public route.</t>
  </si>
  <si>
    <t xml:space="preserve">4. Kelen's own SFD on PI-SPI (after month 24)</t>
  </si>
  <si>
    <t xml:space="preserve">SFDs can join PI-SPI (UM ACEP, an SFD, is certified for business payments).</t>
  </si>
  <si>
    <t xml:space="preserve">PI-SPI fees only.</t>
  </si>
  <si>
    <t xml:space="preserve">The SFD's own settlement account.</t>
  </si>
  <si>
    <t xml:space="preserve">Later; depends on the SFD bought.</t>
  </si>
  <si>
    <t xml:space="preserve">The card programme</t>
  </si>
  <si>
    <t xml:space="preserve">Co-branded, not fully white-label: like Djamo's cards with Ecobank, or Wave's virtual Visa with Ecobank.</t>
  </si>
  <si>
    <t xml:space="preserve">Question</t>
  </si>
  <si>
    <t xml:space="preserve">Answer</t>
  </si>
  <si>
    <t xml:space="preserve">Whose name is on the card?</t>
  </si>
  <si>
    <t xml:space="preserve">The partner bank is the issuer (its Visa licence and card number range) and its name is on the card next to Kelen's brand.</t>
  </si>
  <si>
    <t xml:space="preserve">Does Kelen need cash for card payments?</t>
  </si>
  <si>
    <t xml:space="preserve">Not for the payments themselves: the bank pays Visa and debits the client's account. Kelen puts up collateral (60M FCFA in the plan) so the bank is covered for disputes, fraud or a failed debit. If the bank runs the cards as prepaid, a float of a few days of spending must also be prefunded.</t>
  </si>
  <si>
    <t xml:space="preserve">Who earns the interchange?</t>
  </si>
  <si>
    <t xml:space="preserve">The bank, as the issuer. Kelen only if the bank agrees to share it: not in the plan.</t>
  </si>
  <si>
    <t xml:space="preserve">What does Kelen pay?</t>
  </si>
  <si>
    <t xml:space="preserve">The processor per active card, the printing of physical cards, Visa's cross-border fees on foreign payments, and any set-up fee the bank asks.</t>
  </si>
  <si>
    <t xml:space="preserve">Can Kelen's own SFD issue cards later?</t>
  </si>
  <si>
    <t xml:space="preserve">Not on its own at first: Visa membership needs a bank sponsor or large collateral. The plan keeps the partner bank for cards.</t>
  </si>
  <si>
    <t xml:space="preserve">What changes when Kelen owns an SFD (Senegal, from month 24)</t>
  </si>
  <si>
    <t xml:space="preserve">With partners only</t>
  </si>
  <si>
    <t xml:space="preserve">With Kelen's own SFD</t>
  </si>
  <si>
    <t xml:space="preserve">The partner SFD lends; Kelen keeps a share of the margin and covers first losses.</t>
  </si>
  <si>
    <t xml:space="preserve">Kelen's SFD lends and keeps the whole margin; it needs capital and debt lines to fund the loans.</t>
  </si>
  <si>
    <t xml:space="preserve">Client money</t>
  </si>
  <si>
    <t xml:space="preserve">At the partner bank; the bank keeps the income on balances.</t>
  </si>
  <si>
    <t xml:space="preserve">SFDs can take deposits: money held at Kelen's SFD would earn Kelen the income. The bank account stays for cards and transfers.</t>
  </si>
  <si>
    <t xml:space="preserve">Transfers to wallets</t>
  </si>
  <si>
    <t xml:space="preserve">Through the partner bank, the operators or an aggregator.</t>
  </si>
  <si>
    <t xml:space="preserve">Possibly direct through PI-SPI, if the SFD connects.</t>
  </si>
  <si>
    <t xml:space="preserve">Cards</t>
  </si>
  <si>
    <t xml:space="preserve">Partner bank.</t>
  </si>
  <si>
    <t xml:space="preserve">Still the partner bank.</t>
  </si>
  <si>
    <t xml:space="preserve">Partner bank and partner SFD.</t>
  </si>
  <si>
    <t xml:space="preserve">No change: Kelen's SFD is licensed in Senegal only.</t>
  </si>
  <si>
    <t xml:space="preserve">Rules</t>
  </si>
  <si>
    <t xml:space="preserve">The partners' licences; Kelen is their outsourced provider.</t>
  </si>
  <si>
    <t xml:space="preserve">BCEAO supervision of the SFD, the 24% rate cap, capital and reporting rules.</t>
  </si>
  <si>
    <t xml:space="preserve">Assumptions and hypotheses</t>
  </si>
  <si>
    <t xml:space="preserve">Every blue cell on a cream background is an input. Change it and the whole model updates. Amounts in FCFA unless stated. Column D is the value the model uses.</t>
  </si>
  <si>
    <t xml:space="preserve">Scenario (1 = Prudent, 2 = Base, 3 = Ambitious)</t>
  </si>
  <si>
    <t xml:space="preserve">Rows with Prudent / Base / Ambitious values switch with this cell.</t>
  </si>
  <si>
    <t xml:space="preserve">1. General</t>
  </si>
  <si>
    <t xml:space="preserve">Value used</t>
  </si>
  <si>
    <t xml:space="preserve">Prudent</t>
  </si>
  <si>
    <t xml:space="preserve">Base</t>
  </si>
  <si>
    <t xml:space="preserve">Ambitious</t>
  </si>
  <si>
    <t xml:space="preserve">€ / FCFA equivalent</t>
  </si>
  <si>
    <t xml:space="preserve">Source / note</t>
  </si>
  <si>
    <t xml:space="preserve">Model start (month 1)</t>
  </si>
  <si>
    <t xml:space="preserve">date</t>
  </si>
  <si>
    <t xml:space="preserve">First month of the plan. Company set-up, licence file and product build start here.</t>
  </si>
  <si>
    <t xml:space="preserve">FCFA per euro</t>
  </si>
  <si>
    <t xml:space="preserve">Fixed parity CFA franc / euro (BCEAO).</t>
  </si>
  <si>
    <t xml:space="preserve">FCFA per US dollar</t>
  </si>
  <si>
    <t xml:space="preserve">Planning rate, used for vendor prices quoted in USD.</t>
  </si>
  <si>
    <t xml:space="preserve">Corporate income tax rate</t>
  </si>
  <si>
    <t xml:space="preserve">Senegal CIT 30%. Simplification: losses carried forward without limit (Senegal allows 3 years). Minimum tax and the 17% TAF on financial services are not modelled.</t>
  </si>
  <si>
    <t xml:space="preserve">Annual pay rise (from year 2)</t>
  </si>
  <si>
    <t xml:space="preserve">% / year</t>
  </si>
  <si>
    <t xml:space="preserve">Applied to every salary each new year.</t>
  </si>
  <si>
    <t xml:space="preserve">Contingency on fixed costs</t>
  </si>
  <si>
    <t xml:space="preserve">Same 5% as the cost breakdown.</t>
  </si>
  <si>
    <t xml:space="preserve">2. Timing (month numbers, 1 = first month of the model)</t>
  </si>
  <si>
    <t xml:space="preserve">Commercial launch, Senegal</t>
  </si>
  <si>
    <t xml:space="preserve">After partner bank integration and card programme set-up (business account with IBAN via the partner bank).</t>
  </si>
  <si>
    <t xml:space="preserve">Commercial launch, Côte d'Ivoire</t>
  </si>
  <si>
    <t xml:space="preserve">One month after the Abidjan office opens. Partners hold the licences in Côte d'Ivoire too.</t>
  </si>
  <si>
    <t xml:space="preserve">Dakar office (Regus) from</t>
  </si>
  <si>
    <t xml:space="preserve">Regus from day one: no lease, deposit or fit-out (decision).</t>
  </si>
  <si>
    <t xml:space="preserve">Abidjan office (Regus) and first Côte d'Ivoire hires</t>
  </si>
  <si>
    <t xml:space="preserve">Not before month 18 (decision).</t>
  </si>
  <si>
    <t xml:space="preserve">Payment links go live</t>
  </si>
  <si>
    <t xml:space="preserve">'Bientôt' feature in the app.</t>
  </si>
  <si>
    <t xml:space="preserve">B2C launch: employee salary accounts and personal accounts</t>
  </si>
  <si>
    <t xml:space="preserve">Not before 2 years of commercial activity: Senegal launch + 24 months (decision).</t>
  </si>
  <si>
    <t xml:space="preserve">Acquisition of a microfinance company (SFD) closes</t>
  </si>
  <si>
    <t xml:space="preserve">Around year 2 (decision). Due diligence and the change-of-control approval run during year 2.</t>
  </si>
  <si>
    <t xml:space="preserve">Own SFD lends from</t>
  </si>
  <si>
    <t xml:space="preserve">Before this month the partner SFD lends and Kelen keeps a share of the margin. Côte d'Ivoire loans stay with a partner: SFD licences are national.</t>
  </si>
  <si>
    <t xml:space="preserve">Card programme collateral at partner bank</t>
  </si>
  <si>
    <t xml:space="preserve">Partner bank set-up fee paid, Senegal</t>
  </si>
  <si>
    <t xml:space="preserve">Partner bank set-up fee paid, Côte d'Ivoire</t>
  </si>
  <si>
    <t xml:space="preserve">Card processor set-up fee paid</t>
  </si>
  <si>
    <t xml:space="preserve">Card processor monthly minimum starts</t>
  </si>
  <si>
    <t xml:space="preserve">Cloud hosting starts</t>
  </si>
  <si>
    <t xml:space="preserve">Partner SFD integration fee paid</t>
  </si>
  <si>
    <t xml:space="preserve">Partner SFD signed early; integration paid before the first loans.</t>
  </si>
  <si>
    <t xml:space="preserve">Côte d'Ivoire subsidiary created</t>
  </si>
  <si>
    <t xml:space="preserve">Before the first Abidjan hires.</t>
  </si>
  <si>
    <t xml:space="preserve">First tech audit (then every 12 months)</t>
  </si>
  <si>
    <t xml:space="preserve">Before launch, for the partner bank; repeated yearly.</t>
  </si>
  <si>
    <t xml:space="preserve">3. Client acquisition (sales and marketing)</t>
  </si>
  <si>
    <t xml:space="preserve">New clients signed per field sales rep per month</t>
  </si>
  <si>
    <t xml:space="preserve">Rep counts come from the hiring plan. A rep sells from the month after joining. Base lowered from 10 to 8 after the market analysis (Oct 2026): Julaya had about 2,800 active users in Senegal after six years. Validate in the pilot.</t>
  </si>
  <si>
    <t xml:space="preserve">Côte d'Ivoire rep productivity vs Senegal</t>
  </si>
  <si>
    <t xml:space="preserve">x</t>
  </si>
  <si>
    <t xml:space="preserve">Slightly lower at first: new market, brand unknown.</t>
  </si>
  <si>
    <t xml:space="preserve">Partner channel, Senegal: clients a month at launch</t>
  </si>
  <si>
    <t xml:space="preserve">Accountants, payroll software (KayFay, Sage, Odoo), chambers of commerce. Base lowered from 10 to 8 after the market analysis (Oct 2026).</t>
  </si>
  <si>
    <t xml:space="preserve">Partner channel, Côte d'Ivoire: clients a month at launch</t>
  </si>
  <si>
    <t xml:space="preserve">Partner channel monthly growth</t>
  </si>
  <si>
    <t xml:space="preserve">% / month</t>
  </si>
  <si>
    <t xml:space="preserve">Partner channel cap, Senegal</t>
  </si>
  <si>
    <t xml:space="preserve">clients / month</t>
  </si>
  <si>
    <t xml:space="preserve">Partner channel cap, Côte d'Ivoire</t>
  </si>
  <si>
    <t xml:space="preserve">Digital ads cost per signed client</t>
  </si>
  <si>
    <t xml:space="preserve">Media spend only. Meta leads 600–2,800 FCFA; lead-to-client conversion assumed 2–4%.</t>
  </si>
  <si>
    <t xml:space="preserve">Share of new clients on Essentiel (mostly small firms)</t>
  </si>
  <si>
    <t xml:space="preserve">Plans are chosen by limits and features, not staff count. Small firms (about 5 staff) take Essentiel. The three shares must add up to 100% (see check on the Dashboard).</t>
  </si>
  <si>
    <t xml:space="preserve">Share of new clients on Pro (mostly mid-size firms)</t>
  </si>
  <si>
    <t xml:space="preserve">Firms that need approvals (double signature) or the accounting module, typically 10–50 staff.</t>
  </si>
  <si>
    <t xml:space="preserve">Share of new clients on Business (mostly large firms)</t>
  </si>
  <si>
    <t xml:space="preserve">Monthly churn, Essentiel</t>
  </si>
  <si>
    <t xml:space="preserve">Small companies leave or close more often.</t>
  </si>
  <si>
    <t xml:space="preserve">Monthly churn, Pro</t>
  </si>
  <si>
    <t xml:space="preserve">Monthly churn, Business</t>
  </si>
  <si>
    <t xml:space="preserve">Referral fee per partner-channel client</t>
  </si>
  <si>
    <t xml:space="preserve">Paid to accountants and payroll software partners (cost breakdown).</t>
  </si>
  <si>
    <t xml:space="preserve">Field sales transport allowance per rep</t>
  </si>
  <si>
    <t xml:space="preserve">50–100k FCFA (cost breakdown).</t>
  </si>
  <si>
    <t xml:space="preserve">4. Plans and pricing</t>
  </si>
  <si>
    <t xml:space="preserve">Pricing option (1 = A acquisition first, 2 = B balanced, 3 = C revenue first)</t>
  </si>
  <si>
    <t xml:space="preserve">option</t>
  </si>
  <si>
    <t xml:space="preserve">Decision (Oct 2026): plans by limits and features, not staff count. B is the base. Switch to compare; prices below change with it. See the Pricing levers tab.</t>
  </si>
  <si>
    <t xml:space="preserve">4a. Plan prices (columns E–G are options A, B, C)</t>
  </si>
  <si>
    <t xml:space="preserve">Option A</t>
  </si>
  <si>
    <t xml:space="preserve">Option B</t>
  </si>
  <si>
    <t xml:space="preserve">Option C</t>
  </si>
  <si>
    <t xml:space="preserve">Essentiel plan</t>
  </si>
  <si>
    <t xml:space="preserve">Decision (Oct 2026): package P3. 1 user + 1 invited free, 30 transfers, 1 physical and 2 virtual cards, salaries free up to 3M FCFA a month. Below a bank's micro-business account fee (10,000).</t>
  </si>
  <si>
    <t xml:space="preserve">Pro plan</t>
  </si>
  <si>
    <t xml:space="preserve">Decision (Oct 2026): 19,500 (was 29,900; option C keeps the old price for comparison). 3 users, 150 transfers, 3 physical and 10 virtual cards, approvals, accounting module, salaries free up to 15M FCFA a month.</t>
  </si>
  <si>
    <t xml:space="preserve">Business plan</t>
  </si>
  <si>
    <t xml:space="preserve">Decision (Oct 2026): 69,500 (was 89,900). 10 users, 500 transfers, 10 physical and unlimited virtual cards, multi-level approvals, API, several companies, adviser, salaries free up to 60M FCFA a month.</t>
  </si>
  <si>
    <t xml:space="preserve">4b. Plan limits, add-ons and fees</t>
  </si>
  <si>
    <t xml:space="preserve">Annual price increase</t>
  </si>
  <si>
    <t xml:space="preserve">Free months for every new client</t>
  </si>
  <si>
    <t xml:space="preserve">Decision (Oct 2026): first month free on every plan (was 3).</t>
  </si>
  <si>
    <t xml:space="preserve">Share of clients paying yearly</t>
  </si>
  <si>
    <t xml:space="preserve">Months free on yearly billing</t>
  </si>
  <si>
    <t xml:space="preserve">Yearly price = 10 months.</t>
  </si>
  <si>
    <t xml:space="preserve">Users included, Essentiel</t>
  </si>
  <si>
    <t xml:space="preserve">users</t>
  </si>
  <si>
    <t xml:space="preserve">1 main user + 1 invited free.</t>
  </si>
  <si>
    <t xml:space="preserve">Users included, Pro</t>
  </si>
  <si>
    <t xml:space="preserve">Users included, Business</t>
  </si>
  <si>
    <t xml:space="preserve">Transfers included a month, Essentiel</t>
  </si>
  <si>
    <t xml:space="preserve">transfers</t>
  </si>
  <si>
    <t xml:space="preserve">Decision (Oct 2026): transfers to bank accounts only. Salaries never count; transfers to wallets fall under the mobile money allowance.</t>
  </si>
  <si>
    <t xml:space="preserve">Transfers included a month, Pro</t>
  </si>
  <si>
    <t xml:space="preserve">Decision (Oct 2026): 100.</t>
  </si>
  <si>
    <t xml:space="preserve">Transfers included a month, Business</t>
  </si>
  <si>
    <t xml:space="preserve">Decision (Oct 2026): 400.</t>
  </si>
  <si>
    <t xml:space="preserve">Physical cards included, Essentiel</t>
  </si>
  <si>
    <t xml:space="preserve">cards</t>
  </si>
  <si>
    <t xml:space="preserve">Decision (Oct 2026): the first physical card is free on every plan; the others are paid (one-off fee below). Virtual cards: 2 / 10 / unlimited.</t>
  </si>
  <si>
    <t xml:space="preserve">Physical cards included, Pro</t>
  </si>
  <si>
    <t xml:space="preserve">Physical cards included, Business</t>
  </si>
  <si>
    <t xml:space="preserve">Salaries to bank accounts free up to, Essentiel</t>
  </si>
  <si>
    <t xml:space="preserve">Decision (Oct 2026). Above it, each salary to a bank account costs the fee per transfer above the allowance. Average clients stay far below. Salaries to wallets count in the mobile money allowance.</t>
  </si>
  <si>
    <t xml:space="preserve">Salaries to bank accounts free up to, Pro</t>
  </si>
  <si>
    <t xml:space="preserve">Salaries to bank accounts free up to, Business</t>
  </si>
  <si>
    <t xml:space="preserve">Extra user beyond the plan</t>
  </si>
  <si>
    <t xml:space="preserve">Extra physical card beyond the plan</t>
  </si>
  <si>
    <t xml:space="preserve">Decision (Oct 2026): no monthly fee; only the one-off card fee below.</t>
  </si>
  <si>
    <t xml:space="preserve">Mobile money free up to, Essentiel</t>
  </si>
  <si>
    <t xml:space="preserve">Decision (Oct 2026): every transfer to a wallet (Wave, Orange Money…), salaries included. Fair use: the allowance cannot be split into many tiny transfers.</t>
  </si>
  <si>
    <t xml:space="preserve">Mobile money free up to, Pro</t>
  </si>
  <si>
    <t xml:space="preserve">Mobile money free up to, Business</t>
  </si>
  <si>
    <t xml:space="preserve">Fee on mobile money above the free amount</t>
  </si>
  <si>
    <t xml:space="preserve">Decision (Oct 2026): 1.25%, capped per transfer (below). No deal with the operators yet: Kelen pays 1% capped at 5,000 FCFA. Wave charges 1%.</t>
  </si>
  <si>
    <t xml:space="preserve">Decision (Oct 2026). Reached at 680,000 FCFA per transfer; average transfers (75,000–200,000) stay below it, so it does not change the totals.</t>
  </si>
  <si>
    <t xml:space="preserve">Physical card fee beyond the plan (one-off)</t>
  </si>
  <si>
    <t xml:space="preserve">Decision (Oct 2026): 6,500 for printing and delivery of each card beyond the first.</t>
  </si>
  <si>
    <t xml:space="preserve">Fee per card payment in foreign currencies</t>
  </si>
  <si>
    <t xml:space="preserve">Decision (Oct 2026): 200, like Djamo.</t>
  </si>
  <si>
    <t xml:space="preserve">Average card payment in foreign currencies</t>
  </si>
  <si>
    <t xml:space="preserve">Assumption: ads and software subscriptions, about $40. Used to count payments.</t>
  </si>
  <si>
    <t xml:space="preserve">Fee on card spending in foreign currencies</t>
  </si>
  <si>
    <t xml:space="preserve">Decision (Oct 2026): 3% plus a fixed fee per payment (below), like Djamo (3–4% + 200 F). Cost research (Oct 2026): networks charge the issuer about 1.2%; banks charge clients 2–3% (NSIA 2.5%, UBA 2.5–3%, Coris 2% + 500 F), Djamo 3–4% + 200 F. Card spending in FCFA is free.</t>
  </si>
  <si>
    <t xml:space="preserve">Interchange earned on card spending in foreign currencies</t>
  </si>
  <si>
    <t xml:space="preserve">% of foreign spending</t>
  </si>
  <si>
    <t xml:space="preserve">Not in the plan: no partner has agreed to share it. Possible upside if negotiated: see Pricing levers. Card networks pay the issuer (the partner bank) about 0.4–1.2%.</t>
  </si>
  <si>
    <t xml:space="preserve">Card spending in foreign currencies allowed by the FX rules</t>
  </si>
  <si>
    <t xml:space="preserve">Règlement 06/2024/CM/UEMOA, Art. 47, limits residents' card use abroad to usual travel and personal expenses. Prudent assumes 40% of SME foreign card spending (ads, software) is blocked.</t>
  </si>
  <si>
    <t xml:space="preserve">Interchange share received on FCFA card spending</t>
  </si>
  <si>
    <t xml:space="preserve">Not in the plan: no partner has agreed to share it. Possible upside if negotiated: see Pricing levers. The BCEAO gives the issuer (the partner bank) 20% of the merchant fee, about 0.4–0.7%.</t>
  </si>
  <si>
    <t xml:space="preserve">Not in the plan: no partner has agreed to share it. Possible upside if negotiated: see Pricing levers. The partner bank earns about 3–5% a year on client balances.</t>
  </si>
  <si>
    <t xml:space="preserve">Fee per transfer above the plan allowance</t>
  </si>
  <si>
    <t xml:space="preserve">Decision (Oct 2026). Allowance: 30 / 150 / 500 transfers to bank accounts a month; salaries and transfers to wallets never count. Also charged on each salary to a bank account above the free amount. Banks charge 3,000–5,000 per interbank transfer.</t>
  </si>
  <si>
    <t xml:space="preserve">Payment links: fee on mobile money collections</t>
  </si>
  <si>
    <t xml:space="preserve">Decision (Oct 2026): 1.2%. Cost research (Oct 2026): gateways charge 1.5–3% (PayTech 1.5–2%, PayDunya 2.25%, Flutterwave 2%); Wave and Orange merchant 1%. Card and transfer payments are free.</t>
  </si>
  <si>
    <t xml:space="preserve">Payment links: operator and aggregator cost</t>
  </si>
  <si>
    <t xml:space="preserve">Cost research (Oct 2026): Wave and Orange merchant pricing 1%; gateways 1.5–3%; receiving through PI-SPI is free. Ambitious = direct operator deal or PI-SPI routing.</t>
  </si>
  <si>
    <t xml:space="preserve">Payment links: share collected by mobile money</t>
  </si>
  <si>
    <t xml:space="preserve">The rest by card or transfer, free.</t>
  </si>
  <si>
    <t xml:space="preserve">Payment links: share of clients using them (at maturity)</t>
  </si>
  <si>
    <t xml:space="preserve">Payment links: months to reach maturity</t>
  </si>
  <si>
    <t xml:space="preserve">4c. Paid modules</t>
  </si>
  <si>
    <t xml:space="preserve">Payroll module goes live</t>
  </si>
  <si>
    <t xml:space="preserve">Payslips plus the monthly IPRES, CSS and income-tax declarations, built from the salaries Kelen pays. Senegal first, Côte d'Ivoire rules at its launch.</t>
  </si>
  <si>
    <t xml:space="preserve">Payroll module: price per payslip</t>
  </si>
  <si>
    <t xml:space="preserve">Decision (Oct 2026): 900. Still about 2× cheaper than payroll software (KayFay 1,500–2,500 per payslip, minimum 15,000 a month).</t>
  </si>
  <si>
    <t xml:space="preserve">Payroll module: share of client employees covered (at maturity)</t>
  </si>
  <si>
    <t xml:space="preserve">Assumption: 40% of clients use it.</t>
  </si>
  <si>
    <t xml:space="preserve">Payroll module: months to reach maturity</t>
  </si>
  <si>
    <t xml:space="preserve">Payroll module: cost per payslip</t>
  </si>
  <si>
    <t xml:space="preserve">Cost research (Oct 2026): WhatsApp utility message about 2.3 FCFA (Meta, Rest of Africa); Orange SMS 4–10 FCFA; plus computing.</t>
  </si>
  <si>
    <t xml:space="preserve">International supplier payments go live</t>
  </si>
  <si>
    <t xml:space="preserve">Through the partner bank's foreign-exchange set-up, under the 2024 WAEMU foreign-exchange rules.</t>
  </si>
  <si>
    <t xml:space="preserve">International payments: fee charged (% of amount)</t>
  </si>
  <si>
    <t xml:space="preserve">Decision (Oct 2026): 3.8%, 0.3 point above the assumed cost, plus the fixed fee below. Banks charge SMEs about 3–4% all-in; Capi Money about 3% (to check). The 0.6% tax on transfers out of the zone is passed on at cost.</t>
  </si>
  <si>
    <t xml:space="preserve">International payments: cost to Kelen (% of amount)</t>
  </si>
  <si>
    <t xml:space="preserve">Provider not chosen yet (partner bank, Capi Money or others). Assumed all-in 3.5%.</t>
  </si>
  <si>
    <t xml:space="preserve">International payments: fixed fee per payment</t>
  </si>
  <si>
    <t xml:space="preserve">Decision (Oct 2026): 1,500, far below the banks' 25,000–60,000 FCFA of fixed fees per payment.</t>
  </si>
  <si>
    <t xml:space="preserve">International payments: average payment</t>
  </si>
  <si>
    <t xml:space="preserve">Assumption, used to count payments for the fixed fee.</t>
  </si>
  <si>
    <t xml:space="preserve">International payments: share of clients using them (at maturity)</t>
  </si>
  <si>
    <t xml:space="preserve">Importers: China, Turkey, Dubai, France.</t>
  </si>
  <si>
    <t xml:space="preserve">International payments: months to reach maturity</t>
  </si>
  <si>
    <t xml:space="preserve">5. Usage per client (monthly, by plan)</t>
  </si>
  <si>
    <t xml:space="preserve">Card spending in FCFA, Essentiel</t>
  </si>
  <si>
    <t xml:space="preserve">Business model v2 (assumption).</t>
  </si>
  <si>
    <t xml:space="preserve">Card spending in FCFA, Pro</t>
  </si>
  <si>
    <t xml:space="preserve">Card spending in FCFA, Business</t>
  </si>
  <si>
    <t xml:space="preserve">Card spending in foreign currencies, Essentiel</t>
  </si>
  <si>
    <t xml:space="preserve">Ads, software subscriptions, travel.</t>
  </si>
  <si>
    <t xml:space="preserve">Card spending in foreign currencies, Pro</t>
  </si>
  <si>
    <t xml:space="preserve">Card spending in foreign currencies, Business</t>
  </si>
  <si>
    <t xml:space="preserve">Average balance, Essentiel</t>
  </si>
  <si>
    <t xml:space="preserve">Average balance, Pro</t>
  </si>
  <si>
    <t xml:space="preserve">Average balance, Business</t>
  </si>
  <si>
    <t xml:space="preserve">Employees, Essentiel</t>
  </si>
  <si>
    <t xml:space="preserve">Employees, Pro</t>
  </si>
  <si>
    <t xml:space="preserve">Employees, Business</t>
  </si>
  <si>
    <t xml:space="preserve">Transfers out a month (salaries not counted), Essentiel</t>
  </si>
  <si>
    <t xml:space="preserve">payouts</t>
  </si>
  <si>
    <t xml:space="preserve">Transfers out a month (salaries not counted), Pro</t>
  </si>
  <si>
    <t xml:space="preserve">Transfers out a month (salaries not counted), Business</t>
  </si>
  <si>
    <t xml:space="preserve">Paid transfers above the allowance (average per client), Essentiel</t>
  </si>
  <si>
    <t xml:space="preserve">All transfers out above the allowance; the model keeps only the share going to bank accounts (1 − share sent to wallets). Most clients stay inside; about 1 in 10 exceeds it by about 10.</t>
  </si>
  <si>
    <t xml:space="preserve">Paid transfers above the allowance (average per client), Pro</t>
  </si>
  <si>
    <t xml:space="preserve">Paid transfers above the allowance (average per client), Business</t>
  </si>
  <si>
    <t xml:space="preserve">Users per client, Essentiel</t>
  </si>
  <si>
    <t xml:space="preserve">Users per client, Pro</t>
  </si>
  <si>
    <t xml:space="preserve">Owner, manager, accountant, assistant.</t>
  </si>
  <si>
    <t xml:space="preserve">Users per client, Business</t>
  </si>
  <si>
    <t xml:space="preserve">International payments a month (clients who use them), Essentiel</t>
  </si>
  <si>
    <t xml:space="preserve">Decision (Oct 2026): about €1,000 / 1.5M / 6M FCFA.</t>
  </si>
  <si>
    <t xml:space="preserve">International payments a month (clients who use them), Pro</t>
  </si>
  <si>
    <t xml:space="preserve">International payments a month (clients who use them), Business</t>
  </si>
  <si>
    <t xml:space="preserve">Physical cards ordered at sign-up, Essentiel</t>
  </si>
  <si>
    <t xml:space="preserve">Physical cards ordered at sign-up, Pro</t>
  </si>
  <si>
    <t xml:space="preserve">Decision (Oct 2026).</t>
  </si>
  <si>
    <t xml:space="preserve">Physical cards ordered at sign-up, Business</t>
  </si>
  <si>
    <t xml:space="preserve">Decision (Oct 2026): 1 free, 2 paid.</t>
  </si>
  <si>
    <t xml:space="preserve">Active cards (physical + virtual), Essentiel</t>
  </si>
  <si>
    <t xml:space="preserve">Active cards (physical + virtual), Pro</t>
  </si>
  <si>
    <t xml:space="preserve">Active cards (physical + virtual), Business</t>
  </si>
  <si>
    <t xml:space="preserve">Payment link collections, Essentiel (users)</t>
  </si>
  <si>
    <t xml:space="preserve">Payment link collections, Pro (users)</t>
  </si>
  <si>
    <t xml:space="preserve">Payment link collections, Business (users)</t>
  </si>
  <si>
    <t xml:space="preserve">Average monthly salary paid through Kelen</t>
  </si>
  <si>
    <t xml:space="preserve">SME average; the formal-sector average is higher (about 380,000 FCFA).</t>
  </si>
  <si>
    <t xml:space="preserve">Share of salaries paid to mobile money wallets</t>
  </si>
  <si>
    <t xml:space="preserve">Decision (Oct 2026): 65%. Global Findex 2025: about 64% of Senegal's private wage earners are paid by phone, 33% into an account; in Côte d'Ivoire 57% are still paid in cash only (market analysis, Oct 2026).</t>
  </si>
  <si>
    <t xml:space="preserve">Share of other transfers sent to wallets</t>
  </si>
  <si>
    <t xml:space="preserve">Assumption: suppliers, drivers, small contractors paid on Wave or Orange Money. To check with clients.</t>
  </si>
  <si>
    <t xml:space="preserve">Average transfer to a wallet (non-salary)</t>
  </si>
  <si>
    <t xml:space="preserve">Decision (Oct 2026): 75,000. To check with clients.</t>
  </si>
  <si>
    <t xml:space="preserve">Clients sending half the plan's average to wallets</t>
  </si>
  <si>
    <t xml:space="preserve">Clients are not all average: half send about half the average, 30% the average, the rest 2.25 times the average. Used for the fee above the free amount.</t>
  </si>
  <si>
    <t xml:space="preserve">Clients sending the plan's average to wallets</t>
  </si>
  <si>
    <t xml:space="preserve">Employees who open a Kelen salary account</t>
  </si>
  <si>
    <t xml:space="preserve">6. Cost to serve (variable costs)</t>
  </si>
  <si>
    <t xml:space="preserve">Partner bank fee per business account</t>
  </si>
  <si>
    <t xml:space="preserve">Cost research (Oct 2026): no WAEMU bank–fintech deal publishes its terms; UBA CI charges SMEs at least 5,000 retail. Replace with the term sheet.</t>
  </si>
  <si>
    <t xml:space="preserve">Company screening tool at onboarding (sanctions, adverse media)</t>
  </si>
  <si>
    <t xml:space="preserve">FCFA / company</t>
  </si>
  <si>
    <t xml:space="preserve">Tool fee only (estimate, about €2): our support team reviews the company documents (RCCM, NINEA, statutes), and that time is in their salaries.</t>
  </si>
  <si>
    <t xml:space="preserve">ID check tool per person (document, face match, sanctions)</t>
  </si>
  <si>
    <t xml:space="preserve">Tool fee only: Sumsub-type service, about €1.2–1.6 per check.</t>
  </si>
  <si>
    <t xml:space="preserve">People checked per new company</t>
  </si>
  <si>
    <t xml:space="preserve">Directors and beneficial owners.</t>
  </si>
  <si>
    <t xml:space="preserve">Card processing per active card</t>
  </si>
  <si>
    <t xml:space="preserve">Cost research (Oct 2026): processors (Paymentology, HPS, Visa DPS, GIM-UEMOA) quote privately; proxy: Sudo Nigeria ₦50 per card plus per-authorisation fees. Quote needed.</t>
  </si>
  <si>
    <t xml:space="preserve">Physical card printed and delivered</t>
  </si>
  <si>
    <t xml:space="preserve">3,000–6,000 FCFA.</t>
  </si>
  <si>
    <t xml:space="preserve">Visa / Mastercard cross-border fees and bank FX margin</t>
  </si>
  <si>
    <t xml:space="preserve">Cost research (Oct 2026): network cross-border fees about 0.9% plus the partner bank's FX margin on dollars (BCEAO spread about 0.6%; none on euros, which are pegged).</t>
  </si>
  <si>
    <t xml:space="preserve">Visa / Mastercard fixed fees per foreign payment</t>
  </si>
  <si>
    <t xml:space="preserve">Cost research (Oct 2026): about $0.43 per cross-border transaction (authorisation and clearing, proxy).</t>
  </si>
  <si>
    <t xml:space="preserve">Fraud and chargebacks</t>
  </si>
  <si>
    <t xml:space="preserve">% of card spending</t>
  </si>
  <si>
    <t xml:space="preserve">0.1–0.3%.</t>
  </si>
  <si>
    <t xml:space="preserve">Cost of a transfer to a wallet: % of amount</t>
  </si>
  <si>
    <t xml:space="preserve">No deal yet (Oct 2026): Wave Business and Orange Money charge 1%. Base: 1% capped at 5,000 FCFA per transfer (Wave business cap, secondary source: to verify). Prudent: 1% with no cap. Ambitious: flat price on PI-SPI through the partner bank once negotiated.</t>
  </si>
  <si>
    <t xml:space="preserve">Cost of a transfer to a wallet: cap (0 = no cap)</t>
  </si>
  <si>
    <t xml:space="preserve">Cost of a transfer to a wallet: flat part</t>
  </si>
  <si>
    <t xml:space="preserve">PI-SPI business pricing is set freely by each bank: 200 FCFA is a negotiation target, not a quote.</t>
  </si>
  <si>
    <t xml:space="preserve">Cost of a salary paid to a bank account</t>
  </si>
  <si>
    <t xml:space="preserve">FCFA / payout</t>
  </si>
  <si>
    <t xml:space="preserve">Cost research (Oct 2026): online transfers 150–2,000 FCFA in bank tariffs; same-bank transfers free.</t>
  </si>
  <si>
    <t xml:space="preserve">Cost of a transfer to a bank account</t>
  </si>
  <si>
    <t xml:space="preserve">Cost research (Oct 2026): 150 FCFA (SG Sénégal, unconfirmed) to 750 (UBA CI) and 2,000 (BOA Sénégal) per online transfer; above 50M FCFA the RTGS costs 15,000+.</t>
  </si>
  <si>
    <t xml:space="preserve">SMS, WhatsApp and support tools per client</t>
  </si>
  <si>
    <t xml:space="preserve">Cost research (Oct 2026): WhatsApp utility/authentication about 2.3 FCFA a message, Orange SMS 4–10 FCFA; plus support software seats.</t>
  </si>
  <si>
    <t xml:space="preserve">Messages per employee account</t>
  </si>
  <si>
    <t xml:space="preserve">Cost research (Oct 2026).</t>
  </si>
  <si>
    <t xml:space="preserve">Processing per employee account</t>
  </si>
  <si>
    <t xml:space="preserve">About €0.23 (cost breakdown).</t>
  </si>
  <si>
    <t xml:space="preserve">7. Credit (lender of record: partner SFD, then own SFD in Senegal)</t>
  </si>
  <si>
    <t xml:space="preserve">Credit volume multiplier</t>
  </si>
  <si>
    <t xml:space="preserve">Scales every product's uptake.</t>
  </si>
  <si>
    <t xml:space="preserve">Credit losses multiplier</t>
  </si>
  <si>
    <t xml:space="preserve">Scales every product's cost of risk.</t>
  </si>
  <si>
    <t xml:space="preserve">Months for a product to reach full uptake</t>
  </si>
  <si>
    <t xml:space="preserve">Factoring: start month</t>
  </si>
  <si>
    <t xml:space="preserve">No loans before month 18 (decision). Lowest risk: the debtor pays the invoice.</t>
  </si>
  <si>
    <t xml:space="preserve">Factoring: share of active clients using it</t>
  </si>
  <si>
    <t xml:space="preserve">Factoring: average outstanding per user</t>
  </si>
  <si>
    <t xml:space="preserve">80–90% of invoices, 30–90 days.</t>
  </si>
  <si>
    <t xml:space="preserve">Factoring: yield</t>
  </si>
  <si>
    <t xml:space="preserve">0.063% a day = 23% a year. All-in: the 24% SFD cap counts fees and insurance, so no extra file fee is modelled.</t>
  </si>
  <si>
    <t xml:space="preserve">Factoring: cost of risk</t>
  </si>
  <si>
    <t xml:space="preserve">Payroll bridge: start month</t>
  </si>
  <si>
    <t xml:space="preserve">Payroll bridge: share of active clients</t>
  </si>
  <si>
    <t xml:space="preserve">Payroll bridge: average outstanding</t>
  </si>
  <si>
    <t xml:space="preserve">Up to one month of payroll, 45 days max.</t>
  </si>
  <si>
    <t xml:space="preserve">Payroll bridge: yield</t>
  </si>
  <si>
    <t xml:space="preserve">Payroll bridge: cost of risk</t>
  </si>
  <si>
    <t xml:space="preserve">Credit line: start month</t>
  </si>
  <si>
    <t xml:space="preserve">Three months after the first loans, on transaction history.</t>
  </si>
  <si>
    <t xml:space="preserve">Credit line: share of active clients</t>
  </si>
  <si>
    <t xml:space="preserve">Credit line: average drawn</t>
  </si>
  <si>
    <t xml:space="preserve">5–30% of monthly inflows.</t>
  </si>
  <si>
    <t xml:space="preserve">Credit line: yield</t>
  </si>
  <si>
    <t xml:space="preserve">Credit line: cost of risk</t>
  </si>
  <si>
    <t xml:space="preserve">Cost research (Oct 2026): large WAEMU microfinance institutions 4.3% net bad loans (2025); Advans CI PAR30 4.64%.</t>
  </si>
  <si>
    <t xml:space="preserve">Equipment / term loans: start month</t>
  </si>
  <si>
    <t xml:space="preserve">Longer loans once the own SFD lends.</t>
  </si>
  <si>
    <t xml:space="preserve">Term loans: share of active clients</t>
  </si>
  <si>
    <t xml:space="preserve">Term loans: average outstanding</t>
  </si>
  <si>
    <t xml:space="preserve">1–50M FCFA, 6–24 months.</t>
  </si>
  <si>
    <t xml:space="preserve">Term loans: yield</t>
  </si>
  <si>
    <t xml:space="preserve">Term loans: cost of risk</t>
  </si>
  <si>
    <t xml:space="preserve">Cost research (Oct 2026): same benchmarks.</t>
  </si>
  <si>
    <t xml:space="preserve">Salary advances: start month</t>
  </si>
  <si>
    <t xml:space="preserve">B2C product: after employee accounts open. Retention product, not a profit centre.</t>
  </si>
  <si>
    <t xml:space="preserve">Salary advances: share of employee accounts with an advance</t>
  </si>
  <si>
    <t xml:space="preserve">Salary advances: average outstanding</t>
  </si>
  <si>
    <t xml:space="preserve">Up to 50% of pay already earned.</t>
  </si>
  <si>
    <t xml:space="preserve">Salary advances: yield</t>
  </si>
  <si>
    <t xml:space="preserve">Salary advances: cost of risk</t>
  </si>
  <si>
    <t xml:space="preserve">Cost of funds</t>
  </si>
  <si>
    <t xml:space="preserve">8–10% (DFI lines, local debt).</t>
  </si>
  <si>
    <t xml:space="preserve">External servicing and collections</t>
  </si>
  <si>
    <t xml:space="preserve">Credit staff are in the hiring plan.</t>
  </si>
  <si>
    <t xml:space="preserve">Kelen share of the net margin while the partner SFD funds</t>
  </si>
  <si>
    <t xml:space="preserve">Negotiated; Kelen provides first-loss cover.</t>
  </si>
  <si>
    <t xml:space="preserve">First-loss cash reserve (partner phase)</t>
  </si>
  <si>
    <t xml:space="preserve">% of book</t>
  </si>
  <si>
    <t xml:space="preserve">Equity needed per FCFA lent (own SFD phase)</t>
  </si>
  <si>
    <t xml:space="preserve">The rest funded by debt lines (not modelled in the P&amp;L except the cost of funds).</t>
  </si>
  <si>
    <t xml:space="preserve">8. Team, offices and tools</t>
  </si>
  <si>
    <t xml:space="preserve">Employer charges and taxes on top of the gross salary</t>
  </si>
  <si>
    <t xml:space="preserve">% of gross</t>
  </si>
  <si>
    <t xml:space="preserve">All-in: social security, pension, health and payroll taxes, about 30% (decision).</t>
  </si>
  <si>
    <t xml:space="preserve">Customer support: first agents join</t>
  </si>
  <si>
    <t xml:space="preserve">One month before the Senegal launch.</t>
  </si>
  <si>
    <t xml:space="preserve">Customer support: starting team</t>
  </si>
  <si>
    <t xml:space="preserve">Decision. Agents also run onboarding checks with the partner.</t>
  </si>
  <si>
    <t xml:space="preserve">Customer support: active business clients per agent</t>
  </si>
  <si>
    <t xml:space="preserve">Estimate. The team grows with the client base.</t>
  </si>
  <si>
    <t xml:space="preserve">Customer support: B2C accounts per extra agent</t>
  </si>
  <si>
    <t xml:space="preserve">accounts</t>
  </si>
  <si>
    <t xml:space="preserve">From the B2C launch.</t>
  </si>
  <si>
    <t xml:space="preserve">Customer support agent: gross salary</t>
  </si>
  <si>
    <t xml:space="preserve">Decision (Oct 2026): 280,000, what the team is paid today. Support and onboarding (KYC) work.</t>
  </si>
  <si>
    <t xml:space="preserve">Developers: starting team (CTO not included)</t>
  </si>
  <si>
    <t xml:space="preserve">Decision.</t>
  </si>
  <si>
    <t xml:space="preserve">Developers: one more per this many active clients</t>
  </si>
  <si>
    <t xml:space="preserve">Estimate. Maak's platform covers the core; developers adapt and extend it.</t>
  </si>
  <si>
    <t xml:space="preserve">Developer: gross salary</t>
  </si>
  <si>
    <t xml:space="preserve">Blend of senior (1.5M) and mid-level (0.8M) developers in Dakar.</t>
  </si>
  <si>
    <t xml:space="preserve">Field sales: first reps join</t>
  </si>
  <si>
    <t xml:space="preserve">Field sales reps, Senegal: starting team</t>
  </si>
  <si>
    <t xml:space="preserve">Plus the sales lead on the hiring plan: 3 sellers at launch (decision: 'a few sales').</t>
  </si>
  <si>
    <t xml:space="preserve">Field sales reps, Côte d'Ivoire: starting team</t>
  </si>
  <si>
    <t xml:space="preserve">From the Abidjan opening.</t>
  </si>
  <si>
    <t xml:space="preserve">Field sales: one rep per this many active clients in the country</t>
  </si>
  <si>
    <t xml:space="preserve">Estimate. Based on the previous month's clients, so the team follows the client base.</t>
  </si>
  <si>
    <t xml:space="preserve">Field sales rep, Senegal: gross salary</t>
  </si>
  <si>
    <t xml:space="preserve">300k fixed + about 100k commission.</t>
  </si>
  <si>
    <t xml:space="preserve">Field sales rep, Côte d'Ivoire: gross salary</t>
  </si>
  <si>
    <t xml:space="preserve">Credit team joins this many months before the first loans</t>
  </si>
  <si>
    <t xml:space="preserve">Financial experts are added when loans start (decision).</t>
  </si>
  <si>
    <t xml:space="preserve">Credit analysts and collections: one per this loan book</t>
  </si>
  <si>
    <t xml:space="preserve">Estimate. Minimum one from the start of credit.</t>
  </si>
  <si>
    <t xml:space="preserve">Credit analyst: gross salary</t>
  </si>
  <si>
    <t xml:space="preserve">Office: Regus, all included</t>
  </si>
  <si>
    <t xml:space="preserve">€ / employee / month</t>
  </si>
  <si>
    <t xml:space="preserve">Desk, electricity, internet, cleaning and security included (decision). Dakar from month 1, Abidjan from its opening.</t>
  </si>
  <si>
    <t xml:space="preserve">Laptop per new hire (non-developers)</t>
  </si>
  <si>
    <t xml:space="preserve">€ / hire</t>
  </si>
  <si>
    <t xml:space="preserve">Decision: at most €500. Expensed in the month of hiring (no depreciation).</t>
  </si>
  <si>
    <t xml:space="preserve">MacBook per new developer and the CTO</t>
  </si>
  <si>
    <t xml:space="preserve">USD / hire</t>
  </si>
  <si>
    <t xml:space="preserve">Decision: about $2,000.</t>
  </si>
  <si>
    <t xml:space="preserve">Recruitment agency fee per senior hire</t>
  </si>
  <si>
    <t xml:space="preserve">Decision: about €800 per hire for the CEO, CTO, developers, financial and credit experts, country manager and compliance officer. Other roles are hired directly at no fee.</t>
  </si>
  <si>
    <t xml:space="preserve">Developers hired through an agency (1 = yes, 0 = no)</t>
  </si>
  <si>
    <t xml:space="preserve">flag</t>
  </si>
  <si>
    <t xml:space="preserve">Credit analysts hired through an agency (1 = yes, 0 = no)</t>
  </si>
  <si>
    <t xml:space="preserve">Customer support hired through an agency (1 = yes, 0 = no)</t>
  </si>
  <si>
    <t xml:space="preserve">Hired directly (decision).</t>
  </si>
  <si>
    <t xml:space="preserve">Field sales reps hired through an agency (1 = yes, 0 = no)</t>
  </si>
  <si>
    <t xml:space="preserve">Hired directly.</t>
  </si>
  <si>
    <t xml:space="preserve">Phone and data plan per employee</t>
  </si>
  <si>
    <t xml:space="preserve">Decision: about 5,000 FCFA.</t>
  </si>
  <si>
    <t xml:space="preserve">Google Workspace (Gmail) per user</t>
  </si>
  <si>
    <t xml:space="preserve">USD / user / month</t>
  </si>
  <si>
    <t xml:space="preserve">Decision: about $9.</t>
  </si>
  <si>
    <t xml:space="preserve">ClickUp per user</t>
  </si>
  <si>
    <t xml:space="preserve">Decision: same price as Gmail.</t>
  </si>
  <si>
    <t xml:space="preserve">Claude Enterprise seat</t>
  </si>
  <si>
    <t xml:space="preserve">USD / seat / month</t>
  </si>
  <si>
    <t xml:space="preserve">Decision. One seat per developer and the CTO, plus the shared seats below.</t>
  </si>
  <si>
    <t xml:space="preserve">Shared Claude seats</t>
  </si>
  <si>
    <t xml:space="preserve">seats</t>
  </si>
  <si>
    <t xml:space="preserve">One for support and marketing together, one for everyone else who needs it.</t>
  </si>
  <si>
    <t xml:space="preserve">Website builder</t>
  </si>
  <si>
    <t xml:space="preserve">USD / month</t>
  </si>
  <si>
    <t xml:space="preserve">Decision: the group's site tool.</t>
  </si>
  <si>
    <t xml:space="preserve">Domain name</t>
  </si>
  <si>
    <t xml:space="preserve">USD / year</t>
  </si>
  <si>
    <t xml:space="preserve">9. Technology from Maak (group company)</t>
  </si>
  <si>
    <t xml:space="preserve">Deal with Maak (1 = lease, 2 = equity)</t>
  </si>
  <si>
    <t xml:space="preserve">1: Kelen pays a yearly lease, lease-to-own. 2: Maak takes a small stake in Kelen instead and there is no lease cost. Either way, adapting the platform to Kelen is included.</t>
  </si>
  <si>
    <t xml:space="preserve">Lease of Maak's platform (option 1)</t>
  </si>
  <si>
    <t xml:space="preserve">€ / year</t>
  </si>
  <si>
    <t xml:space="preserve">Decision: about 70k a year, paid monthly from month 1, for 3 years. TO VALIDATE with Maak. Includes adapting the platform to Kelen's products.</t>
  </si>
  <si>
    <t xml:space="preserve">Lease length (then Kelen owns the platform)</t>
  </si>
  <si>
    <t xml:space="preserve">Decision (Oct 2026): the lease stops after 3 years and the technology is Kelen's.</t>
  </si>
  <si>
    <t xml:space="preserve">Maak upgrades and maintenance after the lease</t>
  </si>
  <si>
    <t xml:space="preserve">Decision (Oct 2026): from the end of the lease to the end of the plan.</t>
  </si>
  <si>
    <t xml:space="preserve">Maak's stake in Kelen (option 2)</t>
  </si>
  <si>
    <t xml:space="preserve">% of Kelen</t>
  </si>
  <si>
    <t xml:space="preserve">Assumption for 'a small %'. No cash cost; shown on the Dashboard.</t>
  </si>
  <si>
    <t xml:space="preserve">Tech audit</t>
  </si>
  <si>
    <t xml:space="preserve">USD</t>
  </si>
  <si>
    <t xml:space="preserve">Reference price (decision). Before launch, then once a year.</t>
  </si>
  <si>
    <t xml:space="preserve">10. Fixed costs by year</t>
  </si>
  <si>
    <t xml:space="preserve">Year 1</t>
  </si>
  <si>
    <t xml:space="preserve">Year 2</t>
  </si>
  <si>
    <t xml:space="preserve">Year 3</t>
  </si>
  <si>
    <t xml:space="preserve">Year 4</t>
  </si>
  <si>
    <t xml:space="preserve">Year 5</t>
  </si>
  <si>
    <t xml:space="preserve">Y1 (€ / FCFA)</t>
  </si>
  <si>
    <t xml:space="preserve">Y2 (€ / FCFA)</t>
  </si>
  <si>
    <t xml:space="preserve">Y3 (€ / FCFA)</t>
  </si>
  <si>
    <t xml:space="preserve">Y4 (€ / FCFA)</t>
  </si>
  <si>
    <t xml:space="preserve">Y5 (€ / FCFA)</t>
  </si>
  <si>
    <t xml:space="preserve">Technology</t>
  </si>
  <si>
    <t xml:space="preserve">Cloud hosting</t>
  </si>
  <si>
    <t xml:space="preserve">Check whether Maak's lease includes hosting. No AWS/GCP region in WAEMU; CDP authorisation for data abroad.</t>
  </si>
  <si>
    <t xml:space="preserve">Identity-check vendor monthly minimum</t>
  </si>
  <si>
    <t xml:space="preserve">Cost research (Oct 2026): Sumsub-type vendors charge $149–299 a month minimum; the usage fees below count towards it.</t>
  </si>
  <si>
    <t xml:space="preserve">Credit bureau membership and reports</t>
  </si>
  <si>
    <t xml:space="preserve">FCFA / year</t>
  </si>
  <si>
    <t xml:space="preserve">Cost research (Oct 2026): BIC UEMOA (Creditinfo VoLo) 3.8M FCFA a year for banks and financial institutions (1.8M for large SFDs) plus 400–1,000 FCFA per report. From the first loans.</t>
  </si>
  <si>
    <t xml:space="preserve">Transaction monitoring and sanctions screening</t>
  </si>
  <si>
    <t xml:space="preserve">Cost research (Oct 2026): screening starter plans $99–319 a month exclude monitoring; usage-based monitoring about $0.02 per transaction.</t>
  </si>
  <si>
    <t xml:space="preserve">Freelance QA testing and DevOps on-call</t>
  </si>
  <si>
    <t xml:space="preserve">Design is done in-house with Claude Design (decision). About €12k in year 1, €15k in year 2, then €9k a year.</t>
  </si>
  <si>
    <t xml:space="preserve">Card processor monthly minimum</t>
  </si>
  <si>
    <t xml:space="preserve">Kelen pays the higher of this minimum and the per-card fees.</t>
  </si>
  <si>
    <t xml:space="preserve">Card processor set-up fee (one-off)</t>
  </si>
  <si>
    <t xml:space="preserve">USD 25–75k (estimate; quote needed).</t>
  </si>
  <si>
    <t xml:space="preserve">Bank and SFD partners</t>
  </si>
  <si>
    <t xml:space="preserve">Partner bank set-up and card programme, Senegal (one-off)</t>
  </si>
  <si>
    <t xml:space="preserve">No public price; replace with the term sheet.</t>
  </si>
  <si>
    <t xml:space="preserve">Partner bank set-up, Côte d'Ivoire (one-off)</t>
  </si>
  <si>
    <t xml:space="preserve">Partner SFD integration and legal set-up (one-off)</t>
  </si>
  <si>
    <t xml:space="preserve">Partner bank platform minimum, Senegal</t>
  </si>
  <si>
    <t xml:space="preserve">From the Senegal launch.</t>
  </si>
  <si>
    <t xml:space="preserve">Partner bank platform minimum, Côte d'Ivoire</t>
  </si>
  <si>
    <t xml:space="preserve">From the Côte d'Ivoire launch.</t>
  </si>
  <si>
    <t xml:space="preserve">Partner SFD running fees</t>
  </si>
  <si>
    <t xml:space="preserve">Still needed after the acquisition for Côte d'Ivoire loans.</t>
  </si>
  <si>
    <t xml:space="preserve">Legal, regulatory and audit</t>
  </si>
  <si>
    <t xml:space="preserve">Company set-up, Senegal (one-off, month 1)</t>
  </si>
  <si>
    <t xml:space="preserve">1.5–3M FCFA excluding capital.</t>
  </si>
  <si>
    <t xml:space="preserve">Company set-up, Côte d'Ivoire (one-off)</t>
  </si>
  <si>
    <t xml:space="preserve">SFD acquisition: due diligence, counsel and approval file</t>
  </si>
  <si>
    <t xml:space="preserve">Estimate. Year 2: target search, due diligence, change-of-control file; year 3: integration.</t>
  </si>
  <si>
    <t xml:space="preserve">Own SFD running costs (board, regulatory reporting, systems)</t>
  </si>
  <si>
    <t xml:space="preserve">ESTIMATE, from the acquisition month only. Replace after due diligence (the SFD's own staff and revenue).</t>
  </si>
  <si>
    <t xml:space="preserve">Ongoing legal counsel</t>
  </si>
  <si>
    <t xml:space="preserve">Statutory auditor</t>
  </si>
  <si>
    <t xml:space="preserve">Two entities from year 2; the SFD adds a regulated audit from year 3.</t>
  </si>
  <si>
    <t xml:space="preserve">External chartered accountant and tax adviser</t>
  </si>
  <si>
    <t xml:space="preserve">Independent AML audit</t>
  </si>
  <si>
    <t xml:space="preserve">From the own SFD (year 3). Before that the partners carry the AML obligations.</t>
  </si>
  <si>
    <t xml:space="preserve">Data-protection filings (CDP, ARTCI)</t>
  </si>
  <si>
    <t xml:space="preserve">Insurance: professional liability, cyber, directors</t>
  </si>
  <si>
    <t xml:space="preserve">Sales and marketing (non-staff)</t>
  </si>
  <si>
    <t xml:space="preserve">Digital ads budget, Senegal</t>
  </si>
  <si>
    <t xml:space="preserve">From the Senegal launch. Drives digital clients through the cost per client above.</t>
  </si>
  <si>
    <t xml:space="preserve">Digital ads budget, Côte d'Ivoire</t>
  </si>
  <si>
    <t xml:space="preserve">Brand, launch events, PR</t>
  </si>
  <si>
    <t xml:space="preserve">The website itself is under Technology (site tool).</t>
  </si>
  <si>
    <t xml:space="preserve">Events, sponsorships, sales materials</t>
  </si>
  <si>
    <t xml:space="preserve">Other</t>
  </si>
  <si>
    <t xml:space="preserve">Travel (Dakar–Abidjan, regulators, partners)</t>
  </si>
  <si>
    <t xml:space="preserve">Company bank fees and miscellaneous</t>
  </si>
  <si>
    <t xml:space="preserve">11. Cash, capital and funding</t>
  </si>
  <si>
    <t xml:space="preserve">Cash at month 1 before the first round</t>
  </si>
  <si>
    <t xml:space="preserve">Card programme collateral at the partner bank</t>
  </si>
  <si>
    <t xml:space="preserve">To quote.</t>
  </si>
  <si>
    <t xml:space="preserve">Acquisition of a microfinance company (SFD)</t>
  </si>
  <si>
    <t xml:space="preserve">Estimate (≈ €990k) for a small Senegalese SFD. Recent deals: Microsen (9.3bn FCFA assets) to SF Capital and Kajas (5.75bn) to Witti, prices not disclosed, Kajas by capital increase; small SFDs trade at or below 1× book (market analysis, Oct 2026).</t>
  </si>
  <si>
    <t xml:space="preserve">Seed round: month</t>
  </si>
  <si>
    <t xml:space="preserve">Seed round: amount</t>
  </si>
  <si>
    <t xml:space="preserve">Adjust to keep closing cash above zero (see Cash flow).</t>
  </si>
  <si>
    <t xml:space="preserve">Series A: month</t>
  </si>
  <si>
    <t xml:space="preserve">Series A: amount</t>
  </si>
  <si>
    <t xml:space="preserve">Series B: month</t>
  </si>
  <si>
    <t xml:space="preserve">Funds the SFD acquisition and the credit book's equity.</t>
  </si>
  <si>
    <t xml:space="preserve">Series B: amount</t>
  </si>
  <si>
    <t xml:space="preserve">Unit costs and prices</t>
  </si>
  <si>
    <t xml:space="preserve">What one of each thing costs or earns, in FCFA with the euro amount on the 'in €' line underneath. Every cell links to the inputs on Assumptions and Hiring plan: change them there.</t>
  </si>
  <si>
    <t xml:space="preserve">Each service: what the client pays, what it costs Kelen, what Kelen keeps</t>
  </si>
  <si>
    <t xml:space="preserve">One example of each service, in FCFA, at the current scenario's costs. 'Status' says how solid the cost is: quoted, researched (public prices) or estimate. Kelen never pays the 0.6% tax on transfers out of the zone or the transfer tax: they are passed on at cost.</t>
  </si>
  <si>
    <t xml:space="preserve">Service (example)</t>
  </si>
  <si>
    <t xml:space="preserve">Who Kelen pays</t>
  </si>
  <si>
    <t xml:space="preserve">Client pays</t>
  </si>
  <si>
    <t xml:space="preserve">Cost to Kelen</t>
  </si>
  <si>
    <t xml:space="preserve">Kelen keeps</t>
  </si>
  <si>
    <t xml:space="preserve">Margin</t>
  </si>
  <si>
    <t xml:space="preserve">Status of the cost</t>
  </si>
  <si>
    <t xml:space="preserve">Account and plan</t>
  </si>
  <si>
    <t xml:space="preserve">Pro plan, one month (bank fee and messaging only)</t>
  </si>
  <si>
    <t xml:space="preserve">Partner bank (fee per account), WhatsApp / SMS</t>
  </si>
  <si>
    <t xml:space="preserve">Bank fee: estimate, no term sheet yet</t>
  </si>
  <si>
    <t xml:space="preserve">Opening a new client (identity checks)</t>
  </si>
  <si>
    <t xml:space="preserve">Identity-check vendor</t>
  </si>
  <si>
    <t xml:space="preserve">Researched (vendor prices)</t>
  </si>
  <si>
    <t xml:space="preserve">Extra user, one month</t>
  </si>
  <si>
    <t xml:space="preserve">Nobody</t>
  </si>
  <si>
    <t xml:space="preserve">Transfers</t>
  </si>
  <si>
    <t xml:space="preserve">Bank transfer to a supplier, inside the allowance</t>
  </si>
  <si>
    <t xml:space="preserve">Researched: 150–2,000 FCFA in bank tariffs; same-bank transfers free</t>
  </si>
  <si>
    <t xml:space="preserve">Bank transfer above the allowance</t>
  </si>
  <si>
    <t xml:space="preserve">Researched, as above</t>
  </si>
  <si>
    <t xml:space="preserve">Salary to a bank account</t>
  </si>
  <si>
    <t xml:space="preserve">75,000 FCFA to a wallet, inside the free amount</t>
  </si>
  <si>
    <t xml:space="preserve">Wave / Orange Money (or an aggregator)</t>
  </si>
  <si>
    <t xml:space="preserve">Public price: 1% (no deal yet)</t>
  </si>
  <si>
    <t xml:space="preserve">200,000 FCFA salary to a wallet, above the free amount</t>
  </si>
  <si>
    <t xml:space="preserve">1,000,000 FCFA to a wallet, above the free amount (both caps apply)</t>
  </si>
  <si>
    <t xml:space="preserve">5,000 FCFA cap: secondary source, to verify</t>
  </si>
  <si>
    <t xml:space="preserve">100,000 FCFA collected by Wave through a payment link</t>
  </si>
  <si>
    <t xml:space="preserve">Public price: about 1%</t>
  </si>
  <si>
    <t xml:space="preserve">Active card, one month</t>
  </si>
  <si>
    <t xml:space="preserve">Card processor</t>
  </si>
  <si>
    <t xml:space="preserve">Estimate: processors quote privately</t>
  </si>
  <si>
    <t xml:space="preserve">Extra physical card (one-off)</t>
  </si>
  <si>
    <t xml:space="preserve">Card printer</t>
  </si>
  <si>
    <t xml:space="preserve">Researched: 3,000–6,000 FCFA</t>
  </si>
  <si>
    <t xml:space="preserve">50,000 FCFA card payment in FCFA</t>
  </si>
  <si>
    <t xml:space="preserve">Fraud and disputes (interchange stays with the bank)</t>
  </si>
  <si>
    <t xml:space="preserve">Estimate</t>
  </si>
  <si>
    <t xml:space="preserve">25,000 FCFA card payment in dollars (ads, software)</t>
  </si>
  <si>
    <t xml:space="preserve">Visa / Mastercard and the partner bank (FX margin)</t>
  </si>
  <si>
    <t xml:space="preserve">Researched: network fees about 0.9% + $0.43; bank FX margin to quote</t>
  </si>
  <si>
    <t xml:space="preserve">International payments and payroll</t>
  </si>
  <si>
    <t xml:space="preserve">1,000,000 FCFA paid to a supplier abroad</t>
  </si>
  <si>
    <t xml:space="preserve">Partner bank or provider (Capi Money…)</t>
  </si>
  <si>
    <t xml:space="preserve">Assumed: provider not chosen yet</t>
  </si>
  <si>
    <t xml:space="preserve">One payslip with the monthly declarations</t>
  </si>
  <si>
    <t xml:space="preserve">WhatsApp / SMS, computing</t>
  </si>
  <si>
    <t xml:space="preserve">Researched</t>
  </si>
  <si>
    <t xml:space="preserve">1,000,000 FCFA credit line for a year, Kelen's own SFD</t>
  </si>
  <si>
    <t xml:space="preserve">Lenders (cost of funds), credit losses, servicing</t>
  </si>
  <si>
    <t xml:space="preserve">With the partner SFD, Kelen keeps its share of this (Assumptions, section 7)</t>
  </si>
  <si>
    <t xml:space="preserve">One employee, per month</t>
  </si>
  <si>
    <t xml:space="preserve">Employer cost plus what each person adds: Regus desk, phone, Gmail and ClickUp, a Claude seat for the CTO and developers. One-off at hiring: a laptop (a MacBook for the CTO and developers), plus the agency fee for senior roles.</t>
  </si>
  <si>
    <t xml:space="preserve">Role</t>
  </si>
  <si>
    <t xml:space="preserve">Country</t>
  </si>
  <si>
    <t xml:space="preserve">Agency hire</t>
  </si>
  <si>
    <t xml:space="preserve">Gross salary</t>
  </si>
  <si>
    <t xml:space="preserve">Employer charges</t>
  </si>
  <si>
    <t xml:space="preserve">Employer cost</t>
  </si>
  <si>
    <t xml:space="preserve">Office (Regus)</t>
  </si>
  <si>
    <t xml:space="preserve">Phone and data</t>
  </si>
  <si>
    <t xml:space="preserve">Gmail and ClickUp</t>
  </si>
  <si>
    <t xml:space="preserve">Claude seat</t>
  </si>
  <si>
    <t xml:space="preserve">All-in per month</t>
  </si>
  <si>
    <t xml:space="preserve">One-off at hiring</t>
  </si>
  <si>
    <t xml:space="preserve">Customer support agent (grows with volume)</t>
  </si>
  <si>
    <t xml:space="preserve">SN</t>
  </si>
  <si>
    <t xml:space="preserve">Developer (grows with volume)</t>
  </si>
  <si>
    <t xml:space="preserve">Field sales rep, Senegal (grows with volume)</t>
  </si>
  <si>
    <t xml:space="preserve">Field sales rep, Côte d'Ivoire (grows with volume)</t>
  </si>
  <si>
    <t xml:space="preserve">CI</t>
  </si>
  <si>
    <t xml:space="preserve">Credit analyst (grows with volume)</t>
  </si>
  <si>
    <t xml:space="preserve">Company-wide, not per person: 2 shared Claude seats, the website and domain. Field reps also get the transport allowance (Sales &amp; marketing). Pay rises 5% a year from year 2.</t>
  </si>
  <si>
    <t xml:space="preserve">One business client, per month, by plan</t>
  </si>
  <si>
    <t xml:space="preserve">Steady state: after the free month, payment links and paid modules at full adoption, no credit. Pricing option and scenario inputs at their current value.</t>
  </si>
  <si>
    <t xml:space="preserve">Line</t>
  </si>
  <si>
    <t xml:space="preserve">How it is calculated</t>
  </si>
  <si>
    <t xml:space="preserve">Essentiel (small firm)</t>
  </si>
  <si>
    <t xml:space="preserve">Pro (mid-size firm)</t>
  </si>
  <si>
    <t xml:space="preserve">Business (large firm)</t>
  </si>
  <si>
    <t xml:space="preserve">Revenue</t>
  </si>
  <si>
    <t xml:space="preserve">Subscription (after the yearly-billing discount)</t>
  </si>
  <si>
    <t xml:space="preserve">Plan price × (1 − share paying yearly × free months on yearly billing ÷ 12)</t>
  </si>
  <si>
    <t xml:space="preserve">Fees on foreign-currency card spending</t>
  </si>
  <si>
    <t xml:space="preserve">Foreign-currency card spending × (FX fee + fixed fee ÷ average payment)</t>
  </si>
  <si>
    <t xml:space="preserve">Bank transfers above the plan allowance</t>
  </si>
  <si>
    <t xml:space="preserve">Paid bank transfers above the allowance × fee per transfer</t>
  </si>
  <si>
    <t xml:space="preserve">Payment link fees (average client)</t>
  </si>
  <si>
    <t xml:space="preserve">Collections × adoption × share by mobile money × fee</t>
  </si>
  <si>
    <t xml:space="preserve">Extra users</t>
  </si>
  <si>
    <t xml:space="preserve">Users beyond the plan × fee per user</t>
  </si>
  <si>
    <t xml:space="preserve">Mobile money above the free amount (average client)</t>
  </si>
  <si>
    <t xml:space="preserve">Amount sent to wallets above the plan's free amount × fee (clients spread around the average)</t>
  </si>
  <si>
    <t xml:space="preserve">Payroll module (average client)</t>
  </si>
  <si>
    <t xml:space="preserve">Employees × uptake × price per payslip</t>
  </si>
  <si>
    <t xml:space="preserve">International payments (average client)</t>
  </si>
  <si>
    <t xml:space="preserve">Monthly volume × uptake × (fee + fixed fee ÷ average payment)</t>
  </si>
  <si>
    <t xml:space="preserve">Revenue per client</t>
  </si>
  <si>
    <t xml:space="preserve">Cost to serve</t>
  </si>
  <si>
    <t xml:space="preserve">Flat fee per account</t>
  </si>
  <si>
    <t xml:space="preserve">Card processing</t>
  </si>
  <si>
    <t xml:space="preserve">Active cards × processing fee per card</t>
  </si>
  <si>
    <t xml:space="preserve">Visa / Mastercard cross-border fees</t>
  </si>
  <si>
    <t xml:space="preserve">Foreign-currency card spending × (scheme rate + fixed fee ÷ average payment)</t>
  </si>
  <si>
    <t xml:space="preserve">All card spending × fraud rate</t>
  </si>
  <si>
    <t xml:space="preserve">Transfers to wallets × cost per transfer</t>
  </si>
  <si>
    <t xml:space="preserve">Salaries paid to bank accounts</t>
  </si>
  <si>
    <t xml:space="preserve">Employees × share to banks × cost per transfer</t>
  </si>
  <si>
    <t xml:space="preserve">Transfers to bank accounts</t>
  </si>
  <si>
    <t xml:space="preserve">Transfers to banks × cost per transfer</t>
  </si>
  <si>
    <t xml:space="preserve">Monthly volume × uptake × cost</t>
  </si>
  <si>
    <t xml:space="preserve">Employees × uptake × cost per payslip</t>
  </si>
  <si>
    <t xml:space="preserve">Payment link collection costs</t>
  </si>
  <si>
    <t xml:space="preserve">Collections × adoption × share by mobile money × operator cost</t>
  </si>
  <si>
    <t xml:space="preserve">SMS, WhatsApp and support tools</t>
  </si>
  <si>
    <t xml:space="preserve">Flat per client</t>
  </si>
  <si>
    <t xml:space="preserve">Cost to serve per client</t>
  </si>
  <si>
    <t xml:space="preserve">Contribution per client per month</t>
  </si>
  <si>
    <t xml:space="preserve">Revenue − cost to serve</t>
  </si>
  <si>
    <t xml:space="preserve">Contribution margin</t>
  </si>
  <si>
    <t xml:space="preserve">Once, when the client signs up</t>
  </si>
  <si>
    <t xml:space="preserve">Onboarding check tools</t>
  </si>
  <si>
    <t xml:space="preserve">Company screening + people checked × ID check (our team's review time is in salaries)</t>
  </si>
  <si>
    <t xml:space="preserve">Physical cards printed and delivered</t>
  </si>
  <si>
    <t xml:space="preserve">Cards ordered at sign-up × cost per card</t>
  </si>
  <si>
    <t xml:space="preserve">Card fees charged to the client (revenue)</t>
  </si>
  <si>
    <t xml:space="preserve">(Cards ordered − cards in the plan) × card fee</t>
  </si>
  <si>
    <t xml:space="preserve">Referral fee (partner-channel clients only)</t>
  </si>
  <si>
    <t xml:space="preserve">Fee paid to the accountant or software partner</t>
  </si>
  <si>
    <t xml:space="preserve">Subscription given away (free months)</t>
  </si>
  <si>
    <t xml:space="preserve">Free months × plan price</t>
  </si>
  <si>
    <t xml:space="preserve">One loan: 1,000,000 FCFA lent for a year</t>
  </si>
  <si>
    <t xml:space="preserve">Net margin after cost of funds, credit losses and servicing; what Kelen keeps with the partner SFD and with its own SFD; cash Kelen must lock up.</t>
  </si>
  <si>
    <t xml:space="preserve">Yield</t>
  </si>
  <si>
    <t xml:space="preserve">Credit losses</t>
  </si>
  <si>
    <t xml:space="preserve">Servicing</t>
  </si>
  <si>
    <t xml:space="preserve">Net margin</t>
  </si>
  <si>
    <t xml:space="preserve">Net margin a year</t>
  </si>
  <si>
    <t xml:space="preserve">Kelen keeps, partner phase</t>
  </si>
  <si>
    <t xml:space="preserve">Kelen keeps, own SFD</t>
  </si>
  <si>
    <t xml:space="preserve">Cash locked, partner phase</t>
  </si>
  <si>
    <t xml:space="preserve">Cash locked, own SFD</t>
  </si>
  <si>
    <t xml:space="preserve">Factoring</t>
  </si>
  <si>
    <t xml:space="preserve">Equipment and term loans</t>
  </si>
  <si>
    <t xml:space="preserve">Salary advances</t>
  </si>
  <si>
    <t xml:space="preserve">The usury cap is 24% a year all-in (TEG) for microfinance institutions: interest plus every fee charged to the borrower.</t>
  </si>
  <si>
    <t xml:space="preserve">Price list and fixed items</t>
  </si>
  <si>
    <t xml:space="preserve">List prices clients pay, and the price of each fixed cost at its year-1 level (later years on Assumptions, section 10).</t>
  </si>
  <si>
    <t xml:space="preserve">In FCFA</t>
  </si>
  <si>
    <t xml:space="preserve">What clients pay</t>
  </si>
  <si>
    <t xml:space="preserve">Subscription, Essentiel</t>
  </si>
  <si>
    <t xml:space="preserve">Subscription, Pro</t>
  </si>
  <si>
    <t xml:space="preserve">Subscription, Business</t>
  </si>
  <si>
    <t xml:space="preserve">Extra physical card (monthly)</t>
  </si>
  <si>
    <t xml:space="preserve">Extra physical card (printing, one-off)</t>
  </si>
  <si>
    <t xml:space="preserve">FCFA / card</t>
  </si>
  <si>
    <t xml:space="preserve">Payroll module, per payslip</t>
  </si>
  <si>
    <t xml:space="preserve">Fee on foreign-currency card spending</t>
  </si>
  <si>
    <t xml:space="preserve">Payment link fee (mobile money)</t>
  </si>
  <si>
    <t xml:space="preserve">Credit (factoring, payroll bridge, credit line, advances)</t>
  </si>
  <si>
    <t xml:space="preserve">Maak platform lease (option 1, first 3 years)</t>
  </si>
  <si>
    <t xml:space="preserve">Maak upgrades and maintenance (after the lease)</t>
  </si>
  <si>
    <t xml:space="preserve">Laptop (non-developers)</t>
  </si>
  <si>
    <t xml:space="preserve">MacBook (CTO and developers)</t>
  </si>
  <si>
    <t xml:space="preserve">Phone and data plan</t>
  </si>
  <si>
    <t xml:space="preserve">FCFA / person / month</t>
  </si>
  <si>
    <t xml:space="preserve">Website tool</t>
  </si>
  <si>
    <t xml:space="preserve">Card processor set-up (once)</t>
  </si>
  <si>
    <t xml:space="preserve">Partners</t>
  </si>
  <si>
    <t xml:space="preserve">Partner bank set-up and card programme, Senegal (once)</t>
  </si>
  <si>
    <t xml:space="preserve">Partner bank set-up, Côte d'Ivoire (once)</t>
  </si>
  <si>
    <t xml:space="preserve">Partner bank platform minimum, Côte d'Ivoire (year 2)</t>
  </si>
  <si>
    <t xml:space="preserve">Partner SFD integration (once)</t>
  </si>
  <si>
    <t xml:space="preserve">Partner SFD running fees (year 2)</t>
  </si>
  <si>
    <t xml:space="preserve">Card programme collateral (cash set aside, not a cost)</t>
  </si>
  <si>
    <t xml:space="preserve">Legal, audit and insurance</t>
  </si>
  <si>
    <t xml:space="preserve">Company set-up, Senegal (once)</t>
  </si>
  <si>
    <t xml:space="preserve">External accountant and tax adviser</t>
  </si>
  <si>
    <t xml:space="preserve">Data-protection filings</t>
  </si>
  <si>
    <t xml:space="preserve">Insurance</t>
  </si>
  <si>
    <t xml:space="preserve">Sales, marketing and other</t>
  </si>
  <si>
    <t xml:space="preserve">Digital ads: cost per signed client</t>
  </si>
  <si>
    <t xml:space="preserve">Referral fee to partners</t>
  </si>
  <si>
    <t xml:space="preserve">Field sales transport allowance</t>
  </si>
  <si>
    <t xml:space="preserve">FCFA / rep / month</t>
  </si>
  <si>
    <t xml:space="preserve">Travel</t>
  </si>
  <si>
    <t xml:space="preserve">Recruitment agency fee (senior hire)</t>
  </si>
  <si>
    <t xml:space="preserve">One line per hire or group of identical hires. Edit headcount, start month, end month (leave blank if they stay) and gross salary. Spare lines at the bottom for new roles.</t>
  </si>
  <si>
    <t xml:space="preserve">#</t>
  </si>
  <si>
    <t xml:space="preserve">Department</t>
  </si>
  <si>
    <t xml:space="preserve">Category</t>
  </si>
  <si>
    <t xml:space="preserve">Headcount</t>
  </si>
  <si>
    <t xml:space="preserve">Start month</t>
  </si>
  <si>
    <t xml:space="preserve">End month</t>
  </si>
  <si>
    <t xml:space="preserve">Gross salary (FCFA / month)</t>
  </si>
  <si>
    <t xml:space="preserve">Agency hire (Y/N)</t>
  </si>
  <si>
    <t xml:space="preserve">Employer cost per person (FCFA / month)</t>
  </si>
  <si>
    <t xml:space="preserve">Gross salary (€ / month)</t>
  </si>
  <si>
    <t xml:space="preserve">Employer cost per person (€ / month)</t>
  </si>
  <si>
    <t xml:space="preserve">Leadership</t>
  </si>
  <si>
    <t xml:space="preserve">CEO (full salary from year 2)</t>
  </si>
  <si>
    <t xml:space="preserve">Y</t>
  </si>
  <si>
    <t xml:space="preserve">Founders and shareholders run the company unpaid in year 1 (decision).</t>
  </si>
  <si>
    <t xml:space="preserve">Engineering &amp; product</t>
  </si>
  <si>
    <t xml:space="preserve">CTO (also codes)</t>
  </si>
  <si>
    <t xml:space="preserve">Developers are added with volume on the Staff sheet (2 at the start).</t>
  </si>
  <si>
    <t xml:space="preserve">Finance &amp; admin</t>
  </si>
  <si>
    <t xml:space="preserve">Financial expert (finance, partners, credit lead)</t>
  </si>
  <si>
    <t xml:space="preserve">Starting team. Credit analysts are added with the loan book.</t>
  </si>
  <si>
    <t xml:space="preserve">Sales &amp; partnerships</t>
  </si>
  <si>
    <t xml:space="preserve">Sales lead (also sells; incl. bonus)</t>
  </si>
  <si>
    <t xml:space="preserve">Sales rep</t>
  </si>
  <si>
    <t xml:space="preserve">N</t>
  </si>
  <si>
    <t xml:space="preserve">Plus 2 field reps from month 4, then reps grow with clients (Staff sheet).</t>
  </si>
  <si>
    <t xml:space="preserve">Marketing</t>
  </si>
  <si>
    <t xml:space="preserve">Marketing manager (senior)</t>
  </si>
  <si>
    <t xml:space="preserve">Prepares the launch; runs digital ads and partnerships.</t>
  </si>
  <si>
    <t xml:space="preserve">Marketing officer (junior)</t>
  </si>
  <si>
    <t xml:space="preserve">Content, social media, events.</t>
  </si>
  <si>
    <t xml:space="preserve">Country manager, Abidjan</t>
  </si>
  <si>
    <t xml:space="preserve">Joins when the Abidjan office opens.</t>
  </si>
  <si>
    <t xml:space="preserve">Compliance &amp; risk</t>
  </si>
  <si>
    <t xml:space="preserve">Compliance officer (AML/CFT)</t>
  </si>
  <si>
    <t xml:space="preserve">Required once Kelen holds its own licence (SFD).</t>
  </si>
  <si>
    <t xml:space="preserve">Employer cost = gross salary × (1 + employer charges), 30% on Assumptions section 8. Customer support, developers, field sales reps and credit analysts grow with volume: see the Staff sheet and the ratios on Assumptions section 8.</t>
  </si>
  <si>
    <t xml:space="preserve">Headcount and employer cost by month, from the hiring plan. Pay rises each year by the rate on Assumptions.</t>
  </si>
  <si>
    <t xml:space="preserve">Month #</t>
  </si>
  <si>
    <t xml:space="preserve">Total / end</t>
  </si>
  <si>
    <t xml:space="preserve">Month</t>
  </si>
  <si>
    <t xml:space="preserve">Headcount by hire line</t>
  </si>
  <si>
    <t xml:space="preserve">Employer cost by hire line</t>
  </si>
  <si>
    <t xml:space="preserve">Team that grows with volume</t>
  </si>
  <si>
    <t xml:space="preserve">Customer support agents · SN</t>
  </si>
  <si>
    <t xml:space="preserve">Developers · SN</t>
  </si>
  <si>
    <t xml:space="preserve">Field sales reps, Senegal · SN</t>
  </si>
  <si>
    <t xml:space="preserve">Field sales reps, Côte d'Ivoire · CI</t>
  </si>
  <si>
    <t xml:space="preserve">Credit analysts and collections · SN</t>
  </si>
  <si>
    <t xml:space="preserve">Employer cost: Customer support agents</t>
  </si>
  <si>
    <t xml:space="preserve">Employer cost: Developers</t>
  </si>
  <si>
    <t xml:space="preserve">Employer cost: Field sales reps, Senegal</t>
  </si>
  <si>
    <t xml:space="preserve">Employer cost: Field sales reps, Côte d'Ivoire</t>
  </si>
  <si>
    <t xml:space="preserve">Employer cost: Credit analysts and collections</t>
  </si>
  <si>
    <t xml:space="preserve">New hires in these roles</t>
  </si>
  <si>
    <t xml:space="preserve">Summary</t>
  </si>
  <si>
    <t xml:space="preserve">Total headcount</t>
  </si>
  <si>
    <t xml:space="preserve">Headcount, Senegal</t>
  </si>
  <si>
    <t xml:space="preserve">Headcount, Côte d'Ivoire</t>
  </si>
  <si>
    <t xml:space="preserve">Engineering headcount (CTO and developers)</t>
  </si>
  <si>
    <t xml:space="preserve">Field sales reps, Senegal</t>
  </si>
  <si>
    <t xml:space="preserve">Field sales reps, Côte d'Ivoire</t>
  </si>
  <si>
    <t xml:space="preserve">New hires this month</t>
  </si>
  <si>
    <t xml:space="preserve">of which CTO and developers (MacBooks)</t>
  </si>
  <si>
    <t xml:space="preserve">Headcount: Leadership</t>
  </si>
  <si>
    <t xml:space="preserve">Headcount: Engineering &amp; product</t>
  </si>
  <si>
    <t xml:space="preserve">Headcount: Compliance &amp; risk</t>
  </si>
  <si>
    <t xml:space="preserve">Headcount: Credit</t>
  </si>
  <si>
    <t xml:space="preserve">Headcount: Operations &amp; support</t>
  </si>
  <si>
    <t xml:space="preserve">Headcount: Sales &amp; partnerships</t>
  </si>
  <si>
    <t xml:space="preserve">Headcount: Marketing</t>
  </si>
  <si>
    <t xml:space="preserve">Headcount: Finance &amp; admin</t>
  </si>
  <si>
    <t xml:space="preserve">Staff cost: Leadership</t>
  </si>
  <si>
    <t xml:space="preserve">Staff cost: Engineering &amp; product</t>
  </si>
  <si>
    <t xml:space="preserve">Staff cost: Compliance &amp; risk</t>
  </si>
  <si>
    <t xml:space="preserve">Staff cost: Credit</t>
  </si>
  <si>
    <t xml:space="preserve">Staff cost: Operations &amp; support</t>
  </si>
  <si>
    <t xml:space="preserve">Staff cost: Sales &amp; partnerships</t>
  </si>
  <si>
    <t xml:space="preserve">Staff cost: Marketing</t>
  </si>
  <si>
    <t xml:space="preserve">Staff cost: Finance &amp; admin</t>
  </si>
  <si>
    <t xml:space="preserve">Total staff cost</t>
  </si>
  <si>
    <t xml:space="preserve">Staff (€)</t>
  </si>
  <si>
    <t xml:space="preserve">Every amount of the 'Staff' sheet in euros (FCFA ÷ FCFA per euro on Assumptions). Edit the FCFA sheets and Assumptions, not this one.</t>
  </si>
  <si>
    <t xml:space="preserve">Client acquisition by channel and country, and the non-staff sales and marketing budget.</t>
  </si>
  <si>
    <t xml:space="preserve">Markets open</t>
  </si>
  <si>
    <t xml:space="preserve">Senegal open (1 = yes)</t>
  </si>
  <si>
    <t xml:space="preserve">Côte d'Ivoire open (1 = yes)</t>
  </si>
  <si>
    <t xml:space="preserve">Field sales</t>
  </si>
  <si>
    <t xml:space="preserve">Productive reps, Senegal (hired before this month)</t>
  </si>
  <si>
    <t xml:space="preserve">Productive reps, Côte d'Ivoire</t>
  </si>
  <si>
    <t xml:space="preserve">New clients from field sales, Senegal</t>
  </si>
  <si>
    <t xml:space="preserve">New clients from field sales, Côte d'Ivoire</t>
  </si>
  <si>
    <t xml:space="preserve">Partner channel (accountants, payroll software, chambers of commerce)</t>
  </si>
  <si>
    <t xml:space="preserve">New clients from partners, Senegal</t>
  </si>
  <si>
    <t xml:space="preserve">New clients from partners, Côte d'Ivoire</t>
  </si>
  <si>
    <t xml:space="preserve">Digital marketing</t>
  </si>
  <si>
    <t xml:space="preserve">New clients from digital, Senegal</t>
  </si>
  <si>
    <t xml:space="preserve">New clients from digital, Côte d'Ivoire</t>
  </si>
  <si>
    <t xml:space="preserve">New clients</t>
  </si>
  <si>
    <t xml:space="preserve">New clients, Senegal</t>
  </si>
  <si>
    <t xml:space="preserve">New clients, Côte d'Ivoire</t>
  </si>
  <si>
    <t xml:space="preserve">New clients, total</t>
  </si>
  <si>
    <t xml:space="preserve">of which Essentiel</t>
  </si>
  <si>
    <t xml:space="preserve">of which Pro</t>
  </si>
  <si>
    <t xml:space="preserve">of which Business</t>
  </si>
  <si>
    <t xml:space="preserve">New clients from partners (for referral fees)</t>
  </si>
  <si>
    <t xml:space="preserve">Sales and marketing budget (non-staff)</t>
  </si>
  <si>
    <t xml:space="preserve">Digital ads</t>
  </si>
  <si>
    <t xml:space="preserve">Referral fees to partners</t>
  </si>
  <si>
    <t xml:space="preserve">Field sales transport</t>
  </si>
  <si>
    <t xml:space="preserve">Total sales and marketing budget (non-staff)</t>
  </si>
  <si>
    <t xml:space="preserve">Acquisition efficiency</t>
  </si>
  <si>
    <t xml:space="preserve">Sales, partnerships and marketing staff cost</t>
  </si>
  <si>
    <t xml:space="preserve">Blended cost to acquire a client (staff + budget)</t>
  </si>
  <si>
    <t xml:space="preserve">Sales &amp; marketing (€)</t>
  </si>
  <si>
    <t xml:space="preserve">Every amount of the 'Sales &amp; marketing' sheet in euros (FCFA ÷ FCFA per euro on Assumptions). Edit the FCFA sheets and Assumptions, not this one.</t>
  </si>
  <si>
    <t xml:space="preserve">Active clients by plan, usage and every revenue line except credit (see Credit).</t>
  </si>
  <si>
    <t xml:space="preserve">New clients by plan</t>
  </si>
  <si>
    <t xml:space="preserve">New clients, Essentiel</t>
  </si>
  <si>
    <t xml:space="preserve">New clients, Pro</t>
  </si>
  <si>
    <t xml:space="preserve">New clients, Business</t>
  </si>
  <si>
    <t xml:space="preserve">Active clients (end of month)</t>
  </si>
  <si>
    <t xml:space="preserve">Active clients, Essentiel</t>
  </si>
  <si>
    <t xml:space="preserve">Active clients, Pro</t>
  </si>
  <si>
    <t xml:space="preserve">Active clients, Business</t>
  </si>
  <si>
    <t xml:space="preserve">Active clients, total</t>
  </si>
  <si>
    <t xml:space="preserve">Blended monthly churn (by sales mix)</t>
  </si>
  <si>
    <t xml:space="preserve">Active clients, Senegal (approx.)</t>
  </si>
  <si>
    <t xml:space="preserve">Active clients, Côte d'Ivoire (approx.)</t>
  </si>
  <si>
    <t xml:space="preserve">Clients in their free months, and paying clients</t>
  </si>
  <si>
    <t xml:space="preserve">In free months, Essentiel</t>
  </si>
  <si>
    <t xml:space="preserve">In free months, Pro</t>
  </si>
  <si>
    <t xml:space="preserve">In free months, Business</t>
  </si>
  <si>
    <t xml:space="preserve">Paying clients, Essentiel</t>
  </si>
  <si>
    <t xml:space="preserve">Paying clients, Pro</t>
  </si>
  <si>
    <t xml:space="preserve">Paying clients, Business</t>
  </si>
  <si>
    <t xml:space="preserve">Usage</t>
  </si>
  <si>
    <t xml:space="preserve">Employees of active clients</t>
  </si>
  <si>
    <t xml:space="preserve">Employee salary accounts</t>
  </si>
  <si>
    <t xml:space="preserve">Physical cards issued</t>
  </si>
  <si>
    <t xml:space="preserve">Physical cards beyond the plan, ordered</t>
  </si>
  <si>
    <t xml:space="preserve">Active cards</t>
  </si>
  <si>
    <t xml:space="preserve">Card spending in foreign currencies</t>
  </si>
  <si>
    <t xml:space="preserve">Client balances (average)</t>
  </si>
  <si>
    <t xml:space="preserve">Salaries paid through Kelen</t>
  </si>
  <si>
    <t xml:space="preserve">Transfers out (salaries not counted)</t>
  </si>
  <si>
    <t xml:space="preserve">Amount sent to wallets (salaries and others)</t>
  </si>
  <si>
    <t xml:space="preserve">Extra users beyond the plans</t>
  </si>
  <si>
    <t xml:space="preserve">Extra physical cards beyond the plans (in use)</t>
  </si>
  <si>
    <t xml:space="preserve">Mobile money above the plans' free amount</t>
  </si>
  <si>
    <t xml:space="preserve">Payslips in the payroll module</t>
  </si>
  <si>
    <t xml:space="preserve">payslips</t>
  </si>
  <si>
    <t xml:space="preserve">International payments sent</t>
  </si>
  <si>
    <t xml:space="preserve">Payment links: share of clients using them</t>
  </si>
  <si>
    <t xml:space="preserve">Payment links: amounts collected</t>
  </si>
  <si>
    <t xml:space="preserve">Revenue (excluding credit)</t>
  </si>
  <si>
    <t xml:space="preserve">Price factor (yearly increase × yearly-billing discount)</t>
  </si>
  <si>
    <t xml:space="preserve">Subscriptions, Essentiel</t>
  </si>
  <si>
    <t xml:space="preserve">Subscriptions, Pro</t>
  </si>
  <si>
    <t xml:space="preserve">Subscriptions, Business</t>
  </si>
  <si>
    <t xml:space="preserve">Subscriptions</t>
  </si>
  <si>
    <t xml:space="preserve">Interchange share on FCFA card spending (not in the plan)</t>
  </si>
  <si>
    <t xml:space="preserve">Share of bank income on client balances (not in the plan)</t>
  </si>
  <si>
    <t xml:space="preserve">Physical card fees (one-off, cards beyond the plan)</t>
  </si>
  <si>
    <t xml:space="preserve">Transfers above the plan allowance</t>
  </si>
  <si>
    <t xml:space="preserve">Payment link fees</t>
  </si>
  <si>
    <t xml:space="preserve">Extra physical cards (monthly)</t>
  </si>
  <si>
    <t xml:space="preserve">Interchange on card spending abroad (not in the plan)</t>
  </si>
  <si>
    <t xml:space="preserve">Revenue excluding credit</t>
  </si>
  <si>
    <t xml:space="preserve">Clients &amp; revenue (€)</t>
  </si>
  <si>
    <t xml:space="preserve">Every amount of the 'Clients &amp; revenue' sheet in euros (FCFA ÷ FCFA per euro on Assumptions). Edit the FCFA sheets and Assumptions, not this one.</t>
  </si>
  <si>
    <t xml:space="preserve">Loan book by product, interest, cost of funds, losses and the share Kelen keeps. A partner SFD lends until Kelen's own SFD (Senegal) takes over; Côte d'Ivoire loans stay with a partner.</t>
  </si>
  <si>
    <t xml:space="preserve">Active clients</t>
  </si>
  <si>
    <t xml:space="preserve">Ramp-up (share of full uptake)</t>
  </si>
  <si>
    <t xml:space="preserve">Loans outstanding (end of month)</t>
  </si>
  <si>
    <t xml:space="preserve">Total loan book</t>
  </si>
  <si>
    <t xml:space="preserve">Average loans outstanding in the month</t>
  </si>
  <si>
    <t xml:space="preserve">Average loan book</t>
  </si>
  <si>
    <t xml:space="preserve">Credit income and costs</t>
  </si>
  <si>
    <t xml:space="preserve">Interest and fees (daily rate)</t>
  </si>
  <si>
    <t xml:space="preserve">Net credit margin</t>
  </si>
  <si>
    <t xml:space="preserve">Senegal share of clients (own SFD lends there only)</t>
  </si>
  <si>
    <t xml:space="preserve">Share of the margin kept by Kelen</t>
  </si>
  <si>
    <t xml:space="preserve">Net credit income to Kelen</t>
  </si>
  <si>
    <t xml:space="preserve">Cash tied up by credit</t>
  </si>
  <si>
    <t xml:space="preserve">First-loss reserve (partner loans) and equity in the own SFD's loans</t>
  </si>
  <si>
    <t xml:space="preserve">Credit (€)</t>
  </si>
  <si>
    <t xml:space="preserve">Every amount of the 'Credit' sheet in euros (FCFA ÷ FCFA per euro on Assumptions). Edit the FCFA sheets and Assumptions, not this one.</t>
  </si>
  <si>
    <t xml:space="preserve">Every cost line by month: variable costs that grow with clients, then fixed costs by category and the contingency.</t>
  </si>
  <si>
    <t xml:space="preserve">Variable costs (cost to serve)</t>
  </si>
  <si>
    <t xml:space="preserve">Onboarding check tools (company screening, ID checks)</t>
  </si>
  <si>
    <t xml:space="preserve">Card processing (per active card)</t>
  </si>
  <si>
    <t xml:space="preserve">Transfers to bank accounts (suppliers and others)</t>
  </si>
  <si>
    <t xml:space="preserve">International payments (FX spread and correspondent fees)</t>
  </si>
  <si>
    <t xml:space="preserve">Payroll module (payslip delivery)</t>
  </si>
  <si>
    <t xml:space="preserve">Employee account processing</t>
  </si>
  <si>
    <t xml:space="preserve">Total variable costs</t>
  </si>
  <si>
    <t xml:space="preserve">Operations &amp; support</t>
  </si>
  <si>
    <t xml:space="preserve">Total staff</t>
  </si>
  <si>
    <t xml:space="preserve">Office and equipment</t>
  </si>
  <si>
    <t xml:space="preserve">Dakar office (Regus, all included)</t>
  </si>
  <si>
    <t xml:space="preserve">Abidjan office (Regus, all included)</t>
  </si>
  <si>
    <t xml:space="preserve">Phones and data plans</t>
  </si>
  <si>
    <t xml:space="preserve">Laptops for new hires (MacBooks for the CTO and developers)</t>
  </si>
  <si>
    <t xml:space="preserve">Total office and equipment</t>
  </si>
  <si>
    <t xml:space="preserve">Maak platform: lease, then upgrades and maintenance</t>
  </si>
  <si>
    <t xml:space="preserve">Identity-check vendor minimum (above usage)</t>
  </si>
  <si>
    <t xml:space="preserve">Gmail and ClickUp (every employee)</t>
  </si>
  <si>
    <t xml:space="preserve">Claude Enterprise seats (CTO, developers, 2 shared)</t>
  </si>
  <si>
    <t xml:space="preserve">Website tool and domain</t>
  </si>
  <si>
    <t xml:space="preserve">Card processor set-up fee</t>
  </si>
  <si>
    <t xml:space="preserve">Card processor minimum (top-up above per-card fees)</t>
  </si>
  <si>
    <t xml:space="preserve">Total technology</t>
  </si>
  <si>
    <t xml:space="preserve">Partner bank set-up, Senegal</t>
  </si>
  <si>
    <t xml:space="preserve">Partner bank set-up, Côte d'Ivoire</t>
  </si>
  <si>
    <t xml:space="preserve">Partner SFD integration and fees</t>
  </si>
  <si>
    <t xml:space="preserve">Total bank and SFD partners</t>
  </si>
  <si>
    <t xml:space="preserve">Company set-up (Senegal, Côte d'Ivoire)</t>
  </si>
  <si>
    <t xml:space="preserve">SFD acquisition: due diligence, counsel, approval file</t>
  </si>
  <si>
    <t xml:space="preserve">Own SFD running costs</t>
  </si>
  <si>
    <t xml:space="preserve">Total legal, regulatory and audit</t>
  </si>
  <si>
    <t xml:space="preserve">Total sales and marketing (non-staff)</t>
  </si>
  <si>
    <t xml:space="preserve">Recruitment agency fees (senior hires)</t>
  </si>
  <si>
    <t xml:space="preserve">Total other</t>
  </si>
  <si>
    <t xml:space="preserve">Fixed costs summary</t>
  </si>
  <si>
    <t xml:space="preserve">Fixed costs before contingency (staff, office, tech, partners, legal, marketing, other)</t>
  </si>
  <si>
    <t xml:space="preserve">Contingency (5% buffer for unplanned costs)</t>
  </si>
  <si>
    <t xml:space="preserve">Total fixed costs</t>
  </si>
  <si>
    <t xml:space="preserve">Costs (€)</t>
  </si>
  <si>
    <t xml:space="preserve">Every amount of the 'Costs' sheet in euros (FCFA ÷ FCFA per euro on Assumptions). Edit the FCFA sheets and Assumptions, not this one.</t>
  </si>
  <si>
    <t xml:space="preserve">Profit and loss by month. Revenue excludes VAT and taxes on financial services.</t>
  </si>
  <si>
    <t xml:space="preserve">Interchange share (not in the plan)</t>
  </si>
  <si>
    <t xml:space="preserve">Share of bank income on balances (not in the plan)</t>
  </si>
  <si>
    <t xml:space="preserve">Physical card fees</t>
  </si>
  <si>
    <t xml:space="preserve">Interchange abroad (not in the plan)</t>
  </si>
  <si>
    <t xml:space="preserve">Net credit income</t>
  </si>
  <si>
    <t xml:space="preserve">Cost of revenue (variable costs)</t>
  </si>
  <si>
    <t xml:space="preserve">Bank accounts and onboarding</t>
  </si>
  <si>
    <t xml:space="preserve">Cards: processing, production, scheme fees, fraud</t>
  </si>
  <si>
    <t xml:space="preserve">Payouts, collections and international payments</t>
  </si>
  <si>
    <t xml:space="preserve">Messaging, payslips and employee accounts</t>
  </si>
  <si>
    <t xml:space="preserve">Total cost of revenue</t>
  </si>
  <si>
    <t xml:space="preserve">Operating expenses</t>
  </si>
  <si>
    <t xml:space="preserve">Contingency</t>
  </si>
  <si>
    <t xml:space="preserve">Cumulative EBITDA (for tax losses carried forward)</t>
  </si>
  <si>
    <t xml:space="preserve">Corporate income tax</t>
  </si>
  <si>
    <t xml:space="preserve">Cumulative net income</t>
  </si>
  <si>
    <t xml:space="preserve">Helpers</t>
  </si>
  <si>
    <t xml:space="preserve">Month number if EBITDA is positive (999 otherwise)</t>
  </si>
  <si>
    <t xml:space="preserve">P&amp;L monthly (€)</t>
  </si>
  <si>
    <t xml:space="preserve">Every amount of the 'P&amp;L monthly' sheet in euros (FCFA ÷ FCFA per euro on Assumptions). Edit the FCFA sheets and Assumptions, not this one.</t>
  </si>
  <si>
    <t xml:space="preserve">Years 1–5, summed from the monthly sheets. FCFA in columns D–I, euros in columns K–P.</t>
  </si>
  <si>
    <t xml:space="preserve">5 years</t>
  </si>
  <si>
    <t xml:space="preserve">Y1 (€)</t>
  </si>
  <si>
    <t xml:space="preserve">Y2 (€)</t>
  </si>
  <si>
    <t xml:space="preserve">Y3 (€)</t>
  </si>
  <si>
    <t xml:space="preserve">Y4 (€)</t>
  </si>
  <si>
    <t xml:space="preserve">Y5 (€)</t>
  </si>
  <si>
    <t xml:space="preserve">5 years (€)</t>
  </si>
  <si>
    <t xml:space="preserve">Fiscal year</t>
  </si>
  <si>
    <t xml:space="preserve">Revenue growth</t>
  </si>
  <si>
    <t xml:space="preserve">Cost of revenue</t>
  </si>
  <si>
    <t xml:space="preserve">Cash and funding</t>
  </si>
  <si>
    <t xml:space="preserve">Cash flow before funding</t>
  </si>
  <si>
    <t xml:space="preserve">Equity raised</t>
  </si>
  <si>
    <t xml:space="preserve">Closing cash (end of year)</t>
  </si>
  <si>
    <t xml:space="preserve">Operating figures (end of year)</t>
  </si>
  <si>
    <t xml:space="preserve">of which Senegal (approx.)</t>
  </si>
  <si>
    <t xml:space="preserve">of which Côte d'Ivoire (approx.)</t>
  </si>
  <si>
    <t xml:space="preserve">Loan book</t>
  </si>
  <si>
    <t xml:space="preserve">Employee salary accounts (B2C)</t>
  </si>
  <si>
    <t xml:space="preserve">What each change does to year-5 revenue and EBITDA, all else equal. Type a change in the blue cells. The model's client numbers do not depend on prices, so these effects are exact; the price-response line at the end is an estimate.</t>
  </si>
  <si>
    <t xml:space="preserve">Year 5 at a glance</t>
  </si>
  <si>
    <t xml:space="preserve">Base for every lever below: the current scenario and pricing option.</t>
  </si>
  <si>
    <t xml:space="preserve">Pricing option in use</t>
  </si>
  <si>
    <t xml:space="preserve">1 = A, 2 = B, 3 = C</t>
  </si>
  <si>
    <t xml:space="preserve">Prices and what is included. A higher price or a smaller allowance raises revenue but may slow sales: see the price-response line at the end.</t>
  </si>
  <si>
    <t xml:space="preserve">Lever</t>
  </si>
  <si>
    <t xml:space="preserve">What it means</t>
  </si>
  <si>
    <t xml:space="preserve">Today</t>
  </si>
  <si>
    <t xml:space="preserve">Change (type here)</t>
  </si>
  <si>
    <t xml:space="preserve">After the change</t>
  </si>
  <si>
    <t xml:space="preserve">Revenue, year 5 (change)</t>
  </si>
  <si>
    <t xml:space="preserve">EBITDA, year 5 (change)</t>
  </si>
  <si>
    <t xml:space="preserve">EBITDA margin after</t>
  </si>
  <si>
    <t xml:space="preserve">Essentiel price</t>
  </si>
  <si>
    <t xml:space="preserve">Monthly subscription. Change in FCFA (e.g. -2000 or 5000).</t>
  </si>
  <si>
    <t xml:space="preserve">Pro price</t>
  </si>
  <si>
    <t xml:space="preserve">Business price</t>
  </si>
  <si>
    <t xml:space="preserve">All plans at once</t>
  </si>
  <si>
    <t xml:space="preserve">Change in % of every plan price (e.g. -10%).</t>
  </si>
  <si>
    <t xml:space="preserve">Free months at sign-up</t>
  </si>
  <si>
    <t xml:space="preserve">Each extra free month gives away one month of subscription for every new client.</t>
  </si>
  <si>
    <t xml:space="preserve">Paid bank transfers above the allowance</t>
  </si>
  <si>
    <t xml:space="preserve">Average extra bank transfers each client pays for per month. A smaller allowance raises it.</t>
  </si>
  <si>
    <t xml:space="preserve">Fee per extra transfer</t>
  </si>
  <si>
    <t xml:space="preserve">Price of each transfer above the allowance (FCFA).</t>
  </si>
  <si>
    <t xml:space="preserve">Extra users per client</t>
  </si>
  <si>
    <t xml:space="preserve">Average users above the plan, e.g. if Pro included 2 users instead of 3.</t>
  </si>
  <si>
    <t xml:space="preserve">Fee per extra user</t>
  </si>
  <si>
    <t xml:space="preserve">Monthly fee for each user beyond the plan (FCFA).</t>
  </si>
  <si>
    <t xml:space="preserve">Extra physical cards per client</t>
  </si>
  <si>
    <t xml:space="preserve">Average physical cards above the plan, e.g. if plans included fewer cards.</t>
  </si>
  <si>
    <t xml:space="preserve">Fee per extra physical card</t>
  </si>
  <si>
    <t xml:space="preserve">Monthly fee for each physical card beyond the plan (FCFA).</t>
  </si>
  <si>
    <t xml:space="preserve">% of the amount sent to wallets above each plan's free amount.</t>
  </si>
  <si>
    <t xml:space="preserve">Paid modules and commissions</t>
  </si>
  <si>
    <t xml:space="preserve">Fees on top of the subscription.</t>
  </si>
  <si>
    <t xml:space="preserve">FCFA per payslip (payslip plus the monthly declarations).</t>
  </si>
  <si>
    <t xml:space="preserve">Payroll module: uptake</t>
  </si>
  <si>
    <t xml:space="preserve">Share of client employees covered (at maturity).</t>
  </si>
  <si>
    <t xml:space="preserve">International payments: fixed fee</t>
  </si>
  <si>
    <t xml:space="preserve">FCFA per payment, Kelen's margin.</t>
  </si>
  <si>
    <t xml:space="preserve">International payments: fee</t>
  </si>
  <si>
    <t xml:space="preserve">% charged on international payments.</t>
  </si>
  <si>
    <t xml:space="preserve">International payments: uptake</t>
  </si>
  <si>
    <t xml:space="preserve">Share of clients using them (at maturity).</t>
  </si>
  <si>
    <t xml:space="preserve">Card spending in other currencies: fee</t>
  </si>
  <si>
    <t xml:space="preserve">Fee on card payments in other currencies (ads, software, travel).</t>
  </si>
  <si>
    <t xml:space="preserve">Foreign card spending allowed (FX rules)</t>
  </si>
  <si>
    <t xml:space="preserve">Share of SME foreign card spending the 2024 FX rules allow (1 = all). E.g. -0.4 if ads and software by card are blocked.</t>
  </si>
  <si>
    <t xml:space="preserve">Payment links: fee</t>
  </si>
  <si>
    <t xml:space="preserve">Fee on mobile-money collections through payment links.</t>
  </si>
  <si>
    <t xml:space="preserve">Goes to the partner bank, which owns the accounts and cards; nothing obliges it to share. Kept at zero in the P&amp;L. What each would add if negotiated.</t>
  </si>
  <si>
    <t xml:space="preserve">Interchange share on FCFA card spending</t>
  </si>
  <si>
    <t xml:space="preserve">Part of the fee shops pay on card payments, if the bank shares it.</t>
  </si>
  <si>
    <t xml:space="preserve">Paid by Visa / Mastercard to the issuing bank, if shared.</t>
  </si>
  <si>
    <t xml:space="preserve">Share of bank income on balances</t>
  </si>
  <si>
    <t xml:space="preserve">Part of what the bank earns on client balances, per year, if shared.</t>
  </si>
  <si>
    <t xml:space="preserve">Costs to negotiate</t>
  </si>
  <si>
    <t xml:space="preserve">Lower costs raise EBITDA without changing what clients pay. Type a negative change for a lower cost.</t>
  </si>
  <si>
    <t xml:space="preserve">Transfers to wallets: average cost per transfer</t>
  </si>
  <si>
    <t xml:space="preserve">FCFA per transfer to a wallet (salaries and others). E.g. -200 for a cheaper PI-SPI price.</t>
  </si>
  <si>
    <t xml:space="preserve">Cost per transfer through the partner bank (FCFA).</t>
  </si>
  <si>
    <t xml:space="preserve">International payments: cost</t>
  </si>
  <si>
    <t xml:space="preserve">Partner bank FX spread and correspondent fees (unknown).</t>
  </si>
  <si>
    <t xml:space="preserve">Card spending in other currencies: cost</t>
  </si>
  <si>
    <t xml:space="preserve">Visa / Mastercard cross-border fees (unknown).</t>
  </si>
  <si>
    <t xml:space="preserve">Per active card per month (FCFA).</t>
  </si>
  <si>
    <t xml:space="preserve">Partner bank fee per account</t>
  </si>
  <si>
    <t xml:space="preserve">Per business account per month (FCFA).</t>
  </si>
  <si>
    <t xml:space="preserve">International payments: year-5 EBITDA by fee and cost</t>
  </si>
  <si>
    <t xml:space="preserve">Cost is unknown until a provider quotes. Each cell = (fee − cost) × year-5 volume sent, before the fixed fee per payment. Middle column of fees = net margin shown in column B.</t>
  </si>
  <si>
    <t xml:space="preserve">Fee charged → / cost to Kelen ↓</t>
  </si>
  <si>
    <t xml:space="preserve">Net margin on 1M FCFA</t>
  </si>
  <si>
    <t xml:space="preserve">Fee 3%</t>
  </si>
  <si>
    <t xml:space="preserve">Fee 3.5%</t>
  </si>
  <si>
    <t xml:space="preserve">Fee 4%</t>
  </si>
  <si>
    <t xml:space="preserve">Fee 4.5%</t>
  </si>
  <si>
    <t xml:space="preserve">Cost 2.5%</t>
  </si>
  <si>
    <t xml:space="preserve">Cost 3%</t>
  </si>
  <si>
    <t xml:space="preserve">Cost 3.5%</t>
  </si>
  <si>
    <t xml:space="preserve">Cost 4%</t>
  </si>
  <si>
    <t xml:space="preserve">Card spending in other currencies: year-5 EBITDA by fee and cost</t>
  </si>
  <si>
    <t xml:space="preserve">Visa / Mastercard cross-border fees are unknown until the processor quotes. Each cell = (fee − cost) × year-5 foreign card spending, before the fixed fees per payment.</t>
  </si>
  <si>
    <t xml:space="preserve">Fee 2%</t>
  </si>
  <si>
    <t xml:space="preserve">Fee 2.5%</t>
  </si>
  <si>
    <t xml:space="preserve">Cost 1%</t>
  </si>
  <si>
    <t xml:space="preserve">Cost 1.2%</t>
  </si>
  <si>
    <t xml:space="preserve">Cost 1.5%</t>
  </si>
  <si>
    <t xml:space="preserve">Cost 2%</t>
  </si>
  <si>
    <t xml:space="preserve">Insurance referrals (kept outside the plan)</t>
  </si>
  <si>
    <t xml:space="preserve">Kelen introduces clients to an insurer (staff health cover, vehicle fleets) and earns a commission. Not in the P&amp;L: what it could add in year 5.</t>
  </si>
  <si>
    <t xml:space="preserve">Value</t>
  </si>
  <si>
    <t xml:space="preserve">Clients insured through Kelen</t>
  </si>
  <si>
    <t xml:space="preserve">Share of active clients</t>
  </si>
  <si>
    <t xml:space="preserve">Average premium per insured client</t>
  </si>
  <si>
    <t xml:space="preserve">FCFA a month (health cover for staff, fleet)</t>
  </si>
  <si>
    <t xml:space="preserve">% of premiums paid by the insurer</t>
  </si>
  <si>
    <t xml:space="preserve">Cost of running it</t>
  </si>
  <si>
    <t xml:space="preserve">% of commissions (support, partner management)</t>
  </si>
  <si>
    <t xml:space="preserve">Revenue, year 5</t>
  </si>
  <si>
    <t xml:space="preserve">Active client-months × share insured × premium × commission</t>
  </si>
  <si>
    <t xml:space="preserve">EBITDA, year 5</t>
  </si>
  <si>
    <t xml:space="preserve">Revenue × (1 − running cost)</t>
  </si>
  <si>
    <t xml:space="preserve">If lower prices bring more clients (estimate)</t>
  </si>
  <si>
    <t xml:space="preserve">The model's sales come from reps, partners and ads, not from price. This line estimates the trade-off: a price cut on every plan, with more clients signing as a result.</t>
  </si>
  <si>
    <t xml:space="preserve">Price cut on all plans</t>
  </si>
  <si>
    <t xml:space="preserve">% (negative = cheaper)</t>
  </si>
  <si>
    <t xml:space="preserve">Extra clients it brings</t>
  </si>
  <si>
    <t xml:space="preserve">% more active clients in year 5 (your estimate)</t>
  </si>
  <si>
    <t xml:space="preserve">Subscriptions lost on existing clients</t>
  </si>
  <si>
    <t xml:space="preserve">Price cut × year-5 subscriptions</t>
  </si>
  <si>
    <t xml:space="preserve">Margin from the extra clients</t>
  </si>
  <si>
    <t xml:space="preserve">Extra clients × year-5 gross margin before credit, at the new price</t>
  </si>
  <si>
    <t xml:space="preserve">Net effect on EBITDA, year 5</t>
  </si>
  <si>
    <t xml:space="preserve">Positive means the price cut pays for itself</t>
  </si>
  <si>
    <t xml:space="preserve">Extra clients needed to break even</t>
  </si>
  <si>
    <t xml:space="preserve">% more clients that would offset the price cut</t>
  </si>
  <si>
    <t xml:space="preserve">Monthly cash: net income, cash set aside (card collateral, credit), the SFD acquisition, funding rounds and the closing balance.</t>
  </si>
  <si>
    <t xml:space="preserve">Operations</t>
  </si>
  <si>
    <t xml:space="preserve">Cash set aside (restricted)</t>
  </si>
  <si>
    <t xml:space="preserve">Card programme collateral</t>
  </si>
  <si>
    <t xml:space="preserve">Change in cash tied up by credit</t>
  </si>
  <si>
    <t xml:space="preserve">Cumulative cash flow before funding</t>
  </si>
  <si>
    <t xml:space="preserve">Funding</t>
  </si>
  <si>
    <t xml:space="preserve">Net cash flow</t>
  </si>
  <si>
    <t xml:space="preserve">Cash balance</t>
  </si>
  <si>
    <t xml:space="preserve">Opening cash</t>
  </si>
  <si>
    <t xml:space="preserve">Cash set aside so far (not included in closing cash)</t>
  </si>
  <si>
    <t xml:space="preserve">Monthly burn (average of the last 3 months, if negative)</t>
  </si>
  <si>
    <t xml:space="preserve">Runway at that burn (months)</t>
  </si>
  <si>
    <t xml:space="preserve">Cash flow (€)</t>
  </si>
  <si>
    <t xml:space="preserve">Every amount of the 'Cash flow' sheet in euros (FCFA ÷ FCFA per euro on Assumptions). Edit the FCFA sheets and Assumptions, not this one.</t>
  </si>
  <si>
    <t xml:space="preserve">Unit economics and KPIs</t>
  </si>
  <si>
    <t xml:space="preserve">Per-client economics and efficiency ratios by year. Euros in columns J–N.</t>
  </si>
  <si>
    <t xml:space="preserve">Clients</t>
  </si>
  <si>
    <t xml:space="preserve">Average active clients</t>
  </si>
  <si>
    <t xml:space="preserve">Clients lost (approx.)</t>
  </si>
  <si>
    <t xml:space="preserve">Revenue and margin per client (per month)</t>
  </si>
  <si>
    <t xml:space="preserve">Revenue per active client (ARPA), incl. credit</t>
  </si>
  <si>
    <t xml:space="preserve">of which subscription</t>
  </si>
  <si>
    <t xml:space="preserve">Contribution per client (gross margin)</t>
  </si>
  <si>
    <t xml:space="preserve">Acquisition</t>
  </si>
  <si>
    <t xml:space="preserve">Sales and marketing spend (staff + budget)</t>
  </si>
  <si>
    <t xml:space="preserve">Blended cost to acquire a client (CAC)</t>
  </si>
  <si>
    <t xml:space="preserve">CAC payback</t>
  </si>
  <si>
    <t xml:space="preserve">Lifetime contribution per client (contribution ÷ churn)</t>
  </si>
  <si>
    <t xml:space="preserve">Lifetime contribution ÷ CAC</t>
  </si>
  <si>
    <t xml:space="preserve">Efficiency</t>
  </si>
  <si>
    <t xml:space="preserve">Revenue per employee</t>
  </si>
  <si>
    <t xml:space="preserve">Staff cost as % of revenue</t>
  </si>
  <si>
    <t xml:space="preserve">New clients per field sales rep (end-of-year reps)</t>
  </si>
  <si>
    <t xml:space="preserve">Credit income as % of revenue</t>
  </si>
  <si>
    <t xml:space="preserve">Loan book per active client (end of year)</t>
  </si>
  <si>
    <t xml:space="preserve">Mobile money fees as % of revenue</t>
  </si>
  <si>
    <t xml:space="preserve">How many companies Kelen can serve, and the share of them the plan reaches. Blue cells are inputs with their sources.</t>
  </si>
  <si>
    <t xml:space="preserve">Senegal: inputs</t>
  </si>
  <si>
    <t xml:space="preserve">€ equivalent</t>
  </si>
  <si>
    <t xml:space="preserve">Formal employers contributing to IPRES (2024)</t>
  </si>
  <si>
    <t xml:space="preserve">companies</t>
  </si>
  <si>
    <t xml:space="preserve">Le Soleil citing ANSD SES 2024: 40,300 contributing employers (+4.9% vs 2023). https://lesoleil.sn/actualites/economie/prevoyance-retraite-les-charges-de-lipres-estimees-a-plus-de-153-milliards-de-fcfa-en-2024/</t>
  </si>
  <si>
    <t xml:space="preserve">Growth in formal employers</t>
  </si>
  <si>
    <t xml:space="preserve">2023 → 2024 growth (38,381 → 40,300).</t>
  </si>
  <si>
    <t xml:space="preserve">Declared private-sector employees (IPRES, 2024)</t>
  </si>
  <si>
    <t xml:space="preserve">Same source. Base for employee salary accounts.</t>
  </si>
  <si>
    <t xml:space="preserve">New companies registered a year (APIX)</t>
  </si>
  <si>
    <t xml:space="preserve">companies / year</t>
  </si>
  <si>
    <t xml:space="preserve">AllAfrica / APS, Sep 2025.</t>
  </si>
  <si>
    <t xml:space="preserve">Economic units (ANSD census 2016, 97% informal)</t>
  </si>
  <si>
    <t xml:space="preserve">units</t>
  </si>
  <si>
    <t xml:space="preserve">ANSD RGE 2016. A new census (RGE-2) is under way, results 2027–28.</t>
  </si>
  <si>
    <t xml:space="preserve">Share of formal employers in Kelen's target (2–500 staff, urban, digital)</t>
  </si>
  <si>
    <t xml:space="preserve">Assumption. Core target: Dakar, Thiès, Saint-Louis.</t>
  </si>
  <si>
    <t xml:space="preserve">Digital-ready SMEs (market analysis estimate, midpoint)</t>
  </si>
  <si>
    <t xml:space="preserve">Market analysis (Oct 2026): 20,000–28,000 formal employers in Dakar and other cities that already bank and pay by phone; large firms excluded. To validate in interviews.</t>
  </si>
  <si>
    <t xml:space="preserve">Côte d'Ivoire: inputs</t>
  </si>
  <si>
    <t xml:space="preserve">Formal employers (CNPS declared companies)</t>
  </si>
  <si>
    <t xml:space="preserve">CNPS: about 49,000 declared companies (gouv.ci, Apr 2025; not fully verified). Was 60,000 before the market analysis (Oct 2026). https://www.gouv.ci/actualite/protection-sociale-environ-12-million-de-travailleurs-du-secteur-prive-et-pres-dun-million-de-travailleurs-independants-declares-a-la-cnps-2374</t>
  </si>
  <si>
    <t xml:space="preserve">Assumption.</t>
  </si>
  <si>
    <t xml:space="preserve">New companies created a year (CEPICI, 2025)</t>
  </si>
  <si>
    <t xml:space="preserve">CEPICI 2025 review (Feb 2026): 26,948 companies created, +6%. https://fr.allafrica.com/stories/202602200240.html</t>
  </si>
  <si>
    <t xml:space="preserve">Share of formal employers in Kelen's target</t>
  </si>
  <si>
    <t xml:space="preserve">Assumption. Core target: Abidjan.</t>
  </si>
  <si>
    <t xml:space="preserve">Addressable market and plan penetration (end of year)</t>
  </si>
  <si>
    <t xml:space="preserve">Y1</t>
  </si>
  <si>
    <t xml:space="preserve">Y2</t>
  </si>
  <si>
    <t xml:space="preserve">Y3</t>
  </si>
  <si>
    <t xml:space="preserve">Y4</t>
  </si>
  <si>
    <t xml:space="preserve">Y5</t>
  </si>
  <si>
    <t xml:space="preserve">Senegal: formal employers</t>
  </si>
  <si>
    <t xml:space="preserve">Senegal: target companies (serviceable market)</t>
  </si>
  <si>
    <t xml:space="preserve">Senegal: Kelen active clients</t>
  </si>
  <si>
    <t xml:space="preserve">Senegal: share of target companies</t>
  </si>
  <si>
    <t xml:space="preserve">Senegal: share of digital-ready SMEs (market analysis)</t>
  </si>
  <si>
    <t xml:space="preserve">Côte d'Ivoire: formal employers</t>
  </si>
  <si>
    <t xml:space="preserve">Côte d'Ivoire: target companies (serviceable market)</t>
  </si>
  <si>
    <t xml:space="preserve">Côte d'Ivoire: Kelen active clients</t>
  </si>
  <si>
    <t xml:space="preserve">Côte d'Ivoire: share of target companies</t>
  </si>
  <si>
    <t xml:space="preserve">Employee salary accounts vs declared employees in Senegal</t>
  </si>
  <si>
    <t xml:space="preserve">Revenue pool today (indicative)</t>
  </si>
  <si>
    <t xml:space="preserve">Bank business account fee (SME)</t>
  </si>
  <si>
    <t xml:space="preserve">Published tariffs: BNDE 12,500, BIS 12,000, UBA Sénégal 25,000 (SA/PME) or 10,000 (micro); SGCI PME packs 25,000–35,000. With online banking and transfers a 10-employee SARL pays about 35,000–52,500 a month (market analysis, Oct 2026).</t>
  </si>
  <si>
    <t xml:space="preserve">Senegal: what target companies pay for business accounts today</t>
  </si>
  <si>
    <t xml:space="preserve">Account fees only; transfer, card and payout fees come on top. Today SMEs also pay 1% of payroll to Wave Business or Orange Money (1.5% to non-Orange wallets), and Julaya charges 0.5–1.5%.</t>
  </si>
  <si>
    <t xml:space="preserve">What each stage needs from regulators (BCEAO / WAEMU, Senegal, Côte d'Ivoire) and where its cost sits in the model. Not legal advice: confirm with local counsel.</t>
  </si>
  <si>
    <t xml:space="preserve">Note: Not legal advice. Built from BCEAO and Commission Bancaire texts, Senegal and Côte d'Ivoire laws and FATF lists (research of 13 October 2026). 'Verified' = read in the official text or a reliable secondary source; 'To confirm' = not found or sources conflict. Confirm with local counsel before filing.</t>
  </si>
  <si>
    <t xml:space="preserve">Note: Three points change the plan: (1) no 'banque', 'bancaire' or 'néobanque' wording without a licence; (2) the credit partner must be a microfinance institution or a credit company, because banks are capped at 14% a year; (3) the change-of-control file for the microfinance company must go in about 6 months before the closing.</t>
  </si>
  <si>
    <t xml:space="preserve">Stage</t>
  </si>
  <si>
    <t xml:space="preserve">Topic</t>
  </si>
  <si>
    <t xml:space="preserve">Requirement</t>
  </si>
  <si>
    <t xml:space="preserve">Authority and legal basis</t>
  </si>
  <si>
    <t xml:space="preserve">In the model</t>
  </si>
  <si>
    <t xml:space="preserve">Stage 0 · Set-up and build</t>
  </si>
  <si>
    <t xml:space="preserve">Kelen is an ordinary company with no financial licence. It builds the product on Maak's platform and signs its partners. The legal form, the name and the contracts must already fit the later stages.</t>
  </si>
  <si>
    <t xml:space="preserve">Legal form</t>
  </si>
  <si>
    <t xml:space="preserve">Create Kelen in Senegal (APIX one-stop shop). An SAS has no minimum capital; an SA needs 10M FCFA. Any future licensed entity must be an SA: a microfinance institution can only be an SA (not single-shareholder) or a cooperative.</t>
  </si>
  <si>
    <t xml:space="preserve">OHADA Uniform Act on commercial companies; Senegal Loi 2025-04 on microfinance, Art. 15</t>
  </si>
  <si>
    <t xml:space="preserve">Company set-up, Senegal (2.5M FCFA)</t>
  </si>
  <si>
    <t xml:space="preserve">Verified</t>
  </si>
  <si>
    <t xml:space="preserve">Name and wording</t>
  </si>
  <si>
    <t xml:space="preserve">Without a licence, nobody may use 'banque', 'bancaire', 'établissement de paiement' or 'monnaie électronique' in a company name, trade name or advertising, or create the appearance of being one. The same applies to presenting itself as a 'FinTech' while doing banking operations. Keep 'Kelen' and avoid 'néobanque' in French marketing until licensed; name the partner instead.</t>
  </si>
  <si>
    <t xml:space="preserve">Uniform banking law, Arts 31–32 (Senegal Loi 2025-03 of 19 Feb 2025)</t>
  </si>
  <si>
    <t xml:space="preserve">None</t>
  </si>
  <si>
    <t xml:space="preserve">Personal data</t>
  </si>
  <si>
    <t xml:space="preserve">Declare the processing to the CDP before onboarding clients. Biometric face matching needs a CDP authorisation. Hosting outside Senegal is allowed to countries with adequate protection after informing the CDP, otherwise with its authorisation. No general data-localisation rule for finance was found.</t>
  </si>
  <si>
    <t xml:space="preserve">Senegal Loi 2008-12, Arts 18, 20, 49, 51 (CDP)</t>
  </si>
  <si>
    <t xml:space="preserve">Data-protection filings (3.5M FCFA in year 1)</t>
  </si>
  <si>
    <t xml:space="preserve">Maak contract</t>
  </si>
  <si>
    <t xml:space="preserve">Lease payments to Maak above 20M FCFA a year go through an approved bank (domiciliation) and the contract is registered with the tax office. If Maak takes equity instead, it becomes a shareholder that the microfinance change-of-control review will look at in stage 3.</t>
  </si>
  <si>
    <t xml:space="preserve">Règlement n°06/2024/CM/UEMOA on foreign exchange</t>
  </si>
  <si>
    <t xml:space="preserve">Maak lease (Technology); Maak stake (Dashboard)</t>
  </si>
  <si>
    <t xml:space="preserve">Verified (secondary)</t>
  </si>
  <si>
    <t xml:space="preserve">IT security</t>
  </si>
  <si>
    <t xml:space="preserve">Partners will ask for a security audit before go-live. Licensed payment providers run penetration tests at least once a year and send the reports to the Commission Bancaire within 30 days.</t>
  </si>
  <si>
    <t xml:space="preserve">BCEAO Instruction 001-01-2024 on payment services, Art. 83</t>
  </si>
  <si>
    <t xml:space="preserve">Tech audit, $10k a year from month 4</t>
  </si>
  <si>
    <t xml:space="preserve">Stage 1 · Launch in Senegal through partners</t>
  </si>
  <si>
    <t xml:space="preserve">Accounts, cards, payments and client money stay with licensed partners. Kelen runs the app, onboarding, sales and support as the partner's registered agent or technical provider.</t>
  </si>
  <si>
    <t xml:space="preserve">Kelen's status</t>
  </si>
  <si>
    <t xml:space="preserve">Presenting a bank's or credit company's products makes Kelen an 'intermédiaire mandaté' (agent bancaire or payment-services agent). The partner must have Kelen entered on the BCEAO's register before launch and sign a written mandate that follows the outsourcing rules; the partner stays fully liable. With an e-money issuer, Kelen can instead be its technical provider or distributor, on the list the issuer sends to the BCEAO.</t>
  </si>
  <si>
    <t xml:space="preserve">Uniform banking law, Arts 92–97; BCEAO Instr. 001-01-2024, Arts 38–41; Instr. 008-05-2015, Arts 4, 17, 36</t>
  </si>
  <si>
    <t xml:space="preserve">Partner bank set-up and legal counsel</t>
  </si>
  <si>
    <t xml:space="preserve">Verified (register procedure: to confirm)</t>
  </si>
  <si>
    <t xml:space="preserve">Disclosure to clients</t>
  </si>
  <si>
    <t xml:space="preserve">Kelen tells clients it acts for the partner and names the partner in the app, the contracts and the ads. An agent may hold several mandates but acts only in its principal's country.</t>
  </si>
  <si>
    <t xml:space="preserve">Uniform banking law, Arts 92–101</t>
  </si>
  <si>
    <t xml:space="preserve">Partner's filings</t>
  </si>
  <si>
    <t xml:space="preserve">Kelen's work is a critical outsourced function. A payment institution informs the BCEAO and the Commission Bancaire at least 30 days before, with a contract carrying the required clauses. Exclusivity clauses in such partnerships are banned.</t>
  </si>
  <si>
    <t xml:space="preserve">BCEAO Instr. 001-01-2024, Arts 28, 36, 37; Uniform banking law, Art. 29</t>
  </si>
  <si>
    <t xml:space="preserve">Partner set-up fees</t>
  </si>
  <si>
    <t xml:space="preserve">Kelen never holds client funds. The partner keeps them under its licence: e-money float or payment funds ring-fenced at a bank and reconciled daily.</t>
  </si>
  <si>
    <t xml:space="preserve">BCEAO Instr. 001-01-2024, Art. 48; Instr. 008-05-2015</t>
  </si>
  <si>
    <t xml:space="preserve">None in the plan: balance income stays with the partner bank unless it agrees to share it</t>
  </si>
  <si>
    <t xml:space="preserve">Onboarding checks (KYB / KYC)</t>
  </si>
  <si>
    <t xml:space="preserve">Kelen can run remote onboarding for the partner: face-to-document match with a fallback in person. For a company: legal form, directors, shareholders, beneficial owners above 25% and the RCCM number.</t>
  </si>
  <si>
    <t xml:space="preserve">BCEAO Instr. 003-03-2025, Arts 7, 13–19; Senegal Loi 2024-08 (AML/CFT)</t>
  </si>
  <si>
    <t xml:space="preserve">KYB and ID checks (cost to serve)</t>
  </si>
  <si>
    <t xml:space="preserve">Card spending abroad</t>
  </si>
  <si>
    <t xml:space="preserve">Under Règlement 06/2024 card payments abroad go through the partner bank. Art. 47 limits residents' card use abroad to usual travel and personal expenses, and Art. 12 makes banks check card use against import-payment rules. SME spending on foreign ads and software by card may be restricted: confirm with the partner bank. Visa / Mastercard charge the issuer about 1.2% on foreign spending and pay interchange back.</t>
  </si>
  <si>
    <t xml:space="preserve">Règlement n°06/2024/CM/UEMOA, Arts 12, 47; BCEAO instructions 001–015-07-2025/RFE</t>
  </si>
  <si>
    <t xml:space="preserve">Fee on foreign card spending 3% + 200 FCFA per payment, network costs; prudent scenario cuts foreign card spending by 40%</t>
  </si>
  <si>
    <t xml:space="preserve">To confirm</t>
  </si>
  <si>
    <t xml:space="preserve">Instant payments</t>
  </si>
  <si>
    <t xml:space="preserve">Payouts to wallets and bank accounts run through the partner's connection to PI-SPI. From 2 November 2026 every interoperable transfer must go through PI-SPI (175 participants, Wave included). The BCEAO communiqué of 2 October 2026 prices only transfers between individuals: free up to 8,000 FCFA a day per user and institution, then 0–0.8%; receiving free. Business, bulk and merchant payments are priced freely by each institution, so Kelen's cost depends on the partner bank. The earlier '30 free receipts then up to 1%' rule was the launch regime, now replaced. Ecobank has certified PI-SPI business APIs in all 8 countries.</t>
  </si>
  <si>
    <t xml:space="preserve">BCEAO communiqué of 2 Oct 2026; BCEAO PI-SPI participant list, 30 Sept 2026</t>
  </si>
  <si>
    <t xml:space="preserve">Cost of transfers to wallets: 1% (prudent), 1% capped at 5,000 FCFA (base, no deal yet), 200 FCFA flat (ambitious, negotiated); fee above the free amount 1.25% capped at 8,500 FCFA</t>
  </si>
  <si>
    <t xml:space="preserve">Transfer tax (Senegal)</t>
  </si>
  <si>
    <t xml:space="preserve">Since December 2025 a 0.5% tax (capped at 2,000 FCFA per operation) applies to transfers, payments and withdrawals above 20,000 FCFA in 24 hours. Salary payments are exempt; supplier payouts are taxed. The tax is collected from the payer, not from Kelen's revenue.</t>
  </si>
  <si>
    <t xml:space="preserve">Senegal Loi 2025-17 (PRES); Orange Sénégal customer notice</t>
  </si>
  <si>
    <t xml:space="preserve">Not modelled (borne by clients)</t>
  </si>
  <si>
    <t xml:space="preserve">Transfers out of the zone</t>
  </si>
  <si>
    <t xml:space="preserve">Every transfer out of the WAEMU pays a 0.6% tax, on top of bank commissions (0.85–2% for business clients) and fixed fees. Importers must domiciliate import payments with a bank.</t>
  </si>
  <si>
    <t xml:space="preserve">Cost research, Oct 2026 (bank tariffs, BCEAO FX rules)</t>
  </si>
  <si>
    <t xml:space="preserve">International payments: tax passed on to clients at cost; Kelen charges 3.8% + 1,500 FCFA against an assumed 3.5% cost</t>
  </si>
  <si>
    <t xml:space="preserve">Competitors' licences</t>
  </si>
  <si>
    <t xml:space="preserve">Julaya and Djamo already hold BCEAO payment-institution licences in both Senegal and Côte d'Ivoire (2025). Kelen launches as its partner's agent or technical provider and competes with licensed players from day one.</t>
  </si>
  <si>
    <t xml:space="preserve">Commission Bancaire, EME and EP lists, 29 June 2026</t>
  </si>
  <si>
    <t xml:space="preserve">Stage 2 · Credit and Côte d'Ivoire</t>
  </si>
  <si>
    <t xml:space="preserve">A licensed lender makes the loans; Kelen sources, scores and follows them. Côte d'Ivoire opens with Ivorian partners, under the old banking regime.</t>
  </si>
  <si>
    <t xml:space="preserve">Who can lend at 23%</t>
  </si>
  <si>
    <t xml:space="preserve">Lending, factoring included, is reserved to licensed institutions. Since 1 June 2026 the usury cap is 14% a year for banks and 24% for microfinance institutions and credit companies (EFC). The lending partner must therefore be a microfinance institution or an EFC, not a bank.</t>
  </si>
  <si>
    <t xml:space="preserve">Décision n°19 du 29/12/2025/CM/UMOA (usury rates); Uniform banking law, Arts 17, 19</t>
  </si>
  <si>
    <t xml:space="preserve">Credit yields 22–23% (Assumptions, section 7)</t>
  </si>
  <si>
    <t xml:space="preserve">Effective rate</t>
  </si>
  <si>
    <t xml:space="preserve">The 24% cap applies to the effective rate (TEG): interest plus fees, commissions and guarantee costs, taxes excluded, stated in writing in the loan contract. At 23% interest about 1 point is left for all fees, Kelen's included if the borrower pays them.</t>
  </si>
  <si>
    <t xml:space="preserve">Senegal Loi 2021-19 on usury</t>
  </si>
  <si>
    <t xml:space="preserve">Yield inputs (Assumptions, section 7)</t>
  </si>
  <si>
    <t xml:space="preserve">Credit bureau</t>
  </si>
  <si>
    <t xml:space="preserve">Lenders must report to and consult the regional credit bureau (BIC UEMOA, run by Creditinfo VoLo). Membership costs 3.8M FCFA a year for banks and financial institutions (1.8M for large microfinance institutions) plus 400–1,000 FCFA per report.</t>
  </si>
  <si>
    <t xml:space="preserve">BCEAO uniform law on credit information bureaus; Creditinfo VoLo tariffs (via cost research, Oct 2026)</t>
  </si>
  <si>
    <t xml:space="preserve">Credit bureau line (Costs, legal and regulatory)</t>
  </si>
  <si>
    <t xml:space="preserve">E-invoicing (Côte d'Ivoire)</t>
  </si>
  <si>
    <t xml:space="preserve">Côte d'Ivoire's normalised electronic invoice (FNE) is mandatory, with tax controls since 1 September 2026 and fines up to 10M FCFA; about 52,000 firms were registered by February 2026. Kelen's invoices must connect to FNE before the Ivorian launch. Senegal's e-invoicing timetable is still being set.</t>
  </si>
  <si>
    <t xml:space="preserve">Arrêté 0337 of 9 May 2025 (CI); DGI control notice, Aug 2026</t>
  </si>
  <si>
    <t xml:space="preserve">None (product work in the Côte d'Ivoire launch budget)</t>
  </si>
  <si>
    <t xml:space="preserve">The lender reports loans to the credit bureau (Creditinfo VoLo) and consults it. In Senegal the borrower's consent is still required for new loans; Côte d'Ivoire dropped it.</t>
  </si>
  <si>
    <t xml:space="preserve">Uniform law on credit bureaus (Senegal Loi 2014-02, amended by Loi 2018-11); Côte d'Ivoire ordinance of 2016</t>
  </si>
  <si>
    <t xml:space="preserve">Microfinance institutions may offer factoring as a secondary activity, with its own authorisation. Senegal's factoring law (transposing the 2020 uniform law) was adopted by the Assembly in May 2026; promulgation not confirmed.</t>
  </si>
  <si>
    <t xml:space="preserve">Uniform microfinance law, Art. 5; Décision n°23/CM/UMOA (2020)</t>
  </si>
  <si>
    <t xml:space="preserve">Factoring from month 18</t>
  </si>
  <si>
    <t xml:space="preserve">Côte d'Ivoire regime</t>
  </si>
  <si>
    <t xml:space="preserve">Côte d'Ivoire has not yet transposed the new banking and microfinance laws (bills adopted in Council of Ministers in April 2026). Under the old regime an 'intermédiaire en opérations de banque' needs the prior authorisation of the Minister of Finance, reviewed by the BCEAO. An agent only acts in its principal's country, so Ivorian partners are needed.</t>
  </si>
  <si>
    <t xml:space="preserve">Banking framework law 2008, Art. 105; BCEAO Instr. 015-12/2010/RB; Uniform banking law, Art. 94</t>
  </si>
  <si>
    <t xml:space="preserve">Côte d'Ivoire partner bank set-up (15M FCFA, month 16)</t>
  </si>
  <si>
    <t xml:space="preserve">Côte d'Ivoire data and AML</t>
  </si>
  <si>
    <t xml:space="preserve">ARTCI: declaration, and prior authorisation for biometrics, ID numbers, phone numbers and any transfer outside ECOWAS (no answer within a month means refusal). Côte d'Ivoire has been on the FATF grey list since October 2024: expect stricter checks from partners and correspondent banks.</t>
  </si>
  <si>
    <t xml:space="preserve">Côte d'Ivoire Loi 2013-450, Arts 7, 26; FATF list of 19 June 2026</t>
  </si>
  <si>
    <t xml:space="preserve">Taxes on fees</t>
  </si>
  <si>
    <t xml:space="preserve">Fees bear the 17% TAF in Senegal and the 10% tax on banking operations (TOB) in Côte d'Ivoire. Prices in the model are net of these taxes.</t>
  </si>
  <si>
    <t xml:space="preserve">Senegal and Côte d'Ivoire tax codes</t>
  </si>
  <si>
    <t xml:space="preserve">Not modelled (prices net of tax)</t>
  </si>
  <si>
    <t xml:space="preserve">Stage 3 · Buying a microfinance institution in Senegal</t>
  </si>
  <si>
    <t xml:space="preserve">Kelen buys a licensed microfinance institution (IMF, société anonyme) to lend from its own balance sheet and take deposits in Senegal. The change of control needs the Minister of Finance's prior approval on the BCEAO's binding opinion.</t>
  </si>
  <si>
    <t xml:space="preserve">Applicable law</t>
  </si>
  <si>
    <t xml:space="preserve">Senegal's microfinance law is now Loi 2025-04 of 19 February 2025, which replaced the 2008 SFD law. Existing institutions had 12 months to comply: due diligence must check the target's form, capital and governance.</t>
  </si>
  <si>
    <t xml:space="preserve">Senegal Loi 2025-04, Arts 168, 171, 173</t>
  </si>
  <si>
    <t xml:space="preserve">SFD acquisition: due diligence and approval file (40M FCFA in year 2)</t>
  </si>
  <si>
    <t xml:space="preserve">Change of control</t>
  </si>
  <si>
    <t xml:space="preserve">Prior authorisation by order of the Minister of Finance, after the BCEAO's binding opinion, for any stake crossing one third or one half of the votes. A complete file is deemed refused after 4 months without an answer: file around month 18 to close in month 24.</t>
  </si>
  <si>
    <t xml:space="preserve">Senegal Loi 2025-04, Arts 14, 22–23, 32</t>
  </si>
  <si>
    <t xml:space="preserve">Acquisition price (650M FCFA, month 24)</t>
  </si>
  <si>
    <t xml:space="preserve">Shareholders and directors</t>
  </si>
  <si>
    <t xml:space="preserve">Fit-and-proper review of Kelen, its shareholders and beneficial owners (Maak too if it holds equity) and of the directors. Directors and managers must be WAEMU nationals unless the Minister grants a derogation. The BCEAO sets the minimum capital and the largest stake one shareholder may hold: amounts not found, confirm before signing.</t>
  </si>
  <si>
    <t xml:space="preserve">Senegal Loi 2025-04, Arts 17, 18, 21, 42, 44–47</t>
  </si>
  <si>
    <t xml:space="preserve">To confirm (capital, stake cap)</t>
  </si>
  <si>
    <t xml:space="preserve">Governance and compliance</t>
  </si>
  <si>
    <t xml:space="preserve">Board and management body, internal control, a statutory auditor approved by the supervisor (4-year term), and an AML/CFT unit reporting to management that files suspicious-transaction reports with CENTIF. The compliance officer must be in place for the approval.</t>
  </si>
  <si>
    <t xml:space="preserve">Senegal Loi 2025-04, Arts 36, 53, 83; BCEAO Instr. 001-03-2025, Arts 7–8</t>
  </si>
  <si>
    <t xml:space="preserve">Compliance officer from month 24; statutory auditor and AML audit; own SFD running costs</t>
  </si>
  <si>
    <t xml:space="preserve">Prudential ratios</t>
  </si>
  <si>
    <t xml:space="preserve">Equity at least 15% of total assets; one borrower at most 10% of own funds; related-party loans at most 10%; liquidity at least 100%; activities other than savings and credit at most 5%; 15% of yearly profit to the general reserve.</t>
  </si>
  <si>
    <t xml:space="preserve">BCEAO Instr. 010-08-2010 (still applicable)</t>
  </si>
  <si>
    <t xml:space="preserve">Equity in the own SFD's loans: 15% of the book</t>
  </si>
  <si>
    <t xml:space="preserve">Supervisor</t>
  </si>
  <si>
    <t xml:space="preserve">An institution with 2bn FCFA or more of deposits or loans for two years in a row is supervised by the BCEAO and the Commission Bancaire, otherwise by the Ministry. The plan's loan book passes 2bn FCFA in year 3.</t>
  </si>
  <si>
    <t xml:space="preserve">Senegal Loi 2025-04, Art. 70; BCEAO Instr. 007-06-2010</t>
  </si>
  <si>
    <t xml:space="preserve">Loan book (Credit)</t>
  </si>
  <si>
    <t xml:space="preserve">Verified (threshold under the new law: to confirm)</t>
  </si>
  <si>
    <t xml:space="preserve">Activities and scope</t>
  </si>
  <si>
    <t xml:space="preserve">Deposits and loans for individuals and companies; payment services, e-money, leasing and factoring as secondary activities, each with its own authorisation. The licence covers Senegal only. Membership of the deposit-guarantee fund (FGDR-UMOA) with a yearly contribution.</t>
  </si>
  <si>
    <t xml:space="preserve">Senegal Loi 2025-04, Arts 4, 5, 11, 99–100</t>
  </si>
  <si>
    <t xml:space="preserve">Côte d'Ivoire loans stay with a partner; own SFD running costs</t>
  </si>
  <si>
    <t xml:space="preserve">Target clients</t>
  </si>
  <si>
    <t xml:space="preserve">The law describes microfinance clients as people 'generally without access to banks'. Confirm with the BCEAO that SME current accounts and payroll services fit the licence.</t>
  </si>
  <si>
    <t xml:space="preserve">Senegal Loi 2025-04, Art. 3</t>
  </si>
  <si>
    <t xml:space="preserve">Stage 4 · Personal accounts (B2C)</t>
  </si>
  <si>
    <t xml:space="preserve">Salary accounts for clients' employees, then other individuals, held by Kelen's microfinance institution in Senegal or a partner.</t>
  </si>
  <si>
    <t xml:space="preserve">Free basic services</t>
  </si>
  <si>
    <t xml:space="preserve">Since 2014 banks and credit companies must offer 19 basic services for free (account opening and closing, statements, salary domiciliation, transfers within the bank, WAEMU card payments, own-ATM withdrawals, and others). No such list was found for microfinance institutions; pricing B2C on the same basis keeps the offer competitive.</t>
  </si>
  <si>
    <t xml:space="preserve">BCEAO, 19 free banking services (2014)</t>
  </si>
  <si>
    <t xml:space="preserve">Employee accounts are free in the model</t>
  </si>
  <si>
    <t xml:space="preserve">Verified (microfinance scope: to confirm)</t>
  </si>
  <si>
    <t xml:space="preserve">Complaints</t>
  </si>
  <si>
    <t xml:space="preserve">An internal complaints process (payment services: reply within 7 business days), a yearly report and membership of the Observatoire de la qualité des services financiers (OQSF) for mediation.</t>
  </si>
  <si>
    <t xml:space="preserve">BCEAO Instr. 001-01-2024, Art. 51; Senegal Loi 2025-04, Arts 94–98</t>
  </si>
  <si>
    <t xml:space="preserve">Customer support team</t>
  </si>
  <si>
    <t xml:space="preserve">Identifying individuals</t>
  </si>
  <si>
    <t xml:space="preserve">No anonymous accounts. Remote onboarding is allowed with a face-to-document match and a fallback in person; biometrics need CDP (and ARTCI) authorisation. For e-money, identified holders may keep up to 4M FCFA and reload up to 15M FCFA a month from 2 November 2026.</t>
  </si>
  <si>
    <t xml:space="preserve">Uniform banking law, Art. 30; BCEAO Instr. 003-03-2025; BCEAO Instr. n°020 of 8 October 2026</t>
  </si>
  <si>
    <t xml:space="preserve">ID check per person (cost to serve)</t>
  </si>
  <si>
    <t xml:space="preserve">Salary advances are credit: the 24% effective-rate cap and the credit-bureau rules apply.</t>
  </si>
  <si>
    <t xml:space="preserve">Décision n°19 du 29/12/2025/CM/UMOA</t>
  </si>
  <si>
    <t xml:space="preserve">Salary advances from month 30</t>
  </si>
</sst>
</file>

<file path=xl/styles.xml><?xml version="1.0" encoding="utf-8"?>
<styleSheet xmlns="http://schemas.openxmlformats.org/spreadsheetml/2006/main">
  <numFmts count="18">
    <numFmt numFmtId="164" formatCode="General"/>
    <numFmt numFmtId="165" formatCode="0"/>
    <numFmt numFmtId="166" formatCode="mmm\ yyyy"/>
    <numFmt numFmtId="167" formatCode="#,##0;\(#,##0\);\-"/>
    <numFmt numFmtId="168" formatCode="\€#,##0;&quot;(€&quot;#,##0\);\-"/>
    <numFmt numFmtId="169" formatCode="0.0%;\(0.0%\);\-"/>
    <numFmt numFmtId="170" formatCode="#,##0.0;\(#,##0.0\);\-"/>
    <numFmt numFmtId="171" formatCode="\€#,##0.00;&quot;-€&quot;#,##0.00;\-"/>
    <numFmt numFmtId="172" formatCode="0.00%;\(0.00%\);\-"/>
    <numFmt numFmtId="173" formatCode="dd\ mmm\ yyyy"/>
    <numFmt numFmtId="174" formatCode="#,##0.000"/>
    <numFmt numFmtId="175" formatCode="0.00"/>
    <numFmt numFmtId="176" formatCode="[&lt;100]\€#,##0.00;\€#,##0"/>
    <numFmt numFmtId="177" formatCode="#,##0&quot; FCFA&quot;"/>
    <numFmt numFmtId="178" formatCode="mmm\-yy"/>
    <numFmt numFmtId="179" formatCode="\Y0"/>
    <numFmt numFmtId="180" formatCode="0.000"/>
    <numFmt numFmtId="181" formatCode="0.0\x"/>
  </numFmts>
  <fonts count="23">
    <font>
      <sz val="11"/>
      <color theme="1"/>
      <name val="Calibri"/>
      <family val="2"/>
      <charset val="1"/>
    </font>
    <font>
      <sz val="10"/>
      <name val="Arial"/>
      <family val="0"/>
    </font>
    <font>
      <sz val="10"/>
      <name val="Arial"/>
      <family val="0"/>
    </font>
    <font>
      <sz val="10"/>
      <name val="Arial"/>
      <family val="0"/>
    </font>
    <font>
      <b val="true"/>
      <sz val="16"/>
      <color rgb="FF0D7377"/>
      <name val="Arial"/>
      <family val="0"/>
      <charset val="1"/>
    </font>
    <font>
      <i val="true"/>
      <sz val="10"/>
      <color rgb="FF595959"/>
      <name val="Arial"/>
      <family val="0"/>
      <charset val="1"/>
    </font>
    <font>
      <b val="true"/>
      <sz val="11"/>
      <color rgb="FF000000"/>
      <name val="Arial"/>
      <family val="0"/>
      <charset val="1"/>
    </font>
    <font>
      <sz val="10"/>
      <color rgb="FF000000"/>
      <name val="Arial"/>
      <family val="0"/>
      <charset val="1"/>
    </font>
    <font>
      <sz val="11"/>
      <color rgb="FF000000"/>
      <name val="Arial"/>
      <family val="0"/>
      <charset val="1"/>
    </font>
    <font>
      <b val="true"/>
      <sz val="14"/>
      <color rgb="FF0D7377"/>
      <name val="Arial"/>
      <family val="0"/>
      <charset val="1"/>
    </font>
    <font>
      <b val="true"/>
      <sz val="10"/>
      <color rgb="FF000000"/>
      <name val="Arial"/>
      <family val="0"/>
      <charset val="1"/>
    </font>
    <font>
      <sz val="10"/>
      <color rgb="FF595959"/>
      <name val="Arial"/>
      <family val="0"/>
      <charset val="1"/>
    </font>
    <font>
      <b val="true"/>
      <sz val="10"/>
      <color rgb="FFC00000"/>
      <name val="Arial"/>
      <family val="0"/>
      <charset val="1"/>
    </font>
    <font>
      <b val="true"/>
      <sz val="10"/>
      <color rgb="FF00800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0D7377"/>
      <name val="Arial"/>
      <family val="0"/>
      <charset val="1"/>
    </font>
    <font>
      <b val="true"/>
      <sz val="10"/>
      <color rgb="FFFFFFFF"/>
      <name val="Arial"/>
      <family val="0"/>
      <charset val="1"/>
    </font>
    <font>
      <b val="true"/>
      <sz val="10"/>
      <color rgb="FF0000FF"/>
      <name val="Arial"/>
      <family val="0"/>
      <charset val="1"/>
    </font>
    <font>
      <sz val="10"/>
      <color rgb="FF0000FF"/>
      <name val="Arial"/>
      <family val="0"/>
      <charset val="1"/>
    </font>
    <font>
      <i val="true"/>
      <sz val="10"/>
      <color rgb="FF000000"/>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E2EEEF"/>
        <bgColor rgb="FFF2F3F5"/>
      </patternFill>
    </fill>
    <fill>
      <patternFill patternType="solid">
        <fgColor rgb="FF0D7377"/>
        <bgColor rgb="FF008080"/>
      </patternFill>
    </fill>
    <fill>
      <patternFill patternType="solid">
        <fgColor rgb="FFFFF6D5"/>
        <bgColor rgb="FFF2F3F5"/>
      </patternFill>
    </fill>
    <fill>
      <patternFill patternType="solid">
        <fgColor rgb="FFF2F3F5"/>
        <bgColor rgb="FFE2EE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5" fontId="10" fillId="3"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5" fontId="20" fillId="2" borderId="0" xfId="0" applyFont="true" applyBorder="false" applyAlignment="true" applyProtection="false">
      <alignment horizontal="center"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73" fontId="21" fillId="5" borderId="0" xfId="0" applyFont="true" applyBorder="false" applyAlignment="true" applyProtection="false">
      <alignment horizontal="general" vertical="bottom" textRotation="0" wrapText="false" indent="0" shrinkToFit="false"/>
      <protection locked="true" hidden="false"/>
    </xf>
    <xf numFmtId="174" fontId="21" fillId="5" borderId="0" xfId="0" applyFont="true" applyBorder="false" applyAlignment="true" applyProtection="false">
      <alignment horizontal="general" vertical="bottom" textRotation="0" wrapText="false" indent="0" shrinkToFit="false"/>
      <protection locked="true" hidden="false"/>
    </xf>
    <xf numFmtId="167" fontId="21" fillId="5" borderId="0" xfId="0" applyFont="true" applyBorder="false" applyAlignment="true" applyProtection="false">
      <alignment horizontal="general" vertical="bottom" textRotation="0" wrapText="false" indent="0" shrinkToFit="false"/>
      <protection locked="true" hidden="false"/>
    </xf>
    <xf numFmtId="169" fontId="21" fillId="5" borderId="0" xfId="0" applyFont="true" applyBorder="false" applyAlignment="true" applyProtection="false">
      <alignment horizontal="general" vertical="bottom" textRotation="0" wrapText="false" indent="0" shrinkToFit="false"/>
      <protection locked="true" hidden="false"/>
    </xf>
    <xf numFmtId="165" fontId="21" fillId="5"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21" fillId="5" borderId="0" xfId="0" applyFont="true" applyBorder="false" applyAlignment="true" applyProtection="false">
      <alignment horizontal="general" vertical="bottom" textRotation="0" wrapText="false" indent="0" shrinkToFit="false"/>
      <protection locked="true" hidden="false"/>
    </xf>
    <xf numFmtId="175" fontId="21" fillId="5"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72" fontId="21" fillId="5"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77" fontId="11"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5" fontId="7" fillId="5" borderId="0" xfId="0" applyFont="true" applyBorder="false" applyAlignment="true" applyProtection="false">
      <alignment horizontal="general" vertical="bottom" textRotation="0" wrapText="false" indent="0" shrinkToFit="false"/>
      <protection locked="true" hidden="false"/>
    </xf>
    <xf numFmtId="178" fontId="10" fillId="3" borderId="0" xfId="0" applyFont="true" applyBorder="false" applyAlignment="true" applyProtection="false">
      <alignment horizontal="center" vertical="bottom" textRotation="0" wrapText="false" indent="0" shrinkToFit="false"/>
      <protection locked="true" hidden="false"/>
    </xf>
    <xf numFmtId="179" fontId="10" fillId="3" borderId="0" xfId="0" applyFont="true" applyBorder="false" applyAlignment="true" applyProtection="false">
      <alignment horizontal="center" vertical="bottom" textRotation="0" wrapText="false" indent="0" shrinkToFit="false"/>
      <protection locked="true" hidden="false"/>
    </xf>
    <xf numFmtId="167" fontId="10" fillId="6"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0" fontId="10" fillId="6"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80" fontId="7" fillId="0" borderId="0" xfId="0" applyFont="true" applyBorder="false" applyAlignment="true" applyProtection="false">
      <alignment horizontal="general" vertical="bottom" textRotation="0" wrapText="false" indent="0" shrinkToFit="false"/>
      <protection locked="true" hidden="false"/>
    </xf>
    <xf numFmtId="169" fontId="10" fillId="6"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top" textRotation="0" wrapText="true" indent="0" shrinkToFit="false"/>
      <protection locked="true" hidden="false"/>
    </xf>
    <xf numFmtId="181" fontId="7"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top" textRotation="0" wrapText="true" indent="0" shrinkToFit="false"/>
      <protection locked="true" hidden="false"/>
    </xf>
    <xf numFmtId="164" fontId="22"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D7377"/>
      <rgbColor rgb="FFC0C0C0"/>
      <rgbColor rgb="FF878787"/>
      <rgbColor rgb="FF9999FF"/>
      <rgbColor rgb="FF993366"/>
      <rgbColor rgb="FFFFF6D5"/>
      <rgbColor rgb="FFE2EE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3F5"/>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AA3AF"/>
      <rgbColor rgb="FF003366"/>
      <rgbColor rgb="FF339966"/>
      <rgbColor rgb="FF0F111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operating expenses and EBITDA (FCFA)</a:t>
            </a:r>
          </a:p>
        </c:rich>
      </c:tx>
      <c:overlay val="0"/>
      <c:spPr>
        <a:noFill/>
        <a:ln w="0">
          <a:noFill/>
        </a:ln>
      </c:spPr>
    </c:title>
    <c:autoTitleDeleted val="0"/>
    <c:plotArea>
      <c:barChart>
        <c:barDir val="col"/>
        <c:grouping val="clustered"/>
        <c:varyColors val="0"/>
        <c:ser>
          <c:idx val="0"/>
          <c:order val="0"/>
          <c:tx>
            <c:strRef>
              <c:f>"Revenue"</c:f>
              <c:strCache>
                <c:ptCount val="1"/>
                <c:pt idx="0">
                  <c:v>Revenue</c:v>
                </c:pt>
              </c:strCache>
            </c:strRef>
          </c:tx>
          <c:spPr>
            <a:solidFill>
              <a:srgbClr val="0d7377"/>
            </a:solidFill>
            <a:ln w="0">
              <a:solidFill>
                <a:srgbClr val="0d7377"/>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annual'!$D$23:$H$23</c:f>
              <c:numCache>
                <c:formatCode>#,##0;\(#,##0\);\-</c:formatCode>
                <c:ptCount val="5"/>
                <c:pt idx="0">
                  <c:v>155581785.700467</c:v>
                </c:pt>
                <c:pt idx="1">
                  <c:v>1137438108.37707</c:v>
                </c:pt>
                <c:pt idx="2">
                  <c:v>3577597713.32831</c:v>
                </c:pt>
                <c:pt idx="3">
                  <c:v>7169409664.59723</c:v>
                </c:pt>
                <c:pt idx="4">
                  <c:v>12058506861.9909</c:v>
                </c:pt>
              </c:numCache>
            </c:numRef>
          </c:val>
        </c:ser>
        <c:ser>
          <c:idx val="1"/>
          <c:order val="1"/>
          <c:tx>
            <c:strRef>
              <c:f>"Operating expenses"</c:f>
              <c:strCache>
                <c:ptCount val="1"/>
                <c:pt idx="0">
                  <c:v>Operating expenses</c:v>
                </c:pt>
              </c:strCache>
            </c:strRef>
          </c:tx>
          <c:spPr>
            <a:solidFill>
              <a:srgbClr val="9aa3af"/>
            </a:solidFill>
            <a:ln w="0">
              <a:solidFill>
                <a:srgbClr val="9aa3af"/>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annual'!$D$44:$H$44</c:f>
              <c:numCache>
                <c:formatCode>#,##0;\(#,##0\);\-</c:formatCode>
                <c:ptCount val="5"/>
                <c:pt idx="0">
                  <c:v>450890336.28921</c:v>
                </c:pt>
                <c:pt idx="1">
                  <c:v>700540832.819967</c:v>
                </c:pt>
                <c:pt idx="2">
                  <c:v>1004521621.526</c:v>
                </c:pt>
                <c:pt idx="3">
                  <c:v>1261637433.35959</c:v>
                </c:pt>
                <c:pt idx="4">
                  <c:v>1633251842.2545</c:v>
                </c:pt>
              </c:numCache>
            </c:numRef>
          </c:val>
        </c:ser>
        <c:ser>
          <c:idx val="2"/>
          <c:order val="2"/>
          <c:tx>
            <c:strRef>
              <c:f>"EBITDA"</c:f>
              <c:strCache>
                <c:ptCount val="1"/>
                <c:pt idx="0">
                  <c:v>EBITDA</c:v>
                </c:pt>
              </c:strCache>
            </c:strRef>
          </c:tx>
          <c:spPr>
            <a:solidFill>
              <a:srgbClr val="0f1114"/>
            </a:solidFill>
            <a:ln w="0">
              <a:solidFill>
                <a:srgbClr val="0f1114"/>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'P&amp;L annual'!$D$5:$H$5</c:f>
              <c:multiLvlStrCache>
                <c:ptCount val="1"/>
                <c:lvl>
                  <c:pt idx="0">
                    <c:v>2031</c:v>
                  </c:pt>
                </c:lvl>
                <c:lvl>
                  <c:pt idx="0">
                    <c:v>2030</c:v>
                  </c:pt>
                </c:lvl>
                <c:lvl>
                  <c:pt idx="0">
                    <c:v>2029</c:v>
                  </c:pt>
                </c:lvl>
                <c:lvl>
                  <c:pt idx="0">
                    <c:v>2028</c:v>
                  </c:pt>
                </c:lvl>
                <c:lvl>
                  <c:pt idx="0">
                    <c:v>2027</c:v>
                  </c:pt>
                </c:lvl>
              </c:multiLvlStrCache>
            </c:multiLvlStrRef>
          </c:cat>
          <c:val>
            <c:numRef>
              <c:f>'P&amp;L annual'!$D$45:$H$45</c:f>
              <c:numCache>
                <c:formatCode>#,##0;\(#,##0\);\-</c:formatCode>
                <c:ptCount val="5"/>
                <c:pt idx="0">
                  <c:v>-386812328.179926</c:v>
                </c:pt>
                <c:pt idx="1">
                  <c:v>-178627869.399312</c:v>
                </c:pt>
                <c:pt idx="2">
                  <c:v>669861115.094073</c:v>
                </c:pt>
                <c:pt idx="3">
                  <c:v>2143333477.83452</c:v>
                </c:pt>
                <c:pt idx="4">
                  <c:v>4113510129.09729</c:v>
                </c:pt>
              </c:numCache>
            </c:numRef>
          </c:val>
        </c:ser>
        <c:gapWidth val="150"/>
        <c:overlap val="0"/>
        <c:axId val="7707029"/>
        <c:axId val="68738569"/>
      </c:barChart>
      <c:catAx>
        <c:axId val="770702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738569"/>
        <c:crosses val="autoZero"/>
        <c:auto val="1"/>
        <c:lblAlgn val="ctr"/>
        <c:lblOffset val="100"/>
        <c:noMultiLvlLbl val="0"/>
      </c:catAx>
      <c:valAx>
        <c:axId val="687385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FCFA</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070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Active clients by month</a:t>
            </a:r>
          </a:p>
        </c:rich>
      </c:tx>
      <c:overlay val="0"/>
      <c:spPr>
        <a:noFill/>
        <a:ln w="0">
          <a:noFill/>
        </a:ln>
      </c:spPr>
    </c:title>
    <c:autoTitleDeleted val="0"/>
    <c:plotArea>
      <c:lineChart>
        <c:grouping val="standard"/>
        <c:varyColors val="0"/>
        <c:ser>
          <c:idx val="0"/>
          <c:order val="0"/>
          <c:tx>
            <c:strRef>
              <c:f>"Active clients"</c:f>
              <c:strCache>
                <c:ptCount val="1"/>
                <c:pt idx="0">
                  <c:v>Active clients</c:v>
                </c:pt>
              </c:strCache>
            </c:strRef>
          </c:tx>
          <c:spPr>
            <a:solidFill>
              <a:srgbClr val="0d7377"/>
            </a:solidFill>
            <a:ln w="28440">
              <a:solidFill>
                <a:srgbClr val="0d7377"/>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'Clients &amp; revenue'!$E$3:$BL$3</c:f>
              <c:multiLvlStrCache>
                <c:ptCount val="1"/>
                <c:lvl>
                  <c:pt idx="0">
                    <c:v>60</c:v>
                  </c:pt>
                </c:lvl>
                <c:lvl>
                  <c:pt idx="0">
                    <c:v>59</c:v>
                  </c:pt>
                </c:lvl>
                <c:lvl>
                  <c:pt idx="0">
                    <c:v>58</c:v>
                  </c:pt>
                </c:lvl>
                <c:lvl>
                  <c:pt idx="0">
                    <c:v>57</c:v>
                  </c:pt>
                </c:lvl>
                <c:lvl>
                  <c:pt idx="0">
                    <c:v>56</c:v>
                  </c:pt>
                </c:lvl>
                <c:lvl>
                  <c:pt idx="0">
                    <c:v>55</c:v>
                  </c:pt>
                </c:lvl>
                <c:lvl>
                  <c:pt idx="0">
                    <c:v>54</c:v>
                  </c:pt>
                </c:lvl>
                <c:lvl>
                  <c:pt idx="0">
                    <c:v>53</c:v>
                  </c:pt>
                </c:lvl>
                <c:lvl>
                  <c:pt idx="0">
                    <c:v>52</c:v>
                  </c:pt>
                </c:lvl>
                <c:lvl>
                  <c:pt idx="0">
                    <c:v>51</c:v>
                  </c:pt>
                </c:lvl>
                <c:lvl>
                  <c:pt idx="0">
                    <c:v>50</c:v>
                  </c:pt>
                </c:lvl>
                <c:lvl>
                  <c:pt idx="0">
                    <c:v>49</c:v>
                  </c:pt>
                </c:lvl>
                <c:lvl>
                  <c:pt idx="0">
                    <c:v>48</c:v>
                  </c:pt>
                </c:lvl>
                <c:lvl>
                  <c:pt idx="0">
                    <c:v>47</c:v>
                  </c:pt>
                </c:lvl>
                <c:lvl>
                  <c:pt idx="0">
                    <c:v>46</c:v>
                  </c:pt>
                </c:lvl>
                <c:lvl>
                  <c:pt idx="0">
                    <c:v>45</c:v>
                  </c:pt>
                </c:lvl>
                <c:lvl>
                  <c:pt idx="0">
                    <c:v>44</c:v>
                  </c:pt>
                </c:lvl>
                <c:lvl>
                  <c:pt idx="0">
                    <c:v>43</c:v>
                  </c:pt>
                </c:lvl>
                <c:lvl>
                  <c:pt idx="0">
                    <c:v>42</c:v>
                  </c:pt>
                </c:lvl>
                <c:lvl>
                  <c:pt idx="0">
                    <c:v>41</c:v>
                  </c:pt>
                </c:lvl>
                <c:lvl>
                  <c:pt idx="0">
                    <c:v>40</c:v>
                  </c:pt>
                </c:lvl>
                <c:lvl>
                  <c:pt idx="0">
                    <c:v>39</c:v>
                  </c:pt>
                </c:lvl>
                <c:lvl>
                  <c:pt idx="0">
                    <c:v>38</c:v>
                  </c:pt>
                </c:lvl>
                <c:lvl>
                  <c:pt idx="0">
                    <c:v>37</c:v>
                  </c:pt>
                </c:lvl>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'Clients &amp; revenue'!$E$17:$BL$17</c:f>
              <c:numCache>
                <c:formatCode>#,##0;\(#,##0\);\-</c:formatCode>
                <c:ptCount val="60"/>
                <c:pt idx="0">
                  <c:v>0</c:v>
                </c:pt>
                <c:pt idx="1">
                  <c:v>0</c:v>
                </c:pt>
                <c:pt idx="2">
                  <c:v>0</c:v>
                </c:pt>
                <c:pt idx="3">
                  <c:v>0</c:v>
                </c:pt>
                <c:pt idx="4">
                  <c:v>49.4666666666667</c:v>
                </c:pt>
                <c:pt idx="5">
                  <c:v>98.5971333333334</c:v>
                </c:pt>
                <c:pt idx="6">
                  <c:v>147.426749</c:v>
                </c:pt>
                <c:pt idx="7">
                  <c:v>195.991987355417</c:v>
                </c:pt>
                <c:pt idx="8">
                  <c:v>244.33053289034</c:v>
                </c:pt>
                <c:pt idx="9">
                  <c:v>292.481371820103</c:v>
                </c:pt>
                <c:pt idx="10">
                  <c:v>340.484888112032</c:v>
                </c:pt>
                <c:pt idx="11">
                  <c:v>388.382964930819</c:v>
                </c:pt>
                <c:pt idx="12">
                  <c:v>453.685758500305</c:v>
                </c:pt>
                <c:pt idx="13">
                  <c:v>518.683611399876</c:v>
                </c:pt>
                <c:pt idx="14">
                  <c:v>583.42868133466</c:v>
                </c:pt>
                <c:pt idx="15">
                  <c:v>647.974997296342</c:v>
                </c:pt>
                <c:pt idx="16">
                  <c:v>712.378595298977</c:v>
                </c:pt>
                <c:pt idx="17">
                  <c:v>776.697661809739</c:v>
                </c:pt>
                <c:pt idx="18">
                  <c:v>878.859352011698</c:v>
                </c:pt>
                <c:pt idx="19">
                  <c:v>980.795150063792</c:v>
                </c:pt>
                <c:pt idx="20">
                  <c:v>1090.59737455291</c:v>
                </c:pt>
                <c:pt idx="21">
                  <c:v>1200.22999438614</c:v>
                </c:pt>
                <c:pt idx="22">
                  <c:v>1309.7952230042</c:v>
                </c:pt>
                <c:pt idx="23">
                  <c:v>1419.39940374893</c:v>
                </c:pt>
                <c:pt idx="24">
                  <c:v>1564.21996161855</c:v>
                </c:pt>
                <c:pt idx="25">
                  <c:v>1708.72710474808</c:v>
                </c:pt>
                <c:pt idx="26">
                  <c:v>1861.05160027875</c:v>
                </c:pt>
                <c:pt idx="27">
                  <c:v>2013.19739766067</c:v>
                </c:pt>
                <c:pt idx="28">
                  <c:v>2165.30832916897</c:v>
                </c:pt>
                <c:pt idx="29">
                  <c:v>2317.53410767745</c:v>
                </c:pt>
                <c:pt idx="30">
                  <c:v>2478.03073062853</c:v>
                </c:pt>
                <c:pt idx="31">
                  <c:v>2638.8289072636</c:v>
                </c:pt>
                <c:pt idx="32">
                  <c:v>2800.10085052866</c:v>
                </c:pt>
                <c:pt idx="33">
                  <c:v>2962.0263717292</c:v>
                </c:pt>
                <c:pt idx="34">
                  <c:v>3132.79338720232</c:v>
                </c:pt>
                <c:pt idx="35">
                  <c:v>3304.46645441948</c:v>
                </c:pt>
                <c:pt idx="36">
                  <c:v>3501.92034597126</c:v>
                </c:pt>
                <c:pt idx="37">
                  <c:v>3708.29926656716</c:v>
                </c:pt>
                <c:pt idx="38">
                  <c:v>3915.70670440078</c:v>
                </c:pt>
                <c:pt idx="39">
                  <c:v>4124.39142917421</c:v>
                </c:pt>
                <c:pt idx="40">
                  <c:v>4342.61382428562</c:v>
                </c:pt>
                <c:pt idx="41">
                  <c:v>4562.51464507947</c:v>
                </c:pt>
                <c:pt idx="42">
                  <c:v>4784.38216141927</c:v>
                </c:pt>
                <c:pt idx="43">
                  <c:v>5023.71862384028</c:v>
                </c:pt>
                <c:pt idx="44">
                  <c:v>5263.10462030668</c:v>
                </c:pt>
                <c:pt idx="45">
                  <c:v>5508.2638759587</c:v>
                </c:pt>
                <c:pt idx="46">
                  <c:v>5751.20312856353</c:v>
                </c:pt>
                <c:pt idx="47">
                  <c:v>5992.06696901879</c:v>
                </c:pt>
                <c:pt idx="48">
                  <c:v>6263.80375779783</c:v>
                </c:pt>
                <c:pt idx="49">
                  <c:v>6533.22474194302</c:v>
                </c:pt>
                <c:pt idx="50">
                  <c:v>6808.49638334725</c:v>
                </c:pt>
                <c:pt idx="51">
                  <c:v>7081.65773935209</c:v>
                </c:pt>
                <c:pt idx="52">
                  <c:v>7360.08717828159</c:v>
                </c:pt>
                <c:pt idx="53">
                  <c:v>7644.64959218056</c:v>
                </c:pt>
                <c:pt idx="54">
                  <c:v>7927.40452171126</c:v>
                </c:pt>
                <c:pt idx="55">
                  <c:v>8216.55199320616</c:v>
                </c:pt>
                <c:pt idx="56">
                  <c:v>8511.36660279407</c:v>
                </c:pt>
                <c:pt idx="57">
                  <c:v>8812.74555095191</c:v>
                </c:pt>
                <c:pt idx="58">
                  <c:v>9111.06817977069</c:v>
                </c:pt>
                <c:pt idx="59">
                  <c:v>9412.61027096753</c:v>
                </c:pt>
              </c:numCache>
            </c:numRef>
          </c:val>
          <c:smooth val="0"/>
        </c:ser>
        <c:hiLowLines>
          <c:spPr>
            <a:ln w="0">
              <a:noFill/>
            </a:ln>
          </c:spPr>
        </c:hiLowLines>
        <c:marker val="0"/>
        <c:axId val="69766179"/>
        <c:axId val="50168752"/>
      </c:lineChart>
      <c:catAx>
        <c:axId val="697661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68752"/>
        <c:crosses val="autoZero"/>
        <c:auto val="1"/>
        <c:lblAlgn val="ctr"/>
        <c:lblOffset val="100"/>
        <c:noMultiLvlLbl val="0"/>
      </c:catAx>
      <c:valAx>
        <c:axId val="50168752"/>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7661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Closing cash by month (FCFA)</a:t>
            </a:r>
          </a:p>
        </c:rich>
      </c:tx>
      <c:overlay val="0"/>
      <c:spPr>
        <a:noFill/>
        <a:ln w="0">
          <a:noFill/>
        </a:ln>
      </c:spPr>
    </c:title>
    <c:autoTitleDeleted val="0"/>
    <c:plotArea>
      <c:lineChart>
        <c:grouping val="standard"/>
        <c:varyColors val="0"/>
        <c:ser>
          <c:idx val="0"/>
          <c:order val="0"/>
          <c:tx>
            <c:strRef>
              <c:f>"Closing cash"</c:f>
              <c:strCache>
                <c:ptCount val="1"/>
                <c:pt idx="0">
                  <c:v>Closing cash</c:v>
                </c:pt>
              </c:strCache>
            </c:strRef>
          </c:tx>
          <c:spPr>
            <a:solidFill>
              <a:srgbClr val="0d7377"/>
            </a:solidFill>
            <a:ln w="28440">
              <a:solidFill>
                <a:srgbClr val="0d7377"/>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'Cash flow'!$E$3:$BL$3</c:f>
              <c:multiLvlStrCache>
                <c:ptCount val="1"/>
                <c:lvl>
                  <c:pt idx="0">
                    <c:v>60</c:v>
                  </c:pt>
                </c:lvl>
                <c:lvl>
                  <c:pt idx="0">
                    <c:v>59</c:v>
                  </c:pt>
                </c:lvl>
                <c:lvl>
                  <c:pt idx="0">
                    <c:v>58</c:v>
                  </c:pt>
                </c:lvl>
                <c:lvl>
                  <c:pt idx="0">
                    <c:v>57</c:v>
                  </c:pt>
                </c:lvl>
                <c:lvl>
                  <c:pt idx="0">
                    <c:v>56</c:v>
                  </c:pt>
                </c:lvl>
                <c:lvl>
                  <c:pt idx="0">
                    <c:v>55</c:v>
                  </c:pt>
                </c:lvl>
                <c:lvl>
                  <c:pt idx="0">
                    <c:v>54</c:v>
                  </c:pt>
                </c:lvl>
                <c:lvl>
                  <c:pt idx="0">
                    <c:v>53</c:v>
                  </c:pt>
                </c:lvl>
                <c:lvl>
                  <c:pt idx="0">
                    <c:v>52</c:v>
                  </c:pt>
                </c:lvl>
                <c:lvl>
                  <c:pt idx="0">
                    <c:v>51</c:v>
                  </c:pt>
                </c:lvl>
                <c:lvl>
                  <c:pt idx="0">
                    <c:v>50</c:v>
                  </c:pt>
                </c:lvl>
                <c:lvl>
                  <c:pt idx="0">
                    <c:v>49</c:v>
                  </c:pt>
                </c:lvl>
                <c:lvl>
                  <c:pt idx="0">
                    <c:v>48</c:v>
                  </c:pt>
                </c:lvl>
                <c:lvl>
                  <c:pt idx="0">
                    <c:v>47</c:v>
                  </c:pt>
                </c:lvl>
                <c:lvl>
                  <c:pt idx="0">
                    <c:v>46</c:v>
                  </c:pt>
                </c:lvl>
                <c:lvl>
                  <c:pt idx="0">
                    <c:v>45</c:v>
                  </c:pt>
                </c:lvl>
                <c:lvl>
                  <c:pt idx="0">
                    <c:v>44</c:v>
                  </c:pt>
                </c:lvl>
                <c:lvl>
                  <c:pt idx="0">
                    <c:v>43</c:v>
                  </c:pt>
                </c:lvl>
                <c:lvl>
                  <c:pt idx="0">
                    <c:v>42</c:v>
                  </c:pt>
                </c:lvl>
                <c:lvl>
                  <c:pt idx="0">
                    <c:v>41</c:v>
                  </c:pt>
                </c:lvl>
                <c:lvl>
                  <c:pt idx="0">
                    <c:v>40</c:v>
                  </c:pt>
                </c:lvl>
                <c:lvl>
                  <c:pt idx="0">
                    <c:v>39</c:v>
                  </c:pt>
                </c:lvl>
                <c:lvl>
                  <c:pt idx="0">
                    <c:v>38</c:v>
                  </c:pt>
                </c:lvl>
                <c:lvl>
                  <c:pt idx="0">
                    <c:v>37</c:v>
                  </c:pt>
                </c:lvl>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'Cash flow'!$E$24:$BL$24</c:f>
              <c:numCache>
                <c:formatCode>#,##0;\(#,##0\);\-</c:formatCode>
                <c:ptCount val="60"/>
                <c:pt idx="0">
                  <c:v>867809060.73</c:v>
                </c:pt>
                <c:pt idx="1">
                  <c:v>827212891.83</c:v>
                </c:pt>
                <c:pt idx="2">
                  <c:v>771916722.93</c:v>
                </c:pt>
                <c:pt idx="3">
                  <c:v>704810724.63</c:v>
                </c:pt>
                <c:pt idx="4">
                  <c:v>669219220.908333</c:v>
                </c:pt>
                <c:pt idx="5">
                  <c:v>636119270.784</c:v>
                </c:pt>
                <c:pt idx="6">
                  <c:v>605161579.740345</c:v>
                </c:pt>
                <c:pt idx="7">
                  <c:v>576342573.491029</c:v>
                </c:pt>
                <c:pt idx="8">
                  <c:v>549660077.966039</c:v>
                </c:pt>
                <c:pt idx="9">
                  <c:v>525113380.535749</c:v>
                </c:pt>
                <c:pt idx="10">
                  <c:v>502933088.068529</c:v>
                </c:pt>
                <c:pt idx="11">
                  <c:v>483187671.820075</c:v>
                </c:pt>
                <c:pt idx="12">
                  <c:v>451354150.110374</c:v>
                </c:pt>
                <c:pt idx="13">
                  <c:v>423989294.34778</c:v>
                </c:pt>
                <c:pt idx="14">
                  <c:v>1595076249.39139</c:v>
                </c:pt>
                <c:pt idx="15">
                  <c:v>1548277840.07723</c:v>
                </c:pt>
                <c:pt idx="16">
                  <c:v>1531331377.90244</c:v>
                </c:pt>
                <c:pt idx="17">
                  <c:v>1507734348.5037</c:v>
                </c:pt>
                <c:pt idx="18">
                  <c:v>1487280990.02908</c:v>
                </c:pt>
                <c:pt idx="19">
                  <c:v>1471481191.12743</c:v>
                </c:pt>
                <c:pt idx="20">
                  <c:v>1460235885.67271</c:v>
                </c:pt>
                <c:pt idx="21">
                  <c:v>1455930699.53148</c:v>
                </c:pt>
                <c:pt idx="22">
                  <c:v>1457377164.89261</c:v>
                </c:pt>
                <c:pt idx="23">
                  <c:v>2008311038.51528</c:v>
                </c:pt>
                <c:pt idx="24">
                  <c:v>1981568082.0034</c:v>
                </c:pt>
                <c:pt idx="25">
                  <c:v>1981043097.01693</c:v>
                </c:pt>
                <c:pt idx="26">
                  <c:v>1983873207.68465</c:v>
                </c:pt>
                <c:pt idx="27">
                  <c:v>1983248094.03301</c:v>
                </c:pt>
                <c:pt idx="28">
                  <c:v>1983423497.68056</c:v>
                </c:pt>
                <c:pt idx="29">
                  <c:v>2012035548.28424</c:v>
                </c:pt>
                <c:pt idx="30">
                  <c:v>2047827296.08803</c:v>
                </c:pt>
                <c:pt idx="31">
                  <c:v>2092888771.286</c:v>
                </c:pt>
                <c:pt idx="32">
                  <c:v>2149733864.67692</c:v>
                </c:pt>
                <c:pt idx="33">
                  <c:v>2213005162.52342</c:v>
                </c:pt>
                <c:pt idx="34">
                  <c:v>2285255157.10059</c:v>
                </c:pt>
                <c:pt idx="35">
                  <c:v>2335167802.05188</c:v>
                </c:pt>
                <c:pt idx="36">
                  <c:v>2383732983.69328</c:v>
                </c:pt>
                <c:pt idx="37">
                  <c:v>2439671833.58225</c:v>
                </c:pt>
                <c:pt idx="38">
                  <c:v>2510324855.02051</c:v>
                </c:pt>
                <c:pt idx="39">
                  <c:v>2582064370.45622</c:v>
                </c:pt>
                <c:pt idx="40">
                  <c:v>2667815750.82446</c:v>
                </c:pt>
                <c:pt idx="41">
                  <c:v>2763359984.08984</c:v>
                </c:pt>
                <c:pt idx="42">
                  <c:v>2866015529.64492</c:v>
                </c:pt>
                <c:pt idx="43">
                  <c:v>2977574871.87383</c:v>
                </c:pt>
                <c:pt idx="44">
                  <c:v>3096600033.66831</c:v>
                </c:pt>
                <c:pt idx="45">
                  <c:v>3226018189.24473</c:v>
                </c:pt>
                <c:pt idx="46">
                  <c:v>3366081034.5208</c:v>
                </c:pt>
                <c:pt idx="47">
                  <c:v>3515577540.44839</c:v>
                </c:pt>
                <c:pt idx="48">
                  <c:v>3663795420.29844</c:v>
                </c:pt>
                <c:pt idx="49">
                  <c:v>3822662256.53541</c:v>
                </c:pt>
                <c:pt idx="50">
                  <c:v>3993284648.82491</c:v>
                </c:pt>
                <c:pt idx="51">
                  <c:v>4170679587.03952</c:v>
                </c:pt>
                <c:pt idx="52">
                  <c:v>4363850098.43507</c:v>
                </c:pt>
                <c:pt idx="53">
                  <c:v>4566868054.24797</c:v>
                </c:pt>
                <c:pt idx="54">
                  <c:v>4782055422.37282</c:v>
                </c:pt>
                <c:pt idx="55">
                  <c:v>5005267778.55467</c:v>
                </c:pt>
                <c:pt idx="56">
                  <c:v>5241266016.08319</c:v>
                </c:pt>
                <c:pt idx="57">
                  <c:v>5488123708.09957</c:v>
                </c:pt>
                <c:pt idx="58">
                  <c:v>5748081396.86121</c:v>
                </c:pt>
                <c:pt idx="59">
                  <c:v>6019907771.51999</c:v>
                </c:pt>
              </c:numCache>
            </c:numRef>
          </c:val>
          <c:smooth val="0"/>
        </c:ser>
        <c:hiLowLines>
          <c:spPr>
            <a:ln w="0">
              <a:noFill/>
            </a:ln>
          </c:spPr>
        </c:hiLowLines>
        <c:marker val="0"/>
        <c:axId val="82601111"/>
        <c:axId val="29846934"/>
      </c:lineChart>
      <c:catAx>
        <c:axId val="8260111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846934"/>
        <c:crosses val="autoZero"/>
        <c:auto val="1"/>
        <c:lblAlgn val="ctr"/>
        <c:lblOffset val="100"/>
        <c:noMultiLvlLbl val="0"/>
      </c:catAx>
      <c:valAx>
        <c:axId val="2984693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6011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2</xdr:row>
      <xdr:rowOff>160920</xdr:rowOff>
    </xdr:from>
    <xdr:to>
      <xdr:col>25</xdr:col>
      <xdr:colOff>4320</xdr:colOff>
      <xdr:row>17</xdr:row>
      <xdr:rowOff>182520</xdr:rowOff>
    </xdr:to>
    <xdr:graphicFrame>
      <xdr:nvGraphicFramePr>
        <xdr:cNvPr id="0" name="Chart 1"/>
        <xdr:cNvGraphicFramePr/>
      </xdr:nvGraphicFramePr>
      <xdr:xfrm>
        <a:off x="17880480" y="570600"/>
        <a:ext cx="611928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19</xdr:row>
      <xdr:rowOff>160560</xdr:rowOff>
    </xdr:from>
    <xdr:to>
      <xdr:col>25</xdr:col>
      <xdr:colOff>4320</xdr:colOff>
      <xdr:row>34</xdr:row>
      <xdr:rowOff>182160</xdr:rowOff>
    </xdr:to>
    <xdr:graphicFrame>
      <xdr:nvGraphicFramePr>
        <xdr:cNvPr id="1" name="Chart 2"/>
        <xdr:cNvGraphicFramePr/>
      </xdr:nvGraphicFramePr>
      <xdr:xfrm>
        <a:off x="17880480" y="3808800"/>
        <a:ext cx="611928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36</xdr:row>
      <xdr:rowOff>160560</xdr:rowOff>
    </xdr:from>
    <xdr:to>
      <xdr:col>25</xdr:col>
      <xdr:colOff>4320</xdr:colOff>
      <xdr:row>51</xdr:row>
      <xdr:rowOff>182520</xdr:rowOff>
    </xdr:to>
    <xdr:graphicFrame>
      <xdr:nvGraphicFramePr>
        <xdr:cNvPr id="2" name="Chart 3"/>
        <xdr:cNvGraphicFramePr/>
      </xdr:nvGraphicFramePr>
      <xdr:xfrm>
        <a:off x="17880480" y="7047000"/>
        <a:ext cx="611928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B2:C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10"/>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c r="C5" s="5"/>
    </row>
    <row r="6" customFormat="false" ht="15" hidden="false" customHeight="true" outlineLevel="0" collapsed="false">
      <c r="B6" s="6" t="s">
        <v>3</v>
      </c>
      <c r="C6" s="5" t="s">
        <v>4</v>
      </c>
    </row>
    <row r="7" customFormat="false" ht="15" hidden="false" customHeight="true" outlineLevel="0" collapsed="false">
      <c r="B7" s="6" t="s">
        <v>5</v>
      </c>
      <c r="C7" s="5" t="s">
        <v>6</v>
      </c>
    </row>
    <row r="8" customFormat="false" ht="23.25" hidden="false" customHeight="true" outlineLevel="0" collapsed="false">
      <c r="B8" s="6" t="s">
        <v>7</v>
      </c>
      <c r="C8" s="5" t="s">
        <v>8</v>
      </c>
    </row>
    <row r="9" customFormat="false" ht="15" hidden="false" customHeight="true" outlineLevel="0" collapsed="false">
      <c r="B9" s="6" t="s">
        <v>9</v>
      </c>
      <c r="C9" s="5" t="s">
        <v>10</v>
      </c>
    </row>
    <row r="10" customFormat="false" ht="15" hidden="false" customHeight="true" outlineLevel="0" collapsed="false">
      <c r="B10" s="7"/>
      <c r="C10" s="5"/>
    </row>
    <row r="11" customFormat="false" ht="15" hidden="false" customHeight="true" outlineLevel="0" collapsed="false">
      <c r="B11" s="4" t="s">
        <v>11</v>
      </c>
      <c r="C11" s="5"/>
    </row>
    <row r="12" customFormat="false" ht="15" hidden="false" customHeight="true" outlineLevel="0" collapsed="false">
      <c r="B12" s="6" t="s">
        <v>12</v>
      </c>
      <c r="C12" s="5" t="s">
        <v>13</v>
      </c>
    </row>
    <row r="13" customFormat="false" ht="23.25" hidden="false" customHeight="true" outlineLevel="0" collapsed="false">
      <c r="B13" s="6" t="s">
        <v>14</v>
      </c>
      <c r="C13" s="5" t="s">
        <v>15</v>
      </c>
    </row>
    <row r="14" customFormat="false" ht="23.25" hidden="false" customHeight="true" outlineLevel="0" collapsed="false">
      <c r="B14" s="6" t="s">
        <v>16</v>
      </c>
      <c r="C14" s="5" t="s">
        <v>17</v>
      </c>
    </row>
    <row r="15" customFormat="false" ht="15" hidden="false" customHeight="true" outlineLevel="0" collapsed="false">
      <c r="B15" s="6" t="s">
        <v>18</v>
      </c>
      <c r="C15" s="5" t="s">
        <v>19</v>
      </c>
    </row>
    <row r="16" customFormat="false" ht="15" hidden="false" customHeight="true" outlineLevel="0" collapsed="false">
      <c r="B16" s="6" t="s">
        <v>20</v>
      </c>
      <c r="C16" s="5" t="s">
        <v>21</v>
      </c>
    </row>
    <row r="17" customFormat="false" ht="15" hidden="false" customHeight="true" outlineLevel="0" collapsed="false">
      <c r="B17" s="6" t="s">
        <v>22</v>
      </c>
      <c r="C17" s="5" t="s">
        <v>23</v>
      </c>
    </row>
    <row r="18" customFormat="false" ht="15" hidden="false" customHeight="true" outlineLevel="0" collapsed="false">
      <c r="B18" s="6" t="s">
        <v>24</v>
      </c>
      <c r="C18" s="5" t="s">
        <v>25</v>
      </c>
    </row>
    <row r="19" customFormat="false" ht="15" hidden="false" customHeight="true" outlineLevel="0" collapsed="false">
      <c r="B19" s="6" t="s">
        <v>26</v>
      </c>
      <c r="C19" s="5" t="s">
        <v>27</v>
      </c>
    </row>
    <row r="20" customFormat="false" ht="15" hidden="false" customHeight="true" outlineLevel="0" collapsed="false">
      <c r="B20" s="6" t="s">
        <v>28</v>
      </c>
      <c r="C20" s="5" t="s">
        <v>29</v>
      </c>
    </row>
    <row r="21" customFormat="false" ht="15" hidden="false" customHeight="true" outlineLevel="0" collapsed="false">
      <c r="B21" s="6" t="s">
        <v>30</v>
      </c>
      <c r="C21" s="5" t="s">
        <v>31</v>
      </c>
    </row>
    <row r="22" customFormat="false" ht="15" hidden="false" customHeight="true" outlineLevel="0" collapsed="false">
      <c r="B22" s="6" t="s">
        <v>32</v>
      </c>
      <c r="C22" s="5" t="s">
        <v>33</v>
      </c>
    </row>
    <row r="23" customFormat="false" ht="15" hidden="false" customHeight="true" outlineLevel="0" collapsed="false">
      <c r="B23" s="6" t="s">
        <v>34</v>
      </c>
      <c r="C23" s="5" t="s">
        <v>35</v>
      </c>
    </row>
    <row r="24" customFormat="false" ht="15" hidden="false" customHeight="true" outlineLevel="0" collapsed="false">
      <c r="B24" s="6" t="s">
        <v>36</v>
      </c>
      <c r="C24" s="5" t="s">
        <v>37</v>
      </c>
    </row>
    <row r="25" customFormat="false" ht="23.25" hidden="false" customHeight="true" outlineLevel="0" collapsed="false">
      <c r="B25" s="6" t="s">
        <v>38</v>
      </c>
      <c r="C25" s="5" t="s">
        <v>39</v>
      </c>
    </row>
    <row r="26" customFormat="false" ht="15" hidden="false" customHeight="true" outlineLevel="0" collapsed="false">
      <c r="B26" s="6" t="s">
        <v>40</v>
      </c>
      <c r="C26" s="5" t="s">
        <v>41</v>
      </c>
    </row>
    <row r="27" customFormat="false" ht="15" hidden="false" customHeight="true" outlineLevel="0" collapsed="false">
      <c r="B27" s="6" t="s">
        <v>42</v>
      </c>
      <c r="C27" s="5" t="s">
        <v>43</v>
      </c>
    </row>
    <row r="28" customFormat="false" ht="23.25" hidden="false" customHeight="true" outlineLevel="0" collapsed="false">
      <c r="B28" s="6" t="s">
        <v>44</v>
      </c>
      <c r="C28" s="5" t="s">
        <v>45</v>
      </c>
    </row>
    <row r="29" customFormat="false" ht="15" hidden="false" customHeight="true" outlineLevel="0" collapsed="false">
      <c r="B29" s="6" t="s">
        <v>46</v>
      </c>
      <c r="C29" s="5" t="s">
        <v>47</v>
      </c>
    </row>
    <row r="30" customFormat="false" ht="15" hidden="false" customHeight="true" outlineLevel="0" collapsed="false">
      <c r="B30" s="7"/>
      <c r="C30" s="5"/>
    </row>
    <row r="31" customFormat="false" ht="15" hidden="false" customHeight="true" outlineLevel="0" collapsed="false">
      <c r="B31" s="4" t="s">
        <v>48</v>
      </c>
      <c r="C31" s="5"/>
    </row>
    <row r="32" customFormat="false" ht="15" hidden="false" customHeight="true" outlineLevel="0" collapsed="false">
      <c r="B32" s="6" t="s">
        <v>49</v>
      </c>
      <c r="C32" s="5" t="s">
        <v>50</v>
      </c>
    </row>
    <row r="33" customFormat="false" ht="15" hidden="false" customHeight="true" outlineLevel="0" collapsed="false">
      <c r="B33" s="6" t="s">
        <v>51</v>
      </c>
      <c r="C33" s="5" t="s">
        <v>52</v>
      </c>
    </row>
    <row r="34" customFormat="false" ht="15" hidden="false" customHeight="true" outlineLevel="0" collapsed="false">
      <c r="B34" s="6" t="s">
        <v>53</v>
      </c>
      <c r="C34" s="5" t="s">
        <v>54</v>
      </c>
    </row>
    <row r="35" customFormat="false" ht="15" hidden="false" customHeight="true" outlineLevel="0" collapsed="false">
      <c r="B35" s="7"/>
      <c r="C35" s="5"/>
    </row>
    <row r="36" customFormat="false" ht="15" hidden="false" customHeight="true" outlineLevel="0" collapsed="false">
      <c r="B36" s="4" t="s">
        <v>55</v>
      </c>
      <c r="C36" s="5"/>
    </row>
    <row r="37" customFormat="false" ht="34.5" hidden="false" customHeight="true" outlineLevel="0" collapsed="false">
      <c r="B37" s="6" t="s">
        <v>56</v>
      </c>
      <c r="C37" s="5" t="s">
        <v>57</v>
      </c>
    </row>
    <row r="38" customFormat="false" ht="23.25" hidden="false" customHeight="true" outlineLevel="0" collapsed="false">
      <c r="B38" s="6" t="s">
        <v>58</v>
      </c>
      <c r="C38" s="5" t="s">
        <v>59</v>
      </c>
    </row>
    <row r="39" customFormat="false" ht="23.25" hidden="false" customHeight="true" outlineLevel="0" collapsed="false">
      <c r="B39" s="6" t="s">
        <v>60</v>
      </c>
      <c r="C39" s="5" t="s">
        <v>61</v>
      </c>
    </row>
    <row r="40" customFormat="false" ht="15" hidden="false" customHeight="true" outlineLevel="0" collapsed="false">
      <c r="B40" s="6" t="s">
        <v>62</v>
      </c>
      <c r="C40" s="5" t="s">
        <v>63</v>
      </c>
    </row>
    <row r="41" customFormat="false" ht="34.5" hidden="false" customHeight="true" outlineLevel="0" collapsed="false">
      <c r="B41" s="6" t="s">
        <v>28</v>
      </c>
      <c r="C41" s="5" t="s">
        <v>64</v>
      </c>
    </row>
    <row r="42" customFormat="false" ht="15" hidden="false" customHeight="true" outlineLevel="0" collapsed="false">
      <c r="B42" s="6" t="s">
        <v>65</v>
      </c>
      <c r="C42" s="5" t="s">
        <v>66</v>
      </c>
    </row>
    <row r="43" customFormat="false" ht="23.25" hidden="false" customHeight="true" outlineLevel="0" collapsed="false">
      <c r="B43" s="6" t="s">
        <v>67</v>
      </c>
      <c r="C43" s="5"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3"/>
    <col collapsed="false" customWidth="true" hidden="false" outlineLevel="0" max="14" min="4" style="1" width="16"/>
  </cols>
  <sheetData>
    <row r="1" customFormat="false" ht="17.25" hidden="false" customHeight="true" outlineLevel="0" collapsed="false">
      <c r="A1" s="8" t="s">
        <v>69</v>
      </c>
    </row>
    <row r="2" customFormat="false" ht="15" hidden="false" customHeight="true" outlineLevel="0" collapsed="false">
      <c r="A2" s="3" t="s">
        <v>70</v>
      </c>
    </row>
    <row r="4" customFormat="false" ht="15" hidden="false" customHeight="true" outlineLevel="0" collapsed="false">
      <c r="A4" s="9" t="s">
        <v>71</v>
      </c>
      <c r="B4" s="10" t="str">
        <f aca="false">Assumptions!E4</f>
        <v>Base</v>
      </c>
    </row>
    <row r="6" customFormat="false" ht="15" hidden="false" customHeight="true" outlineLevel="0" collapsed="false">
      <c r="A6" s="11" t="s">
        <v>72</v>
      </c>
      <c r="B6" s="12"/>
      <c r="C6" s="12"/>
      <c r="D6" s="12"/>
      <c r="E6" s="12"/>
      <c r="F6" s="12"/>
      <c r="G6" s="12"/>
      <c r="H6" s="12"/>
      <c r="I6" s="12"/>
    </row>
    <row r="7" customFormat="false" ht="15" hidden="false" customHeight="true" outlineLevel="0" collapsed="false">
      <c r="A7" s="13" t="s">
        <v>73</v>
      </c>
      <c r="B7" s="14" t="n">
        <f aca="false">IF(MIN('P&amp;L monthly'!E52:BL52)=999,"not reached",MIN('P&amp;L monthly'!E52:BL52))</f>
        <v>22</v>
      </c>
      <c r="C7" s="15" t="s">
        <v>74</v>
      </c>
    </row>
    <row r="8" customFormat="false" ht="15" hidden="false" customHeight="true" outlineLevel="0" collapsed="false">
      <c r="A8" s="13" t="s">
        <v>75</v>
      </c>
      <c r="B8" s="16" t="n">
        <f aca="false">IF(ISNUMBER(B7),DATE(YEAR(Start_Date),MONTH(Start_Date)+B7-1,1),"-")</f>
        <v>47027</v>
      </c>
      <c r="C8" s="15"/>
    </row>
    <row r="9" customFormat="false" ht="15" hidden="false" customHeight="true" outlineLevel="0" collapsed="false">
      <c r="A9" s="13" t="s">
        <v>76</v>
      </c>
      <c r="B9" s="17" t="n">
        <f aca="false">-MIN(0,MIN('Cash flow'!E16:BL16))</f>
        <v>1318956902.98307</v>
      </c>
      <c r="C9" s="15" t="s">
        <v>77</v>
      </c>
    </row>
    <row r="10" customFormat="false" ht="15" hidden="false" customHeight="true" outlineLevel="0" collapsed="false">
      <c r="A10" s="13" t="s">
        <v>78</v>
      </c>
      <c r="B10" s="18" t="n">
        <f aca="false">B9/FX_EUR</f>
        <v>2010736.83638267</v>
      </c>
      <c r="C10" s="15" t="s">
        <v>79</v>
      </c>
    </row>
    <row r="11" customFormat="false" ht="15" hidden="false" customHeight="true" outlineLevel="0" collapsed="false">
      <c r="A11" s="13" t="s">
        <v>80</v>
      </c>
      <c r="B11" s="17" t="n">
        <f aca="false">SUM('Cash flow'!E19:BL19)</f>
        <v>3300000000</v>
      </c>
      <c r="C11" s="15" t="s">
        <v>77</v>
      </c>
    </row>
    <row r="12" customFormat="false" ht="15" hidden="false" customHeight="true" outlineLevel="0" collapsed="false">
      <c r="A12" s="13" t="s">
        <v>78</v>
      </c>
      <c r="B12" s="18" t="n">
        <f aca="false">B11/FX_EUR</f>
        <v>5030817.56883454</v>
      </c>
      <c r="C12" s="15" t="s">
        <v>79</v>
      </c>
    </row>
    <row r="13" customFormat="false" ht="15" hidden="false" customHeight="true" outlineLevel="0" collapsed="false">
      <c r="A13" s="13" t="s">
        <v>81</v>
      </c>
      <c r="B13" s="17" t="n">
        <f aca="false">MIN('Cash flow'!E24:BL24)</f>
        <v>423989294.34778</v>
      </c>
      <c r="C13" s="15" t="s">
        <v>77</v>
      </c>
      <c r="D13" s="18" t="n">
        <f aca="false">B13/FX_EUR</f>
        <v>646367.512425022</v>
      </c>
      <c r="E13" s="19" t="str">
        <f aca="false">IF(B13&lt;0,"Cash goes negative: raise more or earlier (Assumptions, section 11)","OK: cash stays positive")</f>
        <v>OK: cash stays positive</v>
      </c>
    </row>
    <row r="14" customFormat="false" ht="15" hidden="false" customHeight="true" outlineLevel="0" collapsed="false">
      <c r="A14" s="13" t="s">
        <v>82</v>
      </c>
      <c r="B14" s="14" t="n">
        <f aca="false">MATCH(B13,'Cash flow'!E24:BL24,0)</f>
        <v>14</v>
      </c>
      <c r="C14" s="15" t="s">
        <v>74</v>
      </c>
    </row>
    <row r="15" customFormat="false" ht="15" hidden="false" customHeight="true" outlineLevel="0" collapsed="false">
      <c r="A15" s="13" t="s">
        <v>83</v>
      </c>
      <c r="B15" s="17" t="n">
        <f aca="false">'Cash flow'!BL24</f>
        <v>6019907771.51999</v>
      </c>
      <c r="C15" s="15" t="s">
        <v>77</v>
      </c>
      <c r="D15" s="18" t="n">
        <f aca="false">B15/FX_EUR</f>
        <v>9177290.23628072</v>
      </c>
    </row>
    <row r="16" customFormat="false" ht="15" hidden="false" customHeight="true" outlineLevel="0" collapsed="false">
      <c r="A16" s="13" t="s">
        <v>84</v>
      </c>
      <c r="B16" s="9" t="str">
        <f aca="false">IF(Maak_Option=1,"Lease (option 1)","Equity stake (option 2)")</f>
        <v>Lease (option 1)</v>
      </c>
    </row>
    <row r="17" customFormat="false" ht="15" hidden="false" customHeight="true" outlineLevel="0" collapsed="false">
      <c r="A17" s="13" t="s">
        <v>85</v>
      </c>
      <c r="B17" s="20" t="n">
        <f aca="false">IF(Maak_Option=2,Maak_Equity_Pct,0)</f>
        <v>0</v>
      </c>
    </row>
    <row r="18" customFormat="false" ht="15" hidden="false" customHeight="true" outlineLevel="0" collapsed="false">
      <c r="A18" s="11" t="s">
        <v>86</v>
      </c>
      <c r="B18" s="12"/>
      <c r="C18" s="12"/>
      <c r="D18" s="12"/>
      <c r="E18" s="12"/>
      <c r="F18" s="12"/>
      <c r="G18" s="12"/>
      <c r="H18" s="12"/>
      <c r="I18" s="12"/>
    </row>
    <row r="19" customFormat="false" ht="15" hidden="false" customHeight="true" outlineLevel="0" collapsed="false">
      <c r="A19" s="1" t="s">
        <v>87</v>
      </c>
      <c r="D19" s="21" t="n">
        <f aca="false">'P&amp;L annual'!D5</f>
        <v>2027</v>
      </c>
      <c r="E19" s="21" t="n">
        <f aca="false">'P&amp;L annual'!E5</f>
        <v>2028</v>
      </c>
      <c r="F19" s="21" t="n">
        <f aca="false">'P&amp;L annual'!F5</f>
        <v>2029</v>
      </c>
      <c r="G19" s="21" t="n">
        <f aca="false">'P&amp;L annual'!G5</f>
        <v>2030</v>
      </c>
      <c r="H19" s="21" t="n">
        <f aca="false">'P&amp;L annual'!H5</f>
        <v>2031</v>
      </c>
      <c r="J19" s="22" t="str">
        <f aca="false">"Y"&amp;1&amp;" (€)"</f>
        <v>Y1 (€)</v>
      </c>
      <c r="K19" s="22" t="str">
        <f aca="false">"Y"&amp;2&amp;" (€)"</f>
        <v>Y2 (€)</v>
      </c>
      <c r="L19" s="22" t="str">
        <f aca="false">"Y"&amp;3&amp;" (€)"</f>
        <v>Y3 (€)</v>
      </c>
      <c r="M19" s="22" t="str">
        <f aca="false">"Y"&amp;4&amp;" (€)"</f>
        <v>Y4 (€)</v>
      </c>
      <c r="N19" s="22" t="str">
        <f aca="false">"Y"&amp;5&amp;" (€)"</f>
        <v>Y5 (€)</v>
      </c>
    </row>
    <row r="20" customFormat="false" ht="15" hidden="false" customHeight="true" outlineLevel="0" collapsed="false">
      <c r="A20" s="9" t="s">
        <v>88</v>
      </c>
      <c r="B20" s="15" t="s">
        <v>89</v>
      </c>
      <c r="D20" s="23" t="n">
        <f aca="false">'P&amp;L annual'!D56</f>
        <v>388.382964930819</v>
      </c>
      <c r="E20" s="23" t="n">
        <f aca="false">'P&amp;L annual'!E56</f>
        <v>1419.39940374893</v>
      </c>
      <c r="F20" s="23" t="n">
        <f aca="false">'P&amp;L annual'!F56</f>
        <v>3304.46645441948</v>
      </c>
      <c r="G20" s="23" t="n">
        <f aca="false">'P&amp;L annual'!G56</f>
        <v>5992.06696901879</v>
      </c>
      <c r="H20" s="23" t="n">
        <f aca="false">'P&amp;L annual'!H56</f>
        <v>9412.61027096753</v>
      </c>
    </row>
    <row r="21" customFormat="false" ht="15" hidden="false" customHeight="true" outlineLevel="0" collapsed="false">
      <c r="A21" s="13" t="s">
        <v>90</v>
      </c>
      <c r="B21" s="15" t="s">
        <v>89</v>
      </c>
      <c r="D21" s="24" t="n">
        <f aca="false">'P&amp;L annual'!D59</f>
        <v>410.913076604112</v>
      </c>
      <c r="E21" s="24" t="n">
        <f aca="false">'P&amp;L annual'!E59</f>
        <v>1187.3568975832</v>
      </c>
      <c r="F21" s="24" t="n">
        <f aca="false">'P&amp;L annual'!F59</f>
        <v>2326.81549868868</v>
      </c>
      <c r="G21" s="24" t="n">
        <f aca="false">'P&amp;L annual'!G59</f>
        <v>3562.29270269879</v>
      </c>
      <c r="H21" s="24" t="n">
        <f aca="false">'P&amp;L annual'!H59</f>
        <v>4883.02267642127</v>
      </c>
    </row>
    <row r="22" customFormat="false" ht="15" hidden="false" customHeight="true" outlineLevel="0" collapsed="false">
      <c r="A22" s="13" t="s">
        <v>91</v>
      </c>
      <c r="B22" s="15" t="s">
        <v>92</v>
      </c>
      <c r="D22" s="24" t="n">
        <f aca="false">'P&amp;L annual'!D60</f>
        <v>11</v>
      </c>
      <c r="E22" s="24" t="n">
        <f aca="false">'P&amp;L annual'!E60</f>
        <v>19</v>
      </c>
      <c r="F22" s="24" t="n">
        <f aca="false">'P&amp;L annual'!F60</f>
        <v>33</v>
      </c>
      <c r="G22" s="24" t="n">
        <f aca="false">'P&amp;L annual'!G60</f>
        <v>51</v>
      </c>
      <c r="H22" s="24" t="n">
        <f aca="false">'P&amp;L annual'!H60</f>
        <v>75</v>
      </c>
    </row>
    <row r="23" customFormat="false" ht="15" hidden="false" customHeight="true" outlineLevel="0" collapsed="false">
      <c r="A23" s="9" t="s">
        <v>93</v>
      </c>
      <c r="B23" s="15" t="s">
        <v>77</v>
      </c>
      <c r="D23" s="23" t="n">
        <f aca="false">'P&amp;L annual'!D23</f>
        <v>155581785.700467</v>
      </c>
      <c r="E23" s="23" t="n">
        <f aca="false">'P&amp;L annual'!E23</f>
        <v>1137438108.37707</v>
      </c>
      <c r="F23" s="23" t="n">
        <f aca="false">'P&amp;L annual'!F23</f>
        <v>3577597713.32831</v>
      </c>
      <c r="G23" s="23" t="n">
        <f aca="false">'P&amp;L annual'!G23</f>
        <v>7169409664.59723</v>
      </c>
      <c r="H23" s="23" t="n">
        <f aca="false">'P&amp;L annual'!H23</f>
        <v>12058506861.9909</v>
      </c>
      <c r="J23" s="18" t="n">
        <f aca="false">D23/FX_EUR</f>
        <v>237182.903300776</v>
      </c>
      <c r="K23" s="18" t="n">
        <f aca="false">E23/FX_EUR</f>
        <v>1734013.21790464</v>
      </c>
      <c r="L23" s="18" t="n">
        <f aca="false">F23/FX_EUR</f>
        <v>5454012.55467707</v>
      </c>
      <c r="M23" s="18" t="n">
        <f aca="false">G23/FX_EUR</f>
        <v>10929694.5754024</v>
      </c>
      <c r="N23" s="18" t="n">
        <f aca="false">H23/FX_EUR</f>
        <v>18383075.2046108</v>
      </c>
    </row>
    <row r="24" customFormat="false" ht="15" hidden="false" customHeight="true" outlineLevel="0" collapsed="false">
      <c r="A24" s="13" t="s">
        <v>94</v>
      </c>
      <c r="B24" s="15" t="s">
        <v>77</v>
      </c>
      <c r="D24" s="24" t="n">
        <f aca="false">'P&amp;L annual'!D32</f>
        <v>64078008.1092844</v>
      </c>
      <c r="E24" s="24" t="n">
        <f aca="false">'P&amp;L annual'!E32</f>
        <v>521912963.420655</v>
      </c>
      <c r="F24" s="24" t="n">
        <f aca="false">'P&amp;L annual'!F32</f>
        <v>1674382736.62007</v>
      </c>
      <c r="G24" s="24" t="n">
        <f aca="false">'P&amp;L annual'!G32</f>
        <v>3404970911.19411</v>
      </c>
      <c r="H24" s="24" t="n">
        <f aca="false">'P&amp;L annual'!H32</f>
        <v>5746761971.35179</v>
      </c>
      <c r="J24" s="25" t="n">
        <f aca="false">D24/FX_EUR</f>
        <v>97686.2936279121</v>
      </c>
      <c r="K24" s="25" t="n">
        <f aca="false">E24/FX_EUR</f>
        <v>795651.183569433</v>
      </c>
      <c r="L24" s="25" t="n">
        <f aca="false">F24/FX_EUR</f>
        <v>2552580.02677016</v>
      </c>
      <c r="M24" s="25" t="n">
        <f aca="false">G24/FX_EUR</f>
        <v>5190844.69133513</v>
      </c>
      <c r="N24" s="25" t="n">
        <f aca="false">H24/FX_EUR</f>
        <v>8760882.14829903</v>
      </c>
    </row>
    <row r="25" customFormat="false" ht="15" hidden="false" customHeight="true" outlineLevel="0" collapsed="false">
      <c r="A25" s="13" t="s">
        <v>95</v>
      </c>
      <c r="B25" s="15" t="s">
        <v>96</v>
      </c>
      <c r="D25" s="26" t="n">
        <f aca="false">'P&amp;L annual'!D33</f>
        <v>0.411860603224147</v>
      </c>
      <c r="E25" s="26" t="n">
        <f aca="false">'P&amp;L annual'!E33</f>
        <v>0.458849549330937</v>
      </c>
      <c r="F25" s="26" t="n">
        <f aca="false">'P&amp;L annual'!F33</f>
        <v>0.468018729546415</v>
      </c>
      <c r="G25" s="26" t="n">
        <f aca="false">'P&amp;L annual'!G33</f>
        <v>0.474930443437759</v>
      </c>
      <c r="H25" s="26" t="n">
        <f aca="false">'P&amp;L annual'!H33</f>
        <v>0.476573263765012</v>
      </c>
    </row>
    <row r="26" customFormat="false" ht="15" hidden="false" customHeight="true" outlineLevel="0" collapsed="false">
      <c r="A26" s="13" t="s">
        <v>97</v>
      </c>
      <c r="B26" s="15" t="s">
        <v>77</v>
      </c>
      <c r="D26" s="24" t="n">
        <f aca="false">'P&amp;L annual'!D44</f>
        <v>450890336.28921</v>
      </c>
      <c r="E26" s="24" t="n">
        <f aca="false">'P&amp;L annual'!E44</f>
        <v>700540832.819967</v>
      </c>
      <c r="F26" s="24" t="n">
        <f aca="false">'P&amp;L annual'!F44</f>
        <v>1004521621.526</v>
      </c>
      <c r="G26" s="24" t="n">
        <f aca="false">'P&amp;L annual'!G44</f>
        <v>1261637433.35959</v>
      </c>
      <c r="H26" s="24" t="n">
        <f aca="false">'P&amp;L annual'!H44</f>
        <v>1633251842.2545</v>
      </c>
      <c r="J26" s="25" t="n">
        <f aca="false">D26/FX_EUR</f>
        <v>687377.886491355</v>
      </c>
      <c r="K26" s="25" t="n">
        <f aca="false">E26/FX_EUR</f>
        <v>1067967.61498081</v>
      </c>
      <c r="L26" s="25" t="n">
        <f aca="false">F26/FX_EUR</f>
        <v>1531383.33995369</v>
      </c>
      <c r="M26" s="25" t="n">
        <f aca="false">G26/FX_EUR</f>
        <v>1923353.86825599</v>
      </c>
      <c r="N26" s="25" t="n">
        <f aca="false">H26/FX_EUR</f>
        <v>2489876.38252888</v>
      </c>
    </row>
    <row r="27" customFormat="false" ht="15" hidden="false" customHeight="true" outlineLevel="0" collapsed="false">
      <c r="A27" s="9" t="s">
        <v>98</v>
      </c>
      <c r="B27" s="15" t="s">
        <v>77</v>
      </c>
      <c r="D27" s="23" t="n">
        <f aca="false">'P&amp;L annual'!D45</f>
        <v>-386812328.179926</v>
      </c>
      <c r="E27" s="23" t="n">
        <f aca="false">'P&amp;L annual'!E45</f>
        <v>-178627869.399312</v>
      </c>
      <c r="F27" s="23" t="n">
        <f aca="false">'P&amp;L annual'!F45</f>
        <v>669861115.094073</v>
      </c>
      <c r="G27" s="23" t="n">
        <f aca="false">'P&amp;L annual'!G45</f>
        <v>2143333477.83452</v>
      </c>
      <c r="H27" s="23" t="n">
        <f aca="false">'P&amp;L annual'!H45</f>
        <v>4113510129.09729</v>
      </c>
      <c r="J27" s="18" t="n">
        <f aca="false">D27/FX_EUR</f>
        <v>-589691.592863443</v>
      </c>
      <c r="K27" s="18" t="n">
        <f aca="false">E27/FX_EUR</f>
        <v>-272316.431411376</v>
      </c>
      <c r="L27" s="18" t="n">
        <f aca="false">F27/FX_EUR</f>
        <v>1021196.68681647</v>
      </c>
      <c r="M27" s="18" t="n">
        <f aca="false">G27/FX_EUR</f>
        <v>3267490.82307914</v>
      </c>
      <c r="N27" s="18" t="n">
        <f aca="false">H27/FX_EUR</f>
        <v>6271005.76577015</v>
      </c>
    </row>
    <row r="28" customFormat="false" ht="15" hidden="false" customHeight="true" outlineLevel="0" collapsed="false">
      <c r="A28" s="13" t="s">
        <v>99</v>
      </c>
      <c r="B28" s="15" t="s">
        <v>96</v>
      </c>
      <c r="D28" s="26" t="n">
        <f aca="false">'P&amp;L annual'!D46</f>
        <v>-2.48623144694221</v>
      </c>
      <c r="E28" s="26" t="n">
        <f aca="false">'P&amp;L annual'!E46</f>
        <v>-0.157044034381953</v>
      </c>
      <c r="F28" s="26" t="n">
        <f aca="false">'P&amp;L annual'!F46</f>
        <v>0.187237685388302</v>
      </c>
      <c r="G28" s="26" t="n">
        <f aca="false">'P&amp;L annual'!G46</f>
        <v>0.298955364263584</v>
      </c>
      <c r="H28" s="26" t="n">
        <f aca="false">'P&amp;L annual'!H46</f>
        <v>0.341129310301536</v>
      </c>
    </row>
    <row r="29" customFormat="false" ht="15" hidden="false" customHeight="true" outlineLevel="0" collapsed="false">
      <c r="A29" s="13" t="s">
        <v>100</v>
      </c>
      <c r="B29" s="15" t="s">
        <v>77</v>
      </c>
      <c r="D29" s="24" t="n">
        <f aca="false">'P&amp;L annual'!D48</f>
        <v>-386812328.179926</v>
      </c>
      <c r="E29" s="24" t="n">
        <f aca="false">'P&amp;L annual'!E48</f>
        <v>-178627869.399312</v>
      </c>
      <c r="F29" s="24" t="n">
        <f aca="false">'P&amp;L annual'!F48</f>
        <v>638534839.839622</v>
      </c>
      <c r="G29" s="24" t="n">
        <f aca="false">'P&amp;L annual'!G48</f>
        <v>1500333434.48416</v>
      </c>
      <c r="H29" s="24" t="n">
        <f aca="false">'P&amp;L annual'!H48</f>
        <v>2879457090.36811</v>
      </c>
      <c r="J29" s="25" t="n">
        <f aca="false">D29/FX_EUR</f>
        <v>-589691.592863443</v>
      </c>
      <c r="K29" s="25" t="n">
        <f aca="false">E29/FX_EUR</f>
        <v>-272316.431411376</v>
      </c>
      <c r="L29" s="25" t="n">
        <f aca="false">F29/FX_EUR</f>
        <v>973440.088053977</v>
      </c>
      <c r="M29" s="25" t="n">
        <f aca="false">G29/FX_EUR</f>
        <v>2287243.5761554</v>
      </c>
      <c r="N29" s="25" t="n">
        <f aca="false">H29/FX_EUR</f>
        <v>4389704.03603911</v>
      </c>
    </row>
    <row r="30" customFormat="false" ht="15" hidden="false" customHeight="true" outlineLevel="0" collapsed="false">
      <c r="A30" s="13" t="s">
        <v>101</v>
      </c>
      <c r="B30" s="15" t="s">
        <v>77</v>
      </c>
      <c r="D30" s="24" t="n">
        <f aca="false">'P&amp;L annual'!D53</f>
        <v>483187671.820075</v>
      </c>
      <c r="E30" s="24" t="n">
        <f aca="false">'P&amp;L annual'!E53</f>
        <v>2008311038.51528</v>
      </c>
      <c r="F30" s="24" t="n">
        <f aca="false">'P&amp;L annual'!F53</f>
        <v>2335167802.05188</v>
      </c>
      <c r="G30" s="24" t="n">
        <f aca="false">'P&amp;L annual'!G53</f>
        <v>3515577540.44839</v>
      </c>
      <c r="H30" s="24" t="n">
        <f aca="false">'P&amp;L annual'!H53</f>
        <v>6019907771.51999</v>
      </c>
      <c r="J30" s="25" t="n">
        <f aca="false">D30/FX_EUR</f>
        <v>736614.857102027</v>
      </c>
      <c r="K30" s="25" t="n">
        <f aca="false">E30/FX_EUR</f>
        <v>3061650.44128697</v>
      </c>
      <c r="L30" s="25" t="n">
        <f aca="false">F30/FX_EUR</f>
        <v>3559940.36507252</v>
      </c>
      <c r="M30" s="25" t="n">
        <f aca="false">G30/FX_EUR</f>
        <v>5359463.4106327</v>
      </c>
      <c r="N30" s="25" t="n">
        <f aca="false">H30/FX_EUR</f>
        <v>9177290.23628072</v>
      </c>
    </row>
    <row r="31" customFormat="false" ht="15" hidden="false" customHeight="true" outlineLevel="0" collapsed="false">
      <c r="A31" s="13" t="s">
        <v>102</v>
      </c>
      <c r="B31" s="15" t="s">
        <v>77</v>
      </c>
      <c r="D31" s="24" t="n">
        <f aca="false">'P&amp;L annual'!D61</f>
        <v>0</v>
      </c>
      <c r="E31" s="24" t="n">
        <f aca="false">'P&amp;L annual'!E61</f>
        <v>462487639.054858</v>
      </c>
      <c r="F31" s="24" t="n">
        <f aca="false">'P&amp;L annual'!F61</f>
        <v>2612419116.03863</v>
      </c>
      <c r="G31" s="24" t="n">
        <f aca="false">'P&amp;L annual'!G61</f>
        <v>4998758956.29875</v>
      </c>
      <c r="H31" s="24" t="n">
        <f aca="false">'P&amp;L annual'!H61</f>
        <v>7855949970.08209</v>
      </c>
      <c r="J31" s="25" t="n">
        <f aca="false">D31/FX_EUR</f>
        <v>0</v>
      </c>
      <c r="K31" s="25" t="n">
        <f aca="false">E31/FX_EUR</f>
        <v>705057.860583633</v>
      </c>
      <c r="L31" s="25" t="n">
        <f aca="false">F31/FX_EUR</f>
        <v>3982607.26852314</v>
      </c>
      <c r="M31" s="25" t="n">
        <f aca="false">G31/FX_EUR</f>
        <v>7620558.90294447</v>
      </c>
      <c r="N31" s="25" t="n">
        <f aca="false">H31/FX_EUR</f>
        <v>11976318.5240528</v>
      </c>
    </row>
    <row r="32" customFormat="false" ht="15" hidden="false" customHeight="true" outlineLevel="0" collapsed="false">
      <c r="A32" s="13" t="s">
        <v>103</v>
      </c>
      <c r="B32" s="15" t="s">
        <v>104</v>
      </c>
      <c r="D32" s="24" t="n">
        <f aca="false">'Unit economics'!D13</f>
        <v>88541.5002484919</v>
      </c>
      <c r="E32" s="24" t="n">
        <f aca="false">'Unit economics'!E13</f>
        <v>107584.330322511</v>
      </c>
      <c r="F32" s="24" t="n">
        <f aca="false">'Unit economics'!F13</f>
        <v>123594.364121268</v>
      </c>
      <c r="G32" s="24" t="n">
        <f aca="false">'Unit economics'!G13</f>
        <v>126941.21790776</v>
      </c>
      <c r="H32" s="24" t="n">
        <f aca="false">'Unit economics'!H13</f>
        <v>128715.14652351</v>
      </c>
      <c r="J32" s="25" t="n">
        <f aca="false">D32/FX_EUR</f>
        <v>134.980646976085</v>
      </c>
      <c r="K32" s="25" t="n">
        <f aca="false">E32/FX_EUR</f>
        <v>164.011254278118</v>
      </c>
      <c r="L32" s="25" t="n">
        <f aca="false">F32/FX_EUR</f>
        <v>188.4183934637</v>
      </c>
      <c r="M32" s="25" t="n">
        <f aca="false">G32/FX_EUR</f>
        <v>193.52063916958</v>
      </c>
      <c r="N32" s="25" t="n">
        <f aca="false">H32/FX_EUR</f>
        <v>196.224975910784</v>
      </c>
    </row>
    <row r="33" customFormat="false" ht="15" hidden="false" customHeight="true" outlineLevel="0" collapsed="false">
      <c r="A33" s="13" t="s">
        <v>105</v>
      </c>
      <c r="B33" s="15" t="s">
        <v>106</v>
      </c>
      <c r="D33" s="24" t="n">
        <f aca="false">'Unit economics'!D20</f>
        <v>203740.154179682</v>
      </c>
      <c r="E33" s="24" t="n">
        <f aca="false">'Unit economics'!E20</f>
        <v>118062.583141525</v>
      </c>
      <c r="F33" s="24" t="n">
        <f aca="false">'Unit economics'!F20</f>
        <v>98005.2136044878</v>
      </c>
      <c r="G33" s="24" t="n">
        <f aca="false">'Unit economics'!G20</f>
        <v>88115.7545545497</v>
      </c>
      <c r="H33" s="24" t="n">
        <f aca="false">'Unit economics'!H20</f>
        <v>86075.1597896166</v>
      </c>
      <c r="J33" s="25" t="n">
        <f aca="false">D33/FX_EUR</f>
        <v>310.599862764911</v>
      </c>
      <c r="K33" s="25" t="n">
        <f aca="false">E33/FX_EUR</f>
        <v>179.985247724356</v>
      </c>
      <c r="L33" s="25" t="n">
        <f aca="false">F33/FX_EUR</f>
        <v>149.407984981467</v>
      </c>
      <c r="M33" s="25" t="n">
        <f aca="false">G33/FX_EUR</f>
        <v>134.33160184974</v>
      </c>
      <c r="N33" s="25" t="n">
        <f aca="false">H33/FX_EUR</f>
        <v>131.220735184801</v>
      </c>
    </row>
    <row r="34" customFormat="false" ht="15" hidden="false" customHeight="true" outlineLevel="0" collapsed="false">
      <c r="A34" s="13" t="s">
        <v>107</v>
      </c>
      <c r="B34" s="15" t="s">
        <v>108</v>
      </c>
      <c r="D34" s="27" t="n">
        <f aca="false">'Unit economics'!D21</f>
        <v>5.5870106965538</v>
      </c>
      <c r="E34" s="27" t="n">
        <f aca="false">'Unit economics'!E21</f>
        <v>2.39162426336339</v>
      </c>
      <c r="F34" s="27" t="n">
        <f aca="false">'Unit economics'!F21</f>
        <v>1.69428817099225</v>
      </c>
      <c r="G34" s="27" t="n">
        <f aca="false">'Unit economics'!G21</f>
        <v>1.46157428927742</v>
      </c>
      <c r="H34" s="27" t="n">
        <f aca="false">'Unit economics'!H21</f>
        <v>1.40319654875611</v>
      </c>
    </row>
    <row r="36" customFormat="false" ht="15" hidden="false" customHeight="true" outlineLevel="0" collapsed="false">
      <c r="A36" s="11" t="s">
        <v>109</v>
      </c>
      <c r="B36" s="12"/>
      <c r="C36" s="12"/>
      <c r="D36" s="12"/>
      <c r="E36" s="12"/>
      <c r="F36" s="12"/>
      <c r="G36" s="12"/>
      <c r="H36" s="12"/>
      <c r="I36" s="12"/>
    </row>
    <row r="37" customFormat="false" ht="15" hidden="false" customHeight="true" outlineLevel="0" collapsed="false">
      <c r="A37" s="13" t="s">
        <v>110</v>
      </c>
      <c r="B37" s="9" t="str">
        <f aca="false">IF(ABS(Mix_Petite+Mix_Moyenne+Mix_Grande-1)&lt;0.0001,"OK","ERROR")</f>
        <v>OK</v>
      </c>
    </row>
    <row r="38" customFormat="false" ht="15" hidden="false" customHeight="true" outlineLevel="0" collapsed="false">
      <c r="A38" s="13" t="s">
        <v>111</v>
      </c>
      <c r="B38" s="9" t="str">
        <f aca="false">IF(ABS(SUM('P&amp;L monthly'!E30:BL30)-SUM(Costs!E23:BL23))&lt;1,"OK","ERROR")</f>
        <v>OK</v>
      </c>
    </row>
    <row r="39" customFormat="false" ht="15" hidden="false" customHeight="true" outlineLevel="0" collapsed="false">
      <c r="A39" s="13" t="s">
        <v>112</v>
      </c>
      <c r="B39" s="9" t="str">
        <f aca="false">IF(ABS(SUM('P&amp;L monthly'!E43:BL43)-SUM(Costs!E95:BL95))&lt;1,"OK","ERROR")</f>
        <v>OK</v>
      </c>
    </row>
    <row r="40" customFormat="false" ht="15" hidden="false" customHeight="true" outlineLevel="0" collapsed="false">
      <c r="A40" s="13" t="s">
        <v>113</v>
      </c>
      <c r="B40" s="9" t="str">
        <f aca="false">IF(ABS('P&amp;L annual'!I23-SUM('P&amp;L monthly'!E23:BL23))&lt;1,"OK","ERROR")</f>
        <v>OK</v>
      </c>
    </row>
    <row r="41" customFormat="false" ht="15" hidden="false" customHeight="true" outlineLevel="0" collapsed="false">
      <c r="A41" s="13" t="s">
        <v>114</v>
      </c>
      <c r="B41" s="9" t="str">
        <f aca="false">IF(MIN('Cash flow'!E24:BL24)&gt;=0,"OK","RAISE MORE")</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E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4" min="2" style="1" width="20"/>
    <col collapsed="false" customWidth="true" hidden="false" outlineLevel="0" max="5" min="5" style="1" width="70"/>
  </cols>
  <sheetData>
    <row r="1" customFormat="false" ht="17.25" hidden="false" customHeight="true" outlineLevel="0" collapsed="false">
      <c r="A1" s="8" t="s">
        <v>115</v>
      </c>
    </row>
    <row r="2" customFormat="false" ht="15" hidden="false" customHeight="true" outlineLevel="0" collapsed="false">
      <c r="A2" s="3" t="s">
        <v>116</v>
      </c>
    </row>
    <row r="5" customFormat="false" ht="15" hidden="false" customHeight="true" outlineLevel="0" collapsed="false">
      <c r="A5" s="28" t="s">
        <v>117</v>
      </c>
    </row>
    <row r="6" customFormat="false" ht="15" hidden="false" customHeight="true" outlineLevel="0" collapsed="false">
      <c r="A6" s="3" t="s">
        <v>118</v>
      </c>
    </row>
    <row r="7" customFormat="false" ht="15" hidden="false" customHeight="true" outlineLevel="0" collapsed="false">
      <c r="A7" s="29" t="s">
        <v>119</v>
      </c>
      <c r="B7" s="29" t="s">
        <v>120</v>
      </c>
      <c r="C7" s="29" t="s">
        <v>121</v>
      </c>
      <c r="D7" s="29" t="s">
        <v>122</v>
      </c>
      <c r="E7" s="29" t="s">
        <v>123</v>
      </c>
    </row>
    <row r="8" customFormat="false" ht="15" hidden="false" customHeight="true" outlineLevel="0" collapsed="false">
      <c r="A8" s="11" t="s">
        <v>124</v>
      </c>
      <c r="B8" s="12"/>
      <c r="C8" s="12"/>
      <c r="D8" s="12"/>
      <c r="E8" s="12"/>
    </row>
    <row r="9" customFormat="false" ht="15" hidden="false" customHeight="true" outlineLevel="0" collapsed="false">
      <c r="A9" s="30" t="s">
        <v>125</v>
      </c>
      <c r="B9" s="17" t="n">
        <f aca="false">Price_Petite</f>
        <v>9900</v>
      </c>
      <c r="C9" s="17" t="n">
        <f aca="false">Price_Moyenne</f>
        <v>19500</v>
      </c>
      <c r="D9" s="17" t="n">
        <f aca="false">Price_Grande</f>
        <v>69500</v>
      </c>
      <c r="E9" s="31" t="s">
        <v>126</v>
      </c>
    </row>
    <row r="10" customFormat="false" ht="15" hidden="false" customHeight="true" outlineLevel="0" collapsed="false">
      <c r="A10" s="3" t="s">
        <v>127</v>
      </c>
      <c r="B10" s="32" t="n">
        <f aca="false">IF(ISNUMBER(B9),B9/FX_EUR,"")</f>
        <v>15.0924527065036</v>
      </c>
      <c r="C10" s="32" t="n">
        <f aca="false">IF(ISNUMBER(C9),C9/FX_EUR,"")</f>
        <v>29.727558361295</v>
      </c>
      <c r="D10" s="32" t="n">
        <f aca="false">IF(ISNUMBER(D9),D9/FX_EUR,"")</f>
        <v>105.95206698</v>
      </c>
    </row>
    <row r="11" customFormat="false" ht="15" hidden="false" customHeight="true" outlineLevel="0" collapsed="false">
      <c r="A11" s="5" t="s">
        <v>128</v>
      </c>
      <c r="B11" s="33" t="n">
        <f aca="false">Price_Petite*(12-Annual_Free)</f>
        <v>99000</v>
      </c>
      <c r="C11" s="33" t="n">
        <f aca="false">Price_Moyenne*(12-Annual_Free)</f>
        <v>195000</v>
      </c>
      <c r="D11" s="33" t="n">
        <f aca="false">Price_Grande*(12-Annual_Free)</f>
        <v>695000</v>
      </c>
      <c r="E11" s="33" t="str">
        <f aca="false">"Pay yearly and get "&amp;Annual_Free&amp;" months free."</f>
        <v>Pay yearly and get 2 months free.</v>
      </c>
    </row>
    <row r="12" customFormat="false" ht="15" hidden="false" customHeight="true" outlineLevel="0" collapsed="false">
      <c r="A12" s="3" t="s">
        <v>127</v>
      </c>
      <c r="B12" s="32" t="n">
        <f aca="false">IF(ISNUMBER(B11),B11/FX_EUR,"")</f>
        <v>150.924527065036</v>
      </c>
      <c r="C12" s="32" t="n">
        <f aca="false">IF(ISNUMBER(C11),C11/FX_EUR,"")</f>
        <v>297.27558361295</v>
      </c>
      <c r="D12" s="32" t="n">
        <f aca="false">IF(ISNUMBER(D11),D11/FX_EUR,"")</f>
        <v>1059.5206698</v>
      </c>
    </row>
    <row r="13" customFormat="false" ht="15" hidden="false" customHeight="true" outlineLevel="0" collapsed="false">
      <c r="A13" s="5" t="s">
        <v>129</v>
      </c>
      <c r="B13" s="13" t="str">
        <f aca="false">Free_Months&amp;" month free"</f>
        <v>1 month free</v>
      </c>
      <c r="C13" s="13" t="str">
        <f aca="false">Free_Months&amp;" month free"</f>
        <v>1 month free</v>
      </c>
      <c r="D13" s="13" t="str">
        <f aca="false">Free_Months&amp;" month free"</f>
        <v>1 month free</v>
      </c>
      <c r="E13" s="31" t="s">
        <v>130</v>
      </c>
    </row>
    <row r="14" customFormat="false" ht="15" hidden="false" customHeight="true" outlineLevel="0" collapsed="false">
      <c r="A14" s="11" t="s">
        <v>131</v>
      </c>
      <c r="B14" s="12"/>
      <c r="C14" s="12"/>
      <c r="D14" s="12"/>
      <c r="E14" s="12"/>
    </row>
    <row r="15" customFormat="false" ht="15" hidden="false" customHeight="true" outlineLevel="0" collapsed="false">
      <c r="A15" s="5" t="s">
        <v>132</v>
      </c>
      <c r="B15" s="33" t="n">
        <f aca="false">Users_Incl_Petite</f>
        <v>2</v>
      </c>
      <c r="C15" s="33" t="n">
        <f aca="false">Users_Incl_Moyenne</f>
        <v>3</v>
      </c>
      <c r="D15" s="33" t="n">
        <f aca="false">Users_Incl_Grande</f>
        <v>10</v>
      </c>
      <c r="E15" s="31" t="s">
        <v>133</v>
      </c>
    </row>
    <row r="16" customFormat="false" ht="23.25" hidden="false" customHeight="true" outlineLevel="0" collapsed="false">
      <c r="A16" s="5" t="s">
        <v>134</v>
      </c>
      <c r="B16" s="33" t="n">
        <f aca="false">Transfers_Incl_Petite</f>
        <v>30</v>
      </c>
      <c r="C16" s="33" t="n">
        <f aca="false">Transfers_Incl_Moyenne</f>
        <v>100</v>
      </c>
      <c r="D16" s="33" t="n">
        <f aca="false">Transfers_Incl_Grande</f>
        <v>400</v>
      </c>
      <c r="E16" s="31" t="s">
        <v>135</v>
      </c>
    </row>
    <row r="17" customFormat="false" ht="23.25" hidden="false" customHeight="true" outlineLevel="0" collapsed="false">
      <c r="A17" s="5" t="s">
        <v>136</v>
      </c>
      <c r="B17" s="33" t="n">
        <f aca="false">MM_Free_Petite</f>
        <v>200000</v>
      </c>
      <c r="C17" s="33" t="n">
        <f aca="false">MM_Free_Moyenne</f>
        <v>1000000</v>
      </c>
      <c r="D17" s="33" t="n">
        <f aca="false">MM_Free_Grande</f>
        <v>5000000</v>
      </c>
      <c r="E17" s="31" t="s">
        <v>137</v>
      </c>
    </row>
    <row r="18" customFormat="false" ht="15" hidden="false" customHeight="true" outlineLevel="0" collapsed="false">
      <c r="A18" s="3" t="s">
        <v>127</v>
      </c>
      <c r="B18" s="32" t="n">
        <f aca="false">IF(ISNUMBER(B17),B17/FX_EUR,"")</f>
        <v>304.898034474821</v>
      </c>
      <c r="C18" s="32" t="n">
        <f aca="false">IF(ISNUMBER(C17),C17/FX_EUR,"")</f>
        <v>1524.4901723741</v>
      </c>
      <c r="D18" s="32" t="n">
        <f aca="false">IF(ISNUMBER(D17),D17/FX_EUR,"")</f>
        <v>7622.45086187052</v>
      </c>
    </row>
    <row r="19" customFormat="false" ht="15" hidden="false" customHeight="true" outlineLevel="0" collapsed="false">
      <c r="A19" s="5" t="s">
        <v>138</v>
      </c>
      <c r="B19" s="33" t="n">
        <f aca="false">Payroll_Free_Petite</f>
        <v>3000000</v>
      </c>
      <c r="C19" s="33" t="n">
        <f aca="false">Payroll_Free_Moyenne</f>
        <v>15000000</v>
      </c>
      <c r="D19" s="33" t="n">
        <f aca="false">Payroll_Free_Grande</f>
        <v>60000000</v>
      </c>
      <c r="E19" s="31" t="s">
        <v>139</v>
      </c>
    </row>
    <row r="20" customFormat="false" ht="15" hidden="false" customHeight="true" outlineLevel="0" collapsed="false">
      <c r="A20" s="3" t="s">
        <v>127</v>
      </c>
      <c r="B20" s="32" t="n">
        <f aca="false">IF(ISNUMBER(B19),B19/FX_EUR,"")</f>
        <v>4573.47051712231</v>
      </c>
      <c r="C20" s="32" t="n">
        <f aca="false">IF(ISNUMBER(C19),C19/FX_EUR,"")</f>
        <v>22867.3525856116</v>
      </c>
      <c r="D20" s="32" t="n">
        <f aca="false">IF(ISNUMBER(D19),D19/FX_EUR,"")</f>
        <v>91469.4103424462</v>
      </c>
    </row>
    <row r="21" customFormat="false" ht="15" hidden="false" customHeight="true" outlineLevel="0" collapsed="false">
      <c r="A21" s="5" t="s">
        <v>140</v>
      </c>
      <c r="B21" s="33" t="n">
        <f aca="false">Cards_Phys_Incl_Petite</f>
        <v>1</v>
      </c>
      <c r="C21" s="33" t="n">
        <f aca="false">Cards_Phys_Incl_Moyenne</f>
        <v>1</v>
      </c>
      <c r="D21" s="33" t="n">
        <f aca="false">Cards_Phys_Incl_Grande</f>
        <v>1</v>
      </c>
      <c r="E21" s="31" t="s">
        <v>141</v>
      </c>
    </row>
    <row r="22" customFormat="false" ht="15" hidden="false" customHeight="true" outlineLevel="0" collapsed="false">
      <c r="A22" s="5" t="s">
        <v>142</v>
      </c>
      <c r="B22" s="5" t="s">
        <v>143</v>
      </c>
      <c r="C22" s="5" t="s">
        <v>144</v>
      </c>
      <c r="D22" s="5" t="s">
        <v>145</v>
      </c>
      <c r="E22" s="31" t="s">
        <v>146</v>
      </c>
    </row>
    <row r="23" customFormat="false" ht="15" hidden="false" customHeight="true" outlineLevel="0" collapsed="false">
      <c r="A23" s="5" t="s">
        <v>147</v>
      </c>
      <c r="B23" s="5" t="s">
        <v>148</v>
      </c>
      <c r="C23" s="5" t="s">
        <v>149</v>
      </c>
      <c r="D23" s="5" t="s">
        <v>145</v>
      </c>
      <c r="E23" s="31" t="s">
        <v>150</v>
      </c>
    </row>
    <row r="24" customFormat="false" ht="15" hidden="false" customHeight="true" outlineLevel="0" collapsed="false">
      <c r="A24" s="11" t="s">
        <v>151</v>
      </c>
      <c r="B24" s="12"/>
      <c r="C24" s="12"/>
      <c r="D24" s="12"/>
      <c r="E24" s="12"/>
    </row>
    <row r="25" customFormat="false" ht="15" hidden="false" customHeight="true" outlineLevel="0" collapsed="false">
      <c r="A25" s="5" t="s">
        <v>152</v>
      </c>
      <c r="B25" s="5" t="s">
        <v>153</v>
      </c>
      <c r="C25" s="5" t="s">
        <v>153</v>
      </c>
      <c r="D25" s="5" t="s">
        <v>153</v>
      </c>
      <c r="E25" s="31" t="s">
        <v>154</v>
      </c>
    </row>
    <row r="26" customFormat="false" ht="15" hidden="false" customHeight="true" outlineLevel="0" collapsed="false">
      <c r="A26" s="5" t="s">
        <v>155</v>
      </c>
      <c r="B26" s="5" t="s">
        <v>153</v>
      </c>
      <c r="C26" s="5" t="s">
        <v>153</v>
      </c>
      <c r="D26" s="5" t="s">
        <v>153</v>
      </c>
      <c r="E26" s="31" t="s">
        <v>156</v>
      </c>
    </row>
    <row r="27" customFormat="false" ht="15" hidden="false" customHeight="true" outlineLevel="0" collapsed="false">
      <c r="A27" s="5" t="s">
        <v>157</v>
      </c>
      <c r="B27" s="5" t="s">
        <v>153</v>
      </c>
      <c r="C27" s="5" t="s">
        <v>153</v>
      </c>
      <c r="D27" s="5" t="s">
        <v>153</v>
      </c>
      <c r="E27" s="31"/>
    </row>
    <row r="28" customFormat="false" ht="23.25" hidden="false" customHeight="true" outlineLevel="0" collapsed="false">
      <c r="A28" s="5" t="s">
        <v>158</v>
      </c>
      <c r="B28" s="5" t="s">
        <v>153</v>
      </c>
      <c r="C28" s="5" t="s">
        <v>153</v>
      </c>
      <c r="D28" s="5" t="s">
        <v>153</v>
      </c>
      <c r="E28" s="31" t="s">
        <v>159</v>
      </c>
    </row>
    <row r="29" customFormat="false" ht="23.25" hidden="false" customHeight="true" outlineLevel="0" collapsed="false">
      <c r="A29" s="5" t="s">
        <v>160</v>
      </c>
      <c r="B29" s="5" t="s">
        <v>161</v>
      </c>
      <c r="C29" s="5" t="s">
        <v>153</v>
      </c>
      <c r="D29" s="5" t="s">
        <v>162</v>
      </c>
      <c r="E29" s="31" t="s">
        <v>163</v>
      </c>
    </row>
    <row r="30" customFormat="false" ht="23.25" hidden="false" customHeight="true" outlineLevel="0" collapsed="false">
      <c r="A30" s="5" t="s">
        <v>164</v>
      </c>
      <c r="B30" s="5" t="s">
        <v>161</v>
      </c>
      <c r="C30" s="5" t="s">
        <v>153</v>
      </c>
      <c r="D30" s="5" t="s">
        <v>153</v>
      </c>
      <c r="E30" s="31" t="s">
        <v>165</v>
      </c>
    </row>
    <row r="31" customFormat="false" ht="15" hidden="false" customHeight="true" outlineLevel="0" collapsed="false">
      <c r="A31" s="5" t="s">
        <v>166</v>
      </c>
      <c r="B31" s="5" t="s">
        <v>161</v>
      </c>
      <c r="C31" s="5" t="s">
        <v>167</v>
      </c>
      <c r="D31" s="5" t="s">
        <v>168</v>
      </c>
      <c r="E31" s="31"/>
    </row>
    <row r="32" customFormat="false" ht="15" hidden="false" customHeight="true" outlineLevel="0" collapsed="false">
      <c r="A32" s="5" t="s">
        <v>169</v>
      </c>
      <c r="B32" s="5" t="s">
        <v>161</v>
      </c>
      <c r="C32" s="5" t="s">
        <v>161</v>
      </c>
      <c r="D32" s="5" t="s">
        <v>153</v>
      </c>
      <c r="E32" s="31"/>
    </row>
    <row r="33" customFormat="false" ht="15" hidden="false" customHeight="true" outlineLevel="0" collapsed="false">
      <c r="A33" s="5" t="s">
        <v>170</v>
      </c>
      <c r="B33" s="5" t="s">
        <v>171</v>
      </c>
      <c r="C33" s="5" t="s">
        <v>172</v>
      </c>
      <c r="D33" s="5" t="s">
        <v>173</v>
      </c>
      <c r="E33" s="31"/>
    </row>
    <row r="34" customFormat="false" ht="15" hidden="false" customHeight="true" outlineLevel="0" collapsed="false">
      <c r="A34" s="5" t="s">
        <v>174</v>
      </c>
      <c r="B34" s="5" t="s">
        <v>175</v>
      </c>
      <c r="C34" s="5" t="s">
        <v>175</v>
      </c>
      <c r="D34" s="5" t="s">
        <v>175</v>
      </c>
      <c r="E34" s="31" t="s">
        <v>176</v>
      </c>
    </row>
    <row r="35" customFormat="false" ht="15" hidden="false" customHeight="true" outlineLevel="0" collapsed="false">
      <c r="A35" s="5" t="s">
        <v>177</v>
      </c>
      <c r="B35" s="5" t="s">
        <v>153</v>
      </c>
      <c r="C35" s="5" t="s">
        <v>153</v>
      </c>
      <c r="D35" s="5" t="s">
        <v>153</v>
      </c>
      <c r="E35" s="31" t="s">
        <v>178</v>
      </c>
    </row>
    <row r="37" customFormat="false" ht="15" hidden="false" customHeight="true" outlineLevel="0" collapsed="false">
      <c r="A37" s="28" t="s">
        <v>179</v>
      </c>
    </row>
    <row r="38" customFormat="false" ht="15" hidden="false" customHeight="true" outlineLevel="0" collapsed="false">
      <c r="A38" s="3" t="s">
        <v>180</v>
      </c>
    </row>
    <row r="39" customFormat="false" ht="15" hidden="false" customHeight="true" outlineLevel="0" collapsed="false">
      <c r="A39" s="29" t="s">
        <v>181</v>
      </c>
      <c r="B39" s="29" t="s">
        <v>124</v>
      </c>
      <c r="C39" s="29" t="s">
        <v>182</v>
      </c>
      <c r="D39" s="29"/>
      <c r="E39" s="29" t="s">
        <v>183</v>
      </c>
    </row>
    <row r="40" customFormat="false" ht="15" hidden="false" customHeight="true" outlineLevel="0" collapsed="false">
      <c r="A40" s="5" t="s">
        <v>184</v>
      </c>
      <c r="B40" s="33" t="n">
        <f aca="false">Extra_User_Fee</f>
        <v>2500</v>
      </c>
      <c r="C40" s="5" t="s">
        <v>104</v>
      </c>
      <c r="E40" s="31" t="s">
        <v>185</v>
      </c>
    </row>
    <row r="41" customFormat="false" ht="15" hidden="false" customHeight="true" outlineLevel="0" collapsed="false">
      <c r="A41" s="3" t="s">
        <v>127</v>
      </c>
      <c r="B41" s="32" t="n">
        <f aca="false">IF(ISNUMBER(B40),B40/FX_EUR,"")</f>
        <v>3.81122543093526</v>
      </c>
    </row>
    <row r="42" customFormat="false" ht="23.25" hidden="false" customHeight="true" outlineLevel="0" collapsed="false">
      <c r="A42" s="5" t="s">
        <v>186</v>
      </c>
      <c r="B42" s="33" t="n">
        <f aca="false">Card_Fee</f>
        <v>6500</v>
      </c>
      <c r="C42" s="5" t="s">
        <v>187</v>
      </c>
      <c r="E42" s="31" t="s">
        <v>188</v>
      </c>
    </row>
    <row r="43" customFormat="false" ht="15" hidden="false" customHeight="true" outlineLevel="0" collapsed="false">
      <c r="A43" s="3" t="s">
        <v>127</v>
      </c>
      <c r="B43" s="32" t="n">
        <f aca="false">IF(ISNUMBER(B42),B42/FX_EUR,"")</f>
        <v>9.90918612043168</v>
      </c>
    </row>
    <row r="44" customFormat="false" ht="34.5" hidden="false" customHeight="true" outlineLevel="0" collapsed="false">
      <c r="A44" s="5" t="s">
        <v>189</v>
      </c>
      <c r="B44" s="33" t="n">
        <f aca="false">Overage_Fee</f>
        <v>450</v>
      </c>
      <c r="C44" s="5" t="s">
        <v>190</v>
      </c>
      <c r="E44" s="31" t="s">
        <v>191</v>
      </c>
    </row>
    <row r="45" customFormat="false" ht="15" hidden="false" customHeight="true" outlineLevel="0" collapsed="false">
      <c r="A45" s="3" t="s">
        <v>127</v>
      </c>
      <c r="B45" s="32" t="n">
        <f aca="false">IF(ISNUMBER(B44),B44/FX_EUR,"")</f>
        <v>0.686020577568347</v>
      </c>
    </row>
    <row r="46" customFormat="false" ht="23.25" hidden="false" customHeight="true" outlineLevel="0" collapsed="false">
      <c r="A46" s="5" t="s">
        <v>192</v>
      </c>
      <c r="B46" s="34" t="n">
        <f aca="false">MM_Fee</f>
        <v>0.0125</v>
      </c>
      <c r="C46" s="5" t="s">
        <v>193</v>
      </c>
      <c r="E46" s="31" t="s">
        <v>194</v>
      </c>
    </row>
    <row r="47" customFormat="false" ht="15" hidden="false" customHeight="true" outlineLevel="0" collapsed="false">
      <c r="A47" s="5" t="s">
        <v>195</v>
      </c>
      <c r="B47" s="33" t="n">
        <f aca="false">MM_Fee_Cap</f>
        <v>8500</v>
      </c>
      <c r="C47" s="5" t="s">
        <v>190</v>
      </c>
      <c r="E47" s="31" t="s">
        <v>196</v>
      </c>
    </row>
    <row r="48" customFormat="false" ht="15" hidden="false" customHeight="true" outlineLevel="0" collapsed="false">
      <c r="A48" s="3" t="s">
        <v>127</v>
      </c>
      <c r="B48" s="32" t="n">
        <f aca="false">IF(ISNUMBER(B47),B47/FX_EUR,"")</f>
        <v>12.9581664651799</v>
      </c>
    </row>
    <row r="49" customFormat="false" ht="15" hidden="false" customHeight="true" outlineLevel="0" collapsed="false">
      <c r="A49" s="5" t="s">
        <v>197</v>
      </c>
      <c r="B49" s="33" t="n">
        <f aca="false">FX_Fixed_Fee</f>
        <v>200</v>
      </c>
      <c r="C49" s="5" t="s">
        <v>198</v>
      </c>
      <c r="E49" s="31" t="s">
        <v>199</v>
      </c>
    </row>
    <row r="50" customFormat="false" ht="15" hidden="false" customHeight="true" outlineLevel="0" collapsed="false">
      <c r="A50" s="3" t="s">
        <v>127</v>
      </c>
      <c r="B50" s="32" t="n">
        <f aca="false">IF(ISNUMBER(B49),B49/FX_EUR,"")</f>
        <v>0.304898034474821</v>
      </c>
    </row>
    <row r="51" customFormat="false" ht="15" hidden="false" customHeight="true" outlineLevel="0" collapsed="false">
      <c r="A51" s="5" t="s">
        <v>200</v>
      </c>
      <c r="B51" s="33" t="n">
        <f aca="false">Intl_Fixed_Fee</f>
        <v>1500</v>
      </c>
      <c r="C51" s="5" t="s">
        <v>198</v>
      </c>
      <c r="E51" s="31" t="s">
        <v>201</v>
      </c>
    </row>
    <row r="52" customFormat="false" ht="15" hidden="false" customHeight="true" outlineLevel="0" collapsed="false">
      <c r="A52" s="3" t="s">
        <v>127</v>
      </c>
      <c r="B52" s="32" t="n">
        <f aca="false">IF(ISNUMBER(B51),B51/FX_EUR,"")</f>
        <v>2.28673525856116</v>
      </c>
    </row>
    <row r="53" customFormat="false" ht="23.25" hidden="false" customHeight="true" outlineLevel="0" collapsed="false">
      <c r="A53" s="5" t="s">
        <v>202</v>
      </c>
      <c r="B53" s="33" t="n">
        <f aca="false">Payslip_Fee</f>
        <v>900</v>
      </c>
      <c r="C53" s="5" t="s">
        <v>203</v>
      </c>
      <c r="E53" s="31" t="s">
        <v>204</v>
      </c>
    </row>
    <row r="54" customFormat="false" ht="15" hidden="false" customHeight="true" outlineLevel="0" collapsed="false">
      <c r="A54" s="3" t="s">
        <v>127</v>
      </c>
      <c r="B54" s="32" t="n">
        <f aca="false">IF(ISNUMBER(B53),B53/FX_EUR,"")</f>
        <v>1.37204115513669</v>
      </c>
    </row>
    <row r="56" customFormat="false" ht="15" hidden="false" customHeight="true" outlineLevel="0" collapsed="false">
      <c r="A56" s="28" t="s">
        <v>205</v>
      </c>
    </row>
    <row r="57" customFormat="false" ht="15" hidden="false" customHeight="true" outlineLevel="0" collapsed="false">
      <c r="A57" s="3" t="s">
        <v>206</v>
      </c>
    </row>
    <row r="58" customFormat="false" ht="15" hidden="false" customHeight="true" outlineLevel="0" collapsed="false">
      <c r="A58" s="29" t="s">
        <v>207</v>
      </c>
      <c r="B58" s="29" t="s">
        <v>208</v>
      </c>
      <c r="C58" s="29" t="s">
        <v>182</v>
      </c>
      <c r="D58" s="29"/>
      <c r="E58" s="29" t="s">
        <v>209</v>
      </c>
    </row>
    <row r="59" customFormat="false" ht="23.25" hidden="false" customHeight="true" outlineLevel="0" collapsed="false">
      <c r="A59" s="5" t="s">
        <v>210</v>
      </c>
      <c r="B59" s="34" t="n">
        <f aca="false">PL_Fee</f>
        <v>0.012</v>
      </c>
      <c r="C59" s="5" t="s">
        <v>193</v>
      </c>
      <c r="E59" s="31" t="s">
        <v>211</v>
      </c>
    </row>
    <row r="60" customFormat="false" ht="23.25" hidden="false" customHeight="true" outlineLevel="0" collapsed="false">
      <c r="A60" s="5" t="s">
        <v>212</v>
      </c>
      <c r="B60" s="34" t="n">
        <f aca="false">FX_Fee</f>
        <v>0.03</v>
      </c>
      <c r="C60" s="5" t="s">
        <v>193</v>
      </c>
      <c r="E60" s="31" t="s">
        <v>213</v>
      </c>
    </row>
    <row r="61" customFormat="false" ht="34.5" hidden="false" customHeight="true" outlineLevel="0" collapsed="false">
      <c r="A61" s="5" t="s">
        <v>177</v>
      </c>
      <c r="B61" s="34" t="n">
        <f aca="false">Intl_Fee</f>
        <v>0.038</v>
      </c>
      <c r="C61" s="5" t="s">
        <v>193</v>
      </c>
      <c r="E61" s="31" t="s">
        <v>214</v>
      </c>
    </row>
    <row r="63" customFormat="false" ht="15" hidden="false" customHeight="true" outlineLevel="0" collapsed="false">
      <c r="A63" s="28" t="s">
        <v>215</v>
      </c>
    </row>
    <row r="64" customFormat="false" ht="15" hidden="false" customHeight="true" outlineLevel="0" collapsed="false">
      <c r="A64" s="3" t="s">
        <v>216</v>
      </c>
    </row>
    <row r="65" customFormat="false" ht="15" hidden="false" customHeight="true" outlineLevel="0" collapsed="false">
      <c r="A65" s="29" t="s">
        <v>217</v>
      </c>
      <c r="B65" s="29" t="s">
        <v>218</v>
      </c>
    </row>
    <row r="66" customFormat="false" ht="15" hidden="false" customHeight="true" outlineLevel="0" collapsed="false">
      <c r="A66" s="5" t="s">
        <v>219</v>
      </c>
      <c r="B66" s="5" t="s">
        <v>220</v>
      </c>
    </row>
    <row r="67" customFormat="false" ht="23.25" hidden="false" customHeight="true" outlineLevel="0" collapsed="false">
      <c r="A67" s="5" t="s">
        <v>221</v>
      </c>
      <c r="B67" s="5" t="s">
        <v>222</v>
      </c>
    </row>
    <row r="68" customFormat="false" ht="23.25" hidden="false" customHeight="true" outlineLevel="0" collapsed="false">
      <c r="A68" s="5" t="s">
        <v>223</v>
      </c>
      <c r="B68" s="5" t="s">
        <v>224</v>
      </c>
    </row>
    <row r="69" customFormat="false" ht="23.25" hidden="false" customHeight="true" outlineLevel="0" collapsed="false">
      <c r="A69" s="5" t="s">
        <v>225</v>
      </c>
      <c r="B69" s="5" t="s">
        <v>226</v>
      </c>
    </row>
    <row r="70" customFormat="false" ht="15" hidden="false" customHeight="true" outlineLevel="0" collapsed="false">
      <c r="A70" s="5" t="s">
        <v>227</v>
      </c>
      <c r="B70" s="5"/>
    </row>
    <row r="71" customFormat="false" ht="15" hidden="false" customHeight="true" outlineLevel="0" collapsed="false">
      <c r="A71" s="5" t="s">
        <v>228</v>
      </c>
      <c r="B71" s="5"/>
    </row>
    <row r="73" customFormat="false" ht="15" hidden="false" customHeight="true" outlineLevel="0" collapsed="false">
      <c r="A73" s="28" t="s">
        <v>229</v>
      </c>
    </row>
    <row r="74" customFormat="false" ht="15" hidden="false" customHeight="true" outlineLevel="0" collapsed="false">
      <c r="A74" s="3" t="s">
        <v>230</v>
      </c>
    </row>
    <row r="75" customFormat="false" ht="15" hidden="false" customHeight="true" outlineLevel="0" collapsed="false">
      <c r="A75" s="29" t="s">
        <v>217</v>
      </c>
      <c r="B75" s="29" t="s">
        <v>231</v>
      </c>
      <c r="C75" s="29" t="s">
        <v>182</v>
      </c>
      <c r="D75" s="29"/>
      <c r="E75" s="29" t="s">
        <v>232</v>
      </c>
    </row>
    <row r="76" customFormat="false" ht="23.25" hidden="false" customHeight="true" outlineLevel="0" collapsed="false">
      <c r="A76" s="5" t="s">
        <v>233</v>
      </c>
      <c r="B76" s="5" t="s">
        <v>234</v>
      </c>
      <c r="C76" s="5" t="s">
        <v>235</v>
      </c>
      <c r="E76" s="31" t="s">
        <v>236</v>
      </c>
    </row>
    <row r="77" customFormat="false" ht="15" hidden="false" customHeight="true" outlineLevel="0" collapsed="false">
      <c r="A77" s="5" t="s">
        <v>237</v>
      </c>
      <c r="B77" s="5" t="s">
        <v>238</v>
      </c>
      <c r="C77" s="5" t="s">
        <v>239</v>
      </c>
      <c r="E77" s="31" t="s">
        <v>240</v>
      </c>
    </row>
    <row r="78" customFormat="false" ht="15" hidden="false" customHeight="true" outlineLevel="0" collapsed="false">
      <c r="A78" s="5" t="s">
        <v>241</v>
      </c>
      <c r="B78" s="5" t="s">
        <v>242</v>
      </c>
      <c r="C78" s="5" t="s">
        <v>235</v>
      </c>
      <c r="E78" s="31" t="s">
        <v>243</v>
      </c>
    </row>
    <row r="80" customFormat="false" ht="15" hidden="false" customHeight="true" outlineLevel="0" collapsed="false">
      <c r="A80" s="28" t="s">
        <v>244</v>
      </c>
    </row>
    <row r="81" customFormat="false" ht="15" hidden="false" customHeight="true" outlineLevel="0" collapsed="false">
      <c r="A81" s="3" t="s">
        <v>245</v>
      </c>
    </row>
    <row r="82" customFormat="false" ht="15" hidden="false" customHeight="true" outlineLevel="0" collapsed="false">
      <c r="A82" s="29" t="s">
        <v>246</v>
      </c>
      <c r="B82" s="29" t="s">
        <v>208</v>
      </c>
      <c r="C82" s="29" t="s">
        <v>182</v>
      </c>
      <c r="D82" s="29"/>
      <c r="E82" s="29" t="s">
        <v>232</v>
      </c>
    </row>
    <row r="83" customFormat="false" ht="15" hidden="false" customHeight="true" outlineLevel="0" collapsed="false">
      <c r="A83" s="5" t="s">
        <v>247</v>
      </c>
      <c r="B83" s="35" t="n">
        <f aca="false">Yield_Factoring</f>
        <v>0.23</v>
      </c>
      <c r="C83" s="5" t="s">
        <v>239</v>
      </c>
      <c r="E83" s="31" t="s">
        <v>248</v>
      </c>
    </row>
    <row r="84" customFormat="false" ht="15" hidden="false" customHeight="true" outlineLevel="0" collapsed="false">
      <c r="A84" s="5" t="s">
        <v>249</v>
      </c>
      <c r="B84" s="35" t="n">
        <f aca="false">Yield_Bridge</f>
        <v>0.23</v>
      </c>
      <c r="C84" s="5" t="s">
        <v>239</v>
      </c>
      <c r="E84" s="31" t="s">
        <v>250</v>
      </c>
    </row>
    <row r="85" customFormat="false" ht="15" hidden="false" customHeight="true" outlineLevel="0" collapsed="false">
      <c r="A85" s="5" t="s">
        <v>251</v>
      </c>
      <c r="B85" s="35" t="n">
        <f aca="false">Yield_Line</f>
        <v>0.23</v>
      </c>
      <c r="C85" s="5" t="s">
        <v>239</v>
      </c>
      <c r="E85" s="31" t="s">
        <v>252</v>
      </c>
    </row>
    <row r="86" customFormat="false" ht="15" hidden="false" customHeight="true" outlineLevel="0" collapsed="false">
      <c r="A86" s="5" t="s">
        <v>253</v>
      </c>
      <c r="B86" s="35" t="n">
        <f aca="false">Yield_Term</f>
        <v>0.22</v>
      </c>
      <c r="C86" s="5" t="s">
        <v>239</v>
      </c>
      <c r="E86" s="31" t="s">
        <v>254</v>
      </c>
    </row>
    <row r="87" customFormat="false" ht="15" hidden="false" customHeight="true" outlineLevel="0" collapsed="false">
      <c r="A87" s="5" t="s">
        <v>255</v>
      </c>
      <c r="B87" s="35" t="n">
        <f aca="false">Yield_Advance</f>
        <v>0.23</v>
      </c>
      <c r="C87" s="5" t="s">
        <v>239</v>
      </c>
      <c r="E87" s="31" t="s">
        <v>256</v>
      </c>
    </row>
    <row r="89" customFormat="false" ht="15" hidden="false" customHeight="true" outlineLevel="0" collapsed="false">
      <c r="A89" s="28" t="s">
        <v>257</v>
      </c>
    </row>
    <row r="90" customFormat="false" ht="15" hidden="false" customHeight="true" outlineLevel="0" collapsed="false">
      <c r="A90" s="3" t="s">
        <v>258</v>
      </c>
    </row>
    <row r="91" customFormat="false" ht="15" hidden="false" customHeight="true" outlineLevel="0" collapsed="false">
      <c r="A91" s="29" t="s">
        <v>259</v>
      </c>
      <c r="B91" s="29" t="s">
        <v>260</v>
      </c>
      <c r="C91" s="29" t="s">
        <v>261</v>
      </c>
      <c r="D91" s="29" t="s">
        <v>262</v>
      </c>
      <c r="E91" s="29" t="s">
        <v>218</v>
      </c>
    </row>
    <row r="92" customFormat="false" ht="15" hidden="false" customHeight="true" outlineLevel="0" collapsed="false">
      <c r="A92" s="5" t="s">
        <v>120</v>
      </c>
      <c r="B92" s="33" t="n">
        <f aca="true">OFFSET(Price_Petite,0,1)</f>
        <v>7500</v>
      </c>
      <c r="C92" s="33" t="n">
        <f aca="true">OFFSET(Price_Petite,0,2)</f>
        <v>9900</v>
      </c>
      <c r="D92" s="33" t="n">
        <f aca="true">OFFSET(Price_Petite,0,3)</f>
        <v>9900</v>
      </c>
      <c r="E92" s="31" t="s">
        <v>263</v>
      </c>
    </row>
    <row r="93" customFormat="false" ht="15" hidden="false" customHeight="true" outlineLevel="0" collapsed="false">
      <c r="A93" s="3" t="s">
        <v>127</v>
      </c>
      <c r="B93" s="32" t="n">
        <f aca="false">IF(ISNUMBER(B92),B92/FX_EUR,"")</f>
        <v>11.4336762928058</v>
      </c>
      <c r="C93" s="32" t="n">
        <f aca="false">IF(ISNUMBER(C92),C92/FX_EUR,"")</f>
        <v>15.0924527065036</v>
      </c>
      <c r="D93" s="32" t="n">
        <f aca="false">IF(ISNUMBER(D92),D92/FX_EUR,"")</f>
        <v>15.0924527065036</v>
      </c>
    </row>
    <row r="94" customFormat="false" ht="15" hidden="false" customHeight="true" outlineLevel="0" collapsed="false">
      <c r="A94" s="5" t="s">
        <v>121</v>
      </c>
      <c r="B94" s="33" t="n">
        <f aca="true">OFFSET(Price_Moyenne,0,1)</f>
        <v>17500</v>
      </c>
      <c r="C94" s="33" t="n">
        <f aca="true">OFFSET(Price_Moyenne,0,2)</f>
        <v>19500</v>
      </c>
      <c r="D94" s="33" t="n">
        <f aca="true">OFFSET(Price_Moyenne,0,3)</f>
        <v>29900</v>
      </c>
      <c r="E94" s="31" t="s">
        <v>263</v>
      </c>
    </row>
    <row r="95" customFormat="false" ht="15" hidden="false" customHeight="true" outlineLevel="0" collapsed="false">
      <c r="A95" s="3" t="s">
        <v>127</v>
      </c>
      <c r="B95" s="32" t="n">
        <f aca="false">IF(ISNUMBER(B94),B94/FX_EUR,"")</f>
        <v>26.6785780165468</v>
      </c>
      <c r="C95" s="32" t="n">
        <f aca="false">IF(ISNUMBER(C94),C94/FX_EUR,"")</f>
        <v>29.727558361295</v>
      </c>
      <c r="D95" s="32" t="n">
        <f aca="false">IF(ISNUMBER(D94),D94/FX_EUR,"")</f>
        <v>45.5822561539857</v>
      </c>
    </row>
    <row r="96" customFormat="false" ht="15" hidden="false" customHeight="true" outlineLevel="0" collapsed="false">
      <c r="A96" s="5" t="s">
        <v>122</v>
      </c>
      <c r="B96" s="33" t="n">
        <f aca="true">OFFSET(Price_Grande,0,1)</f>
        <v>59500</v>
      </c>
      <c r="C96" s="33" t="n">
        <f aca="true">OFFSET(Price_Grande,0,2)</f>
        <v>69500</v>
      </c>
      <c r="D96" s="33" t="n">
        <f aca="true">OFFSET(Price_Grande,0,3)</f>
        <v>89900</v>
      </c>
      <c r="E96" s="31" t="s">
        <v>263</v>
      </c>
    </row>
    <row r="97" customFormat="false" ht="15" hidden="false" customHeight="true" outlineLevel="0" collapsed="false">
      <c r="A97" s="3" t="s">
        <v>127</v>
      </c>
      <c r="B97" s="32" t="n">
        <f aca="false">IF(ISNUMBER(B96),B96/FX_EUR,"")</f>
        <v>90.7071652562592</v>
      </c>
      <c r="C97" s="32" t="n">
        <f aca="false">IF(ISNUMBER(C96),C96/FX_EUR,"")</f>
        <v>105.95206698</v>
      </c>
      <c r="D97" s="32" t="n">
        <f aca="false">IF(ISNUMBER(D96),D96/FX_EUR,"")</f>
        <v>137.051666496432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48"/>
    <col collapsed="false" customWidth="true" hidden="false" outlineLevel="0" max="4" min="4" style="1" width="56"/>
    <col collapsed="false" customWidth="true" hidden="false" outlineLevel="0" max="5" min="5" style="1" width="44"/>
  </cols>
  <sheetData>
    <row r="1" customFormat="false" ht="17.25" hidden="false" customHeight="true" outlineLevel="0" collapsed="false">
      <c r="A1" s="8" t="s">
        <v>264</v>
      </c>
    </row>
    <row r="2" customFormat="false" ht="15" hidden="false" customHeight="true" outlineLevel="0" collapsed="false">
      <c r="A2" s="3" t="s">
        <v>265</v>
      </c>
    </row>
    <row r="5" customFormat="false" ht="15" hidden="false" customHeight="true" outlineLevel="0" collapsed="false">
      <c r="A5" s="28" t="s">
        <v>266</v>
      </c>
    </row>
    <row r="6" customFormat="false" ht="15" hidden="false" customHeight="true" outlineLevel="0" collapsed="false">
      <c r="A6" s="3" t="s">
        <v>267</v>
      </c>
    </row>
    <row r="7" customFormat="false" ht="15" hidden="false" customHeight="true" outlineLevel="0" collapsed="false">
      <c r="A7" s="29" t="s">
        <v>268</v>
      </c>
      <c r="B7" s="29" t="s">
        <v>269</v>
      </c>
      <c r="C7" s="29" t="s">
        <v>270</v>
      </c>
      <c r="D7" s="29" t="s">
        <v>271</v>
      </c>
    </row>
    <row r="8" customFormat="false" ht="45.75" hidden="false" customHeight="true" outlineLevel="0" collapsed="false">
      <c r="A8" s="30" t="s">
        <v>272</v>
      </c>
      <c r="B8" s="5" t="s">
        <v>273</v>
      </c>
      <c r="C8" s="5" t="s">
        <v>274</v>
      </c>
      <c r="D8" s="5" t="s">
        <v>275</v>
      </c>
    </row>
    <row r="9" customFormat="false" ht="34.5" hidden="false" customHeight="true" outlineLevel="0" collapsed="false">
      <c r="A9" s="30" t="s">
        <v>276</v>
      </c>
      <c r="B9" s="5" t="s">
        <v>277</v>
      </c>
      <c r="C9" s="5" t="s">
        <v>278</v>
      </c>
      <c r="D9" s="5" t="s">
        <v>279</v>
      </c>
    </row>
    <row r="10" customFormat="false" ht="23.25" hidden="false" customHeight="true" outlineLevel="0" collapsed="false">
      <c r="A10" s="30" t="s">
        <v>280</v>
      </c>
      <c r="B10" s="5" t="s">
        <v>281</v>
      </c>
      <c r="C10" s="5" t="s">
        <v>282</v>
      </c>
      <c r="D10" s="5" t="s">
        <v>283</v>
      </c>
    </row>
    <row r="11" customFormat="false" ht="15" hidden="false" customHeight="true" outlineLevel="0" collapsed="false">
      <c r="A11" s="30" t="s">
        <v>284</v>
      </c>
      <c r="B11" s="5" t="s">
        <v>285</v>
      </c>
      <c r="C11" s="5" t="s">
        <v>286</v>
      </c>
      <c r="D11" s="5" t="s">
        <v>283</v>
      </c>
    </row>
    <row r="12" customFormat="false" ht="23.25" hidden="false" customHeight="true" outlineLevel="0" collapsed="false">
      <c r="A12" s="30" t="s">
        <v>287</v>
      </c>
      <c r="B12" s="5" t="s">
        <v>288</v>
      </c>
      <c r="C12" s="5" t="s">
        <v>289</v>
      </c>
      <c r="D12" s="5" t="s">
        <v>290</v>
      </c>
    </row>
    <row r="13" customFormat="false" ht="34.5" hidden="false" customHeight="true" outlineLevel="0" collapsed="false">
      <c r="A13" s="30" t="s">
        <v>291</v>
      </c>
      <c r="B13" s="5" t="s">
        <v>292</v>
      </c>
      <c r="C13" s="5" t="s">
        <v>293</v>
      </c>
      <c r="D13" s="5" t="s">
        <v>294</v>
      </c>
    </row>
    <row r="14" customFormat="false" ht="23.25" hidden="false" customHeight="true" outlineLevel="0" collapsed="false">
      <c r="A14" s="30" t="s">
        <v>295</v>
      </c>
      <c r="B14" s="5" t="s">
        <v>296</v>
      </c>
      <c r="C14" s="5" t="s">
        <v>297</v>
      </c>
      <c r="D14" s="5" t="s">
        <v>298</v>
      </c>
    </row>
    <row r="16" customFormat="false" ht="15" hidden="false" customHeight="true" outlineLevel="0" collapsed="false">
      <c r="A16" s="28" t="s">
        <v>299</v>
      </c>
    </row>
    <row r="17" customFormat="false" ht="15" hidden="false" customHeight="true" outlineLevel="0" collapsed="false">
      <c r="A17" s="3" t="s">
        <v>300</v>
      </c>
    </row>
    <row r="18" customFormat="false" ht="15" hidden="false" customHeight="true" outlineLevel="0" collapsed="false">
      <c r="A18" s="29" t="s">
        <v>301</v>
      </c>
      <c r="B18" s="29" t="s">
        <v>302</v>
      </c>
      <c r="C18" s="29" t="s">
        <v>303</v>
      </c>
      <c r="D18" s="29" t="s">
        <v>304</v>
      </c>
      <c r="E18" s="29" t="s">
        <v>305</v>
      </c>
    </row>
    <row r="19" customFormat="false" ht="23.25" hidden="false" customHeight="true" outlineLevel="0" collapsed="false">
      <c r="A19" s="30" t="s">
        <v>306</v>
      </c>
      <c r="B19" s="5" t="s">
        <v>307</v>
      </c>
      <c r="C19" s="5" t="s">
        <v>308</v>
      </c>
      <c r="D19" s="5" t="s">
        <v>309</v>
      </c>
      <c r="E19" s="5" t="s">
        <v>310</v>
      </c>
    </row>
    <row r="20" customFormat="false" ht="34.5" hidden="false" customHeight="true" outlineLevel="0" collapsed="false">
      <c r="A20" s="30" t="s">
        <v>311</v>
      </c>
      <c r="B20" s="5" t="s">
        <v>312</v>
      </c>
      <c r="C20" s="5" t="s">
        <v>313</v>
      </c>
      <c r="D20" s="5" t="s">
        <v>314</v>
      </c>
      <c r="E20" s="5" t="s">
        <v>310</v>
      </c>
    </row>
    <row r="21" customFormat="false" ht="34.5" hidden="false" customHeight="true" outlineLevel="0" collapsed="false">
      <c r="A21" s="30" t="s">
        <v>315</v>
      </c>
      <c r="B21" s="5" t="s">
        <v>316</v>
      </c>
      <c r="C21" s="5" t="s">
        <v>317</v>
      </c>
      <c r="D21" s="5" t="s">
        <v>318</v>
      </c>
      <c r="E21" s="5" t="s">
        <v>319</v>
      </c>
    </row>
    <row r="22" customFormat="false" ht="34.5" hidden="false" customHeight="true" outlineLevel="0" collapsed="false">
      <c r="A22" s="30" t="s">
        <v>320</v>
      </c>
      <c r="B22" s="5" t="s">
        <v>321</v>
      </c>
      <c r="C22" s="5" t="s">
        <v>322</v>
      </c>
      <c r="D22" s="5" t="s">
        <v>323</v>
      </c>
      <c r="E22" s="5" t="s">
        <v>324</v>
      </c>
    </row>
    <row r="23" customFormat="false" ht="34.5" hidden="false" customHeight="true" outlineLevel="0" collapsed="false">
      <c r="A23" s="30" t="s">
        <v>325</v>
      </c>
      <c r="B23" s="5" t="s">
        <v>326</v>
      </c>
      <c r="C23" s="5" t="s">
        <v>327</v>
      </c>
      <c r="D23" s="5" t="s">
        <v>328</v>
      </c>
      <c r="E23" s="5" t="s">
        <v>329</v>
      </c>
    </row>
    <row r="24" customFormat="false" ht="23.25" hidden="false" customHeight="true" outlineLevel="0" collapsed="false">
      <c r="A24" s="30" t="s">
        <v>330</v>
      </c>
      <c r="B24" s="5" t="s">
        <v>331</v>
      </c>
      <c r="C24" s="5" t="s">
        <v>332</v>
      </c>
      <c r="D24" s="5" t="s">
        <v>333</v>
      </c>
      <c r="E24" s="5" t="s">
        <v>334</v>
      </c>
    </row>
    <row r="25" customFormat="false" ht="23.25" hidden="false" customHeight="true" outlineLevel="0" collapsed="false">
      <c r="A25" s="30" t="s">
        <v>335</v>
      </c>
      <c r="B25" s="5" t="s">
        <v>336</v>
      </c>
      <c r="C25" s="5" t="s">
        <v>337</v>
      </c>
      <c r="D25" s="5" t="s">
        <v>338</v>
      </c>
      <c r="E25" s="5" t="s">
        <v>310</v>
      </c>
    </row>
    <row r="26" customFormat="false" ht="23.25" hidden="false" customHeight="true" outlineLevel="0" collapsed="false">
      <c r="A26" s="30" t="s">
        <v>339</v>
      </c>
      <c r="B26" s="5" t="s">
        <v>340</v>
      </c>
      <c r="C26" s="5" t="s">
        <v>341</v>
      </c>
      <c r="D26" s="5" t="s">
        <v>342</v>
      </c>
      <c r="E26" s="5" t="s">
        <v>343</v>
      </c>
    </row>
    <row r="27" customFormat="false" ht="23.25" hidden="false" customHeight="true" outlineLevel="0" collapsed="false">
      <c r="A27" s="30" t="s">
        <v>344</v>
      </c>
      <c r="B27" s="5" t="s">
        <v>161</v>
      </c>
      <c r="C27" s="5" t="s">
        <v>345</v>
      </c>
      <c r="D27" s="5" t="s">
        <v>346</v>
      </c>
      <c r="E27" s="5" t="s">
        <v>347</v>
      </c>
    </row>
    <row r="29" customFormat="false" ht="15" hidden="false" customHeight="true" outlineLevel="0" collapsed="false">
      <c r="A29" s="28" t="s">
        <v>348</v>
      </c>
    </row>
    <row r="30" customFormat="false" ht="15" hidden="false" customHeight="true" outlineLevel="0" collapsed="false">
      <c r="A30" s="3" t="s">
        <v>349</v>
      </c>
    </row>
    <row r="31" customFormat="false" ht="15" hidden="false" customHeight="true" outlineLevel="0" collapsed="false">
      <c r="A31" s="29" t="s">
        <v>350</v>
      </c>
      <c r="B31" s="29" t="s">
        <v>351</v>
      </c>
      <c r="C31" s="29" t="s">
        <v>352</v>
      </c>
      <c r="D31" s="29" t="s">
        <v>305</v>
      </c>
      <c r="E31" s="29" t="s">
        <v>353</v>
      </c>
    </row>
    <row r="32" customFormat="false" ht="45.75" hidden="false" customHeight="true" outlineLevel="0" collapsed="false">
      <c r="A32" s="30" t="s">
        <v>354</v>
      </c>
      <c r="B32" s="5" t="s">
        <v>355</v>
      </c>
      <c r="C32" s="5" t="s">
        <v>356</v>
      </c>
      <c r="D32" s="5" t="s">
        <v>310</v>
      </c>
      <c r="E32" s="5" t="s">
        <v>357</v>
      </c>
    </row>
    <row r="33" customFormat="false" ht="23.25" hidden="false" customHeight="true" outlineLevel="0" collapsed="false">
      <c r="A33" s="30" t="s">
        <v>358</v>
      </c>
      <c r="B33" s="5" t="s">
        <v>359</v>
      </c>
      <c r="C33" s="5" t="s">
        <v>360</v>
      </c>
      <c r="D33" s="5" t="s">
        <v>361</v>
      </c>
      <c r="E33" s="5" t="s">
        <v>362</v>
      </c>
    </row>
    <row r="34" customFormat="false" ht="23.25" hidden="false" customHeight="true" outlineLevel="0" collapsed="false">
      <c r="A34" s="30" t="s">
        <v>363</v>
      </c>
      <c r="B34" s="5" t="s">
        <v>364</v>
      </c>
      <c r="C34" s="5" t="s">
        <v>365</v>
      </c>
      <c r="D34" s="5" t="s">
        <v>366</v>
      </c>
      <c r="E34" s="5" t="s">
        <v>367</v>
      </c>
    </row>
    <row r="35" customFormat="false" ht="23.25" hidden="false" customHeight="true" outlineLevel="0" collapsed="false">
      <c r="A35" s="30" t="s">
        <v>368</v>
      </c>
      <c r="B35" s="5" t="s">
        <v>369</v>
      </c>
      <c r="C35" s="5" t="s">
        <v>370</v>
      </c>
      <c r="D35" s="5" t="s">
        <v>371</v>
      </c>
      <c r="E35" s="5" t="s">
        <v>372</v>
      </c>
    </row>
    <row r="37" customFormat="false" ht="15" hidden="false" customHeight="true" outlineLevel="0" collapsed="false">
      <c r="A37" s="28" t="s">
        <v>373</v>
      </c>
    </row>
    <row r="38" customFormat="false" ht="15" hidden="false" customHeight="true" outlineLevel="0" collapsed="false">
      <c r="A38" s="3" t="s">
        <v>374</v>
      </c>
    </row>
    <row r="39" customFormat="false" ht="15" hidden="false" customHeight="true" outlineLevel="0" collapsed="false">
      <c r="A39" s="29" t="s">
        <v>375</v>
      </c>
      <c r="B39" s="29" t="s">
        <v>376</v>
      </c>
    </row>
    <row r="40" customFormat="false" ht="34.5" hidden="false" customHeight="true" outlineLevel="0" collapsed="false">
      <c r="A40" s="30" t="s">
        <v>377</v>
      </c>
      <c r="B40" s="5" t="s">
        <v>378</v>
      </c>
    </row>
    <row r="41" customFormat="false" ht="68.25" hidden="false" customHeight="true" outlineLevel="0" collapsed="false">
      <c r="A41" s="30" t="s">
        <v>379</v>
      </c>
      <c r="B41" s="5" t="s">
        <v>380</v>
      </c>
    </row>
    <row r="42" customFormat="false" ht="23.25" hidden="false" customHeight="true" outlineLevel="0" collapsed="false">
      <c r="A42" s="30" t="s">
        <v>381</v>
      </c>
      <c r="B42" s="5" t="s">
        <v>382</v>
      </c>
    </row>
    <row r="43" customFormat="false" ht="34.5" hidden="false" customHeight="true" outlineLevel="0" collapsed="false">
      <c r="A43" s="30" t="s">
        <v>383</v>
      </c>
      <c r="B43" s="5" t="s">
        <v>384</v>
      </c>
    </row>
    <row r="44" customFormat="false" ht="34.5" hidden="false" customHeight="true" outlineLevel="0" collapsed="false">
      <c r="A44" s="30" t="s">
        <v>385</v>
      </c>
      <c r="B44" s="5" t="s">
        <v>386</v>
      </c>
    </row>
    <row r="46" customFormat="false" ht="15" hidden="false" customHeight="true" outlineLevel="0" collapsed="false">
      <c r="A46" s="28" t="s">
        <v>387</v>
      </c>
    </row>
    <row r="47" customFormat="false" ht="15" hidden="false" customHeight="true" outlineLevel="0" collapsed="false">
      <c r="A47" s="29" t="s">
        <v>217</v>
      </c>
      <c r="B47" s="29" t="s">
        <v>388</v>
      </c>
      <c r="C47" s="29" t="s">
        <v>389</v>
      </c>
    </row>
    <row r="48" customFormat="false" ht="23.25" hidden="false" customHeight="true" outlineLevel="0" collapsed="false">
      <c r="A48" s="30" t="s">
        <v>28</v>
      </c>
      <c r="B48" s="5" t="s">
        <v>390</v>
      </c>
      <c r="C48" s="5" t="s">
        <v>391</v>
      </c>
    </row>
    <row r="49" customFormat="false" ht="34.5" hidden="false" customHeight="true" outlineLevel="0" collapsed="false">
      <c r="A49" s="30" t="s">
        <v>392</v>
      </c>
      <c r="B49" s="5" t="s">
        <v>393</v>
      </c>
      <c r="C49" s="5" t="s">
        <v>394</v>
      </c>
    </row>
    <row r="50" customFormat="false" ht="15" hidden="false" customHeight="true" outlineLevel="0" collapsed="false">
      <c r="A50" s="30" t="s">
        <v>395</v>
      </c>
      <c r="B50" s="5" t="s">
        <v>396</v>
      </c>
      <c r="C50" s="5" t="s">
        <v>397</v>
      </c>
    </row>
    <row r="51" customFormat="false" ht="15" hidden="false" customHeight="true" outlineLevel="0" collapsed="false">
      <c r="A51" s="30" t="s">
        <v>398</v>
      </c>
      <c r="B51" s="5" t="s">
        <v>399</v>
      </c>
      <c r="C51" s="5" t="s">
        <v>400</v>
      </c>
    </row>
    <row r="52" customFormat="false" ht="15" hidden="false" customHeight="true" outlineLevel="0" collapsed="false">
      <c r="A52" s="30" t="s">
        <v>62</v>
      </c>
      <c r="B52" s="5" t="s">
        <v>401</v>
      </c>
      <c r="C52" s="5" t="s">
        <v>402</v>
      </c>
    </row>
    <row r="53" customFormat="false" ht="23.25" hidden="false" customHeight="true" outlineLevel="0" collapsed="false">
      <c r="A53" s="30" t="s">
        <v>403</v>
      </c>
      <c r="B53" s="5" t="s">
        <v>404</v>
      </c>
      <c r="C53" s="5"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O2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6"/>
    <col collapsed="false" customWidth="true" hidden="false" outlineLevel="0" max="7" min="4" style="1" width="15"/>
    <col collapsed="false" customWidth="true" hidden="false" outlineLevel="0" max="8" min="8" style="1" width="18"/>
    <col collapsed="false" customWidth="true" hidden="false" outlineLevel="0" max="9" min="9" style="1" width="90"/>
    <col collapsed="false" customWidth="true" hidden="false" outlineLevel="0" max="10" min="10" style="1" width="3"/>
    <col collapsed="false" customWidth="true" hidden="false" outlineLevel="0" max="15" min="11" style="1" width="16"/>
  </cols>
  <sheetData>
    <row r="1" customFormat="false" ht="17.25" hidden="false" customHeight="true" outlineLevel="0" collapsed="false">
      <c r="A1" s="8" t="s">
        <v>406</v>
      </c>
    </row>
    <row r="2" customFormat="false" ht="15" hidden="false" customHeight="true" outlineLevel="0" collapsed="false">
      <c r="A2" s="3" t="s">
        <v>407</v>
      </c>
    </row>
    <row r="4" customFormat="false" ht="15" hidden="false" customHeight="true" outlineLevel="0" collapsed="false">
      <c r="B4" s="9" t="s">
        <v>408</v>
      </c>
      <c r="D4" s="36" t="n">
        <v>2</v>
      </c>
      <c r="E4" s="9" t="str">
        <f aca="false">CHOOSE(Scenario,"Prudent","Base","Ambitious")</f>
        <v>Base</v>
      </c>
      <c r="I4" s="3" t="s">
        <v>409</v>
      </c>
    </row>
    <row r="7" customFormat="false" ht="15" hidden="false" customHeight="true" outlineLevel="0" collapsed="false">
      <c r="B7" s="37" t="s">
        <v>410</v>
      </c>
      <c r="C7" s="37" t="s">
        <v>182</v>
      </c>
      <c r="D7" s="37" t="s">
        <v>411</v>
      </c>
      <c r="E7" s="37" t="s">
        <v>412</v>
      </c>
      <c r="F7" s="37" t="s">
        <v>413</v>
      </c>
      <c r="G7" s="37" t="s">
        <v>414</v>
      </c>
      <c r="H7" s="37" t="s">
        <v>415</v>
      </c>
      <c r="I7" s="37" t="s">
        <v>416</v>
      </c>
    </row>
    <row r="8" customFormat="false" ht="15" hidden="false" customHeight="true" outlineLevel="0" collapsed="false">
      <c r="B8" s="13" t="s">
        <v>417</v>
      </c>
      <c r="C8" s="15" t="s">
        <v>418</v>
      </c>
      <c r="D8" s="38" t="n">
        <v>46388</v>
      </c>
      <c r="I8" s="15" t="s">
        <v>419</v>
      </c>
    </row>
    <row r="9" customFormat="false" ht="15" hidden="false" customHeight="true" outlineLevel="0" collapsed="false">
      <c r="B9" s="13" t="s">
        <v>420</v>
      </c>
      <c r="C9" s="15" t="s">
        <v>77</v>
      </c>
      <c r="D9" s="39" t="n">
        <v>655.957</v>
      </c>
      <c r="I9" s="15" t="s">
        <v>421</v>
      </c>
    </row>
    <row r="10" customFormat="false" ht="15" hidden="false" customHeight="true" outlineLevel="0" collapsed="false">
      <c r="B10" s="13" t="s">
        <v>422</v>
      </c>
      <c r="C10" s="15" t="s">
        <v>77</v>
      </c>
      <c r="D10" s="40" t="n">
        <v>580</v>
      </c>
      <c r="I10" s="15" t="s">
        <v>423</v>
      </c>
    </row>
    <row r="11" customFormat="false" ht="15" hidden="false" customHeight="true" outlineLevel="0" collapsed="false">
      <c r="B11" s="13" t="s">
        <v>424</v>
      </c>
      <c r="C11" s="15" t="s">
        <v>96</v>
      </c>
      <c r="D11" s="41" t="n">
        <v>0.3</v>
      </c>
      <c r="I11" s="15" t="s">
        <v>425</v>
      </c>
    </row>
    <row r="12" customFormat="false" ht="15" hidden="false" customHeight="true" outlineLevel="0" collapsed="false">
      <c r="B12" s="13" t="s">
        <v>426</v>
      </c>
      <c r="C12" s="15" t="s">
        <v>427</v>
      </c>
      <c r="D12" s="41" t="n">
        <v>0.05</v>
      </c>
      <c r="I12" s="15" t="s">
        <v>428</v>
      </c>
    </row>
    <row r="13" customFormat="false" ht="15" hidden="false" customHeight="true" outlineLevel="0" collapsed="false">
      <c r="B13" s="13" t="s">
        <v>429</v>
      </c>
      <c r="C13" s="15" t="s">
        <v>96</v>
      </c>
      <c r="D13" s="41" t="n">
        <v>0.05</v>
      </c>
      <c r="I13" s="15" t="s">
        <v>430</v>
      </c>
    </row>
    <row r="15" customFormat="false" ht="15" hidden="false" customHeight="true" outlineLevel="0" collapsed="false">
      <c r="B15" s="37" t="s">
        <v>431</v>
      </c>
      <c r="C15" s="37" t="s">
        <v>182</v>
      </c>
      <c r="D15" s="37" t="s">
        <v>411</v>
      </c>
      <c r="E15" s="37" t="s">
        <v>412</v>
      </c>
      <c r="F15" s="37" t="s">
        <v>413</v>
      </c>
      <c r="G15" s="37" t="s">
        <v>414</v>
      </c>
      <c r="H15" s="37" t="s">
        <v>415</v>
      </c>
      <c r="I15" s="37" t="s">
        <v>416</v>
      </c>
    </row>
    <row r="16" customFormat="false" ht="15" hidden="false" customHeight="true" outlineLevel="0" collapsed="false">
      <c r="B16" s="13" t="s">
        <v>432</v>
      </c>
      <c r="C16" s="15" t="s">
        <v>74</v>
      </c>
      <c r="D16" s="42" t="n">
        <v>5</v>
      </c>
      <c r="I16" s="15" t="s">
        <v>433</v>
      </c>
    </row>
    <row r="17" customFormat="false" ht="15" hidden="false" customHeight="true" outlineLevel="0" collapsed="false">
      <c r="B17" s="13" t="s">
        <v>434</v>
      </c>
      <c r="C17" s="15" t="s">
        <v>74</v>
      </c>
      <c r="D17" s="42" t="n">
        <v>19</v>
      </c>
      <c r="I17" s="15" t="s">
        <v>435</v>
      </c>
    </row>
    <row r="18" customFormat="false" ht="15" hidden="false" customHeight="true" outlineLevel="0" collapsed="false">
      <c r="B18" s="13" t="s">
        <v>436</v>
      </c>
      <c r="C18" s="15" t="s">
        <v>74</v>
      </c>
      <c r="D18" s="42" t="n">
        <v>1</v>
      </c>
      <c r="I18" s="15" t="s">
        <v>437</v>
      </c>
    </row>
    <row r="19" customFormat="false" ht="15" hidden="false" customHeight="true" outlineLevel="0" collapsed="false">
      <c r="B19" s="13" t="s">
        <v>438</v>
      </c>
      <c r="C19" s="15" t="s">
        <v>74</v>
      </c>
      <c r="D19" s="42" t="n">
        <v>18</v>
      </c>
      <c r="I19" s="15" t="s">
        <v>439</v>
      </c>
    </row>
    <row r="20" customFormat="false" ht="15" hidden="false" customHeight="true" outlineLevel="0" collapsed="false">
      <c r="B20" s="13" t="s">
        <v>440</v>
      </c>
      <c r="C20" s="15" t="s">
        <v>74</v>
      </c>
      <c r="D20" s="42" t="n">
        <v>18</v>
      </c>
      <c r="I20" s="15" t="s">
        <v>441</v>
      </c>
    </row>
    <row r="21" customFormat="false" ht="15" hidden="false" customHeight="true" outlineLevel="0" collapsed="false">
      <c r="B21" s="13" t="s">
        <v>442</v>
      </c>
      <c r="C21" s="15" t="s">
        <v>74</v>
      </c>
      <c r="D21" s="42" t="n">
        <v>29</v>
      </c>
      <c r="I21" s="15" t="s">
        <v>443</v>
      </c>
    </row>
    <row r="22" customFormat="false" ht="15" hidden="false" customHeight="true" outlineLevel="0" collapsed="false">
      <c r="B22" s="13" t="s">
        <v>444</v>
      </c>
      <c r="C22" s="15" t="s">
        <v>74</v>
      </c>
      <c r="D22" s="42" t="n">
        <v>24</v>
      </c>
      <c r="I22" s="15" t="s">
        <v>445</v>
      </c>
    </row>
    <row r="23" customFormat="false" ht="15" hidden="false" customHeight="true" outlineLevel="0" collapsed="false">
      <c r="B23" s="13" t="s">
        <v>446</v>
      </c>
      <c r="C23" s="15" t="s">
        <v>74</v>
      </c>
      <c r="D23" s="42" t="n">
        <v>25</v>
      </c>
      <c r="I23" s="15" t="s">
        <v>447</v>
      </c>
    </row>
    <row r="24" customFormat="false" ht="15" hidden="false" customHeight="true" outlineLevel="0" collapsed="false">
      <c r="B24" s="13" t="s">
        <v>448</v>
      </c>
      <c r="C24" s="15" t="s">
        <v>74</v>
      </c>
      <c r="D24" s="42" t="n">
        <v>4</v>
      </c>
      <c r="I24" s="15"/>
    </row>
    <row r="25" customFormat="false" ht="15" hidden="false" customHeight="true" outlineLevel="0" collapsed="false">
      <c r="B25" s="13" t="s">
        <v>449</v>
      </c>
      <c r="C25" s="15" t="s">
        <v>74</v>
      </c>
      <c r="D25" s="42" t="n">
        <v>2</v>
      </c>
      <c r="I25" s="15"/>
    </row>
    <row r="26" customFormat="false" ht="15" hidden="false" customHeight="true" outlineLevel="0" collapsed="false">
      <c r="B26" s="13" t="s">
        <v>450</v>
      </c>
      <c r="C26" s="15" t="s">
        <v>74</v>
      </c>
      <c r="D26" s="42" t="n">
        <v>16</v>
      </c>
      <c r="I26" s="15"/>
    </row>
    <row r="27" customFormat="false" ht="15" hidden="false" customHeight="true" outlineLevel="0" collapsed="false">
      <c r="B27" s="13" t="s">
        <v>451</v>
      </c>
      <c r="C27" s="15" t="s">
        <v>74</v>
      </c>
      <c r="D27" s="42" t="n">
        <v>3</v>
      </c>
      <c r="I27" s="15"/>
    </row>
    <row r="28" customFormat="false" ht="15" hidden="false" customHeight="true" outlineLevel="0" collapsed="false">
      <c r="B28" s="13" t="s">
        <v>452</v>
      </c>
      <c r="C28" s="15" t="s">
        <v>74</v>
      </c>
      <c r="D28" s="42" t="n">
        <v>5</v>
      </c>
      <c r="I28" s="15"/>
    </row>
    <row r="29" customFormat="false" ht="15" hidden="false" customHeight="true" outlineLevel="0" collapsed="false">
      <c r="B29" s="13" t="s">
        <v>453</v>
      </c>
      <c r="C29" s="15" t="s">
        <v>74</v>
      </c>
      <c r="D29" s="42" t="n">
        <v>2</v>
      </c>
      <c r="I29" s="15"/>
    </row>
    <row r="30" customFormat="false" ht="15" hidden="false" customHeight="true" outlineLevel="0" collapsed="false">
      <c r="B30" s="13" t="s">
        <v>454</v>
      </c>
      <c r="C30" s="15" t="s">
        <v>74</v>
      </c>
      <c r="D30" s="42" t="n">
        <v>15</v>
      </c>
      <c r="I30" s="15" t="s">
        <v>455</v>
      </c>
    </row>
    <row r="31" customFormat="false" ht="15" hidden="false" customHeight="true" outlineLevel="0" collapsed="false">
      <c r="B31" s="13" t="s">
        <v>456</v>
      </c>
      <c r="C31" s="15" t="s">
        <v>74</v>
      </c>
      <c r="D31" s="42" t="n">
        <v>16</v>
      </c>
      <c r="I31" s="15" t="s">
        <v>457</v>
      </c>
    </row>
    <row r="32" customFormat="false" ht="15" hidden="false" customHeight="true" outlineLevel="0" collapsed="false">
      <c r="B32" s="13" t="s">
        <v>458</v>
      </c>
      <c r="C32" s="15" t="s">
        <v>74</v>
      </c>
      <c r="D32" s="42" t="n">
        <v>4</v>
      </c>
      <c r="I32" s="15" t="s">
        <v>459</v>
      </c>
    </row>
    <row r="34" customFormat="false" ht="15" hidden="false" customHeight="true" outlineLevel="0" collapsed="false">
      <c r="B34" s="37" t="s">
        <v>460</v>
      </c>
      <c r="C34" s="37" t="s">
        <v>182</v>
      </c>
      <c r="D34" s="37" t="s">
        <v>411</v>
      </c>
      <c r="E34" s="37" t="s">
        <v>412</v>
      </c>
      <c r="F34" s="37" t="s">
        <v>413</v>
      </c>
      <c r="G34" s="37" t="s">
        <v>414</v>
      </c>
      <c r="H34" s="37" t="s">
        <v>415</v>
      </c>
      <c r="I34" s="37" t="s">
        <v>416</v>
      </c>
    </row>
    <row r="35" customFormat="false" ht="15" hidden="false" customHeight="true" outlineLevel="0" collapsed="false">
      <c r="B35" s="13" t="s">
        <v>461</v>
      </c>
      <c r="C35" s="15" t="s">
        <v>89</v>
      </c>
      <c r="D35" s="43" t="n">
        <f aca="false">CHOOSE(Scenario,E35,F35,G35)</f>
        <v>8</v>
      </c>
      <c r="E35" s="44" t="n">
        <v>7</v>
      </c>
      <c r="F35" s="44" t="n">
        <v>8</v>
      </c>
      <c r="G35" s="44" t="n">
        <v>13</v>
      </c>
      <c r="I35" s="15" t="s">
        <v>462</v>
      </c>
    </row>
    <row r="36" customFormat="false" ht="15" hidden="false" customHeight="true" outlineLevel="0" collapsed="false">
      <c r="B36" s="13" t="s">
        <v>463</v>
      </c>
      <c r="C36" s="15" t="s">
        <v>464</v>
      </c>
      <c r="D36" s="45" t="n">
        <v>0.9</v>
      </c>
      <c r="I36" s="15" t="s">
        <v>465</v>
      </c>
    </row>
    <row r="37" customFormat="false" ht="15" hidden="false" customHeight="true" outlineLevel="0" collapsed="false">
      <c r="B37" s="13" t="s">
        <v>466</v>
      </c>
      <c r="C37" s="15" t="s">
        <v>89</v>
      </c>
      <c r="D37" s="43" t="n">
        <f aca="false">CHOOSE(Scenario,E37,F37,G37)</f>
        <v>8</v>
      </c>
      <c r="E37" s="44" t="n">
        <v>6</v>
      </c>
      <c r="F37" s="44" t="n">
        <v>8</v>
      </c>
      <c r="G37" s="44" t="n">
        <v>14</v>
      </c>
      <c r="I37" s="15" t="s">
        <v>467</v>
      </c>
    </row>
    <row r="38" customFormat="false" ht="15" hidden="false" customHeight="true" outlineLevel="0" collapsed="false">
      <c r="B38" s="13" t="s">
        <v>468</v>
      </c>
      <c r="C38" s="15" t="s">
        <v>89</v>
      </c>
      <c r="D38" s="43" t="n">
        <f aca="false">CHOOSE(Scenario,E38,F38,G38)</f>
        <v>6</v>
      </c>
      <c r="E38" s="44" t="n">
        <v>4</v>
      </c>
      <c r="F38" s="44" t="n">
        <v>6</v>
      </c>
      <c r="G38" s="44" t="n">
        <v>9</v>
      </c>
      <c r="I38" s="15"/>
    </row>
    <row r="39" customFormat="false" ht="15" hidden="false" customHeight="true" outlineLevel="0" collapsed="false">
      <c r="B39" s="13" t="s">
        <v>469</v>
      </c>
      <c r="C39" s="15" t="s">
        <v>470</v>
      </c>
      <c r="D39" s="41" t="n">
        <v>0.06</v>
      </c>
      <c r="I39" s="15"/>
    </row>
    <row r="40" customFormat="false" ht="15" hidden="false" customHeight="true" outlineLevel="0" collapsed="false">
      <c r="B40" s="13" t="s">
        <v>471</v>
      </c>
      <c r="C40" s="15" t="s">
        <v>472</v>
      </c>
      <c r="D40" s="40" t="n">
        <v>80</v>
      </c>
      <c r="I40" s="15"/>
    </row>
    <row r="41" customFormat="false" ht="15" hidden="false" customHeight="true" outlineLevel="0" collapsed="false">
      <c r="B41" s="13" t="s">
        <v>473</v>
      </c>
      <c r="C41" s="15" t="s">
        <v>472</v>
      </c>
      <c r="D41" s="40" t="n">
        <v>60</v>
      </c>
      <c r="I41" s="15"/>
    </row>
    <row r="42" customFormat="false" ht="15" hidden="false" customHeight="true" outlineLevel="0" collapsed="false">
      <c r="B42" s="13" t="s">
        <v>474</v>
      </c>
      <c r="C42" s="15" t="s">
        <v>77</v>
      </c>
      <c r="D42" s="33" t="n">
        <f aca="false">CHOOSE(Scenario,E42,F42,G42)</f>
        <v>75000</v>
      </c>
      <c r="E42" s="40" t="n">
        <v>100000</v>
      </c>
      <c r="F42" s="40" t="n">
        <v>75000</v>
      </c>
      <c r="G42" s="40" t="n">
        <v>55000</v>
      </c>
      <c r="H42" s="46" t="n">
        <f aca="false">D42/FX_EUR</f>
        <v>114.336762928058</v>
      </c>
      <c r="I42" s="15" t="s">
        <v>475</v>
      </c>
    </row>
    <row r="43" customFormat="false" ht="15" hidden="false" customHeight="true" outlineLevel="0" collapsed="false">
      <c r="B43" s="13" t="s">
        <v>476</v>
      </c>
      <c r="C43" s="15" t="s">
        <v>96</v>
      </c>
      <c r="D43" s="41" t="n">
        <v>0.6</v>
      </c>
      <c r="I43" s="15" t="s">
        <v>477</v>
      </c>
    </row>
    <row r="44" customFormat="false" ht="15" hidden="false" customHeight="true" outlineLevel="0" collapsed="false">
      <c r="B44" s="13" t="s">
        <v>478</v>
      </c>
      <c r="C44" s="15" t="s">
        <v>96</v>
      </c>
      <c r="D44" s="41" t="n">
        <v>0.3</v>
      </c>
      <c r="I44" s="15" t="s">
        <v>479</v>
      </c>
    </row>
    <row r="45" customFormat="false" ht="15" hidden="false" customHeight="true" outlineLevel="0" collapsed="false">
      <c r="B45" s="13" t="s">
        <v>480</v>
      </c>
      <c r="C45" s="15" t="s">
        <v>96</v>
      </c>
      <c r="D45" s="41" t="n">
        <v>0.1</v>
      </c>
      <c r="I45" s="15"/>
    </row>
    <row r="46" customFormat="false" ht="15" hidden="false" customHeight="true" outlineLevel="0" collapsed="false">
      <c r="B46" s="13" t="s">
        <v>481</v>
      </c>
      <c r="C46" s="15" t="s">
        <v>470</v>
      </c>
      <c r="D46" s="34" t="n">
        <f aca="false">CHOOSE(Scenario,E46,F46,G46)</f>
        <v>0.02</v>
      </c>
      <c r="E46" s="47" t="n">
        <v>0.03</v>
      </c>
      <c r="F46" s="47" t="n">
        <v>0.02</v>
      </c>
      <c r="G46" s="47" t="n">
        <v>0.015</v>
      </c>
      <c r="I46" s="15" t="s">
        <v>482</v>
      </c>
    </row>
    <row r="47" customFormat="false" ht="15" hidden="false" customHeight="true" outlineLevel="0" collapsed="false">
      <c r="B47" s="13" t="s">
        <v>483</v>
      </c>
      <c r="C47" s="15" t="s">
        <v>470</v>
      </c>
      <c r="D47" s="34" t="n">
        <f aca="false">CHOOSE(Scenario,E47,F47,G47)</f>
        <v>0.0125</v>
      </c>
      <c r="E47" s="47" t="n">
        <v>0.02</v>
      </c>
      <c r="F47" s="47" t="n">
        <v>0.0125</v>
      </c>
      <c r="G47" s="47" t="n">
        <v>0.01</v>
      </c>
      <c r="I47" s="15"/>
    </row>
    <row r="48" customFormat="false" ht="15" hidden="false" customHeight="true" outlineLevel="0" collapsed="false">
      <c r="B48" s="13" t="s">
        <v>484</v>
      </c>
      <c r="C48" s="15" t="s">
        <v>470</v>
      </c>
      <c r="D48" s="34" t="n">
        <f aca="false">CHOOSE(Scenario,E48,F48,G48)</f>
        <v>0.0075</v>
      </c>
      <c r="E48" s="47" t="n">
        <v>0.015</v>
      </c>
      <c r="F48" s="47" t="n">
        <v>0.0075</v>
      </c>
      <c r="G48" s="47" t="n">
        <v>0.005</v>
      </c>
      <c r="I48" s="15"/>
    </row>
    <row r="49" customFormat="false" ht="15" hidden="false" customHeight="true" outlineLevel="0" collapsed="false">
      <c r="B49" s="13" t="s">
        <v>485</v>
      </c>
      <c r="C49" s="15" t="s">
        <v>77</v>
      </c>
      <c r="D49" s="40" t="n">
        <v>25000</v>
      </c>
      <c r="H49" s="46" t="n">
        <f aca="false">D49/FX_EUR</f>
        <v>38.1122543093526</v>
      </c>
      <c r="I49" s="15" t="s">
        <v>486</v>
      </c>
    </row>
    <row r="50" customFormat="false" ht="15" hidden="false" customHeight="true" outlineLevel="0" collapsed="false">
      <c r="B50" s="13" t="s">
        <v>487</v>
      </c>
      <c r="C50" s="15" t="s">
        <v>104</v>
      </c>
      <c r="D50" s="40" t="n">
        <v>75000</v>
      </c>
      <c r="H50" s="46" t="n">
        <f aca="false">D50/FX_EUR</f>
        <v>114.336762928058</v>
      </c>
      <c r="I50" s="15" t="s">
        <v>488</v>
      </c>
    </row>
    <row r="52" customFormat="false" ht="15" hidden="false" customHeight="true" outlineLevel="0" collapsed="false">
      <c r="B52" s="37" t="s">
        <v>489</v>
      </c>
      <c r="C52" s="37" t="s">
        <v>182</v>
      </c>
      <c r="D52" s="37" t="s">
        <v>411</v>
      </c>
      <c r="E52" s="37" t="s">
        <v>412</v>
      </c>
      <c r="F52" s="37" t="s">
        <v>413</v>
      </c>
      <c r="G52" s="37" t="s">
        <v>414</v>
      </c>
      <c r="H52" s="37" t="s">
        <v>415</v>
      </c>
      <c r="I52" s="37" t="s">
        <v>416</v>
      </c>
    </row>
    <row r="53" customFormat="false" ht="15" hidden="false" customHeight="true" outlineLevel="0" collapsed="false">
      <c r="B53" s="13" t="s">
        <v>490</v>
      </c>
      <c r="C53" s="15" t="s">
        <v>491</v>
      </c>
      <c r="D53" s="42" t="n">
        <v>2</v>
      </c>
      <c r="I53" s="15" t="s">
        <v>492</v>
      </c>
    </row>
    <row r="55" customFormat="false" ht="15" hidden="false" customHeight="true" outlineLevel="0" collapsed="false">
      <c r="B55" s="37" t="s">
        <v>493</v>
      </c>
      <c r="C55" s="37" t="s">
        <v>182</v>
      </c>
      <c r="D55" s="37" t="s">
        <v>411</v>
      </c>
      <c r="E55" s="37" t="s">
        <v>494</v>
      </c>
      <c r="F55" s="37" t="s">
        <v>495</v>
      </c>
      <c r="G55" s="37" t="s">
        <v>496</v>
      </c>
      <c r="H55" s="37" t="s">
        <v>415</v>
      </c>
      <c r="I55" s="37" t="s">
        <v>416</v>
      </c>
    </row>
    <row r="56" customFormat="false" ht="15" hidden="false" customHeight="true" outlineLevel="0" collapsed="false">
      <c r="B56" s="13" t="s">
        <v>497</v>
      </c>
      <c r="C56" s="15" t="s">
        <v>104</v>
      </c>
      <c r="D56" s="33" t="n">
        <f aca="false">CHOOSE(Pricing_Option,E56,F56,G56)</f>
        <v>9900</v>
      </c>
      <c r="E56" s="40" t="n">
        <v>7500</v>
      </c>
      <c r="F56" s="40" t="n">
        <v>9900</v>
      </c>
      <c r="G56" s="40" t="n">
        <v>9900</v>
      </c>
      <c r="H56" s="46" t="n">
        <f aca="false">D56/FX_EUR</f>
        <v>15.0924527065036</v>
      </c>
      <c r="I56" s="15" t="s">
        <v>498</v>
      </c>
    </row>
    <row r="57" customFormat="false" ht="15" hidden="false" customHeight="true" outlineLevel="0" collapsed="false">
      <c r="B57" s="13" t="s">
        <v>499</v>
      </c>
      <c r="C57" s="15" t="s">
        <v>104</v>
      </c>
      <c r="D57" s="33" t="n">
        <f aca="false">CHOOSE(Pricing_Option,E57,F57,G57)</f>
        <v>19500</v>
      </c>
      <c r="E57" s="40" t="n">
        <v>17500</v>
      </c>
      <c r="F57" s="40" t="n">
        <v>19500</v>
      </c>
      <c r="G57" s="40" t="n">
        <v>29900</v>
      </c>
      <c r="H57" s="46" t="n">
        <f aca="false">D57/FX_EUR</f>
        <v>29.727558361295</v>
      </c>
      <c r="I57" s="15" t="s">
        <v>500</v>
      </c>
    </row>
    <row r="58" customFormat="false" ht="15" hidden="false" customHeight="true" outlineLevel="0" collapsed="false">
      <c r="B58" s="13" t="s">
        <v>501</v>
      </c>
      <c r="C58" s="15" t="s">
        <v>104</v>
      </c>
      <c r="D58" s="33" t="n">
        <f aca="false">CHOOSE(Pricing_Option,E58,F58,G58)</f>
        <v>69500</v>
      </c>
      <c r="E58" s="40" t="n">
        <v>59500</v>
      </c>
      <c r="F58" s="40" t="n">
        <v>69500</v>
      </c>
      <c r="G58" s="40" t="n">
        <v>89900</v>
      </c>
      <c r="H58" s="46" t="n">
        <f aca="false">D58/FX_EUR</f>
        <v>105.95206698</v>
      </c>
      <c r="I58" s="15" t="s">
        <v>502</v>
      </c>
    </row>
    <row r="60" customFormat="false" ht="15" hidden="false" customHeight="true" outlineLevel="0" collapsed="false">
      <c r="B60" s="37" t="s">
        <v>503</v>
      </c>
      <c r="C60" s="37" t="s">
        <v>182</v>
      </c>
      <c r="D60" s="37" t="s">
        <v>411</v>
      </c>
      <c r="E60" s="37" t="s">
        <v>412</v>
      </c>
      <c r="F60" s="37" t="s">
        <v>413</v>
      </c>
      <c r="G60" s="37" t="s">
        <v>414</v>
      </c>
      <c r="H60" s="37" t="s">
        <v>415</v>
      </c>
      <c r="I60" s="37" t="s">
        <v>416</v>
      </c>
    </row>
    <row r="61" customFormat="false" ht="15" hidden="false" customHeight="true" outlineLevel="0" collapsed="false">
      <c r="B61" s="13" t="s">
        <v>504</v>
      </c>
      <c r="C61" s="15" t="s">
        <v>427</v>
      </c>
      <c r="D61" s="41" t="n">
        <v>0</v>
      </c>
      <c r="I61" s="15"/>
    </row>
    <row r="62" customFormat="false" ht="15" hidden="false" customHeight="true" outlineLevel="0" collapsed="false">
      <c r="B62" s="13" t="s">
        <v>505</v>
      </c>
      <c r="C62" s="15" t="s">
        <v>108</v>
      </c>
      <c r="D62" s="42" t="n">
        <v>1</v>
      </c>
      <c r="I62" s="15" t="s">
        <v>506</v>
      </c>
    </row>
    <row r="63" customFormat="false" ht="15" hidden="false" customHeight="true" outlineLevel="0" collapsed="false">
      <c r="B63" s="13" t="s">
        <v>507</v>
      </c>
      <c r="C63" s="15" t="s">
        <v>96</v>
      </c>
      <c r="D63" s="41" t="n">
        <v>0.3</v>
      </c>
      <c r="I63" s="15"/>
    </row>
    <row r="64" customFormat="false" ht="15" hidden="false" customHeight="true" outlineLevel="0" collapsed="false">
      <c r="B64" s="13" t="s">
        <v>508</v>
      </c>
      <c r="C64" s="15" t="s">
        <v>108</v>
      </c>
      <c r="D64" s="42" t="n">
        <v>2</v>
      </c>
      <c r="I64" s="15" t="s">
        <v>509</v>
      </c>
    </row>
    <row r="65" customFormat="false" ht="15" hidden="false" customHeight="true" outlineLevel="0" collapsed="false">
      <c r="B65" s="13" t="s">
        <v>510</v>
      </c>
      <c r="C65" s="15" t="s">
        <v>511</v>
      </c>
      <c r="D65" s="40" t="n">
        <v>2</v>
      </c>
      <c r="I65" s="15" t="s">
        <v>512</v>
      </c>
    </row>
    <row r="66" customFormat="false" ht="15" hidden="false" customHeight="true" outlineLevel="0" collapsed="false">
      <c r="B66" s="13" t="s">
        <v>513</v>
      </c>
      <c r="C66" s="15" t="s">
        <v>511</v>
      </c>
      <c r="D66" s="40" t="n">
        <v>3</v>
      </c>
      <c r="I66" s="15"/>
    </row>
    <row r="67" customFormat="false" ht="15" hidden="false" customHeight="true" outlineLevel="0" collapsed="false">
      <c r="B67" s="13" t="s">
        <v>514</v>
      </c>
      <c r="C67" s="15" t="s">
        <v>511</v>
      </c>
      <c r="D67" s="40" t="n">
        <v>10</v>
      </c>
      <c r="I67" s="15"/>
    </row>
    <row r="68" customFormat="false" ht="15" hidden="false" customHeight="true" outlineLevel="0" collapsed="false">
      <c r="B68" s="13" t="s">
        <v>515</v>
      </c>
      <c r="C68" s="15" t="s">
        <v>516</v>
      </c>
      <c r="D68" s="40" t="n">
        <v>30</v>
      </c>
      <c r="I68" s="15" t="s">
        <v>517</v>
      </c>
    </row>
    <row r="69" customFormat="false" ht="15" hidden="false" customHeight="true" outlineLevel="0" collapsed="false">
      <c r="B69" s="13" t="s">
        <v>518</v>
      </c>
      <c r="C69" s="15" t="s">
        <v>516</v>
      </c>
      <c r="D69" s="40" t="n">
        <v>100</v>
      </c>
      <c r="I69" s="15" t="s">
        <v>519</v>
      </c>
    </row>
    <row r="70" customFormat="false" ht="15" hidden="false" customHeight="true" outlineLevel="0" collapsed="false">
      <c r="B70" s="13" t="s">
        <v>520</v>
      </c>
      <c r="C70" s="15" t="s">
        <v>516</v>
      </c>
      <c r="D70" s="40" t="n">
        <v>400</v>
      </c>
      <c r="I70" s="15" t="s">
        <v>521</v>
      </c>
    </row>
    <row r="71" customFormat="false" ht="15" hidden="false" customHeight="true" outlineLevel="0" collapsed="false">
      <c r="B71" s="13" t="s">
        <v>522</v>
      </c>
      <c r="C71" s="15" t="s">
        <v>523</v>
      </c>
      <c r="D71" s="40" t="n">
        <v>1</v>
      </c>
      <c r="I71" s="15" t="s">
        <v>524</v>
      </c>
    </row>
    <row r="72" customFormat="false" ht="15" hidden="false" customHeight="true" outlineLevel="0" collapsed="false">
      <c r="B72" s="13" t="s">
        <v>525</v>
      </c>
      <c r="C72" s="15" t="s">
        <v>523</v>
      </c>
      <c r="D72" s="40" t="n">
        <v>1</v>
      </c>
      <c r="I72" s="15"/>
    </row>
    <row r="73" customFormat="false" ht="15" hidden="false" customHeight="true" outlineLevel="0" collapsed="false">
      <c r="B73" s="13" t="s">
        <v>526</v>
      </c>
      <c r="C73" s="15" t="s">
        <v>523</v>
      </c>
      <c r="D73" s="40" t="n">
        <v>1</v>
      </c>
      <c r="I73" s="15"/>
    </row>
    <row r="74" customFormat="false" ht="15" hidden="false" customHeight="true" outlineLevel="0" collapsed="false">
      <c r="B74" s="13" t="s">
        <v>527</v>
      </c>
      <c r="C74" s="15" t="s">
        <v>104</v>
      </c>
      <c r="D74" s="40" t="n">
        <v>3000000</v>
      </c>
      <c r="H74" s="46" t="n">
        <f aca="false">D74/FX_EUR</f>
        <v>4573.47051712231</v>
      </c>
      <c r="I74" s="15" t="s">
        <v>528</v>
      </c>
    </row>
    <row r="75" customFormat="false" ht="15" hidden="false" customHeight="true" outlineLevel="0" collapsed="false">
      <c r="B75" s="13" t="s">
        <v>529</v>
      </c>
      <c r="C75" s="15" t="s">
        <v>104</v>
      </c>
      <c r="D75" s="40" t="n">
        <v>15000000</v>
      </c>
      <c r="H75" s="46" t="n">
        <f aca="false">D75/FX_EUR</f>
        <v>22867.3525856116</v>
      </c>
      <c r="I75" s="15"/>
    </row>
    <row r="76" customFormat="false" ht="15" hidden="false" customHeight="true" outlineLevel="0" collapsed="false">
      <c r="B76" s="13" t="s">
        <v>530</v>
      </c>
      <c r="C76" s="15" t="s">
        <v>104</v>
      </c>
      <c r="D76" s="40" t="n">
        <v>60000000</v>
      </c>
      <c r="H76" s="46" t="n">
        <f aca="false">D76/FX_EUR</f>
        <v>91469.4103424462</v>
      </c>
      <c r="I76" s="15"/>
    </row>
    <row r="77" customFormat="false" ht="15" hidden="false" customHeight="true" outlineLevel="0" collapsed="false">
      <c r="B77" s="13" t="s">
        <v>531</v>
      </c>
      <c r="C77" s="15" t="s">
        <v>104</v>
      </c>
      <c r="D77" s="40" t="n">
        <v>2500</v>
      </c>
      <c r="H77" s="46" t="n">
        <f aca="false">D77/FX_EUR</f>
        <v>3.81122543093526</v>
      </c>
      <c r="I77" s="15"/>
    </row>
    <row r="78" customFormat="false" ht="15" hidden="false" customHeight="true" outlineLevel="0" collapsed="false">
      <c r="B78" s="13" t="s">
        <v>532</v>
      </c>
      <c r="C78" s="15" t="s">
        <v>104</v>
      </c>
      <c r="D78" s="40" t="n">
        <v>0</v>
      </c>
      <c r="H78" s="46" t="n">
        <f aca="false">D78/FX_EUR</f>
        <v>0</v>
      </c>
      <c r="I78" s="15" t="s">
        <v>533</v>
      </c>
    </row>
    <row r="79" customFormat="false" ht="15" hidden="false" customHeight="true" outlineLevel="0" collapsed="false">
      <c r="B79" s="13" t="s">
        <v>534</v>
      </c>
      <c r="C79" s="15" t="s">
        <v>104</v>
      </c>
      <c r="D79" s="40" t="n">
        <v>200000</v>
      </c>
      <c r="H79" s="46" t="n">
        <f aca="false">D79/FX_EUR</f>
        <v>304.898034474821</v>
      </c>
      <c r="I79" s="15" t="s">
        <v>535</v>
      </c>
    </row>
    <row r="80" customFormat="false" ht="15" hidden="false" customHeight="true" outlineLevel="0" collapsed="false">
      <c r="B80" s="13" t="s">
        <v>536</v>
      </c>
      <c r="C80" s="15" t="s">
        <v>104</v>
      </c>
      <c r="D80" s="40" t="n">
        <v>1000000</v>
      </c>
      <c r="H80" s="46" t="n">
        <f aca="false">D80/FX_EUR</f>
        <v>1524.4901723741</v>
      </c>
      <c r="I80" s="15"/>
    </row>
    <row r="81" customFormat="false" ht="15" hidden="false" customHeight="true" outlineLevel="0" collapsed="false">
      <c r="B81" s="13" t="s">
        <v>537</v>
      </c>
      <c r="C81" s="15" t="s">
        <v>104</v>
      </c>
      <c r="D81" s="40" t="n">
        <v>5000000</v>
      </c>
      <c r="H81" s="46" t="n">
        <f aca="false">D81/FX_EUR</f>
        <v>7622.45086187052</v>
      </c>
      <c r="I81" s="15"/>
    </row>
    <row r="82" customFormat="false" ht="15" hidden="false" customHeight="true" outlineLevel="0" collapsed="false">
      <c r="B82" s="13" t="s">
        <v>538</v>
      </c>
      <c r="C82" s="15" t="s">
        <v>193</v>
      </c>
      <c r="D82" s="47" t="n">
        <v>0.0125</v>
      </c>
      <c r="I82" s="15" t="s">
        <v>539</v>
      </c>
    </row>
    <row r="83" customFormat="false" ht="15" hidden="false" customHeight="true" outlineLevel="0" collapsed="false">
      <c r="B83" s="13" t="s">
        <v>195</v>
      </c>
      <c r="C83" s="15" t="s">
        <v>190</v>
      </c>
      <c r="D83" s="40" t="n">
        <v>8500</v>
      </c>
      <c r="H83" s="46" t="n">
        <f aca="false">D83/FX_EUR</f>
        <v>12.9581664651799</v>
      </c>
      <c r="I83" s="15" t="s">
        <v>540</v>
      </c>
    </row>
    <row r="84" customFormat="false" ht="15" hidden="false" customHeight="true" outlineLevel="0" collapsed="false">
      <c r="B84" s="13" t="s">
        <v>541</v>
      </c>
      <c r="C84" s="15" t="s">
        <v>77</v>
      </c>
      <c r="D84" s="40" t="n">
        <v>6500</v>
      </c>
      <c r="H84" s="46" t="n">
        <f aca="false">D84/FX_EUR</f>
        <v>9.90918612043168</v>
      </c>
      <c r="I84" s="15" t="s">
        <v>542</v>
      </c>
    </row>
    <row r="85" customFormat="false" ht="15" hidden="false" customHeight="true" outlineLevel="0" collapsed="false">
      <c r="B85" s="13" t="s">
        <v>543</v>
      </c>
      <c r="C85" s="15" t="s">
        <v>198</v>
      </c>
      <c r="D85" s="40" t="n">
        <v>200</v>
      </c>
      <c r="H85" s="46" t="n">
        <f aca="false">D85/FX_EUR</f>
        <v>0.304898034474821</v>
      </c>
      <c r="I85" s="15" t="s">
        <v>544</v>
      </c>
    </row>
    <row r="86" customFormat="false" ht="15" hidden="false" customHeight="true" outlineLevel="0" collapsed="false">
      <c r="B86" s="13" t="s">
        <v>545</v>
      </c>
      <c r="C86" s="15" t="s">
        <v>77</v>
      </c>
      <c r="D86" s="40" t="n">
        <v>25000</v>
      </c>
      <c r="H86" s="46" t="n">
        <f aca="false">D86/FX_EUR</f>
        <v>38.1122543093526</v>
      </c>
      <c r="I86" s="15" t="s">
        <v>546</v>
      </c>
    </row>
    <row r="87" customFormat="false" ht="15" hidden="false" customHeight="true" outlineLevel="0" collapsed="false">
      <c r="B87" s="13" t="s">
        <v>547</v>
      </c>
      <c r="C87" s="15" t="s">
        <v>96</v>
      </c>
      <c r="D87" s="47" t="n">
        <v>0.03</v>
      </c>
      <c r="I87" s="15" t="s">
        <v>548</v>
      </c>
    </row>
    <row r="88" customFormat="false" ht="15" hidden="false" customHeight="true" outlineLevel="0" collapsed="false">
      <c r="B88" s="13" t="s">
        <v>549</v>
      </c>
      <c r="C88" s="15" t="s">
        <v>550</v>
      </c>
      <c r="D88" s="47" t="n">
        <v>0</v>
      </c>
      <c r="I88" s="15" t="s">
        <v>551</v>
      </c>
    </row>
    <row r="89" customFormat="false" ht="15" hidden="false" customHeight="true" outlineLevel="0" collapsed="false">
      <c r="B89" s="13" t="s">
        <v>552</v>
      </c>
      <c r="C89" s="15" t="s">
        <v>464</v>
      </c>
      <c r="D89" s="48" t="n">
        <f aca="false">CHOOSE(Scenario,E89,F89,G89)</f>
        <v>1</v>
      </c>
      <c r="E89" s="45" t="n">
        <v>0.6</v>
      </c>
      <c r="F89" s="45" t="n">
        <v>1</v>
      </c>
      <c r="G89" s="45" t="n">
        <v>1</v>
      </c>
      <c r="I89" s="15" t="s">
        <v>553</v>
      </c>
    </row>
    <row r="90" customFormat="false" ht="15" hidden="false" customHeight="true" outlineLevel="0" collapsed="false">
      <c r="B90" s="13" t="s">
        <v>554</v>
      </c>
      <c r="C90" s="15" t="s">
        <v>96</v>
      </c>
      <c r="D90" s="47" t="n">
        <v>0</v>
      </c>
      <c r="I90" s="15" t="s">
        <v>555</v>
      </c>
    </row>
    <row r="91" customFormat="false" ht="15" hidden="false" customHeight="true" outlineLevel="0" collapsed="false">
      <c r="B91" s="13" t="s">
        <v>237</v>
      </c>
      <c r="C91" s="15" t="s">
        <v>427</v>
      </c>
      <c r="D91" s="47" t="n">
        <v>0</v>
      </c>
      <c r="I91" s="15" t="s">
        <v>556</v>
      </c>
    </row>
    <row r="92" customFormat="false" ht="15" hidden="false" customHeight="true" outlineLevel="0" collapsed="false">
      <c r="B92" s="13" t="s">
        <v>557</v>
      </c>
      <c r="C92" s="15" t="s">
        <v>77</v>
      </c>
      <c r="D92" s="40" t="n">
        <v>450</v>
      </c>
      <c r="H92" s="46" t="n">
        <f aca="false">D92/FX_EUR</f>
        <v>0.686020577568347</v>
      </c>
      <c r="I92" s="15" t="s">
        <v>558</v>
      </c>
    </row>
    <row r="93" customFormat="false" ht="15" hidden="false" customHeight="true" outlineLevel="0" collapsed="false">
      <c r="B93" s="13" t="s">
        <v>559</v>
      </c>
      <c r="C93" s="15" t="s">
        <v>96</v>
      </c>
      <c r="D93" s="47" t="n">
        <v>0.012</v>
      </c>
      <c r="I93" s="15" t="s">
        <v>560</v>
      </c>
    </row>
    <row r="94" customFormat="false" ht="15" hidden="false" customHeight="true" outlineLevel="0" collapsed="false">
      <c r="B94" s="13" t="s">
        <v>561</v>
      </c>
      <c r="C94" s="15" t="s">
        <v>96</v>
      </c>
      <c r="D94" s="34" t="n">
        <f aca="false">CHOOSE(Scenario,E94,F94,G94)</f>
        <v>0.01</v>
      </c>
      <c r="E94" s="47" t="n">
        <v>0.012</v>
      </c>
      <c r="F94" s="47" t="n">
        <v>0.01</v>
      </c>
      <c r="G94" s="47" t="n">
        <v>0.005</v>
      </c>
      <c r="I94" s="15" t="s">
        <v>562</v>
      </c>
    </row>
    <row r="95" customFormat="false" ht="15" hidden="false" customHeight="true" outlineLevel="0" collapsed="false">
      <c r="B95" s="13" t="s">
        <v>563</v>
      </c>
      <c r="C95" s="15" t="s">
        <v>96</v>
      </c>
      <c r="D95" s="41" t="n">
        <v>0.7</v>
      </c>
      <c r="I95" s="15" t="s">
        <v>564</v>
      </c>
    </row>
    <row r="96" customFormat="false" ht="15" hidden="false" customHeight="true" outlineLevel="0" collapsed="false">
      <c r="B96" s="13" t="s">
        <v>565</v>
      </c>
      <c r="C96" s="15" t="s">
        <v>96</v>
      </c>
      <c r="D96" s="41" t="n">
        <v>0.25</v>
      </c>
      <c r="I96" s="15"/>
    </row>
    <row r="97" customFormat="false" ht="15" hidden="false" customHeight="true" outlineLevel="0" collapsed="false">
      <c r="B97" s="13" t="s">
        <v>566</v>
      </c>
      <c r="C97" s="15" t="s">
        <v>108</v>
      </c>
      <c r="D97" s="42" t="n">
        <v>12</v>
      </c>
      <c r="I97" s="15"/>
    </row>
    <row r="99" customFormat="false" ht="15" hidden="false" customHeight="true" outlineLevel="0" collapsed="false">
      <c r="B99" s="37" t="s">
        <v>567</v>
      </c>
      <c r="C99" s="37" t="s">
        <v>182</v>
      </c>
      <c r="D99" s="37" t="s">
        <v>411</v>
      </c>
      <c r="E99" s="37" t="s">
        <v>412</v>
      </c>
      <c r="F99" s="37" t="s">
        <v>413</v>
      </c>
      <c r="G99" s="37" t="s">
        <v>414</v>
      </c>
      <c r="H99" s="37" t="s">
        <v>415</v>
      </c>
      <c r="I99" s="37" t="s">
        <v>416</v>
      </c>
    </row>
    <row r="100" customFormat="false" ht="15" hidden="false" customHeight="true" outlineLevel="0" collapsed="false">
      <c r="B100" s="13" t="s">
        <v>568</v>
      </c>
      <c r="C100" s="15" t="s">
        <v>74</v>
      </c>
      <c r="D100" s="42" t="n">
        <v>11</v>
      </c>
      <c r="I100" s="15" t="s">
        <v>569</v>
      </c>
    </row>
    <row r="101" customFormat="false" ht="15" hidden="false" customHeight="true" outlineLevel="0" collapsed="false">
      <c r="B101" s="13" t="s">
        <v>570</v>
      </c>
      <c r="C101" s="15" t="s">
        <v>203</v>
      </c>
      <c r="D101" s="40" t="n">
        <v>900</v>
      </c>
      <c r="H101" s="46" t="n">
        <f aca="false">D101/FX_EUR</f>
        <v>1.37204115513669</v>
      </c>
      <c r="I101" s="15" t="s">
        <v>571</v>
      </c>
    </row>
    <row r="102" customFormat="false" ht="15" hidden="false" customHeight="true" outlineLevel="0" collapsed="false">
      <c r="B102" s="13" t="s">
        <v>572</v>
      </c>
      <c r="C102" s="15" t="s">
        <v>96</v>
      </c>
      <c r="D102" s="41" t="n">
        <v>0.4</v>
      </c>
      <c r="I102" s="15" t="s">
        <v>573</v>
      </c>
    </row>
    <row r="103" customFormat="false" ht="15" hidden="false" customHeight="true" outlineLevel="0" collapsed="false">
      <c r="B103" s="13" t="s">
        <v>574</v>
      </c>
      <c r="C103" s="15" t="s">
        <v>108</v>
      </c>
      <c r="D103" s="42" t="n">
        <v>12</v>
      </c>
      <c r="I103" s="15"/>
    </row>
    <row r="104" customFormat="false" ht="15" hidden="false" customHeight="true" outlineLevel="0" collapsed="false">
      <c r="B104" s="13" t="s">
        <v>575</v>
      </c>
      <c r="C104" s="15" t="s">
        <v>203</v>
      </c>
      <c r="D104" s="40" t="n">
        <v>15</v>
      </c>
      <c r="H104" s="46" t="n">
        <f aca="false">D104/FX_EUR</f>
        <v>0.0228673525856116</v>
      </c>
      <c r="I104" s="15" t="s">
        <v>576</v>
      </c>
    </row>
    <row r="105" customFormat="false" ht="15" hidden="false" customHeight="true" outlineLevel="0" collapsed="false">
      <c r="B105" s="13" t="s">
        <v>577</v>
      </c>
      <c r="C105" s="15" t="s">
        <v>74</v>
      </c>
      <c r="D105" s="42" t="n">
        <v>13</v>
      </c>
      <c r="I105" s="15" t="s">
        <v>578</v>
      </c>
    </row>
    <row r="106" customFormat="false" ht="15" hidden="false" customHeight="true" outlineLevel="0" collapsed="false">
      <c r="B106" s="13" t="s">
        <v>579</v>
      </c>
      <c r="C106" s="15" t="s">
        <v>193</v>
      </c>
      <c r="D106" s="47" t="n">
        <v>0.038</v>
      </c>
      <c r="I106" s="15" t="s">
        <v>580</v>
      </c>
    </row>
    <row r="107" customFormat="false" ht="15" hidden="false" customHeight="true" outlineLevel="0" collapsed="false">
      <c r="B107" s="13" t="s">
        <v>581</v>
      </c>
      <c r="C107" s="15" t="s">
        <v>193</v>
      </c>
      <c r="D107" s="47" t="n">
        <v>0.027</v>
      </c>
      <c r="I107" s="15" t="s">
        <v>582</v>
      </c>
    </row>
    <row r="108" customFormat="false" ht="15" hidden="false" customHeight="true" outlineLevel="0" collapsed="false">
      <c r="B108" s="13" t="s">
        <v>583</v>
      </c>
      <c r="C108" s="15" t="s">
        <v>198</v>
      </c>
      <c r="D108" s="40" t="n">
        <v>1500</v>
      </c>
      <c r="H108" s="46" t="n">
        <f aca="false">D108/FX_EUR</f>
        <v>2.28673525856116</v>
      </c>
      <c r="I108" s="15" t="s">
        <v>584</v>
      </c>
    </row>
    <row r="109" customFormat="false" ht="15" hidden="false" customHeight="true" outlineLevel="0" collapsed="false">
      <c r="B109" s="13" t="s">
        <v>585</v>
      </c>
      <c r="C109" s="15" t="s">
        <v>77</v>
      </c>
      <c r="D109" s="40" t="n">
        <v>1000000</v>
      </c>
      <c r="H109" s="46" t="n">
        <f aca="false">D109/FX_EUR</f>
        <v>1524.4901723741</v>
      </c>
      <c r="I109" s="15" t="s">
        <v>586</v>
      </c>
    </row>
    <row r="110" customFormat="false" ht="15" hidden="false" customHeight="true" outlineLevel="0" collapsed="false">
      <c r="B110" s="13" t="s">
        <v>587</v>
      </c>
      <c r="C110" s="15" t="s">
        <v>96</v>
      </c>
      <c r="D110" s="41" t="n">
        <v>0.2</v>
      </c>
      <c r="I110" s="15" t="s">
        <v>588</v>
      </c>
    </row>
    <row r="111" customFormat="false" ht="15" hidden="false" customHeight="true" outlineLevel="0" collapsed="false">
      <c r="B111" s="13" t="s">
        <v>589</v>
      </c>
      <c r="C111" s="15" t="s">
        <v>108</v>
      </c>
      <c r="D111" s="42" t="n">
        <v>12</v>
      </c>
      <c r="I111" s="15"/>
    </row>
    <row r="113" customFormat="false" ht="15" hidden="false" customHeight="true" outlineLevel="0" collapsed="false">
      <c r="B113" s="37" t="s">
        <v>590</v>
      </c>
      <c r="C113" s="37" t="s">
        <v>182</v>
      </c>
      <c r="D113" s="37" t="s">
        <v>411</v>
      </c>
      <c r="E113" s="37" t="s">
        <v>412</v>
      </c>
      <c r="F113" s="37" t="s">
        <v>413</v>
      </c>
      <c r="G113" s="37" t="s">
        <v>414</v>
      </c>
      <c r="H113" s="37" t="s">
        <v>415</v>
      </c>
      <c r="I113" s="37" t="s">
        <v>416</v>
      </c>
    </row>
    <row r="114" customFormat="false" ht="15" hidden="false" customHeight="true" outlineLevel="0" collapsed="false">
      <c r="B114" s="13" t="s">
        <v>591</v>
      </c>
      <c r="C114" s="15" t="s">
        <v>104</v>
      </c>
      <c r="D114" s="40" t="n">
        <v>300000</v>
      </c>
      <c r="H114" s="46" t="n">
        <f aca="false">D114/FX_EUR</f>
        <v>457.347051712231</v>
      </c>
      <c r="I114" s="15" t="s">
        <v>592</v>
      </c>
    </row>
    <row r="115" customFormat="false" ht="15" hidden="false" customHeight="true" outlineLevel="0" collapsed="false">
      <c r="B115" s="13" t="s">
        <v>593</v>
      </c>
      <c r="C115" s="15" t="s">
        <v>104</v>
      </c>
      <c r="D115" s="40" t="n">
        <v>800000</v>
      </c>
      <c r="H115" s="46" t="n">
        <f aca="false">D115/FX_EUR</f>
        <v>1219.59213789928</v>
      </c>
      <c r="I115" s="15"/>
    </row>
    <row r="116" customFormat="false" ht="15" hidden="false" customHeight="true" outlineLevel="0" collapsed="false">
      <c r="B116" s="13" t="s">
        <v>594</v>
      </c>
      <c r="C116" s="15" t="s">
        <v>104</v>
      </c>
      <c r="D116" s="40" t="n">
        <v>2500000</v>
      </c>
      <c r="H116" s="46" t="n">
        <f aca="false">D116/FX_EUR</f>
        <v>3811.22543093526</v>
      </c>
      <c r="I116" s="15"/>
    </row>
    <row r="117" customFormat="false" ht="15" hidden="false" customHeight="true" outlineLevel="0" collapsed="false">
      <c r="B117" s="13" t="s">
        <v>595</v>
      </c>
      <c r="C117" s="15" t="s">
        <v>104</v>
      </c>
      <c r="D117" s="40" t="n">
        <v>300000</v>
      </c>
      <c r="H117" s="46" t="n">
        <f aca="false">D117/FX_EUR</f>
        <v>457.347051712231</v>
      </c>
      <c r="I117" s="15" t="s">
        <v>596</v>
      </c>
    </row>
    <row r="118" customFormat="false" ht="15" hidden="false" customHeight="true" outlineLevel="0" collapsed="false">
      <c r="B118" s="13" t="s">
        <v>597</v>
      </c>
      <c r="C118" s="15" t="s">
        <v>104</v>
      </c>
      <c r="D118" s="40" t="n">
        <v>1200000</v>
      </c>
      <c r="H118" s="46" t="n">
        <f aca="false">D118/FX_EUR</f>
        <v>1829.38820684892</v>
      </c>
      <c r="I118" s="15"/>
    </row>
    <row r="119" customFormat="false" ht="15" hidden="false" customHeight="true" outlineLevel="0" collapsed="false">
      <c r="B119" s="13" t="s">
        <v>598</v>
      </c>
      <c r="C119" s="15" t="s">
        <v>104</v>
      </c>
      <c r="D119" s="40" t="n">
        <v>3500000</v>
      </c>
      <c r="H119" s="46" t="n">
        <f aca="false">D119/FX_EUR</f>
        <v>5335.71560330936</v>
      </c>
      <c r="I119" s="15"/>
    </row>
    <row r="120" customFormat="false" ht="15" hidden="false" customHeight="true" outlineLevel="0" collapsed="false">
      <c r="B120" s="13" t="s">
        <v>599</v>
      </c>
      <c r="C120" s="15" t="s">
        <v>77</v>
      </c>
      <c r="D120" s="40" t="n">
        <v>3000000</v>
      </c>
      <c r="H120" s="46" t="n">
        <f aca="false">D120/FX_EUR</f>
        <v>4573.47051712231</v>
      </c>
      <c r="I120" s="15"/>
    </row>
    <row r="121" customFormat="false" ht="15" hidden="false" customHeight="true" outlineLevel="0" collapsed="false">
      <c r="B121" s="13" t="s">
        <v>600</v>
      </c>
      <c r="C121" s="15" t="s">
        <v>77</v>
      </c>
      <c r="D121" s="40" t="n">
        <v>10000000</v>
      </c>
      <c r="H121" s="46" t="n">
        <f aca="false">D121/FX_EUR</f>
        <v>15244.901723741</v>
      </c>
      <c r="I121" s="15"/>
    </row>
    <row r="122" customFormat="false" ht="15" hidden="false" customHeight="true" outlineLevel="0" collapsed="false">
      <c r="B122" s="13" t="s">
        <v>601</v>
      </c>
      <c r="C122" s="15" t="s">
        <v>77</v>
      </c>
      <c r="D122" s="40" t="n">
        <v>40000000</v>
      </c>
      <c r="H122" s="46" t="n">
        <f aca="false">D122/FX_EUR</f>
        <v>60979.6068949642</v>
      </c>
      <c r="I122" s="15"/>
    </row>
    <row r="123" customFormat="false" ht="15" hidden="false" customHeight="true" outlineLevel="0" collapsed="false">
      <c r="B123" s="13" t="s">
        <v>602</v>
      </c>
      <c r="C123" s="15" t="s">
        <v>92</v>
      </c>
      <c r="D123" s="40" t="n">
        <v>5</v>
      </c>
      <c r="I123" s="15"/>
    </row>
    <row r="124" customFormat="false" ht="15" hidden="false" customHeight="true" outlineLevel="0" collapsed="false">
      <c r="B124" s="13" t="s">
        <v>603</v>
      </c>
      <c r="C124" s="15" t="s">
        <v>92</v>
      </c>
      <c r="D124" s="40" t="n">
        <v>25</v>
      </c>
      <c r="I124" s="15"/>
    </row>
    <row r="125" customFormat="false" ht="15" hidden="false" customHeight="true" outlineLevel="0" collapsed="false">
      <c r="B125" s="13" t="s">
        <v>604</v>
      </c>
      <c r="C125" s="15" t="s">
        <v>92</v>
      </c>
      <c r="D125" s="40" t="n">
        <v>120</v>
      </c>
      <c r="I125" s="15"/>
    </row>
    <row r="126" customFormat="false" ht="15" hidden="false" customHeight="true" outlineLevel="0" collapsed="false">
      <c r="B126" s="13" t="s">
        <v>605</v>
      </c>
      <c r="C126" s="15" t="s">
        <v>606</v>
      </c>
      <c r="D126" s="40" t="n">
        <v>10</v>
      </c>
      <c r="I126" s="15"/>
    </row>
    <row r="127" customFormat="false" ht="15" hidden="false" customHeight="true" outlineLevel="0" collapsed="false">
      <c r="B127" s="13" t="s">
        <v>607</v>
      </c>
      <c r="C127" s="15" t="s">
        <v>606</v>
      </c>
      <c r="D127" s="40" t="n">
        <v>40</v>
      </c>
      <c r="I127" s="15"/>
    </row>
    <row r="128" customFormat="false" ht="15" hidden="false" customHeight="true" outlineLevel="0" collapsed="false">
      <c r="B128" s="13" t="s">
        <v>608</v>
      </c>
      <c r="C128" s="15" t="s">
        <v>606</v>
      </c>
      <c r="D128" s="40" t="n">
        <v>150</v>
      </c>
      <c r="I128" s="15"/>
    </row>
    <row r="129" customFormat="false" ht="15" hidden="false" customHeight="true" outlineLevel="0" collapsed="false">
      <c r="B129" s="13" t="s">
        <v>609</v>
      </c>
      <c r="C129" s="15" t="s">
        <v>516</v>
      </c>
      <c r="D129" s="40" t="n">
        <v>1</v>
      </c>
      <c r="I129" s="15" t="s">
        <v>610</v>
      </c>
    </row>
    <row r="130" customFormat="false" ht="15" hidden="false" customHeight="true" outlineLevel="0" collapsed="false">
      <c r="B130" s="13" t="s">
        <v>611</v>
      </c>
      <c r="C130" s="15" t="s">
        <v>516</v>
      </c>
      <c r="D130" s="40" t="n">
        <v>3</v>
      </c>
      <c r="I130" s="15"/>
    </row>
    <row r="131" customFormat="false" ht="15" hidden="false" customHeight="true" outlineLevel="0" collapsed="false">
      <c r="B131" s="13" t="s">
        <v>612</v>
      </c>
      <c r="C131" s="15" t="s">
        <v>516</v>
      </c>
      <c r="D131" s="40" t="n">
        <v>10</v>
      </c>
      <c r="I131" s="15"/>
    </row>
    <row r="132" customFormat="false" ht="15" hidden="false" customHeight="true" outlineLevel="0" collapsed="false">
      <c r="B132" s="13" t="s">
        <v>613</v>
      </c>
      <c r="C132" s="15" t="s">
        <v>511</v>
      </c>
      <c r="D132" s="40" t="n">
        <v>2</v>
      </c>
      <c r="I132" s="15"/>
    </row>
    <row r="133" customFormat="false" ht="15" hidden="false" customHeight="true" outlineLevel="0" collapsed="false">
      <c r="B133" s="13" t="s">
        <v>614</v>
      </c>
      <c r="C133" s="15" t="s">
        <v>511</v>
      </c>
      <c r="D133" s="40" t="n">
        <v>4</v>
      </c>
      <c r="I133" s="15" t="s">
        <v>615</v>
      </c>
    </row>
    <row r="134" customFormat="false" ht="15" hidden="false" customHeight="true" outlineLevel="0" collapsed="false">
      <c r="B134" s="13" t="s">
        <v>616</v>
      </c>
      <c r="C134" s="15" t="s">
        <v>511</v>
      </c>
      <c r="D134" s="40" t="n">
        <v>12</v>
      </c>
      <c r="I134" s="15"/>
    </row>
    <row r="135" customFormat="false" ht="15" hidden="false" customHeight="true" outlineLevel="0" collapsed="false">
      <c r="B135" s="13" t="s">
        <v>617</v>
      </c>
      <c r="C135" s="15" t="s">
        <v>104</v>
      </c>
      <c r="D135" s="40" t="n">
        <v>650000</v>
      </c>
      <c r="H135" s="46" t="n">
        <f aca="false">D135/FX_EUR</f>
        <v>990.918612043168</v>
      </c>
      <c r="I135" s="15" t="s">
        <v>618</v>
      </c>
    </row>
    <row r="136" customFormat="false" ht="15" hidden="false" customHeight="true" outlineLevel="0" collapsed="false">
      <c r="B136" s="13" t="s">
        <v>619</v>
      </c>
      <c r="C136" s="15" t="s">
        <v>104</v>
      </c>
      <c r="D136" s="40" t="n">
        <v>1500000</v>
      </c>
      <c r="H136" s="46" t="n">
        <f aca="false">D136/FX_EUR</f>
        <v>2286.73525856116</v>
      </c>
      <c r="I136" s="15"/>
    </row>
    <row r="137" customFormat="false" ht="15" hidden="false" customHeight="true" outlineLevel="0" collapsed="false">
      <c r="B137" s="13" t="s">
        <v>620</v>
      </c>
      <c r="C137" s="15" t="s">
        <v>104</v>
      </c>
      <c r="D137" s="40" t="n">
        <v>6000000</v>
      </c>
      <c r="H137" s="46" t="n">
        <f aca="false">D137/FX_EUR</f>
        <v>9146.94103424462</v>
      </c>
      <c r="I137" s="15"/>
    </row>
    <row r="138" customFormat="false" ht="15" hidden="false" customHeight="true" outlineLevel="0" collapsed="false">
      <c r="B138" s="13" t="s">
        <v>621</v>
      </c>
      <c r="C138" s="15" t="s">
        <v>523</v>
      </c>
      <c r="D138" s="40" t="n">
        <v>1</v>
      </c>
      <c r="I138" s="15"/>
    </row>
    <row r="139" customFormat="false" ht="15" hidden="false" customHeight="true" outlineLevel="0" collapsed="false">
      <c r="B139" s="13" t="s">
        <v>622</v>
      </c>
      <c r="C139" s="15" t="s">
        <v>523</v>
      </c>
      <c r="D139" s="40" t="n">
        <v>1</v>
      </c>
      <c r="I139" s="15" t="s">
        <v>623</v>
      </c>
    </row>
    <row r="140" customFormat="false" ht="15" hidden="false" customHeight="true" outlineLevel="0" collapsed="false">
      <c r="B140" s="13" t="s">
        <v>624</v>
      </c>
      <c r="C140" s="15" t="s">
        <v>523</v>
      </c>
      <c r="D140" s="40" t="n">
        <v>3</v>
      </c>
      <c r="I140" s="15" t="s">
        <v>625</v>
      </c>
    </row>
    <row r="141" customFormat="false" ht="15" hidden="false" customHeight="true" outlineLevel="0" collapsed="false">
      <c r="B141" s="13" t="s">
        <v>626</v>
      </c>
      <c r="C141" s="15" t="s">
        <v>523</v>
      </c>
      <c r="D141" s="40" t="n">
        <v>2</v>
      </c>
      <c r="I141" s="15"/>
    </row>
    <row r="142" customFormat="false" ht="15" hidden="false" customHeight="true" outlineLevel="0" collapsed="false">
      <c r="B142" s="13" t="s">
        <v>627</v>
      </c>
      <c r="C142" s="15" t="s">
        <v>523</v>
      </c>
      <c r="D142" s="40" t="n">
        <v>6</v>
      </c>
      <c r="I142" s="15"/>
    </row>
    <row r="143" customFormat="false" ht="15" hidden="false" customHeight="true" outlineLevel="0" collapsed="false">
      <c r="B143" s="13" t="s">
        <v>628</v>
      </c>
      <c r="C143" s="15" t="s">
        <v>523</v>
      </c>
      <c r="D143" s="40" t="n">
        <v>10</v>
      </c>
      <c r="I143" s="15" t="s">
        <v>623</v>
      </c>
    </row>
    <row r="144" customFormat="false" ht="15" hidden="false" customHeight="true" outlineLevel="0" collapsed="false">
      <c r="B144" s="13" t="s">
        <v>629</v>
      </c>
      <c r="C144" s="15" t="s">
        <v>104</v>
      </c>
      <c r="D144" s="40" t="n">
        <v>800000</v>
      </c>
      <c r="H144" s="46" t="n">
        <f aca="false">D144/FX_EUR</f>
        <v>1219.59213789928</v>
      </c>
      <c r="I144" s="15"/>
    </row>
    <row r="145" customFormat="false" ht="15" hidden="false" customHeight="true" outlineLevel="0" collapsed="false">
      <c r="B145" s="13" t="s">
        <v>630</v>
      </c>
      <c r="C145" s="15" t="s">
        <v>104</v>
      </c>
      <c r="D145" s="40" t="n">
        <v>3000000</v>
      </c>
      <c r="H145" s="46" t="n">
        <f aca="false">D145/FX_EUR</f>
        <v>4573.47051712231</v>
      </c>
      <c r="I145" s="15"/>
    </row>
    <row r="146" customFormat="false" ht="15" hidden="false" customHeight="true" outlineLevel="0" collapsed="false">
      <c r="B146" s="13" t="s">
        <v>631</v>
      </c>
      <c r="C146" s="15" t="s">
        <v>104</v>
      </c>
      <c r="D146" s="40" t="n">
        <v>10000000</v>
      </c>
      <c r="H146" s="46" t="n">
        <f aca="false">D146/FX_EUR</f>
        <v>15244.901723741</v>
      </c>
      <c r="I146" s="15"/>
    </row>
    <row r="147" customFormat="false" ht="15" hidden="false" customHeight="true" outlineLevel="0" collapsed="false">
      <c r="B147" s="13" t="s">
        <v>632</v>
      </c>
      <c r="C147" s="15" t="s">
        <v>77</v>
      </c>
      <c r="D147" s="40" t="n">
        <v>200000</v>
      </c>
      <c r="H147" s="46" t="n">
        <f aca="false">D147/FX_EUR</f>
        <v>304.898034474821</v>
      </c>
      <c r="I147" s="15" t="s">
        <v>633</v>
      </c>
    </row>
    <row r="148" customFormat="false" ht="15" hidden="false" customHeight="true" outlineLevel="0" collapsed="false">
      <c r="B148" s="13" t="s">
        <v>634</v>
      </c>
      <c r="C148" s="15" t="s">
        <v>96</v>
      </c>
      <c r="D148" s="41" t="n">
        <v>0.65</v>
      </c>
      <c r="I148" s="15" t="s">
        <v>635</v>
      </c>
    </row>
    <row r="149" customFormat="false" ht="15" hidden="false" customHeight="true" outlineLevel="0" collapsed="false">
      <c r="B149" s="13" t="s">
        <v>636</v>
      </c>
      <c r="C149" s="15" t="s">
        <v>96</v>
      </c>
      <c r="D149" s="41" t="n">
        <v>0.4</v>
      </c>
      <c r="I149" s="15" t="s">
        <v>637</v>
      </c>
    </row>
    <row r="150" customFormat="false" ht="15" hidden="false" customHeight="true" outlineLevel="0" collapsed="false">
      <c r="B150" s="13" t="s">
        <v>638</v>
      </c>
      <c r="C150" s="15" t="s">
        <v>77</v>
      </c>
      <c r="D150" s="40" t="n">
        <v>75000</v>
      </c>
      <c r="H150" s="46" t="n">
        <f aca="false">D150/FX_EUR</f>
        <v>114.336762928058</v>
      </c>
      <c r="I150" s="15" t="s">
        <v>639</v>
      </c>
    </row>
    <row r="151" customFormat="false" ht="15" hidden="false" customHeight="true" outlineLevel="0" collapsed="false">
      <c r="B151" s="13" t="s">
        <v>640</v>
      </c>
      <c r="C151" s="15" t="s">
        <v>96</v>
      </c>
      <c r="D151" s="41" t="n">
        <v>0.5</v>
      </c>
      <c r="I151" s="15" t="s">
        <v>641</v>
      </c>
    </row>
    <row r="152" customFormat="false" ht="15" hidden="false" customHeight="true" outlineLevel="0" collapsed="false">
      <c r="B152" s="13" t="s">
        <v>642</v>
      </c>
      <c r="C152" s="15" t="s">
        <v>96</v>
      </c>
      <c r="D152" s="41" t="n">
        <v>0.3</v>
      </c>
      <c r="I152" s="15"/>
    </row>
    <row r="153" customFormat="false" ht="15" hidden="false" customHeight="true" outlineLevel="0" collapsed="false">
      <c r="B153" s="13" t="s">
        <v>643</v>
      </c>
      <c r="C153" s="15" t="s">
        <v>96</v>
      </c>
      <c r="D153" s="41" t="n">
        <v>0.2</v>
      </c>
      <c r="I153" s="15"/>
    </row>
    <row r="155" customFormat="false" ht="15" hidden="false" customHeight="true" outlineLevel="0" collapsed="false">
      <c r="B155" s="37" t="s">
        <v>644</v>
      </c>
      <c r="C155" s="37" t="s">
        <v>182</v>
      </c>
      <c r="D155" s="37" t="s">
        <v>411</v>
      </c>
      <c r="E155" s="37" t="s">
        <v>412</v>
      </c>
      <c r="F155" s="37" t="s">
        <v>413</v>
      </c>
      <c r="G155" s="37" t="s">
        <v>414</v>
      </c>
      <c r="H155" s="37" t="s">
        <v>415</v>
      </c>
      <c r="I155" s="37" t="s">
        <v>416</v>
      </c>
    </row>
    <row r="156" customFormat="false" ht="15" hidden="false" customHeight="true" outlineLevel="0" collapsed="false">
      <c r="B156" s="13" t="s">
        <v>645</v>
      </c>
      <c r="C156" s="15" t="s">
        <v>104</v>
      </c>
      <c r="D156" s="33" t="n">
        <f aca="false">CHOOSE(Scenario,E156,F156,G156)</f>
        <v>1500</v>
      </c>
      <c r="E156" s="40" t="n">
        <v>4000</v>
      </c>
      <c r="F156" s="40" t="n">
        <v>1500</v>
      </c>
      <c r="G156" s="40" t="n">
        <v>1500</v>
      </c>
      <c r="H156" s="46" t="n">
        <f aca="false">D156/FX_EUR</f>
        <v>2.28673525856116</v>
      </c>
      <c r="I156" s="15" t="s">
        <v>646</v>
      </c>
    </row>
    <row r="157" customFormat="false" ht="15" hidden="false" customHeight="true" outlineLevel="0" collapsed="false">
      <c r="B157" s="13" t="s">
        <v>647</v>
      </c>
      <c r="C157" s="15" t="s">
        <v>648</v>
      </c>
      <c r="D157" s="40" t="n">
        <v>1500</v>
      </c>
      <c r="H157" s="46" t="n">
        <f aca="false">D157/FX_EUR</f>
        <v>2.28673525856116</v>
      </c>
      <c r="I157" s="15" t="s">
        <v>649</v>
      </c>
    </row>
    <row r="158" customFormat="false" ht="15" hidden="false" customHeight="true" outlineLevel="0" collapsed="false">
      <c r="B158" s="13" t="s">
        <v>650</v>
      </c>
      <c r="C158" s="15" t="s">
        <v>77</v>
      </c>
      <c r="D158" s="40" t="n">
        <v>900</v>
      </c>
      <c r="H158" s="46" t="n">
        <f aca="false">D158/FX_EUR</f>
        <v>1.37204115513669</v>
      </c>
      <c r="I158" s="15" t="s">
        <v>651</v>
      </c>
    </row>
    <row r="159" customFormat="false" ht="15" hidden="false" customHeight="true" outlineLevel="0" collapsed="false">
      <c r="B159" s="13" t="s">
        <v>652</v>
      </c>
      <c r="C159" s="15" t="s">
        <v>92</v>
      </c>
      <c r="D159" s="40" t="n">
        <v>2</v>
      </c>
      <c r="I159" s="15" t="s">
        <v>653</v>
      </c>
    </row>
    <row r="160" customFormat="false" ht="15" hidden="false" customHeight="true" outlineLevel="0" collapsed="false">
      <c r="B160" s="13" t="s">
        <v>654</v>
      </c>
      <c r="C160" s="15" t="s">
        <v>104</v>
      </c>
      <c r="D160" s="33" t="n">
        <f aca="false">CHOOSE(Scenario,E160,F160,G160)</f>
        <v>600</v>
      </c>
      <c r="E160" s="40" t="n">
        <v>1500</v>
      </c>
      <c r="F160" s="40" t="n">
        <v>600</v>
      </c>
      <c r="G160" s="40" t="n">
        <v>600</v>
      </c>
      <c r="H160" s="46" t="n">
        <f aca="false">D160/FX_EUR</f>
        <v>0.914694103424462</v>
      </c>
      <c r="I160" s="15" t="s">
        <v>655</v>
      </c>
    </row>
    <row r="161" customFormat="false" ht="15" hidden="false" customHeight="true" outlineLevel="0" collapsed="false">
      <c r="B161" s="13" t="s">
        <v>656</v>
      </c>
      <c r="C161" s="15" t="s">
        <v>77</v>
      </c>
      <c r="D161" s="40" t="n">
        <v>4500</v>
      </c>
      <c r="H161" s="46" t="n">
        <f aca="false">D161/FX_EUR</f>
        <v>6.86020577568347</v>
      </c>
      <c r="I161" s="15" t="s">
        <v>657</v>
      </c>
    </row>
    <row r="162" customFormat="false" ht="15" hidden="false" customHeight="true" outlineLevel="0" collapsed="false">
      <c r="B162" s="13" t="s">
        <v>658</v>
      </c>
      <c r="C162" s="15" t="s">
        <v>550</v>
      </c>
      <c r="D162" s="34" t="n">
        <f aca="false">CHOOSE(Scenario,E162,F162,G162)</f>
        <v>0.012</v>
      </c>
      <c r="E162" s="47" t="n">
        <v>0.018</v>
      </c>
      <c r="F162" s="47" t="n">
        <v>0.012</v>
      </c>
      <c r="G162" s="47" t="n">
        <v>0.012</v>
      </c>
      <c r="I162" s="15" t="s">
        <v>659</v>
      </c>
    </row>
    <row r="163" customFormat="false" ht="15" hidden="false" customHeight="true" outlineLevel="0" collapsed="false">
      <c r="B163" s="13" t="s">
        <v>660</v>
      </c>
      <c r="C163" s="15" t="s">
        <v>198</v>
      </c>
      <c r="D163" s="40" t="n">
        <v>250</v>
      </c>
      <c r="H163" s="46" t="n">
        <f aca="false">D163/FX_EUR</f>
        <v>0.381122543093526</v>
      </c>
      <c r="I163" s="15" t="s">
        <v>661</v>
      </c>
    </row>
    <row r="164" customFormat="false" ht="15" hidden="false" customHeight="true" outlineLevel="0" collapsed="false">
      <c r="B164" s="13" t="s">
        <v>662</v>
      </c>
      <c r="C164" s="15" t="s">
        <v>663</v>
      </c>
      <c r="D164" s="47" t="n">
        <v>0.0015</v>
      </c>
      <c r="I164" s="15" t="s">
        <v>664</v>
      </c>
    </row>
    <row r="165" customFormat="false" ht="15" hidden="false" customHeight="true" outlineLevel="0" collapsed="false">
      <c r="B165" s="13" t="s">
        <v>665</v>
      </c>
      <c r="C165" s="15" t="s">
        <v>193</v>
      </c>
      <c r="D165" s="34" t="n">
        <f aca="false">CHOOSE(Scenario,E165,F165,G165)</f>
        <v>0.005</v>
      </c>
      <c r="E165" s="47" t="n">
        <v>0.01</v>
      </c>
      <c r="F165" s="47" t="n">
        <v>0.005</v>
      </c>
      <c r="G165" s="47" t="n">
        <v>0</v>
      </c>
      <c r="I165" s="15" t="s">
        <v>666</v>
      </c>
    </row>
    <row r="166" customFormat="false" ht="15" hidden="false" customHeight="true" outlineLevel="0" collapsed="false">
      <c r="B166" s="13" t="s">
        <v>667</v>
      </c>
      <c r="C166" s="15" t="s">
        <v>190</v>
      </c>
      <c r="D166" s="33" t="n">
        <f aca="false">CHOOSE(Scenario,E166,F166,G166)</f>
        <v>2500</v>
      </c>
      <c r="E166" s="40" t="n">
        <v>0</v>
      </c>
      <c r="F166" s="40" t="n">
        <v>2500</v>
      </c>
      <c r="G166" s="40" t="n">
        <v>0</v>
      </c>
      <c r="H166" s="46" t="n">
        <f aca="false">D166/FX_EUR</f>
        <v>3.81122543093526</v>
      </c>
      <c r="I166" s="15"/>
    </row>
    <row r="167" customFormat="false" ht="15" hidden="false" customHeight="true" outlineLevel="0" collapsed="false">
      <c r="B167" s="13" t="s">
        <v>668</v>
      </c>
      <c r="C167" s="15" t="s">
        <v>190</v>
      </c>
      <c r="D167" s="33" t="n">
        <f aca="false">CHOOSE(Scenario,E167,F167,G167)</f>
        <v>0</v>
      </c>
      <c r="E167" s="40" t="n">
        <v>0</v>
      </c>
      <c r="F167" s="40" t="n">
        <v>0</v>
      </c>
      <c r="G167" s="40" t="n">
        <v>200</v>
      </c>
      <c r="H167" s="46" t="n">
        <f aca="false">D167/FX_EUR</f>
        <v>0</v>
      </c>
      <c r="I167" s="15" t="s">
        <v>669</v>
      </c>
    </row>
    <row r="168" customFormat="false" ht="15" hidden="false" customHeight="true" outlineLevel="0" collapsed="false">
      <c r="B168" s="13" t="s">
        <v>670</v>
      </c>
      <c r="C168" s="15" t="s">
        <v>671</v>
      </c>
      <c r="D168" s="33" t="n">
        <f aca="false">CHOOSE(Scenario,E168,F168,G168)</f>
        <v>100</v>
      </c>
      <c r="E168" s="40" t="n">
        <v>400</v>
      </c>
      <c r="F168" s="40" t="n">
        <v>100</v>
      </c>
      <c r="G168" s="40" t="n">
        <v>75</v>
      </c>
      <c r="H168" s="46" t="n">
        <f aca="false">D168/FX_EUR</f>
        <v>0.15244901723741</v>
      </c>
      <c r="I168" s="15" t="s">
        <v>672</v>
      </c>
    </row>
    <row r="169" customFormat="false" ht="15" hidden="false" customHeight="true" outlineLevel="0" collapsed="false">
      <c r="B169" s="13" t="s">
        <v>673</v>
      </c>
      <c r="C169" s="15" t="s">
        <v>190</v>
      </c>
      <c r="D169" s="33" t="n">
        <f aca="false">CHOOSE(Scenario,E169,F169,G169)</f>
        <v>150</v>
      </c>
      <c r="E169" s="40" t="n">
        <v>500</v>
      </c>
      <c r="F169" s="40" t="n">
        <v>150</v>
      </c>
      <c r="G169" s="40" t="n">
        <v>150</v>
      </c>
      <c r="H169" s="46" t="n">
        <f aca="false">D169/FX_EUR</f>
        <v>0.228673525856116</v>
      </c>
      <c r="I169" s="15" t="s">
        <v>674</v>
      </c>
    </row>
    <row r="170" customFormat="false" ht="15" hidden="false" customHeight="true" outlineLevel="0" collapsed="false">
      <c r="B170" s="13" t="s">
        <v>675</v>
      </c>
      <c r="C170" s="15" t="s">
        <v>104</v>
      </c>
      <c r="D170" s="40" t="n">
        <v>350</v>
      </c>
      <c r="H170" s="46" t="n">
        <f aca="false">D170/FX_EUR</f>
        <v>0.533571560330936</v>
      </c>
      <c r="I170" s="15" t="s">
        <v>676</v>
      </c>
    </row>
    <row r="171" customFormat="false" ht="15" hidden="false" customHeight="true" outlineLevel="0" collapsed="false">
      <c r="B171" s="13" t="s">
        <v>677</v>
      </c>
      <c r="C171" s="15" t="s">
        <v>104</v>
      </c>
      <c r="D171" s="40" t="n">
        <v>30</v>
      </c>
      <c r="H171" s="46" t="n">
        <f aca="false">D171/FX_EUR</f>
        <v>0.0457347051712231</v>
      </c>
      <c r="I171" s="15" t="s">
        <v>678</v>
      </c>
    </row>
    <row r="172" customFormat="false" ht="15" hidden="false" customHeight="true" outlineLevel="0" collapsed="false">
      <c r="B172" s="13" t="s">
        <v>679</v>
      </c>
      <c r="C172" s="15" t="s">
        <v>104</v>
      </c>
      <c r="D172" s="40" t="n">
        <v>150</v>
      </c>
      <c r="H172" s="46" t="n">
        <f aca="false">D172/FX_EUR</f>
        <v>0.228673525856116</v>
      </c>
      <c r="I172" s="15" t="s">
        <v>680</v>
      </c>
    </row>
    <row r="174" customFormat="false" ht="15" hidden="false" customHeight="true" outlineLevel="0" collapsed="false">
      <c r="B174" s="37" t="s">
        <v>681</v>
      </c>
      <c r="C174" s="37" t="s">
        <v>182</v>
      </c>
      <c r="D174" s="37" t="s">
        <v>411</v>
      </c>
      <c r="E174" s="37" t="s">
        <v>412</v>
      </c>
      <c r="F174" s="37" t="s">
        <v>413</v>
      </c>
      <c r="G174" s="37" t="s">
        <v>414</v>
      </c>
      <c r="H174" s="37" t="s">
        <v>415</v>
      </c>
      <c r="I174" s="37" t="s">
        <v>416</v>
      </c>
    </row>
    <row r="175" customFormat="false" ht="15" hidden="false" customHeight="true" outlineLevel="0" collapsed="false">
      <c r="B175" s="13" t="s">
        <v>682</v>
      </c>
      <c r="C175" s="15" t="s">
        <v>464</v>
      </c>
      <c r="D175" s="48" t="n">
        <f aca="false">CHOOSE(Scenario,E175,F175,G175)</f>
        <v>1</v>
      </c>
      <c r="E175" s="45" t="n">
        <v>0.6</v>
      </c>
      <c r="F175" s="45" t="n">
        <v>1</v>
      </c>
      <c r="G175" s="45" t="n">
        <v>1.4</v>
      </c>
      <c r="I175" s="15" t="s">
        <v>683</v>
      </c>
    </row>
    <row r="176" customFormat="false" ht="15" hidden="false" customHeight="true" outlineLevel="0" collapsed="false">
      <c r="B176" s="13" t="s">
        <v>684</v>
      </c>
      <c r="C176" s="15" t="s">
        <v>464</v>
      </c>
      <c r="D176" s="48" t="n">
        <f aca="false">CHOOSE(Scenario,E176,F176,G176)</f>
        <v>1</v>
      </c>
      <c r="E176" s="45" t="n">
        <v>1.5</v>
      </c>
      <c r="F176" s="45" t="n">
        <v>1</v>
      </c>
      <c r="G176" s="45" t="n">
        <v>0.8</v>
      </c>
      <c r="I176" s="15" t="s">
        <v>685</v>
      </c>
    </row>
    <row r="177" customFormat="false" ht="15" hidden="false" customHeight="true" outlineLevel="0" collapsed="false">
      <c r="B177" s="13" t="s">
        <v>686</v>
      </c>
      <c r="C177" s="15" t="s">
        <v>108</v>
      </c>
      <c r="D177" s="42" t="n">
        <v>12</v>
      </c>
      <c r="I177" s="15"/>
    </row>
    <row r="178" customFormat="false" ht="15" hidden="false" customHeight="true" outlineLevel="0" collapsed="false">
      <c r="B178" s="13" t="s">
        <v>687</v>
      </c>
      <c r="C178" s="15" t="s">
        <v>74</v>
      </c>
      <c r="D178" s="42" t="n">
        <v>18</v>
      </c>
      <c r="I178" s="15" t="s">
        <v>688</v>
      </c>
    </row>
    <row r="179" customFormat="false" ht="15" hidden="false" customHeight="true" outlineLevel="0" collapsed="false">
      <c r="B179" s="13" t="s">
        <v>689</v>
      </c>
      <c r="C179" s="15" t="s">
        <v>96</v>
      </c>
      <c r="D179" s="41" t="n">
        <v>0.05</v>
      </c>
      <c r="I179" s="15"/>
    </row>
    <row r="180" customFormat="false" ht="15" hidden="false" customHeight="true" outlineLevel="0" collapsed="false">
      <c r="B180" s="13" t="s">
        <v>690</v>
      </c>
      <c r="C180" s="15" t="s">
        <v>77</v>
      </c>
      <c r="D180" s="40" t="n">
        <v>8000000</v>
      </c>
      <c r="H180" s="46" t="n">
        <f aca="false">D180/FX_EUR</f>
        <v>12195.9213789928</v>
      </c>
      <c r="I180" s="15" t="s">
        <v>691</v>
      </c>
    </row>
    <row r="181" customFormat="false" ht="15" hidden="false" customHeight="true" outlineLevel="0" collapsed="false">
      <c r="B181" s="13" t="s">
        <v>692</v>
      </c>
      <c r="C181" s="15" t="s">
        <v>427</v>
      </c>
      <c r="D181" s="41" t="n">
        <v>0.23</v>
      </c>
      <c r="I181" s="15" t="s">
        <v>693</v>
      </c>
    </row>
    <row r="182" customFormat="false" ht="15" hidden="false" customHeight="true" outlineLevel="0" collapsed="false">
      <c r="B182" s="13" t="s">
        <v>694</v>
      </c>
      <c r="C182" s="15" t="s">
        <v>427</v>
      </c>
      <c r="D182" s="47" t="n">
        <v>0.015</v>
      </c>
      <c r="I182" s="15"/>
    </row>
    <row r="183" customFormat="false" ht="15" hidden="false" customHeight="true" outlineLevel="0" collapsed="false">
      <c r="B183" s="13" t="s">
        <v>695</v>
      </c>
      <c r="C183" s="15" t="s">
        <v>74</v>
      </c>
      <c r="D183" s="42" t="n">
        <v>18</v>
      </c>
      <c r="I183" s="15"/>
    </row>
    <row r="184" customFormat="false" ht="15" hidden="false" customHeight="true" outlineLevel="0" collapsed="false">
      <c r="B184" s="13" t="s">
        <v>696</v>
      </c>
      <c r="C184" s="15" t="s">
        <v>96</v>
      </c>
      <c r="D184" s="41" t="n">
        <v>0.03</v>
      </c>
      <c r="I184" s="15"/>
    </row>
    <row r="185" customFormat="false" ht="15" hidden="false" customHeight="true" outlineLevel="0" collapsed="false">
      <c r="B185" s="13" t="s">
        <v>697</v>
      </c>
      <c r="C185" s="15" t="s">
        <v>77</v>
      </c>
      <c r="D185" s="40" t="n">
        <v>3000000</v>
      </c>
      <c r="H185" s="46" t="n">
        <f aca="false">D185/FX_EUR</f>
        <v>4573.47051712231</v>
      </c>
      <c r="I185" s="15" t="s">
        <v>698</v>
      </c>
    </row>
    <row r="186" customFormat="false" ht="15" hidden="false" customHeight="true" outlineLevel="0" collapsed="false">
      <c r="B186" s="13" t="s">
        <v>699</v>
      </c>
      <c r="C186" s="15" t="s">
        <v>427</v>
      </c>
      <c r="D186" s="41" t="n">
        <v>0.23</v>
      </c>
      <c r="I186" s="15"/>
    </row>
    <row r="187" customFormat="false" ht="15" hidden="false" customHeight="true" outlineLevel="0" collapsed="false">
      <c r="B187" s="13" t="s">
        <v>700</v>
      </c>
      <c r="C187" s="15" t="s">
        <v>427</v>
      </c>
      <c r="D187" s="47" t="n">
        <v>0.02</v>
      </c>
      <c r="I187" s="15"/>
    </row>
    <row r="188" customFormat="false" ht="15" hidden="false" customHeight="true" outlineLevel="0" collapsed="false">
      <c r="B188" s="13" t="s">
        <v>701</v>
      </c>
      <c r="C188" s="15" t="s">
        <v>74</v>
      </c>
      <c r="D188" s="42" t="n">
        <v>21</v>
      </c>
      <c r="I188" s="15" t="s">
        <v>702</v>
      </c>
    </row>
    <row r="189" customFormat="false" ht="15" hidden="false" customHeight="true" outlineLevel="0" collapsed="false">
      <c r="B189" s="13" t="s">
        <v>703</v>
      </c>
      <c r="C189" s="15" t="s">
        <v>96</v>
      </c>
      <c r="D189" s="41" t="n">
        <v>0.08</v>
      </c>
      <c r="I189" s="15"/>
    </row>
    <row r="190" customFormat="false" ht="15" hidden="false" customHeight="true" outlineLevel="0" collapsed="false">
      <c r="B190" s="13" t="s">
        <v>704</v>
      </c>
      <c r="C190" s="15" t="s">
        <v>77</v>
      </c>
      <c r="D190" s="40" t="n">
        <v>1500000</v>
      </c>
      <c r="H190" s="46" t="n">
        <f aca="false">D190/FX_EUR</f>
        <v>2286.73525856116</v>
      </c>
      <c r="I190" s="15" t="s">
        <v>705</v>
      </c>
    </row>
    <row r="191" customFormat="false" ht="15" hidden="false" customHeight="true" outlineLevel="0" collapsed="false">
      <c r="B191" s="13" t="s">
        <v>706</v>
      </c>
      <c r="C191" s="15" t="s">
        <v>427</v>
      </c>
      <c r="D191" s="41" t="n">
        <v>0.23</v>
      </c>
      <c r="I191" s="15"/>
    </row>
    <row r="192" customFormat="false" ht="15" hidden="false" customHeight="true" outlineLevel="0" collapsed="false">
      <c r="B192" s="13" t="s">
        <v>707</v>
      </c>
      <c r="C192" s="15" t="s">
        <v>427</v>
      </c>
      <c r="D192" s="47" t="n">
        <v>0.045</v>
      </c>
      <c r="I192" s="15" t="s">
        <v>708</v>
      </c>
    </row>
    <row r="193" customFormat="false" ht="15" hidden="false" customHeight="true" outlineLevel="0" collapsed="false">
      <c r="B193" s="13" t="s">
        <v>709</v>
      </c>
      <c r="C193" s="15" t="s">
        <v>74</v>
      </c>
      <c r="D193" s="42" t="n">
        <v>27</v>
      </c>
      <c r="I193" s="15" t="s">
        <v>710</v>
      </c>
    </row>
    <row r="194" customFormat="false" ht="15" hidden="false" customHeight="true" outlineLevel="0" collapsed="false">
      <c r="B194" s="13" t="s">
        <v>711</v>
      </c>
      <c r="C194" s="15" t="s">
        <v>96</v>
      </c>
      <c r="D194" s="41" t="n">
        <v>0.02</v>
      </c>
      <c r="I194" s="15"/>
    </row>
    <row r="195" customFormat="false" ht="15" hidden="false" customHeight="true" outlineLevel="0" collapsed="false">
      <c r="B195" s="13" t="s">
        <v>712</v>
      </c>
      <c r="C195" s="15" t="s">
        <v>77</v>
      </c>
      <c r="D195" s="40" t="n">
        <v>10000000</v>
      </c>
      <c r="H195" s="46" t="n">
        <f aca="false">D195/FX_EUR</f>
        <v>15244.901723741</v>
      </c>
      <c r="I195" s="15" t="s">
        <v>713</v>
      </c>
    </row>
    <row r="196" customFormat="false" ht="15" hidden="false" customHeight="true" outlineLevel="0" collapsed="false">
      <c r="B196" s="13" t="s">
        <v>714</v>
      </c>
      <c r="C196" s="15" t="s">
        <v>427</v>
      </c>
      <c r="D196" s="41" t="n">
        <v>0.22</v>
      </c>
      <c r="I196" s="15"/>
    </row>
    <row r="197" customFormat="false" ht="15" hidden="false" customHeight="true" outlineLevel="0" collapsed="false">
      <c r="B197" s="13" t="s">
        <v>715</v>
      </c>
      <c r="C197" s="15" t="s">
        <v>427</v>
      </c>
      <c r="D197" s="47" t="n">
        <v>0.04</v>
      </c>
      <c r="I197" s="15" t="s">
        <v>716</v>
      </c>
    </row>
    <row r="198" customFormat="false" ht="15" hidden="false" customHeight="true" outlineLevel="0" collapsed="false">
      <c r="B198" s="13" t="s">
        <v>717</v>
      </c>
      <c r="C198" s="15" t="s">
        <v>74</v>
      </c>
      <c r="D198" s="42" t="n">
        <v>30</v>
      </c>
      <c r="I198" s="15" t="s">
        <v>718</v>
      </c>
    </row>
    <row r="199" customFormat="false" ht="15" hidden="false" customHeight="true" outlineLevel="0" collapsed="false">
      <c r="B199" s="13" t="s">
        <v>719</v>
      </c>
      <c r="C199" s="15" t="s">
        <v>96</v>
      </c>
      <c r="D199" s="41" t="n">
        <v>0.1</v>
      </c>
      <c r="I199" s="15"/>
    </row>
    <row r="200" customFormat="false" ht="15" hidden="false" customHeight="true" outlineLevel="0" collapsed="false">
      <c r="B200" s="13" t="s">
        <v>720</v>
      </c>
      <c r="C200" s="15" t="s">
        <v>77</v>
      </c>
      <c r="D200" s="40" t="n">
        <v>50000</v>
      </c>
      <c r="H200" s="46" t="n">
        <f aca="false">D200/FX_EUR</f>
        <v>76.2245086187052</v>
      </c>
      <c r="I200" s="15" t="s">
        <v>721</v>
      </c>
    </row>
    <row r="201" customFormat="false" ht="15" hidden="false" customHeight="true" outlineLevel="0" collapsed="false">
      <c r="B201" s="13" t="s">
        <v>722</v>
      </c>
      <c r="C201" s="15" t="s">
        <v>427</v>
      </c>
      <c r="D201" s="41" t="n">
        <v>0.23</v>
      </c>
      <c r="I201" s="15"/>
    </row>
    <row r="202" customFormat="false" ht="15" hidden="false" customHeight="true" outlineLevel="0" collapsed="false">
      <c r="B202" s="13" t="s">
        <v>723</v>
      </c>
      <c r="C202" s="15" t="s">
        <v>427</v>
      </c>
      <c r="D202" s="47" t="n">
        <v>0.015</v>
      </c>
      <c r="I202" s="15"/>
    </row>
    <row r="203" customFormat="false" ht="15" hidden="false" customHeight="true" outlineLevel="0" collapsed="false">
      <c r="B203" s="13" t="s">
        <v>724</v>
      </c>
      <c r="C203" s="15" t="s">
        <v>427</v>
      </c>
      <c r="D203" s="41" t="n">
        <v>0.09</v>
      </c>
      <c r="I203" s="15" t="s">
        <v>725</v>
      </c>
    </row>
    <row r="204" customFormat="false" ht="15" hidden="false" customHeight="true" outlineLevel="0" collapsed="false">
      <c r="B204" s="13" t="s">
        <v>726</v>
      </c>
      <c r="C204" s="15" t="s">
        <v>427</v>
      </c>
      <c r="D204" s="41" t="n">
        <v>0.01</v>
      </c>
      <c r="I204" s="15" t="s">
        <v>727</v>
      </c>
    </row>
    <row r="205" customFormat="false" ht="15" hidden="false" customHeight="true" outlineLevel="0" collapsed="false">
      <c r="B205" s="13" t="s">
        <v>728</v>
      </c>
      <c r="C205" s="15" t="s">
        <v>96</v>
      </c>
      <c r="D205" s="41" t="n">
        <v>0.5</v>
      </c>
      <c r="I205" s="15" t="s">
        <v>729</v>
      </c>
    </row>
    <row r="206" customFormat="false" ht="15" hidden="false" customHeight="true" outlineLevel="0" collapsed="false">
      <c r="B206" s="13" t="s">
        <v>730</v>
      </c>
      <c r="C206" s="15" t="s">
        <v>731</v>
      </c>
      <c r="D206" s="41" t="n">
        <v>0.1</v>
      </c>
      <c r="I206" s="15"/>
    </row>
    <row r="207" customFormat="false" ht="15" hidden="false" customHeight="true" outlineLevel="0" collapsed="false">
      <c r="B207" s="13" t="s">
        <v>732</v>
      </c>
      <c r="C207" s="15" t="s">
        <v>731</v>
      </c>
      <c r="D207" s="41" t="n">
        <v>0.15</v>
      </c>
      <c r="I207" s="15" t="s">
        <v>733</v>
      </c>
    </row>
    <row r="209" customFormat="false" ht="15" hidden="false" customHeight="true" outlineLevel="0" collapsed="false">
      <c r="B209" s="37" t="s">
        <v>734</v>
      </c>
      <c r="C209" s="37" t="s">
        <v>182</v>
      </c>
      <c r="D209" s="37" t="s">
        <v>411</v>
      </c>
      <c r="E209" s="37" t="s">
        <v>412</v>
      </c>
      <c r="F209" s="37" t="s">
        <v>413</v>
      </c>
      <c r="G209" s="37" t="s">
        <v>414</v>
      </c>
      <c r="H209" s="37" t="s">
        <v>415</v>
      </c>
      <c r="I209" s="37" t="s">
        <v>416</v>
      </c>
    </row>
    <row r="210" customFormat="false" ht="15" hidden="false" customHeight="true" outlineLevel="0" collapsed="false">
      <c r="B210" s="13" t="s">
        <v>735</v>
      </c>
      <c r="C210" s="15" t="s">
        <v>736</v>
      </c>
      <c r="D210" s="41" t="n">
        <v>0.3</v>
      </c>
      <c r="I210" s="15" t="s">
        <v>737</v>
      </c>
    </row>
    <row r="211" customFormat="false" ht="15" hidden="false" customHeight="true" outlineLevel="0" collapsed="false">
      <c r="B211" s="13" t="s">
        <v>738</v>
      </c>
      <c r="C211" s="15" t="s">
        <v>74</v>
      </c>
      <c r="D211" s="42" t="n">
        <v>4</v>
      </c>
      <c r="I211" s="15" t="s">
        <v>739</v>
      </c>
    </row>
    <row r="212" customFormat="false" ht="15" hidden="false" customHeight="true" outlineLevel="0" collapsed="false">
      <c r="B212" s="13" t="s">
        <v>740</v>
      </c>
      <c r="C212" s="15" t="s">
        <v>92</v>
      </c>
      <c r="D212" s="40" t="n">
        <v>2</v>
      </c>
      <c r="I212" s="15" t="s">
        <v>741</v>
      </c>
    </row>
    <row r="213" customFormat="false" ht="15" hidden="false" customHeight="true" outlineLevel="0" collapsed="false">
      <c r="B213" s="13" t="s">
        <v>742</v>
      </c>
      <c r="C213" s="15" t="s">
        <v>89</v>
      </c>
      <c r="D213" s="40" t="n">
        <v>500</v>
      </c>
      <c r="I213" s="15" t="s">
        <v>743</v>
      </c>
    </row>
    <row r="214" customFormat="false" ht="15" hidden="false" customHeight="true" outlineLevel="0" collapsed="false">
      <c r="B214" s="13" t="s">
        <v>744</v>
      </c>
      <c r="C214" s="15" t="s">
        <v>745</v>
      </c>
      <c r="D214" s="40" t="n">
        <v>5000</v>
      </c>
      <c r="I214" s="15" t="s">
        <v>746</v>
      </c>
    </row>
    <row r="215" customFormat="false" ht="15" hidden="false" customHeight="true" outlineLevel="0" collapsed="false">
      <c r="B215" s="13" t="s">
        <v>747</v>
      </c>
      <c r="C215" s="15" t="s">
        <v>104</v>
      </c>
      <c r="D215" s="40" t="n">
        <v>280000</v>
      </c>
      <c r="H215" s="46" t="n">
        <f aca="false">D215/FX_EUR</f>
        <v>426.857248264749</v>
      </c>
      <c r="I215" s="15" t="s">
        <v>748</v>
      </c>
    </row>
    <row r="216" customFormat="false" ht="15" hidden="false" customHeight="true" outlineLevel="0" collapsed="false">
      <c r="B216" s="13" t="s">
        <v>749</v>
      </c>
      <c r="C216" s="15" t="s">
        <v>92</v>
      </c>
      <c r="D216" s="40" t="n">
        <v>2</v>
      </c>
      <c r="I216" s="15" t="s">
        <v>750</v>
      </c>
    </row>
    <row r="217" customFormat="false" ht="15" hidden="false" customHeight="true" outlineLevel="0" collapsed="false">
      <c r="B217" s="13" t="s">
        <v>751</v>
      </c>
      <c r="C217" s="15" t="s">
        <v>89</v>
      </c>
      <c r="D217" s="40" t="n">
        <v>2000</v>
      </c>
      <c r="I217" s="15" t="s">
        <v>752</v>
      </c>
    </row>
    <row r="218" customFormat="false" ht="15" hidden="false" customHeight="true" outlineLevel="0" collapsed="false">
      <c r="B218" s="13" t="s">
        <v>753</v>
      </c>
      <c r="C218" s="15" t="s">
        <v>104</v>
      </c>
      <c r="D218" s="40" t="n">
        <v>1200000</v>
      </c>
      <c r="H218" s="46" t="n">
        <f aca="false">D218/FX_EUR</f>
        <v>1829.38820684892</v>
      </c>
      <c r="I218" s="15" t="s">
        <v>754</v>
      </c>
    </row>
    <row r="219" customFormat="false" ht="15" hidden="false" customHeight="true" outlineLevel="0" collapsed="false">
      <c r="B219" s="13" t="s">
        <v>755</v>
      </c>
      <c r="C219" s="15" t="s">
        <v>74</v>
      </c>
      <c r="D219" s="42" t="n">
        <v>4</v>
      </c>
      <c r="I219" s="15" t="s">
        <v>739</v>
      </c>
    </row>
    <row r="220" customFormat="false" ht="15" hidden="false" customHeight="true" outlineLevel="0" collapsed="false">
      <c r="B220" s="13" t="s">
        <v>756</v>
      </c>
      <c r="C220" s="15" t="s">
        <v>92</v>
      </c>
      <c r="D220" s="40" t="n">
        <v>2</v>
      </c>
      <c r="I220" s="15" t="s">
        <v>757</v>
      </c>
    </row>
    <row r="221" customFormat="false" ht="15" hidden="false" customHeight="true" outlineLevel="0" collapsed="false">
      <c r="B221" s="13" t="s">
        <v>758</v>
      </c>
      <c r="C221" s="15" t="s">
        <v>92</v>
      </c>
      <c r="D221" s="40" t="n">
        <v>2</v>
      </c>
      <c r="I221" s="15" t="s">
        <v>759</v>
      </c>
    </row>
    <row r="222" customFormat="false" ht="15" hidden="false" customHeight="true" outlineLevel="0" collapsed="false">
      <c r="B222" s="13" t="s">
        <v>760</v>
      </c>
      <c r="C222" s="15" t="s">
        <v>89</v>
      </c>
      <c r="D222" s="40" t="n">
        <v>400</v>
      </c>
      <c r="I222" s="15" t="s">
        <v>761</v>
      </c>
    </row>
    <row r="223" customFormat="false" ht="15" hidden="false" customHeight="true" outlineLevel="0" collapsed="false">
      <c r="B223" s="13" t="s">
        <v>762</v>
      </c>
      <c r="C223" s="15" t="s">
        <v>104</v>
      </c>
      <c r="D223" s="40" t="n">
        <v>400000</v>
      </c>
      <c r="H223" s="46" t="n">
        <f aca="false">D223/FX_EUR</f>
        <v>609.796068949642</v>
      </c>
      <c r="I223" s="15" t="s">
        <v>763</v>
      </c>
    </row>
    <row r="224" customFormat="false" ht="15" hidden="false" customHeight="true" outlineLevel="0" collapsed="false">
      <c r="B224" s="13" t="s">
        <v>764</v>
      </c>
      <c r="C224" s="15" t="s">
        <v>104</v>
      </c>
      <c r="D224" s="40" t="n">
        <v>450000</v>
      </c>
      <c r="H224" s="46" t="n">
        <f aca="false">D224/FX_EUR</f>
        <v>686.020577568347</v>
      </c>
      <c r="I224" s="15"/>
    </row>
    <row r="225" customFormat="false" ht="15" hidden="false" customHeight="true" outlineLevel="0" collapsed="false">
      <c r="B225" s="13" t="s">
        <v>765</v>
      </c>
      <c r="C225" s="15" t="s">
        <v>108</v>
      </c>
      <c r="D225" s="42" t="n">
        <v>2</v>
      </c>
      <c r="I225" s="15" t="s">
        <v>766</v>
      </c>
    </row>
    <row r="226" customFormat="false" ht="15" hidden="false" customHeight="true" outlineLevel="0" collapsed="false">
      <c r="B226" s="13" t="s">
        <v>767</v>
      </c>
      <c r="C226" s="15" t="s">
        <v>77</v>
      </c>
      <c r="D226" s="40" t="n">
        <v>1000000000</v>
      </c>
      <c r="H226" s="46" t="n">
        <f aca="false">D226/FX_EUR</f>
        <v>1524490.1723741</v>
      </c>
      <c r="I226" s="15" t="s">
        <v>768</v>
      </c>
    </row>
    <row r="227" customFormat="false" ht="15" hidden="false" customHeight="true" outlineLevel="0" collapsed="false">
      <c r="B227" s="13" t="s">
        <v>769</v>
      </c>
      <c r="C227" s="15" t="s">
        <v>104</v>
      </c>
      <c r="D227" s="40" t="n">
        <v>600000</v>
      </c>
      <c r="H227" s="46" t="n">
        <f aca="false">D227/FX_EUR</f>
        <v>914.694103424462</v>
      </c>
      <c r="I227" s="15"/>
    </row>
    <row r="228" customFormat="false" ht="15" hidden="false" customHeight="true" outlineLevel="0" collapsed="false">
      <c r="B228" s="13" t="s">
        <v>770</v>
      </c>
      <c r="C228" s="15" t="s">
        <v>771</v>
      </c>
      <c r="D228" s="40" t="n">
        <v>300</v>
      </c>
      <c r="H228" s="49" t="n">
        <f aca="false">D228*FX_EUR</f>
        <v>196787.1</v>
      </c>
      <c r="I228" s="15" t="s">
        <v>772</v>
      </c>
    </row>
    <row r="229" customFormat="false" ht="15" hidden="false" customHeight="true" outlineLevel="0" collapsed="false">
      <c r="B229" s="13" t="s">
        <v>773</v>
      </c>
      <c r="C229" s="15" t="s">
        <v>774</v>
      </c>
      <c r="D229" s="40" t="n">
        <v>500</v>
      </c>
      <c r="H229" s="49" t="n">
        <f aca="false">D229*FX_EUR</f>
        <v>327978.5</v>
      </c>
      <c r="I229" s="15" t="s">
        <v>775</v>
      </c>
    </row>
    <row r="230" customFormat="false" ht="15" hidden="false" customHeight="true" outlineLevel="0" collapsed="false">
      <c r="B230" s="13" t="s">
        <v>776</v>
      </c>
      <c r="C230" s="15" t="s">
        <v>777</v>
      </c>
      <c r="D230" s="40" t="n">
        <v>2000</v>
      </c>
      <c r="H230" s="46" t="n">
        <f aca="false">D230*FX_USD/FX_EUR</f>
        <v>1768.40859995396</v>
      </c>
      <c r="I230" s="15" t="s">
        <v>778</v>
      </c>
    </row>
    <row r="231" customFormat="false" ht="15" hidden="false" customHeight="true" outlineLevel="0" collapsed="false">
      <c r="B231" s="13" t="s">
        <v>779</v>
      </c>
      <c r="C231" s="15" t="s">
        <v>774</v>
      </c>
      <c r="D231" s="40" t="n">
        <v>800</v>
      </c>
      <c r="H231" s="49" t="n">
        <f aca="false">D231*FX_EUR</f>
        <v>524765.6</v>
      </c>
      <c r="I231" s="15" t="s">
        <v>780</v>
      </c>
    </row>
    <row r="232" customFormat="false" ht="15" hidden="false" customHeight="true" outlineLevel="0" collapsed="false">
      <c r="B232" s="13" t="s">
        <v>781</v>
      </c>
      <c r="C232" s="15" t="s">
        <v>782</v>
      </c>
      <c r="D232" s="42" t="n">
        <v>1</v>
      </c>
      <c r="I232" s="15"/>
    </row>
    <row r="233" customFormat="false" ht="15" hidden="false" customHeight="true" outlineLevel="0" collapsed="false">
      <c r="B233" s="13" t="s">
        <v>783</v>
      </c>
      <c r="C233" s="15" t="s">
        <v>782</v>
      </c>
      <c r="D233" s="42" t="n">
        <v>1</v>
      </c>
      <c r="I233" s="15"/>
    </row>
    <row r="234" customFormat="false" ht="15" hidden="false" customHeight="true" outlineLevel="0" collapsed="false">
      <c r="B234" s="13" t="s">
        <v>784</v>
      </c>
      <c r="C234" s="15" t="s">
        <v>782</v>
      </c>
      <c r="D234" s="42" t="n">
        <v>0</v>
      </c>
      <c r="I234" s="15" t="s">
        <v>785</v>
      </c>
    </row>
    <row r="235" customFormat="false" ht="15" hidden="false" customHeight="true" outlineLevel="0" collapsed="false">
      <c r="B235" s="13" t="s">
        <v>786</v>
      </c>
      <c r="C235" s="15" t="s">
        <v>782</v>
      </c>
      <c r="D235" s="42" t="n">
        <v>0</v>
      </c>
      <c r="I235" s="15" t="s">
        <v>787</v>
      </c>
    </row>
    <row r="236" customFormat="false" ht="15" hidden="false" customHeight="true" outlineLevel="0" collapsed="false">
      <c r="B236" s="13" t="s">
        <v>788</v>
      </c>
      <c r="C236" s="15" t="s">
        <v>104</v>
      </c>
      <c r="D236" s="40" t="n">
        <v>5000</v>
      </c>
      <c r="H236" s="46" t="n">
        <f aca="false">D236/FX_EUR</f>
        <v>7.62245086187052</v>
      </c>
      <c r="I236" s="15" t="s">
        <v>789</v>
      </c>
    </row>
    <row r="237" customFormat="false" ht="15" hidden="false" customHeight="true" outlineLevel="0" collapsed="false">
      <c r="B237" s="13" t="s">
        <v>790</v>
      </c>
      <c r="C237" s="15" t="s">
        <v>791</v>
      </c>
      <c r="D237" s="40" t="n">
        <v>9</v>
      </c>
      <c r="H237" s="46" t="n">
        <f aca="false">D237*FX_USD/FX_EUR</f>
        <v>7.95783869979282</v>
      </c>
      <c r="I237" s="15" t="s">
        <v>792</v>
      </c>
    </row>
    <row r="238" customFormat="false" ht="15" hidden="false" customHeight="true" outlineLevel="0" collapsed="false">
      <c r="B238" s="13" t="s">
        <v>793</v>
      </c>
      <c r="C238" s="15" t="s">
        <v>791</v>
      </c>
      <c r="D238" s="40" t="n">
        <v>9</v>
      </c>
      <c r="H238" s="46" t="n">
        <f aca="false">D238*FX_USD/FX_EUR</f>
        <v>7.95783869979282</v>
      </c>
      <c r="I238" s="15" t="s">
        <v>794</v>
      </c>
    </row>
    <row r="239" customFormat="false" ht="15" hidden="false" customHeight="true" outlineLevel="0" collapsed="false">
      <c r="B239" s="13" t="s">
        <v>795</v>
      </c>
      <c r="C239" s="15" t="s">
        <v>796</v>
      </c>
      <c r="D239" s="40" t="n">
        <v>25</v>
      </c>
      <c r="H239" s="46" t="n">
        <f aca="false">D239*FX_USD/FX_EUR</f>
        <v>22.1051074994245</v>
      </c>
      <c r="I239" s="15" t="s">
        <v>797</v>
      </c>
    </row>
    <row r="240" customFormat="false" ht="15" hidden="false" customHeight="true" outlineLevel="0" collapsed="false">
      <c r="B240" s="13" t="s">
        <v>798</v>
      </c>
      <c r="C240" s="15" t="s">
        <v>799</v>
      </c>
      <c r="D240" s="40" t="n">
        <v>2</v>
      </c>
      <c r="I240" s="15" t="s">
        <v>800</v>
      </c>
    </row>
    <row r="241" customFormat="false" ht="15" hidden="false" customHeight="true" outlineLevel="0" collapsed="false">
      <c r="B241" s="13" t="s">
        <v>801</v>
      </c>
      <c r="C241" s="15" t="s">
        <v>802</v>
      </c>
      <c r="D241" s="40" t="n">
        <v>25</v>
      </c>
      <c r="H241" s="46" t="n">
        <f aca="false">D241*FX_USD/FX_EUR</f>
        <v>22.1051074994245</v>
      </c>
      <c r="I241" s="15" t="s">
        <v>803</v>
      </c>
    </row>
    <row r="242" customFormat="false" ht="15" hidden="false" customHeight="true" outlineLevel="0" collapsed="false">
      <c r="B242" s="13" t="s">
        <v>804</v>
      </c>
      <c r="C242" s="15" t="s">
        <v>805</v>
      </c>
      <c r="D242" s="40" t="n">
        <v>20</v>
      </c>
      <c r="H242" s="46" t="n">
        <f aca="false">D242*FX_USD/FX_EUR</f>
        <v>17.6840859995396</v>
      </c>
      <c r="I242" s="15"/>
    </row>
    <row r="244" customFormat="false" ht="15" hidden="false" customHeight="true" outlineLevel="0" collapsed="false">
      <c r="B244" s="37" t="s">
        <v>806</v>
      </c>
      <c r="C244" s="37" t="s">
        <v>182</v>
      </c>
      <c r="D244" s="37" t="s">
        <v>411</v>
      </c>
      <c r="E244" s="37" t="s">
        <v>412</v>
      </c>
      <c r="F244" s="37" t="s">
        <v>413</v>
      </c>
      <c r="G244" s="37" t="s">
        <v>414</v>
      </c>
      <c r="H244" s="37" t="s">
        <v>415</v>
      </c>
      <c r="I244" s="37" t="s">
        <v>416</v>
      </c>
    </row>
    <row r="245" customFormat="false" ht="15" hidden="false" customHeight="true" outlineLevel="0" collapsed="false">
      <c r="B245" s="13" t="s">
        <v>807</v>
      </c>
      <c r="C245" s="15" t="s">
        <v>491</v>
      </c>
      <c r="D245" s="42" t="n">
        <v>1</v>
      </c>
      <c r="I245" s="15" t="s">
        <v>808</v>
      </c>
    </row>
    <row r="246" customFormat="false" ht="15" hidden="false" customHeight="true" outlineLevel="0" collapsed="false">
      <c r="B246" s="13" t="s">
        <v>809</v>
      </c>
      <c r="C246" s="15" t="s">
        <v>810</v>
      </c>
      <c r="D246" s="40" t="n">
        <v>70000</v>
      </c>
      <c r="H246" s="49" t="n">
        <f aca="false">D246*FX_EUR</f>
        <v>45916990</v>
      </c>
      <c r="I246" s="15" t="s">
        <v>811</v>
      </c>
    </row>
    <row r="247" customFormat="false" ht="15" hidden="false" customHeight="true" outlineLevel="0" collapsed="false">
      <c r="B247" s="13" t="s">
        <v>812</v>
      </c>
      <c r="C247" s="15" t="s">
        <v>108</v>
      </c>
      <c r="D247" s="42" t="n">
        <v>36</v>
      </c>
      <c r="I247" s="15" t="s">
        <v>813</v>
      </c>
    </row>
    <row r="248" customFormat="false" ht="15" hidden="false" customHeight="true" outlineLevel="0" collapsed="false">
      <c r="B248" s="13" t="s">
        <v>814</v>
      </c>
      <c r="C248" s="15" t="s">
        <v>805</v>
      </c>
      <c r="D248" s="40" t="n">
        <v>40000</v>
      </c>
      <c r="H248" s="46" t="n">
        <f aca="false">D248*FX_USD/FX_EUR</f>
        <v>35368.1719990792</v>
      </c>
      <c r="I248" s="15" t="s">
        <v>815</v>
      </c>
    </row>
    <row r="249" customFormat="false" ht="15" hidden="false" customHeight="true" outlineLevel="0" collapsed="false">
      <c r="B249" s="13" t="s">
        <v>816</v>
      </c>
      <c r="C249" s="15" t="s">
        <v>817</v>
      </c>
      <c r="D249" s="41" t="n">
        <v>0.05</v>
      </c>
      <c r="I249" s="15" t="s">
        <v>818</v>
      </c>
    </row>
    <row r="250" customFormat="false" ht="15" hidden="false" customHeight="true" outlineLevel="0" collapsed="false">
      <c r="B250" s="13" t="s">
        <v>819</v>
      </c>
      <c r="C250" s="15" t="s">
        <v>820</v>
      </c>
      <c r="D250" s="40" t="n">
        <v>10000</v>
      </c>
      <c r="H250" s="46" t="n">
        <f aca="false">D250*FX_USD/FX_EUR</f>
        <v>8842.0429997698</v>
      </c>
      <c r="I250" s="15" t="s">
        <v>821</v>
      </c>
    </row>
    <row r="252" customFormat="false" ht="15" hidden="false" customHeight="true" outlineLevel="0" collapsed="false">
      <c r="B252" s="37" t="s">
        <v>822</v>
      </c>
      <c r="C252" s="37" t="s">
        <v>182</v>
      </c>
      <c r="D252" s="37" t="s">
        <v>823</v>
      </c>
      <c r="E252" s="37" t="s">
        <v>824</v>
      </c>
      <c r="F252" s="37" t="s">
        <v>825</v>
      </c>
      <c r="G252" s="37" t="s">
        <v>826</v>
      </c>
      <c r="H252" s="37" t="s">
        <v>827</v>
      </c>
      <c r="I252" s="37" t="s">
        <v>416</v>
      </c>
      <c r="K252" s="37" t="s">
        <v>828</v>
      </c>
      <c r="L252" s="37" t="s">
        <v>829</v>
      </c>
      <c r="M252" s="37" t="s">
        <v>830</v>
      </c>
      <c r="N252" s="37" t="s">
        <v>831</v>
      </c>
      <c r="O252" s="37" t="s">
        <v>832</v>
      </c>
    </row>
    <row r="253" customFormat="false" ht="15" hidden="false" customHeight="true" outlineLevel="0" collapsed="false">
      <c r="B253" s="9" t="s">
        <v>833</v>
      </c>
    </row>
    <row r="254" customFormat="false" ht="15" hidden="false" customHeight="true" outlineLevel="0" collapsed="false">
      <c r="B254" s="13" t="s">
        <v>834</v>
      </c>
      <c r="C254" s="15" t="s">
        <v>802</v>
      </c>
      <c r="D254" s="40" t="n">
        <v>3000</v>
      </c>
      <c r="E254" s="40" t="n">
        <v>5000</v>
      </c>
      <c r="F254" s="40" t="n">
        <v>8000</v>
      </c>
      <c r="G254" s="40" t="n">
        <v>10000</v>
      </c>
      <c r="H254" s="40" t="n">
        <v>12000</v>
      </c>
      <c r="I254" s="15" t="s">
        <v>835</v>
      </c>
      <c r="K254" s="46" t="n">
        <f aca="false">D254*FX_USD/FX_EUR</f>
        <v>2652.61289993094</v>
      </c>
      <c r="L254" s="46" t="n">
        <f aca="false">E254*FX_USD/FX_EUR</f>
        <v>4421.0214998849</v>
      </c>
      <c r="M254" s="46" t="n">
        <f aca="false">F254*FX_USD/FX_EUR</f>
        <v>7073.63439981584</v>
      </c>
      <c r="N254" s="46" t="n">
        <f aca="false">G254*FX_USD/FX_EUR</f>
        <v>8842.0429997698</v>
      </c>
      <c r="O254" s="46" t="n">
        <f aca="false">H254*FX_USD/FX_EUR</f>
        <v>10610.4515997238</v>
      </c>
    </row>
    <row r="255" customFormat="false" ht="15" hidden="false" customHeight="true" outlineLevel="0" collapsed="false">
      <c r="B255" s="13" t="s">
        <v>836</v>
      </c>
      <c r="C255" s="15" t="s">
        <v>802</v>
      </c>
      <c r="D255" s="40" t="n">
        <v>150</v>
      </c>
      <c r="H255" s="46" t="n">
        <f aca="false">D255*FX_USD/FX_EUR</f>
        <v>132.630644996547</v>
      </c>
      <c r="I255" s="15" t="s">
        <v>837</v>
      </c>
    </row>
    <row r="256" customFormat="false" ht="15" hidden="false" customHeight="true" outlineLevel="0" collapsed="false">
      <c r="B256" s="13" t="s">
        <v>838</v>
      </c>
      <c r="C256" s="15" t="s">
        <v>839</v>
      </c>
      <c r="D256" s="40" t="n">
        <v>0</v>
      </c>
      <c r="E256" s="40" t="n">
        <v>4500000</v>
      </c>
      <c r="F256" s="40" t="n">
        <v>6000000</v>
      </c>
      <c r="G256" s="40" t="n">
        <v>8000000</v>
      </c>
      <c r="H256" s="40" t="n">
        <v>10000000</v>
      </c>
      <c r="I256" s="15" t="s">
        <v>840</v>
      </c>
      <c r="K256" s="46" t="n">
        <f aca="false">D256/FX_EUR</f>
        <v>0</v>
      </c>
      <c r="L256" s="46" t="n">
        <f aca="false">E256/FX_EUR</f>
        <v>6860.20577568347</v>
      </c>
      <c r="M256" s="46" t="n">
        <f aca="false">F256/FX_EUR</f>
        <v>9146.94103424462</v>
      </c>
      <c r="N256" s="46" t="n">
        <f aca="false">G256/FX_EUR</f>
        <v>12195.9213789928</v>
      </c>
      <c r="O256" s="46" t="n">
        <f aca="false">H256/FX_EUR</f>
        <v>15244.901723741</v>
      </c>
    </row>
    <row r="257" customFormat="false" ht="15" hidden="false" customHeight="true" outlineLevel="0" collapsed="false">
      <c r="B257" s="13" t="s">
        <v>841</v>
      </c>
      <c r="C257" s="15" t="s">
        <v>805</v>
      </c>
      <c r="D257" s="40" t="n">
        <v>9000</v>
      </c>
      <c r="E257" s="40" t="n">
        <v>20000</v>
      </c>
      <c r="F257" s="40" t="n">
        <v>30000</v>
      </c>
      <c r="G257" s="40" t="n">
        <v>40000</v>
      </c>
      <c r="H257" s="40" t="n">
        <v>50000</v>
      </c>
      <c r="I257" s="15" t="s">
        <v>842</v>
      </c>
      <c r="K257" s="46" t="n">
        <f aca="false">D257*FX_USD/FX_EUR</f>
        <v>7957.83869979282</v>
      </c>
      <c r="L257" s="46" t="n">
        <f aca="false">E257*FX_USD/FX_EUR</f>
        <v>17684.0859995396</v>
      </c>
      <c r="M257" s="46" t="n">
        <f aca="false">F257*FX_USD/FX_EUR</f>
        <v>26526.1289993094</v>
      </c>
      <c r="N257" s="46" t="n">
        <f aca="false">G257*FX_USD/FX_EUR</f>
        <v>35368.1719990792</v>
      </c>
      <c r="O257" s="46" t="n">
        <f aca="false">H257*FX_USD/FX_EUR</f>
        <v>44210.214998849</v>
      </c>
    </row>
    <row r="258" customFormat="false" ht="15" hidden="false" customHeight="true" outlineLevel="0" collapsed="false">
      <c r="B258" s="13" t="s">
        <v>843</v>
      </c>
      <c r="C258" s="15" t="s">
        <v>839</v>
      </c>
      <c r="D258" s="40" t="n">
        <v>7900000</v>
      </c>
      <c r="E258" s="40" t="n">
        <v>9800000</v>
      </c>
      <c r="F258" s="40" t="n">
        <v>5900000</v>
      </c>
      <c r="G258" s="40" t="n">
        <v>5900000</v>
      </c>
      <c r="H258" s="40" t="n">
        <v>5900000</v>
      </c>
      <c r="I258" s="15" t="s">
        <v>844</v>
      </c>
      <c r="K258" s="46" t="n">
        <f aca="false">D258/FX_EUR</f>
        <v>12043.4723617554</v>
      </c>
      <c r="L258" s="46" t="n">
        <f aca="false">E258/FX_EUR</f>
        <v>14940.0036892662</v>
      </c>
      <c r="M258" s="46" t="n">
        <f aca="false">F258/FX_EUR</f>
        <v>8994.49201700721</v>
      </c>
      <c r="N258" s="46" t="n">
        <f aca="false">G258/FX_EUR</f>
        <v>8994.49201700721</v>
      </c>
      <c r="O258" s="46" t="n">
        <f aca="false">H258/FX_EUR</f>
        <v>8994.49201700721</v>
      </c>
    </row>
    <row r="259" customFormat="false" ht="15" hidden="false" customHeight="true" outlineLevel="0" collapsed="false">
      <c r="B259" s="13" t="s">
        <v>845</v>
      </c>
      <c r="C259" s="15" t="s">
        <v>802</v>
      </c>
      <c r="D259" s="40" t="n">
        <v>5000</v>
      </c>
      <c r="E259" s="40" t="n">
        <v>5000</v>
      </c>
      <c r="F259" s="40" t="n">
        <v>7500</v>
      </c>
      <c r="G259" s="40" t="n">
        <v>10000</v>
      </c>
      <c r="H259" s="40" t="n">
        <v>12000</v>
      </c>
      <c r="I259" s="15" t="s">
        <v>846</v>
      </c>
      <c r="K259" s="46" t="n">
        <f aca="false">D259*FX_USD/FX_EUR</f>
        <v>4421.0214998849</v>
      </c>
      <c r="L259" s="46" t="n">
        <f aca="false">E259*FX_USD/FX_EUR</f>
        <v>4421.0214998849</v>
      </c>
      <c r="M259" s="46" t="n">
        <f aca="false">F259*FX_USD/FX_EUR</f>
        <v>6631.53224982735</v>
      </c>
      <c r="N259" s="46" t="n">
        <f aca="false">G259*FX_USD/FX_EUR</f>
        <v>8842.0429997698</v>
      </c>
      <c r="O259" s="46" t="n">
        <f aca="false">H259*FX_USD/FX_EUR</f>
        <v>10610.4515997238</v>
      </c>
    </row>
    <row r="260" customFormat="false" ht="15" hidden="false" customHeight="true" outlineLevel="0" collapsed="false">
      <c r="B260" s="13" t="s">
        <v>847</v>
      </c>
      <c r="C260" s="15" t="s">
        <v>820</v>
      </c>
      <c r="D260" s="40" t="n">
        <v>50000</v>
      </c>
      <c r="I260" s="15" t="s">
        <v>848</v>
      </c>
      <c r="K260" s="46" t="n">
        <f aca="false">D260*FX_USD/FX_EUR</f>
        <v>44210.214998849</v>
      </c>
    </row>
    <row r="261" customFormat="false" ht="15" hidden="false" customHeight="true" outlineLevel="0" collapsed="false">
      <c r="B261" s="9" t="s">
        <v>849</v>
      </c>
    </row>
    <row r="262" customFormat="false" ht="15" hidden="false" customHeight="true" outlineLevel="0" collapsed="false">
      <c r="B262" s="13" t="s">
        <v>850</v>
      </c>
      <c r="C262" s="15" t="s">
        <v>77</v>
      </c>
      <c r="D262" s="40" t="n">
        <v>15000000</v>
      </c>
      <c r="I262" s="15" t="s">
        <v>851</v>
      </c>
      <c r="K262" s="46" t="n">
        <f aca="false">D262/FX_EUR</f>
        <v>22867.3525856116</v>
      </c>
    </row>
    <row r="263" customFormat="false" ht="15" hidden="false" customHeight="true" outlineLevel="0" collapsed="false">
      <c r="B263" s="13" t="s">
        <v>852</v>
      </c>
      <c r="C263" s="15" t="s">
        <v>77</v>
      </c>
      <c r="D263" s="40" t="n">
        <v>15000000</v>
      </c>
      <c r="I263" s="15"/>
      <c r="K263" s="46" t="n">
        <f aca="false">D263/FX_EUR</f>
        <v>22867.3525856116</v>
      </c>
    </row>
    <row r="264" customFormat="false" ht="15" hidden="false" customHeight="true" outlineLevel="0" collapsed="false">
      <c r="B264" s="13" t="s">
        <v>853</v>
      </c>
      <c r="C264" s="15" t="s">
        <v>77</v>
      </c>
      <c r="D264" s="40" t="n">
        <v>5000000</v>
      </c>
      <c r="I264" s="15"/>
      <c r="K264" s="46" t="n">
        <f aca="false">D264/FX_EUR</f>
        <v>7622.45086187052</v>
      </c>
    </row>
    <row r="265" customFormat="false" ht="15" hidden="false" customHeight="true" outlineLevel="0" collapsed="false">
      <c r="B265" s="13" t="s">
        <v>854</v>
      </c>
      <c r="C265" s="15" t="s">
        <v>104</v>
      </c>
      <c r="D265" s="40" t="n">
        <v>1500000</v>
      </c>
      <c r="E265" s="40" t="n">
        <v>1500000</v>
      </c>
      <c r="F265" s="40" t="n">
        <v>2000000</v>
      </c>
      <c r="G265" s="40" t="n">
        <v>2000000</v>
      </c>
      <c r="H265" s="40" t="n">
        <v>2000000</v>
      </c>
      <c r="I265" s="15" t="s">
        <v>855</v>
      </c>
      <c r="K265" s="46" t="n">
        <f aca="false">D265/FX_EUR</f>
        <v>2286.73525856116</v>
      </c>
      <c r="L265" s="46" t="n">
        <f aca="false">E265/FX_EUR</f>
        <v>2286.73525856116</v>
      </c>
      <c r="M265" s="46" t="n">
        <f aca="false">F265/FX_EUR</f>
        <v>3048.98034474821</v>
      </c>
      <c r="N265" s="46" t="n">
        <f aca="false">G265/FX_EUR</f>
        <v>3048.98034474821</v>
      </c>
      <c r="O265" s="46" t="n">
        <f aca="false">H265/FX_EUR</f>
        <v>3048.98034474821</v>
      </c>
    </row>
    <row r="266" customFormat="false" ht="15" hidden="false" customHeight="true" outlineLevel="0" collapsed="false">
      <c r="B266" s="13" t="s">
        <v>856</v>
      </c>
      <c r="C266" s="15" t="s">
        <v>104</v>
      </c>
      <c r="D266" s="40" t="n">
        <v>0</v>
      </c>
      <c r="E266" s="40" t="n">
        <v>1500000</v>
      </c>
      <c r="F266" s="40" t="n">
        <v>2000000</v>
      </c>
      <c r="G266" s="40" t="n">
        <v>2000000</v>
      </c>
      <c r="H266" s="40" t="n">
        <v>2000000</v>
      </c>
      <c r="I266" s="15" t="s">
        <v>857</v>
      </c>
      <c r="K266" s="46" t="n">
        <f aca="false">D266/FX_EUR</f>
        <v>0</v>
      </c>
      <c r="L266" s="46" t="n">
        <f aca="false">E266/FX_EUR</f>
        <v>2286.73525856116</v>
      </c>
      <c r="M266" s="46" t="n">
        <f aca="false">F266/FX_EUR</f>
        <v>3048.98034474821</v>
      </c>
      <c r="N266" s="46" t="n">
        <f aca="false">G266/FX_EUR</f>
        <v>3048.98034474821</v>
      </c>
      <c r="O266" s="46" t="n">
        <f aca="false">H266/FX_EUR</f>
        <v>3048.98034474821</v>
      </c>
    </row>
    <row r="267" customFormat="false" ht="15" hidden="false" customHeight="true" outlineLevel="0" collapsed="false">
      <c r="B267" s="13" t="s">
        <v>858</v>
      </c>
      <c r="C267" s="15" t="s">
        <v>839</v>
      </c>
      <c r="D267" s="40" t="n">
        <v>0</v>
      </c>
      <c r="E267" s="40" t="n">
        <v>3000000</v>
      </c>
      <c r="F267" s="40" t="n">
        <v>3000000</v>
      </c>
      <c r="G267" s="40" t="n">
        <v>3000000</v>
      </c>
      <c r="H267" s="40" t="n">
        <v>3000000</v>
      </c>
      <c r="I267" s="15" t="s">
        <v>859</v>
      </c>
      <c r="K267" s="46" t="n">
        <f aca="false">D267/FX_EUR</f>
        <v>0</v>
      </c>
      <c r="L267" s="46" t="n">
        <f aca="false">E267/FX_EUR</f>
        <v>4573.47051712231</v>
      </c>
      <c r="M267" s="46" t="n">
        <f aca="false">F267/FX_EUR</f>
        <v>4573.47051712231</v>
      </c>
      <c r="N267" s="46" t="n">
        <f aca="false">G267/FX_EUR</f>
        <v>4573.47051712231</v>
      </c>
      <c r="O267" s="46" t="n">
        <f aca="false">H267/FX_EUR</f>
        <v>4573.47051712231</v>
      </c>
    </row>
    <row r="268" customFormat="false" ht="15" hidden="false" customHeight="true" outlineLevel="0" collapsed="false">
      <c r="B268" s="9" t="s">
        <v>860</v>
      </c>
    </row>
    <row r="269" customFormat="false" ht="15" hidden="false" customHeight="true" outlineLevel="0" collapsed="false">
      <c r="B269" s="13" t="s">
        <v>861</v>
      </c>
      <c r="C269" s="15" t="s">
        <v>77</v>
      </c>
      <c r="D269" s="40" t="n">
        <v>2500000</v>
      </c>
      <c r="I269" s="15" t="s">
        <v>862</v>
      </c>
      <c r="K269" s="46" t="n">
        <f aca="false">D269/FX_EUR</f>
        <v>3811.22543093526</v>
      </c>
    </row>
    <row r="270" customFormat="false" ht="15" hidden="false" customHeight="true" outlineLevel="0" collapsed="false">
      <c r="B270" s="13" t="s">
        <v>863</v>
      </c>
      <c r="C270" s="15" t="s">
        <v>77</v>
      </c>
      <c r="D270" s="40" t="n">
        <v>3000000</v>
      </c>
      <c r="I270" s="15"/>
      <c r="K270" s="46" t="n">
        <f aca="false">D270/FX_EUR</f>
        <v>4573.47051712231</v>
      </c>
    </row>
    <row r="271" customFormat="false" ht="15" hidden="false" customHeight="true" outlineLevel="0" collapsed="false">
      <c r="B271" s="13" t="s">
        <v>864</v>
      </c>
      <c r="C271" s="15" t="s">
        <v>839</v>
      </c>
      <c r="D271" s="40" t="n">
        <v>0</v>
      </c>
      <c r="E271" s="40" t="n">
        <v>40000000</v>
      </c>
      <c r="F271" s="40" t="n">
        <v>10000000</v>
      </c>
      <c r="G271" s="40" t="n">
        <v>0</v>
      </c>
      <c r="H271" s="40" t="n">
        <v>0</v>
      </c>
      <c r="I271" s="15" t="s">
        <v>865</v>
      </c>
      <c r="K271" s="46" t="n">
        <f aca="false">D271/FX_EUR</f>
        <v>0</v>
      </c>
      <c r="L271" s="46" t="n">
        <f aca="false">E271/FX_EUR</f>
        <v>60979.6068949642</v>
      </c>
      <c r="M271" s="46" t="n">
        <f aca="false">F271/FX_EUR</f>
        <v>15244.901723741</v>
      </c>
      <c r="N271" s="46" t="n">
        <f aca="false">G271/FX_EUR</f>
        <v>0</v>
      </c>
      <c r="O271" s="46" t="n">
        <f aca="false">H271/FX_EUR</f>
        <v>0</v>
      </c>
    </row>
    <row r="272" customFormat="false" ht="15" hidden="false" customHeight="true" outlineLevel="0" collapsed="false">
      <c r="B272" s="13" t="s">
        <v>866</v>
      </c>
      <c r="C272" s="15" t="s">
        <v>839</v>
      </c>
      <c r="D272" s="40" t="n">
        <v>36000000</v>
      </c>
      <c r="E272" s="40" t="n">
        <v>36000000</v>
      </c>
      <c r="F272" s="40" t="n">
        <v>42000000</v>
      </c>
      <c r="G272" s="40" t="n">
        <v>48000000</v>
      </c>
      <c r="H272" s="40" t="n">
        <v>54000000</v>
      </c>
      <c r="I272" s="15" t="s">
        <v>867</v>
      </c>
      <c r="K272" s="46" t="n">
        <f aca="false">D272/FX_EUR</f>
        <v>54881.6462054677</v>
      </c>
      <c r="L272" s="46" t="n">
        <f aca="false">E272/FX_EUR</f>
        <v>54881.6462054677</v>
      </c>
      <c r="M272" s="46" t="n">
        <f aca="false">F272/FX_EUR</f>
        <v>64028.5872397124</v>
      </c>
      <c r="N272" s="46" t="n">
        <f aca="false">G272/FX_EUR</f>
        <v>73175.528273957</v>
      </c>
      <c r="O272" s="46" t="n">
        <f aca="false">H272/FX_EUR</f>
        <v>82322.4693082016</v>
      </c>
    </row>
    <row r="273" customFormat="false" ht="15" hidden="false" customHeight="true" outlineLevel="0" collapsed="false">
      <c r="B273" s="13" t="s">
        <v>868</v>
      </c>
      <c r="C273" s="15" t="s">
        <v>104</v>
      </c>
      <c r="D273" s="40" t="n">
        <v>1000000</v>
      </c>
      <c r="E273" s="40" t="n">
        <v>1500000</v>
      </c>
      <c r="F273" s="40" t="n">
        <v>2000000</v>
      </c>
      <c r="G273" s="40" t="n">
        <v>2500000</v>
      </c>
      <c r="H273" s="40" t="n">
        <v>3000000</v>
      </c>
      <c r="I273" s="15"/>
      <c r="K273" s="46" t="n">
        <f aca="false">D273/FX_EUR</f>
        <v>1524.4901723741</v>
      </c>
      <c r="L273" s="46" t="n">
        <f aca="false">E273/FX_EUR</f>
        <v>2286.73525856116</v>
      </c>
      <c r="M273" s="46" t="n">
        <f aca="false">F273/FX_EUR</f>
        <v>3048.98034474821</v>
      </c>
      <c r="N273" s="46" t="n">
        <f aca="false">G273/FX_EUR</f>
        <v>3811.22543093526</v>
      </c>
      <c r="O273" s="46" t="n">
        <f aca="false">H273/FX_EUR</f>
        <v>4573.47051712231</v>
      </c>
    </row>
    <row r="274" customFormat="false" ht="15" hidden="false" customHeight="true" outlineLevel="0" collapsed="false">
      <c r="B274" s="13" t="s">
        <v>869</v>
      </c>
      <c r="C274" s="15" t="s">
        <v>839</v>
      </c>
      <c r="D274" s="40" t="n">
        <v>5000000</v>
      </c>
      <c r="E274" s="40" t="n">
        <v>10000000</v>
      </c>
      <c r="F274" s="40" t="n">
        <v>25000000</v>
      </c>
      <c r="G274" s="40" t="n">
        <v>30000000</v>
      </c>
      <c r="H274" s="40" t="n">
        <v>35000000</v>
      </c>
      <c r="I274" s="15" t="s">
        <v>870</v>
      </c>
      <c r="K274" s="46" t="n">
        <f aca="false">D274/FX_EUR</f>
        <v>7622.45086187052</v>
      </c>
      <c r="L274" s="46" t="n">
        <f aca="false">E274/FX_EUR</f>
        <v>15244.901723741</v>
      </c>
      <c r="M274" s="46" t="n">
        <f aca="false">F274/FX_EUR</f>
        <v>38112.2543093526</v>
      </c>
      <c r="N274" s="46" t="n">
        <f aca="false">G274/FX_EUR</f>
        <v>45734.7051712231</v>
      </c>
      <c r="O274" s="46" t="n">
        <f aca="false">H274/FX_EUR</f>
        <v>53357.1560330936</v>
      </c>
    </row>
    <row r="275" customFormat="false" ht="15" hidden="false" customHeight="true" outlineLevel="0" collapsed="false">
      <c r="B275" s="13" t="s">
        <v>871</v>
      </c>
      <c r="C275" s="15" t="s">
        <v>104</v>
      </c>
      <c r="D275" s="40" t="n">
        <v>300000</v>
      </c>
      <c r="E275" s="40" t="n">
        <v>600000</v>
      </c>
      <c r="F275" s="40" t="n">
        <v>800000</v>
      </c>
      <c r="G275" s="40" t="n">
        <v>900000</v>
      </c>
      <c r="H275" s="40" t="n">
        <v>1000000</v>
      </c>
      <c r="I275" s="15"/>
      <c r="K275" s="46" t="n">
        <f aca="false">D275/FX_EUR</f>
        <v>457.347051712231</v>
      </c>
      <c r="L275" s="46" t="n">
        <f aca="false">E275/FX_EUR</f>
        <v>914.694103424462</v>
      </c>
      <c r="M275" s="46" t="n">
        <f aca="false">F275/FX_EUR</f>
        <v>1219.59213789928</v>
      </c>
      <c r="N275" s="46" t="n">
        <f aca="false">G275/FX_EUR</f>
        <v>1372.04115513669</v>
      </c>
      <c r="O275" s="46" t="n">
        <f aca="false">H275/FX_EUR</f>
        <v>1524.4901723741</v>
      </c>
    </row>
    <row r="276" customFormat="false" ht="15" hidden="false" customHeight="true" outlineLevel="0" collapsed="false">
      <c r="B276" s="13" t="s">
        <v>872</v>
      </c>
      <c r="C276" s="15" t="s">
        <v>839</v>
      </c>
      <c r="D276" s="40" t="n">
        <v>0</v>
      </c>
      <c r="E276" s="40" t="n">
        <v>0</v>
      </c>
      <c r="F276" s="40" t="n">
        <v>12000000</v>
      </c>
      <c r="G276" s="40" t="n">
        <v>14000000</v>
      </c>
      <c r="H276" s="40" t="n">
        <v>16000000</v>
      </c>
      <c r="I276" s="15" t="s">
        <v>873</v>
      </c>
      <c r="K276" s="46" t="n">
        <f aca="false">D276/FX_EUR</f>
        <v>0</v>
      </c>
      <c r="L276" s="46" t="n">
        <f aca="false">E276/FX_EUR</f>
        <v>0</v>
      </c>
      <c r="M276" s="46" t="n">
        <f aca="false">F276/FX_EUR</f>
        <v>18293.8820684892</v>
      </c>
      <c r="N276" s="46" t="n">
        <f aca="false">G276/FX_EUR</f>
        <v>21342.8624132375</v>
      </c>
      <c r="O276" s="46" t="n">
        <f aca="false">H276/FX_EUR</f>
        <v>24391.8427579857</v>
      </c>
    </row>
    <row r="277" customFormat="false" ht="15" hidden="false" customHeight="true" outlineLevel="0" collapsed="false">
      <c r="B277" s="13" t="s">
        <v>874</v>
      </c>
      <c r="C277" s="15" t="s">
        <v>839</v>
      </c>
      <c r="D277" s="40" t="n">
        <v>3500000</v>
      </c>
      <c r="E277" s="40" t="n">
        <v>3000000</v>
      </c>
      <c r="F277" s="40" t="n">
        <v>1500000</v>
      </c>
      <c r="G277" s="40" t="n">
        <v>1500000</v>
      </c>
      <c r="H277" s="40" t="n">
        <v>1500000</v>
      </c>
      <c r="I277" s="15"/>
      <c r="K277" s="46" t="n">
        <f aca="false">D277/FX_EUR</f>
        <v>5335.71560330936</v>
      </c>
      <c r="L277" s="46" t="n">
        <f aca="false">E277/FX_EUR</f>
        <v>4573.47051712231</v>
      </c>
      <c r="M277" s="46" t="n">
        <f aca="false">F277/FX_EUR</f>
        <v>2286.73525856116</v>
      </c>
      <c r="N277" s="46" t="n">
        <f aca="false">G277/FX_EUR</f>
        <v>2286.73525856116</v>
      </c>
      <c r="O277" s="46" t="n">
        <f aca="false">H277/FX_EUR</f>
        <v>2286.73525856116</v>
      </c>
    </row>
    <row r="278" customFormat="false" ht="15" hidden="false" customHeight="true" outlineLevel="0" collapsed="false">
      <c r="B278" s="13" t="s">
        <v>875</v>
      </c>
      <c r="C278" s="15" t="s">
        <v>805</v>
      </c>
      <c r="D278" s="40" t="n">
        <v>20000</v>
      </c>
      <c r="E278" s="40" t="n">
        <v>25000</v>
      </c>
      <c r="F278" s="40" t="n">
        <v>35000</v>
      </c>
      <c r="G278" s="40" t="n">
        <v>45000</v>
      </c>
      <c r="H278" s="40" t="n">
        <v>55000</v>
      </c>
      <c r="I278" s="15"/>
      <c r="K278" s="46" t="n">
        <f aca="false">D278*FX_USD/FX_EUR</f>
        <v>17684.0859995396</v>
      </c>
      <c r="L278" s="46" t="n">
        <f aca="false">E278*FX_USD/FX_EUR</f>
        <v>22105.1074994245</v>
      </c>
      <c r="M278" s="46" t="n">
        <f aca="false">F278*FX_USD/FX_EUR</f>
        <v>30947.1504991943</v>
      </c>
      <c r="N278" s="46" t="n">
        <f aca="false">G278*FX_USD/FX_EUR</f>
        <v>39789.1934989641</v>
      </c>
      <c r="O278" s="46" t="n">
        <f aca="false">H278*FX_USD/FX_EUR</f>
        <v>48631.2364987339</v>
      </c>
    </row>
    <row r="279" customFormat="false" ht="15" hidden="false" customHeight="true" outlineLevel="0" collapsed="false">
      <c r="B279" s="9" t="s">
        <v>876</v>
      </c>
    </row>
    <row r="280" customFormat="false" ht="15" hidden="false" customHeight="true" outlineLevel="0" collapsed="false">
      <c r="B280" s="13" t="s">
        <v>877</v>
      </c>
      <c r="C280" s="15" t="s">
        <v>104</v>
      </c>
      <c r="D280" s="40" t="n">
        <v>1310000</v>
      </c>
      <c r="E280" s="40" t="n">
        <v>2620000</v>
      </c>
      <c r="F280" s="40" t="n">
        <v>3940000</v>
      </c>
      <c r="G280" s="40" t="n">
        <v>4590000</v>
      </c>
      <c r="H280" s="40" t="n">
        <v>5250000</v>
      </c>
      <c r="I280" s="15" t="s">
        <v>878</v>
      </c>
      <c r="K280" s="46" t="n">
        <f aca="false">D280/FX_EUR</f>
        <v>1997.08212581008</v>
      </c>
      <c r="L280" s="46" t="n">
        <f aca="false">E280/FX_EUR</f>
        <v>3994.16425162015</v>
      </c>
      <c r="M280" s="46" t="n">
        <f aca="false">F280/FX_EUR</f>
        <v>6006.49127915397</v>
      </c>
      <c r="N280" s="46" t="n">
        <f aca="false">G280/FX_EUR</f>
        <v>6997.40989119714</v>
      </c>
      <c r="O280" s="46" t="n">
        <f aca="false">H280/FX_EUR</f>
        <v>8003.57340496405</v>
      </c>
    </row>
    <row r="281" customFormat="false" ht="15" hidden="false" customHeight="true" outlineLevel="0" collapsed="false">
      <c r="B281" s="13" t="s">
        <v>879</v>
      </c>
      <c r="C281" s="15" t="s">
        <v>104</v>
      </c>
      <c r="D281" s="40" t="n">
        <v>0</v>
      </c>
      <c r="E281" s="40" t="n">
        <v>1310000</v>
      </c>
      <c r="F281" s="40" t="n">
        <v>2620000</v>
      </c>
      <c r="G281" s="40" t="n">
        <v>3280000</v>
      </c>
      <c r="H281" s="40" t="n">
        <v>3940000</v>
      </c>
      <c r="I281" s="15" t="s">
        <v>857</v>
      </c>
      <c r="K281" s="46" t="n">
        <f aca="false">D281/FX_EUR</f>
        <v>0</v>
      </c>
      <c r="L281" s="46" t="n">
        <f aca="false">E281/FX_EUR</f>
        <v>1997.08212581008</v>
      </c>
      <c r="M281" s="46" t="n">
        <f aca="false">F281/FX_EUR</f>
        <v>3994.16425162015</v>
      </c>
      <c r="N281" s="46" t="n">
        <f aca="false">G281/FX_EUR</f>
        <v>5000.32776538706</v>
      </c>
      <c r="O281" s="46" t="n">
        <f aca="false">H281/FX_EUR</f>
        <v>6006.49127915397</v>
      </c>
    </row>
    <row r="282" customFormat="false" ht="15" hidden="false" customHeight="true" outlineLevel="0" collapsed="false">
      <c r="B282" s="13" t="s">
        <v>880</v>
      </c>
      <c r="C282" s="15" t="s">
        <v>839</v>
      </c>
      <c r="D282" s="40" t="n">
        <v>16400000</v>
      </c>
      <c r="E282" s="40" t="n">
        <v>5250000</v>
      </c>
      <c r="F282" s="40" t="n">
        <v>6560000</v>
      </c>
      <c r="G282" s="40" t="n">
        <v>6560000</v>
      </c>
      <c r="H282" s="40" t="n">
        <v>6560000</v>
      </c>
      <c r="I282" s="15" t="s">
        <v>881</v>
      </c>
      <c r="K282" s="46" t="n">
        <f aca="false">D282/FX_EUR</f>
        <v>25001.6388269353</v>
      </c>
      <c r="L282" s="46" t="n">
        <f aca="false">E282/FX_EUR</f>
        <v>8003.57340496405</v>
      </c>
      <c r="M282" s="46" t="n">
        <f aca="false">F282/FX_EUR</f>
        <v>10000.6555307741</v>
      </c>
      <c r="N282" s="46" t="n">
        <f aca="false">G282/FX_EUR</f>
        <v>10000.6555307741</v>
      </c>
      <c r="O282" s="46" t="n">
        <f aca="false">H282/FX_EUR</f>
        <v>10000.6555307741</v>
      </c>
    </row>
    <row r="283" customFormat="false" ht="15" hidden="false" customHeight="true" outlineLevel="0" collapsed="false">
      <c r="B283" s="13" t="s">
        <v>882</v>
      </c>
      <c r="C283" s="15" t="s">
        <v>839</v>
      </c>
      <c r="D283" s="40" t="n">
        <v>9840000</v>
      </c>
      <c r="E283" s="40" t="n">
        <v>19700000</v>
      </c>
      <c r="F283" s="40" t="n">
        <v>29500000</v>
      </c>
      <c r="G283" s="40" t="n">
        <v>36100000</v>
      </c>
      <c r="H283" s="40" t="n">
        <v>42600000</v>
      </c>
      <c r="I283" s="15"/>
      <c r="K283" s="46" t="n">
        <f aca="false">D283/FX_EUR</f>
        <v>15000.9832961612</v>
      </c>
      <c r="L283" s="46" t="n">
        <f aca="false">E283/FX_EUR</f>
        <v>30032.4563957698</v>
      </c>
      <c r="M283" s="46" t="n">
        <f aca="false">F283/FX_EUR</f>
        <v>44972.4600850361</v>
      </c>
      <c r="N283" s="46" t="n">
        <f aca="false">G283/FX_EUR</f>
        <v>55034.0952227051</v>
      </c>
      <c r="O283" s="46" t="n">
        <f aca="false">H283/FX_EUR</f>
        <v>64943.2813431368</v>
      </c>
    </row>
    <row r="284" customFormat="false" ht="15" hidden="false" customHeight="true" outlineLevel="0" collapsed="false">
      <c r="B284" s="9" t="s">
        <v>883</v>
      </c>
    </row>
    <row r="285" customFormat="false" ht="15" hidden="false" customHeight="true" outlineLevel="0" collapsed="false">
      <c r="B285" s="13" t="s">
        <v>884</v>
      </c>
      <c r="C285" s="15" t="s">
        <v>839</v>
      </c>
      <c r="D285" s="40" t="n">
        <v>5250000</v>
      </c>
      <c r="E285" s="40" t="n">
        <v>13100000</v>
      </c>
      <c r="F285" s="40" t="n">
        <v>16400000</v>
      </c>
      <c r="G285" s="40" t="n">
        <v>19700000</v>
      </c>
      <c r="H285" s="40" t="n">
        <v>23000000</v>
      </c>
      <c r="I285" s="15"/>
      <c r="K285" s="46" t="n">
        <f aca="false">D285/FX_EUR</f>
        <v>8003.57340496405</v>
      </c>
      <c r="L285" s="46" t="n">
        <f aca="false">E285/FX_EUR</f>
        <v>19970.8212581008</v>
      </c>
      <c r="M285" s="46" t="n">
        <f aca="false">F285/FX_EUR</f>
        <v>25001.6388269353</v>
      </c>
      <c r="N285" s="46" t="n">
        <f aca="false">G285/FX_EUR</f>
        <v>30032.4563957698</v>
      </c>
      <c r="O285" s="46" t="n">
        <f aca="false">H285/FX_EUR</f>
        <v>35063.2739646044</v>
      </c>
    </row>
    <row r="286" customFormat="false" ht="15" hidden="false" customHeight="true" outlineLevel="0" collapsed="false">
      <c r="B286" s="13" t="s">
        <v>885</v>
      </c>
      <c r="C286" s="15" t="s">
        <v>104</v>
      </c>
      <c r="D286" s="40" t="n">
        <v>300000</v>
      </c>
      <c r="E286" s="40" t="n">
        <v>450000</v>
      </c>
      <c r="F286" s="40" t="n">
        <v>600000</v>
      </c>
      <c r="G286" s="40" t="n">
        <v>700000</v>
      </c>
      <c r="H286" s="40" t="n">
        <v>800000</v>
      </c>
      <c r="I286" s="15"/>
      <c r="K286" s="46" t="n">
        <f aca="false">D286/FX_EUR</f>
        <v>457.347051712231</v>
      </c>
      <c r="L286" s="46" t="n">
        <f aca="false">E286/FX_EUR</f>
        <v>686.020577568347</v>
      </c>
      <c r="M286" s="46" t="n">
        <f aca="false">F286/FX_EUR</f>
        <v>914.694103424462</v>
      </c>
      <c r="N286" s="46" t="n">
        <f aca="false">G286/FX_EUR</f>
        <v>1067.14312066187</v>
      </c>
      <c r="O286" s="46" t="n">
        <f aca="false">H286/FX_EUR</f>
        <v>1219.59213789928</v>
      </c>
    </row>
    <row r="288" customFormat="false" ht="15" hidden="false" customHeight="true" outlineLevel="0" collapsed="false">
      <c r="B288" s="37" t="s">
        <v>886</v>
      </c>
      <c r="C288" s="37" t="s">
        <v>182</v>
      </c>
      <c r="D288" s="37" t="s">
        <v>411</v>
      </c>
      <c r="E288" s="37" t="s">
        <v>412</v>
      </c>
      <c r="F288" s="37" t="s">
        <v>413</v>
      </c>
      <c r="G288" s="37" t="s">
        <v>414</v>
      </c>
      <c r="H288" s="37" t="s">
        <v>415</v>
      </c>
      <c r="I288" s="37" t="s">
        <v>416</v>
      </c>
    </row>
    <row r="289" customFormat="false" ht="15" hidden="false" customHeight="true" outlineLevel="0" collapsed="false">
      <c r="B289" s="13" t="s">
        <v>887</v>
      </c>
      <c r="C289" s="15" t="s">
        <v>77</v>
      </c>
      <c r="D289" s="40" t="n">
        <v>0</v>
      </c>
      <c r="H289" s="46" t="n">
        <f aca="false">D289/FX_EUR</f>
        <v>0</v>
      </c>
      <c r="I289" s="15"/>
    </row>
    <row r="290" customFormat="false" ht="15" hidden="false" customHeight="true" outlineLevel="0" collapsed="false">
      <c r="B290" s="13" t="s">
        <v>888</v>
      </c>
      <c r="C290" s="15" t="s">
        <v>77</v>
      </c>
      <c r="D290" s="40" t="n">
        <v>30000000</v>
      </c>
      <c r="H290" s="46" t="n">
        <f aca="false">D290/FX_EUR</f>
        <v>45734.7051712231</v>
      </c>
      <c r="I290" s="15" t="s">
        <v>889</v>
      </c>
    </row>
    <row r="291" customFormat="false" ht="15" hidden="false" customHeight="true" outlineLevel="0" collapsed="false">
      <c r="B291" s="13" t="s">
        <v>890</v>
      </c>
      <c r="C291" s="15" t="s">
        <v>77</v>
      </c>
      <c r="D291" s="40" t="n">
        <v>650000000</v>
      </c>
      <c r="H291" s="46" t="n">
        <f aca="false">D291/FX_EUR</f>
        <v>990918.612043168</v>
      </c>
      <c r="I291" s="15" t="s">
        <v>891</v>
      </c>
    </row>
    <row r="292" customFormat="false" ht="15" hidden="false" customHeight="true" outlineLevel="0" collapsed="false">
      <c r="B292" s="13" t="s">
        <v>892</v>
      </c>
      <c r="C292" s="15" t="s">
        <v>74</v>
      </c>
      <c r="D292" s="42" t="n">
        <v>1</v>
      </c>
      <c r="I292" s="15"/>
    </row>
    <row r="293" customFormat="false" ht="15" hidden="false" customHeight="true" outlineLevel="0" collapsed="false">
      <c r="B293" s="13" t="s">
        <v>893</v>
      </c>
      <c r="C293" s="15" t="s">
        <v>77</v>
      </c>
      <c r="D293" s="40" t="n">
        <v>900000000</v>
      </c>
      <c r="H293" s="46" t="n">
        <f aca="false">D293/FX_EUR</f>
        <v>1372041.15513669</v>
      </c>
      <c r="I293" s="15" t="s">
        <v>894</v>
      </c>
    </row>
    <row r="294" customFormat="false" ht="15" hidden="false" customHeight="true" outlineLevel="0" collapsed="false">
      <c r="B294" s="13" t="s">
        <v>895</v>
      </c>
      <c r="C294" s="15" t="s">
        <v>74</v>
      </c>
      <c r="D294" s="42" t="n">
        <v>15</v>
      </c>
      <c r="I294" s="15"/>
    </row>
    <row r="295" customFormat="false" ht="15" hidden="false" customHeight="true" outlineLevel="0" collapsed="false">
      <c r="B295" s="13" t="s">
        <v>896</v>
      </c>
      <c r="C295" s="15" t="s">
        <v>77</v>
      </c>
      <c r="D295" s="40" t="n">
        <v>1200000000</v>
      </c>
      <c r="H295" s="46" t="n">
        <f aca="false">D295/FX_EUR</f>
        <v>1829388.20684892</v>
      </c>
      <c r="I295" s="15"/>
    </row>
    <row r="296" customFormat="false" ht="15" hidden="false" customHeight="true" outlineLevel="0" collapsed="false">
      <c r="B296" s="13" t="s">
        <v>897</v>
      </c>
      <c r="C296" s="15" t="s">
        <v>74</v>
      </c>
      <c r="D296" s="42" t="n">
        <v>24</v>
      </c>
      <c r="I296" s="15" t="s">
        <v>898</v>
      </c>
    </row>
    <row r="297" customFormat="false" ht="15" hidden="false" customHeight="true" outlineLevel="0" collapsed="false">
      <c r="B297" s="13" t="s">
        <v>899</v>
      </c>
      <c r="C297" s="15" t="s">
        <v>77</v>
      </c>
      <c r="D297" s="40" t="n">
        <v>1200000000</v>
      </c>
      <c r="H297" s="46" t="n">
        <f aca="false">D297/FX_EUR</f>
        <v>1829388.20684892</v>
      </c>
      <c r="I297" s="15"/>
    </row>
  </sheetData>
  <dataValidations count="1">
    <dataValidation allowBlank="false" errorStyle="stop" operator="between" showDropDown="false" showErrorMessage="false" showInputMessage="false" sqref="D4"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30"/>
    <col collapsed="false" customWidth="true" hidden="false" outlineLevel="0" max="3" min="3" style="1" width="12"/>
    <col collapsed="false" customWidth="true" hidden="false" outlineLevel="0" max="14" min="4" style="1" width="15"/>
  </cols>
  <sheetData>
    <row r="1" customFormat="false" ht="17.25" hidden="false" customHeight="true" outlineLevel="0" collapsed="false">
      <c r="A1" s="8" t="s">
        <v>900</v>
      </c>
    </row>
    <row r="2" customFormat="false" ht="15" hidden="false" customHeight="true" outlineLevel="0" collapsed="false">
      <c r="A2" s="3" t="s">
        <v>901</v>
      </c>
    </row>
    <row r="5" customFormat="false" ht="15" hidden="false" customHeight="true" outlineLevel="0" collapsed="false">
      <c r="A5" s="28" t="s">
        <v>902</v>
      </c>
    </row>
    <row r="6" customFormat="false" ht="15" hidden="false" customHeight="true" outlineLevel="0" collapsed="false">
      <c r="A6" s="3" t="s">
        <v>903</v>
      </c>
    </row>
    <row r="7" customFormat="false" ht="30" hidden="false" customHeight="true" outlineLevel="0" collapsed="false">
      <c r="A7" s="29" t="s">
        <v>904</v>
      </c>
      <c r="B7" s="29" t="s">
        <v>905</v>
      </c>
      <c r="C7" s="29" t="s">
        <v>906</v>
      </c>
      <c r="D7" s="29" t="s">
        <v>907</v>
      </c>
      <c r="E7" s="29" t="s">
        <v>908</v>
      </c>
      <c r="F7" s="29" t="s">
        <v>909</v>
      </c>
      <c r="G7" s="29" t="s">
        <v>910</v>
      </c>
    </row>
    <row r="8" customFormat="false" ht="15" hidden="false" customHeight="true" outlineLevel="0" collapsed="false">
      <c r="A8" s="11" t="s">
        <v>911</v>
      </c>
      <c r="B8" s="12"/>
      <c r="C8" s="12"/>
      <c r="D8" s="12"/>
      <c r="E8" s="12"/>
      <c r="F8" s="12"/>
      <c r="G8" s="12"/>
      <c r="H8" s="12"/>
      <c r="I8" s="12"/>
      <c r="J8" s="12"/>
      <c r="K8" s="12"/>
      <c r="L8" s="12"/>
      <c r="M8" s="12"/>
      <c r="N8" s="12"/>
    </row>
    <row r="9" customFormat="false" ht="23.25" hidden="false" customHeight="true" outlineLevel="0" collapsed="false">
      <c r="A9" s="13" t="s">
        <v>912</v>
      </c>
      <c r="B9" s="31" t="s">
        <v>913</v>
      </c>
      <c r="C9" s="33" t="n">
        <f aca="false">Price_Moyenne</f>
        <v>19500</v>
      </c>
      <c r="D9" s="33" t="n">
        <f aca="false">Bank_Fee+Notif_Cost</f>
        <v>1850</v>
      </c>
      <c r="E9" s="33" t="n">
        <f aca="false">C9-D9</f>
        <v>17650</v>
      </c>
      <c r="F9" s="35" t="n">
        <f aca="false">IF(C9&gt;0,E9/C9,"")</f>
        <v>0.905128205128205</v>
      </c>
      <c r="G9" s="13" t="s">
        <v>914</v>
      </c>
    </row>
    <row r="10" customFormat="false" ht="15" hidden="false" customHeight="true" outlineLevel="0" collapsed="false">
      <c r="A10" s="3" t="s">
        <v>127</v>
      </c>
      <c r="C10" s="32" t="n">
        <f aca="false">IF(ISNUMBER(C9),C9/FX_EUR,"")</f>
        <v>29.727558361295</v>
      </c>
      <c r="D10" s="32" t="n">
        <f aca="false">IF(ISNUMBER(D9),D9/FX_EUR,"")</f>
        <v>2.82030681889209</v>
      </c>
      <c r="E10" s="32" t="n">
        <f aca="false">IF(ISNUMBER(E9),E9/FX_EUR,"")</f>
        <v>26.9072515424029</v>
      </c>
    </row>
    <row r="11" customFormat="false" ht="15" hidden="false" customHeight="true" outlineLevel="0" collapsed="false">
      <c r="A11" s="13" t="s">
        <v>915</v>
      </c>
      <c r="B11" s="31" t="s">
        <v>916</v>
      </c>
      <c r="C11" s="33" t="n">
        <f aca="false">0</f>
        <v>0</v>
      </c>
      <c r="D11" s="33" t="n">
        <f aca="false">KYB_Cost+KYC_Cost*KYC_Persons</f>
        <v>3300</v>
      </c>
      <c r="E11" s="33" t="n">
        <f aca="false">C11-D11</f>
        <v>-3300</v>
      </c>
      <c r="F11" s="35" t="str">
        <f aca="false">IF(C11&gt;0,E11/C11,"")</f>
        <v/>
      </c>
      <c r="G11" s="13" t="s">
        <v>917</v>
      </c>
    </row>
    <row r="12" customFormat="false" ht="15" hidden="false" customHeight="true" outlineLevel="0" collapsed="false">
      <c r="A12" s="3" t="s">
        <v>127</v>
      </c>
      <c r="C12" s="32" t="n">
        <f aca="false">IF(ISNUMBER(C11),C11/FX_EUR,"")</f>
        <v>0</v>
      </c>
      <c r="D12" s="32" t="n">
        <f aca="false">IF(ISNUMBER(D11),D11/FX_EUR,"")</f>
        <v>5.03081756883454</v>
      </c>
      <c r="E12" s="32" t="n">
        <f aca="false">IF(ISNUMBER(E11),E11/FX_EUR,"")</f>
        <v>-5.03081756883454</v>
      </c>
    </row>
    <row r="13" customFormat="false" ht="15" hidden="false" customHeight="true" outlineLevel="0" collapsed="false">
      <c r="A13" s="13" t="s">
        <v>918</v>
      </c>
      <c r="B13" s="31" t="s">
        <v>919</v>
      </c>
      <c r="C13" s="33" t="n">
        <f aca="false">Extra_User_Fee</f>
        <v>2500</v>
      </c>
      <c r="D13" s="33" t="n">
        <f aca="false">0</f>
        <v>0</v>
      </c>
      <c r="E13" s="33" t="n">
        <f aca="false">C13-D13</f>
        <v>2500</v>
      </c>
      <c r="F13" s="35" t="n">
        <f aca="false">IF(C13&gt;0,E13/C13,"")</f>
        <v>1</v>
      </c>
      <c r="G13" s="13"/>
    </row>
    <row r="14" customFormat="false" ht="15" hidden="false" customHeight="true" outlineLevel="0" collapsed="false">
      <c r="A14" s="3" t="s">
        <v>127</v>
      </c>
      <c r="C14" s="32" t="n">
        <f aca="false">IF(ISNUMBER(C13),C13/FX_EUR,"")</f>
        <v>3.81122543093526</v>
      </c>
      <c r="D14" s="32" t="n">
        <f aca="false">IF(ISNUMBER(D13),D13/FX_EUR,"")</f>
        <v>0</v>
      </c>
      <c r="E14" s="32" t="n">
        <f aca="false">IF(ISNUMBER(E13),E13/FX_EUR,"")</f>
        <v>3.81122543093526</v>
      </c>
    </row>
    <row r="15" customFormat="false" ht="15" hidden="false" customHeight="true" outlineLevel="0" collapsed="false">
      <c r="A15" s="11" t="s">
        <v>920</v>
      </c>
      <c r="B15" s="12"/>
      <c r="C15" s="12"/>
      <c r="D15" s="12"/>
      <c r="E15" s="12"/>
      <c r="F15" s="12"/>
      <c r="G15" s="12"/>
      <c r="H15" s="12"/>
      <c r="I15" s="12"/>
      <c r="J15" s="12"/>
      <c r="K15" s="12"/>
      <c r="L15" s="12"/>
      <c r="M15" s="12"/>
      <c r="N15" s="12"/>
    </row>
    <row r="16" customFormat="false" ht="15" hidden="false" customHeight="true" outlineLevel="0" collapsed="false">
      <c r="A16" s="13" t="s">
        <v>921</v>
      </c>
      <c r="B16" s="31" t="s">
        <v>272</v>
      </c>
      <c r="C16" s="33" t="n">
        <f aca="false">0</f>
        <v>0</v>
      </c>
      <c r="D16" s="33" t="n">
        <f aca="false">Supplier_Payout_Cost</f>
        <v>150</v>
      </c>
      <c r="E16" s="33" t="n">
        <f aca="false">C16-D16</f>
        <v>-150</v>
      </c>
      <c r="F16" s="35" t="str">
        <f aca="false">IF(C16&gt;0,E16/C16,"")</f>
        <v/>
      </c>
      <c r="G16" s="13" t="s">
        <v>922</v>
      </c>
    </row>
    <row r="17" customFormat="false" ht="15" hidden="false" customHeight="true" outlineLevel="0" collapsed="false">
      <c r="A17" s="3" t="s">
        <v>127</v>
      </c>
      <c r="C17" s="32" t="n">
        <f aca="false">IF(ISNUMBER(C16),C16/FX_EUR,"")</f>
        <v>0</v>
      </c>
      <c r="D17" s="32" t="n">
        <f aca="false">IF(ISNUMBER(D16),D16/FX_EUR,"")</f>
        <v>0.228673525856116</v>
      </c>
      <c r="E17" s="32" t="n">
        <f aca="false">IF(ISNUMBER(E16),E16/FX_EUR,"")</f>
        <v>-0.228673525856116</v>
      </c>
    </row>
    <row r="18" customFormat="false" ht="15" hidden="false" customHeight="true" outlineLevel="0" collapsed="false">
      <c r="A18" s="13" t="s">
        <v>923</v>
      </c>
      <c r="B18" s="31" t="s">
        <v>272</v>
      </c>
      <c r="C18" s="33" t="n">
        <f aca="false">Overage_Fee</f>
        <v>450</v>
      </c>
      <c r="D18" s="33" t="n">
        <f aca="false">Supplier_Payout_Cost</f>
        <v>150</v>
      </c>
      <c r="E18" s="33" t="n">
        <f aca="false">C18-D18</f>
        <v>300</v>
      </c>
      <c r="F18" s="35" t="n">
        <f aca="false">IF(C18&gt;0,E18/C18,"")</f>
        <v>0.666666666666667</v>
      </c>
      <c r="G18" s="13" t="s">
        <v>924</v>
      </c>
    </row>
    <row r="19" customFormat="false" ht="15" hidden="false" customHeight="true" outlineLevel="0" collapsed="false">
      <c r="A19" s="3" t="s">
        <v>127</v>
      </c>
      <c r="C19" s="32" t="n">
        <f aca="false">IF(ISNUMBER(C18),C18/FX_EUR,"")</f>
        <v>0.686020577568347</v>
      </c>
      <c r="D19" s="32" t="n">
        <f aca="false">IF(ISNUMBER(D18),D18/FX_EUR,"")</f>
        <v>0.228673525856116</v>
      </c>
      <c r="E19" s="32" t="n">
        <f aca="false">IF(ISNUMBER(E18),E18/FX_EUR,"")</f>
        <v>0.457347051712231</v>
      </c>
    </row>
    <row r="20" customFormat="false" ht="15" hidden="false" customHeight="true" outlineLevel="0" collapsed="false">
      <c r="A20" s="13" t="s">
        <v>925</v>
      </c>
      <c r="B20" s="31" t="s">
        <v>272</v>
      </c>
      <c r="C20" s="33" t="n">
        <f aca="false">0</f>
        <v>0</v>
      </c>
      <c r="D20" s="33" t="n">
        <f aca="false">Bank_Payout_Cost</f>
        <v>100</v>
      </c>
      <c r="E20" s="33" t="n">
        <f aca="false">C20-D20</f>
        <v>-100</v>
      </c>
      <c r="F20" s="35" t="str">
        <f aca="false">IF(C20&gt;0,E20/C20,"")</f>
        <v/>
      </c>
      <c r="G20" s="13" t="s">
        <v>924</v>
      </c>
    </row>
    <row r="21" customFormat="false" ht="15" hidden="false" customHeight="true" outlineLevel="0" collapsed="false">
      <c r="A21" s="3" t="s">
        <v>127</v>
      </c>
      <c r="C21" s="32" t="n">
        <f aca="false">IF(ISNUMBER(C20),C20/FX_EUR,"")</f>
        <v>0</v>
      </c>
      <c r="D21" s="32" t="n">
        <f aca="false">IF(ISNUMBER(D20),D20/FX_EUR,"")</f>
        <v>0.15244901723741</v>
      </c>
      <c r="E21" s="32" t="n">
        <f aca="false">IF(ISNUMBER(E20),E20/FX_EUR,"")</f>
        <v>-0.15244901723741</v>
      </c>
    </row>
    <row r="22" customFormat="false" ht="23.25" hidden="false" customHeight="true" outlineLevel="0" collapsed="false">
      <c r="A22" s="13" t="s">
        <v>926</v>
      </c>
      <c r="B22" s="31" t="s">
        <v>927</v>
      </c>
      <c r="C22" s="33" t="n">
        <f aca="false">0</f>
        <v>0</v>
      </c>
      <c r="D22" s="33" t="n">
        <f aca="false">(IF(MM_Cost_Cap&gt;0,MIN(MM_Cost_Pct*75000,MM_Cost_Cap),MM_Cost_Pct*75000)+MM_Cost_Flat)</f>
        <v>375</v>
      </c>
      <c r="E22" s="33" t="n">
        <f aca="false">C22-D22</f>
        <v>-375</v>
      </c>
      <c r="F22" s="35" t="str">
        <f aca="false">IF(C22&gt;0,E22/C22,"")</f>
        <v/>
      </c>
      <c r="G22" s="13" t="s">
        <v>928</v>
      </c>
    </row>
    <row r="23" customFormat="false" ht="15" hidden="false" customHeight="true" outlineLevel="0" collapsed="false">
      <c r="A23" s="3" t="s">
        <v>127</v>
      </c>
      <c r="C23" s="32" t="n">
        <f aca="false">IF(ISNUMBER(C22),C22/FX_EUR,"")</f>
        <v>0</v>
      </c>
      <c r="D23" s="32" t="n">
        <f aca="false">IF(ISNUMBER(D22),D22/FX_EUR,"")</f>
        <v>0.571683814640289</v>
      </c>
      <c r="E23" s="32" t="n">
        <f aca="false">IF(ISNUMBER(E22),E22/FX_EUR,"")</f>
        <v>-0.571683814640289</v>
      </c>
    </row>
    <row r="24" customFormat="false" ht="23.25" hidden="false" customHeight="true" outlineLevel="0" collapsed="false">
      <c r="A24" s="13" t="s">
        <v>929</v>
      </c>
      <c r="B24" s="31" t="s">
        <v>927</v>
      </c>
      <c r="C24" s="33" t="n">
        <f aca="false">MIN(MM_Fee*200000,MM_Fee_Cap)</f>
        <v>2500</v>
      </c>
      <c r="D24" s="33" t="n">
        <f aca="false">(IF(MM_Cost_Cap&gt;0,MIN(MM_Cost_Pct*200000,MM_Cost_Cap),MM_Cost_Pct*200000)+MM_Cost_Flat)</f>
        <v>1000</v>
      </c>
      <c r="E24" s="33" t="n">
        <f aca="false">C24-D24</f>
        <v>1500</v>
      </c>
      <c r="F24" s="35" t="n">
        <f aca="false">IF(C24&gt;0,E24/C24,"")</f>
        <v>0.6</v>
      </c>
      <c r="G24" s="13" t="s">
        <v>928</v>
      </c>
    </row>
    <row r="25" customFormat="false" ht="15" hidden="false" customHeight="true" outlineLevel="0" collapsed="false">
      <c r="A25" s="3" t="s">
        <v>127</v>
      </c>
      <c r="C25" s="32" t="n">
        <f aca="false">IF(ISNUMBER(C24),C24/FX_EUR,"")</f>
        <v>3.81122543093526</v>
      </c>
      <c r="D25" s="32" t="n">
        <f aca="false">IF(ISNUMBER(D24),D24/FX_EUR,"")</f>
        <v>1.5244901723741</v>
      </c>
      <c r="E25" s="32" t="n">
        <f aca="false">IF(ISNUMBER(E24),E24/FX_EUR,"")</f>
        <v>2.28673525856116</v>
      </c>
    </row>
    <row r="26" customFormat="false" ht="23.25" hidden="false" customHeight="true" outlineLevel="0" collapsed="false">
      <c r="A26" s="13" t="s">
        <v>930</v>
      </c>
      <c r="B26" s="31" t="s">
        <v>927</v>
      </c>
      <c r="C26" s="33" t="n">
        <f aca="false">MIN(MM_Fee*1000000,MM_Fee_Cap)</f>
        <v>8500</v>
      </c>
      <c r="D26" s="33" t="n">
        <f aca="false">(IF(MM_Cost_Cap&gt;0,MIN(MM_Cost_Pct*1000000,MM_Cost_Cap),MM_Cost_Pct*1000000)+MM_Cost_Flat)</f>
        <v>2500</v>
      </c>
      <c r="E26" s="33" t="n">
        <f aca="false">C26-D26</f>
        <v>6000</v>
      </c>
      <c r="F26" s="35" t="n">
        <f aca="false">IF(C26&gt;0,E26/C26,"")</f>
        <v>0.705882352941177</v>
      </c>
      <c r="G26" s="13" t="s">
        <v>931</v>
      </c>
    </row>
    <row r="27" customFormat="false" ht="15" hidden="false" customHeight="true" outlineLevel="0" collapsed="false">
      <c r="A27" s="3" t="s">
        <v>127</v>
      </c>
      <c r="C27" s="32" t="n">
        <f aca="false">IF(ISNUMBER(C26),C26/FX_EUR,"")</f>
        <v>12.9581664651799</v>
      </c>
      <c r="D27" s="32" t="n">
        <f aca="false">IF(ISNUMBER(D26),D26/FX_EUR,"")</f>
        <v>3.81122543093526</v>
      </c>
      <c r="E27" s="32" t="n">
        <f aca="false">IF(ISNUMBER(E26),E26/FX_EUR,"")</f>
        <v>9.14694103424462</v>
      </c>
    </row>
    <row r="28" customFormat="false" ht="23.25" hidden="false" customHeight="true" outlineLevel="0" collapsed="false">
      <c r="A28" s="13" t="s">
        <v>932</v>
      </c>
      <c r="B28" s="31" t="s">
        <v>927</v>
      </c>
      <c r="C28" s="33" t="n">
        <f aca="false">PL_Fee*100000</f>
        <v>1200</v>
      </c>
      <c r="D28" s="33" t="n">
        <f aca="false">PL_Cost*100000</f>
        <v>1000</v>
      </c>
      <c r="E28" s="33" t="n">
        <f aca="false">C28-D28</f>
        <v>200</v>
      </c>
      <c r="F28" s="35" t="n">
        <f aca="false">IF(C28&gt;0,E28/C28,"")</f>
        <v>0.166666666666667</v>
      </c>
      <c r="G28" s="13" t="s">
        <v>933</v>
      </c>
    </row>
    <row r="29" customFormat="false" ht="15" hidden="false" customHeight="true" outlineLevel="0" collapsed="false">
      <c r="A29" s="3" t="s">
        <v>127</v>
      </c>
      <c r="C29" s="32" t="n">
        <f aca="false">IF(ISNUMBER(C28),C28/FX_EUR,"")</f>
        <v>1.82938820684892</v>
      </c>
      <c r="D29" s="32" t="n">
        <f aca="false">IF(ISNUMBER(D28),D28/FX_EUR,"")</f>
        <v>1.5244901723741</v>
      </c>
      <c r="E29" s="32" t="n">
        <f aca="false">IF(ISNUMBER(E28),E28/FX_EUR,"")</f>
        <v>0.304898034474821</v>
      </c>
    </row>
    <row r="30" customFormat="false" ht="15" hidden="false" customHeight="true" outlineLevel="0" collapsed="false">
      <c r="A30" s="11" t="s">
        <v>398</v>
      </c>
      <c r="B30" s="12"/>
      <c r="C30" s="12"/>
      <c r="D30" s="12"/>
      <c r="E30" s="12"/>
      <c r="F30" s="12"/>
      <c r="G30" s="12"/>
      <c r="H30" s="12"/>
      <c r="I30" s="12"/>
      <c r="J30" s="12"/>
      <c r="K30" s="12"/>
      <c r="L30" s="12"/>
      <c r="M30" s="12"/>
      <c r="N30" s="12"/>
    </row>
    <row r="31" customFormat="false" ht="15" hidden="false" customHeight="true" outlineLevel="0" collapsed="false">
      <c r="A31" s="13" t="s">
        <v>934</v>
      </c>
      <c r="B31" s="31" t="s">
        <v>935</v>
      </c>
      <c r="C31" s="33" t="n">
        <f aca="false">0</f>
        <v>0</v>
      </c>
      <c r="D31" s="33" t="n">
        <f aca="false">Card_Proc_Fee</f>
        <v>600</v>
      </c>
      <c r="E31" s="33" t="n">
        <f aca="false">C31-D31</f>
        <v>-600</v>
      </c>
      <c r="F31" s="35" t="str">
        <f aca="false">IF(C31&gt;0,E31/C31,"")</f>
        <v/>
      </c>
      <c r="G31" s="13" t="s">
        <v>936</v>
      </c>
    </row>
    <row r="32" customFormat="false" ht="15" hidden="false" customHeight="true" outlineLevel="0" collapsed="false">
      <c r="A32" s="3" t="s">
        <v>127</v>
      </c>
      <c r="C32" s="32" t="n">
        <f aca="false">IF(ISNUMBER(C31),C31/FX_EUR,"")</f>
        <v>0</v>
      </c>
      <c r="D32" s="32" t="n">
        <f aca="false">IF(ISNUMBER(D31),D31/FX_EUR,"")</f>
        <v>0.914694103424462</v>
      </c>
      <c r="E32" s="32" t="n">
        <f aca="false">IF(ISNUMBER(E31),E31/FX_EUR,"")</f>
        <v>-0.914694103424462</v>
      </c>
    </row>
    <row r="33" customFormat="false" ht="15" hidden="false" customHeight="true" outlineLevel="0" collapsed="false">
      <c r="A33" s="13" t="s">
        <v>937</v>
      </c>
      <c r="B33" s="31" t="s">
        <v>938</v>
      </c>
      <c r="C33" s="33" t="n">
        <f aca="false">Card_Fee</f>
        <v>6500</v>
      </c>
      <c r="D33" s="33" t="n">
        <f aca="false">Card_Prod_Cost</f>
        <v>4500</v>
      </c>
      <c r="E33" s="33" t="n">
        <f aca="false">C33-D33</f>
        <v>2000</v>
      </c>
      <c r="F33" s="35" t="n">
        <f aca="false">IF(C33&gt;0,E33/C33,"")</f>
        <v>0.307692307692308</v>
      </c>
      <c r="G33" s="13" t="s">
        <v>939</v>
      </c>
    </row>
    <row r="34" customFormat="false" ht="15" hidden="false" customHeight="true" outlineLevel="0" collapsed="false">
      <c r="A34" s="3" t="s">
        <v>127</v>
      </c>
      <c r="C34" s="32" t="n">
        <f aca="false">IF(ISNUMBER(C33),C33/FX_EUR,"")</f>
        <v>9.90918612043168</v>
      </c>
      <c r="D34" s="32" t="n">
        <f aca="false">IF(ISNUMBER(D33),D33/FX_EUR,"")</f>
        <v>6.86020577568347</v>
      </c>
      <c r="E34" s="32" t="n">
        <f aca="false">IF(ISNUMBER(E33),E33/FX_EUR,"")</f>
        <v>3.04898034474821</v>
      </c>
    </row>
    <row r="35" customFormat="false" ht="23.25" hidden="false" customHeight="true" outlineLevel="0" collapsed="false">
      <c r="A35" s="13" t="s">
        <v>940</v>
      </c>
      <c r="B35" s="31" t="s">
        <v>941</v>
      </c>
      <c r="C35" s="33" t="n">
        <f aca="false">0</f>
        <v>0</v>
      </c>
      <c r="D35" s="33" t="n">
        <f aca="false">50000*Fraud_Rate</f>
        <v>75</v>
      </c>
      <c r="E35" s="33" t="n">
        <f aca="false">C35-D35</f>
        <v>-75</v>
      </c>
      <c r="F35" s="35" t="str">
        <f aca="false">IF(C35&gt;0,E35/C35,"")</f>
        <v/>
      </c>
      <c r="G35" s="13" t="s">
        <v>942</v>
      </c>
    </row>
    <row r="36" customFormat="false" ht="15" hidden="false" customHeight="true" outlineLevel="0" collapsed="false">
      <c r="A36" s="3" t="s">
        <v>127</v>
      </c>
      <c r="C36" s="32" t="n">
        <f aca="false">IF(ISNUMBER(C35),C35/FX_EUR,"")</f>
        <v>0</v>
      </c>
      <c r="D36" s="32" t="n">
        <f aca="false">IF(ISNUMBER(D35),D35/FX_EUR,"")</f>
        <v>0.114336762928058</v>
      </c>
      <c r="E36" s="32" t="n">
        <f aca="false">IF(ISNUMBER(E35),E35/FX_EUR,"")</f>
        <v>-0.114336762928058</v>
      </c>
    </row>
    <row r="37" customFormat="false" ht="23.25" hidden="false" customHeight="true" outlineLevel="0" collapsed="false">
      <c r="A37" s="13" t="s">
        <v>943</v>
      </c>
      <c r="B37" s="31" t="s">
        <v>944</v>
      </c>
      <c r="C37" s="33" t="n">
        <f aca="false">25000*FX_Fee+FX_Fixed_Fee</f>
        <v>950</v>
      </c>
      <c r="D37" s="33" t="n">
        <f aca="false">25000*(Scheme_Rate+Fraud_Rate)+Scheme_Fixed</f>
        <v>587.5</v>
      </c>
      <c r="E37" s="33" t="n">
        <f aca="false">C37-D37</f>
        <v>362.5</v>
      </c>
      <c r="F37" s="35" t="n">
        <f aca="false">IF(C37&gt;0,E37/C37,"")</f>
        <v>0.381578947368421</v>
      </c>
      <c r="G37" s="13" t="s">
        <v>945</v>
      </c>
    </row>
    <row r="38" customFormat="false" ht="15" hidden="false" customHeight="true" outlineLevel="0" collapsed="false">
      <c r="A38" s="3" t="s">
        <v>127</v>
      </c>
      <c r="C38" s="32" t="n">
        <f aca="false">IF(ISNUMBER(C37),C37/FX_EUR,"")</f>
        <v>1.4482656637554</v>
      </c>
      <c r="D38" s="32" t="n">
        <f aca="false">IF(ISNUMBER(D37),D37/FX_EUR,"")</f>
        <v>0.895637976269786</v>
      </c>
      <c r="E38" s="32" t="n">
        <f aca="false">IF(ISNUMBER(E37),E37/FX_EUR,"")</f>
        <v>0.552627687485613</v>
      </c>
    </row>
    <row r="39" customFormat="false" ht="15" hidden="false" customHeight="true" outlineLevel="0" collapsed="false">
      <c r="A39" s="11" t="s">
        <v>946</v>
      </c>
      <c r="B39" s="12"/>
      <c r="C39" s="12"/>
      <c r="D39" s="12"/>
      <c r="E39" s="12"/>
      <c r="F39" s="12"/>
      <c r="G39" s="12"/>
      <c r="H39" s="12"/>
      <c r="I39" s="12"/>
      <c r="J39" s="12"/>
      <c r="K39" s="12"/>
      <c r="L39" s="12"/>
      <c r="M39" s="12"/>
      <c r="N39" s="12"/>
    </row>
    <row r="40" customFormat="false" ht="23.25" hidden="false" customHeight="true" outlineLevel="0" collapsed="false">
      <c r="A40" s="13" t="s">
        <v>947</v>
      </c>
      <c r="B40" s="31" t="s">
        <v>948</v>
      </c>
      <c r="C40" s="33" t="n">
        <f aca="false">1000000*Intl_Fee+Intl_Fixed_Fee</f>
        <v>39500</v>
      </c>
      <c r="D40" s="33" t="n">
        <f aca="false">1000000*Intl_Cost</f>
        <v>27000</v>
      </c>
      <c r="E40" s="33" t="n">
        <f aca="false">C40-D40</f>
        <v>12500</v>
      </c>
      <c r="F40" s="35" t="n">
        <f aca="false">IF(C40&gt;0,E40/C40,"")</f>
        <v>0.316455696202532</v>
      </c>
      <c r="G40" s="13" t="s">
        <v>949</v>
      </c>
    </row>
    <row r="41" customFormat="false" ht="15" hidden="false" customHeight="true" outlineLevel="0" collapsed="false">
      <c r="A41" s="3" t="s">
        <v>127</v>
      </c>
      <c r="C41" s="32" t="n">
        <f aca="false">IF(ISNUMBER(C40),C40/FX_EUR,"")</f>
        <v>60.2173618087771</v>
      </c>
      <c r="D41" s="32" t="n">
        <f aca="false">IF(ISNUMBER(D40),D40/FX_EUR,"")</f>
        <v>41.1612346541008</v>
      </c>
      <c r="E41" s="32" t="n">
        <f aca="false">IF(ISNUMBER(E40),E40/FX_EUR,"")</f>
        <v>19.0561271546763</v>
      </c>
    </row>
    <row r="42" customFormat="false" ht="15" hidden="false" customHeight="true" outlineLevel="0" collapsed="false">
      <c r="A42" s="13" t="s">
        <v>950</v>
      </c>
      <c r="B42" s="31" t="s">
        <v>951</v>
      </c>
      <c r="C42" s="33" t="n">
        <f aca="false">Payslip_Fee</f>
        <v>900</v>
      </c>
      <c r="D42" s="33" t="n">
        <f aca="false">Payslip_Cost</f>
        <v>15</v>
      </c>
      <c r="E42" s="33" t="n">
        <f aca="false">C42-D42</f>
        <v>885</v>
      </c>
      <c r="F42" s="35" t="n">
        <f aca="false">IF(C42&gt;0,E42/C42,"")</f>
        <v>0.983333333333333</v>
      </c>
      <c r="G42" s="13" t="s">
        <v>952</v>
      </c>
    </row>
    <row r="43" customFormat="false" ht="15" hidden="false" customHeight="true" outlineLevel="0" collapsed="false">
      <c r="A43" s="3" t="s">
        <v>127</v>
      </c>
      <c r="C43" s="32" t="n">
        <f aca="false">IF(ISNUMBER(C42),C42/FX_EUR,"")</f>
        <v>1.37204115513669</v>
      </c>
      <c r="D43" s="32" t="n">
        <f aca="false">IF(ISNUMBER(D42),D42/FX_EUR,"")</f>
        <v>0.0228673525856116</v>
      </c>
      <c r="E43" s="32" t="n">
        <f aca="false">IF(ISNUMBER(E42),E42/FX_EUR,"")</f>
        <v>1.34917380255108</v>
      </c>
    </row>
    <row r="44" customFormat="false" ht="15" hidden="false" customHeight="true" outlineLevel="0" collapsed="false">
      <c r="A44" s="11" t="s">
        <v>28</v>
      </c>
      <c r="B44" s="12"/>
      <c r="C44" s="12"/>
      <c r="D44" s="12"/>
      <c r="E44" s="12"/>
      <c r="F44" s="12"/>
      <c r="G44" s="12"/>
      <c r="H44" s="12"/>
      <c r="I44" s="12"/>
      <c r="J44" s="12"/>
      <c r="K44" s="12"/>
      <c r="L44" s="12"/>
      <c r="M44" s="12"/>
      <c r="N44" s="12"/>
    </row>
    <row r="45" customFormat="false" ht="23.25" hidden="false" customHeight="true" outlineLevel="0" collapsed="false">
      <c r="A45" s="13" t="s">
        <v>953</v>
      </c>
      <c r="B45" s="31" t="s">
        <v>954</v>
      </c>
      <c r="C45" s="33" t="n">
        <f aca="false">1000000*Yield_Line</f>
        <v>230000</v>
      </c>
      <c r="D45" s="33" t="n">
        <f aca="false">1000000*(CoF+CoR_Line*CoR_Mult+Servicing)</f>
        <v>145000</v>
      </c>
      <c r="E45" s="33" t="n">
        <f aca="false">C45-D45</f>
        <v>85000</v>
      </c>
      <c r="F45" s="35" t="n">
        <f aca="false">IF(C45&gt;0,E45/C45,"")</f>
        <v>0.369565217391304</v>
      </c>
      <c r="G45" s="13" t="s">
        <v>955</v>
      </c>
    </row>
    <row r="46" customFormat="false" ht="15" hidden="false" customHeight="true" outlineLevel="0" collapsed="false">
      <c r="A46" s="3" t="s">
        <v>127</v>
      </c>
      <c r="C46" s="32" t="n">
        <f aca="false">IF(ISNUMBER(C45),C45/FX_EUR,"")</f>
        <v>350.632739646044</v>
      </c>
      <c r="D46" s="32" t="n">
        <f aca="false">IF(ISNUMBER(D45),D45/FX_EUR,"")</f>
        <v>221.051074994245</v>
      </c>
      <c r="E46" s="32" t="n">
        <f aca="false">IF(ISNUMBER(E45),E45/FX_EUR,"")</f>
        <v>129.581664651799</v>
      </c>
    </row>
    <row r="48" customFormat="false" ht="15" hidden="false" customHeight="true" outlineLevel="0" collapsed="false">
      <c r="A48" s="28" t="s">
        <v>956</v>
      </c>
    </row>
    <row r="49" customFormat="false" ht="15" hidden="false" customHeight="true" outlineLevel="0" collapsed="false">
      <c r="A49" s="3" t="s">
        <v>957</v>
      </c>
    </row>
    <row r="50" customFormat="false" ht="30" hidden="false" customHeight="true" outlineLevel="0" collapsed="false">
      <c r="A50" s="29" t="s">
        <v>958</v>
      </c>
      <c r="B50" s="29" t="s">
        <v>959</v>
      </c>
      <c r="C50" s="29" t="s">
        <v>960</v>
      </c>
      <c r="D50" s="29" t="s">
        <v>961</v>
      </c>
      <c r="E50" s="29" t="s">
        <v>962</v>
      </c>
      <c r="F50" s="29" t="s">
        <v>963</v>
      </c>
      <c r="G50" s="29" t="s">
        <v>964</v>
      </c>
      <c r="H50" s="29" t="s">
        <v>965</v>
      </c>
      <c r="I50" s="29" t="s">
        <v>966</v>
      </c>
      <c r="J50" s="29" t="s">
        <v>967</v>
      </c>
      <c r="K50" s="29" t="s">
        <v>968</v>
      </c>
      <c r="L50" s="29" t="s">
        <v>969</v>
      </c>
    </row>
    <row r="51" customFormat="false" ht="15" hidden="false" customHeight="true" outlineLevel="0" collapsed="false">
      <c r="A51" s="50" t="str">
        <f aca="false">'Hiring plan'!C5</f>
        <v>CEO (full salary from year 2)</v>
      </c>
      <c r="B51" s="31" t="str">
        <f aca="false">'Hiring plan'!D5</f>
        <v>SN</v>
      </c>
      <c r="C51" s="13" t="str">
        <f aca="false">'Hiring plan'!J5</f>
        <v>Y</v>
      </c>
      <c r="D51" s="33" t="n">
        <f aca="false">'Hiring plan'!I5</f>
        <v>2500000</v>
      </c>
      <c r="E51" s="33" t="n">
        <f aca="false">D51*Employer_Charges</f>
        <v>750000</v>
      </c>
      <c r="F51" s="33" t="n">
        <f aca="false">D51+E51</f>
        <v>3250000</v>
      </c>
      <c r="G51" s="33" t="n">
        <f aca="false">Regus_EUR*FX_EUR</f>
        <v>196787.1</v>
      </c>
      <c r="H51" s="33" t="n">
        <f aca="false">Phone_Cost</f>
        <v>5000</v>
      </c>
      <c r="I51" s="33" t="n">
        <f aca="false">(Gmail_USD+ClickUp_USD)*FX_USD</f>
        <v>10440</v>
      </c>
      <c r="J51" s="33" t="n">
        <f aca="false">IF('Hiring plan'!B5="Engineering &amp; product",Claude_USD*FX_USD,0)</f>
        <v>0</v>
      </c>
      <c r="K51" s="33" t="n">
        <f aca="false">SUM(F51:J51)</f>
        <v>3462227.1</v>
      </c>
      <c r="L51" s="33" t="n">
        <f aca="false">IF('Hiring plan'!B5="Engineering &amp; product",Laptop_Dev_USD*FX_USD,Laptop_EUR*FX_EUR)+IF(C51="Y",Agency_Fee_EUR*FX_EUR,0)</f>
        <v>852744.1</v>
      </c>
    </row>
    <row r="52" customFormat="false" ht="15" hidden="false" customHeight="true" outlineLevel="0" collapsed="false">
      <c r="A52" s="3" t="s">
        <v>127</v>
      </c>
      <c r="D52" s="32" t="n">
        <f aca="false">IF(ISNUMBER(D51),D51/FX_EUR,"")</f>
        <v>3811.22543093526</v>
      </c>
      <c r="E52" s="32" t="n">
        <f aca="false">IF(ISNUMBER(E51),E51/FX_EUR,"")</f>
        <v>1143.36762928058</v>
      </c>
      <c r="F52" s="32" t="n">
        <f aca="false">IF(ISNUMBER(F51),F51/FX_EUR,"")</f>
        <v>4954.59306021584</v>
      </c>
      <c r="G52" s="32" t="n">
        <f aca="false">IF(ISNUMBER(G51),G51/FX_EUR,"")</f>
        <v>300</v>
      </c>
      <c r="H52" s="32" t="n">
        <f aca="false">IF(ISNUMBER(H51),H51/FX_EUR,"")</f>
        <v>7.62245086187052</v>
      </c>
      <c r="I52" s="32" t="n">
        <f aca="false">IF(ISNUMBER(I51),I51/FX_EUR,"")</f>
        <v>15.9156773995856</v>
      </c>
      <c r="J52" s="32" t="n">
        <f aca="false">IF(ISNUMBER(J51),J51/FX_EUR,"")</f>
        <v>0</v>
      </c>
      <c r="K52" s="32" t="n">
        <f aca="false">IF(ISNUMBER(K51),K51/FX_EUR,"")</f>
        <v>5278.13118847729</v>
      </c>
      <c r="L52" s="32" t="n">
        <f aca="false">IF(ISNUMBER(L51),L51/FX_EUR,"")</f>
        <v>1300</v>
      </c>
    </row>
    <row r="53" customFormat="false" ht="15" hidden="false" customHeight="true" outlineLevel="0" collapsed="false">
      <c r="A53" s="50" t="str">
        <f aca="false">'Hiring plan'!C6</f>
        <v>CTO (also codes)</v>
      </c>
      <c r="B53" s="31" t="str">
        <f aca="false">'Hiring plan'!D6</f>
        <v>SN</v>
      </c>
      <c r="C53" s="13" t="str">
        <f aca="false">'Hiring plan'!J6</f>
        <v>Y</v>
      </c>
      <c r="D53" s="33" t="n">
        <f aca="false">'Hiring plan'!I6</f>
        <v>2500000</v>
      </c>
      <c r="E53" s="33" t="n">
        <f aca="false">D53*Employer_Charges</f>
        <v>750000</v>
      </c>
      <c r="F53" s="33" t="n">
        <f aca="false">D53+E53</f>
        <v>3250000</v>
      </c>
      <c r="G53" s="33" t="n">
        <f aca="false">Regus_EUR*FX_EUR</f>
        <v>196787.1</v>
      </c>
      <c r="H53" s="33" t="n">
        <f aca="false">Phone_Cost</f>
        <v>5000</v>
      </c>
      <c r="I53" s="33" t="n">
        <f aca="false">(Gmail_USD+ClickUp_USD)*FX_USD</f>
        <v>10440</v>
      </c>
      <c r="J53" s="33" t="n">
        <f aca="false">IF('Hiring plan'!B6="Engineering &amp; product",Claude_USD*FX_USD,0)</f>
        <v>14500</v>
      </c>
      <c r="K53" s="33" t="n">
        <f aca="false">SUM(F53:J53)</f>
        <v>3476727.1</v>
      </c>
      <c r="L53" s="33" t="n">
        <f aca="false">IF('Hiring plan'!B6="Engineering &amp; product",Laptop_Dev_USD*FX_USD,Laptop_EUR*FX_EUR)+IF(C53="Y",Agency_Fee_EUR*FX_EUR,0)</f>
        <v>1684765.6</v>
      </c>
    </row>
    <row r="54" customFormat="false" ht="15" hidden="false" customHeight="true" outlineLevel="0" collapsed="false">
      <c r="A54" s="3" t="s">
        <v>127</v>
      </c>
      <c r="D54" s="32" t="n">
        <f aca="false">IF(ISNUMBER(D53),D53/FX_EUR,"")</f>
        <v>3811.22543093526</v>
      </c>
      <c r="E54" s="32" t="n">
        <f aca="false">IF(ISNUMBER(E53),E53/FX_EUR,"")</f>
        <v>1143.36762928058</v>
      </c>
      <c r="F54" s="32" t="n">
        <f aca="false">IF(ISNUMBER(F53),F53/FX_EUR,"")</f>
        <v>4954.59306021584</v>
      </c>
      <c r="G54" s="32" t="n">
        <f aca="false">IF(ISNUMBER(G53),G53/FX_EUR,"")</f>
        <v>300</v>
      </c>
      <c r="H54" s="32" t="n">
        <f aca="false">IF(ISNUMBER(H53),H53/FX_EUR,"")</f>
        <v>7.62245086187052</v>
      </c>
      <c r="I54" s="32" t="n">
        <f aca="false">IF(ISNUMBER(I53),I53/FX_EUR,"")</f>
        <v>15.9156773995856</v>
      </c>
      <c r="J54" s="32" t="n">
        <f aca="false">IF(ISNUMBER(J53),J53/FX_EUR,"")</f>
        <v>22.1051074994245</v>
      </c>
      <c r="K54" s="32" t="n">
        <f aca="false">IF(ISNUMBER(K53),K53/FX_EUR,"")</f>
        <v>5300.23629597672</v>
      </c>
      <c r="L54" s="32" t="n">
        <f aca="false">IF(ISNUMBER(L53),L53/FX_EUR,"")</f>
        <v>2568.40859995396</v>
      </c>
    </row>
    <row r="55" customFormat="false" ht="15" hidden="false" customHeight="true" outlineLevel="0" collapsed="false">
      <c r="A55" s="50" t="str">
        <f aca="false">'Hiring plan'!C7</f>
        <v>Financial expert (finance, partners, credit lead)</v>
      </c>
      <c r="B55" s="31" t="str">
        <f aca="false">'Hiring plan'!D7</f>
        <v>SN</v>
      </c>
      <c r="C55" s="13" t="str">
        <f aca="false">'Hiring plan'!J7</f>
        <v>Y</v>
      </c>
      <c r="D55" s="33" t="n">
        <f aca="false">'Hiring plan'!I7</f>
        <v>1500000</v>
      </c>
      <c r="E55" s="33" t="n">
        <f aca="false">D55*Employer_Charges</f>
        <v>450000</v>
      </c>
      <c r="F55" s="33" t="n">
        <f aca="false">D55+E55</f>
        <v>1950000</v>
      </c>
      <c r="G55" s="33" t="n">
        <f aca="false">Regus_EUR*FX_EUR</f>
        <v>196787.1</v>
      </c>
      <c r="H55" s="33" t="n">
        <f aca="false">Phone_Cost</f>
        <v>5000</v>
      </c>
      <c r="I55" s="33" t="n">
        <f aca="false">(Gmail_USD+ClickUp_USD)*FX_USD</f>
        <v>10440</v>
      </c>
      <c r="J55" s="33" t="n">
        <f aca="false">IF('Hiring plan'!B7="Engineering &amp; product",Claude_USD*FX_USD,0)</f>
        <v>0</v>
      </c>
      <c r="K55" s="33" t="n">
        <f aca="false">SUM(F55:J55)</f>
        <v>2162227.1</v>
      </c>
      <c r="L55" s="33" t="n">
        <f aca="false">IF('Hiring plan'!B7="Engineering &amp; product",Laptop_Dev_USD*FX_USD,Laptop_EUR*FX_EUR)+IF(C55="Y",Agency_Fee_EUR*FX_EUR,0)</f>
        <v>852744.1</v>
      </c>
    </row>
    <row r="56" customFormat="false" ht="15" hidden="false" customHeight="true" outlineLevel="0" collapsed="false">
      <c r="A56" s="3" t="s">
        <v>127</v>
      </c>
      <c r="D56" s="32" t="n">
        <f aca="false">IF(ISNUMBER(D55),D55/FX_EUR,"")</f>
        <v>2286.73525856116</v>
      </c>
      <c r="E56" s="32" t="n">
        <f aca="false">IF(ISNUMBER(E55),E55/FX_EUR,"")</f>
        <v>686.020577568347</v>
      </c>
      <c r="F56" s="32" t="n">
        <f aca="false">IF(ISNUMBER(F55),F55/FX_EUR,"")</f>
        <v>2972.7558361295</v>
      </c>
      <c r="G56" s="32" t="n">
        <f aca="false">IF(ISNUMBER(G55),G55/FX_EUR,"")</f>
        <v>300</v>
      </c>
      <c r="H56" s="32" t="n">
        <f aca="false">IF(ISNUMBER(H55),H55/FX_EUR,"")</f>
        <v>7.62245086187052</v>
      </c>
      <c r="I56" s="32" t="n">
        <f aca="false">IF(ISNUMBER(I55),I55/FX_EUR,"")</f>
        <v>15.9156773995856</v>
      </c>
      <c r="J56" s="32" t="n">
        <f aca="false">IF(ISNUMBER(J55),J55/FX_EUR,"")</f>
        <v>0</v>
      </c>
      <c r="K56" s="32" t="n">
        <f aca="false">IF(ISNUMBER(K55),K55/FX_EUR,"")</f>
        <v>3296.29396439096</v>
      </c>
      <c r="L56" s="32" t="n">
        <f aca="false">IF(ISNUMBER(L55),L55/FX_EUR,"")</f>
        <v>1300</v>
      </c>
    </row>
    <row r="57" customFormat="false" ht="15" hidden="false" customHeight="true" outlineLevel="0" collapsed="false">
      <c r="A57" s="50" t="str">
        <f aca="false">'Hiring plan'!C8</f>
        <v>Sales lead (also sells; incl. bonus)</v>
      </c>
      <c r="B57" s="31" t="str">
        <f aca="false">'Hiring plan'!D8</f>
        <v>SN</v>
      </c>
      <c r="C57" s="13" t="str">
        <f aca="false">'Hiring plan'!J8</f>
        <v>N</v>
      </c>
      <c r="D57" s="33" t="n">
        <f aca="false">'Hiring plan'!I8</f>
        <v>1200000</v>
      </c>
      <c r="E57" s="33" t="n">
        <f aca="false">D57*Employer_Charges</f>
        <v>360000</v>
      </c>
      <c r="F57" s="33" t="n">
        <f aca="false">D57+E57</f>
        <v>1560000</v>
      </c>
      <c r="G57" s="33" t="n">
        <f aca="false">Regus_EUR*FX_EUR</f>
        <v>196787.1</v>
      </c>
      <c r="H57" s="33" t="n">
        <f aca="false">Phone_Cost</f>
        <v>5000</v>
      </c>
      <c r="I57" s="33" t="n">
        <f aca="false">(Gmail_USD+ClickUp_USD)*FX_USD</f>
        <v>10440</v>
      </c>
      <c r="J57" s="33" t="n">
        <f aca="false">IF('Hiring plan'!B8="Engineering &amp; product",Claude_USD*FX_USD,0)</f>
        <v>0</v>
      </c>
      <c r="K57" s="33" t="n">
        <f aca="false">SUM(F57:J57)</f>
        <v>1772227.1</v>
      </c>
      <c r="L57" s="33" t="n">
        <f aca="false">IF('Hiring plan'!B8="Engineering &amp; product",Laptop_Dev_USD*FX_USD,Laptop_EUR*FX_EUR)+IF(C57="Y",Agency_Fee_EUR*FX_EUR,0)</f>
        <v>327978.5</v>
      </c>
    </row>
    <row r="58" customFormat="false" ht="15" hidden="false" customHeight="true" outlineLevel="0" collapsed="false">
      <c r="A58" s="3" t="s">
        <v>127</v>
      </c>
      <c r="D58" s="32" t="n">
        <f aca="false">IF(ISNUMBER(D57),D57/FX_EUR,"")</f>
        <v>1829.38820684892</v>
      </c>
      <c r="E58" s="32" t="n">
        <f aca="false">IF(ISNUMBER(E57),E57/FX_EUR,"")</f>
        <v>548.816462054677</v>
      </c>
      <c r="F58" s="32" t="n">
        <f aca="false">IF(ISNUMBER(F57),F57/FX_EUR,"")</f>
        <v>2378.2046689036</v>
      </c>
      <c r="G58" s="32" t="n">
        <f aca="false">IF(ISNUMBER(G57),G57/FX_EUR,"")</f>
        <v>300</v>
      </c>
      <c r="H58" s="32" t="n">
        <f aca="false">IF(ISNUMBER(H57),H57/FX_EUR,"")</f>
        <v>7.62245086187052</v>
      </c>
      <c r="I58" s="32" t="n">
        <f aca="false">IF(ISNUMBER(I57),I57/FX_EUR,"")</f>
        <v>15.9156773995856</v>
      </c>
      <c r="J58" s="32" t="n">
        <f aca="false">IF(ISNUMBER(J57),J57/FX_EUR,"")</f>
        <v>0</v>
      </c>
      <c r="K58" s="32" t="n">
        <f aca="false">IF(ISNUMBER(K57),K57/FX_EUR,"")</f>
        <v>2701.74279716506</v>
      </c>
      <c r="L58" s="32" t="n">
        <f aca="false">IF(ISNUMBER(L57),L57/FX_EUR,"")</f>
        <v>500</v>
      </c>
    </row>
    <row r="59" customFormat="false" ht="15" hidden="false" customHeight="true" outlineLevel="0" collapsed="false">
      <c r="A59" s="50" t="str">
        <f aca="false">'Hiring plan'!C9</f>
        <v>Marketing manager (senior)</v>
      </c>
      <c r="B59" s="31" t="str">
        <f aca="false">'Hiring plan'!D9</f>
        <v>SN</v>
      </c>
      <c r="C59" s="13" t="str">
        <f aca="false">'Hiring plan'!J9</f>
        <v>N</v>
      </c>
      <c r="D59" s="33" t="n">
        <f aca="false">'Hiring plan'!I9</f>
        <v>900000</v>
      </c>
      <c r="E59" s="33" t="n">
        <f aca="false">D59*Employer_Charges</f>
        <v>270000</v>
      </c>
      <c r="F59" s="33" t="n">
        <f aca="false">D59+E59</f>
        <v>1170000</v>
      </c>
      <c r="G59" s="33" t="n">
        <f aca="false">Regus_EUR*FX_EUR</f>
        <v>196787.1</v>
      </c>
      <c r="H59" s="33" t="n">
        <f aca="false">Phone_Cost</f>
        <v>5000</v>
      </c>
      <c r="I59" s="33" t="n">
        <f aca="false">(Gmail_USD+ClickUp_USD)*FX_USD</f>
        <v>10440</v>
      </c>
      <c r="J59" s="33" t="n">
        <f aca="false">IF('Hiring plan'!B9="Engineering &amp; product",Claude_USD*FX_USD,0)</f>
        <v>0</v>
      </c>
      <c r="K59" s="33" t="n">
        <f aca="false">SUM(F59:J59)</f>
        <v>1382227.1</v>
      </c>
      <c r="L59" s="33" t="n">
        <f aca="false">IF('Hiring plan'!B9="Engineering &amp; product",Laptop_Dev_USD*FX_USD,Laptop_EUR*FX_EUR)+IF(C59="Y",Agency_Fee_EUR*FX_EUR,0)</f>
        <v>327978.5</v>
      </c>
    </row>
    <row r="60" customFormat="false" ht="15" hidden="false" customHeight="true" outlineLevel="0" collapsed="false">
      <c r="A60" s="3" t="s">
        <v>127</v>
      </c>
      <c r="D60" s="32" t="n">
        <f aca="false">IF(ISNUMBER(D59),D59/FX_EUR,"")</f>
        <v>1372.04115513669</v>
      </c>
      <c r="E60" s="32" t="n">
        <f aca="false">IF(ISNUMBER(E59),E59/FX_EUR,"")</f>
        <v>411.612346541008</v>
      </c>
      <c r="F60" s="32" t="n">
        <f aca="false">IF(ISNUMBER(F59),F59/FX_EUR,"")</f>
        <v>1783.6535016777</v>
      </c>
      <c r="G60" s="32" t="n">
        <f aca="false">IF(ISNUMBER(G59),G59/FX_EUR,"")</f>
        <v>300</v>
      </c>
      <c r="H60" s="32" t="n">
        <f aca="false">IF(ISNUMBER(H59),H59/FX_EUR,"")</f>
        <v>7.62245086187052</v>
      </c>
      <c r="I60" s="32" t="n">
        <f aca="false">IF(ISNUMBER(I59),I59/FX_EUR,"")</f>
        <v>15.9156773995856</v>
      </c>
      <c r="J60" s="32" t="n">
        <f aca="false">IF(ISNUMBER(J59),J59/FX_EUR,"")</f>
        <v>0</v>
      </c>
      <c r="K60" s="32" t="n">
        <f aca="false">IF(ISNUMBER(K59),K59/FX_EUR,"")</f>
        <v>2107.19162993916</v>
      </c>
      <c r="L60" s="32" t="n">
        <f aca="false">IF(ISNUMBER(L59),L59/FX_EUR,"")</f>
        <v>500</v>
      </c>
    </row>
    <row r="61" customFormat="false" ht="15" hidden="false" customHeight="true" outlineLevel="0" collapsed="false">
      <c r="A61" s="50" t="str">
        <f aca="false">'Hiring plan'!C10</f>
        <v>Marketing officer (junior)</v>
      </c>
      <c r="B61" s="31" t="str">
        <f aca="false">'Hiring plan'!D10</f>
        <v>SN</v>
      </c>
      <c r="C61" s="13" t="str">
        <f aca="false">'Hiring plan'!J10</f>
        <v>N</v>
      </c>
      <c r="D61" s="33" t="n">
        <f aca="false">'Hiring plan'!I10</f>
        <v>400000</v>
      </c>
      <c r="E61" s="33" t="n">
        <f aca="false">D61*Employer_Charges</f>
        <v>120000</v>
      </c>
      <c r="F61" s="33" t="n">
        <f aca="false">D61+E61</f>
        <v>520000</v>
      </c>
      <c r="G61" s="33" t="n">
        <f aca="false">Regus_EUR*FX_EUR</f>
        <v>196787.1</v>
      </c>
      <c r="H61" s="33" t="n">
        <f aca="false">Phone_Cost</f>
        <v>5000</v>
      </c>
      <c r="I61" s="33" t="n">
        <f aca="false">(Gmail_USD+ClickUp_USD)*FX_USD</f>
        <v>10440</v>
      </c>
      <c r="J61" s="33" t="n">
        <f aca="false">IF('Hiring plan'!B10="Engineering &amp; product",Claude_USD*FX_USD,0)</f>
        <v>0</v>
      </c>
      <c r="K61" s="33" t="n">
        <f aca="false">SUM(F61:J61)</f>
        <v>732227.1</v>
      </c>
      <c r="L61" s="33" t="n">
        <f aca="false">IF('Hiring plan'!B10="Engineering &amp; product",Laptop_Dev_USD*FX_USD,Laptop_EUR*FX_EUR)+IF(C61="Y",Agency_Fee_EUR*FX_EUR,0)</f>
        <v>327978.5</v>
      </c>
    </row>
    <row r="62" customFormat="false" ht="15" hidden="false" customHeight="true" outlineLevel="0" collapsed="false">
      <c r="A62" s="3" t="s">
        <v>127</v>
      </c>
      <c r="D62" s="32" t="n">
        <f aca="false">IF(ISNUMBER(D61),D61/FX_EUR,"")</f>
        <v>609.796068949642</v>
      </c>
      <c r="E62" s="32" t="n">
        <f aca="false">IF(ISNUMBER(E61),E61/FX_EUR,"")</f>
        <v>182.938820684892</v>
      </c>
      <c r="F62" s="32" t="n">
        <f aca="false">IF(ISNUMBER(F61),F61/FX_EUR,"")</f>
        <v>792.734889634534</v>
      </c>
      <c r="G62" s="32" t="n">
        <f aca="false">IF(ISNUMBER(G61),G61/FX_EUR,"")</f>
        <v>300</v>
      </c>
      <c r="H62" s="32" t="n">
        <f aca="false">IF(ISNUMBER(H61),H61/FX_EUR,"")</f>
        <v>7.62245086187052</v>
      </c>
      <c r="I62" s="32" t="n">
        <f aca="false">IF(ISNUMBER(I61),I61/FX_EUR,"")</f>
        <v>15.9156773995856</v>
      </c>
      <c r="J62" s="32" t="n">
        <f aca="false">IF(ISNUMBER(J61),J61/FX_EUR,"")</f>
        <v>0</v>
      </c>
      <c r="K62" s="32" t="n">
        <f aca="false">IF(ISNUMBER(K61),K61/FX_EUR,"")</f>
        <v>1116.27301789599</v>
      </c>
      <c r="L62" s="32" t="n">
        <f aca="false">IF(ISNUMBER(L61),L61/FX_EUR,"")</f>
        <v>500</v>
      </c>
    </row>
    <row r="63" customFormat="false" ht="15" hidden="false" customHeight="true" outlineLevel="0" collapsed="false">
      <c r="A63" s="50" t="str">
        <f aca="false">'Hiring plan'!C11</f>
        <v>Country manager, Abidjan</v>
      </c>
      <c r="B63" s="31" t="str">
        <f aca="false">'Hiring plan'!D11</f>
        <v>CI</v>
      </c>
      <c r="C63" s="13" t="str">
        <f aca="false">'Hiring plan'!J11</f>
        <v>Y</v>
      </c>
      <c r="D63" s="33" t="n">
        <f aca="false">'Hiring plan'!I11</f>
        <v>2800000</v>
      </c>
      <c r="E63" s="33" t="n">
        <f aca="false">D63*Employer_Charges</f>
        <v>840000</v>
      </c>
      <c r="F63" s="33" t="n">
        <f aca="false">D63+E63</f>
        <v>3640000</v>
      </c>
      <c r="G63" s="33" t="n">
        <f aca="false">Regus_EUR*FX_EUR</f>
        <v>196787.1</v>
      </c>
      <c r="H63" s="33" t="n">
        <f aca="false">Phone_Cost</f>
        <v>5000</v>
      </c>
      <c r="I63" s="33" t="n">
        <f aca="false">(Gmail_USD+ClickUp_USD)*FX_USD</f>
        <v>10440</v>
      </c>
      <c r="J63" s="33" t="n">
        <f aca="false">IF('Hiring plan'!B11="Engineering &amp; product",Claude_USD*FX_USD,0)</f>
        <v>0</v>
      </c>
      <c r="K63" s="33" t="n">
        <f aca="false">SUM(F63:J63)</f>
        <v>3852227.1</v>
      </c>
      <c r="L63" s="33" t="n">
        <f aca="false">IF('Hiring plan'!B11="Engineering &amp; product",Laptop_Dev_USD*FX_USD,Laptop_EUR*FX_EUR)+IF(C63="Y",Agency_Fee_EUR*FX_EUR,0)</f>
        <v>852744.1</v>
      </c>
    </row>
    <row r="64" customFormat="false" ht="15" hidden="false" customHeight="true" outlineLevel="0" collapsed="false">
      <c r="A64" s="3" t="s">
        <v>127</v>
      </c>
      <c r="D64" s="32" t="n">
        <f aca="false">IF(ISNUMBER(D63),D63/FX_EUR,"")</f>
        <v>4268.57248264749</v>
      </c>
      <c r="E64" s="32" t="n">
        <f aca="false">IF(ISNUMBER(E63),E63/FX_EUR,"")</f>
        <v>1280.57174479425</v>
      </c>
      <c r="F64" s="32" t="n">
        <f aca="false">IF(ISNUMBER(F63),F63/FX_EUR,"")</f>
        <v>5549.14422744174</v>
      </c>
      <c r="G64" s="32" t="n">
        <f aca="false">IF(ISNUMBER(G63),G63/FX_EUR,"")</f>
        <v>300</v>
      </c>
      <c r="H64" s="32" t="n">
        <f aca="false">IF(ISNUMBER(H63),H63/FX_EUR,"")</f>
        <v>7.62245086187052</v>
      </c>
      <c r="I64" s="32" t="n">
        <f aca="false">IF(ISNUMBER(I63),I63/FX_EUR,"")</f>
        <v>15.9156773995856</v>
      </c>
      <c r="J64" s="32" t="n">
        <f aca="false">IF(ISNUMBER(J63),J63/FX_EUR,"")</f>
        <v>0</v>
      </c>
      <c r="K64" s="32" t="n">
        <f aca="false">IF(ISNUMBER(K63),K63/FX_EUR,"")</f>
        <v>5872.68235570319</v>
      </c>
      <c r="L64" s="32" t="n">
        <f aca="false">IF(ISNUMBER(L63),L63/FX_EUR,"")</f>
        <v>1300</v>
      </c>
    </row>
    <row r="65" customFormat="false" ht="15" hidden="false" customHeight="true" outlineLevel="0" collapsed="false">
      <c r="A65" s="50" t="str">
        <f aca="false">'Hiring plan'!C12</f>
        <v>Compliance officer (AML/CFT)</v>
      </c>
      <c r="B65" s="31" t="str">
        <f aca="false">'Hiring plan'!D12</f>
        <v>SN</v>
      </c>
      <c r="C65" s="13" t="str">
        <f aca="false">'Hiring plan'!J12</f>
        <v>Y</v>
      </c>
      <c r="D65" s="33" t="n">
        <f aca="false">'Hiring plan'!I12</f>
        <v>1500000</v>
      </c>
      <c r="E65" s="33" t="n">
        <f aca="false">D65*Employer_Charges</f>
        <v>450000</v>
      </c>
      <c r="F65" s="33" t="n">
        <f aca="false">D65+E65</f>
        <v>1950000</v>
      </c>
      <c r="G65" s="33" t="n">
        <f aca="false">Regus_EUR*FX_EUR</f>
        <v>196787.1</v>
      </c>
      <c r="H65" s="33" t="n">
        <f aca="false">Phone_Cost</f>
        <v>5000</v>
      </c>
      <c r="I65" s="33" t="n">
        <f aca="false">(Gmail_USD+ClickUp_USD)*FX_USD</f>
        <v>10440</v>
      </c>
      <c r="J65" s="33" t="n">
        <f aca="false">IF('Hiring plan'!B12="Engineering &amp; product",Claude_USD*FX_USD,0)</f>
        <v>0</v>
      </c>
      <c r="K65" s="33" t="n">
        <f aca="false">SUM(F65:J65)</f>
        <v>2162227.1</v>
      </c>
      <c r="L65" s="33" t="n">
        <f aca="false">IF('Hiring plan'!B12="Engineering &amp; product",Laptop_Dev_USD*FX_USD,Laptop_EUR*FX_EUR)+IF(C65="Y",Agency_Fee_EUR*FX_EUR,0)</f>
        <v>852744.1</v>
      </c>
    </row>
    <row r="66" customFormat="false" ht="15" hidden="false" customHeight="true" outlineLevel="0" collapsed="false">
      <c r="A66" s="3" t="s">
        <v>127</v>
      </c>
      <c r="D66" s="32" t="n">
        <f aca="false">IF(ISNUMBER(D65),D65/FX_EUR,"")</f>
        <v>2286.73525856116</v>
      </c>
      <c r="E66" s="32" t="n">
        <f aca="false">IF(ISNUMBER(E65),E65/FX_EUR,"")</f>
        <v>686.020577568347</v>
      </c>
      <c r="F66" s="32" t="n">
        <f aca="false">IF(ISNUMBER(F65),F65/FX_EUR,"")</f>
        <v>2972.7558361295</v>
      </c>
      <c r="G66" s="32" t="n">
        <f aca="false">IF(ISNUMBER(G65),G65/FX_EUR,"")</f>
        <v>300</v>
      </c>
      <c r="H66" s="32" t="n">
        <f aca="false">IF(ISNUMBER(H65),H65/FX_EUR,"")</f>
        <v>7.62245086187052</v>
      </c>
      <c r="I66" s="32" t="n">
        <f aca="false">IF(ISNUMBER(I65),I65/FX_EUR,"")</f>
        <v>15.9156773995856</v>
      </c>
      <c r="J66" s="32" t="n">
        <f aca="false">IF(ISNUMBER(J65),J65/FX_EUR,"")</f>
        <v>0</v>
      </c>
      <c r="K66" s="32" t="n">
        <f aca="false">IF(ISNUMBER(K65),K65/FX_EUR,"")</f>
        <v>3296.29396439096</v>
      </c>
      <c r="L66" s="32" t="n">
        <f aca="false">IF(ISNUMBER(L65),L65/FX_EUR,"")</f>
        <v>1300</v>
      </c>
    </row>
    <row r="67" customFormat="false" ht="15" hidden="false" customHeight="true" outlineLevel="0" collapsed="false">
      <c r="A67" s="13" t="s">
        <v>970</v>
      </c>
      <c r="B67" s="31" t="s">
        <v>971</v>
      </c>
      <c r="C67" s="13" t="str">
        <f aca="false">IF(Agency_Support=1,"Y","N")</f>
        <v>N</v>
      </c>
      <c r="D67" s="33" t="n">
        <f aca="false">Salary_Support</f>
        <v>280000</v>
      </c>
      <c r="E67" s="33" t="n">
        <f aca="false">D67*Employer_Charges</f>
        <v>84000</v>
      </c>
      <c r="F67" s="33" t="n">
        <f aca="false">D67+E67</f>
        <v>364000</v>
      </c>
      <c r="G67" s="33" t="n">
        <f aca="false">Regus_EUR*FX_EUR</f>
        <v>196787.1</v>
      </c>
      <c r="H67" s="33" t="n">
        <f aca="false">Phone_Cost</f>
        <v>5000</v>
      </c>
      <c r="I67" s="33" t="n">
        <f aca="false">(Gmail_USD+ClickUp_USD)*FX_USD</f>
        <v>10440</v>
      </c>
      <c r="J67" s="33" t="n">
        <f aca="false">0</f>
        <v>0</v>
      </c>
      <c r="K67" s="33" t="n">
        <f aca="false">SUM(F67:J67)</f>
        <v>576227.1</v>
      </c>
      <c r="L67" s="33" t="n">
        <f aca="false">IF(FALSE(),Laptop_Dev_USD*FX_USD,Laptop_EUR*FX_EUR)+IF(C67="Y",Agency_Fee_EUR*FX_EUR,0)</f>
        <v>327978.5</v>
      </c>
    </row>
    <row r="68" customFormat="false" ht="15" hidden="false" customHeight="true" outlineLevel="0" collapsed="false">
      <c r="A68" s="3" t="s">
        <v>127</v>
      </c>
      <c r="D68" s="32" t="n">
        <f aca="false">IF(ISNUMBER(D67),D67/FX_EUR,"")</f>
        <v>426.857248264749</v>
      </c>
      <c r="E68" s="32" t="n">
        <f aca="false">IF(ISNUMBER(E67),E67/FX_EUR,"")</f>
        <v>128.057174479425</v>
      </c>
      <c r="F68" s="32" t="n">
        <f aca="false">IF(ISNUMBER(F67),F67/FX_EUR,"")</f>
        <v>554.914422744174</v>
      </c>
      <c r="G68" s="32" t="n">
        <f aca="false">IF(ISNUMBER(G67),G67/FX_EUR,"")</f>
        <v>300</v>
      </c>
      <c r="H68" s="32" t="n">
        <f aca="false">IF(ISNUMBER(H67),H67/FX_EUR,"")</f>
        <v>7.62245086187052</v>
      </c>
      <c r="I68" s="32" t="n">
        <f aca="false">IF(ISNUMBER(I67),I67/FX_EUR,"")</f>
        <v>15.9156773995856</v>
      </c>
      <c r="J68" s="32" t="n">
        <f aca="false">IF(ISNUMBER(J67),J67/FX_EUR,"")</f>
        <v>0</v>
      </c>
      <c r="K68" s="32" t="n">
        <f aca="false">IF(ISNUMBER(K67),K67/FX_EUR,"")</f>
        <v>878.45255100563</v>
      </c>
      <c r="L68" s="32" t="n">
        <f aca="false">IF(ISNUMBER(L67),L67/FX_EUR,"")</f>
        <v>500</v>
      </c>
    </row>
    <row r="69" customFormat="false" ht="15" hidden="false" customHeight="true" outlineLevel="0" collapsed="false">
      <c r="A69" s="13" t="s">
        <v>972</v>
      </c>
      <c r="B69" s="31" t="s">
        <v>971</v>
      </c>
      <c r="C69" s="13" t="str">
        <f aca="false">IF(Agency_Dev=1,"Y","N")</f>
        <v>Y</v>
      </c>
      <c r="D69" s="33" t="n">
        <f aca="false">Salary_Dev</f>
        <v>1200000</v>
      </c>
      <c r="E69" s="33" t="n">
        <f aca="false">D69*Employer_Charges</f>
        <v>360000</v>
      </c>
      <c r="F69" s="33" t="n">
        <f aca="false">D69+E69</f>
        <v>1560000</v>
      </c>
      <c r="G69" s="33" t="n">
        <f aca="false">Regus_EUR*FX_EUR</f>
        <v>196787.1</v>
      </c>
      <c r="H69" s="33" t="n">
        <f aca="false">Phone_Cost</f>
        <v>5000</v>
      </c>
      <c r="I69" s="33" t="n">
        <f aca="false">(Gmail_USD+ClickUp_USD)*FX_USD</f>
        <v>10440</v>
      </c>
      <c r="J69" s="33" t="n">
        <f aca="false">Claude_USD*FX_USD</f>
        <v>14500</v>
      </c>
      <c r="K69" s="33" t="n">
        <f aca="false">SUM(F69:J69)</f>
        <v>1786727.1</v>
      </c>
      <c r="L69" s="33" t="n">
        <f aca="false">IF(TRUE(),Laptop_Dev_USD*FX_USD,Laptop_EUR*FX_EUR)+IF(C69="Y",Agency_Fee_EUR*FX_EUR,0)</f>
        <v>1684765.6</v>
      </c>
    </row>
    <row r="70" customFormat="false" ht="15" hidden="false" customHeight="true" outlineLevel="0" collapsed="false">
      <c r="A70" s="3" t="s">
        <v>127</v>
      </c>
      <c r="D70" s="32" t="n">
        <f aca="false">IF(ISNUMBER(D69),D69/FX_EUR,"")</f>
        <v>1829.38820684892</v>
      </c>
      <c r="E70" s="32" t="n">
        <f aca="false">IF(ISNUMBER(E69),E69/FX_EUR,"")</f>
        <v>548.816462054677</v>
      </c>
      <c r="F70" s="32" t="n">
        <f aca="false">IF(ISNUMBER(F69),F69/FX_EUR,"")</f>
        <v>2378.2046689036</v>
      </c>
      <c r="G70" s="32" t="n">
        <f aca="false">IF(ISNUMBER(G69),G69/FX_EUR,"")</f>
        <v>300</v>
      </c>
      <c r="H70" s="32" t="n">
        <f aca="false">IF(ISNUMBER(H69),H69/FX_EUR,"")</f>
        <v>7.62245086187052</v>
      </c>
      <c r="I70" s="32" t="n">
        <f aca="false">IF(ISNUMBER(I69),I69/FX_EUR,"")</f>
        <v>15.9156773995856</v>
      </c>
      <c r="J70" s="32" t="n">
        <f aca="false">IF(ISNUMBER(J69),J69/FX_EUR,"")</f>
        <v>22.1051074994245</v>
      </c>
      <c r="K70" s="32" t="n">
        <f aca="false">IF(ISNUMBER(K69),K69/FX_EUR,"")</f>
        <v>2723.84790466448</v>
      </c>
      <c r="L70" s="32" t="n">
        <f aca="false">IF(ISNUMBER(L69),L69/FX_EUR,"")</f>
        <v>2568.40859995396</v>
      </c>
    </row>
    <row r="71" customFormat="false" ht="15" hidden="false" customHeight="true" outlineLevel="0" collapsed="false">
      <c r="A71" s="13" t="s">
        <v>973</v>
      </c>
      <c r="B71" s="31" t="s">
        <v>971</v>
      </c>
      <c r="C71" s="13" t="str">
        <f aca="false">IF(Agency_Rep=1,"Y","N")</f>
        <v>N</v>
      </c>
      <c r="D71" s="33" t="n">
        <f aca="false">Salary_Rep_SN</f>
        <v>400000</v>
      </c>
      <c r="E71" s="33" t="n">
        <f aca="false">D71*Employer_Charges</f>
        <v>120000</v>
      </c>
      <c r="F71" s="33" t="n">
        <f aca="false">D71+E71</f>
        <v>520000</v>
      </c>
      <c r="G71" s="33" t="n">
        <f aca="false">Regus_EUR*FX_EUR</f>
        <v>196787.1</v>
      </c>
      <c r="H71" s="33" t="n">
        <f aca="false">Phone_Cost</f>
        <v>5000</v>
      </c>
      <c r="I71" s="33" t="n">
        <f aca="false">(Gmail_USD+ClickUp_USD)*FX_USD</f>
        <v>10440</v>
      </c>
      <c r="J71" s="33" t="n">
        <f aca="false">0</f>
        <v>0</v>
      </c>
      <c r="K71" s="33" t="n">
        <f aca="false">SUM(F71:J71)</f>
        <v>732227.1</v>
      </c>
      <c r="L71" s="33" t="n">
        <f aca="false">IF(FALSE(),Laptop_Dev_USD*FX_USD,Laptop_EUR*FX_EUR)+IF(C71="Y",Agency_Fee_EUR*FX_EUR,0)</f>
        <v>327978.5</v>
      </c>
    </row>
    <row r="72" customFormat="false" ht="15" hidden="false" customHeight="true" outlineLevel="0" collapsed="false">
      <c r="A72" s="3" t="s">
        <v>127</v>
      </c>
      <c r="D72" s="32" t="n">
        <f aca="false">IF(ISNUMBER(D71),D71/FX_EUR,"")</f>
        <v>609.796068949642</v>
      </c>
      <c r="E72" s="32" t="n">
        <f aca="false">IF(ISNUMBER(E71),E71/FX_EUR,"")</f>
        <v>182.938820684892</v>
      </c>
      <c r="F72" s="32" t="n">
        <f aca="false">IF(ISNUMBER(F71),F71/FX_EUR,"")</f>
        <v>792.734889634534</v>
      </c>
      <c r="G72" s="32" t="n">
        <f aca="false">IF(ISNUMBER(G71),G71/FX_EUR,"")</f>
        <v>300</v>
      </c>
      <c r="H72" s="32" t="n">
        <f aca="false">IF(ISNUMBER(H71),H71/FX_EUR,"")</f>
        <v>7.62245086187052</v>
      </c>
      <c r="I72" s="32" t="n">
        <f aca="false">IF(ISNUMBER(I71),I71/FX_EUR,"")</f>
        <v>15.9156773995856</v>
      </c>
      <c r="J72" s="32" t="n">
        <f aca="false">IF(ISNUMBER(J71),J71/FX_EUR,"")</f>
        <v>0</v>
      </c>
      <c r="K72" s="32" t="n">
        <f aca="false">IF(ISNUMBER(K71),K71/FX_EUR,"")</f>
        <v>1116.27301789599</v>
      </c>
      <c r="L72" s="32" t="n">
        <f aca="false">IF(ISNUMBER(L71),L71/FX_EUR,"")</f>
        <v>500</v>
      </c>
    </row>
    <row r="73" customFormat="false" ht="15" hidden="false" customHeight="true" outlineLevel="0" collapsed="false">
      <c r="A73" s="13" t="s">
        <v>974</v>
      </c>
      <c r="B73" s="31" t="s">
        <v>975</v>
      </c>
      <c r="C73" s="13" t="str">
        <f aca="false">IF(Agency_Rep=1,"Y","N")</f>
        <v>N</v>
      </c>
      <c r="D73" s="33" t="n">
        <f aca="false">Salary_Rep_CI</f>
        <v>450000</v>
      </c>
      <c r="E73" s="33" t="n">
        <f aca="false">D73*Employer_Charges</f>
        <v>135000</v>
      </c>
      <c r="F73" s="33" t="n">
        <f aca="false">D73+E73</f>
        <v>585000</v>
      </c>
      <c r="G73" s="33" t="n">
        <f aca="false">Regus_EUR*FX_EUR</f>
        <v>196787.1</v>
      </c>
      <c r="H73" s="33" t="n">
        <f aca="false">Phone_Cost</f>
        <v>5000</v>
      </c>
      <c r="I73" s="33" t="n">
        <f aca="false">(Gmail_USD+ClickUp_USD)*FX_USD</f>
        <v>10440</v>
      </c>
      <c r="J73" s="33" t="n">
        <f aca="false">0</f>
        <v>0</v>
      </c>
      <c r="K73" s="33" t="n">
        <f aca="false">SUM(F73:J73)</f>
        <v>797227.1</v>
      </c>
      <c r="L73" s="33" t="n">
        <f aca="false">IF(FALSE(),Laptop_Dev_USD*FX_USD,Laptop_EUR*FX_EUR)+IF(C73="Y",Agency_Fee_EUR*FX_EUR,0)</f>
        <v>327978.5</v>
      </c>
    </row>
    <row r="74" customFormat="false" ht="15" hidden="false" customHeight="true" outlineLevel="0" collapsed="false">
      <c r="A74" s="3" t="s">
        <v>127</v>
      </c>
      <c r="D74" s="32" t="n">
        <f aca="false">IF(ISNUMBER(D73),D73/FX_EUR,"")</f>
        <v>686.020577568347</v>
      </c>
      <c r="E74" s="32" t="n">
        <f aca="false">IF(ISNUMBER(E73),E73/FX_EUR,"")</f>
        <v>205.806173270504</v>
      </c>
      <c r="F74" s="32" t="n">
        <f aca="false">IF(ISNUMBER(F73),F73/FX_EUR,"")</f>
        <v>891.826750838851</v>
      </c>
      <c r="G74" s="32" t="n">
        <f aca="false">IF(ISNUMBER(G73),G73/FX_EUR,"")</f>
        <v>300</v>
      </c>
      <c r="H74" s="32" t="n">
        <f aca="false">IF(ISNUMBER(H73),H73/FX_EUR,"")</f>
        <v>7.62245086187052</v>
      </c>
      <c r="I74" s="32" t="n">
        <f aca="false">IF(ISNUMBER(I73),I73/FX_EUR,"")</f>
        <v>15.9156773995856</v>
      </c>
      <c r="J74" s="32" t="n">
        <f aca="false">IF(ISNUMBER(J73),J73/FX_EUR,"")</f>
        <v>0</v>
      </c>
      <c r="K74" s="32" t="n">
        <f aca="false">IF(ISNUMBER(K73),K73/FX_EUR,"")</f>
        <v>1215.36487910031</v>
      </c>
      <c r="L74" s="32" t="n">
        <f aca="false">IF(ISNUMBER(L73),L73/FX_EUR,"")</f>
        <v>500</v>
      </c>
    </row>
    <row r="75" customFormat="false" ht="15" hidden="false" customHeight="true" outlineLevel="0" collapsed="false">
      <c r="A75" s="13" t="s">
        <v>976</v>
      </c>
      <c r="B75" s="31" t="s">
        <v>971</v>
      </c>
      <c r="C75" s="13" t="str">
        <f aca="false">IF(Agency_Credit=1,"Y","N")</f>
        <v>Y</v>
      </c>
      <c r="D75" s="33" t="n">
        <f aca="false">Salary_Credit</f>
        <v>600000</v>
      </c>
      <c r="E75" s="33" t="n">
        <f aca="false">D75*Employer_Charges</f>
        <v>180000</v>
      </c>
      <c r="F75" s="33" t="n">
        <f aca="false">D75+E75</f>
        <v>780000</v>
      </c>
      <c r="G75" s="33" t="n">
        <f aca="false">Regus_EUR*FX_EUR</f>
        <v>196787.1</v>
      </c>
      <c r="H75" s="33" t="n">
        <f aca="false">Phone_Cost</f>
        <v>5000</v>
      </c>
      <c r="I75" s="33" t="n">
        <f aca="false">(Gmail_USD+ClickUp_USD)*FX_USD</f>
        <v>10440</v>
      </c>
      <c r="J75" s="33" t="n">
        <f aca="false">0</f>
        <v>0</v>
      </c>
      <c r="K75" s="33" t="n">
        <f aca="false">SUM(F75:J75)</f>
        <v>992227.1</v>
      </c>
      <c r="L75" s="33" t="n">
        <f aca="false">IF(FALSE(),Laptop_Dev_USD*FX_USD,Laptop_EUR*FX_EUR)+IF(C75="Y",Agency_Fee_EUR*FX_EUR,0)</f>
        <v>852744.1</v>
      </c>
    </row>
    <row r="76" customFormat="false" ht="15" hidden="false" customHeight="true" outlineLevel="0" collapsed="false">
      <c r="A76" s="3" t="s">
        <v>127</v>
      </c>
      <c r="D76" s="32" t="n">
        <f aca="false">IF(ISNUMBER(D75),D75/FX_EUR,"")</f>
        <v>914.694103424462</v>
      </c>
      <c r="E76" s="32" t="n">
        <f aca="false">IF(ISNUMBER(E75),E75/FX_EUR,"")</f>
        <v>274.408231027339</v>
      </c>
      <c r="F76" s="32" t="n">
        <f aca="false">IF(ISNUMBER(F75),F75/FX_EUR,"")</f>
        <v>1189.1023344518</v>
      </c>
      <c r="G76" s="32" t="n">
        <f aca="false">IF(ISNUMBER(G75),G75/FX_EUR,"")</f>
        <v>300</v>
      </c>
      <c r="H76" s="32" t="n">
        <f aca="false">IF(ISNUMBER(H75),H75/FX_EUR,"")</f>
        <v>7.62245086187052</v>
      </c>
      <c r="I76" s="32" t="n">
        <f aca="false">IF(ISNUMBER(I75),I75/FX_EUR,"")</f>
        <v>15.9156773995856</v>
      </c>
      <c r="J76" s="32" t="n">
        <f aca="false">IF(ISNUMBER(J75),J75/FX_EUR,"")</f>
        <v>0</v>
      </c>
      <c r="K76" s="32" t="n">
        <f aca="false">IF(ISNUMBER(K75),K75/FX_EUR,"")</f>
        <v>1512.64046271326</v>
      </c>
      <c r="L76" s="32" t="n">
        <f aca="false">IF(ISNUMBER(L75),L75/FX_EUR,"")</f>
        <v>1300</v>
      </c>
    </row>
    <row r="77" customFormat="false" ht="15" hidden="false" customHeight="true" outlineLevel="0" collapsed="false">
      <c r="A77" s="3" t="s">
        <v>977</v>
      </c>
    </row>
    <row r="79" customFormat="false" ht="15" hidden="false" customHeight="true" outlineLevel="0" collapsed="false">
      <c r="A79" s="28" t="s">
        <v>978</v>
      </c>
    </row>
    <row r="80" customFormat="false" ht="15" hidden="false" customHeight="true" outlineLevel="0" collapsed="false">
      <c r="A80" s="3" t="s">
        <v>979</v>
      </c>
    </row>
    <row r="81" customFormat="false" ht="30" hidden="false" customHeight="true" outlineLevel="0" collapsed="false">
      <c r="A81" s="29" t="s">
        <v>980</v>
      </c>
      <c r="B81" s="29" t="s">
        <v>981</v>
      </c>
      <c r="C81" s="29"/>
      <c r="D81" s="29" t="s">
        <v>982</v>
      </c>
      <c r="E81" s="29" t="s">
        <v>983</v>
      </c>
      <c r="F81" s="29" t="s">
        <v>984</v>
      </c>
    </row>
    <row r="82" customFormat="false" ht="15" hidden="false" customHeight="true" outlineLevel="0" collapsed="false">
      <c r="A82" s="11" t="s">
        <v>985</v>
      </c>
      <c r="B82" s="12"/>
      <c r="C82" s="12"/>
      <c r="D82" s="12"/>
      <c r="E82" s="12"/>
      <c r="F82" s="12"/>
      <c r="G82" s="12"/>
      <c r="H82" s="12"/>
      <c r="I82" s="12"/>
      <c r="J82" s="12"/>
      <c r="K82" s="12"/>
      <c r="L82" s="12"/>
      <c r="M82" s="12"/>
      <c r="N82" s="12"/>
    </row>
    <row r="83" customFormat="false" ht="23.25" hidden="false" customHeight="true" outlineLevel="0" collapsed="false">
      <c r="A83" s="13" t="s">
        <v>986</v>
      </c>
      <c r="B83" s="31" t="s">
        <v>987</v>
      </c>
      <c r="D83" s="33" t="n">
        <f aca="false">Price_Petite*(1-Annual_Share*Annual_Free/12)</f>
        <v>9405</v>
      </c>
      <c r="E83" s="33" t="n">
        <f aca="false">Price_Moyenne*(1-Annual_Share*Annual_Free/12)</f>
        <v>18525</v>
      </c>
      <c r="F83" s="33" t="n">
        <f aca="false">Price_Grande*(1-Annual_Share*Annual_Free/12)</f>
        <v>66025</v>
      </c>
    </row>
    <row r="84" customFormat="false" ht="15" hidden="false" customHeight="true" outlineLevel="0" collapsed="false">
      <c r="A84" s="3" t="s">
        <v>127</v>
      </c>
      <c r="D84" s="32" t="n">
        <f aca="false">IF(ISNUMBER(D83),D83/FX_EUR,"")</f>
        <v>14.3378300711784</v>
      </c>
      <c r="E84" s="32" t="n">
        <f aca="false">IF(ISNUMBER(E83),E83/FX_EUR,"")</f>
        <v>28.2411804432303</v>
      </c>
      <c r="F84" s="32" t="n">
        <f aca="false">IF(ISNUMBER(F83),F83/FX_EUR,"")</f>
        <v>100.654463631</v>
      </c>
    </row>
    <row r="85" customFormat="false" ht="34.5" hidden="false" customHeight="true" outlineLevel="0" collapsed="false">
      <c r="A85" s="13" t="s">
        <v>988</v>
      </c>
      <c r="B85" s="31" t="s">
        <v>989</v>
      </c>
      <c r="D85" s="33" t="n">
        <f aca="false">Spend_For_Petite*Foreign_Spend_Factor*(FX_Fee+FX_Fixed_Fee/FX_Avg_Txn)</f>
        <v>11400</v>
      </c>
      <c r="E85" s="33" t="n">
        <f aca="false">Spend_For_Moyenne*Foreign_Spend_Factor*(FX_Fee+FX_Fixed_Fee/FX_Avg_Txn)</f>
        <v>45600</v>
      </c>
      <c r="F85" s="33" t="n">
        <f aca="false">Spend_For_Grande*Foreign_Spend_Factor*(FX_Fee+FX_Fixed_Fee/FX_Avg_Txn)</f>
        <v>133000</v>
      </c>
    </row>
    <row r="86" customFormat="false" ht="15" hidden="false" customHeight="true" outlineLevel="0" collapsed="false">
      <c r="A86" s="3" t="s">
        <v>127</v>
      </c>
      <c r="D86" s="32" t="n">
        <f aca="false">IF(ISNUMBER(D85),D85/FX_EUR,"")</f>
        <v>17.3791879650648</v>
      </c>
      <c r="E86" s="32" t="n">
        <f aca="false">IF(ISNUMBER(E85),E85/FX_EUR,"")</f>
        <v>69.5167518602591</v>
      </c>
      <c r="F86" s="32" t="n">
        <f aca="false">IF(ISNUMBER(F85),F85/FX_EUR,"")</f>
        <v>202.757192925756</v>
      </c>
    </row>
    <row r="87" customFormat="false" ht="23.25" hidden="false" customHeight="true" outlineLevel="0" collapsed="false">
      <c r="A87" s="13" t="s">
        <v>990</v>
      </c>
      <c r="B87" s="31" t="s">
        <v>991</v>
      </c>
      <c r="D87" s="33" t="n">
        <f aca="false">Overage_Petite*(1-Sup_Wallet_Share)*Overage_Fee</f>
        <v>270</v>
      </c>
      <c r="E87" s="33" t="n">
        <f aca="false">Overage_Moyenne*(1-Sup_Wallet_Share)*Overage_Fee</f>
        <v>810</v>
      </c>
      <c r="F87" s="33" t="n">
        <f aca="false">Overage_Grande*(1-Sup_Wallet_Share)*Overage_Fee</f>
        <v>2700</v>
      </c>
    </row>
    <row r="88" customFormat="false" ht="15" hidden="false" customHeight="true" outlineLevel="0" collapsed="false">
      <c r="A88" s="3" t="s">
        <v>127</v>
      </c>
      <c r="D88" s="32" t="n">
        <f aca="false">IF(ISNUMBER(D87),D87/FX_EUR,"")</f>
        <v>0.411612346541008</v>
      </c>
      <c r="E88" s="32" t="n">
        <f aca="false">IF(ISNUMBER(E87),E87/FX_EUR,"")</f>
        <v>1.23483703962302</v>
      </c>
      <c r="F88" s="32" t="n">
        <f aca="false">IF(ISNUMBER(F87),F87/FX_EUR,"")</f>
        <v>4.11612346541008</v>
      </c>
    </row>
    <row r="89" customFormat="false" ht="23.25" hidden="false" customHeight="true" outlineLevel="0" collapsed="false">
      <c r="A89" s="13" t="s">
        <v>992</v>
      </c>
      <c r="B89" s="31" t="s">
        <v>993</v>
      </c>
      <c r="D89" s="33" t="n">
        <f aca="false">PL_Coll_Petite*PL_Adoption*PL_Momo_Share*PL_Fee</f>
        <v>1680</v>
      </c>
      <c r="E89" s="33" t="n">
        <f aca="false">PL_Coll_Moyenne*PL_Adoption*PL_Momo_Share*PL_Fee</f>
        <v>6300</v>
      </c>
      <c r="F89" s="33" t="n">
        <f aca="false">PL_Coll_Grande*PL_Adoption*PL_Momo_Share*PL_Fee</f>
        <v>21000</v>
      </c>
    </row>
    <row r="90" customFormat="false" ht="15" hidden="false" customHeight="true" outlineLevel="0" collapsed="false">
      <c r="A90" s="3" t="s">
        <v>127</v>
      </c>
      <c r="D90" s="32" t="n">
        <f aca="false">IF(ISNUMBER(D89),D89/FX_EUR,"")</f>
        <v>2.56114348958849</v>
      </c>
      <c r="E90" s="32" t="n">
        <f aca="false">IF(ISNUMBER(E89),E89/FX_EUR,"")</f>
        <v>9.60428808595685</v>
      </c>
      <c r="F90" s="32" t="n">
        <f aca="false">IF(ISNUMBER(F89),F89/FX_EUR,"")</f>
        <v>32.0142936198562</v>
      </c>
    </row>
    <row r="91" customFormat="false" ht="23.25" hidden="false" customHeight="true" outlineLevel="0" collapsed="false">
      <c r="A91" s="13" t="s">
        <v>994</v>
      </c>
      <c r="B91" s="31" t="s">
        <v>995</v>
      </c>
      <c r="D91" s="33" t="n">
        <f aca="false">MAX(0,Users_Petite-Users_Incl_Petite)*Extra_User_Fee</f>
        <v>0</v>
      </c>
      <c r="E91" s="33" t="n">
        <f aca="false">MAX(0,Users_Moyenne-Users_Incl_Moyenne)*Extra_User_Fee</f>
        <v>2500</v>
      </c>
      <c r="F91" s="33" t="n">
        <f aca="false">MAX(0,Users_Grande-Users_Incl_Grande)*Extra_User_Fee</f>
        <v>5000</v>
      </c>
    </row>
    <row r="92" customFormat="false" ht="15" hidden="false" customHeight="true" outlineLevel="0" collapsed="false">
      <c r="A92" s="3" t="s">
        <v>127</v>
      </c>
      <c r="D92" s="32" t="n">
        <f aca="false">IF(ISNUMBER(D91),D91/FX_EUR,"")</f>
        <v>0</v>
      </c>
      <c r="E92" s="32" t="n">
        <f aca="false">IF(ISNUMBER(E91),E91/FX_EUR,"")</f>
        <v>3.81122543093526</v>
      </c>
      <c r="F92" s="32" t="n">
        <f aca="false">IF(ISNUMBER(F91),F91/FX_EUR,"")</f>
        <v>7.62245086187052</v>
      </c>
    </row>
    <row r="93" customFormat="false" ht="34.5" hidden="false" customHeight="true" outlineLevel="0" collapsed="false">
      <c r="A93" s="13" t="s">
        <v>996</v>
      </c>
      <c r="B93" s="31" t="s">
        <v>997</v>
      </c>
      <c r="D93" s="33" t="n">
        <f aca="false">(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MM_Fee</f>
        <v>9375</v>
      </c>
      <c r="E93" s="33" t="n">
        <f aca="false">(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MM_Fee</f>
        <v>43125</v>
      </c>
      <c r="F93" s="33" t="n">
        <f aca="false">(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MM_Fee</f>
        <v>188750</v>
      </c>
    </row>
    <row r="94" customFormat="false" ht="15" hidden="false" customHeight="true" outlineLevel="0" collapsed="false">
      <c r="A94" s="3" t="s">
        <v>127</v>
      </c>
      <c r="D94" s="32" t="n">
        <f aca="false">IF(ISNUMBER(D93),D93/FX_EUR,"")</f>
        <v>14.2920953660072</v>
      </c>
      <c r="E94" s="32" t="n">
        <f aca="false">IF(ISNUMBER(E93),E93/FX_EUR,"")</f>
        <v>65.7436386836332</v>
      </c>
      <c r="F94" s="32" t="n">
        <f aca="false">IF(ISNUMBER(F93),F93/FX_EUR,"")</f>
        <v>287.747520035612</v>
      </c>
    </row>
    <row r="95" customFormat="false" ht="23.25" hidden="false" customHeight="true" outlineLevel="0" collapsed="false">
      <c r="A95" s="13" t="s">
        <v>998</v>
      </c>
      <c r="B95" s="31" t="s">
        <v>999</v>
      </c>
      <c r="D95" s="33" t="n">
        <f aca="false">Emp_Petite*Payroll_Mod_Uptake*Payslip_Fee</f>
        <v>1800</v>
      </c>
      <c r="E95" s="33" t="n">
        <f aca="false">Emp_Moyenne*Payroll_Mod_Uptake*Payslip_Fee</f>
        <v>9000</v>
      </c>
      <c r="F95" s="33" t="n">
        <f aca="false">Emp_Grande*Payroll_Mod_Uptake*Payslip_Fee</f>
        <v>43200</v>
      </c>
    </row>
    <row r="96" customFormat="false" ht="15" hidden="false" customHeight="true" outlineLevel="0" collapsed="false">
      <c r="A96" s="3" t="s">
        <v>127</v>
      </c>
      <c r="D96" s="32" t="n">
        <f aca="false">IF(ISNUMBER(D95),D95/FX_EUR,"")</f>
        <v>2.74408231027339</v>
      </c>
      <c r="E96" s="32" t="n">
        <f aca="false">IF(ISNUMBER(E95),E95/FX_EUR,"")</f>
        <v>13.7204115513669</v>
      </c>
      <c r="F96" s="32" t="n">
        <f aca="false">IF(ISNUMBER(F95),F95/FX_EUR,"")</f>
        <v>65.8579754465613</v>
      </c>
    </row>
    <row r="97" customFormat="false" ht="23.25" hidden="false" customHeight="true" outlineLevel="0" collapsed="false">
      <c r="A97" s="13" t="s">
        <v>1000</v>
      </c>
      <c r="B97" s="31" t="s">
        <v>1001</v>
      </c>
      <c r="D97" s="33" t="n">
        <f aca="false">Intl_Vol_Petite*Intl_Uptake*(Intl_Fee+Intl_Fixed_Fee/Intl_Avg_Payment)</f>
        <v>5135</v>
      </c>
      <c r="E97" s="33" t="n">
        <f aca="false">Intl_Vol_Moyenne*Intl_Uptake*(Intl_Fee+Intl_Fixed_Fee/Intl_Avg_Payment)</f>
        <v>11850</v>
      </c>
      <c r="F97" s="33" t="n">
        <f aca="false">Intl_Vol_Grande*Intl_Uptake*(Intl_Fee+Intl_Fixed_Fee/Intl_Avg_Payment)</f>
        <v>47400</v>
      </c>
    </row>
    <row r="98" customFormat="false" ht="15" hidden="false" customHeight="true" outlineLevel="0" collapsed="false">
      <c r="A98" s="3" t="s">
        <v>127</v>
      </c>
      <c r="D98" s="32" t="n">
        <f aca="false">IF(ISNUMBER(D97),D97/FX_EUR,"")</f>
        <v>7.82825703514102</v>
      </c>
      <c r="E98" s="32" t="n">
        <f aca="false">IF(ISNUMBER(E97),E97/FX_EUR,"")</f>
        <v>18.0652085426331</v>
      </c>
      <c r="F98" s="32" t="n">
        <f aca="false">IF(ISNUMBER(F97),F97/FX_EUR,"")</f>
        <v>72.2608341705325</v>
      </c>
    </row>
    <row r="99" customFormat="false" ht="15" hidden="false" customHeight="true" outlineLevel="0" collapsed="false">
      <c r="A99" s="9" t="s">
        <v>1002</v>
      </c>
      <c r="D99" s="17" t="n">
        <f aca="false">D83+D85+D87+D89+D91+D93+D95+D97</f>
        <v>39065</v>
      </c>
      <c r="E99" s="17" t="n">
        <f aca="false">E83+E85+E87+E89+E91+E93+E95+E97</f>
        <v>137710</v>
      </c>
      <c r="F99" s="17" t="n">
        <f aca="false">F83+F85+F87+F89+F91+F93+F95+F97</f>
        <v>507075</v>
      </c>
    </row>
    <row r="100" customFormat="false" ht="15" hidden="false" customHeight="true" outlineLevel="0" collapsed="false">
      <c r="A100" s="3" t="s">
        <v>127</v>
      </c>
      <c r="D100" s="32" t="n">
        <f aca="false">IF(ISNUMBER(D99),D99/FX_EUR,"")</f>
        <v>59.5542085837944</v>
      </c>
      <c r="E100" s="32" t="n">
        <f aca="false">IF(ISNUMBER(E99),E99/FX_EUR,"")</f>
        <v>209.937541637638</v>
      </c>
      <c r="F100" s="32" t="n">
        <f aca="false">IF(ISNUMBER(F99),F99/FX_EUR,"")</f>
        <v>773.030854156599</v>
      </c>
    </row>
    <row r="101" customFormat="false" ht="15" hidden="false" customHeight="true" outlineLevel="0" collapsed="false">
      <c r="A101" s="11" t="s">
        <v>1003</v>
      </c>
      <c r="B101" s="12"/>
      <c r="C101" s="12"/>
      <c r="D101" s="12"/>
      <c r="E101" s="12"/>
      <c r="F101" s="12"/>
      <c r="G101" s="12"/>
      <c r="H101" s="12"/>
      <c r="I101" s="12"/>
      <c r="J101" s="12"/>
      <c r="K101" s="12"/>
      <c r="L101" s="12"/>
      <c r="M101" s="12"/>
      <c r="N101" s="12"/>
    </row>
    <row r="102" customFormat="false" ht="15" hidden="false" customHeight="true" outlineLevel="0" collapsed="false">
      <c r="A102" s="13" t="s">
        <v>645</v>
      </c>
      <c r="B102" s="31" t="s">
        <v>1004</v>
      </c>
      <c r="D102" s="33" t="n">
        <f aca="false">Bank_Fee</f>
        <v>1500</v>
      </c>
      <c r="E102" s="33" t="n">
        <f aca="false">Bank_Fee</f>
        <v>1500</v>
      </c>
      <c r="F102" s="33" t="n">
        <f aca="false">Bank_Fee</f>
        <v>1500</v>
      </c>
    </row>
    <row r="103" customFormat="false" ht="15" hidden="false" customHeight="true" outlineLevel="0" collapsed="false">
      <c r="A103" s="3" t="s">
        <v>127</v>
      </c>
      <c r="D103" s="32" t="n">
        <f aca="false">IF(ISNUMBER(D102),D102/FX_EUR,"")</f>
        <v>2.28673525856116</v>
      </c>
      <c r="E103" s="32" t="n">
        <f aca="false">IF(ISNUMBER(E102),E102/FX_EUR,"")</f>
        <v>2.28673525856116</v>
      </c>
      <c r="F103" s="32" t="n">
        <f aca="false">IF(ISNUMBER(F102),F102/FX_EUR,"")</f>
        <v>2.28673525856116</v>
      </c>
    </row>
    <row r="104" customFormat="false" ht="23.25" hidden="false" customHeight="true" outlineLevel="0" collapsed="false">
      <c r="A104" s="13" t="s">
        <v>1005</v>
      </c>
      <c r="B104" s="31" t="s">
        <v>1006</v>
      </c>
      <c r="D104" s="33" t="n">
        <f aca="false">Cards_Act_Petite*Card_Proc_Fee</f>
        <v>1200</v>
      </c>
      <c r="E104" s="33" t="n">
        <f aca="false">Cards_Act_Moyenne*Card_Proc_Fee</f>
        <v>3600</v>
      </c>
      <c r="F104" s="33" t="n">
        <f aca="false">Cards_Act_Grande*Card_Proc_Fee</f>
        <v>6000</v>
      </c>
    </row>
    <row r="105" customFormat="false" ht="15" hidden="false" customHeight="true" outlineLevel="0" collapsed="false">
      <c r="A105" s="3" t="s">
        <v>127</v>
      </c>
      <c r="D105" s="32" t="n">
        <f aca="false">IF(ISNUMBER(D104),D104/FX_EUR,"")</f>
        <v>1.82938820684892</v>
      </c>
      <c r="E105" s="32" t="n">
        <f aca="false">IF(ISNUMBER(E104),E104/FX_EUR,"")</f>
        <v>5.48816462054677</v>
      </c>
      <c r="F105" s="32" t="n">
        <f aca="false">IF(ISNUMBER(F104),F104/FX_EUR,"")</f>
        <v>9.14694103424462</v>
      </c>
    </row>
    <row r="106" customFormat="false" ht="34.5" hidden="false" customHeight="true" outlineLevel="0" collapsed="false">
      <c r="A106" s="13" t="s">
        <v>1007</v>
      </c>
      <c r="B106" s="31" t="s">
        <v>1008</v>
      </c>
      <c r="D106" s="33" t="n">
        <f aca="false">Spend_For_Petite*Foreign_Spend_Factor*(Scheme_Rate+Scheme_Fixed/FX_Avg_Txn)</f>
        <v>6600</v>
      </c>
      <c r="E106" s="33" t="n">
        <f aca="false">Spend_For_Moyenne*Foreign_Spend_Factor*(Scheme_Rate+Scheme_Fixed/FX_Avg_Txn)</f>
        <v>26400</v>
      </c>
      <c r="F106" s="33" t="n">
        <f aca="false">Spend_For_Grande*Foreign_Spend_Factor*(Scheme_Rate+Scheme_Fixed/FX_Avg_Txn)</f>
        <v>77000</v>
      </c>
    </row>
    <row r="107" customFormat="false" ht="15" hidden="false" customHeight="true" outlineLevel="0" collapsed="false">
      <c r="A107" s="3" t="s">
        <v>127</v>
      </c>
      <c r="D107" s="32" t="n">
        <f aca="false">IF(ISNUMBER(D106),D106/FX_EUR,"")</f>
        <v>10.0616351376691</v>
      </c>
      <c r="E107" s="32" t="n">
        <f aca="false">IF(ISNUMBER(E106),E106/FX_EUR,"")</f>
        <v>40.2465405506763</v>
      </c>
      <c r="F107" s="32" t="n">
        <f aca="false">IF(ISNUMBER(F106),F106/FX_EUR,"")</f>
        <v>117.385743272806</v>
      </c>
    </row>
    <row r="108" customFormat="false" ht="15" hidden="false" customHeight="true" outlineLevel="0" collapsed="false">
      <c r="A108" s="13" t="s">
        <v>662</v>
      </c>
      <c r="B108" s="31" t="s">
        <v>1009</v>
      </c>
      <c r="D108" s="33" t="n">
        <f aca="false">(Spend_Dom_Petite+Spend_For_Petite*Foreign_Spend_Factor)*Fraud_Rate</f>
        <v>900</v>
      </c>
      <c r="E108" s="33" t="n">
        <f aca="false">(Spend_Dom_Moyenne+Spend_For_Moyenne*Foreign_Spend_Factor)*Fraud_Rate</f>
        <v>3000</v>
      </c>
      <c r="F108" s="33" t="n">
        <f aca="false">(Spend_Dom_Grande+Spend_For_Grande*Foreign_Spend_Factor)*Fraud_Rate</f>
        <v>9000</v>
      </c>
    </row>
    <row r="109" customFormat="false" ht="15" hidden="false" customHeight="true" outlineLevel="0" collapsed="false">
      <c r="A109" s="3" t="s">
        <v>127</v>
      </c>
      <c r="D109" s="32" t="n">
        <f aca="false">IF(ISNUMBER(D108),D108/FX_EUR,"")</f>
        <v>1.37204115513669</v>
      </c>
      <c r="E109" s="32" t="n">
        <f aca="false">IF(ISNUMBER(E108),E108/FX_EUR,"")</f>
        <v>4.57347051712231</v>
      </c>
      <c r="F109" s="32" t="n">
        <f aca="false">IF(ISNUMBER(F108),F108/FX_EUR,"")</f>
        <v>13.7204115513669</v>
      </c>
    </row>
    <row r="110" customFormat="false" ht="23.25" hidden="false" customHeight="true" outlineLevel="0" collapsed="false">
      <c r="A110" s="13" t="s">
        <v>315</v>
      </c>
      <c r="B110" s="31" t="s">
        <v>1010</v>
      </c>
      <c r="D110" s="33" t="n">
        <f aca="false">Emp_Petite*Wallet_Share*(IF(MM_Cost_Cap&gt;0,MIN(MM_Cost_Pct*Avg_Salary,MM_Cost_Cap),MM_Cost_Pct*Avg_Salary)+MM_Cost_Flat)+Supplier_Petite*Sup_Wallet_Share*(IF(MM_Cost_Cap&gt;0,MIN(MM_Cost_Pct*Sup_Avg_Amount,MM_Cost_Cap),MM_Cost_Pct*Sup_Avg_Amount)+MM_Cost_Flat)</f>
        <v>4750</v>
      </c>
      <c r="E110" s="33" t="n">
        <f aca="false">Emp_Moyenne*Wallet_Share*(IF(MM_Cost_Cap&gt;0,MIN(MM_Cost_Pct*Avg_Salary,MM_Cost_Cap),MM_Cost_Pct*Avg_Salary)+MM_Cost_Flat)+Supplier_Moyenne*Sup_Wallet_Share*(IF(MM_Cost_Cap&gt;0,MIN(MM_Cost_Pct*Sup_Avg_Amount,MM_Cost_Cap),MM_Cost_Pct*Sup_Avg_Amount)+MM_Cost_Flat)</f>
        <v>22250</v>
      </c>
      <c r="F110" s="33" t="n">
        <f aca="false">Emp_Grande*Wallet_Share*(IF(MM_Cost_Cap&gt;0,MIN(MM_Cost_Pct*Avg_Salary,MM_Cost_Cap),MM_Cost_Pct*Avg_Salary)+MM_Cost_Flat)+Supplier_Grande*Sup_Wallet_Share*(IF(MM_Cost_Cap&gt;0,MIN(MM_Cost_Pct*Sup_Avg_Amount,MM_Cost_Cap),MM_Cost_Pct*Sup_Avg_Amount)+MM_Cost_Flat)</f>
        <v>100500</v>
      </c>
    </row>
    <row r="111" customFormat="false" ht="15" hidden="false" customHeight="true" outlineLevel="0" collapsed="false">
      <c r="A111" s="3" t="s">
        <v>127</v>
      </c>
      <c r="D111" s="32" t="n">
        <f aca="false">IF(ISNUMBER(D110),D110/FX_EUR,"")</f>
        <v>7.24132831877699</v>
      </c>
      <c r="E111" s="32" t="n">
        <f aca="false">IF(ISNUMBER(E110),E110/FX_EUR,"")</f>
        <v>33.9199063353238</v>
      </c>
      <c r="F111" s="32" t="n">
        <f aca="false">IF(ISNUMBER(F110),F110/FX_EUR,"")</f>
        <v>153.211262323597</v>
      </c>
    </row>
    <row r="112" customFormat="false" ht="23.25" hidden="false" customHeight="true" outlineLevel="0" collapsed="false">
      <c r="A112" s="13" t="s">
        <v>1011</v>
      </c>
      <c r="B112" s="31" t="s">
        <v>1012</v>
      </c>
      <c r="D112" s="33" t="n">
        <f aca="false">Emp_Petite*(1-Wallet_Share)*Bank_Payout_Cost</f>
        <v>175</v>
      </c>
      <c r="E112" s="33" t="n">
        <f aca="false">Emp_Moyenne*(1-Wallet_Share)*Bank_Payout_Cost</f>
        <v>875</v>
      </c>
      <c r="F112" s="33" t="n">
        <f aca="false">Emp_Grande*(1-Wallet_Share)*Bank_Payout_Cost</f>
        <v>4200</v>
      </c>
    </row>
    <row r="113" customFormat="false" ht="15" hidden="false" customHeight="true" outlineLevel="0" collapsed="false">
      <c r="A113" s="3" t="s">
        <v>127</v>
      </c>
      <c r="D113" s="32" t="n">
        <f aca="false">IF(ISNUMBER(D112),D112/FX_EUR,"")</f>
        <v>0.266785780165468</v>
      </c>
      <c r="E113" s="32" t="n">
        <f aca="false">IF(ISNUMBER(E112),E112/FX_EUR,"")</f>
        <v>1.33392890082734</v>
      </c>
      <c r="F113" s="32" t="n">
        <f aca="false">IF(ISNUMBER(F112),F112/FX_EUR,"")</f>
        <v>6.40285872397124</v>
      </c>
    </row>
    <row r="114" customFormat="false" ht="23.25" hidden="false" customHeight="true" outlineLevel="0" collapsed="false">
      <c r="A114" s="13" t="s">
        <v>1013</v>
      </c>
      <c r="B114" s="31" t="s">
        <v>1014</v>
      </c>
      <c r="D114" s="33" t="n">
        <f aca="false">Supplier_Petite*(1-Sup_Wallet_Share)*Supplier_Payout_Cost</f>
        <v>900</v>
      </c>
      <c r="E114" s="33" t="n">
        <f aca="false">Supplier_Moyenne*(1-Sup_Wallet_Share)*Supplier_Payout_Cost</f>
        <v>3600</v>
      </c>
      <c r="F114" s="33" t="n">
        <f aca="false">Supplier_Grande*(1-Sup_Wallet_Share)*Supplier_Payout_Cost</f>
        <v>13500</v>
      </c>
    </row>
    <row r="115" customFormat="false" ht="15" hidden="false" customHeight="true" outlineLevel="0" collapsed="false">
      <c r="A115" s="3" t="s">
        <v>127</v>
      </c>
      <c r="D115" s="32" t="n">
        <f aca="false">IF(ISNUMBER(D114),D114/FX_EUR,"")</f>
        <v>1.37204115513669</v>
      </c>
      <c r="E115" s="32" t="n">
        <f aca="false">IF(ISNUMBER(E114),E114/FX_EUR,"")</f>
        <v>5.48816462054677</v>
      </c>
      <c r="F115" s="32" t="n">
        <f aca="false">IF(ISNUMBER(F114),F114/FX_EUR,"")</f>
        <v>20.5806173270504</v>
      </c>
    </row>
    <row r="116" customFormat="false" ht="15" hidden="false" customHeight="true" outlineLevel="0" collapsed="false">
      <c r="A116" s="13" t="s">
        <v>330</v>
      </c>
      <c r="B116" s="31" t="s">
        <v>1015</v>
      </c>
      <c r="D116" s="33" t="n">
        <f aca="false">Intl_Vol_Petite*Intl_Uptake*Intl_Cost</f>
        <v>3510</v>
      </c>
      <c r="E116" s="33" t="n">
        <f aca="false">Intl_Vol_Moyenne*Intl_Uptake*Intl_Cost</f>
        <v>8100</v>
      </c>
      <c r="F116" s="33" t="n">
        <f aca="false">Intl_Vol_Grande*Intl_Uptake*Intl_Cost</f>
        <v>32400</v>
      </c>
    </row>
    <row r="117" customFormat="false" ht="15" hidden="false" customHeight="true" outlineLevel="0" collapsed="false">
      <c r="A117" s="3" t="s">
        <v>127</v>
      </c>
      <c r="D117" s="32" t="n">
        <f aca="false">IF(ISNUMBER(D116),D116/FX_EUR,"")</f>
        <v>5.3509605050331</v>
      </c>
      <c r="E117" s="32" t="n">
        <f aca="false">IF(ISNUMBER(E116),E116/FX_EUR,"")</f>
        <v>12.3483703962302</v>
      </c>
      <c r="F117" s="32" t="n">
        <f aca="false">IF(ISNUMBER(F116),F116/FX_EUR,"")</f>
        <v>49.393481584921</v>
      </c>
    </row>
    <row r="118" customFormat="false" ht="23.25" hidden="false" customHeight="true" outlineLevel="0" collapsed="false">
      <c r="A118" s="13" t="s">
        <v>202</v>
      </c>
      <c r="B118" s="31" t="s">
        <v>1016</v>
      </c>
      <c r="D118" s="33" t="n">
        <f aca="false">Emp_Petite*Payroll_Mod_Uptake*Payslip_Cost</f>
        <v>30</v>
      </c>
      <c r="E118" s="33" t="n">
        <f aca="false">Emp_Moyenne*Payroll_Mod_Uptake*Payslip_Cost</f>
        <v>150</v>
      </c>
      <c r="F118" s="33" t="n">
        <f aca="false">Emp_Grande*Payroll_Mod_Uptake*Payslip_Cost</f>
        <v>720</v>
      </c>
    </row>
    <row r="119" customFormat="false" ht="15" hidden="false" customHeight="true" outlineLevel="0" collapsed="false">
      <c r="A119" s="3" t="s">
        <v>127</v>
      </c>
      <c r="D119" s="32" t="n">
        <f aca="false">IF(ISNUMBER(D118),D118/FX_EUR,"")</f>
        <v>0.0457347051712231</v>
      </c>
      <c r="E119" s="32" t="n">
        <f aca="false">IF(ISNUMBER(E118),E118/FX_EUR,"")</f>
        <v>0.228673525856116</v>
      </c>
      <c r="F119" s="32" t="n">
        <f aca="false">IF(ISNUMBER(F118),F118/FX_EUR,"")</f>
        <v>1.09763292410935</v>
      </c>
    </row>
    <row r="120" customFormat="false" ht="23.25" hidden="false" customHeight="true" outlineLevel="0" collapsed="false">
      <c r="A120" s="13" t="s">
        <v>1017</v>
      </c>
      <c r="B120" s="31" t="s">
        <v>1018</v>
      </c>
      <c r="D120" s="33" t="n">
        <f aca="false">PL_Coll_Petite*PL_Adoption*PL_Momo_Share*PL_Cost</f>
        <v>1400</v>
      </c>
      <c r="E120" s="33" t="n">
        <f aca="false">PL_Coll_Moyenne*PL_Adoption*PL_Momo_Share*PL_Cost</f>
        <v>5250</v>
      </c>
      <c r="F120" s="33" t="n">
        <f aca="false">PL_Coll_Grande*PL_Adoption*PL_Momo_Share*PL_Cost</f>
        <v>17500</v>
      </c>
    </row>
    <row r="121" customFormat="false" ht="15" hidden="false" customHeight="true" outlineLevel="0" collapsed="false">
      <c r="A121" s="3" t="s">
        <v>127</v>
      </c>
      <c r="D121" s="32" t="n">
        <f aca="false">IF(ISNUMBER(D120),D120/FX_EUR,"")</f>
        <v>2.13428624132375</v>
      </c>
      <c r="E121" s="32" t="n">
        <f aca="false">IF(ISNUMBER(E120),E120/FX_EUR,"")</f>
        <v>8.00357340496405</v>
      </c>
      <c r="F121" s="32" t="n">
        <f aca="false">IF(ISNUMBER(F120),F120/FX_EUR,"")</f>
        <v>26.6785780165468</v>
      </c>
    </row>
    <row r="122" customFormat="false" ht="15" hidden="false" customHeight="true" outlineLevel="0" collapsed="false">
      <c r="A122" s="13" t="s">
        <v>1019</v>
      </c>
      <c r="B122" s="31" t="s">
        <v>1020</v>
      </c>
      <c r="D122" s="33" t="n">
        <f aca="false">Notif_Cost</f>
        <v>350</v>
      </c>
      <c r="E122" s="33" t="n">
        <f aca="false">Notif_Cost</f>
        <v>350</v>
      </c>
      <c r="F122" s="33" t="n">
        <f aca="false">Notif_Cost</f>
        <v>350</v>
      </c>
    </row>
    <row r="123" customFormat="false" ht="15" hidden="false" customHeight="true" outlineLevel="0" collapsed="false">
      <c r="A123" s="3" t="s">
        <v>127</v>
      </c>
      <c r="D123" s="32" t="n">
        <f aca="false">IF(ISNUMBER(D122),D122/FX_EUR,"")</f>
        <v>0.533571560330936</v>
      </c>
      <c r="E123" s="32" t="n">
        <f aca="false">IF(ISNUMBER(E122),E122/FX_EUR,"")</f>
        <v>0.533571560330936</v>
      </c>
      <c r="F123" s="32" t="n">
        <f aca="false">IF(ISNUMBER(F122),F122/FX_EUR,"")</f>
        <v>0.533571560330936</v>
      </c>
    </row>
    <row r="124" customFormat="false" ht="15" hidden="false" customHeight="true" outlineLevel="0" collapsed="false">
      <c r="A124" s="9" t="s">
        <v>1021</v>
      </c>
      <c r="D124" s="17" t="n">
        <f aca="false">D102+D104+D106+D108+D110+D112+D114+D116+D118+D120+D122</f>
        <v>21315</v>
      </c>
      <c r="E124" s="17" t="n">
        <f aca="false">E102+E104+E106+E108+E110+E112+E114+E116+E118+E120+E122</f>
        <v>75075</v>
      </c>
      <c r="F124" s="17" t="n">
        <f aca="false">F102+F104+F106+F108+F110+F112+F114+F116+F118+F120+F122</f>
        <v>262670</v>
      </c>
    </row>
    <row r="125" customFormat="false" ht="15" hidden="false" customHeight="true" outlineLevel="0" collapsed="false">
      <c r="A125" s="3" t="s">
        <v>127</v>
      </c>
      <c r="D125" s="32" t="n">
        <f aca="false">IF(ISNUMBER(D124),D124/FX_EUR,"")</f>
        <v>32.494508024154</v>
      </c>
      <c r="E125" s="32" t="n">
        <f aca="false">IF(ISNUMBER(E124),E124/FX_EUR,"")</f>
        <v>114.451099690986</v>
      </c>
      <c r="F125" s="32" t="n">
        <f aca="false">IF(ISNUMBER(F124),F124/FX_EUR,"")</f>
        <v>400.437833577506</v>
      </c>
    </row>
    <row r="126" customFormat="false" ht="15" hidden="false" customHeight="true" outlineLevel="0" collapsed="false">
      <c r="A126" s="9" t="s">
        <v>1022</v>
      </c>
      <c r="B126" s="31" t="s">
        <v>1023</v>
      </c>
      <c r="D126" s="17" t="n">
        <f aca="false">D99-D124</f>
        <v>17750</v>
      </c>
      <c r="E126" s="17" t="n">
        <f aca="false">E99-E124</f>
        <v>62635</v>
      </c>
      <c r="F126" s="17" t="n">
        <f aca="false">F99-F124</f>
        <v>244405</v>
      </c>
    </row>
    <row r="127" customFormat="false" ht="15" hidden="false" customHeight="true" outlineLevel="0" collapsed="false">
      <c r="A127" s="3" t="s">
        <v>127</v>
      </c>
      <c r="D127" s="32" t="n">
        <f aca="false">IF(ISNUMBER(D126),D126/FX_EUR,"")</f>
        <v>27.0597005596403</v>
      </c>
      <c r="E127" s="32" t="n">
        <f aca="false">IF(ISNUMBER(E126),E126/FX_EUR,"")</f>
        <v>95.486441946652</v>
      </c>
      <c r="F127" s="32" t="n">
        <f aca="false">IF(ISNUMBER(F126),F126/FX_EUR,"")</f>
        <v>372.593020579093</v>
      </c>
    </row>
    <row r="128" customFormat="false" ht="15" hidden="false" customHeight="true" outlineLevel="0" collapsed="false">
      <c r="A128" s="13" t="s">
        <v>1024</v>
      </c>
      <c r="D128" s="35" t="n">
        <f aca="false">IFERROR(D126/D99,0)</f>
        <v>0.454370920261103</v>
      </c>
      <c r="E128" s="35" t="n">
        <f aca="false">IFERROR(E126/E99,0)</f>
        <v>0.454832619272384</v>
      </c>
      <c r="F128" s="35" t="n">
        <f aca="false">IFERROR(F126/F99,0)</f>
        <v>0.481989843711483</v>
      </c>
    </row>
    <row r="129" customFormat="false" ht="15" hidden="false" customHeight="true" outlineLevel="0" collapsed="false">
      <c r="A129" s="11" t="s">
        <v>1025</v>
      </c>
      <c r="B129" s="12"/>
      <c r="C129" s="12"/>
      <c r="D129" s="12"/>
      <c r="E129" s="12"/>
      <c r="F129" s="12"/>
      <c r="G129" s="12"/>
      <c r="H129" s="12"/>
      <c r="I129" s="12"/>
      <c r="J129" s="12"/>
      <c r="K129" s="12"/>
      <c r="L129" s="12"/>
      <c r="M129" s="12"/>
      <c r="N129" s="12"/>
    </row>
    <row r="130" customFormat="false" ht="34.5" hidden="false" customHeight="true" outlineLevel="0" collapsed="false">
      <c r="A130" s="13" t="s">
        <v>1026</v>
      </c>
      <c r="B130" s="31" t="s">
        <v>1027</v>
      </c>
      <c r="D130" s="33" t="n">
        <f aca="false">KYB_Cost+KYC_Cost*KYC_Persons</f>
        <v>3300</v>
      </c>
      <c r="E130" s="33" t="n">
        <f aca="false">KYB_Cost+KYC_Cost*KYC_Persons</f>
        <v>3300</v>
      </c>
      <c r="F130" s="33" t="n">
        <f aca="false">KYB_Cost+KYC_Cost*KYC_Persons</f>
        <v>3300</v>
      </c>
    </row>
    <row r="131" customFormat="false" ht="15" hidden="false" customHeight="true" outlineLevel="0" collapsed="false">
      <c r="A131" s="3" t="s">
        <v>127</v>
      </c>
      <c r="D131" s="32" t="n">
        <f aca="false">IF(ISNUMBER(D130),D130/FX_EUR,"")</f>
        <v>5.03081756883454</v>
      </c>
      <c r="E131" s="32" t="n">
        <f aca="false">IF(ISNUMBER(E130),E130/FX_EUR,"")</f>
        <v>5.03081756883454</v>
      </c>
      <c r="F131" s="32" t="n">
        <f aca="false">IF(ISNUMBER(F130),F130/FX_EUR,"")</f>
        <v>5.03081756883454</v>
      </c>
    </row>
    <row r="132" customFormat="false" ht="23.25" hidden="false" customHeight="true" outlineLevel="0" collapsed="false">
      <c r="A132" s="13" t="s">
        <v>1028</v>
      </c>
      <c r="B132" s="31" t="s">
        <v>1029</v>
      </c>
      <c r="D132" s="33" t="n">
        <f aca="false">Cards_New_Petite*Card_Prod_Cost</f>
        <v>4500</v>
      </c>
      <c r="E132" s="33" t="n">
        <f aca="false">Cards_New_Moyenne*Card_Prod_Cost</f>
        <v>4500</v>
      </c>
      <c r="F132" s="33" t="n">
        <f aca="false">Cards_New_Grande*Card_Prod_Cost</f>
        <v>13500</v>
      </c>
    </row>
    <row r="133" customFormat="false" ht="15" hidden="false" customHeight="true" outlineLevel="0" collapsed="false">
      <c r="A133" s="3" t="s">
        <v>127</v>
      </c>
      <c r="D133" s="32" t="n">
        <f aca="false">IF(ISNUMBER(D132),D132/FX_EUR,"")</f>
        <v>6.86020577568347</v>
      </c>
      <c r="E133" s="32" t="n">
        <f aca="false">IF(ISNUMBER(E132),E132/FX_EUR,"")</f>
        <v>6.86020577568347</v>
      </c>
      <c r="F133" s="32" t="n">
        <f aca="false">IF(ISNUMBER(F132),F132/FX_EUR,"")</f>
        <v>20.5806173270504</v>
      </c>
    </row>
    <row r="134" customFormat="false" ht="23.25" hidden="false" customHeight="true" outlineLevel="0" collapsed="false">
      <c r="A134" s="13" t="s">
        <v>1030</v>
      </c>
      <c r="B134" s="31" t="s">
        <v>1031</v>
      </c>
      <c r="D134" s="33" t="n">
        <f aca="false">MAX(0,Cards_New_Petite-Cards_Phys_Incl_Petite)*Card_Fee</f>
        <v>0</v>
      </c>
      <c r="E134" s="33" t="n">
        <f aca="false">MAX(0,Cards_New_Moyenne-Cards_Phys_Incl_Moyenne)*Card_Fee</f>
        <v>0</v>
      </c>
      <c r="F134" s="33" t="n">
        <f aca="false">MAX(0,Cards_New_Grande-Cards_Phys_Incl_Grande)*Card_Fee</f>
        <v>13000</v>
      </c>
    </row>
    <row r="135" customFormat="false" ht="15" hidden="false" customHeight="true" outlineLevel="0" collapsed="false">
      <c r="A135" s="3" t="s">
        <v>127</v>
      </c>
      <c r="D135" s="32" t="n">
        <f aca="false">IF(ISNUMBER(D134),D134/FX_EUR,"")</f>
        <v>0</v>
      </c>
      <c r="E135" s="32" t="n">
        <f aca="false">IF(ISNUMBER(E134),E134/FX_EUR,"")</f>
        <v>0</v>
      </c>
      <c r="F135" s="32" t="n">
        <f aca="false">IF(ISNUMBER(F134),F134/FX_EUR,"")</f>
        <v>19.8183722408634</v>
      </c>
    </row>
    <row r="136" customFormat="false" ht="23.25" hidden="false" customHeight="true" outlineLevel="0" collapsed="false">
      <c r="A136" s="13" t="s">
        <v>1032</v>
      </c>
      <c r="B136" s="31" t="s">
        <v>1033</v>
      </c>
      <c r="D136" s="33" t="n">
        <f aca="false">Referral_Fee</f>
        <v>25000</v>
      </c>
      <c r="E136" s="33" t="n">
        <f aca="false">Referral_Fee</f>
        <v>25000</v>
      </c>
      <c r="F136" s="33" t="n">
        <f aca="false">Referral_Fee</f>
        <v>25000</v>
      </c>
    </row>
    <row r="137" customFormat="false" ht="15" hidden="false" customHeight="true" outlineLevel="0" collapsed="false">
      <c r="A137" s="3" t="s">
        <v>127</v>
      </c>
      <c r="D137" s="32" t="n">
        <f aca="false">IF(ISNUMBER(D136),D136/FX_EUR,"")</f>
        <v>38.1122543093526</v>
      </c>
      <c r="E137" s="32" t="n">
        <f aca="false">IF(ISNUMBER(E136),E136/FX_EUR,"")</f>
        <v>38.1122543093526</v>
      </c>
      <c r="F137" s="32" t="n">
        <f aca="false">IF(ISNUMBER(F136),F136/FX_EUR,"")</f>
        <v>38.1122543093526</v>
      </c>
    </row>
    <row r="138" customFormat="false" ht="15" hidden="false" customHeight="true" outlineLevel="0" collapsed="false">
      <c r="A138" s="13" t="s">
        <v>1034</v>
      </c>
      <c r="B138" s="31" t="s">
        <v>1035</v>
      </c>
      <c r="D138" s="33" t="n">
        <f aca="false">Free_Months*Price_Petite</f>
        <v>9900</v>
      </c>
      <c r="E138" s="33" t="n">
        <f aca="false">Free_Months*Price_Moyenne</f>
        <v>19500</v>
      </c>
      <c r="F138" s="33" t="n">
        <f aca="false">Free_Months*Price_Grande</f>
        <v>69500</v>
      </c>
    </row>
    <row r="139" customFormat="false" ht="15" hidden="false" customHeight="true" outlineLevel="0" collapsed="false">
      <c r="A139" s="3" t="s">
        <v>127</v>
      </c>
      <c r="D139" s="32" t="n">
        <f aca="false">IF(ISNUMBER(D138),D138/FX_EUR,"")</f>
        <v>15.0924527065036</v>
      </c>
      <c r="E139" s="32" t="n">
        <f aca="false">IF(ISNUMBER(E138),E138/FX_EUR,"")</f>
        <v>29.727558361295</v>
      </c>
      <c r="F139" s="32" t="n">
        <f aca="false">IF(ISNUMBER(F138),F138/FX_EUR,"")</f>
        <v>105.95206698</v>
      </c>
    </row>
    <row r="141" customFormat="false" ht="15" hidden="false" customHeight="true" outlineLevel="0" collapsed="false">
      <c r="A141" s="28" t="s">
        <v>1036</v>
      </c>
    </row>
    <row r="142" customFormat="false" ht="15" hidden="false" customHeight="true" outlineLevel="0" collapsed="false">
      <c r="A142" s="3" t="s">
        <v>1037</v>
      </c>
    </row>
    <row r="143" customFormat="false" ht="30" hidden="false" customHeight="true" outlineLevel="0" collapsed="false">
      <c r="A143" s="29" t="s">
        <v>246</v>
      </c>
      <c r="B143" s="29" t="s">
        <v>1038</v>
      </c>
      <c r="C143" s="29" t="s">
        <v>724</v>
      </c>
      <c r="D143" s="29" t="s">
        <v>1039</v>
      </c>
      <c r="E143" s="29" t="s">
        <v>1040</v>
      </c>
      <c r="F143" s="29" t="s">
        <v>1041</v>
      </c>
      <c r="G143" s="29" t="s">
        <v>1042</v>
      </c>
      <c r="H143" s="29" t="s">
        <v>1043</v>
      </c>
      <c r="I143" s="29" t="s">
        <v>1044</v>
      </c>
      <c r="J143" s="29" t="s">
        <v>1045</v>
      </c>
      <c r="K143" s="29" t="s">
        <v>1046</v>
      </c>
    </row>
    <row r="144" customFormat="false" ht="15" hidden="false" customHeight="true" outlineLevel="0" collapsed="false">
      <c r="A144" s="13" t="s">
        <v>1047</v>
      </c>
      <c r="B144" s="35" t="n">
        <f aca="false">Yield_Factoring</f>
        <v>0.23</v>
      </c>
      <c r="C144" s="35" t="n">
        <f aca="false">CoF</f>
        <v>0.09</v>
      </c>
      <c r="D144" s="34" t="n">
        <f aca="false">CoR_Factoring*CoR_Mult</f>
        <v>0.015</v>
      </c>
      <c r="E144" s="35" t="n">
        <f aca="false">Servicing</f>
        <v>0.01</v>
      </c>
      <c r="F144" s="34" t="n">
        <f aca="false">B144-C144-D144-E144</f>
        <v>0.115</v>
      </c>
      <c r="G144" s="33" t="n">
        <f aca="false">F144*1000000</f>
        <v>115000</v>
      </c>
      <c r="H144" s="33" t="n">
        <f aca="false">G144*Partner_Share</f>
        <v>57500</v>
      </c>
      <c r="I144" s="33" t="n">
        <f aca="false">G144</f>
        <v>115000</v>
      </c>
      <c r="J144" s="33" t="n">
        <f aca="false">1000000*First_Loss</f>
        <v>100000</v>
      </c>
      <c r="K144" s="33" t="n">
        <f aca="false">1000000*Capital_Ratio</f>
        <v>150000</v>
      </c>
    </row>
    <row r="145" customFormat="false" ht="15" hidden="false" customHeight="true" outlineLevel="0" collapsed="false">
      <c r="A145" s="3" t="s">
        <v>127</v>
      </c>
      <c r="G145" s="32" t="n">
        <f aca="false">IF(ISNUMBER(G144),G144/FX_EUR,"")</f>
        <v>175.316369823022</v>
      </c>
      <c r="H145" s="32" t="n">
        <f aca="false">IF(ISNUMBER(H144),H144/FX_EUR,"")</f>
        <v>87.658184911511</v>
      </c>
      <c r="I145" s="32" t="n">
        <f aca="false">IF(ISNUMBER(I144),I144/FX_EUR,"")</f>
        <v>175.316369823022</v>
      </c>
      <c r="J145" s="32" t="n">
        <f aca="false">IF(ISNUMBER(J144),J144/FX_EUR,"")</f>
        <v>152.44901723741</v>
      </c>
      <c r="K145" s="32" t="n">
        <f aca="false">IF(ISNUMBER(K144),K144/FX_EUR,"")</f>
        <v>228.673525856116</v>
      </c>
    </row>
    <row r="146" customFormat="false" ht="15" hidden="false" customHeight="true" outlineLevel="0" collapsed="false">
      <c r="A146" s="13" t="s">
        <v>249</v>
      </c>
      <c r="B146" s="35" t="n">
        <f aca="false">Yield_Bridge</f>
        <v>0.23</v>
      </c>
      <c r="C146" s="35" t="n">
        <f aca="false">CoF</f>
        <v>0.09</v>
      </c>
      <c r="D146" s="34" t="n">
        <f aca="false">CoR_Bridge*CoR_Mult</f>
        <v>0.02</v>
      </c>
      <c r="E146" s="35" t="n">
        <f aca="false">Servicing</f>
        <v>0.01</v>
      </c>
      <c r="F146" s="34" t="n">
        <f aca="false">B146-C146-D146-E146</f>
        <v>0.11</v>
      </c>
      <c r="G146" s="33" t="n">
        <f aca="false">F146*1000000</f>
        <v>110000</v>
      </c>
      <c r="H146" s="33" t="n">
        <f aca="false">G146*Partner_Share</f>
        <v>55000</v>
      </c>
      <c r="I146" s="33" t="n">
        <f aca="false">G146</f>
        <v>110000</v>
      </c>
      <c r="J146" s="33" t="n">
        <f aca="false">1000000*First_Loss</f>
        <v>100000</v>
      </c>
      <c r="K146" s="33" t="n">
        <f aca="false">1000000*Capital_Ratio</f>
        <v>150000</v>
      </c>
    </row>
    <row r="147" customFormat="false" ht="15" hidden="false" customHeight="true" outlineLevel="0" collapsed="false">
      <c r="A147" s="3" t="s">
        <v>127</v>
      </c>
      <c r="G147" s="32" t="n">
        <f aca="false">IF(ISNUMBER(G146),G146/FX_EUR,"")</f>
        <v>167.693918961151</v>
      </c>
      <c r="H147" s="32" t="n">
        <f aca="false">IF(ISNUMBER(H146),H146/FX_EUR,"")</f>
        <v>83.8469594805757</v>
      </c>
      <c r="I147" s="32" t="n">
        <f aca="false">IF(ISNUMBER(I146),I146/FX_EUR,"")</f>
        <v>167.693918961151</v>
      </c>
      <c r="J147" s="32" t="n">
        <f aca="false">IF(ISNUMBER(J146),J146/FX_EUR,"")</f>
        <v>152.44901723741</v>
      </c>
      <c r="K147" s="32" t="n">
        <f aca="false">IF(ISNUMBER(K146),K146/FX_EUR,"")</f>
        <v>228.673525856116</v>
      </c>
    </row>
    <row r="148" customFormat="false" ht="15" hidden="false" customHeight="true" outlineLevel="0" collapsed="false">
      <c r="A148" s="13" t="s">
        <v>251</v>
      </c>
      <c r="B148" s="35" t="n">
        <f aca="false">Yield_Line</f>
        <v>0.23</v>
      </c>
      <c r="C148" s="35" t="n">
        <f aca="false">CoF</f>
        <v>0.09</v>
      </c>
      <c r="D148" s="34" t="n">
        <f aca="false">CoR_Line*CoR_Mult</f>
        <v>0.045</v>
      </c>
      <c r="E148" s="35" t="n">
        <f aca="false">Servicing</f>
        <v>0.01</v>
      </c>
      <c r="F148" s="34" t="n">
        <f aca="false">B148-C148-D148-E148</f>
        <v>0.085</v>
      </c>
      <c r="G148" s="33" t="n">
        <f aca="false">F148*1000000</f>
        <v>85000</v>
      </c>
      <c r="H148" s="33" t="n">
        <f aca="false">G148*Partner_Share</f>
        <v>42500</v>
      </c>
      <c r="I148" s="33" t="n">
        <f aca="false">G148</f>
        <v>85000</v>
      </c>
      <c r="J148" s="33" t="n">
        <f aca="false">1000000*First_Loss</f>
        <v>100000</v>
      </c>
      <c r="K148" s="33" t="n">
        <f aca="false">1000000*Capital_Ratio</f>
        <v>150000</v>
      </c>
    </row>
    <row r="149" customFormat="false" ht="15" hidden="false" customHeight="true" outlineLevel="0" collapsed="false">
      <c r="A149" s="3" t="s">
        <v>127</v>
      </c>
      <c r="G149" s="32" t="n">
        <f aca="false">IF(ISNUMBER(G148),G148/FX_EUR,"")</f>
        <v>129.581664651799</v>
      </c>
      <c r="H149" s="32" t="n">
        <f aca="false">IF(ISNUMBER(H148),H148/FX_EUR,"")</f>
        <v>64.7908323258994</v>
      </c>
      <c r="I149" s="32" t="n">
        <f aca="false">IF(ISNUMBER(I148),I148/FX_EUR,"")</f>
        <v>129.581664651799</v>
      </c>
      <c r="J149" s="32" t="n">
        <f aca="false">IF(ISNUMBER(J148),J148/FX_EUR,"")</f>
        <v>152.44901723741</v>
      </c>
      <c r="K149" s="32" t="n">
        <f aca="false">IF(ISNUMBER(K148),K148/FX_EUR,"")</f>
        <v>228.673525856116</v>
      </c>
    </row>
    <row r="150" customFormat="false" ht="15" hidden="false" customHeight="true" outlineLevel="0" collapsed="false">
      <c r="A150" s="13" t="s">
        <v>1048</v>
      </c>
      <c r="B150" s="35" t="n">
        <f aca="false">Yield_Term</f>
        <v>0.22</v>
      </c>
      <c r="C150" s="35" t="n">
        <f aca="false">CoF</f>
        <v>0.09</v>
      </c>
      <c r="D150" s="34" t="n">
        <f aca="false">CoR_Term*CoR_Mult</f>
        <v>0.04</v>
      </c>
      <c r="E150" s="35" t="n">
        <f aca="false">Servicing</f>
        <v>0.01</v>
      </c>
      <c r="F150" s="34" t="n">
        <f aca="false">B150-C150-D150-E150</f>
        <v>0.08</v>
      </c>
      <c r="G150" s="33" t="n">
        <f aca="false">F150*1000000</f>
        <v>80000</v>
      </c>
      <c r="H150" s="33" t="n">
        <f aca="false">G150*Partner_Share</f>
        <v>40000</v>
      </c>
      <c r="I150" s="33" t="n">
        <f aca="false">G150</f>
        <v>80000</v>
      </c>
      <c r="J150" s="33" t="n">
        <f aca="false">1000000*First_Loss</f>
        <v>100000</v>
      </c>
      <c r="K150" s="33" t="n">
        <f aca="false">1000000*Capital_Ratio</f>
        <v>150000</v>
      </c>
    </row>
    <row r="151" customFormat="false" ht="15" hidden="false" customHeight="true" outlineLevel="0" collapsed="false">
      <c r="A151" s="3" t="s">
        <v>127</v>
      </c>
      <c r="G151" s="32" t="n">
        <f aca="false">IF(ISNUMBER(G150),G150/FX_EUR,"")</f>
        <v>121.959213789928</v>
      </c>
      <c r="H151" s="32" t="n">
        <f aca="false">IF(ISNUMBER(H150),H150/FX_EUR,"")</f>
        <v>60.9796068949642</v>
      </c>
      <c r="I151" s="32" t="n">
        <f aca="false">IF(ISNUMBER(I150),I150/FX_EUR,"")</f>
        <v>121.959213789928</v>
      </c>
      <c r="J151" s="32" t="n">
        <f aca="false">IF(ISNUMBER(J150),J150/FX_EUR,"")</f>
        <v>152.44901723741</v>
      </c>
      <c r="K151" s="32" t="n">
        <f aca="false">IF(ISNUMBER(K150),K150/FX_EUR,"")</f>
        <v>228.673525856116</v>
      </c>
    </row>
    <row r="152" customFormat="false" ht="15" hidden="false" customHeight="true" outlineLevel="0" collapsed="false">
      <c r="A152" s="13" t="s">
        <v>1049</v>
      </c>
      <c r="B152" s="35" t="n">
        <f aca="false">Yield_Advance</f>
        <v>0.23</v>
      </c>
      <c r="C152" s="35" t="n">
        <f aca="false">CoF</f>
        <v>0.09</v>
      </c>
      <c r="D152" s="34" t="n">
        <f aca="false">CoR_Advance*CoR_Mult</f>
        <v>0.015</v>
      </c>
      <c r="E152" s="35" t="n">
        <f aca="false">Servicing</f>
        <v>0.01</v>
      </c>
      <c r="F152" s="34" t="n">
        <f aca="false">B152-C152-D152-E152</f>
        <v>0.115</v>
      </c>
      <c r="G152" s="33" t="n">
        <f aca="false">F152*1000000</f>
        <v>115000</v>
      </c>
      <c r="H152" s="33" t="n">
        <f aca="false">G152*Partner_Share</f>
        <v>57500</v>
      </c>
      <c r="I152" s="33" t="n">
        <f aca="false">G152</f>
        <v>115000</v>
      </c>
      <c r="J152" s="33" t="n">
        <f aca="false">1000000*First_Loss</f>
        <v>100000</v>
      </c>
      <c r="K152" s="33" t="n">
        <f aca="false">1000000*Capital_Ratio</f>
        <v>150000</v>
      </c>
    </row>
    <row r="153" customFormat="false" ht="15" hidden="false" customHeight="true" outlineLevel="0" collapsed="false">
      <c r="A153" s="3" t="s">
        <v>127</v>
      </c>
      <c r="G153" s="32" t="n">
        <f aca="false">IF(ISNUMBER(G152),G152/FX_EUR,"")</f>
        <v>175.316369823022</v>
      </c>
      <c r="H153" s="32" t="n">
        <f aca="false">IF(ISNUMBER(H152),H152/FX_EUR,"")</f>
        <v>87.658184911511</v>
      </c>
      <c r="I153" s="32" t="n">
        <f aca="false">IF(ISNUMBER(I152),I152/FX_EUR,"")</f>
        <v>175.316369823022</v>
      </c>
      <c r="J153" s="32" t="n">
        <f aca="false">IF(ISNUMBER(J152),J152/FX_EUR,"")</f>
        <v>152.44901723741</v>
      </c>
      <c r="K153" s="32" t="n">
        <f aca="false">IF(ISNUMBER(K152),K152/FX_EUR,"")</f>
        <v>228.673525856116</v>
      </c>
    </row>
    <row r="154" customFormat="false" ht="15" hidden="false" customHeight="true" outlineLevel="0" collapsed="false">
      <c r="A154" s="3" t="s">
        <v>1050</v>
      </c>
    </row>
    <row r="156" customFormat="false" ht="15" hidden="false" customHeight="true" outlineLevel="0" collapsed="false">
      <c r="A156" s="28" t="s">
        <v>1051</v>
      </c>
    </row>
    <row r="157" customFormat="false" ht="15" hidden="false" customHeight="true" outlineLevel="0" collapsed="false">
      <c r="A157" s="3" t="s">
        <v>1052</v>
      </c>
    </row>
    <row r="158" customFormat="false" ht="30" hidden="false" customHeight="true" outlineLevel="0" collapsed="false">
      <c r="A158" s="29" t="s">
        <v>217</v>
      </c>
      <c r="B158" s="29" t="s">
        <v>182</v>
      </c>
      <c r="C158" s="29" t="s">
        <v>124</v>
      </c>
      <c r="D158" s="29" t="s">
        <v>1053</v>
      </c>
    </row>
    <row r="159" customFormat="false" ht="15" hidden="false" customHeight="true" outlineLevel="0" collapsed="false">
      <c r="A159" s="11" t="s">
        <v>1054</v>
      </c>
      <c r="B159" s="12"/>
      <c r="C159" s="12"/>
      <c r="D159" s="12"/>
      <c r="E159" s="12"/>
      <c r="F159" s="12"/>
      <c r="G159" s="12"/>
      <c r="H159" s="12"/>
      <c r="I159" s="12"/>
      <c r="J159" s="12"/>
      <c r="K159" s="12"/>
      <c r="L159" s="12"/>
      <c r="M159" s="12"/>
      <c r="N159" s="12"/>
    </row>
    <row r="160" customFormat="false" ht="15" hidden="false" customHeight="true" outlineLevel="0" collapsed="false">
      <c r="A160" s="13" t="s">
        <v>1055</v>
      </c>
      <c r="B160" s="31" t="s">
        <v>104</v>
      </c>
      <c r="C160" s="33" t="n">
        <f aca="false">Price_Petite</f>
        <v>9900</v>
      </c>
      <c r="D160" s="33" t="n">
        <f aca="false">C160</f>
        <v>9900</v>
      </c>
    </row>
    <row r="161" customFormat="false" ht="15" hidden="false" customHeight="true" outlineLevel="0" collapsed="false">
      <c r="A161" s="3" t="s">
        <v>127</v>
      </c>
      <c r="D161" s="32" t="n">
        <f aca="false">IF(ISNUMBER(D160),D160/FX_EUR,"")</f>
        <v>15.0924527065036</v>
      </c>
    </row>
    <row r="162" customFormat="false" ht="15" hidden="false" customHeight="true" outlineLevel="0" collapsed="false">
      <c r="A162" s="13" t="s">
        <v>1056</v>
      </c>
      <c r="B162" s="31" t="s">
        <v>104</v>
      </c>
      <c r="C162" s="33" t="n">
        <f aca="false">Price_Moyenne</f>
        <v>19500</v>
      </c>
      <c r="D162" s="33" t="n">
        <f aca="false">C162</f>
        <v>19500</v>
      </c>
    </row>
    <row r="163" customFormat="false" ht="15" hidden="false" customHeight="true" outlineLevel="0" collapsed="false">
      <c r="A163" s="3" t="s">
        <v>127</v>
      </c>
      <c r="D163" s="32" t="n">
        <f aca="false">IF(ISNUMBER(D162),D162/FX_EUR,"")</f>
        <v>29.727558361295</v>
      </c>
    </row>
    <row r="164" customFormat="false" ht="15" hidden="false" customHeight="true" outlineLevel="0" collapsed="false">
      <c r="A164" s="13" t="s">
        <v>1057</v>
      </c>
      <c r="B164" s="31" t="s">
        <v>104</v>
      </c>
      <c r="C164" s="33" t="n">
        <f aca="false">Price_Grande</f>
        <v>69500</v>
      </c>
      <c r="D164" s="33" t="n">
        <f aca="false">C164</f>
        <v>69500</v>
      </c>
    </row>
    <row r="165" customFormat="false" ht="15" hidden="false" customHeight="true" outlineLevel="0" collapsed="false">
      <c r="A165" s="3" t="s">
        <v>127</v>
      </c>
      <c r="D165" s="32" t="n">
        <f aca="false">IF(ISNUMBER(D164),D164/FX_EUR,"")</f>
        <v>105.95206698</v>
      </c>
    </row>
    <row r="166" customFormat="false" ht="15" hidden="false" customHeight="true" outlineLevel="0" collapsed="false">
      <c r="A166" s="13" t="s">
        <v>184</v>
      </c>
      <c r="B166" s="31" t="s">
        <v>104</v>
      </c>
      <c r="C166" s="33" t="n">
        <f aca="false">Extra_User_Fee</f>
        <v>2500</v>
      </c>
      <c r="D166" s="33" t="n">
        <f aca="false">C166</f>
        <v>2500</v>
      </c>
    </row>
    <row r="167" customFormat="false" ht="15" hidden="false" customHeight="true" outlineLevel="0" collapsed="false">
      <c r="A167" s="3" t="s">
        <v>127</v>
      </c>
      <c r="D167" s="32" t="n">
        <f aca="false">IF(ISNUMBER(D166),D166/FX_EUR,"")</f>
        <v>3.81122543093526</v>
      </c>
    </row>
    <row r="168" customFormat="false" ht="15" hidden="false" customHeight="true" outlineLevel="0" collapsed="false">
      <c r="A168" s="13" t="s">
        <v>1058</v>
      </c>
      <c r="B168" s="31" t="s">
        <v>104</v>
      </c>
      <c r="C168" s="33" t="n">
        <f aca="false">Extra_Card_Fee</f>
        <v>0</v>
      </c>
      <c r="D168" s="33" t="n">
        <f aca="false">C168</f>
        <v>0</v>
      </c>
    </row>
    <row r="169" customFormat="false" ht="15" hidden="false" customHeight="true" outlineLevel="0" collapsed="false">
      <c r="A169" s="3" t="s">
        <v>127</v>
      </c>
      <c r="D169" s="32" t="n">
        <f aca="false">IF(ISNUMBER(D168),D168/FX_EUR,"")</f>
        <v>0</v>
      </c>
    </row>
    <row r="170" customFormat="false" ht="15" hidden="false" customHeight="true" outlineLevel="0" collapsed="false">
      <c r="A170" s="13" t="s">
        <v>1059</v>
      </c>
      <c r="B170" s="31" t="s">
        <v>1060</v>
      </c>
      <c r="C170" s="33" t="n">
        <f aca="false">Card_Fee</f>
        <v>6500</v>
      </c>
      <c r="D170" s="33" t="n">
        <f aca="false">C170</f>
        <v>6500</v>
      </c>
    </row>
    <row r="171" customFormat="false" ht="15" hidden="false" customHeight="true" outlineLevel="0" collapsed="false">
      <c r="A171" s="3" t="s">
        <v>127</v>
      </c>
      <c r="D171" s="32" t="n">
        <f aca="false">IF(ISNUMBER(D170),D170/FX_EUR,"")</f>
        <v>9.90918612043168</v>
      </c>
    </row>
    <row r="172" customFormat="false" ht="15" hidden="false" customHeight="true" outlineLevel="0" collapsed="false">
      <c r="A172" s="13" t="s">
        <v>189</v>
      </c>
      <c r="B172" s="31" t="s">
        <v>190</v>
      </c>
      <c r="C172" s="33" t="n">
        <f aca="false">Overage_Fee</f>
        <v>450</v>
      </c>
      <c r="D172" s="33" t="n">
        <f aca="false">C172</f>
        <v>450</v>
      </c>
    </row>
    <row r="173" customFormat="false" ht="15" hidden="false" customHeight="true" outlineLevel="0" collapsed="false">
      <c r="A173" s="3" t="s">
        <v>127</v>
      </c>
      <c r="D173" s="32" t="n">
        <f aca="false">IF(ISNUMBER(D172),D172/FX_EUR,"")</f>
        <v>0.686020577568347</v>
      </c>
    </row>
    <row r="174" customFormat="false" ht="15" hidden="false" customHeight="true" outlineLevel="0" collapsed="false">
      <c r="A174" s="13" t="s">
        <v>192</v>
      </c>
      <c r="B174" s="31" t="s">
        <v>193</v>
      </c>
      <c r="C174" s="34" t="n">
        <f aca="false">MM_Fee</f>
        <v>0.0125</v>
      </c>
    </row>
    <row r="175" customFormat="false" ht="15" hidden="false" customHeight="true" outlineLevel="0" collapsed="false">
      <c r="A175" s="13" t="s">
        <v>195</v>
      </c>
      <c r="B175" s="31" t="s">
        <v>190</v>
      </c>
      <c r="C175" s="33" t="n">
        <f aca="false">MM_Fee_Cap</f>
        <v>8500</v>
      </c>
      <c r="D175" s="33" t="n">
        <f aca="false">C175</f>
        <v>8500</v>
      </c>
    </row>
    <row r="176" customFormat="false" ht="15" hidden="false" customHeight="true" outlineLevel="0" collapsed="false">
      <c r="A176" s="3" t="s">
        <v>127</v>
      </c>
      <c r="D176" s="32" t="n">
        <f aca="false">IF(ISNUMBER(D175),D175/FX_EUR,"")</f>
        <v>12.9581664651799</v>
      </c>
    </row>
    <row r="177" customFormat="false" ht="15" hidden="false" customHeight="true" outlineLevel="0" collapsed="false">
      <c r="A177" s="13" t="s">
        <v>1061</v>
      </c>
      <c r="B177" s="31" t="s">
        <v>203</v>
      </c>
      <c r="C177" s="33" t="n">
        <f aca="false">Payslip_Fee</f>
        <v>900</v>
      </c>
      <c r="D177" s="33" t="n">
        <f aca="false">C177</f>
        <v>900</v>
      </c>
    </row>
    <row r="178" customFormat="false" ht="15" hidden="false" customHeight="true" outlineLevel="0" collapsed="false">
      <c r="A178" s="3" t="s">
        <v>127</v>
      </c>
      <c r="D178" s="32" t="n">
        <f aca="false">IF(ISNUMBER(D177),D177/FX_EUR,"")</f>
        <v>1.37204115513669</v>
      </c>
    </row>
    <row r="179" customFormat="false" ht="15" hidden="false" customHeight="true" outlineLevel="0" collapsed="false">
      <c r="A179" s="13" t="s">
        <v>200</v>
      </c>
      <c r="B179" s="31" t="s">
        <v>193</v>
      </c>
      <c r="C179" s="34" t="n">
        <f aca="false">Intl_Fee</f>
        <v>0.038</v>
      </c>
    </row>
    <row r="180" customFormat="false" ht="15" hidden="false" customHeight="true" outlineLevel="0" collapsed="false">
      <c r="A180" s="13" t="s">
        <v>1062</v>
      </c>
      <c r="B180" s="31" t="s">
        <v>235</v>
      </c>
      <c r="C180" s="34" t="n">
        <f aca="false">FX_Fee</f>
        <v>0.03</v>
      </c>
    </row>
    <row r="181" customFormat="false" ht="15" hidden="false" customHeight="true" outlineLevel="0" collapsed="false">
      <c r="A181" s="13" t="s">
        <v>1063</v>
      </c>
      <c r="B181" s="31" t="s">
        <v>193</v>
      </c>
      <c r="C181" s="34" t="n">
        <f aca="false">PL_Fee</f>
        <v>0.012</v>
      </c>
    </row>
    <row r="182" customFormat="false" ht="15" hidden="false" customHeight="true" outlineLevel="0" collapsed="false">
      <c r="A182" s="13" t="s">
        <v>1064</v>
      </c>
      <c r="B182" s="31" t="s">
        <v>427</v>
      </c>
      <c r="C182" s="35" t="n">
        <f aca="false">Yield_Line</f>
        <v>0.23</v>
      </c>
    </row>
    <row r="183" customFormat="false" ht="15" hidden="false" customHeight="true" outlineLevel="0" collapsed="false">
      <c r="A183" s="11" t="s">
        <v>833</v>
      </c>
      <c r="B183" s="12"/>
      <c r="C183" s="12"/>
      <c r="D183" s="12"/>
      <c r="E183" s="12"/>
      <c r="F183" s="12"/>
      <c r="G183" s="12"/>
      <c r="H183" s="12"/>
      <c r="I183" s="12"/>
      <c r="J183" s="12"/>
      <c r="K183" s="12"/>
      <c r="L183" s="12"/>
      <c r="M183" s="12"/>
      <c r="N183" s="12"/>
    </row>
    <row r="184" customFormat="false" ht="15" hidden="false" customHeight="true" outlineLevel="0" collapsed="false">
      <c r="A184" s="13" t="s">
        <v>1065</v>
      </c>
      <c r="B184" s="31" t="s">
        <v>810</v>
      </c>
      <c r="C184" s="33" t="n">
        <f aca="false">IF(Maak_Option=1,Maak_Lease_EUR,0)</f>
        <v>70000</v>
      </c>
      <c r="D184" s="33" t="n">
        <f aca="false">C184*FX_EUR</f>
        <v>45916990</v>
      </c>
    </row>
    <row r="185" customFormat="false" ht="15" hidden="false" customHeight="true" outlineLevel="0" collapsed="false">
      <c r="A185" s="3" t="s">
        <v>127</v>
      </c>
      <c r="D185" s="32" t="n">
        <f aca="false">IF(ISNUMBER(D184),D184/FX_EUR,"")</f>
        <v>70000</v>
      </c>
    </row>
    <row r="186" customFormat="false" ht="15" hidden="false" customHeight="true" outlineLevel="0" collapsed="false">
      <c r="A186" s="13" t="s">
        <v>1066</v>
      </c>
      <c r="B186" s="31" t="s">
        <v>805</v>
      </c>
      <c r="C186" s="33" t="n">
        <f aca="false">Maak_Maint_USD</f>
        <v>40000</v>
      </c>
      <c r="D186" s="33" t="n">
        <f aca="false">C186*FX_USD</f>
        <v>23200000</v>
      </c>
    </row>
    <row r="187" customFormat="false" ht="15" hidden="false" customHeight="true" outlineLevel="0" collapsed="false">
      <c r="A187" s="3" t="s">
        <v>127</v>
      </c>
      <c r="D187" s="32" t="n">
        <f aca="false">IF(ISNUMBER(D186),D186/FX_EUR,"")</f>
        <v>35368.1719990792</v>
      </c>
    </row>
    <row r="188" customFormat="false" ht="15" hidden="false" customHeight="true" outlineLevel="0" collapsed="false">
      <c r="A188" s="13" t="s">
        <v>834</v>
      </c>
      <c r="B188" s="31" t="s">
        <v>802</v>
      </c>
      <c r="C188" s="33" t="n">
        <f aca="false">INDEX(Cloud_USD,1,1)</f>
        <v>3000</v>
      </c>
      <c r="D188" s="33" t="n">
        <f aca="false">C188*FX_USD</f>
        <v>1740000</v>
      </c>
    </row>
    <row r="189" customFormat="false" ht="15" hidden="false" customHeight="true" outlineLevel="0" collapsed="false">
      <c r="A189" s="3" t="s">
        <v>127</v>
      </c>
      <c r="D189" s="32" t="n">
        <f aca="false">IF(ISNUMBER(D188),D188/FX_EUR,"")</f>
        <v>2652.61289993094</v>
      </c>
    </row>
    <row r="190" customFormat="false" ht="15" hidden="false" customHeight="true" outlineLevel="0" collapsed="false">
      <c r="A190" s="13" t="s">
        <v>841</v>
      </c>
      <c r="B190" s="31" t="s">
        <v>805</v>
      </c>
      <c r="C190" s="33" t="n">
        <f aca="false">INDEX(Monitoring_USD,1,1)</f>
        <v>9000</v>
      </c>
      <c r="D190" s="33" t="n">
        <f aca="false">C190*FX_USD</f>
        <v>5220000</v>
      </c>
    </row>
    <row r="191" customFormat="false" ht="15" hidden="false" customHeight="true" outlineLevel="0" collapsed="false">
      <c r="A191" s="3" t="s">
        <v>127</v>
      </c>
      <c r="D191" s="32" t="n">
        <f aca="false">IF(ISNUMBER(D190),D190/FX_EUR,"")</f>
        <v>7957.83869979282</v>
      </c>
    </row>
    <row r="192" customFormat="false" ht="15" hidden="false" customHeight="true" outlineLevel="0" collapsed="false">
      <c r="A192" s="13" t="s">
        <v>843</v>
      </c>
      <c r="B192" s="31" t="s">
        <v>839</v>
      </c>
      <c r="C192" s="33" t="n">
        <f aca="false">INDEX(Freelance,1,1)</f>
        <v>7900000</v>
      </c>
      <c r="D192" s="33" t="n">
        <f aca="false">C192</f>
        <v>7900000</v>
      </c>
    </row>
    <row r="193" customFormat="false" ht="15" hidden="false" customHeight="true" outlineLevel="0" collapsed="false">
      <c r="A193" s="3" t="s">
        <v>127</v>
      </c>
      <c r="D193" s="32" t="n">
        <f aca="false">IF(ISNUMBER(D192),D192/FX_EUR,"")</f>
        <v>12043.4723617554</v>
      </c>
    </row>
    <row r="194" customFormat="false" ht="15" hidden="false" customHeight="true" outlineLevel="0" collapsed="false">
      <c r="A194" s="13" t="s">
        <v>1067</v>
      </c>
      <c r="B194" s="31" t="s">
        <v>774</v>
      </c>
      <c r="C194" s="33" t="n">
        <f aca="false">Laptop_EUR</f>
        <v>500</v>
      </c>
      <c r="D194" s="33" t="n">
        <f aca="false">C194*FX_EUR</f>
        <v>327978.5</v>
      </c>
    </row>
    <row r="195" customFormat="false" ht="15" hidden="false" customHeight="true" outlineLevel="0" collapsed="false">
      <c r="A195" s="3" t="s">
        <v>127</v>
      </c>
      <c r="D195" s="32" t="n">
        <f aca="false">IF(ISNUMBER(D194),D194/FX_EUR,"")</f>
        <v>500</v>
      </c>
    </row>
    <row r="196" customFormat="false" ht="15" hidden="false" customHeight="true" outlineLevel="0" collapsed="false">
      <c r="A196" s="13" t="s">
        <v>1068</v>
      </c>
      <c r="B196" s="31" t="s">
        <v>777</v>
      </c>
      <c r="C196" s="33" t="n">
        <f aca="false">Laptop_Dev_USD</f>
        <v>2000</v>
      </c>
      <c r="D196" s="33" t="n">
        <f aca="false">C196*FX_USD</f>
        <v>1160000</v>
      </c>
    </row>
    <row r="197" customFormat="false" ht="15" hidden="false" customHeight="true" outlineLevel="0" collapsed="false">
      <c r="A197" s="3" t="s">
        <v>127</v>
      </c>
      <c r="D197" s="32" t="n">
        <f aca="false">IF(ISNUMBER(D196),D196/FX_EUR,"")</f>
        <v>1768.40859995396</v>
      </c>
    </row>
    <row r="198" customFormat="false" ht="15" hidden="false" customHeight="true" outlineLevel="0" collapsed="false">
      <c r="A198" s="13" t="s">
        <v>1069</v>
      </c>
      <c r="B198" s="31" t="s">
        <v>1070</v>
      </c>
      <c r="C198" s="33" t="n">
        <f aca="false">Phone_Cost</f>
        <v>5000</v>
      </c>
      <c r="D198" s="33" t="n">
        <f aca="false">C198</f>
        <v>5000</v>
      </c>
    </row>
    <row r="199" customFormat="false" ht="15" hidden="false" customHeight="true" outlineLevel="0" collapsed="false">
      <c r="A199" s="3" t="s">
        <v>127</v>
      </c>
      <c r="D199" s="32" t="n">
        <f aca="false">IF(ISNUMBER(D198),D198/FX_EUR,"")</f>
        <v>7.62245086187052</v>
      </c>
    </row>
    <row r="200" customFormat="false" ht="15" hidden="false" customHeight="true" outlineLevel="0" collapsed="false">
      <c r="A200" s="13" t="s">
        <v>819</v>
      </c>
      <c r="B200" s="31" t="s">
        <v>805</v>
      </c>
      <c r="C200" s="33" t="n">
        <f aca="false">Tech_Audit_USD</f>
        <v>10000</v>
      </c>
      <c r="D200" s="33" t="n">
        <f aca="false">C200*FX_USD</f>
        <v>5800000</v>
      </c>
    </row>
    <row r="201" customFormat="false" ht="15" hidden="false" customHeight="true" outlineLevel="0" collapsed="false">
      <c r="A201" s="3" t="s">
        <v>127</v>
      </c>
      <c r="D201" s="32" t="n">
        <f aca="false">IF(ISNUMBER(D200),D200/FX_EUR,"")</f>
        <v>8842.0429997698</v>
      </c>
    </row>
    <row r="202" customFormat="false" ht="15" hidden="false" customHeight="true" outlineLevel="0" collapsed="false">
      <c r="A202" s="13" t="s">
        <v>1071</v>
      </c>
      <c r="B202" s="31" t="s">
        <v>802</v>
      </c>
      <c r="C202" s="33" t="n">
        <f aca="false">Website_USD</f>
        <v>25</v>
      </c>
      <c r="D202" s="33" t="n">
        <f aca="false">C202*FX_USD</f>
        <v>14500</v>
      </c>
    </row>
    <row r="203" customFormat="false" ht="15" hidden="false" customHeight="true" outlineLevel="0" collapsed="false">
      <c r="A203" s="3" t="s">
        <v>127</v>
      </c>
      <c r="D203" s="32" t="n">
        <f aca="false">IF(ISNUMBER(D202),D202/FX_EUR,"")</f>
        <v>22.1051074994245</v>
      </c>
    </row>
    <row r="204" customFormat="false" ht="15" hidden="false" customHeight="true" outlineLevel="0" collapsed="false">
      <c r="A204" s="13" t="s">
        <v>804</v>
      </c>
      <c r="B204" s="31" t="s">
        <v>805</v>
      </c>
      <c r="C204" s="33" t="n">
        <f aca="false">Domain_USD</f>
        <v>20</v>
      </c>
      <c r="D204" s="33" t="n">
        <f aca="false">C204*FX_USD</f>
        <v>11600</v>
      </c>
    </row>
    <row r="205" customFormat="false" ht="15" hidden="false" customHeight="true" outlineLevel="0" collapsed="false">
      <c r="A205" s="3" t="s">
        <v>127</v>
      </c>
      <c r="D205" s="32" t="n">
        <f aca="false">IF(ISNUMBER(D204),D204/FX_EUR,"")</f>
        <v>17.6840859995396</v>
      </c>
    </row>
    <row r="206" customFormat="false" ht="15" hidden="false" customHeight="true" outlineLevel="0" collapsed="false">
      <c r="A206" s="13" t="s">
        <v>795</v>
      </c>
      <c r="B206" s="31" t="s">
        <v>796</v>
      </c>
      <c r="C206" s="33" t="n">
        <f aca="false">Claude_USD</f>
        <v>25</v>
      </c>
      <c r="D206" s="33" t="n">
        <f aca="false">C206*FX_USD</f>
        <v>14500</v>
      </c>
    </row>
    <row r="207" customFormat="false" ht="15" hidden="false" customHeight="true" outlineLevel="0" collapsed="false">
      <c r="A207" s="3" t="s">
        <v>127</v>
      </c>
      <c r="D207" s="32" t="n">
        <f aca="false">IF(ISNUMBER(D206),D206/FX_EUR,"")</f>
        <v>22.1051074994245</v>
      </c>
    </row>
    <row r="208" customFormat="false" ht="15" hidden="false" customHeight="true" outlineLevel="0" collapsed="false">
      <c r="A208" s="13" t="s">
        <v>1072</v>
      </c>
      <c r="B208" s="31" t="s">
        <v>820</v>
      </c>
      <c r="C208" s="33" t="n">
        <f aca="false">Proc_Setup_USD</f>
        <v>50000</v>
      </c>
      <c r="D208" s="33" t="n">
        <f aca="false">C208*FX_USD</f>
        <v>29000000</v>
      </c>
    </row>
    <row r="209" customFormat="false" ht="15" hidden="false" customHeight="true" outlineLevel="0" collapsed="false">
      <c r="A209" s="3" t="s">
        <v>127</v>
      </c>
      <c r="D209" s="32" t="n">
        <f aca="false">IF(ISNUMBER(D208),D208/FX_EUR,"")</f>
        <v>44210.214998849</v>
      </c>
    </row>
    <row r="210" customFormat="false" ht="15" hidden="false" customHeight="true" outlineLevel="0" collapsed="false">
      <c r="A210" s="13" t="s">
        <v>845</v>
      </c>
      <c r="B210" s="31" t="s">
        <v>802</v>
      </c>
      <c r="C210" s="33" t="n">
        <f aca="false">INDEX(Proc_Min_USD,1,1)</f>
        <v>5000</v>
      </c>
      <c r="D210" s="33" t="n">
        <f aca="false">C210*FX_USD</f>
        <v>2900000</v>
      </c>
    </row>
    <row r="211" customFormat="false" ht="15" hidden="false" customHeight="true" outlineLevel="0" collapsed="false">
      <c r="A211" s="3" t="s">
        <v>127</v>
      </c>
      <c r="D211" s="32" t="n">
        <f aca="false">IF(ISNUMBER(D210),D210/FX_EUR,"")</f>
        <v>4421.0214998849</v>
      </c>
    </row>
    <row r="212" customFormat="false" ht="15" hidden="false" customHeight="true" outlineLevel="0" collapsed="false">
      <c r="A212" s="11" t="s">
        <v>1073</v>
      </c>
      <c r="B212" s="12"/>
      <c r="C212" s="12"/>
      <c r="D212" s="12"/>
      <c r="E212" s="12"/>
      <c r="F212" s="12"/>
      <c r="G212" s="12"/>
      <c r="H212" s="12"/>
      <c r="I212" s="12"/>
      <c r="J212" s="12"/>
      <c r="K212" s="12"/>
      <c r="L212" s="12"/>
      <c r="M212" s="12"/>
      <c r="N212" s="12"/>
    </row>
    <row r="213" customFormat="false" ht="15" hidden="false" customHeight="true" outlineLevel="0" collapsed="false">
      <c r="A213" s="13" t="s">
        <v>1074</v>
      </c>
      <c r="B213" s="31" t="s">
        <v>77</v>
      </c>
      <c r="C213" s="33" t="n">
        <f aca="false">Bank_Setup_SN</f>
        <v>15000000</v>
      </c>
      <c r="D213" s="33" t="n">
        <f aca="false">C213</f>
        <v>15000000</v>
      </c>
    </row>
    <row r="214" customFormat="false" ht="15" hidden="false" customHeight="true" outlineLevel="0" collapsed="false">
      <c r="A214" s="3" t="s">
        <v>127</v>
      </c>
      <c r="D214" s="32" t="n">
        <f aca="false">IF(ISNUMBER(D213),D213/FX_EUR,"")</f>
        <v>22867.3525856116</v>
      </c>
    </row>
    <row r="215" customFormat="false" ht="15" hidden="false" customHeight="true" outlineLevel="0" collapsed="false">
      <c r="A215" s="13" t="s">
        <v>854</v>
      </c>
      <c r="B215" s="31" t="s">
        <v>104</v>
      </c>
      <c r="C215" s="33" t="n">
        <f aca="false">INDEX(Bank_Min_SN,1,1)</f>
        <v>1500000</v>
      </c>
      <c r="D215" s="33" t="n">
        <f aca="false">C215</f>
        <v>1500000</v>
      </c>
    </row>
    <row r="216" customFormat="false" ht="15" hidden="false" customHeight="true" outlineLevel="0" collapsed="false">
      <c r="A216" s="3" t="s">
        <v>127</v>
      </c>
      <c r="D216" s="32" t="n">
        <f aca="false">IF(ISNUMBER(D215),D215/FX_EUR,"")</f>
        <v>2286.73525856116</v>
      </c>
    </row>
    <row r="217" customFormat="false" ht="15" hidden="false" customHeight="true" outlineLevel="0" collapsed="false">
      <c r="A217" s="13" t="s">
        <v>1075</v>
      </c>
      <c r="B217" s="31" t="s">
        <v>77</v>
      </c>
      <c r="C217" s="33" t="n">
        <f aca="false">Bank_Setup_CI</f>
        <v>15000000</v>
      </c>
      <c r="D217" s="33" t="n">
        <f aca="false">C217</f>
        <v>15000000</v>
      </c>
    </row>
    <row r="218" customFormat="false" ht="15" hidden="false" customHeight="true" outlineLevel="0" collapsed="false">
      <c r="A218" s="3" t="s">
        <v>127</v>
      </c>
      <c r="D218" s="32" t="n">
        <f aca="false">IF(ISNUMBER(D217),D217/FX_EUR,"")</f>
        <v>22867.3525856116</v>
      </c>
    </row>
    <row r="219" customFormat="false" ht="15" hidden="false" customHeight="true" outlineLevel="0" collapsed="false">
      <c r="A219" s="13" t="s">
        <v>1076</v>
      </c>
      <c r="B219" s="31" t="s">
        <v>104</v>
      </c>
      <c r="C219" s="33" t="n">
        <f aca="false">INDEX(Bank_Min_CI,1,2)</f>
        <v>1500000</v>
      </c>
      <c r="D219" s="33" t="n">
        <f aca="false">C219</f>
        <v>1500000</v>
      </c>
    </row>
    <row r="220" customFormat="false" ht="15" hidden="false" customHeight="true" outlineLevel="0" collapsed="false">
      <c r="A220" s="3" t="s">
        <v>127</v>
      </c>
      <c r="D220" s="32" t="n">
        <f aca="false">IF(ISNUMBER(D219),D219/FX_EUR,"")</f>
        <v>2286.73525856116</v>
      </c>
    </row>
    <row r="221" customFormat="false" ht="15" hidden="false" customHeight="true" outlineLevel="0" collapsed="false">
      <c r="A221" s="13" t="s">
        <v>1077</v>
      </c>
      <c r="B221" s="31" t="s">
        <v>77</v>
      </c>
      <c r="C221" s="33" t="n">
        <f aca="false">SFD_Setup</f>
        <v>5000000</v>
      </c>
      <c r="D221" s="33" t="n">
        <f aca="false">C221</f>
        <v>5000000</v>
      </c>
    </row>
    <row r="222" customFormat="false" ht="15" hidden="false" customHeight="true" outlineLevel="0" collapsed="false">
      <c r="A222" s="3" t="s">
        <v>127</v>
      </c>
      <c r="D222" s="32" t="n">
        <f aca="false">IF(ISNUMBER(D221),D221/FX_EUR,"")</f>
        <v>7622.45086187052</v>
      </c>
    </row>
    <row r="223" customFormat="false" ht="15" hidden="false" customHeight="true" outlineLevel="0" collapsed="false">
      <c r="A223" s="13" t="s">
        <v>1078</v>
      </c>
      <c r="B223" s="31" t="s">
        <v>839</v>
      </c>
      <c r="C223" s="33" t="n">
        <f aca="false">INDEX(SFD_Annual,1,2)</f>
        <v>3000000</v>
      </c>
      <c r="D223" s="33" t="n">
        <f aca="false">C223</f>
        <v>3000000</v>
      </c>
    </row>
    <row r="224" customFormat="false" ht="15" hidden="false" customHeight="true" outlineLevel="0" collapsed="false">
      <c r="A224" s="3" t="s">
        <v>127</v>
      </c>
      <c r="D224" s="32" t="n">
        <f aca="false">IF(ISNUMBER(D223),D223/FX_EUR,"")</f>
        <v>4573.47051712231</v>
      </c>
    </row>
    <row r="225" customFormat="false" ht="15" hidden="false" customHeight="true" outlineLevel="0" collapsed="false">
      <c r="A225" s="13" t="s">
        <v>1079</v>
      </c>
      <c r="B225" s="31" t="s">
        <v>77</v>
      </c>
      <c r="C225" s="33" t="n">
        <f aca="false">Card_Collateral</f>
        <v>30000000</v>
      </c>
      <c r="D225" s="33" t="n">
        <f aca="false">C225</f>
        <v>30000000</v>
      </c>
    </row>
    <row r="226" customFormat="false" ht="15" hidden="false" customHeight="true" outlineLevel="0" collapsed="false">
      <c r="A226" s="3" t="s">
        <v>127</v>
      </c>
      <c r="D226" s="32" t="n">
        <f aca="false">IF(ISNUMBER(D225),D225/FX_EUR,"")</f>
        <v>45734.7051712231</v>
      </c>
    </row>
    <row r="227" customFormat="false" ht="15" hidden="false" customHeight="true" outlineLevel="0" collapsed="false">
      <c r="A227" s="11" t="s">
        <v>1080</v>
      </c>
      <c r="B227" s="12"/>
      <c r="C227" s="12"/>
      <c r="D227" s="12"/>
      <c r="E227" s="12"/>
      <c r="F227" s="12"/>
      <c r="G227" s="12"/>
      <c r="H227" s="12"/>
      <c r="I227" s="12"/>
      <c r="J227" s="12"/>
      <c r="K227" s="12"/>
      <c r="L227" s="12"/>
      <c r="M227" s="12"/>
      <c r="N227" s="12"/>
    </row>
    <row r="228" customFormat="false" ht="15" hidden="false" customHeight="true" outlineLevel="0" collapsed="false">
      <c r="A228" s="13" t="s">
        <v>1081</v>
      </c>
      <c r="B228" s="31" t="s">
        <v>77</v>
      </c>
      <c r="C228" s="33" t="n">
        <f aca="false">Company_Setup_SN</f>
        <v>2500000</v>
      </c>
      <c r="D228" s="33" t="n">
        <f aca="false">C228</f>
        <v>2500000</v>
      </c>
    </row>
    <row r="229" customFormat="false" ht="15" hidden="false" customHeight="true" outlineLevel="0" collapsed="false">
      <c r="A229" s="3" t="s">
        <v>127</v>
      </c>
      <c r="D229" s="32" t="n">
        <f aca="false">IF(ISNUMBER(D228),D228/FX_EUR,"")</f>
        <v>3811.22543093526</v>
      </c>
    </row>
    <row r="230" customFormat="false" ht="15" hidden="false" customHeight="true" outlineLevel="0" collapsed="false">
      <c r="A230" s="13" t="s">
        <v>868</v>
      </c>
      <c r="B230" s="31" t="s">
        <v>104</v>
      </c>
      <c r="C230" s="33" t="n">
        <f aca="false">INDEX(Legal_Counsel,1,1)</f>
        <v>1000000</v>
      </c>
      <c r="D230" s="33" t="n">
        <f aca="false">C230</f>
        <v>1000000</v>
      </c>
    </row>
    <row r="231" customFormat="false" ht="15" hidden="false" customHeight="true" outlineLevel="0" collapsed="false">
      <c r="A231" s="3" t="s">
        <v>127</v>
      </c>
      <c r="D231" s="32" t="n">
        <f aca="false">IF(ISNUMBER(D230),D230/FX_EUR,"")</f>
        <v>1524.4901723741</v>
      </c>
    </row>
    <row r="232" customFormat="false" ht="15" hidden="false" customHeight="true" outlineLevel="0" collapsed="false">
      <c r="A232" s="13" t="s">
        <v>1082</v>
      </c>
      <c r="B232" s="31" t="s">
        <v>104</v>
      </c>
      <c r="C232" s="33" t="n">
        <f aca="false">INDEX(Accountant_Ext,1,1)</f>
        <v>300000</v>
      </c>
      <c r="D232" s="33" t="n">
        <f aca="false">C232</f>
        <v>300000</v>
      </c>
    </row>
    <row r="233" customFormat="false" ht="15" hidden="false" customHeight="true" outlineLevel="0" collapsed="false">
      <c r="A233" s="3" t="s">
        <v>127</v>
      </c>
      <c r="D233" s="32" t="n">
        <f aca="false">IF(ISNUMBER(D232),D232/FX_EUR,"")</f>
        <v>457.347051712231</v>
      </c>
    </row>
    <row r="234" customFormat="false" ht="15" hidden="false" customHeight="true" outlineLevel="0" collapsed="false">
      <c r="A234" s="13" t="s">
        <v>869</v>
      </c>
      <c r="B234" s="31" t="s">
        <v>839</v>
      </c>
      <c r="C234" s="33" t="n">
        <f aca="false">INDEX(Auditor,1,1)</f>
        <v>5000000</v>
      </c>
      <c r="D234" s="33" t="n">
        <f aca="false">C234</f>
        <v>5000000</v>
      </c>
    </row>
    <row r="235" customFormat="false" ht="15" hidden="false" customHeight="true" outlineLevel="0" collapsed="false">
      <c r="A235" s="3" t="s">
        <v>127</v>
      </c>
      <c r="D235" s="32" t="n">
        <f aca="false">IF(ISNUMBER(D234),D234/FX_EUR,"")</f>
        <v>7622.45086187052</v>
      </c>
    </row>
    <row r="236" customFormat="false" ht="15" hidden="false" customHeight="true" outlineLevel="0" collapsed="false">
      <c r="A236" s="13" t="s">
        <v>1083</v>
      </c>
      <c r="B236" s="31" t="s">
        <v>839</v>
      </c>
      <c r="C236" s="33" t="n">
        <f aca="false">INDEX(Data_Protection,1,1)</f>
        <v>3500000</v>
      </c>
      <c r="D236" s="33" t="n">
        <f aca="false">C236</f>
        <v>3500000</v>
      </c>
    </row>
    <row r="237" customFormat="false" ht="15" hidden="false" customHeight="true" outlineLevel="0" collapsed="false">
      <c r="A237" s="3" t="s">
        <v>127</v>
      </c>
      <c r="D237" s="32" t="n">
        <f aca="false">IF(ISNUMBER(D236),D236/FX_EUR,"")</f>
        <v>5335.71560330936</v>
      </c>
    </row>
    <row r="238" customFormat="false" ht="15" hidden="false" customHeight="true" outlineLevel="0" collapsed="false">
      <c r="A238" s="13" t="s">
        <v>1084</v>
      </c>
      <c r="B238" s="31" t="s">
        <v>805</v>
      </c>
      <c r="C238" s="33" t="n">
        <f aca="false">INDEX(Insurance_USD,1,1)</f>
        <v>20000</v>
      </c>
      <c r="D238" s="33" t="n">
        <f aca="false">C238*FX_USD</f>
        <v>11600000</v>
      </c>
    </row>
    <row r="239" customFormat="false" ht="15" hidden="false" customHeight="true" outlineLevel="0" collapsed="false">
      <c r="A239" s="3" t="s">
        <v>127</v>
      </c>
      <c r="D239" s="32" t="n">
        <f aca="false">IF(ISNUMBER(D238),D238/FX_EUR,"")</f>
        <v>17684.0859995396</v>
      </c>
    </row>
    <row r="240" customFormat="false" ht="15" hidden="false" customHeight="true" outlineLevel="0" collapsed="false">
      <c r="A240" s="11" t="s">
        <v>1085</v>
      </c>
      <c r="B240" s="12"/>
      <c r="C240" s="12"/>
      <c r="D240" s="12"/>
      <c r="E240" s="12"/>
      <c r="F240" s="12"/>
      <c r="G240" s="12"/>
      <c r="H240" s="12"/>
      <c r="I240" s="12"/>
      <c r="J240" s="12"/>
      <c r="K240" s="12"/>
      <c r="L240" s="12"/>
      <c r="M240" s="12"/>
      <c r="N240" s="12"/>
    </row>
    <row r="241" customFormat="false" ht="15" hidden="false" customHeight="true" outlineLevel="0" collapsed="false">
      <c r="A241" s="13" t="s">
        <v>877</v>
      </c>
      <c r="B241" s="31" t="s">
        <v>104</v>
      </c>
      <c r="C241" s="33" t="n">
        <f aca="false">INDEX(Digital_SN,1,1)</f>
        <v>1310000</v>
      </c>
      <c r="D241" s="33" t="n">
        <f aca="false">C241</f>
        <v>1310000</v>
      </c>
    </row>
    <row r="242" customFormat="false" ht="15" hidden="false" customHeight="true" outlineLevel="0" collapsed="false">
      <c r="A242" s="3" t="s">
        <v>127</v>
      </c>
      <c r="D242" s="32" t="n">
        <f aca="false">IF(ISNUMBER(D241),D241/FX_EUR,"")</f>
        <v>1997.08212581008</v>
      </c>
    </row>
    <row r="243" customFormat="false" ht="15" hidden="false" customHeight="true" outlineLevel="0" collapsed="false">
      <c r="A243" s="13" t="s">
        <v>1086</v>
      </c>
      <c r="B243" s="31" t="s">
        <v>106</v>
      </c>
      <c r="C243" s="33" t="n">
        <f aca="false">CAC_Digital</f>
        <v>75000</v>
      </c>
      <c r="D243" s="33" t="n">
        <f aca="false">C243</f>
        <v>75000</v>
      </c>
    </row>
    <row r="244" customFormat="false" ht="15" hidden="false" customHeight="true" outlineLevel="0" collapsed="false">
      <c r="A244" s="3" t="s">
        <v>127</v>
      </c>
      <c r="D244" s="32" t="n">
        <f aca="false">IF(ISNUMBER(D243),D243/FX_EUR,"")</f>
        <v>114.336762928058</v>
      </c>
    </row>
    <row r="245" customFormat="false" ht="15" hidden="false" customHeight="true" outlineLevel="0" collapsed="false">
      <c r="A245" s="13" t="s">
        <v>1087</v>
      </c>
      <c r="B245" s="31" t="s">
        <v>106</v>
      </c>
      <c r="C245" s="33" t="n">
        <f aca="false">Referral_Fee</f>
        <v>25000</v>
      </c>
      <c r="D245" s="33" t="n">
        <f aca="false">C245</f>
        <v>25000</v>
      </c>
    </row>
    <row r="246" customFormat="false" ht="15" hidden="false" customHeight="true" outlineLevel="0" collapsed="false">
      <c r="A246" s="3" t="s">
        <v>127</v>
      </c>
      <c r="D246" s="32" t="n">
        <f aca="false">IF(ISNUMBER(D245),D245/FX_EUR,"")</f>
        <v>38.1122543093526</v>
      </c>
    </row>
    <row r="247" customFormat="false" ht="15" hidden="false" customHeight="true" outlineLevel="0" collapsed="false">
      <c r="A247" s="13" t="s">
        <v>1088</v>
      </c>
      <c r="B247" s="31" t="s">
        <v>1089</v>
      </c>
      <c r="C247" s="33" t="n">
        <f aca="false">Rep_Transport</f>
        <v>75000</v>
      </c>
      <c r="D247" s="33" t="n">
        <f aca="false">C247</f>
        <v>75000</v>
      </c>
    </row>
    <row r="248" customFormat="false" ht="15" hidden="false" customHeight="true" outlineLevel="0" collapsed="false">
      <c r="A248" s="3" t="s">
        <v>127</v>
      </c>
      <c r="D248" s="32" t="n">
        <f aca="false">IF(ISNUMBER(D247),D247/FX_EUR,"")</f>
        <v>114.336762928058</v>
      </c>
    </row>
    <row r="249" customFormat="false" ht="15" hidden="false" customHeight="true" outlineLevel="0" collapsed="false">
      <c r="A249" s="13" t="s">
        <v>880</v>
      </c>
      <c r="B249" s="31" t="s">
        <v>839</v>
      </c>
      <c r="C249" s="33" t="n">
        <f aca="false">INDEX(Brand_PR,1,1)</f>
        <v>16400000</v>
      </c>
      <c r="D249" s="33" t="n">
        <f aca="false">C249</f>
        <v>16400000</v>
      </c>
    </row>
    <row r="250" customFormat="false" ht="15" hidden="false" customHeight="true" outlineLevel="0" collapsed="false">
      <c r="A250" s="3" t="s">
        <v>127</v>
      </c>
      <c r="D250" s="32" t="n">
        <f aca="false">IF(ISNUMBER(D249),D249/FX_EUR,"")</f>
        <v>25001.6388269353</v>
      </c>
    </row>
    <row r="251" customFormat="false" ht="15" hidden="false" customHeight="true" outlineLevel="0" collapsed="false">
      <c r="A251" s="13" t="s">
        <v>882</v>
      </c>
      <c r="B251" s="31" t="s">
        <v>839</v>
      </c>
      <c r="C251" s="33" t="n">
        <f aca="false">INDEX(Events,1,1)</f>
        <v>9840000</v>
      </c>
      <c r="D251" s="33" t="n">
        <f aca="false">C251</f>
        <v>9840000</v>
      </c>
    </row>
    <row r="252" customFormat="false" ht="15" hidden="false" customHeight="true" outlineLevel="0" collapsed="false">
      <c r="A252" s="3" t="s">
        <v>127</v>
      </c>
      <c r="D252" s="32" t="n">
        <f aca="false">IF(ISNUMBER(D251),D251/FX_EUR,"")</f>
        <v>15000.9832961612</v>
      </c>
    </row>
    <row r="253" customFormat="false" ht="15" hidden="false" customHeight="true" outlineLevel="0" collapsed="false">
      <c r="A253" s="13" t="s">
        <v>1090</v>
      </c>
      <c r="B253" s="31" t="s">
        <v>839</v>
      </c>
      <c r="C253" s="33" t="n">
        <f aca="false">INDEX(Travel,1,1)</f>
        <v>5250000</v>
      </c>
      <c r="D253" s="33" t="n">
        <f aca="false">C253</f>
        <v>5250000</v>
      </c>
    </row>
    <row r="254" customFormat="false" ht="15" hidden="false" customHeight="true" outlineLevel="0" collapsed="false">
      <c r="A254" s="3" t="s">
        <v>127</v>
      </c>
      <c r="D254" s="32" t="n">
        <f aca="false">IF(ISNUMBER(D253),D253/FX_EUR,"")</f>
        <v>8003.57340496405</v>
      </c>
    </row>
    <row r="255" customFormat="false" ht="15" hidden="false" customHeight="true" outlineLevel="0" collapsed="false">
      <c r="A255" s="13" t="s">
        <v>885</v>
      </c>
      <c r="B255" s="31" t="s">
        <v>104</v>
      </c>
      <c r="C255" s="33" t="n">
        <f aca="false">INDEX(Misc,1,1)</f>
        <v>300000</v>
      </c>
      <c r="D255" s="33" t="n">
        <f aca="false">C255</f>
        <v>300000</v>
      </c>
    </row>
    <row r="256" customFormat="false" ht="15" hidden="false" customHeight="true" outlineLevel="0" collapsed="false">
      <c r="A256" s="3" t="s">
        <v>127</v>
      </c>
      <c r="D256" s="32" t="n">
        <f aca="false">IF(ISNUMBER(D255),D255/FX_EUR,"")</f>
        <v>457.347051712231</v>
      </c>
    </row>
    <row r="257" customFormat="false" ht="15" hidden="false" customHeight="true" outlineLevel="0" collapsed="false">
      <c r="A257" s="13" t="s">
        <v>1091</v>
      </c>
      <c r="B257" s="31" t="s">
        <v>774</v>
      </c>
      <c r="C257" s="33" t="n">
        <f aca="false">Agency_Fee_EUR</f>
        <v>800</v>
      </c>
      <c r="D257" s="33" t="n">
        <f aca="false">C257*FX_EUR</f>
        <v>524765.6</v>
      </c>
    </row>
    <row r="258" customFormat="false" ht="15" hidden="false" customHeight="true" outlineLevel="0" collapsed="false">
      <c r="A258" s="3" t="s">
        <v>127</v>
      </c>
      <c r="D258" s="32" t="n">
        <f aca="false">IF(ISNUMBER(D257),D257/FX_EUR,"")</f>
        <v>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44"/>
    <col collapsed="false" customWidth="true" hidden="false" outlineLevel="0" max="4" min="4" style="1" width="9"/>
    <col collapsed="false" customWidth="true" hidden="false" outlineLevel="0" max="5" min="5" style="1" width="12"/>
    <col collapsed="false" customWidth="true" hidden="false" outlineLevel="0" max="8" min="6" style="1" width="11"/>
    <col collapsed="false" customWidth="true" hidden="false" outlineLevel="0" max="9" min="9" style="1" width="16"/>
    <col collapsed="false" customWidth="true" hidden="false" outlineLevel="0" max="10" min="10" style="1" width="10"/>
    <col collapsed="false" customWidth="true" hidden="false" outlineLevel="0" max="11" min="11" style="1" width="18"/>
    <col collapsed="false" customWidth="true" hidden="false" outlineLevel="0" max="12" min="12" style="1" width="60"/>
    <col collapsed="false" customWidth="true" hidden="false" outlineLevel="0" max="13" min="13" style="1" width="14"/>
    <col collapsed="false" customWidth="true" hidden="false" outlineLevel="0" max="14" min="14" style="1" width="16"/>
  </cols>
  <sheetData>
    <row r="1" customFormat="false" ht="17.25" hidden="false" customHeight="true" outlineLevel="0" collapsed="false">
      <c r="A1" s="8" t="s">
        <v>20</v>
      </c>
    </row>
    <row r="2" customFormat="false" ht="15" hidden="false" customHeight="true" outlineLevel="0" collapsed="false">
      <c r="A2" s="3" t="s">
        <v>1092</v>
      </c>
    </row>
    <row r="4" customFormat="false" ht="42" hidden="false" customHeight="true" outlineLevel="0" collapsed="false">
      <c r="A4" s="29" t="s">
        <v>1093</v>
      </c>
      <c r="B4" s="29" t="s">
        <v>1094</v>
      </c>
      <c r="C4" s="29" t="s">
        <v>958</v>
      </c>
      <c r="D4" s="29" t="s">
        <v>959</v>
      </c>
      <c r="E4" s="29" t="s">
        <v>1095</v>
      </c>
      <c r="F4" s="29" t="s">
        <v>1096</v>
      </c>
      <c r="G4" s="29" t="s">
        <v>1097</v>
      </c>
      <c r="H4" s="29" t="s">
        <v>1098</v>
      </c>
      <c r="I4" s="29" t="s">
        <v>1099</v>
      </c>
      <c r="J4" s="29" t="s">
        <v>1100</v>
      </c>
      <c r="K4" s="29" t="s">
        <v>1101</v>
      </c>
      <c r="L4" s="29" t="s">
        <v>218</v>
      </c>
      <c r="M4" s="29" t="s">
        <v>1102</v>
      </c>
      <c r="N4" s="29" t="s">
        <v>1103</v>
      </c>
    </row>
    <row r="5" customFormat="false" ht="15" hidden="false" customHeight="true" outlineLevel="0" collapsed="false">
      <c r="A5" s="15" t="n">
        <v>1</v>
      </c>
      <c r="B5" s="51" t="s">
        <v>1104</v>
      </c>
      <c r="C5" s="51" t="s">
        <v>1105</v>
      </c>
      <c r="D5" s="51" t="s">
        <v>971</v>
      </c>
      <c r="E5" s="51"/>
      <c r="F5" s="40" t="n">
        <v>1</v>
      </c>
      <c r="G5" s="42" t="n">
        <v>13</v>
      </c>
      <c r="H5" s="42"/>
      <c r="I5" s="40" t="n">
        <v>2500000</v>
      </c>
      <c r="J5" s="51" t="s">
        <v>1106</v>
      </c>
      <c r="K5" s="33" t="n">
        <f aca="false">IF(I5="",0,I5*(1+Employer_Charges))</f>
        <v>3250000</v>
      </c>
      <c r="L5" s="15" t="s">
        <v>1107</v>
      </c>
      <c r="M5" s="52" t="n">
        <f aca="false">IF(N(I5)=0,0,I5/FX_EUR)</f>
        <v>3811.22543093526</v>
      </c>
      <c r="N5" s="52" t="n">
        <f aca="false">IF(N(K5)=0,0,K5/FX_EUR)</f>
        <v>4954.59306021584</v>
      </c>
    </row>
    <row r="6" customFormat="false" ht="15" hidden="false" customHeight="true" outlineLevel="0" collapsed="false">
      <c r="A6" s="15" t="n">
        <v>2</v>
      </c>
      <c r="B6" s="51" t="s">
        <v>1108</v>
      </c>
      <c r="C6" s="51" t="s">
        <v>1109</v>
      </c>
      <c r="D6" s="51" t="s">
        <v>971</v>
      </c>
      <c r="E6" s="51"/>
      <c r="F6" s="40" t="n">
        <v>1</v>
      </c>
      <c r="G6" s="42" t="n">
        <v>1</v>
      </c>
      <c r="H6" s="42"/>
      <c r="I6" s="40" t="n">
        <v>2500000</v>
      </c>
      <c r="J6" s="51" t="s">
        <v>1106</v>
      </c>
      <c r="K6" s="33" t="n">
        <f aca="false">IF(I6="",0,I6*(1+Employer_Charges))</f>
        <v>3250000</v>
      </c>
      <c r="L6" s="15" t="s">
        <v>1110</v>
      </c>
      <c r="M6" s="52" t="n">
        <f aca="false">IF(N(I6)=0,0,I6/FX_EUR)</f>
        <v>3811.22543093526</v>
      </c>
      <c r="N6" s="52" t="n">
        <f aca="false">IF(N(K6)=0,0,K6/FX_EUR)</f>
        <v>4954.59306021584</v>
      </c>
    </row>
    <row r="7" customFormat="false" ht="15" hidden="false" customHeight="true" outlineLevel="0" collapsed="false">
      <c r="A7" s="15" t="n">
        <v>3</v>
      </c>
      <c r="B7" s="51" t="s">
        <v>1111</v>
      </c>
      <c r="C7" s="51" t="s">
        <v>1112</v>
      </c>
      <c r="D7" s="51" t="s">
        <v>971</v>
      </c>
      <c r="E7" s="51"/>
      <c r="F7" s="40" t="n">
        <v>1</v>
      </c>
      <c r="G7" s="42" t="n">
        <v>1</v>
      </c>
      <c r="H7" s="42"/>
      <c r="I7" s="40" t="n">
        <v>1500000</v>
      </c>
      <c r="J7" s="51" t="s">
        <v>1106</v>
      </c>
      <c r="K7" s="33" t="n">
        <f aca="false">IF(I7="",0,I7*(1+Employer_Charges))</f>
        <v>1950000</v>
      </c>
      <c r="L7" s="15" t="s">
        <v>1113</v>
      </c>
      <c r="M7" s="52" t="n">
        <f aca="false">IF(N(I7)=0,0,I7/FX_EUR)</f>
        <v>2286.73525856116</v>
      </c>
      <c r="N7" s="52" t="n">
        <f aca="false">IF(N(K7)=0,0,K7/FX_EUR)</f>
        <v>2972.7558361295</v>
      </c>
    </row>
    <row r="8" customFormat="false" ht="15" hidden="false" customHeight="true" outlineLevel="0" collapsed="false">
      <c r="A8" s="15" t="n">
        <v>4</v>
      </c>
      <c r="B8" s="51" t="s">
        <v>1114</v>
      </c>
      <c r="C8" s="51" t="s">
        <v>1115</v>
      </c>
      <c r="D8" s="51" t="s">
        <v>971</v>
      </c>
      <c r="E8" s="51" t="s">
        <v>1116</v>
      </c>
      <c r="F8" s="40" t="n">
        <v>1</v>
      </c>
      <c r="G8" s="42" t="n">
        <v>1</v>
      </c>
      <c r="H8" s="42"/>
      <c r="I8" s="40" t="n">
        <v>1200000</v>
      </c>
      <c r="J8" s="51" t="s">
        <v>1117</v>
      </c>
      <c r="K8" s="33" t="n">
        <f aca="false">IF(I8="",0,I8*(1+Employer_Charges))</f>
        <v>1560000</v>
      </c>
      <c r="L8" s="15" t="s">
        <v>1118</v>
      </c>
      <c r="M8" s="52" t="n">
        <f aca="false">IF(N(I8)=0,0,I8/FX_EUR)</f>
        <v>1829.38820684892</v>
      </c>
      <c r="N8" s="52" t="n">
        <f aca="false">IF(N(K8)=0,0,K8/FX_EUR)</f>
        <v>2378.2046689036</v>
      </c>
    </row>
    <row r="9" customFormat="false" ht="15" hidden="false" customHeight="true" outlineLevel="0" collapsed="false">
      <c r="A9" s="15" t="n">
        <v>5</v>
      </c>
      <c r="B9" s="51" t="s">
        <v>1119</v>
      </c>
      <c r="C9" s="51" t="s">
        <v>1120</v>
      </c>
      <c r="D9" s="51" t="s">
        <v>971</v>
      </c>
      <c r="E9" s="51"/>
      <c r="F9" s="40" t="n">
        <v>1</v>
      </c>
      <c r="G9" s="42" t="n">
        <v>4</v>
      </c>
      <c r="H9" s="42"/>
      <c r="I9" s="40" t="n">
        <v>900000</v>
      </c>
      <c r="J9" s="51" t="s">
        <v>1117</v>
      </c>
      <c r="K9" s="33" t="n">
        <f aca="false">IF(I9="",0,I9*(1+Employer_Charges))</f>
        <v>1170000</v>
      </c>
      <c r="L9" s="15" t="s">
        <v>1121</v>
      </c>
      <c r="M9" s="52" t="n">
        <f aca="false">IF(N(I9)=0,0,I9/FX_EUR)</f>
        <v>1372.04115513669</v>
      </c>
      <c r="N9" s="52" t="n">
        <f aca="false">IF(N(K9)=0,0,K9/FX_EUR)</f>
        <v>1783.6535016777</v>
      </c>
    </row>
    <row r="10" customFormat="false" ht="15" hidden="false" customHeight="true" outlineLevel="0" collapsed="false">
      <c r="A10" s="15" t="n">
        <v>6</v>
      </c>
      <c r="B10" s="51" t="s">
        <v>1119</v>
      </c>
      <c r="C10" s="51" t="s">
        <v>1122</v>
      </c>
      <c r="D10" s="51" t="s">
        <v>971</v>
      </c>
      <c r="E10" s="51"/>
      <c r="F10" s="40" t="n">
        <v>1</v>
      </c>
      <c r="G10" s="42" t="n">
        <v>5</v>
      </c>
      <c r="H10" s="42"/>
      <c r="I10" s="40" t="n">
        <v>400000</v>
      </c>
      <c r="J10" s="51" t="s">
        <v>1117</v>
      </c>
      <c r="K10" s="33" t="n">
        <f aca="false">IF(I10="",0,I10*(1+Employer_Charges))</f>
        <v>520000</v>
      </c>
      <c r="L10" s="15" t="s">
        <v>1123</v>
      </c>
      <c r="M10" s="52" t="n">
        <f aca="false">IF(N(I10)=0,0,I10/FX_EUR)</f>
        <v>609.796068949642</v>
      </c>
      <c r="N10" s="52" t="n">
        <f aca="false">IF(N(K10)=0,0,K10/FX_EUR)</f>
        <v>792.734889634534</v>
      </c>
    </row>
    <row r="11" customFormat="false" ht="15" hidden="false" customHeight="true" outlineLevel="0" collapsed="false">
      <c r="A11" s="15" t="n">
        <v>7</v>
      </c>
      <c r="B11" s="51" t="s">
        <v>1104</v>
      </c>
      <c r="C11" s="51" t="s">
        <v>1124</v>
      </c>
      <c r="D11" s="51" t="s">
        <v>975</v>
      </c>
      <c r="E11" s="51"/>
      <c r="F11" s="40" t="n">
        <v>1</v>
      </c>
      <c r="G11" s="53" t="n">
        <f aca="false">CI_Office_Start</f>
        <v>18</v>
      </c>
      <c r="H11" s="42"/>
      <c r="I11" s="40" t="n">
        <v>2800000</v>
      </c>
      <c r="J11" s="51" t="s">
        <v>1106</v>
      </c>
      <c r="K11" s="33" t="n">
        <f aca="false">IF(I11="",0,I11*(1+Employer_Charges))</f>
        <v>3640000</v>
      </c>
      <c r="L11" s="15" t="s">
        <v>1125</v>
      </c>
      <c r="M11" s="52" t="n">
        <f aca="false">IF(N(I11)=0,0,I11/FX_EUR)</f>
        <v>4268.57248264749</v>
      </c>
      <c r="N11" s="52" t="n">
        <f aca="false">IF(N(K11)=0,0,K11/FX_EUR)</f>
        <v>5549.14422744174</v>
      </c>
    </row>
    <row r="12" customFormat="false" ht="15" hidden="false" customHeight="true" outlineLevel="0" collapsed="false">
      <c r="A12" s="15" t="n">
        <v>8</v>
      </c>
      <c r="B12" s="51" t="s">
        <v>1126</v>
      </c>
      <c r="C12" s="51" t="s">
        <v>1127</v>
      </c>
      <c r="D12" s="51" t="s">
        <v>971</v>
      </c>
      <c r="E12" s="51"/>
      <c r="F12" s="40" t="n">
        <v>1</v>
      </c>
      <c r="G12" s="53" t="n">
        <f aca="false">SFD_Acq_Month</f>
        <v>24</v>
      </c>
      <c r="H12" s="42"/>
      <c r="I12" s="40" t="n">
        <v>1500000</v>
      </c>
      <c r="J12" s="51" t="s">
        <v>1106</v>
      </c>
      <c r="K12" s="33" t="n">
        <f aca="false">IF(I12="",0,I12*(1+Employer_Charges))</f>
        <v>1950000</v>
      </c>
      <c r="L12" s="15" t="s">
        <v>1128</v>
      </c>
      <c r="M12" s="52" t="n">
        <f aca="false">IF(N(I12)=0,0,I12/FX_EUR)</f>
        <v>2286.73525856116</v>
      </c>
      <c r="N12" s="52" t="n">
        <f aca="false">IF(N(K12)=0,0,K12/FX_EUR)</f>
        <v>2972.7558361295</v>
      </c>
    </row>
    <row r="13" customFormat="false" ht="15" hidden="false" customHeight="true" outlineLevel="0" collapsed="false">
      <c r="A13" s="15" t="n">
        <v>9</v>
      </c>
      <c r="B13" s="51"/>
      <c r="C13" s="51"/>
      <c r="D13" s="51"/>
      <c r="E13" s="51"/>
      <c r="F13" s="40"/>
      <c r="G13" s="42"/>
      <c r="H13" s="42"/>
      <c r="I13" s="40"/>
      <c r="J13" s="51"/>
      <c r="K13" s="33" t="n">
        <f aca="false">IF(I13="",0,I13*(1+Employer_Charges))</f>
        <v>0</v>
      </c>
      <c r="L13" s="15"/>
      <c r="M13" s="52" t="n">
        <f aca="false">IF(N(I13)=0,0,I13/FX_EUR)</f>
        <v>0</v>
      </c>
      <c r="N13" s="52" t="n">
        <f aca="false">IF(N(K13)=0,0,K13/FX_EUR)</f>
        <v>0</v>
      </c>
    </row>
    <row r="14" customFormat="false" ht="15" hidden="false" customHeight="true" outlineLevel="0" collapsed="false">
      <c r="A14" s="15" t="n">
        <v>10</v>
      </c>
      <c r="B14" s="51"/>
      <c r="C14" s="51"/>
      <c r="D14" s="51"/>
      <c r="E14" s="51"/>
      <c r="F14" s="40"/>
      <c r="G14" s="42"/>
      <c r="H14" s="42"/>
      <c r="I14" s="40"/>
      <c r="J14" s="51"/>
      <c r="K14" s="33" t="n">
        <f aca="false">IF(I14="",0,I14*(1+Employer_Charges))</f>
        <v>0</v>
      </c>
      <c r="L14" s="15"/>
      <c r="M14" s="52" t="n">
        <f aca="false">IF(N(I14)=0,0,I14/FX_EUR)</f>
        <v>0</v>
      </c>
      <c r="N14" s="52" t="n">
        <f aca="false">IF(N(K14)=0,0,K14/FX_EUR)</f>
        <v>0</v>
      </c>
    </row>
    <row r="15" customFormat="false" ht="15" hidden="false" customHeight="true" outlineLevel="0" collapsed="false">
      <c r="A15" s="15" t="n">
        <v>11</v>
      </c>
      <c r="B15" s="51"/>
      <c r="C15" s="51"/>
      <c r="D15" s="51"/>
      <c r="E15" s="51"/>
      <c r="F15" s="40"/>
      <c r="G15" s="42"/>
      <c r="H15" s="42"/>
      <c r="I15" s="40"/>
      <c r="J15" s="51"/>
      <c r="K15" s="33" t="n">
        <f aca="false">IF(I15="",0,I15*(1+Employer_Charges))</f>
        <v>0</v>
      </c>
      <c r="L15" s="15"/>
      <c r="M15" s="52" t="n">
        <f aca="false">IF(N(I15)=0,0,I15/FX_EUR)</f>
        <v>0</v>
      </c>
      <c r="N15" s="52" t="n">
        <f aca="false">IF(N(K15)=0,0,K15/FX_EUR)</f>
        <v>0</v>
      </c>
    </row>
    <row r="16" customFormat="false" ht="15" hidden="false" customHeight="true" outlineLevel="0" collapsed="false">
      <c r="A16" s="15" t="n">
        <v>12</v>
      </c>
      <c r="B16" s="51"/>
      <c r="C16" s="51"/>
      <c r="D16" s="51"/>
      <c r="E16" s="51"/>
      <c r="F16" s="40"/>
      <c r="G16" s="42"/>
      <c r="H16" s="42"/>
      <c r="I16" s="40"/>
      <c r="J16" s="51"/>
      <c r="K16" s="33" t="n">
        <f aca="false">IF(I16="",0,I16*(1+Employer_Charges))</f>
        <v>0</v>
      </c>
      <c r="L16" s="15"/>
      <c r="M16" s="52" t="n">
        <f aca="false">IF(N(I16)=0,0,I16/FX_EUR)</f>
        <v>0</v>
      </c>
      <c r="N16" s="52" t="n">
        <f aca="false">IF(N(K16)=0,0,K16/FX_EUR)</f>
        <v>0</v>
      </c>
    </row>
    <row r="17" customFormat="false" ht="15" hidden="false" customHeight="true" outlineLevel="0" collapsed="false">
      <c r="A17" s="15" t="n">
        <v>13</v>
      </c>
      <c r="B17" s="51"/>
      <c r="C17" s="51"/>
      <c r="D17" s="51"/>
      <c r="E17" s="51"/>
      <c r="F17" s="40"/>
      <c r="G17" s="42"/>
      <c r="H17" s="42"/>
      <c r="I17" s="40"/>
      <c r="J17" s="51"/>
      <c r="K17" s="33" t="n">
        <f aca="false">IF(I17="",0,I17*(1+Employer_Charges))</f>
        <v>0</v>
      </c>
      <c r="L17" s="15"/>
      <c r="M17" s="52" t="n">
        <f aca="false">IF(N(I17)=0,0,I17/FX_EUR)</f>
        <v>0</v>
      </c>
      <c r="N17" s="52" t="n">
        <f aca="false">IF(N(K17)=0,0,K17/FX_EUR)</f>
        <v>0</v>
      </c>
    </row>
    <row r="18" customFormat="false" ht="15" hidden="false" customHeight="true" outlineLevel="0" collapsed="false">
      <c r="A18" s="15" t="n">
        <v>14</v>
      </c>
      <c r="B18" s="51"/>
      <c r="C18" s="51"/>
      <c r="D18" s="51"/>
      <c r="E18" s="51"/>
      <c r="F18" s="40"/>
      <c r="G18" s="42"/>
      <c r="H18" s="42"/>
      <c r="I18" s="40"/>
      <c r="J18" s="51"/>
      <c r="K18" s="33" t="n">
        <f aca="false">IF(I18="",0,I18*(1+Employer_Charges))</f>
        <v>0</v>
      </c>
      <c r="L18" s="15"/>
      <c r="M18" s="52" t="n">
        <f aca="false">IF(N(I18)=0,0,I18/FX_EUR)</f>
        <v>0</v>
      </c>
      <c r="N18" s="52" t="n">
        <f aca="false">IF(N(K18)=0,0,K18/FX_EUR)</f>
        <v>0</v>
      </c>
    </row>
    <row r="19" customFormat="false" ht="15" hidden="false" customHeight="true" outlineLevel="0" collapsed="false">
      <c r="A19" s="15" t="n">
        <v>15</v>
      </c>
      <c r="B19" s="51"/>
      <c r="C19" s="51"/>
      <c r="D19" s="51"/>
      <c r="E19" s="51"/>
      <c r="F19" s="40"/>
      <c r="G19" s="42"/>
      <c r="H19" s="42"/>
      <c r="I19" s="40"/>
      <c r="J19" s="51"/>
      <c r="K19" s="33" t="n">
        <f aca="false">IF(I19="",0,I19*(1+Employer_Charges))</f>
        <v>0</v>
      </c>
      <c r="L19" s="15"/>
      <c r="M19" s="52" t="n">
        <f aca="false">IF(N(I19)=0,0,I19/FX_EUR)</f>
        <v>0</v>
      </c>
      <c r="N19" s="52" t="n">
        <f aca="false">IF(N(K19)=0,0,K19/FX_EUR)</f>
        <v>0</v>
      </c>
    </row>
    <row r="20" customFormat="false" ht="15" hidden="false" customHeight="true" outlineLevel="0" collapsed="false">
      <c r="A20" s="15" t="n">
        <v>16</v>
      </c>
      <c r="B20" s="51"/>
      <c r="C20" s="51"/>
      <c r="D20" s="51"/>
      <c r="E20" s="51"/>
      <c r="F20" s="40"/>
      <c r="G20" s="42"/>
      <c r="H20" s="42"/>
      <c r="I20" s="40"/>
      <c r="J20" s="51"/>
      <c r="K20" s="33" t="n">
        <f aca="false">IF(I20="",0,I20*(1+Employer_Charges))</f>
        <v>0</v>
      </c>
      <c r="L20" s="15"/>
      <c r="M20" s="52" t="n">
        <f aca="false">IF(N(I20)=0,0,I20/FX_EUR)</f>
        <v>0</v>
      </c>
      <c r="N20" s="52" t="n">
        <f aca="false">IF(N(K20)=0,0,K20/FX_EUR)</f>
        <v>0</v>
      </c>
    </row>
    <row r="21" customFormat="false" ht="15" hidden="false" customHeight="true" outlineLevel="0" collapsed="false">
      <c r="A21" s="15" t="n">
        <v>17</v>
      </c>
      <c r="B21" s="51"/>
      <c r="C21" s="51"/>
      <c r="D21" s="51"/>
      <c r="E21" s="51"/>
      <c r="F21" s="40"/>
      <c r="G21" s="42"/>
      <c r="H21" s="42"/>
      <c r="I21" s="40"/>
      <c r="J21" s="51"/>
      <c r="K21" s="33" t="n">
        <f aca="false">IF(I21="",0,I21*(1+Employer_Charges))</f>
        <v>0</v>
      </c>
      <c r="L21" s="15"/>
      <c r="M21" s="52" t="n">
        <f aca="false">IF(N(I21)=0,0,I21/FX_EUR)</f>
        <v>0</v>
      </c>
      <c r="N21" s="52" t="n">
        <f aca="false">IF(N(K21)=0,0,K21/FX_EUR)</f>
        <v>0</v>
      </c>
    </row>
    <row r="22" customFormat="false" ht="15" hidden="false" customHeight="true" outlineLevel="0" collapsed="false">
      <c r="A22" s="15" t="n">
        <v>18</v>
      </c>
      <c r="B22" s="51"/>
      <c r="C22" s="51"/>
      <c r="D22" s="51"/>
      <c r="E22" s="51"/>
      <c r="F22" s="40"/>
      <c r="G22" s="42"/>
      <c r="H22" s="42"/>
      <c r="I22" s="40"/>
      <c r="J22" s="51"/>
      <c r="K22" s="33" t="n">
        <f aca="false">IF(I22="",0,I22*(1+Employer_Charges))</f>
        <v>0</v>
      </c>
      <c r="L22" s="15"/>
      <c r="M22" s="52" t="n">
        <f aca="false">IF(N(I22)=0,0,I22/FX_EUR)</f>
        <v>0</v>
      </c>
      <c r="N22" s="52" t="n">
        <f aca="false">IF(N(K22)=0,0,K22/FX_EUR)</f>
        <v>0</v>
      </c>
    </row>
    <row r="23" customFormat="false" ht="15" hidden="false" customHeight="true" outlineLevel="0" collapsed="false">
      <c r="A23" s="15" t="n">
        <v>19</v>
      </c>
      <c r="B23" s="51"/>
      <c r="C23" s="51"/>
      <c r="D23" s="51"/>
      <c r="E23" s="51"/>
      <c r="F23" s="40"/>
      <c r="G23" s="42"/>
      <c r="H23" s="42"/>
      <c r="I23" s="40"/>
      <c r="J23" s="51"/>
      <c r="K23" s="33" t="n">
        <f aca="false">IF(I23="",0,I23*(1+Employer_Charges))</f>
        <v>0</v>
      </c>
      <c r="L23" s="15"/>
      <c r="M23" s="52" t="n">
        <f aca="false">IF(N(I23)=0,0,I23/FX_EUR)</f>
        <v>0</v>
      </c>
      <c r="N23" s="52" t="n">
        <f aca="false">IF(N(K23)=0,0,K23/FX_EUR)</f>
        <v>0</v>
      </c>
    </row>
    <row r="24" customFormat="false" ht="15" hidden="false" customHeight="true" outlineLevel="0" collapsed="false">
      <c r="A24" s="15" t="n">
        <v>20</v>
      </c>
      <c r="B24" s="51"/>
      <c r="C24" s="51"/>
      <c r="D24" s="51"/>
      <c r="E24" s="51"/>
      <c r="F24" s="40"/>
      <c r="G24" s="42"/>
      <c r="H24" s="42"/>
      <c r="I24" s="40"/>
      <c r="J24" s="51"/>
      <c r="K24" s="33" t="n">
        <f aca="false">IF(I24="",0,I24*(1+Employer_Charges))</f>
        <v>0</v>
      </c>
      <c r="L24" s="15"/>
      <c r="M24" s="52" t="n">
        <f aca="false">IF(N(I24)=0,0,I24/FX_EUR)</f>
        <v>0</v>
      </c>
      <c r="N24" s="52" t="n">
        <f aca="false">IF(N(K24)=0,0,K24/FX_EUR)</f>
        <v>0</v>
      </c>
    </row>
    <row r="25" customFormat="false" ht="15" hidden="false" customHeight="true" outlineLevel="0" collapsed="false">
      <c r="A25" s="15" t="n">
        <v>21</v>
      </c>
      <c r="B25" s="51"/>
      <c r="C25" s="51"/>
      <c r="D25" s="51"/>
      <c r="E25" s="51"/>
      <c r="F25" s="40"/>
      <c r="G25" s="42"/>
      <c r="H25" s="42"/>
      <c r="I25" s="40"/>
      <c r="J25" s="51"/>
      <c r="K25" s="33" t="n">
        <f aca="false">IF(I25="",0,I25*(1+Employer_Charges))</f>
        <v>0</v>
      </c>
      <c r="L25" s="15"/>
      <c r="M25" s="52" t="n">
        <f aca="false">IF(N(I25)=0,0,I25/FX_EUR)</f>
        <v>0</v>
      </c>
      <c r="N25" s="52" t="n">
        <f aca="false">IF(N(K25)=0,0,K25/FX_EUR)</f>
        <v>0</v>
      </c>
    </row>
    <row r="26" customFormat="false" ht="15" hidden="false" customHeight="true" outlineLevel="0" collapsed="false">
      <c r="A26" s="15" t="n">
        <v>22</v>
      </c>
      <c r="B26" s="51"/>
      <c r="C26" s="51"/>
      <c r="D26" s="51"/>
      <c r="E26" s="51"/>
      <c r="F26" s="40"/>
      <c r="G26" s="42"/>
      <c r="H26" s="42"/>
      <c r="I26" s="40"/>
      <c r="J26" s="51"/>
      <c r="K26" s="33" t="n">
        <f aca="false">IF(I26="",0,I26*(1+Employer_Charges))</f>
        <v>0</v>
      </c>
      <c r="L26" s="15"/>
      <c r="M26" s="52" t="n">
        <f aca="false">IF(N(I26)=0,0,I26/FX_EUR)</f>
        <v>0</v>
      </c>
      <c r="N26" s="52" t="n">
        <f aca="false">IF(N(K26)=0,0,K26/FX_EUR)</f>
        <v>0</v>
      </c>
    </row>
    <row r="27" customFormat="false" ht="15" hidden="false" customHeight="true" outlineLevel="0" collapsed="false">
      <c r="A27" s="15" t="n">
        <v>23</v>
      </c>
      <c r="B27" s="51"/>
      <c r="C27" s="51"/>
      <c r="D27" s="51"/>
      <c r="E27" s="51"/>
      <c r="F27" s="40"/>
      <c r="G27" s="42"/>
      <c r="H27" s="42"/>
      <c r="I27" s="40"/>
      <c r="J27" s="51"/>
      <c r="K27" s="33" t="n">
        <f aca="false">IF(I27="",0,I27*(1+Employer_Charges))</f>
        <v>0</v>
      </c>
      <c r="L27" s="15"/>
      <c r="M27" s="52" t="n">
        <f aca="false">IF(N(I27)=0,0,I27/FX_EUR)</f>
        <v>0</v>
      </c>
      <c r="N27" s="52" t="n">
        <f aca="false">IF(N(K27)=0,0,K27/FX_EUR)</f>
        <v>0</v>
      </c>
    </row>
    <row r="28" customFormat="false" ht="15" hidden="false" customHeight="true" outlineLevel="0" collapsed="false">
      <c r="A28" s="15" t="n">
        <v>24</v>
      </c>
      <c r="B28" s="51"/>
      <c r="C28" s="51"/>
      <c r="D28" s="51"/>
      <c r="E28" s="51"/>
      <c r="F28" s="40"/>
      <c r="G28" s="42"/>
      <c r="H28" s="42"/>
      <c r="I28" s="40"/>
      <c r="J28" s="51"/>
      <c r="K28" s="33" t="n">
        <f aca="false">IF(I28="",0,I28*(1+Employer_Charges))</f>
        <v>0</v>
      </c>
      <c r="L28" s="15"/>
      <c r="M28" s="52" t="n">
        <f aca="false">IF(N(I28)=0,0,I28/FX_EUR)</f>
        <v>0</v>
      </c>
      <c r="N28" s="52" t="n">
        <f aca="false">IF(N(K28)=0,0,K28/FX_EUR)</f>
        <v>0</v>
      </c>
    </row>
    <row r="29" customFormat="false" ht="15" hidden="false" customHeight="true" outlineLevel="0" collapsed="false">
      <c r="A29" s="15" t="n">
        <v>25</v>
      </c>
      <c r="B29" s="51"/>
      <c r="C29" s="51"/>
      <c r="D29" s="51"/>
      <c r="E29" s="51"/>
      <c r="F29" s="40"/>
      <c r="G29" s="42"/>
      <c r="H29" s="42"/>
      <c r="I29" s="40"/>
      <c r="J29" s="51"/>
      <c r="K29" s="33" t="n">
        <f aca="false">IF(I29="",0,I29*(1+Employer_Charges))</f>
        <v>0</v>
      </c>
      <c r="L29" s="15"/>
      <c r="M29" s="52" t="n">
        <f aca="false">IF(N(I29)=0,0,I29/FX_EUR)</f>
        <v>0</v>
      </c>
      <c r="N29" s="52" t="n">
        <f aca="false">IF(N(K29)=0,0,K29/FX_EUR)</f>
        <v>0</v>
      </c>
    </row>
    <row r="30" customFormat="false" ht="15" hidden="false" customHeight="true" outlineLevel="0" collapsed="false">
      <c r="A30" s="15" t="n">
        <v>26</v>
      </c>
      <c r="B30" s="51"/>
      <c r="C30" s="51"/>
      <c r="D30" s="51"/>
      <c r="E30" s="51"/>
      <c r="F30" s="40"/>
      <c r="G30" s="42"/>
      <c r="H30" s="42"/>
      <c r="I30" s="40"/>
      <c r="J30" s="51"/>
      <c r="K30" s="33" t="n">
        <f aca="false">IF(I30="",0,I30*(1+Employer_Charges))</f>
        <v>0</v>
      </c>
      <c r="L30" s="15"/>
      <c r="M30" s="52" t="n">
        <f aca="false">IF(N(I30)=0,0,I30/FX_EUR)</f>
        <v>0</v>
      </c>
      <c r="N30" s="52" t="n">
        <f aca="false">IF(N(K30)=0,0,K30/FX_EUR)</f>
        <v>0</v>
      </c>
    </row>
    <row r="31" customFormat="false" ht="15" hidden="false" customHeight="true" outlineLevel="0" collapsed="false">
      <c r="A31" s="15" t="n">
        <v>27</v>
      </c>
      <c r="B31" s="51"/>
      <c r="C31" s="51"/>
      <c r="D31" s="51"/>
      <c r="E31" s="51"/>
      <c r="F31" s="40"/>
      <c r="G31" s="42"/>
      <c r="H31" s="42"/>
      <c r="I31" s="40"/>
      <c r="J31" s="51"/>
      <c r="K31" s="33" t="n">
        <f aca="false">IF(I31="",0,I31*(1+Employer_Charges))</f>
        <v>0</v>
      </c>
      <c r="L31" s="15"/>
      <c r="M31" s="52" t="n">
        <f aca="false">IF(N(I31)=0,0,I31/FX_EUR)</f>
        <v>0</v>
      </c>
      <c r="N31" s="52" t="n">
        <f aca="false">IF(N(K31)=0,0,K31/FX_EUR)</f>
        <v>0</v>
      </c>
    </row>
    <row r="32" customFormat="false" ht="15" hidden="false" customHeight="true" outlineLevel="0" collapsed="false">
      <c r="A32" s="15" t="n">
        <v>28</v>
      </c>
      <c r="B32" s="51"/>
      <c r="C32" s="51"/>
      <c r="D32" s="51"/>
      <c r="E32" s="51"/>
      <c r="F32" s="40"/>
      <c r="G32" s="42"/>
      <c r="H32" s="42"/>
      <c r="I32" s="40"/>
      <c r="J32" s="51"/>
      <c r="K32" s="33" t="n">
        <f aca="false">IF(I32="",0,I32*(1+Employer_Charges))</f>
        <v>0</v>
      </c>
      <c r="L32" s="15"/>
      <c r="M32" s="52" t="n">
        <f aca="false">IF(N(I32)=0,0,I32/FX_EUR)</f>
        <v>0</v>
      </c>
      <c r="N32" s="52" t="n">
        <f aca="false">IF(N(K32)=0,0,K32/FX_EUR)</f>
        <v>0</v>
      </c>
    </row>
    <row r="34" customFormat="false" ht="15" hidden="false" customHeight="true" outlineLevel="0" collapsed="false">
      <c r="B34" s="3" t="s">
        <v>1129</v>
      </c>
    </row>
  </sheetData>
  <dataValidations count="4">
    <dataValidation allowBlank="true" errorStyle="stop" operator="between" showDropDown="false" showErrorMessage="false" showInputMessage="false" sqref="B5:B32" type="list">
      <formula1>"Leadership,Engineering &amp; product,Compliance &amp; risk,Credit,Operations &amp; support,Sales &amp; partnerships,Marketing,Finance &amp; admin"</formula1>
      <formula2>0</formula2>
    </dataValidation>
    <dataValidation allowBlank="true" errorStyle="stop" operator="between" showDropDown="false" showErrorMessage="false" showInputMessage="false" sqref="D5:D32" type="list">
      <formula1>"SN,CI"</formula1>
      <formula2>0</formula2>
    </dataValidation>
    <dataValidation allowBlank="true" errorStyle="stop" operator="between" showDropDown="false" showErrorMessage="false" showInputMessage="false" sqref="E5:E32" type="list">
      <formula1>"Sales rep"</formula1>
      <formula2>0</formula2>
    </dataValidation>
    <dataValidation allowBlank="true" errorStyle="stop" operator="between" showDropDown="false" showErrorMessage="false" showInputMessage="false" sqref="J5:J3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22</v>
      </c>
    </row>
    <row r="2" customFormat="false" ht="15" hidden="false" customHeight="true" outlineLevel="0" collapsed="false">
      <c r="A2" s="3" t="s">
        <v>1130</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1134</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tr">
        <f aca="false">IF('Hiring plan'!$C$5="","(spare line 1)",'Hiring plan'!$C$5&amp;" · "&amp;'Hiring plan'!$D$5)</f>
        <v>CEO (full salary from year 2) · SN</v>
      </c>
      <c r="B9" s="15" t="s">
        <v>92</v>
      </c>
      <c r="D9" s="56" t="n">
        <f aca="false">MAX(E9:BL9)</f>
        <v>1</v>
      </c>
      <c r="E9" s="33" t="n">
        <f aca="false">IF(AND(N('Hiring plan'!$F$5)&gt;0,E$3&gt;='Hiring plan'!$G$5,E$3&lt;=IF('Hiring plan'!$H$5="",999,'Hiring plan'!$H$5)),'Hiring plan'!$F$5,0)</f>
        <v>0</v>
      </c>
      <c r="F9" s="33" t="n">
        <f aca="false">IF(AND(N('Hiring plan'!$F$5)&gt;0,F$3&gt;='Hiring plan'!$G$5,F$3&lt;=IF('Hiring plan'!$H$5="",999,'Hiring plan'!$H$5)),'Hiring plan'!$F$5,0)</f>
        <v>0</v>
      </c>
      <c r="G9" s="33" t="n">
        <f aca="false">IF(AND(N('Hiring plan'!$F$5)&gt;0,G$3&gt;='Hiring plan'!$G$5,G$3&lt;=IF('Hiring plan'!$H$5="",999,'Hiring plan'!$H$5)),'Hiring plan'!$F$5,0)</f>
        <v>0</v>
      </c>
      <c r="H9" s="33" t="n">
        <f aca="false">IF(AND(N('Hiring plan'!$F$5)&gt;0,H$3&gt;='Hiring plan'!$G$5,H$3&lt;=IF('Hiring plan'!$H$5="",999,'Hiring plan'!$H$5)),'Hiring plan'!$F$5,0)</f>
        <v>0</v>
      </c>
      <c r="I9" s="33" t="n">
        <f aca="false">IF(AND(N('Hiring plan'!$F$5)&gt;0,I$3&gt;='Hiring plan'!$G$5,I$3&lt;=IF('Hiring plan'!$H$5="",999,'Hiring plan'!$H$5)),'Hiring plan'!$F$5,0)</f>
        <v>0</v>
      </c>
      <c r="J9" s="33" t="n">
        <f aca="false">IF(AND(N('Hiring plan'!$F$5)&gt;0,J$3&gt;='Hiring plan'!$G$5,J$3&lt;=IF('Hiring plan'!$H$5="",999,'Hiring plan'!$H$5)),'Hiring plan'!$F$5,0)</f>
        <v>0</v>
      </c>
      <c r="K9" s="33" t="n">
        <f aca="false">IF(AND(N('Hiring plan'!$F$5)&gt;0,K$3&gt;='Hiring plan'!$G$5,K$3&lt;=IF('Hiring plan'!$H$5="",999,'Hiring plan'!$H$5)),'Hiring plan'!$F$5,0)</f>
        <v>0</v>
      </c>
      <c r="L9" s="33" t="n">
        <f aca="false">IF(AND(N('Hiring plan'!$F$5)&gt;0,L$3&gt;='Hiring plan'!$G$5,L$3&lt;=IF('Hiring plan'!$H$5="",999,'Hiring plan'!$H$5)),'Hiring plan'!$F$5,0)</f>
        <v>0</v>
      </c>
      <c r="M9" s="33" t="n">
        <f aca="false">IF(AND(N('Hiring plan'!$F$5)&gt;0,M$3&gt;='Hiring plan'!$G$5,M$3&lt;=IF('Hiring plan'!$H$5="",999,'Hiring plan'!$H$5)),'Hiring plan'!$F$5,0)</f>
        <v>0</v>
      </c>
      <c r="N9" s="33" t="n">
        <f aca="false">IF(AND(N('Hiring plan'!$F$5)&gt;0,N$3&gt;='Hiring plan'!$G$5,N$3&lt;=IF('Hiring plan'!$H$5="",999,'Hiring plan'!$H$5)),'Hiring plan'!$F$5,0)</f>
        <v>0</v>
      </c>
      <c r="O9" s="33" t="n">
        <f aca="false">IF(AND(N('Hiring plan'!$F$5)&gt;0,O$3&gt;='Hiring plan'!$G$5,O$3&lt;=IF('Hiring plan'!$H$5="",999,'Hiring plan'!$H$5)),'Hiring plan'!$F$5,0)</f>
        <v>0</v>
      </c>
      <c r="P9" s="33" t="n">
        <f aca="false">IF(AND(N('Hiring plan'!$F$5)&gt;0,P$3&gt;='Hiring plan'!$G$5,P$3&lt;=IF('Hiring plan'!$H$5="",999,'Hiring plan'!$H$5)),'Hiring plan'!$F$5,0)</f>
        <v>0</v>
      </c>
      <c r="Q9" s="33" t="n">
        <f aca="false">IF(AND(N('Hiring plan'!$F$5)&gt;0,Q$3&gt;='Hiring plan'!$G$5,Q$3&lt;=IF('Hiring plan'!$H$5="",999,'Hiring plan'!$H$5)),'Hiring plan'!$F$5,0)</f>
        <v>1</v>
      </c>
      <c r="R9" s="33" t="n">
        <f aca="false">IF(AND(N('Hiring plan'!$F$5)&gt;0,R$3&gt;='Hiring plan'!$G$5,R$3&lt;=IF('Hiring plan'!$H$5="",999,'Hiring plan'!$H$5)),'Hiring plan'!$F$5,0)</f>
        <v>1</v>
      </c>
      <c r="S9" s="33" t="n">
        <f aca="false">IF(AND(N('Hiring plan'!$F$5)&gt;0,S$3&gt;='Hiring plan'!$G$5,S$3&lt;=IF('Hiring plan'!$H$5="",999,'Hiring plan'!$H$5)),'Hiring plan'!$F$5,0)</f>
        <v>1</v>
      </c>
      <c r="T9" s="33" t="n">
        <f aca="false">IF(AND(N('Hiring plan'!$F$5)&gt;0,T$3&gt;='Hiring plan'!$G$5,T$3&lt;=IF('Hiring plan'!$H$5="",999,'Hiring plan'!$H$5)),'Hiring plan'!$F$5,0)</f>
        <v>1</v>
      </c>
      <c r="U9" s="33" t="n">
        <f aca="false">IF(AND(N('Hiring plan'!$F$5)&gt;0,U$3&gt;='Hiring plan'!$G$5,U$3&lt;=IF('Hiring plan'!$H$5="",999,'Hiring plan'!$H$5)),'Hiring plan'!$F$5,0)</f>
        <v>1</v>
      </c>
      <c r="V9" s="33" t="n">
        <f aca="false">IF(AND(N('Hiring plan'!$F$5)&gt;0,V$3&gt;='Hiring plan'!$G$5,V$3&lt;=IF('Hiring plan'!$H$5="",999,'Hiring plan'!$H$5)),'Hiring plan'!$F$5,0)</f>
        <v>1</v>
      </c>
      <c r="W9" s="33" t="n">
        <f aca="false">IF(AND(N('Hiring plan'!$F$5)&gt;0,W$3&gt;='Hiring plan'!$G$5,W$3&lt;=IF('Hiring plan'!$H$5="",999,'Hiring plan'!$H$5)),'Hiring plan'!$F$5,0)</f>
        <v>1</v>
      </c>
      <c r="X9" s="33" t="n">
        <f aca="false">IF(AND(N('Hiring plan'!$F$5)&gt;0,X$3&gt;='Hiring plan'!$G$5,X$3&lt;=IF('Hiring plan'!$H$5="",999,'Hiring plan'!$H$5)),'Hiring plan'!$F$5,0)</f>
        <v>1</v>
      </c>
      <c r="Y9" s="33" t="n">
        <f aca="false">IF(AND(N('Hiring plan'!$F$5)&gt;0,Y$3&gt;='Hiring plan'!$G$5,Y$3&lt;=IF('Hiring plan'!$H$5="",999,'Hiring plan'!$H$5)),'Hiring plan'!$F$5,0)</f>
        <v>1</v>
      </c>
      <c r="Z9" s="33" t="n">
        <f aca="false">IF(AND(N('Hiring plan'!$F$5)&gt;0,Z$3&gt;='Hiring plan'!$G$5,Z$3&lt;=IF('Hiring plan'!$H$5="",999,'Hiring plan'!$H$5)),'Hiring plan'!$F$5,0)</f>
        <v>1</v>
      </c>
      <c r="AA9" s="33" t="n">
        <f aca="false">IF(AND(N('Hiring plan'!$F$5)&gt;0,AA$3&gt;='Hiring plan'!$G$5,AA$3&lt;=IF('Hiring plan'!$H$5="",999,'Hiring plan'!$H$5)),'Hiring plan'!$F$5,0)</f>
        <v>1</v>
      </c>
      <c r="AB9" s="33" t="n">
        <f aca="false">IF(AND(N('Hiring plan'!$F$5)&gt;0,AB$3&gt;='Hiring plan'!$G$5,AB$3&lt;=IF('Hiring plan'!$H$5="",999,'Hiring plan'!$H$5)),'Hiring plan'!$F$5,0)</f>
        <v>1</v>
      </c>
      <c r="AC9" s="33" t="n">
        <f aca="false">IF(AND(N('Hiring plan'!$F$5)&gt;0,AC$3&gt;='Hiring plan'!$G$5,AC$3&lt;=IF('Hiring plan'!$H$5="",999,'Hiring plan'!$H$5)),'Hiring plan'!$F$5,0)</f>
        <v>1</v>
      </c>
      <c r="AD9" s="33" t="n">
        <f aca="false">IF(AND(N('Hiring plan'!$F$5)&gt;0,AD$3&gt;='Hiring plan'!$G$5,AD$3&lt;=IF('Hiring plan'!$H$5="",999,'Hiring plan'!$H$5)),'Hiring plan'!$F$5,0)</f>
        <v>1</v>
      </c>
      <c r="AE9" s="33" t="n">
        <f aca="false">IF(AND(N('Hiring plan'!$F$5)&gt;0,AE$3&gt;='Hiring plan'!$G$5,AE$3&lt;=IF('Hiring plan'!$H$5="",999,'Hiring plan'!$H$5)),'Hiring plan'!$F$5,0)</f>
        <v>1</v>
      </c>
      <c r="AF9" s="33" t="n">
        <f aca="false">IF(AND(N('Hiring plan'!$F$5)&gt;0,AF$3&gt;='Hiring plan'!$G$5,AF$3&lt;=IF('Hiring plan'!$H$5="",999,'Hiring plan'!$H$5)),'Hiring plan'!$F$5,0)</f>
        <v>1</v>
      </c>
      <c r="AG9" s="33" t="n">
        <f aca="false">IF(AND(N('Hiring plan'!$F$5)&gt;0,AG$3&gt;='Hiring plan'!$G$5,AG$3&lt;=IF('Hiring plan'!$H$5="",999,'Hiring plan'!$H$5)),'Hiring plan'!$F$5,0)</f>
        <v>1</v>
      </c>
      <c r="AH9" s="33" t="n">
        <f aca="false">IF(AND(N('Hiring plan'!$F$5)&gt;0,AH$3&gt;='Hiring plan'!$G$5,AH$3&lt;=IF('Hiring plan'!$H$5="",999,'Hiring plan'!$H$5)),'Hiring plan'!$F$5,0)</f>
        <v>1</v>
      </c>
      <c r="AI9" s="33" t="n">
        <f aca="false">IF(AND(N('Hiring plan'!$F$5)&gt;0,AI$3&gt;='Hiring plan'!$G$5,AI$3&lt;=IF('Hiring plan'!$H$5="",999,'Hiring plan'!$H$5)),'Hiring plan'!$F$5,0)</f>
        <v>1</v>
      </c>
      <c r="AJ9" s="33" t="n">
        <f aca="false">IF(AND(N('Hiring plan'!$F$5)&gt;0,AJ$3&gt;='Hiring plan'!$G$5,AJ$3&lt;=IF('Hiring plan'!$H$5="",999,'Hiring plan'!$H$5)),'Hiring plan'!$F$5,0)</f>
        <v>1</v>
      </c>
      <c r="AK9" s="33" t="n">
        <f aca="false">IF(AND(N('Hiring plan'!$F$5)&gt;0,AK$3&gt;='Hiring plan'!$G$5,AK$3&lt;=IF('Hiring plan'!$H$5="",999,'Hiring plan'!$H$5)),'Hiring plan'!$F$5,0)</f>
        <v>1</v>
      </c>
      <c r="AL9" s="33" t="n">
        <f aca="false">IF(AND(N('Hiring plan'!$F$5)&gt;0,AL$3&gt;='Hiring plan'!$G$5,AL$3&lt;=IF('Hiring plan'!$H$5="",999,'Hiring plan'!$H$5)),'Hiring plan'!$F$5,0)</f>
        <v>1</v>
      </c>
      <c r="AM9" s="33" t="n">
        <f aca="false">IF(AND(N('Hiring plan'!$F$5)&gt;0,AM$3&gt;='Hiring plan'!$G$5,AM$3&lt;=IF('Hiring plan'!$H$5="",999,'Hiring plan'!$H$5)),'Hiring plan'!$F$5,0)</f>
        <v>1</v>
      </c>
      <c r="AN9" s="33" t="n">
        <f aca="false">IF(AND(N('Hiring plan'!$F$5)&gt;0,AN$3&gt;='Hiring plan'!$G$5,AN$3&lt;=IF('Hiring plan'!$H$5="",999,'Hiring plan'!$H$5)),'Hiring plan'!$F$5,0)</f>
        <v>1</v>
      </c>
      <c r="AO9" s="33" t="n">
        <f aca="false">IF(AND(N('Hiring plan'!$F$5)&gt;0,AO$3&gt;='Hiring plan'!$G$5,AO$3&lt;=IF('Hiring plan'!$H$5="",999,'Hiring plan'!$H$5)),'Hiring plan'!$F$5,0)</f>
        <v>1</v>
      </c>
      <c r="AP9" s="33" t="n">
        <f aca="false">IF(AND(N('Hiring plan'!$F$5)&gt;0,AP$3&gt;='Hiring plan'!$G$5,AP$3&lt;=IF('Hiring plan'!$H$5="",999,'Hiring plan'!$H$5)),'Hiring plan'!$F$5,0)</f>
        <v>1</v>
      </c>
      <c r="AQ9" s="33" t="n">
        <f aca="false">IF(AND(N('Hiring plan'!$F$5)&gt;0,AQ$3&gt;='Hiring plan'!$G$5,AQ$3&lt;=IF('Hiring plan'!$H$5="",999,'Hiring plan'!$H$5)),'Hiring plan'!$F$5,0)</f>
        <v>1</v>
      </c>
      <c r="AR9" s="33" t="n">
        <f aca="false">IF(AND(N('Hiring plan'!$F$5)&gt;0,AR$3&gt;='Hiring plan'!$G$5,AR$3&lt;=IF('Hiring plan'!$H$5="",999,'Hiring plan'!$H$5)),'Hiring plan'!$F$5,0)</f>
        <v>1</v>
      </c>
      <c r="AS9" s="33" t="n">
        <f aca="false">IF(AND(N('Hiring plan'!$F$5)&gt;0,AS$3&gt;='Hiring plan'!$G$5,AS$3&lt;=IF('Hiring plan'!$H$5="",999,'Hiring plan'!$H$5)),'Hiring plan'!$F$5,0)</f>
        <v>1</v>
      </c>
      <c r="AT9" s="33" t="n">
        <f aca="false">IF(AND(N('Hiring plan'!$F$5)&gt;0,AT$3&gt;='Hiring plan'!$G$5,AT$3&lt;=IF('Hiring plan'!$H$5="",999,'Hiring plan'!$H$5)),'Hiring plan'!$F$5,0)</f>
        <v>1</v>
      </c>
      <c r="AU9" s="33" t="n">
        <f aca="false">IF(AND(N('Hiring plan'!$F$5)&gt;0,AU$3&gt;='Hiring plan'!$G$5,AU$3&lt;=IF('Hiring plan'!$H$5="",999,'Hiring plan'!$H$5)),'Hiring plan'!$F$5,0)</f>
        <v>1</v>
      </c>
      <c r="AV9" s="33" t="n">
        <f aca="false">IF(AND(N('Hiring plan'!$F$5)&gt;0,AV$3&gt;='Hiring plan'!$G$5,AV$3&lt;=IF('Hiring plan'!$H$5="",999,'Hiring plan'!$H$5)),'Hiring plan'!$F$5,0)</f>
        <v>1</v>
      </c>
      <c r="AW9" s="33" t="n">
        <f aca="false">IF(AND(N('Hiring plan'!$F$5)&gt;0,AW$3&gt;='Hiring plan'!$G$5,AW$3&lt;=IF('Hiring plan'!$H$5="",999,'Hiring plan'!$H$5)),'Hiring plan'!$F$5,0)</f>
        <v>1</v>
      </c>
      <c r="AX9" s="33" t="n">
        <f aca="false">IF(AND(N('Hiring plan'!$F$5)&gt;0,AX$3&gt;='Hiring plan'!$G$5,AX$3&lt;=IF('Hiring plan'!$H$5="",999,'Hiring plan'!$H$5)),'Hiring plan'!$F$5,0)</f>
        <v>1</v>
      </c>
      <c r="AY9" s="33" t="n">
        <f aca="false">IF(AND(N('Hiring plan'!$F$5)&gt;0,AY$3&gt;='Hiring plan'!$G$5,AY$3&lt;=IF('Hiring plan'!$H$5="",999,'Hiring plan'!$H$5)),'Hiring plan'!$F$5,0)</f>
        <v>1</v>
      </c>
      <c r="AZ9" s="33" t="n">
        <f aca="false">IF(AND(N('Hiring plan'!$F$5)&gt;0,AZ$3&gt;='Hiring plan'!$G$5,AZ$3&lt;=IF('Hiring plan'!$H$5="",999,'Hiring plan'!$H$5)),'Hiring plan'!$F$5,0)</f>
        <v>1</v>
      </c>
      <c r="BA9" s="33" t="n">
        <f aca="false">IF(AND(N('Hiring plan'!$F$5)&gt;0,BA$3&gt;='Hiring plan'!$G$5,BA$3&lt;=IF('Hiring plan'!$H$5="",999,'Hiring plan'!$H$5)),'Hiring plan'!$F$5,0)</f>
        <v>1</v>
      </c>
      <c r="BB9" s="33" t="n">
        <f aca="false">IF(AND(N('Hiring plan'!$F$5)&gt;0,BB$3&gt;='Hiring plan'!$G$5,BB$3&lt;=IF('Hiring plan'!$H$5="",999,'Hiring plan'!$H$5)),'Hiring plan'!$F$5,0)</f>
        <v>1</v>
      </c>
      <c r="BC9" s="33" t="n">
        <f aca="false">IF(AND(N('Hiring plan'!$F$5)&gt;0,BC$3&gt;='Hiring plan'!$G$5,BC$3&lt;=IF('Hiring plan'!$H$5="",999,'Hiring plan'!$H$5)),'Hiring plan'!$F$5,0)</f>
        <v>1</v>
      </c>
      <c r="BD9" s="33" t="n">
        <f aca="false">IF(AND(N('Hiring plan'!$F$5)&gt;0,BD$3&gt;='Hiring plan'!$G$5,BD$3&lt;=IF('Hiring plan'!$H$5="",999,'Hiring plan'!$H$5)),'Hiring plan'!$F$5,0)</f>
        <v>1</v>
      </c>
      <c r="BE9" s="33" t="n">
        <f aca="false">IF(AND(N('Hiring plan'!$F$5)&gt;0,BE$3&gt;='Hiring plan'!$G$5,BE$3&lt;=IF('Hiring plan'!$H$5="",999,'Hiring plan'!$H$5)),'Hiring plan'!$F$5,0)</f>
        <v>1</v>
      </c>
      <c r="BF9" s="33" t="n">
        <f aca="false">IF(AND(N('Hiring plan'!$F$5)&gt;0,BF$3&gt;='Hiring plan'!$G$5,BF$3&lt;=IF('Hiring plan'!$H$5="",999,'Hiring plan'!$H$5)),'Hiring plan'!$F$5,0)</f>
        <v>1</v>
      </c>
      <c r="BG9" s="33" t="n">
        <f aca="false">IF(AND(N('Hiring plan'!$F$5)&gt;0,BG$3&gt;='Hiring plan'!$G$5,BG$3&lt;=IF('Hiring plan'!$H$5="",999,'Hiring plan'!$H$5)),'Hiring plan'!$F$5,0)</f>
        <v>1</v>
      </c>
      <c r="BH9" s="33" t="n">
        <f aca="false">IF(AND(N('Hiring plan'!$F$5)&gt;0,BH$3&gt;='Hiring plan'!$G$5,BH$3&lt;=IF('Hiring plan'!$H$5="",999,'Hiring plan'!$H$5)),'Hiring plan'!$F$5,0)</f>
        <v>1</v>
      </c>
      <c r="BI9" s="33" t="n">
        <f aca="false">IF(AND(N('Hiring plan'!$F$5)&gt;0,BI$3&gt;='Hiring plan'!$G$5,BI$3&lt;=IF('Hiring plan'!$H$5="",999,'Hiring plan'!$H$5)),'Hiring plan'!$F$5,0)</f>
        <v>1</v>
      </c>
      <c r="BJ9" s="33" t="n">
        <f aca="false">IF(AND(N('Hiring plan'!$F$5)&gt;0,BJ$3&gt;='Hiring plan'!$G$5,BJ$3&lt;=IF('Hiring plan'!$H$5="",999,'Hiring plan'!$H$5)),'Hiring plan'!$F$5,0)</f>
        <v>1</v>
      </c>
      <c r="BK9" s="33" t="n">
        <f aca="false">IF(AND(N('Hiring plan'!$F$5)&gt;0,BK$3&gt;='Hiring plan'!$G$5,BK$3&lt;=IF('Hiring plan'!$H$5="",999,'Hiring plan'!$H$5)),'Hiring plan'!$F$5,0)</f>
        <v>1</v>
      </c>
      <c r="BL9" s="33" t="n">
        <f aca="false">IF(AND(N('Hiring plan'!$F$5)&gt;0,BL$3&gt;='Hiring plan'!$G$5,BL$3&lt;=IF('Hiring plan'!$H$5="",999,'Hiring plan'!$H$5)),'Hiring plan'!$F$5,0)</f>
        <v>1</v>
      </c>
    </row>
    <row r="10" customFormat="false" ht="15" hidden="false" customHeight="true" outlineLevel="0" collapsed="false">
      <c r="A10" s="13" t="str">
        <f aca="false">IF('Hiring plan'!$C$6="","(spare line 2)",'Hiring plan'!$C$6&amp;" · "&amp;'Hiring plan'!$D$6)</f>
        <v>CTO (also codes) · SN</v>
      </c>
      <c r="B10" s="15" t="s">
        <v>92</v>
      </c>
      <c r="D10" s="56" t="n">
        <f aca="false">MAX(E10:BL10)</f>
        <v>1</v>
      </c>
      <c r="E10" s="33" t="n">
        <f aca="false">IF(AND(N('Hiring plan'!$F$6)&gt;0,E$3&gt;='Hiring plan'!$G$6,E$3&lt;=IF('Hiring plan'!$H$6="",999,'Hiring plan'!$H$6)),'Hiring plan'!$F$6,0)</f>
        <v>1</v>
      </c>
      <c r="F10" s="33" t="n">
        <f aca="false">IF(AND(N('Hiring plan'!$F$6)&gt;0,F$3&gt;='Hiring plan'!$G$6,F$3&lt;=IF('Hiring plan'!$H$6="",999,'Hiring plan'!$H$6)),'Hiring plan'!$F$6,0)</f>
        <v>1</v>
      </c>
      <c r="G10" s="33" t="n">
        <f aca="false">IF(AND(N('Hiring plan'!$F$6)&gt;0,G$3&gt;='Hiring plan'!$G$6,G$3&lt;=IF('Hiring plan'!$H$6="",999,'Hiring plan'!$H$6)),'Hiring plan'!$F$6,0)</f>
        <v>1</v>
      </c>
      <c r="H10" s="33" t="n">
        <f aca="false">IF(AND(N('Hiring plan'!$F$6)&gt;0,H$3&gt;='Hiring plan'!$G$6,H$3&lt;=IF('Hiring plan'!$H$6="",999,'Hiring plan'!$H$6)),'Hiring plan'!$F$6,0)</f>
        <v>1</v>
      </c>
      <c r="I10" s="33" t="n">
        <f aca="false">IF(AND(N('Hiring plan'!$F$6)&gt;0,I$3&gt;='Hiring plan'!$G$6,I$3&lt;=IF('Hiring plan'!$H$6="",999,'Hiring plan'!$H$6)),'Hiring plan'!$F$6,0)</f>
        <v>1</v>
      </c>
      <c r="J10" s="33" t="n">
        <f aca="false">IF(AND(N('Hiring plan'!$F$6)&gt;0,J$3&gt;='Hiring plan'!$G$6,J$3&lt;=IF('Hiring plan'!$H$6="",999,'Hiring plan'!$H$6)),'Hiring plan'!$F$6,0)</f>
        <v>1</v>
      </c>
      <c r="K10" s="33" t="n">
        <f aca="false">IF(AND(N('Hiring plan'!$F$6)&gt;0,K$3&gt;='Hiring plan'!$G$6,K$3&lt;=IF('Hiring plan'!$H$6="",999,'Hiring plan'!$H$6)),'Hiring plan'!$F$6,0)</f>
        <v>1</v>
      </c>
      <c r="L10" s="33" t="n">
        <f aca="false">IF(AND(N('Hiring plan'!$F$6)&gt;0,L$3&gt;='Hiring plan'!$G$6,L$3&lt;=IF('Hiring plan'!$H$6="",999,'Hiring plan'!$H$6)),'Hiring plan'!$F$6,0)</f>
        <v>1</v>
      </c>
      <c r="M10" s="33" t="n">
        <f aca="false">IF(AND(N('Hiring plan'!$F$6)&gt;0,M$3&gt;='Hiring plan'!$G$6,M$3&lt;=IF('Hiring plan'!$H$6="",999,'Hiring plan'!$H$6)),'Hiring plan'!$F$6,0)</f>
        <v>1</v>
      </c>
      <c r="N10" s="33" t="n">
        <f aca="false">IF(AND(N('Hiring plan'!$F$6)&gt;0,N$3&gt;='Hiring plan'!$G$6,N$3&lt;=IF('Hiring plan'!$H$6="",999,'Hiring plan'!$H$6)),'Hiring plan'!$F$6,0)</f>
        <v>1</v>
      </c>
      <c r="O10" s="33" t="n">
        <f aca="false">IF(AND(N('Hiring plan'!$F$6)&gt;0,O$3&gt;='Hiring plan'!$G$6,O$3&lt;=IF('Hiring plan'!$H$6="",999,'Hiring plan'!$H$6)),'Hiring plan'!$F$6,0)</f>
        <v>1</v>
      </c>
      <c r="P10" s="33" t="n">
        <f aca="false">IF(AND(N('Hiring plan'!$F$6)&gt;0,P$3&gt;='Hiring plan'!$G$6,P$3&lt;=IF('Hiring plan'!$H$6="",999,'Hiring plan'!$H$6)),'Hiring plan'!$F$6,0)</f>
        <v>1</v>
      </c>
      <c r="Q10" s="33" t="n">
        <f aca="false">IF(AND(N('Hiring plan'!$F$6)&gt;0,Q$3&gt;='Hiring plan'!$G$6,Q$3&lt;=IF('Hiring plan'!$H$6="",999,'Hiring plan'!$H$6)),'Hiring plan'!$F$6,0)</f>
        <v>1</v>
      </c>
      <c r="R10" s="33" t="n">
        <f aca="false">IF(AND(N('Hiring plan'!$F$6)&gt;0,R$3&gt;='Hiring plan'!$G$6,R$3&lt;=IF('Hiring plan'!$H$6="",999,'Hiring plan'!$H$6)),'Hiring plan'!$F$6,0)</f>
        <v>1</v>
      </c>
      <c r="S10" s="33" t="n">
        <f aca="false">IF(AND(N('Hiring plan'!$F$6)&gt;0,S$3&gt;='Hiring plan'!$G$6,S$3&lt;=IF('Hiring plan'!$H$6="",999,'Hiring plan'!$H$6)),'Hiring plan'!$F$6,0)</f>
        <v>1</v>
      </c>
      <c r="T10" s="33" t="n">
        <f aca="false">IF(AND(N('Hiring plan'!$F$6)&gt;0,T$3&gt;='Hiring plan'!$G$6,T$3&lt;=IF('Hiring plan'!$H$6="",999,'Hiring plan'!$H$6)),'Hiring plan'!$F$6,0)</f>
        <v>1</v>
      </c>
      <c r="U10" s="33" t="n">
        <f aca="false">IF(AND(N('Hiring plan'!$F$6)&gt;0,U$3&gt;='Hiring plan'!$G$6,U$3&lt;=IF('Hiring plan'!$H$6="",999,'Hiring plan'!$H$6)),'Hiring plan'!$F$6,0)</f>
        <v>1</v>
      </c>
      <c r="V10" s="33" t="n">
        <f aca="false">IF(AND(N('Hiring plan'!$F$6)&gt;0,V$3&gt;='Hiring plan'!$G$6,V$3&lt;=IF('Hiring plan'!$H$6="",999,'Hiring plan'!$H$6)),'Hiring plan'!$F$6,0)</f>
        <v>1</v>
      </c>
      <c r="W10" s="33" t="n">
        <f aca="false">IF(AND(N('Hiring plan'!$F$6)&gt;0,W$3&gt;='Hiring plan'!$G$6,W$3&lt;=IF('Hiring plan'!$H$6="",999,'Hiring plan'!$H$6)),'Hiring plan'!$F$6,0)</f>
        <v>1</v>
      </c>
      <c r="X10" s="33" t="n">
        <f aca="false">IF(AND(N('Hiring plan'!$F$6)&gt;0,X$3&gt;='Hiring plan'!$G$6,X$3&lt;=IF('Hiring plan'!$H$6="",999,'Hiring plan'!$H$6)),'Hiring plan'!$F$6,0)</f>
        <v>1</v>
      </c>
      <c r="Y10" s="33" t="n">
        <f aca="false">IF(AND(N('Hiring plan'!$F$6)&gt;0,Y$3&gt;='Hiring plan'!$G$6,Y$3&lt;=IF('Hiring plan'!$H$6="",999,'Hiring plan'!$H$6)),'Hiring plan'!$F$6,0)</f>
        <v>1</v>
      </c>
      <c r="Z10" s="33" t="n">
        <f aca="false">IF(AND(N('Hiring plan'!$F$6)&gt;0,Z$3&gt;='Hiring plan'!$G$6,Z$3&lt;=IF('Hiring plan'!$H$6="",999,'Hiring plan'!$H$6)),'Hiring plan'!$F$6,0)</f>
        <v>1</v>
      </c>
      <c r="AA10" s="33" t="n">
        <f aca="false">IF(AND(N('Hiring plan'!$F$6)&gt;0,AA$3&gt;='Hiring plan'!$G$6,AA$3&lt;=IF('Hiring plan'!$H$6="",999,'Hiring plan'!$H$6)),'Hiring plan'!$F$6,0)</f>
        <v>1</v>
      </c>
      <c r="AB10" s="33" t="n">
        <f aca="false">IF(AND(N('Hiring plan'!$F$6)&gt;0,AB$3&gt;='Hiring plan'!$G$6,AB$3&lt;=IF('Hiring plan'!$H$6="",999,'Hiring plan'!$H$6)),'Hiring plan'!$F$6,0)</f>
        <v>1</v>
      </c>
      <c r="AC10" s="33" t="n">
        <f aca="false">IF(AND(N('Hiring plan'!$F$6)&gt;0,AC$3&gt;='Hiring plan'!$G$6,AC$3&lt;=IF('Hiring plan'!$H$6="",999,'Hiring plan'!$H$6)),'Hiring plan'!$F$6,0)</f>
        <v>1</v>
      </c>
      <c r="AD10" s="33" t="n">
        <f aca="false">IF(AND(N('Hiring plan'!$F$6)&gt;0,AD$3&gt;='Hiring plan'!$G$6,AD$3&lt;=IF('Hiring plan'!$H$6="",999,'Hiring plan'!$H$6)),'Hiring plan'!$F$6,0)</f>
        <v>1</v>
      </c>
      <c r="AE10" s="33" t="n">
        <f aca="false">IF(AND(N('Hiring plan'!$F$6)&gt;0,AE$3&gt;='Hiring plan'!$G$6,AE$3&lt;=IF('Hiring plan'!$H$6="",999,'Hiring plan'!$H$6)),'Hiring plan'!$F$6,0)</f>
        <v>1</v>
      </c>
      <c r="AF10" s="33" t="n">
        <f aca="false">IF(AND(N('Hiring plan'!$F$6)&gt;0,AF$3&gt;='Hiring plan'!$G$6,AF$3&lt;=IF('Hiring plan'!$H$6="",999,'Hiring plan'!$H$6)),'Hiring plan'!$F$6,0)</f>
        <v>1</v>
      </c>
      <c r="AG10" s="33" t="n">
        <f aca="false">IF(AND(N('Hiring plan'!$F$6)&gt;0,AG$3&gt;='Hiring plan'!$G$6,AG$3&lt;=IF('Hiring plan'!$H$6="",999,'Hiring plan'!$H$6)),'Hiring plan'!$F$6,0)</f>
        <v>1</v>
      </c>
      <c r="AH10" s="33" t="n">
        <f aca="false">IF(AND(N('Hiring plan'!$F$6)&gt;0,AH$3&gt;='Hiring plan'!$G$6,AH$3&lt;=IF('Hiring plan'!$H$6="",999,'Hiring plan'!$H$6)),'Hiring plan'!$F$6,0)</f>
        <v>1</v>
      </c>
      <c r="AI10" s="33" t="n">
        <f aca="false">IF(AND(N('Hiring plan'!$F$6)&gt;0,AI$3&gt;='Hiring plan'!$G$6,AI$3&lt;=IF('Hiring plan'!$H$6="",999,'Hiring plan'!$H$6)),'Hiring plan'!$F$6,0)</f>
        <v>1</v>
      </c>
      <c r="AJ10" s="33" t="n">
        <f aca="false">IF(AND(N('Hiring plan'!$F$6)&gt;0,AJ$3&gt;='Hiring plan'!$G$6,AJ$3&lt;=IF('Hiring plan'!$H$6="",999,'Hiring plan'!$H$6)),'Hiring plan'!$F$6,0)</f>
        <v>1</v>
      </c>
      <c r="AK10" s="33" t="n">
        <f aca="false">IF(AND(N('Hiring plan'!$F$6)&gt;0,AK$3&gt;='Hiring plan'!$G$6,AK$3&lt;=IF('Hiring plan'!$H$6="",999,'Hiring plan'!$H$6)),'Hiring plan'!$F$6,0)</f>
        <v>1</v>
      </c>
      <c r="AL10" s="33" t="n">
        <f aca="false">IF(AND(N('Hiring plan'!$F$6)&gt;0,AL$3&gt;='Hiring plan'!$G$6,AL$3&lt;=IF('Hiring plan'!$H$6="",999,'Hiring plan'!$H$6)),'Hiring plan'!$F$6,0)</f>
        <v>1</v>
      </c>
      <c r="AM10" s="33" t="n">
        <f aca="false">IF(AND(N('Hiring plan'!$F$6)&gt;0,AM$3&gt;='Hiring plan'!$G$6,AM$3&lt;=IF('Hiring plan'!$H$6="",999,'Hiring plan'!$H$6)),'Hiring plan'!$F$6,0)</f>
        <v>1</v>
      </c>
      <c r="AN10" s="33" t="n">
        <f aca="false">IF(AND(N('Hiring plan'!$F$6)&gt;0,AN$3&gt;='Hiring plan'!$G$6,AN$3&lt;=IF('Hiring plan'!$H$6="",999,'Hiring plan'!$H$6)),'Hiring plan'!$F$6,0)</f>
        <v>1</v>
      </c>
      <c r="AO10" s="33" t="n">
        <f aca="false">IF(AND(N('Hiring plan'!$F$6)&gt;0,AO$3&gt;='Hiring plan'!$G$6,AO$3&lt;=IF('Hiring plan'!$H$6="",999,'Hiring plan'!$H$6)),'Hiring plan'!$F$6,0)</f>
        <v>1</v>
      </c>
      <c r="AP10" s="33" t="n">
        <f aca="false">IF(AND(N('Hiring plan'!$F$6)&gt;0,AP$3&gt;='Hiring plan'!$G$6,AP$3&lt;=IF('Hiring plan'!$H$6="",999,'Hiring plan'!$H$6)),'Hiring plan'!$F$6,0)</f>
        <v>1</v>
      </c>
      <c r="AQ10" s="33" t="n">
        <f aca="false">IF(AND(N('Hiring plan'!$F$6)&gt;0,AQ$3&gt;='Hiring plan'!$G$6,AQ$3&lt;=IF('Hiring plan'!$H$6="",999,'Hiring plan'!$H$6)),'Hiring plan'!$F$6,0)</f>
        <v>1</v>
      </c>
      <c r="AR10" s="33" t="n">
        <f aca="false">IF(AND(N('Hiring plan'!$F$6)&gt;0,AR$3&gt;='Hiring plan'!$G$6,AR$3&lt;=IF('Hiring plan'!$H$6="",999,'Hiring plan'!$H$6)),'Hiring plan'!$F$6,0)</f>
        <v>1</v>
      </c>
      <c r="AS10" s="33" t="n">
        <f aca="false">IF(AND(N('Hiring plan'!$F$6)&gt;0,AS$3&gt;='Hiring plan'!$G$6,AS$3&lt;=IF('Hiring plan'!$H$6="",999,'Hiring plan'!$H$6)),'Hiring plan'!$F$6,0)</f>
        <v>1</v>
      </c>
      <c r="AT10" s="33" t="n">
        <f aca="false">IF(AND(N('Hiring plan'!$F$6)&gt;0,AT$3&gt;='Hiring plan'!$G$6,AT$3&lt;=IF('Hiring plan'!$H$6="",999,'Hiring plan'!$H$6)),'Hiring plan'!$F$6,0)</f>
        <v>1</v>
      </c>
      <c r="AU10" s="33" t="n">
        <f aca="false">IF(AND(N('Hiring plan'!$F$6)&gt;0,AU$3&gt;='Hiring plan'!$G$6,AU$3&lt;=IF('Hiring plan'!$H$6="",999,'Hiring plan'!$H$6)),'Hiring plan'!$F$6,0)</f>
        <v>1</v>
      </c>
      <c r="AV10" s="33" t="n">
        <f aca="false">IF(AND(N('Hiring plan'!$F$6)&gt;0,AV$3&gt;='Hiring plan'!$G$6,AV$3&lt;=IF('Hiring plan'!$H$6="",999,'Hiring plan'!$H$6)),'Hiring plan'!$F$6,0)</f>
        <v>1</v>
      </c>
      <c r="AW10" s="33" t="n">
        <f aca="false">IF(AND(N('Hiring plan'!$F$6)&gt;0,AW$3&gt;='Hiring plan'!$G$6,AW$3&lt;=IF('Hiring plan'!$H$6="",999,'Hiring plan'!$H$6)),'Hiring plan'!$F$6,0)</f>
        <v>1</v>
      </c>
      <c r="AX10" s="33" t="n">
        <f aca="false">IF(AND(N('Hiring plan'!$F$6)&gt;0,AX$3&gt;='Hiring plan'!$G$6,AX$3&lt;=IF('Hiring plan'!$H$6="",999,'Hiring plan'!$H$6)),'Hiring plan'!$F$6,0)</f>
        <v>1</v>
      </c>
      <c r="AY10" s="33" t="n">
        <f aca="false">IF(AND(N('Hiring plan'!$F$6)&gt;0,AY$3&gt;='Hiring plan'!$G$6,AY$3&lt;=IF('Hiring plan'!$H$6="",999,'Hiring plan'!$H$6)),'Hiring plan'!$F$6,0)</f>
        <v>1</v>
      </c>
      <c r="AZ10" s="33" t="n">
        <f aca="false">IF(AND(N('Hiring plan'!$F$6)&gt;0,AZ$3&gt;='Hiring plan'!$G$6,AZ$3&lt;=IF('Hiring plan'!$H$6="",999,'Hiring plan'!$H$6)),'Hiring plan'!$F$6,0)</f>
        <v>1</v>
      </c>
      <c r="BA10" s="33" t="n">
        <f aca="false">IF(AND(N('Hiring plan'!$F$6)&gt;0,BA$3&gt;='Hiring plan'!$G$6,BA$3&lt;=IF('Hiring plan'!$H$6="",999,'Hiring plan'!$H$6)),'Hiring plan'!$F$6,0)</f>
        <v>1</v>
      </c>
      <c r="BB10" s="33" t="n">
        <f aca="false">IF(AND(N('Hiring plan'!$F$6)&gt;0,BB$3&gt;='Hiring plan'!$G$6,BB$3&lt;=IF('Hiring plan'!$H$6="",999,'Hiring plan'!$H$6)),'Hiring plan'!$F$6,0)</f>
        <v>1</v>
      </c>
      <c r="BC10" s="33" t="n">
        <f aca="false">IF(AND(N('Hiring plan'!$F$6)&gt;0,BC$3&gt;='Hiring plan'!$G$6,BC$3&lt;=IF('Hiring plan'!$H$6="",999,'Hiring plan'!$H$6)),'Hiring plan'!$F$6,0)</f>
        <v>1</v>
      </c>
      <c r="BD10" s="33" t="n">
        <f aca="false">IF(AND(N('Hiring plan'!$F$6)&gt;0,BD$3&gt;='Hiring plan'!$G$6,BD$3&lt;=IF('Hiring plan'!$H$6="",999,'Hiring plan'!$H$6)),'Hiring plan'!$F$6,0)</f>
        <v>1</v>
      </c>
      <c r="BE10" s="33" t="n">
        <f aca="false">IF(AND(N('Hiring plan'!$F$6)&gt;0,BE$3&gt;='Hiring plan'!$G$6,BE$3&lt;=IF('Hiring plan'!$H$6="",999,'Hiring plan'!$H$6)),'Hiring plan'!$F$6,0)</f>
        <v>1</v>
      </c>
      <c r="BF10" s="33" t="n">
        <f aca="false">IF(AND(N('Hiring plan'!$F$6)&gt;0,BF$3&gt;='Hiring plan'!$G$6,BF$3&lt;=IF('Hiring plan'!$H$6="",999,'Hiring plan'!$H$6)),'Hiring plan'!$F$6,0)</f>
        <v>1</v>
      </c>
      <c r="BG10" s="33" t="n">
        <f aca="false">IF(AND(N('Hiring plan'!$F$6)&gt;0,BG$3&gt;='Hiring plan'!$G$6,BG$3&lt;=IF('Hiring plan'!$H$6="",999,'Hiring plan'!$H$6)),'Hiring plan'!$F$6,0)</f>
        <v>1</v>
      </c>
      <c r="BH10" s="33" t="n">
        <f aca="false">IF(AND(N('Hiring plan'!$F$6)&gt;0,BH$3&gt;='Hiring plan'!$G$6,BH$3&lt;=IF('Hiring plan'!$H$6="",999,'Hiring plan'!$H$6)),'Hiring plan'!$F$6,0)</f>
        <v>1</v>
      </c>
      <c r="BI10" s="33" t="n">
        <f aca="false">IF(AND(N('Hiring plan'!$F$6)&gt;0,BI$3&gt;='Hiring plan'!$G$6,BI$3&lt;=IF('Hiring plan'!$H$6="",999,'Hiring plan'!$H$6)),'Hiring plan'!$F$6,0)</f>
        <v>1</v>
      </c>
      <c r="BJ10" s="33" t="n">
        <f aca="false">IF(AND(N('Hiring plan'!$F$6)&gt;0,BJ$3&gt;='Hiring plan'!$G$6,BJ$3&lt;=IF('Hiring plan'!$H$6="",999,'Hiring plan'!$H$6)),'Hiring plan'!$F$6,0)</f>
        <v>1</v>
      </c>
      <c r="BK10" s="33" t="n">
        <f aca="false">IF(AND(N('Hiring plan'!$F$6)&gt;0,BK$3&gt;='Hiring plan'!$G$6,BK$3&lt;=IF('Hiring plan'!$H$6="",999,'Hiring plan'!$H$6)),'Hiring plan'!$F$6,0)</f>
        <v>1</v>
      </c>
      <c r="BL10" s="33" t="n">
        <f aca="false">IF(AND(N('Hiring plan'!$F$6)&gt;0,BL$3&gt;='Hiring plan'!$G$6,BL$3&lt;=IF('Hiring plan'!$H$6="",999,'Hiring plan'!$H$6)),'Hiring plan'!$F$6,0)</f>
        <v>1</v>
      </c>
    </row>
    <row r="11" customFormat="false" ht="15" hidden="false" customHeight="true" outlineLevel="0" collapsed="false">
      <c r="A11" s="13" t="str">
        <f aca="false">IF('Hiring plan'!$C$7="","(spare line 3)",'Hiring plan'!$C$7&amp;" · "&amp;'Hiring plan'!$D$7)</f>
        <v>Financial expert (finance, partners, credit lead) · SN</v>
      </c>
      <c r="B11" s="15" t="s">
        <v>92</v>
      </c>
      <c r="D11" s="56" t="n">
        <f aca="false">MAX(E11:BL11)</f>
        <v>1</v>
      </c>
      <c r="E11" s="33" t="n">
        <f aca="false">IF(AND(N('Hiring plan'!$F$7)&gt;0,E$3&gt;='Hiring plan'!$G$7,E$3&lt;=IF('Hiring plan'!$H$7="",999,'Hiring plan'!$H$7)),'Hiring plan'!$F$7,0)</f>
        <v>1</v>
      </c>
      <c r="F11" s="33" t="n">
        <f aca="false">IF(AND(N('Hiring plan'!$F$7)&gt;0,F$3&gt;='Hiring plan'!$G$7,F$3&lt;=IF('Hiring plan'!$H$7="",999,'Hiring plan'!$H$7)),'Hiring plan'!$F$7,0)</f>
        <v>1</v>
      </c>
      <c r="G11" s="33" t="n">
        <f aca="false">IF(AND(N('Hiring plan'!$F$7)&gt;0,G$3&gt;='Hiring plan'!$G$7,G$3&lt;=IF('Hiring plan'!$H$7="",999,'Hiring plan'!$H$7)),'Hiring plan'!$F$7,0)</f>
        <v>1</v>
      </c>
      <c r="H11" s="33" t="n">
        <f aca="false">IF(AND(N('Hiring plan'!$F$7)&gt;0,H$3&gt;='Hiring plan'!$G$7,H$3&lt;=IF('Hiring plan'!$H$7="",999,'Hiring plan'!$H$7)),'Hiring plan'!$F$7,0)</f>
        <v>1</v>
      </c>
      <c r="I11" s="33" t="n">
        <f aca="false">IF(AND(N('Hiring plan'!$F$7)&gt;0,I$3&gt;='Hiring plan'!$G$7,I$3&lt;=IF('Hiring plan'!$H$7="",999,'Hiring plan'!$H$7)),'Hiring plan'!$F$7,0)</f>
        <v>1</v>
      </c>
      <c r="J11" s="33" t="n">
        <f aca="false">IF(AND(N('Hiring plan'!$F$7)&gt;0,J$3&gt;='Hiring plan'!$G$7,J$3&lt;=IF('Hiring plan'!$H$7="",999,'Hiring plan'!$H$7)),'Hiring plan'!$F$7,0)</f>
        <v>1</v>
      </c>
      <c r="K11" s="33" t="n">
        <f aca="false">IF(AND(N('Hiring plan'!$F$7)&gt;0,K$3&gt;='Hiring plan'!$G$7,K$3&lt;=IF('Hiring plan'!$H$7="",999,'Hiring plan'!$H$7)),'Hiring plan'!$F$7,0)</f>
        <v>1</v>
      </c>
      <c r="L11" s="33" t="n">
        <f aca="false">IF(AND(N('Hiring plan'!$F$7)&gt;0,L$3&gt;='Hiring plan'!$G$7,L$3&lt;=IF('Hiring plan'!$H$7="",999,'Hiring plan'!$H$7)),'Hiring plan'!$F$7,0)</f>
        <v>1</v>
      </c>
      <c r="M11" s="33" t="n">
        <f aca="false">IF(AND(N('Hiring plan'!$F$7)&gt;0,M$3&gt;='Hiring plan'!$G$7,M$3&lt;=IF('Hiring plan'!$H$7="",999,'Hiring plan'!$H$7)),'Hiring plan'!$F$7,0)</f>
        <v>1</v>
      </c>
      <c r="N11" s="33" t="n">
        <f aca="false">IF(AND(N('Hiring plan'!$F$7)&gt;0,N$3&gt;='Hiring plan'!$G$7,N$3&lt;=IF('Hiring plan'!$H$7="",999,'Hiring plan'!$H$7)),'Hiring plan'!$F$7,0)</f>
        <v>1</v>
      </c>
      <c r="O11" s="33" t="n">
        <f aca="false">IF(AND(N('Hiring plan'!$F$7)&gt;0,O$3&gt;='Hiring plan'!$G$7,O$3&lt;=IF('Hiring plan'!$H$7="",999,'Hiring plan'!$H$7)),'Hiring plan'!$F$7,0)</f>
        <v>1</v>
      </c>
      <c r="P11" s="33" t="n">
        <f aca="false">IF(AND(N('Hiring plan'!$F$7)&gt;0,P$3&gt;='Hiring plan'!$G$7,P$3&lt;=IF('Hiring plan'!$H$7="",999,'Hiring plan'!$H$7)),'Hiring plan'!$F$7,0)</f>
        <v>1</v>
      </c>
      <c r="Q11" s="33" t="n">
        <f aca="false">IF(AND(N('Hiring plan'!$F$7)&gt;0,Q$3&gt;='Hiring plan'!$G$7,Q$3&lt;=IF('Hiring plan'!$H$7="",999,'Hiring plan'!$H$7)),'Hiring plan'!$F$7,0)</f>
        <v>1</v>
      </c>
      <c r="R11" s="33" t="n">
        <f aca="false">IF(AND(N('Hiring plan'!$F$7)&gt;0,R$3&gt;='Hiring plan'!$G$7,R$3&lt;=IF('Hiring plan'!$H$7="",999,'Hiring plan'!$H$7)),'Hiring plan'!$F$7,0)</f>
        <v>1</v>
      </c>
      <c r="S11" s="33" t="n">
        <f aca="false">IF(AND(N('Hiring plan'!$F$7)&gt;0,S$3&gt;='Hiring plan'!$G$7,S$3&lt;=IF('Hiring plan'!$H$7="",999,'Hiring plan'!$H$7)),'Hiring plan'!$F$7,0)</f>
        <v>1</v>
      </c>
      <c r="T11" s="33" t="n">
        <f aca="false">IF(AND(N('Hiring plan'!$F$7)&gt;0,T$3&gt;='Hiring plan'!$G$7,T$3&lt;=IF('Hiring plan'!$H$7="",999,'Hiring plan'!$H$7)),'Hiring plan'!$F$7,0)</f>
        <v>1</v>
      </c>
      <c r="U11" s="33" t="n">
        <f aca="false">IF(AND(N('Hiring plan'!$F$7)&gt;0,U$3&gt;='Hiring plan'!$G$7,U$3&lt;=IF('Hiring plan'!$H$7="",999,'Hiring plan'!$H$7)),'Hiring plan'!$F$7,0)</f>
        <v>1</v>
      </c>
      <c r="V11" s="33" t="n">
        <f aca="false">IF(AND(N('Hiring plan'!$F$7)&gt;0,V$3&gt;='Hiring plan'!$G$7,V$3&lt;=IF('Hiring plan'!$H$7="",999,'Hiring plan'!$H$7)),'Hiring plan'!$F$7,0)</f>
        <v>1</v>
      </c>
      <c r="W11" s="33" t="n">
        <f aca="false">IF(AND(N('Hiring plan'!$F$7)&gt;0,W$3&gt;='Hiring plan'!$G$7,W$3&lt;=IF('Hiring plan'!$H$7="",999,'Hiring plan'!$H$7)),'Hiring plan'!$F$7,0)</f>
        <v>1</v>
      </c>
      <c r="X11" s="33" t="n">
        <f aca="false">IF(AND(N('Hiring plan'!$F$7)&gt;0,X$3&gt;='Hiring plan'!$G$7,X$3&lt;=IF('Hiring plan'!$H$7="",999,'Hiring plan'!$H$7)),'Hiring plan'!$F$7,0)</f>
        <v>1</v>
      </c>
      <c r="Y11" s="33" t="n">
        <f aca="false">IF(AND(N('Hiring plan'!$F$7)&gt;0,Y$3&gt;='Hiring plan'!$G$7,Y$3&lt;=IF('Hiring plan'!$H$7="",999,'Hiring plan'!$H$7)),'Hiring plan'!$F$7,0)</f>
        <v>1</v>
      </c>
      <c r="Z11" s="33" t="n">
        <f aca="false">IF(AND(N('Hiring plan'!$F$7)&gt;0,Z$3&gt;='Hiring plan'!$G$7,Z$3&lt;=IF('Hiring plan'!$H$7="",999,'Hiring plan'!$H$7)),'Hiring plan'!$F$7,0)</f>
        <v>1</v>
      </c>
      <c r="AA11" s="33" t="n">
        <f aca="false">IF(AND(N('Hiring plan'!$F$7)&gt;0,AA$3&gt;='Hiring plan'!$G$7,AA$3&lt;=IF('Hiring plan'!$H$7="",999,'Hiring plan'!$H$7)),'Hiring plan'!$F$7,0)</f>
        <v>1</v>
      </c>
      <c r="AB11" s="33" t="n">
        <f aca="false">IF(AND(N('Hiring plan'!$F$7)&gt;0,AB$3&gt;='Hiring plan'!$G$7,AB$3&lt;=IF('Hiring plan'!$H$7="",999,'Hiring plan'!$H$7)),'Hiring plan'!$F$7,0)</f>
        <v>1</v>
      </c>
      <c r="AC11" s="33" t="n">
        <f aca="false">IF(AND(N('Hiring plan'!$F$7)&gt;0,AC$3&gt;='Hiring plan'!$G$7,AC$3&lt;=IF('Hiring plan'!$H$7="",999,'Hiring plan'!$H$7)),'Hiring plan'!$F$7,0)</f>
        <v>1</v>
      </c>
      <c r="AD11" s="33" t="n">
        <f aca="false">IF(AND(N('Hiring plan'!$F$7)&gt;0,AD$3&gt;='Hiring plan'!$G$7,AD$3&lt;=IF('Hiring plan'!$H$7="",999,'Hiring plan'!$H$7)),'Hiring plan'!$F$7,0)</f>
        <v>1</v>
      </c>
      <c r="AE11" s="33" t="n">
        <f aca="false">IF(AND(N('Hiring plan'!$F$7)&gt;0,AE$3&gt;='Hiring plan'!$G$7,AE$3&lt;=IF('Hiring plan'!$H$7="",999,'Hiring plan'!$H$7)),'Hiring plan'!$F$7,0)</f>
        <v>1</v>
      </c>
      <c r="AF11" s="33" t="n">
        <f aca="false">IF(AND(N('Hiring plan'!$F$7)&gt;0,AF$3&gt;='Hiring plan'!$G$7,AF$3&lt;=IF('Hiring plan'!$H$7="",999,'Hiring plan'!$H$7)),'Hiring plan'!$F$7,0)</f>
        <v>1</v>
      </c>
      <c r="AG11" s="33" t="n">
        <f aca="false">IF(AND(N('Hiring plan'!$F$7)&gt;0,AG$3&gt;='Hiring plan'!$G$7,AG$3&lt;=IF('Hiring plan'!$H$7="",999,'Hiring plan'!$H$7)),'Hiring plan'!$F$7,0)</f>
        <v>1</v>
      </c>
      <c r="AH11" s="33" t="n">
        <f aca="false">IF(AND(N('Hiring plan'!$F$7)&gt;0,AH$3&gt;='Hiring plan'!$G$7,AH$3&lt;=IF('Hiring plan'!$H$7="",999,'Hiring plan'!$H$7)),'Hiring plan'!$F$7,0)</f>
        <v>1</v>
      </c>
      <c r="AI11" s="33" t="n">
        <f aca="false">IF(AND(N('Hiring plan'!$F$7)&gt;0,AI$3&gt;='Hiring plan'!$G$7,AI$3&lt;=IF('Hiring plan'!$H$7="",999,'Hiring plan'!$H$7)),'Hiring plan'!$F$7,0)</f>
        <v>1</v>
      </c>
      <c r="AJ11" s="33" t="n">
        <f aca="false">IF(AND(N('Hiring plan'!$F$7)&gt;0,AJ$3&gt;='Hiring plan'!$G$7,AJ$3&lt;=IF('Hiring plan'!$H$7="",999,'Hiring plan'!$H$7)),'Hiring plan'!$F$7,0)</f>
        <v>1</v>
      </c>
      <c r="AK11" s="33" t="n">
        <f aca="false">IF(AND(N('Hiring plan'!$F$7)&gt;0,AK$3&gt;='Hiring plan'!$G$7,AK$3&lt;=IF('Hiring plan'!$H$7="",999,'Hiring plan'!$H$7)),'Hiring plan'!$F$7,0)</f>
        <v>1</v>
      </c>
      <c r="AL11" s="33" t="n">
        <f aca="false">IF(AND(N('Hiring plan'!$F$7)&gt;0,AL$3&gt;='Hiring plan'!$G$7,AL$3&lt;=IF('Hiring plan'!$H$7="",999,'Hiring plan'!$H$7)),'Hiring plan'!$F$7,0)</f>
        <v>1</v>
      </c>
      <c r="AM11" s="33" t="n">
        <f aca="false">IF(AND(N('Hiring plan'!$F$7)&gt;0,AM$3&gt;='Hiring plan'!$G$7,AM$3&lt;=IF('Hiring plan'!$H$7="",999,'Hiring plan'!$H$7)),'Hiring plan'!$F$7,0)</f>
        <v>1</v>
      </c>
      <c r="AN11" s="33" t="n">
        <f aca="false">IF(AND(N('Hiring plan'!$F$7)&gt;0,AN$3&gt;='Hiring plan'!$G$7,AN$3&lt;=IF('Hiring plan'!$H$7="",999,'Hiring plan'!$H$7)),'Hiring plan'!$F$7,0)</f>
        <v>1</v>
      </c>
      <c r="AO11" s="33" t="n">
        <f aca="false">IF(AND(N('Hiring plan'!$F$7)&gt;0,AO$3&gt;='Hiring plan'!$G$7,AO$3&lt;=IF('Hiring plan'!$H$7="",999,'Hiring plan'!$H$7)),'Hiring plan'!$F$7,0)</f>
        <v>1</v>
      </c>
      <c r="AP11" s="33" t="n">
        <f aca="false">IF(AND(N('Hiring plan'!$F$7)&gt;0,AP$3&gt;='Hiring plan'!$G$7,AP$3&lt;=IF('Hiring plan'!$H$7="",999,'Hiring plan'!$H$7)),'Hiring plan'!$F$7,0)</f>
        <v>1</v>
      </c>
      <c r="AQ11" s="33" t="n">
        <f aca="false">IF(AND(N('Hiring plan'!$F$7)&gt;0,AQ$3&gt;='Hiring plan'!$G$7,AQ$3&lt;=IF('Hiring plan'!$H$7="",999,'Hiring plan'!$H$7)),'Hiring plan'!$F$7,0)</f>
        <v>1</v>
      </c>
      <c r="AR11" s="33" t="n">
        <f aca="false">IF(AND(N('Hiring plan'!$F$7)&gt;0,AR$3&gt;='Hiring plan'!$G$7,AR$3&lt;=IF('Hiring plan'!$H$7="",999,'Hiring plan'!$H$7)),'Hiring plan'!$F$7,0)</f>
        <v>1</v>
      </c>
      <c r="AS11" s="33" t="n">
        <f aca="false">IF(AND(N('Hiring plan'!$F$7)&gt;0,AS$3&gt;='Hiring plan'!$G$7,AS$3&lt;=IF('Hiring plan'!$H$7="",999,'Hiring plan'!$H$7)),'Hiring plan'!$F$7,0)</f>
        <v>1</v>
      </c>
      <c r="AT11" s="33" t="n">
        <f aca="false">IF(AND(N('Hiring plan'!$F$7)&gt;0,AT$3&gt;='Hiring plan'!$G$7,AT$3&lt;=IF('Hiring plan'!$H$7="",999,'Hiring plan'!$H$7)),'Hiring plan'!$F$7,0)</f>
        <v>1</v>
      </c>
      <c r="AU11" s="33" t="n">
        <f aca="false">IF(AND(N('Hiring plan'!$F$7)&gt;0,AU$3&gt;='Hiring plan'!$G$7,AU$3&lt;=IF('Hiring plan'!$H$7="",999,'Hiring plan'!$H$7)),'Hiring plan'!$F$7,0)</f>
        <v>1</v>
      </c>
      <c r="AV11" s="33" t="n">
        <f aca="false">IF(AND(N('Hiring plan'!$F$7)&gt;0,AV$3&gt;='Hiring plan'!$G$7,AV$3&lt;=IF('Hiring plan'!$H$7="",999,'Hiring plan'!$H$7)),'Hiring plan'!$F$7,0)</f>
        <v>1</v>
      </c>
      <c r="AW11" s="33" t="n">
        <f aca="false">IF(AND(N('Hiring plan'!$F$7)&gt;0,AW$3&gt;='Hiring plan'!$G$7,AW$3&lt;=IF('Hiring plan'!$H$7="",999,'Hiring plan'!$H$7)),'Hiring plan'!$F$7,0)</f>
        <v>1</v>
      </c>
      <c r="AX11" s="33" t="n">
        <f aca="false">IF(AND(N('Hiring plan'!$F$7)&gt;0,AX$3&gt;='Hiring plan'!$G$7,AX$3&lt;=IF('Hiring plan'!$H$7="",999,'Hiring plan'!$H$7)),'Hiring plan'!$F$7,0)</f>
        <v>1</v>
      </c>
      <c r="AY11" s="33" t="n">
        <f aca="false">IF(AND(N('Hiring plan'!$F$7)&gt;0,AY$3&gt;='Hiring plan'!$G$7,AY$3&lt;=IF('Hiring plan'!$H$7="",999,'Hiring plan'!$H$7)),'Hiring plan'!$F$7,0)</f>
        <v>1</v>
      </c>
      <c r="AZ11" s="33" t="n">
        <f aca="false">IF(AND(N('Hiring plan'!$F$7)&gt;0,AZ$3&gt;='Hiring plan'!$G$7,AZ$3&lt;=IF('Hiring plan'!$H$7="",999,'Hiring plan'!$H$7)),'Hiring plan'!$F$7,0)</f>
        <v>1</v>
      </c>
      <c r="BA11" s="33" t="n">
        <f aca="false">IF(AND(N('Hiring plan'!$F$7)&gt;0,BA$3&gt;='Hiring plan'!$G$7,BA$3&lt;=IF('Hiring plan'!$H$7="",999,'Hiring plan'!$H$7)),'Hiring plan'!$F$7,0)</f>
        <v>1</v>
      </c>
      <c r="BB11" s="33" t="n">
        <f aca="false">IF(AND(N('Hiring plan'!$F$7)&gt;0,BB$3&gt;='Hiring plan'!$G$7,BB$3&lt;=IF('Hiring plan'!$H$7="",999,'Hiring plan'!$H$7)),'Hiring plan'!$F$7,0)</f>
        <v>1</v>
      </c>
      <c r="BC11" s="33" t="n">
        <f aca="false">IF(AND(N('Hiring plan'!$F$7)&gt;0,BC$3&gt;='Hiring plan'!$G$7,BC$3&lt;=IF('Hiring plan'!$H$7="",999,'Hiring plan'!$H$7)),'Hiring plan'!$F$7,0)</f>
        <v>1</v>
      </c>
      <c r="BD11" s="33" t="n">
        <f aca="false">IF(AND(N('Hiring plan'!$F$7)&gt;0,BD$3&gt;='Hiring plan'!$G$7,BD$3&lt;=IF('Hiring plan'!$H$7="",999,'Hiring plan'!$H$7)),'Hiring plan'!$F$7,0)</f>
        <v>1</v>
      </c>
      <c r="BE11" s="33" t="n">
        <f aca="false">IF(AND(N('Hiring plan'!$F$7)&gt;0,BE$3&gt;='Hiring plan'!$G$7,BE$3&lt;=IF('Hiring plan'!$H$7="",999,'Hiring plan'!$H$7)),'Hiring plan'!$F$7,0)</f>
        <v>1</v>
      </c>
      <c r="BF11" s="33" t="n">
        <f aca="false">IF(AND(N('Hiring plan'!$F$7)&gt;0,BF$3&gt;='Hiring plan'!$G$7,BF$3&lt;=IF('Hiring plan'!$H$7="",999,'Hiring plan'!$H$7)),'Hiring plan'!$F$7,0)</f>
        <v>1</v>
      </c>
      <c r="BG11" s="33" t="n">
        <f aca="false">IF(AND(N('Hiring plan'!$F$7)&gt;0,BG$3&gt;='Hiring plan'!$G$7,BG$3&lt;=IF('Hiring plan'!$H$7="",999,'Hiring plan'!$H$7)),'Hiring plan'!$F$7,0)</f>
        <v>1</v>
      </c>
      <c r="BH11" s="33" t="n">
        <f aca="false">IF(AND(N('Hiring plan'!$F$7)&gt;0,BH$3&gt;='Hiring plan'!$G$7,BH$3&lt;=IF('Hiring plan'!$H$7="",999,'Hiring plan'!$H$7)),'Hiring plan'!$F$7,0)</f>
        <v>1</v>
      </c>
      <c r="BI11" s="33" t="n">
        <f aca="false">IF(AND(N('Hiring plan'!$F$7)&gt;0,BI$3&gt;='Hiring plan'!$G$7,BI$3&lt;=IF('Hiring plan'!$H$7="",999,'Hiring plan'!$H$7)),'Hiring plan'!$F$7,0)</f>
        <v>1</v>
      </c>
      <c r="BJ11" s="33" t="n">
        <f aca="false">IF(AND(N('Hiring plan'!$F$7)&gt;0,BJ$3&gt;='Hiring plan'!$G$7,BJ$3&lt;=IF('Hiring plan'!$H$7="",999,'Hiring plan'!$H$7)),'Hiring plan'!$F$7,0)</f>
        <v>1</v>
      </c>
      <c r="BK11" s="33" t="n">
        <f aca="false">IF(AND(N('Hiring plan'!$F$7)&gt;0,BK$3&gt;='Hiring plan'!$G$7,BK$3&lt;=IF('Hiring plan'!$H$7="",999,'Hiring plan'!$H$7)),'Hiring plan'!$F$7,0)</f>
        <v>1</v>
      </c>
      <c r="BL11" s="33" t="n">
        <f aca="false">IF(AND(N('Hiring plan'!$F$7)&gt;0,BL$3&gt;='Hiring plan'!$G$7,BL$3&lt;=IF('Hiring plan'!$H$7="",999,'Hiring plan'!$H$7)),'Hiring plan'!$F$7,0)</f>
        <v>1</v>
      </c>
    </row>
    <row r="12" customFormat="false" ht="15" hidden="false" customHeight="true" outlineLevel="0" collapsed="false">
      <c r="A12" s="13" t="str">
        <f aca="false">IF('Hiring plan'!$C$8="","(spare line 4)",'Hiring plan'!$C$8&amp;" · "&amp;'Hiring plan'!$D$8)</f>
        <v>Sales lead (also sells; incl. bonus) · SN</v>
      </c>
      <c r="B12" s="15" t="s">
        <v>92</v>
      </c>
      <c r="D12" s="56" t="n">
        <f aca="false">MAX(E12:BL12)</f>
        <v>1</v>
      </c>
      <c r="E12" s="33" t="n">
        <f aca="false">IF(AND(N('Hiring plan'!$F$8)&gt;0,E$3&gt;='Hiring plan'!$G$8,E$3&lt;=IF('Hiring plan'!$H$8="",999,'Hiring plan'!$H$8)),'Hiring plan'!$F$8,0)</f>
        <v>1</v>
      </c>
      <c r="F12" s="33" t="n">
        <f aca="false">IF(AND(N('Hiring plan'!$F$8)&gt;0,F$3&gt;='Hiring plan'!$G$8,F$3&lt;=IF('Hiring plan'!$H$8="",999,'Hiring plan'!$H$8)),'Hiring plan'!$F$8,0)</f>
        <v>1</v>
      </c>
      <c r="G12" s="33" t="n">
        <f aca="false">IF(AND(N('Hiring plan'!$F$8)&gt;0,G$3&gt;='Hiring plan'!$G$8,G$3&lt;=IF('Hiring plan'!$H$8="",999,'Hiring plan'!$H$8)),'Hiring plan'!$F$8,0)</f>
        <v>1</v>
      </c>
      <c r="H12" s="33" t="n">
        <f aca="false">IF(AND(N('Hiring plan'!$F$8)&gt;0,H$3&gt;='Hiring plan'!$G$8,H$3&lt;=IF('Hiring plan'!$H$8="",999,'Hiring plan'!$H$8)),'Hiring plan'!$F$8,0)</f>
        <v>1</v>
      </c>
      <c r="I12" s="33" t="n">
        <f aca="false">IF(AND(N('Hiring plan'!$F$8)&gt;0,I$3&gt;='Hiring plan'!$G$8,I$3&lt;=IF('Hiring plan'!$H$8="",999,'Hiring plan'!$H$8)),'Hiring plan'!$F$8,0)</f>
        <v>1</v>
      </c>
      <c r="J12" s="33" t="n">
        <f aca="false">IF(AND(N('Hiring plan'!$F$8)&gt;0,J$3&gt;='Hiring plan'!$G$8,J$3&lt;=IF('Hiring plan'!$H$8="",999,'Hiring plan'!$H$8)),'Hiring plan'!$F$8,0)</f>
        <v>1</v>
      </c>
      <c r="K12" s="33" t="n">
        <f aca="false">IF(AND(N('Hiring plan'!$F$8)&gt;0,K$3&gt;='Hiring plan'!$G$8,K$3&lt;=IF('Hiring plan'!$H$8="",999,'Hiring plan'!$H$8)),'Hiring plan'!$F$8,0)</f>
        <v>1</v>
      </c>
      <c r="L12" s="33" t="n">
        <f aca="false">IF(AND(N('Hiring plan'!$F$8)&gt;0,L$3&gt;='Hiring plan'!$G$8,L$3&lt;=IF('Hiring plan'!$H$8="",999,'Hiring plan'!$H$8)),'Hiring plan'!$F$8,0)</f>
        <v>1</v>
      </c>
      <c r="M12" s="33" t="n">
        <f aca="false">IF(AND(N('Hiring plan'!$F$8)&gt;0,M$3&gt;='Hiring plan'!$G$8,M$3&lt;=IF('Hiring plan'!$H$8="",999,'Hiring plan'!$H$8)),'Hiring plan'!$F$8,0)</f>
        <v>1</v>
      </c>
      <c r="N12" s="33" t="n">
        <f aca="false">IF(AND(N('Hiring plan'!$F$8)&gt;0,N$3&gt;='Hiring plan'!$G$8,N$3&lt;=IF('Hiring plan'!$H$8="",999,'Hiring plan'!$H$8)),'Hiring plan'!$F$8,0)</f>
        <v>1</v>
      </c>
      <c r="O12" s="33" t="n">
        <f aca="false">IF(AND(N('Hiring plan'!$F$8)&gt;0,O$3&gt;='Hiring plan'!$G$8,O$3&lt;=IF('Hiring plan'!$H$8="",999,'Hiring plan'!$H$8)),'Hiring plan'!$F$8,0)</f>
        <v>1</v>
      </c>
      <c r="P12" s="33" t="n">
        <f aca="false">IF(AND(N('Hiring plan'!$F$8)&gt;0,P$3&gt;='Hiring plan'!$G$8,P$3&lt;=IF('Hiring plan'!$H$8="",999,'Hiring plan'!$H$8)),'Hiring plan'!$F$8,0)</f>
        <v>1</v>
      </c>
      <c r="Q12" s="33" t="n">
        <f aca="false">IF(AND(N('Hiring plan'!$F$8)&gt;0,Q$3&gt;='Hiring plan'!$G$8,Q$3&lt;=IF('Hiring plan'!$H$8="",999,'Hiring plan'!$H$8)),'Hiring plan'!$F$8,0)</f>
        <v>1</v>
      </c>
      <c r="R12" s="33" t="n">
        <f aca="false">IF(AND(N('Hiring plan'!$F$8)&gt;0,R$3&gt;='Hiring plan'!$G$8,R$3&lt;=IF('Hiring plan'!$H$8="",999,'Hiring plan'!$H$8)),'Hiring plan'!$F$8,0)</f>
        <v>1</v>
      </c>
      <c r="S12" s="33" t="n">
        <f aca="false">IF(AND(N('Hiring plan'!$F$8)&gt;0,S$3&gt;='Hiring plan'!$G$8,S$3&lt;=IF('Hiring plan'!$H$8="",999,'Hiring plan'!$H$8)),'Hiring plan'!$F$8,0)</f>
        <v>1</v>
      </c>
      <c r="T12" s="33" t="n">
        <f aca="false">IF(AND(N('Hiring plan'!$F$8)&gt;0,T$3&gt;='Hiring plan'!$G$8,T$3&lt;=IF('Hiring plan'!$H$8="",999,'Hiring plan'!$H$8)),'Hiring plan'!$F$8,0)</f>
        <v>1</v>
      </c>
      <c r="U12" s="33" t="n">
        <f aca="false">IF(AND(N('Hiring plan'!$F$8)&gt;0,U$3&gt;='Hiring plan'!$G$8,U$3&lt;=IF('Hiring plan'!$H$8="",999,'Hiring plan'!$H$8)),'Hiring plan'!$F$8,0)</f>
        <v>1</v>
      </c>
      <c r="V12" s="33" t="n">
        <f aca="false">IF(AND(N('Hiring plan'!$F$8)&gt;0,V$3&gt;='Hiring plan'!$G$8,V$3&lt;=IF('Hiring plan'!$H$8="",999,'Hiring plan'!$H$8)),'Hiring plan'!$F$8,0)</f>
        <v>1</v>
      </c>
      <c r="W12" s="33" t="n">
        <f aca="false">IF(AND(N('Hiring plan'!$F$8)&gt;0,W$3&gt;='Hiring plan'!$G$8,W$3&lt;=IF('Hiring plan'!$H$8="",999,'Hiring plan'!$H$8)),'Hiring plan'!$F$8,0)</f>
        <v>1</v>
      </c>
      <c r="X12" s="33" t="n">
        <f aca="false">IF(AND(N('Hiring plan'!$F$8)&gt;0,X$3&gt;='Hiring plan'!$G$8,X$3&lt;=IF('Hiring plan'!$H$8="",999,'Hiring plan'!$H$8)),'Hiring plan'!$F$8,0)</f>
        <v>1</v>
      </c>
      <c r="Y12" s="33" t="n">
        <f aca="false">IF(AND(N('Hiring plan'!$F$8)&gt;0,Y$3&gt;='Hiring plan'!$G$8,Y$3&lt;=IF('Hiring plan'!$H$8="",999,'Hiring plan'!$H$8)),'Hiring plan'!$F$8,0)</f>
        <v>1</v>
      </c>
      <c r="Z12" s="33" t="n">
        <f aca="false">IF(AND(N('Hiring plan'!$F$8)&gt;0,Z$3&gt;='Hiring plan'!$G$8,Z$3&lt;=IF('Hiring plan'!$H$8="",999,'Hiring plan'!$H$8)),'Hiring plan'!$F$8,0)</f>
        <v>1</v>
      </c>
      <c r="AA12" s="33" t="n">
        <f aca="false">IF(AND(N('Hiring plan'!$F$8)&gt;0,AA$3&gt;='Hiring plan'!$G$8,AA$3&lt;=IF('Hiring plan'!$H$8="",999,'Hiring plan'!$H$8)),'Hiring plan'!$F$8,0)</f>
        <v>1</v>
      </c>
      <c r="AB12" s="33" t="n">
        <f aca="false">IF(AND(N('Hiring plan'!$F$8)&gt;0,AB$3&gt;='Hiring plan'!$G$8,AB$3&lt;=IF('Hiring plan'!$H$8="",999,'Hiring plan'!$H$8)),'Hiring plan'!$F$8,0)</f>
        <v>1</v>
      </c>
      <c r="AC12" s="33" t="n">
        <f aca="false">IF(AND(N('Hiring plan'!$F$8)&gt;0,AC$3&gt;='Hiring plan'!$G$8,AC$3&lt;=IF('Hiring plan'!$H$8="",999,'Hiring plan'!$H$8)),'Hiring plan'!$F$8,0)</f>
        <v>1</v>
      </c>
      <c r="AD12" s="33" t="n">
        <f aca="false">IF(AND(N('Hiring plan'!$F$8)&gt;0,AD$3&gt;='Hiring plan'!$G$8,AD$3&lt;=IF('Hiring plan'!$H$8="",999,'Hiring plan'!$H$8)),'Hiring plan'!$F$8,0)</f>
        <v>1</v>
      </c>
      <c r="AE12" s="33" t="n">
        <f aca="false">IF(AND(N('Hiring plan'!$F$8)&gt;0,AE$3&gt;='Hiring plan'!$G$8,AE$3&lt;=IF('Hiring plan'!$H$8="",999,'Hiring plan'!$H$8)),'Hiring plan'!$F$8,0)</f>
        <v>1</v>
      </c>
      <c r="AF12" s="33" t="n">
        <f aca="false">IF(AND(N('Hiring plan'!$F$8)&gt;0,AF$3&gt;='Hiring plan'!$G$8,AF$3&lt;=IF('Hiring plan'!$H$8="",999,'Hiring plan'!$H$8)),'Hiring plan'!$F$8,0)</f>
        <v>1</v>
      </c>
      <c r="AG12" s="33" t="n">
        <f aca="false">IF(AND(N('Hiring plan'!$F$8)&gt;0,AG$3&gt;='Hiring plan'!$G$8,AG$3&lt;=IF('Hiring plan'!$H$8="",999,'Hiring plan'!$H$8)),'Hiring plan'!$F$8,0)</f>
        <v>1</v>
      </c>
      <c r="AH12" s="33" t="n">
        <f aca="false">IF(AND(N('Hiring plan'!$F$8)&gt;0,AH$3&gt;='Hiring plan'!$G$8,AH$3&lt;=IF('Hiring plan'!$H$8="",999,'Hiring plan'!$H$8)),'Hiring plan'!$F$8,0)</f>
        <v>1</v>
      </c>
      <c r="AI12" s="33" t="n">
        <f aca="false">IF(AND(N('Hiring plan'!$F$8)&gt;0,AI$3&gt;='Hiring plan'!$G$8,AI$3&lt;=IF('Hiring plan'!$H$8="",999,'Hiring plan'!$H$8)),'Hiring plan'!$F$8,0)</f>
        <v>1</v>
      </c>
      <c r="AJ12" s="33" t="n">
        <f aca="false">IF(AND(N('Hiring plan'!$F$8)&gt;0,AJ$3&gt;='Hiring plan'!$G$8,AJ$3&lt;=IF('Hiring plan'!$H$8="",999,'Hiring plan'!$H$8)),'Hiring plan'!$F$8,0)</f>
        <v>1</v>
      </c>
      <c r="AK12" s="33" t="n">
        <f aca="false">IF(AND(N('Hiring plan'!$F$8)&gt;0,AK$3&gt;='Hiring plan'!$G$8,AK$3&lt;=IF('Hiring plan'!$H$8="",999,'Hiring plan'!$H$8)),'Hiring plan'!$F$8,0)</f>
        <v>1</v>
      </c>
      <c r="AL12" s="33" t="n">
        <f aca="false">IF(AND(N('Hiring plan'!$F$8)&gt;0,AL$3&gt;='Hiring plan'!$G$8,AL$3&lt;=IF('Hiring plan'!$H$8="",999,'Hiring plan'!$H$8)),'Hiring plan'!$F$8,0)</f>
        <v>1</v>
      </c>
      <c r="AM12" s="33" t="n">
        <f aca="false">IF(AND(N('Hiring plan'!$F$8)&gt;0,AM$3&gt;='Hiring plan'!$G$8,AM$3&lt;=IF('Hiring plan'!$H$8="",999,'Hiring plan'!$H$8)),'Hiring plan'!$F$8,0)</f>
        <v>1</v>
      </c>
      <c r="AN12" s="33" t="n">
        <f aca="false">IF(AND(N('Hiring plan'!$F$8)&gt;0,AN$3&gt;='Hiring plan'!$G$8,AN$3&lt;=IF('Hiring plan'!$H$8="",999,'Hiring plan'!$H$8)),'Hiring plan'!$F$8,0)</f>
        <v>1</v>
      </c>
      <c r="AO12" s="33" t="n">
        <f aca="false">IF(AND(N('Hiring plan'!$F$8)&gt;0,AO$3&gt;='Hiring plan'!$G$8,AO$3&lt;=IF('Hiring plan'!$H$8="",999,'Hiring plan'!$H$8)),'Hiring plan'!$F$8,0)</f>
        <v>1</v>
      </c>
      <c r="AP12" s="33" t="n">
        <f aca="false">IF(AND(N('Hiring plan'!$F$8)&gt;0,AP$3&gt;='Hiring plan'!$G$8,AP$3&lt;=IF('Hiring plan'!$H$8="",999,'Hiring plan'!$H$8)),'Hiring plan'!$F$8,0)</f>
        <v>1</v>
      </c>
      <c r="AQ12" s="33" t="n">
        <f aca="false">IF(AND(N('Hiring plan'!$F$8)&gt;0,AQ$3&gt;='Hiring plan'!$G$8,AQ$3&lt;=IF('Hiring plan'!$H$8="",999,'Hiring plan'!$H$8)),'Hiring plan'!$F$8,0)</f>
        <v>1</v>
      </c>
      <c r="AR12" s="33" t="n">
        <f aca="false">IF(AND(N('Hiring plan'!$F$8)&gt;0,AR$3&gt;='Hiring plan'!$G$8,AR$3&lt;=IF('Hiring plan'!$H$8="",999,'Hiring plan'!$H$8)),'Hiring plan'!$F$8,0)</f>
        <v>1</v>
      </c>
      <c r="AS12" s="33" t="n">
        <f aca="false">IF(AND(N('Hiring plan'!$F$8)&gt;0,AS$3&gt;='Hiring plan'!$G$8,AS$3&lt;=IF('Hiring plan'!$H$8="",999,'Hiring plan'!$H$8)),'Hiring plan'!$F$8,0)</f>
        <v>1</v>
      </c>
      <c r="AT12" s="33" t="n">
        <f aca="false">IF(AND(N('Hiring plan'!$F$8)&gt;0,AT$3&gt;='Hiring plan'!$G$8,AT$3&lt;=IF('Hiring plan'!$H$8="",999,'Hiring plan'!$H$8)),'Hiring plan'!$F$8,0)</f>
        <v>1</v>
      </c>
      <c r="AU12" s="33" t="n">
        <f aca="false">IF(AND(N('Hiring plan'!$F$8)&gt;0,AU$3&gt;='Hiring plan'!$G$8,AU$3&lt;=IF('Hiring plan'!$H$8="",999,'Hiring plan'!$H$8)),'Hiring plan'!$F$8,0)</f>
        <v>1</v>
      </c>
      <c r="AV12" s="33" t="n">
        <f aca="false">IF(AND(N('Hiring plan'!$F$8)&gt;0,AV$3&gt;='Hiring plan'!$G$8,AV$3&lt;=IF('Hiring plan'!$H$8="",999,'Hiring plan'!$H$8)),'Hiring plan'!$F$8,0)</f>
        <v>1</v>
      </c>
      <c r="AW12" s="33" t="n">
        <f aca="false">IF(AND(N('Hiring plan'!$F$8)&gt;0,AW$3&gt;='Hiring plan'!$G$8,AW$3&lt;=IF('Hiring plan'!$H$8="",999,'Hiring plan'!$H$8)),'Hiring plan'!$F$8,0)</f>
        <v>1</v>
      </c>
      <c r="AX12" s="33" t="n">
        <f aca="false">IF(AND(N('Hiring plan'!$F$8)&gt;0,AX$3&gt;='Hiring plan'!$G$8,AX$3&lt;=IF('Hiring plan'!$H$8="",999,'Hiring plan'!$H$8)),'Hiring plan'!$F$8,0)</f>
        <v>1</v>
      </c>
      <c r="AY12" s="33" t="n">
        <f aca="false">IF(AND(N('Hiring plan'!$F$8)&gt;0,AY$3&gt;='Hiring plan'!$G$8,AY$3&lt;=IF('Hiring plan'!$H$8="",999,'Hiring plan'!$H$8)),'Hiring plan'!$F$8,0)</f>
        <v>1</v>
      </c>
      <c r="AZ12" s="33" t="n">
        <f aca="false">IF(AND(N('Hiring plan'!$F$8)&gt;0,AZ$3&gt;='Hiring plan'!$G$8,AZ$3&lt;=IF('Hiring plan'!$H$8="",999,'Hiring plan'!$H$8)),'Hiring plan'!$F$8,0)</f>
        <v>1</v>
      </c>
      <c r="BA12" s="33" t="n">
        <f aca="false">IF(AND(N('Hiring plan'!$F$8)&gt;0,BA$3&gt;='Hiring plan'!$G$8,BA$3&lt;=IF('Hiring plan'!$H$8="",999,'Hiring plan'!$H$8)),'Hiring plan'!$F$8,0)</f>
        <v>1</v>
      </c>
      <c r="BB12" s="33" t="n">
        <f aca="false">IF(AND(N('Hiring plan'!$F$8)&gt;0,BB$3&gt;='Hiring plan'!$G$8,BB$3&lt;=IF('Hiring plan'!$H$8="",999,'Hiring plan'!$H$8)),'Hiring plan'!$F$8,0)</f>
        <v>1</v>
      </c>
      <c r="BC12" s="33" t="n">
        <f aca="false">IF(AND(N('Hiring plan'!$F$8)&gt;0,BC$3&gt;='Hiring plan'!$G$8,BC$3&lt;=IF('Hiring plan'!$H$8="",999,'Hiring plan'!$H$8)),'Hiring plan'!$F$8,0)</f>
        <v>1</v>
      </c>
      <c r="BD12" s="33" t="n">
        <f aca="false">IF(AND(N('Hiring plan'!$F$8)&gt;0,BD$3&gt;='Hiring plan'!$G$8,BD$3&lt;=IF('Hiring plan'!$H$8="",999,'Hiring plan'!$H$8)),'Hiring plan'!$F$8,0)</f>
        <v>1</v>
      </c>
      <c r="BE12" s="33" t="n">
        <f aca="false">IF(AND(N('Hiring plan'!$F$8)&gt;0,BE$3&gt;='Hiring plan'!$G$8,BE$3&lt;=IF('Hiring plan'!$H$8="",999,'Hiring plan'!$H$8)),'Hiring plan'!$F$8,0)</f>
        <v>1</v>
      </c>
      <c r="BF12" s="33" t="n">
        <f aca="false">IF(AND(N('Hiring plan'!$F$8)&gt;0,BF$3&gt;='Hiring plan'!$G$8,BF$3&lt;=IF('Hiring plan'!$H$8="",999,'Hiring plan'!$H$8)),'Hiring plan'!$F$8,0)</f>
        <v>1</v>
      </c>
      <c r="BG12" s="33" t="n">
        <f aca="false">IF(AND(N('Hiring plan'!$F$8)&gt;0,BG$3&gt;='Hiring plan'!$G$8,BG$3&lt;=IF('Hiring plan'!$H$8="",999,'Hiring plan'!$H$8)),'Hiring plan'!$F$8,0)</f>
        <v>1</v>
      </c>
      <c r="BH12" s="33" t="n">
        <f aca="false">IF(AND(N('Hiring plan'!$F$8)&gt;0,BH$3&gt;='Hiring plan'!$G$8,BH$3&lt;=IF('Hiring plan'!$H$8="",999,'Hiring plan'!$H$8)),'Hiring plan'!$F$8,0)</f>
        <v>1</v>
      </c>
      <c r="BI12" s="33" t="n">
        <f aca="false">IF(AND(N('Hiring plan'!$F$8)&gt;0,BI$3&gt;='Hiring plan'!$G$8,BI$3&lt;=IF('Hiring plan'!$H$8="",999,'Hiring plan'!$H$8)),'Hiring plan'!$F$8,0)</f>
        <v>1</v>
      </c>
      <c r="BJ12" s="33" t="n">
        <f aca="false">IF(AND(N('Hiring plan'!$F$8)&gt;0,BJ$3&gt;='Hiring plan'!$G$8,BJ$3&lt;=IF('Hiring plan'!$H$8="",999,'Hiring plan'!$H$8)),'Hiring plan'!$F$8,0)</f>
        <v>1</v>
      </c>
      <c r="BK12" s="33" t="n">
        <f aca="false">IF(AND(N('Hiring plan'!$F$8)&gt;0,BK$3&gt;='Hiring plan'!$G$8,BK$3&lt;=IF('Hiring plan'!$H$8="",999,'Hiring plan'!$H$8)),'Hiring plan'!$F$8,0)</f>
        <v>1</v>
      </c>
      <c r="BL12" s="33" t="n">
        <f aca="false">IF(AND(N('Hiring plan'!$F$8)&gt;0,BL$3&gt;='Hiring plan'!$G$8,BL$3&lt;=IF('Hiring plan'!$H$8="",999,'Hiring plan'!$H$8)),'Hiring plan'!$F$8,0)</f>
        <v>1</v>
      </c>
    </row>
    <row r="13" customFormat="false" ht="15" hidden="false" customHeight="true" outlineLevel="0" collapsed="false">
      <c r="A13" s="13" t="str">
        <f aca="false">IF('Hiring plan'!$C$9="","(spare line 5)",'Hiring plan'!$C$9&amp;" · "&amp;'Hiring plan'!$D$9)</f>
        <v>Marketing manager (senior) · SN</v>
      </c>
      <c r="B13" s="15" t="s">
        <v>92</v>
      </c>
      <c r="D13" s="56" t="n">
        <f aca="false">MAX(E13:BL13)</f>
        <v>1</v>
      </c>
      <c r="E13" s="33" t="n">
        <f aca="false">IF(AND(N('Hiring plan'!$F$9)&gt;0,E$3&gt;='Hiring plan'!$G$9,E$3&lt;=IF('Hiring plan'!$H$9="",999,'Hiring plan'!$H$9)),'Hiring plan'!$F$9,0)</f>
        <v>0</v>
      </c>
      <c r="F13" s="33" t="n">
        <f aca="false">IF(AND(N('Hiring plan'!$F$9)&gt;0,F$3&gt;='Hiring plan'!$G$9,F$3&lt;=IF('Hiring plan'!$H$9="",999,'Hiring plan'!$H$9)),'Hiring plan'!$F$9,0)</f>
        <v>0</v>
      </c>
      <c r="G13" s="33" t="n">
        <f aca="false">IF(AND(N('Hiring plan'!$F$9)&gt;0,G$3&gt;='Hiring plan'!$G$9,G$3&lt;=IF('Hiring plan'!$H$9="",999,'Hiring plan'!$H$9)),'Hiring plan'!$F$9,0)</f>
        <v>0</v>
      </c>
      <c r="H13" s="33" t="n">
        <f aca="false">IF(AND(N('Hiring plan'!$F$9)&gt;0,H$3&gt;='Hiring plan'!$G$9,H$3&lt;=IF('Hiring plan'!$H$9="",999,'Hiring plan'!$H$9)),'Hiring plan'!$F$9,0)</f>
        <v>1</v>
      </c>
      <c r="I13" s="33" t="n">
        <f aca="false">IF(AND(N('Hiring plan'!$F$9)&gt;0,I$3&gt;='Hiring plan'!$G$9,I$3&lt;=IF('Hiring plan'!$H$9="",999,'Hiring plan'!$H$9)),'Hiring plan'!$F$9,0)</f>
        <v>1</v>
      </c>
      <c r="J13" s="33" t="n">
        <f aca="false">IF(AND(N('Hiring plan'!$F$9)&gt;0,J$3&gt;='Hiring plan'!$G$9,J$3&lt;=IF('Hiring plan'!$H$9="",999,'Hiring plan'!$H$9)),'Hiring plan'!$F$9,0)</f>
        <v>1</v>
      </c>
      <c r="K13" s="33" t="n">
        <f aca="false">IF(AND(N('Hiring plan'!$F$9)&gt;0,K$3&gt;='Hiring plan'!$G$9,K$3&lt;=IF('Hiring plan'!$H$9="",999,'Hiring plan'!$H$9)),'Hiring plan'!$F$9,0)</f>
        <v>1</v>
      </c>
      <c r="L13" s="33" t="n">
        <f aca="false">IF(AND(N('Hiring plan'!$F$9)&gt;0,L$3&gt;='Hiring plan'!$G$9,L$3&lt;=IF('Hiring plan'!$H$9="",999,'Hiring plan'!$H$9)),'Hiring plan'!$F$9,0)</f>
        <v>1</v>
      </c>
      <c r="M13" s="33" t="n">
        <f aca="false">IF(AND(N('Hiring plan'!$F$9)&gt;0,M$3&gt;='Hiring plan'!$G$9,M$3&lt;=IF('Hiring plan'!$H$9="",999,'Hiring plan'!$H$9)),'Hiring plan'!$F$9,0)</f>
        <v>1</v>
      </c>
      <c r="N13" s="33" t="n">
        <f aca="false">IF(AND(N('Hiring plan'!$F$9)&gt;0,N$3&gt;='Hiring plan'!$G$9,N$3&lt;=IF('Hiring plan'!$H$9="",999,'Hiring plan'!$H$9)),'Hiring plan'!$F$9,0)</f>
        <v>1</v>
      </c>
      <c r="O13" s="33" t="n">
        <f aca="false">IF(AND(N('Hiring plan'!$F$9)&gt;0,O$3&gt;='Hiring plan'!$G$9,O$3&lt;=IF('Hiring plan'!$H$9="",999,'Hiring plan'!$H$9)),'Hiring plan'!$F$9,0)</f>
        <v>1</v>
      </c>
      <c r="P13" s="33" t="n">
        <f aca="false">IF(AND(N('Hiring plan'!$F$9)&gt;0,P$3&gt;='Hiring plan'!$G$9,P$3&lt;=IF('Hiring plan'!$H$9="",999,'Hiring plan'!$H$9)),'Hiring plan'!$F$9,0)</f>
        <v>1</v>
      </c>
      <c r="Q13" s="33" t="n">
        <f aca="false">IF(AND(N('Hiring plan'!$F$9)&gt;0,Q$3&gt;='Hiring plan'!$G$9,Q$3&lt;=IF('Hiring plan'!$H$9="",999,'Hiring plan'!$H$9)),'Hiring plan'!$F$9,0)</f>
        <v>1</v>
      </c>
      <c r="R13" s="33" t="n">
        <f aca="false">IF(AND(N('Hiring plan'!$F$9)&gt;0,R$3&gt;='Hiring plan'!$G$9,R$3&lt;=IF('Hiring plan'!$H$9="",999,'Hiring plan'!$H$9)),'Hiring plan'!$F$9,0)</f>
        <v>1</v>
      </c>
      <c r="S13" s="33" t="n">
        <f aca="false">IF(AND(N('Hiring plan'!$F$9)&gt;0,S$3&gt;='Hiring plan'!$G$9,S$3&lt;=IF('Hiring plan'!$H$9="",999,'Hiring plan'!$H$9)),'Hiring plan'!$F$9,0)</f>
        <v>1</v>
      </c>
      <c r="T13" s="33" t="n">
        <f aca="false">IF(AND(N('Hiring plan'!$F$9)&gt;0,T$3&gt;='Hiring plan'!$G$9,T$3&lt;=IF('Hiring plan'!$H$9="",999,'Hiring plan'!$H$9)),'Hiring plan'!$F$9,0)</f>
        <v>1</v>
      </c>
      <c r="U13" s="33" t="n">
        <f aca="false">IF(AND(N('Hiring plan'!$F$9)&gt;0,U$3&gt;='Hiring plan'!$G$9,U$3&lt;=IF('Hiring plan'!$H$9="",999,'Hiring plan'!$H$9)),'Hiring plan'!$F$9,0)</f>
        <v>1</v>
      </c>
      <c r="V13" s="33" t="n">
        <f aca="false">IF(AND(N('Hiring plan'!$F$9)&gt;0,V$3&gt;='Hiring plan'!$G$9,V$3&lt;=IF('Hiring plan'!$H$9="",999,'Hiring plan'!$H$9)),'Hiring plan'!$F$9,0)</f>
        <v>1</v>
      </c>
      <c r="W13" s="33" t="n">
        <f aca="false">IF(AND(N('Hiring plan'!$F$9)&gt;0,W$3&gt;='Hiring plan'!$G$9,W$3&lt;=IF('Hiring plan'!$H$9="",999,'Hiring plan'!$H$9)),'Hiring plan'!$F$9,0)</f>
        <v>1</v>
      </c>
      <c r="X13" s="33" t="n">
        <f aca="false">IF(AND(N('Hiring plan'!$F$9)&gt;0,X$3&gt;='Hiring plan'!$G$9,X$3&lt;=IF('Hiring plan'!$H$9="",999,'Hiring plan'!$H$9)),'Hiring plan'!$F$9,0)</f>
        <v>1</v>
      </c>
      <c r="Y13" s="33" t="n">
        <f aca="false">IF(AND(N('Hiring plan'!$F$9)&gt;0,Y$3&gt;='Hiring plan'!$G$9,Y$3&lt;=IF('Hiring plan'!$H$9="",999,'Hiring plan'!$H$9)),'Hiring plan'!$F$9,0)</f>
        <v>1</v>
      </c>
      <c r="Z13" s="33" t="n">
        <f aca="false">IF(AND(N('Hiring plan'!$F$9)&gt;0,Z$3&gt;='Hiring plan'!$G$9,Z$3&lt;=IF('Hiring plan'!$H$9="",999,'Hiring plan'!$H$9)),'Hiring plan'!$F$9,0)</f>
        <v>1</v>
      </c>
      <c r="AA13" s="33" t="n">
        <f aca="false">IF(AND(N('Hiring plan'!$F$9)&gt;0,AA$3&gt;='Hiring plan'!$G$9,AA$3&lt;=IF('Hiring plan'!$H$9="",999,'Hiring plan'!$H$9)),'Hiring plan'!$F$9,0)</f>
        <v>1</v>
      </c>
      <c r="AB13" s="33" t="n">
        <f aca="false">IF(AND(N('Hiring plan'!$F$9)&gt;0,AB$3&gt;='Hiring plan'!$G$9,AB$3&lt;=IF('Hiring plan'!$H$9="",999,'Hiring plan'!$H$9)),'Hiring plan'!$F$9,0)</f>
        <v>1</v>
      </c>
      <c r="AC13" s="33" t="n">
        <f aca="false">IF(AND(N('Hiring plan'!$F$9)&gt;0,AC$3&gt;='Hiring plan'!$G$9,AC$3&lt;=IF('Hiring plan'!$H$9="",999,'Hiring plan'!$H$9)),'Hiring plan'!$F$9,0)</f>
        <v>1</v>
      </c>
      <c r="AD13" s="33" t="n">
        <f aca="false">IF(AND(N('Hiring plan'!$F$9)&gt;0,AD$3&gt;='Hiring plan'!$G$9,AD$3&lt;=IF('Hiring plan'!$H$9="",999,'Hiring plan'!$H$9)),'Hiring plan'!$F$9,0)</f>
        <v>1</v>
      </c>
      <c r="AE13" s="33" t="n">
        <f aca="false">IF(AND(N('Hiring plan'!$F$9)&gt;0,AE$3&gt;='Hiring plan'!$G$9,AE$3&lt;=IF('Hiring plan'!$H$9="",999,'Hiring plan'!$H$9)),'Hiring plan'!$F$9,0)</f>
        <v>1</v>
      </c>
      <c r="AF13" s="33" t="n">
        <f aca="false">IF(AND(N('Hiring plan'!$F$9)&gt;0,AF$3&gt;='Hiring plan'!$G$9,AF$3&lt;=IF('Hiring plan'!$H$9="",999,'Hiring plan'!$H$9)),'Hiring plan'!$F$9,0)</f>
        <v>1</v>
      </c>
      <c r="AG13" s="33" t="n">
        <f aca="false">IF(AND(N('Hiring plan'!$F$9)&gt;0,AG$3&gt;='Hiring plan'!$G$9,AG$3&lt;=IF('Hiring plan'!$H$9="",999,'Hiring plan'!$H$9)),'Hiring plan'!$F$9,0)</f>
        <v>1</v>
      </c>
      <c r="AH13" s="33" t="n">
        <f aca="false">IF(AND(N('Hiring plan'!$F$9)&gt;0,AH$3&gt;='Hiring plan'!$G$9,AH$3&lt;=IF('Hiring plan'!$H$9="",999,'Hiring plan'!$H$9)),'Hiring plan'!$F$9,0)</f>
        <v>1</v>
      </c>
      <c r="AI13" s="33" t="n">
        <f aca="false">IF(AND(N('Hiring plan'!$F$9)&gt;0,AI$3&gt;='Hiring plan'!$G$9,AI$3&lt;=IF('Hiring plan'!$H$9="",999,'Hiring plan'!$H$9)),'Hiring plan'!$F$9,0)</f>
        <v>1</v>
      </c>
      <c r="AJ13" s="33" t="n">
        <f aca="false">IF(AND(N('Hiring plan'!$F$9)&gt;0,AJ$3&gt;='Hiring plan'!$G$9,AJ$3&lt;=IF('Hiring plan'!$H$9="",999,'Hiring plan'!$H$9)),'Hiring plan'!$F$9,0)</f>
        <v>1</v>
      </c>
      <c r="AK13" s="33" t="n">
        <f aca="false">IF(AND(N('Hiring plan'!$F$9)&gt;0,AK$3&gt;='Hiring plan'!$G$9,AK$3&lt;=IF('Hiring plan'!$H$9="",999,'Hiring plan'!$H$9)),'Hiring plan'!$F$9,0)</f>
        <v>1</v>
      </c>
      <c r="AL13" s="33" t="n">
        <f aca="false">IF(AND(N('Hiring plan'!$F$9)&gt;0,AL$3&gt;='Hiring plan'!$G$9,AL$3&lt;=IF('Hiring plan'!$H$9="",999,'Hiring plan'!$H$9)),'Hiring plan'!$F$9,0)</f>
        <v>1</v>
      </c>
      <c r="AM13" s="33" t="n">
        <f aca="false">IF(AND(N('Hiring plan'!$F$9)&gt;0,AM$3&gt;='Hiring plan'!$G$9,AM$3&lt;=IF('Hiring plan'!$H$9="",999,'Hiring plan'!$H$9)),'Hiring plan'!$F$9,0)</f>
        <v>1</v>
      </c>
      <c r="AN13" s="33" t="n">
        <f aca="false">IF(AND(N('Hiring plan'!$F$9)&gt;0,AN$3&gt;='Hiring plan'!$G$9,AN$3&lt;=IF('Hiring plan'!$H$9="",999,'Hiring plan'!$H$9)),'Hiring plan'!$F$9,0)</f>
        <v>1</v>
      </c>
      <c r="AO13" s="33" t="n">
        <f aca="false">IF(AND(N('Hiring plan'!$F$9)&gt;0,AO$3&gt;='Hiring plan'!$G$9,AO$3&lt;=IF('Hiring plan'!$H$9="",999,'Hiring plan'!$H$9)),'Hiring plan'!$F$9,0)</f>
        <v>1</v>
      </c>
      <c r="AP13" s="33" t="n">
        <f aca="false">IF(AND(N('Hiring plan'!$F$9)&gt;0,AP$3&gt;='Hiring plan'!$G$9,AP$3&lt;=IF('Hiring plan'!$H$9="",999,'Hiring plan'!$H$9)),'Hiring plan'!$F$9,0)</f>
        <v>1</v>
      </c>
      <c r="AQ13" s="33" t="n">
        <f aca="false">IF(AND(N('Hiring plan'!$F$9)&gt;0,AQ$3&gt;='Hiring plan'!$G$9,AQ$3&lt;=IF('Hiring plan'!$H$9="",999,'Hiring plan'!$H$9)),'Hiring plan'!$F$9,0)</f>
        <v>1</v>
      </c>
      <c r="AR13" s="33" t="n">
        <f aca="false">IF(AND(N('Hiring plan'!$F$9)&gt;0,AR$3&gt;='Hiring plan'!$G$9,AR$3&lt;=IF('Hiring plan'!$H$9="",999,'Hiring plan'!$H$9)),'Hiring plan'!$F$9,0)</f>
        <v>1</v>
      </c>
      <c r="AS13" s="33" t="n">
        <f aca="false">IF(AND(N('Hiring plan'!$F$9)&gt;0,AS$3&gt;='Hiring plan'!$G$9,AS$3&lt;=IF('Hiring plan'!$H$9="",999,'Hiring plan'!$H$9)),'Hiring plan'!$F$9,0)</f>
        <v>1</v>
      </c>
      <c r="AT13" s="33" t="n">
        <f aca="false">IF(AND(N('Hiring plan'!$F$9)&gt;0,AT$3&gt;='Hiring plan'!$G$9,AT$3&lt;=IF('Hiring plan'!$H$9="",999,'Hiring plan'!$H$9)),'Hiring plan'!$F$9,0)</f>
        <v>1</v>
      </c>
      <c r="AU13" s="33" t="n">
        <f aca="false">IF(AND(N('Hiring plan'!$F$9)&gt;0,AU$3&gt;='Hiring plan'!$G$9,AU$3&lt;=IF('Hiring plan'!$H$9="",999,'Hiring plan'!$H$9)),'Hiring plan'!$F$9,0)</f>
        <v>1</v>
      </c>
      <c r="AV13" s="33" t="n">
        <f aca="false">IF(AND(N('Hiring plan'!$F$9)&gt;0,AV$3&gt;='Hiring plan'!$G$9,AV$3&lt;=IF('Hiring plan'!$H$9="",999,'Hiring plan'!$H$9)),'Hiring plan'!$F$9,0)</f>
        <v>1</v>
      </c>
      <c r="AW13" s="33" t="n">
        <f aca="false">IF(AND(N('Hiring plan'!$F$9)&gt;0,AW$3&gt;='Hiring plan'!$G$9,AW$3&lt;=IF('Hiring plan'!$H$9="",999,'Hiring plan'!$H$9)),'Hiring plan'!$F$9,0)</f>
        <v>1</v>
      </c>
      <c r="AX13" s="33" t="n">
        <f aca="false">IF(AND(N('Hiring plan'!$F$9)&gt;0,AX$3&gt;='Hiring plan'!$G$9,AX$3&lt;=IF('Hiring plan'!$H$9="",999,'Hiring plan'!$H$9)),'Hiring plan'!$F$9,0)</f>
        <v>1</v>
      </c>
      <c r="AY13" s="33" t="n">
        <f aca="false">IF(AND(N('Hiring plan'!$F$9)&gt;0,AY$3&gt;='Hiring plan'!$G$9,AY$3&lt;=IF('Hiring plan'!$H$9="",999,'Hiring plan'!$H$9)),'Hiring plan'!$F$9,0)</f>
        <v>1</v>
      </c>
      <c r="AZ13" s="33" t="n">
        <f aca="false">IF(AND(N('Hiring plan'!$F$9)&gt;0,AZ$3&gt;='Hiring plan'!$G$9,AZ$3&lt;=IF('Hiring plan'!$H$9="",999,'Hiring plan'!$H$9)),'Hiring plan'!$F$9,0)</f>
        <v>1</v>
      </c>
      <c r="BA13" s="33" t="n">
        <f aca="false">IF(AND(N('Hiring plan'!$F$9)&gt;0,BA$3&gt;='Hiring plan'!$G$9,BA$3&lt;=IF('Hiring plan'!$H$9="",999,'Hiring plan'!$H$9)),'Hiring plan'!$F$9,0)</f>
        <v>1</v>
      </c>
      <c r="BB13" s="33" t="n">
        <f aca="false">IF(AND(N('Hiring plan'!$F$9)&gt;0,BB$3&gt;='Hiring plan'!$G$9,BB$3&lt;=IF('Hiring plan'!$H$9="",999,'Hiring plan'!$H$9)),'Hiring plan'!$F$9,0)</f>
        <v>1</v>
      </c>
      <c r="BC13" s="33" t="n">
        <f aca="false">IF(AND(N('Hiring plan'!$F$9)&gt;0,BC$3&gt;='Hiring plan'!$G$9,BC$3&lt;=IF('Hiring plan'!$H$9="",999,'Hiring plan'!$H$9)),'Hiring plan'!$F$9,0)</f>
        <v>1</v>
      </c>
      <c r="BD13" s="33" t="n">
        <f aca="false">IF(AND(N('Hiring plan'!$F$9)&gt;0,BD$3&gt;='Hiring plan'!$G$9,BD$3&lt;=IF('Hiring plan'!$H$9="",999,'Hiring plan'!$H$9)),'Hiring plan'!$F$9,0)</f>
        <v>1</v>
      </c>
      <c r="BE13" s="33" t="n">
        <f aca="false">IF(AND(N('Hiring plan'!$F$9)&gt;0,BE$3&gt;='Hiring plan'!$G$9,BE$3&lt;=IF('Hiring plan'!$H$9="",999,'Hiring plan'!$H$9)),'Hiring plan'!$F$9,0)</f>
        <v>1</v>
      </c>
      <c r="BF13" s="33" t="n">
        <f aca="false">IF(AND(N('Hiring plan'!$F$9)&gt;0,BF$3&gt;='Hiring plan'!$G$9,BF$3&lt;=IF('Hiring plan'!$H$9="",999,'Hiring plan'!$H$9)),'Hiring plan'!$F$9,0)</f>
        <v>1</v>
      </c>
      <c r="BG13" s="33" t="n">
        <f aca="false">IF(AND(N('Hiring plan'!$F$9)&gt;0,BG$3&gt;='Hiring plan'!$G$9,BG$3&lt;=IF('Hiring plan'!$H$9="",999,'Hiring plan'!$H$9)),'Hiring plan'!$F$9,0)</f>
        <v>1</v>
      </c>
      <c r="BH13" s="33" t="n">
        <f aca="false">IF(AND(N('Hiring plan'!$F$9)&gt;0,BH$3&gt;='Hiring plan'!$G$9,BH$3&lt;=IF('Hiring plan'!$H$9="",999,'Hiring plan'!$H$9)),'Hiring plan'!$F$9,0)</f>
        <v>1</v>
      </c>
      <c r="BI13" s="33" t="n">
        <f aca="false">IF(AND(N('Hiring plan'!$F$9)&gt;0,BI$3&gt;='Hiring plan'!$G$9,BI$3&lt;=IF('Hiring plan'!$H$9="",999,'Hiring plan'!$H$9)),'Hiring plan'!$F$9,0)</f>
        <v>1</v>
      </c>
      <c r="BJ13" s="33" t="n">
        <f aca="false">IF(AND(N('Hiring plan'!$F$9)&gt;0,BJ$3&gt;='Hiring plan'!$G$9,BJ$3&lt;=IF('Hiring plan'!$H$9="",999,'Hiring plan'!$H$9)),'Hiring plan'!$F$9,0)</f>
        <v>1</v>
      </c>
      <c r="BK13" s="33" t="n">
        <f aca="false">IF(AND(N('Hiring plan'!$F$9)&gt;0,BK$3&gt;='Hiring plan'!$G$9,BK$3&lt;=IF('Hiring plan'!$H$9="",999,'Hiring plan'!$H$9)),'Hiring plan'!$F$9,0)</f>
        <v>1</v>
      </c>
      <c r="BL13" s="33" t="n">
        <f aca="false">IF(AND(N('Hiring plan'!$F$9)&gt;0,BL$3&gt;='Hiring plan'!$G$9,BL$3&lt;=IF('Hiring plan'!$H$9="",999,'Hiring plan'!$H$9)),'Hiring plan'!$F$9,0)</f>
        <v>1</v>
      </c>
    </row>
    <row r="14" customFormat="false" ht="15" hidden="false" customHeight="true" outlineLevel="0" collapsed="false">
      <c r="A14" s="13" t="str">
        <f aca="false">IF('Hiring plan'!$C$10="","(spare line 6)",'Hiring plan'!$C$10&amp;" · "&amp;'Hiring plan'!$D$10)</f>
        <v>Marketing officer (junior) · SN</v>
      </c>
      <c r="B14" s="15" t="s">
        <v>92</v>
      </c>
      <c r="D14" s="56" t="n">
        <f aca="false">MAX(E14:BL14)</f>
        <v>1</v>
      </c>
      <c r="E14" s="33" t="n">
        <f aca="false">IF(AND(N('Hiring plan'!$F$10)&gt;0,E$3&gt;='Hiring plan'!$G$10,E$3&lt;=IF('Hiring plan'!$H$10="",999,'Hiring plan'!$H$10)),'Hiring plan'!$F$10,0)</f>
        <v>0</v>
      </c>
      <c r="F14" s="33" t="n">
        <f aca="false">IF(AND(N('Hiring plan'!$F$10)&gt;0,F$3&gt;='Hiring plan'!$G$10,F$3&lt;=IF('Hiring plan'!$H$10="",999,'Hiring plan'!$H$10)),'Hiring plan'!$F$10,0)</f>
        <v>0</v>
      </c>
      <c r="G14" s="33" t="n">
        <f aca="false">IF(AND(N('Hiring plan'!$F$10)&gt;0,G$3&gt;='Hiring plan'!$G$10,G$3&lt;=IF('Hiring plan'!$H$10="",999,'Hiring plan'!$H$10)),'Hiring plan'!$F$10,0)</f>
        <v>0</v>
      </c>
      <c r="H14" s="33" t="n">
        <f aca="false">IF(AND(N('Hiring plan'!$F$10)&gt;0,H$3&gt;='Hiring plan'!$G$10,H$3&lt;=IF('Hiring plan'!$H$10="",999,'Hiring plan'!$H$10)),'Hiring plan'!$F$10,0)</f>
        <v>0</v>
      </c>
      <c r="I14" s="33" t="n">
        <f aca="false">IF(AND(N('Hiring plan'!$F$10)&gt;0,I$3&gt;='Hiring plan'!$G$10,I$3&lt;=IF('Hiring plan'!$H$10="",999,'Hiring plan'!$H$10)),'Hiring plan'!$F$10,0)</f>
        <v>1</v>
      </c>
      <c r="J14" s="33" t="n">
        <f aca="false">IF(AND(N('Hiring plan'!$F$10)&gt;0,J$3&gt;='Hiring plan'!$G$10,J$3&lt;=IF('Hiring plan'!$H$10="",999,'Hiring plan'!$H$10)),'Hiring plan'!$F$10,0)</f>
        <v>1</v>
      </c>
      <c r="K14" s="33" t="n">
        <f aca="false">IF(AND(N('Hiring plan'!$F$10)&gt;0,K$3&gt;='Hiring plan'!$G$10,K$3&lt;=IF('Hiring plan'!$H$10="",999,'Hiring plan'!$H$10)),'Hiring plan'!$F$10,0)</f>
        <v>1</v>
      </c>
      <c r="L14" s="33" t="n">
        <f aca="false">IF(AND(N('Hiring plan'!$F$10)&gt;0,L$3&gt;='Hiring plan'!$G$10,L$3&lt;=IF('Hiring plan'!$H$10="",999,'Hiring plan'!$H$10)),'Hiring plan'!$F$10,0)</f>
        <v>1</v>
      </c>
      <c r="M14" s="33" t="n">
        <f aca="false">IF(AND(N('Hiring plan'!$F$10)&gt;0,M$3&gt;='Hiring plan'!$G$10,M$3&lt;=IF('Hiring plan'!$H$10="",999,'Hiring plan'!$H$10)),'Hiring plan'!$F$10,0)</f>
        <v>1</v>
      </c>
      <c r="N14" s="33" t="n">
        <f aca="false">IF(AND(N('Hiring plan'!$F$10)&gt;0,N$3&gt;='Hiring plan'!$G$10,N$3&lt;=IF('Hiring plan'!$H$10="",999,'Hiring plan'!$H$10)),'Hiring plan'!$F$10,0)</f>
        <v>1</v>
      </c>
      <c r="O14" s="33" t="n">
        <f aca="false">IF(AND(N('Hiring plan'!$F$10)&gt;0,O$3&gt;='Hiring plan'!$G$10,O$3&lt;=IF('Hiring plan'!$H$10="",999,'Hiring plan'!$H$10)),'Hiring plan'!$F$10,0)</f>
        <v>1</v>
      </c>
      <c r="P14" s="33" t="n">
        <f aca="false">IF(AND(N('Hiring plan'!$F$10)&gt;0,P$3&gt;='Hiring plan'!$G$10,P$3&lt;=IF('Hiring plan'!$H$10="",999,'Hiring plan'!$H$10)),'Hiring plan'!$F$10,0)</f>
        <v>1</v>
      </c>
      <c r="Q14" s="33" t="n">
        <f aca="false">IF(AND(N('Hiring plan'!$F$10)&gt;0,Q$3&gt;='Hiring plan'!$G$10,Q$3&lt;=IF('Hiring plan'!$H$10="",999,'Hiring plan'!$H$10)),'Hiring plan'!$F$10,0)</f>
        <v>1</v>
      </c>
      <c r="R14" s="33" t="n">
        <f aca="false">IF(AND(N('Hiring plan'!$F$10)&gt;0,R$3&gt;='Hiring plan'!$G$10,R$3&lt;=IF('Hiring plan'!$H$10="",999,'Hiring plan'!$H$10)),'Hiring plan'!$F$10,0)</f>
        <v>1</v>
      </c>
      <c r="S14" s="33" t="n">
        <f aca="false">IF(AND(N('Hiring plan'!$F$10)&gt;0,S$3&gt;='Hiring plan'!$G$10,S$3&lt;=IF('Hiring plan'!$H$10="",999,'Hiring plan'!$H$10)),'Hiring plan'!$F$10,0)</f>
        <v>1</v>
      </c>
      <c r="T14" s="33" t="n">
        <f aca="false">IF(AND(N('Hiring plan'!$F$10)&gt;0,T$3&gt;='Hiring plan'!$G$10,T$3&lt;=IF('Hiring plan'!$H$10="",999,'Hiring plan'!$H$10)),'Hiring plan'!$F$10,0)</f>
        <v>1</v>
      </c>
      <c r="U14" s="33" t="n">
        <f aca="false">IF(AND(N('Hiring plan'!$F$10)&gt;0,U$3&gt;='Hiring plan'!$G$10,U$3&lt;=IF('Hiring plan'!$H$10="",999,'Hiring plan'!$H$10)),'Hiring plan'!$F$10,0)</f>
        <v>1</v>
      </c>
      <c r="V14" s="33" t="n">
        <f aca="false">IF(AND(N('Hiring plan'!$F$10)&gt;0,V$3&gt;='Hiring plan'!$G$10,V$3&lt;=IF('Hiring plan'!$H$10="",999,'Hiring plan'!$H$10)),'Hiring plan'!$F$10,0)</f>
        <v>1</v>
      </c>
      <c r="W14" s="33" t="n">
        <f aca="false">IF(AND(N('Hiring plan'!$F$10)&gt;0,W$3&gt;='Hiring plan'!$G$10,W$3&lt;=IF('Hiring plan'!$H$10="",999,'Hiring plan'!$H$10)),'Hiring plan'!$F$10,0)</f>
        <v>1</v>
      </c>
      <c r="X14" s="33" t="n">
        <f aca="false">IF(AND(N('Hiring plan'!$F$10)&gt;0,X$3&gt;='Hiring plan'!$G$10,X$3&lt;=IF('Hiring plan'!$H$10="",999,'Hiring plan'!$H$10)),'Hiring plan'!$F$10,0)</f>
        <v>1</v>
      </c>
      <c r="Y14" s="33" t="n">
        <f aca="false">IF(AND(N('Hiring plan'!$F$10)&gt;0,Y$3&gt;='Hiring plan'!$G$10,Y$3&lt;=IF('Hiring plan'!$H$10="",999,'Hiring plan'!$H$10)),'Hiring plan'!$F$10,0)</f>
        <v>1</v>
      </c>
      <c r="Z14" s="33" t="n">
        <f aca="false">IF(AND(N('Hiring plan'!$F$10)&gt;0,Z$3&gt;='Hiring plan'!$G$10,Z$3&lt;=IF('Hiring plan'!$H$10="",999,'Hiring plan'!$H$10)),'Hiring plan'!$F$10,0)</f>
        <v>1</v>
      </c>
      <c r="AA14" s="33" t="n">
        <f aca="false">IF(AND(N('Hiring plan'!$F$10)&gt;0,AA$3&gt;='Hiring plan'!$G$10,AA$3&lt;=IF('Hiring plan'!$H$10="",999,'Hiring plan'!$H$10)),'Hiring plan'!$F$10,0)</f>
        <v>1</v>
      </c>
      <c r="AB14" s="33" t="n">
        <f aca="false">IF(AND(N('Hiring plan'!$F$10)&gt;0,AB$3&gt;='Hiring plan'!$G$10,AB$3&lt;=IF('Hiring plan'!$H$10="",999,'Hiring plan'!$H$10)),'Hiring plan'!$F$10,0)</f>
        <v>1</v>
      </c>
      <c r="AC14" s="33" t="n">
        <f aca="false">IF(AND(N('Hiring plan'!$F$10)&gt;0,AC$3&gt;='Hiring plan'!$G$10,AC$3&lt;=IF('Hiring plan'!$H$10="",999,'Hiring plan'!$H$10)),'Hiring plan'!$F$10,0)</f>
        <v>1</v>
      </c>
      <c r="AD14" s="33" t="n">
        <f aca="false">IF(AND(N('Hiring plan'!$F$10)&gt;0,AD$3&gt;='Hiring plan'!$G$10,AD$3&lt;=IF('Hiring plan'!$H$10="",999,'Hiring plan'!$H$10)),'Hiring plan'!$F$10,0)</f>
        <v>1</v>
      </c>
      <c r="AE14" s="33" t="n">
        <f aca="false">IF(AND(N('Hiring plan'!$F$10)&gt;0,AE$3&gt;='Hiring plan'!$G$10,AE$3&lt;=IF('Hiring plan'!$H$10="",999,'Hiring plan'!$H$10)),'Hiring plan'!$F$10,0)</f>
        <v>1</v>
      </c>
      <c r="AF14" s="33" t="n">
        <f aca="false">IF(AND(N('Hiring plan'!$F$10)&gt;0,AF$3&gt;='Hiring plan'!$G$10,AF$3&lt;=IF('Hiring plan'!$H$10="",999,'Hiring plan'!$H$10)),'Hiring plan'!$F$10,0)</f>
        <v>1</v>
      </c>
      <c r="AG14" s="33" t="n">
        <f aca="false">IF(AND(N('Hiring plan'!$F$10)&gt;0,AG$3&gt;='Hiring plan'!$G$10,AG$3&lt;=IF('Hiring plan'!$H$10="",999,'Hiring plan'!$H$10)),'Hiring plan'!$F$10,0)</f>
        <v>1</v>
      </c>
      <c r="AH14" s="33" t="n">
        <f aca="false">IF(AND(N('Hiring plan'!$F$10)&gt;0,AH$3&gt;='Hiring plan'!$G$10,AH$3&lt;=IF('Hiring plan'!$H$10="",999,'Hiring plan'!$H$10)),'Hiring plan'!$F$10,0)</f>
        <v>1</v>
      </c>
      <c r="AI14" s="33" t="n">
        <f aca="false">IF(AND(N('Hiring plan'!$F$10)&gt;0,AI$3&gt;='Hiring plan'!$G$10,AI$3&lt;=IF('Hiring plan'!$H$10="",999,'Hiring plan'!$H$10)),'Hiring plan'!$F$10,0)</f>
        <v>1</v>
      </c>
      <c r="AJ14" s="33" t="n">
        <f aca="false">IF(AND(N('Hiring plan'!$F$10)&gt;0,AJ$3&gt;='Hiring plan'!$G$10,AJ$3&lt;=IF('Hiring plan'!$H$10="",999,'Hiring plan'!$H$10)),'Hiring plan'!$F$10,0)</f>
        <v>1</v>
      </c>
      <c r="AK14" s="33" t="n">
        <f aca="false">IF(AND(N('Hiring plan'!$F$10)&gt;0,AK$3&gt;='Hiring plan'!$G$10,AK$3&lt;=IF('Hiring plan'!$H$10="",999,'Hiring plan'!$H$10)),'Hiring plan'!$F$10,0)</f>
        <v>1</v>
      </c>
      <c r="AL14" s="33" t="n">
        <f aca="false">IF(AND(N('Hiring plan'!$F$10)&gt;0,AL$3&gt;='Hiring plan'!$G$10,AL$3&lt;=IF('Hiring plan'!$H$10="",999,'Hiring plan'!$H$10)),'Hiring plan'!$F$10,0)</f>
        <v>1</v>
      </c>
      <c r="AM14" s="33" t="n">
        <f aca="false">IF(AND(N('Hiring plan'!$F$10)&gt;0,AM$3&gt;='Hiring plan'!$G$10,AM$3&lt;=IF('Hiring plan'!$H$10="",999,'Hiring plan'!$H$10)),'Hiring plan'!$F$10,0)</f>
        <v>1</v>
      </c>
      <c r="AN14" s="33" t="n">
        <f aca="false">IF(AND(N('Hiring plan'!$F$10)&gt;0,AN$3&gt;='Hiring plan'!$G$10,AN$3&lt;=IF('Hiring plan'!$H$10="",999,'Hiring plan'!$H$10)),'Hiring plan'!$F$10,0)</f>
        <v>1</v>
      </c>
      <c r="AO14" s="33" t="n">
        <f aca="false">IF(AND(N('Hiring plan'!$F$10)&gt;0,AO$3&gt;='Hiring plan'!$G$10,AO$3&lt;=IF('Hiring plan'!$H$10="",999,'Hiring plan'!$H$10)),'Hiring plan'!$F$10,0)</f>
        <v>1</v>
      </c>
      <c r="AP14" s="33" t="n">
        <f aca="false">IF(AND(N('Hiring plan'!$F$10)&gt;0,AP$3&gt;='Hiring plan'!$G$10,AP$3&lt;=IF('Hiring plan'!$H$10="",999,'Hiring plan'!$H$10)),'Hiring plan'!$F$10,0)</f>
        <v>1</v>
      </c>
      <c r="AQ14" s="33" t="n">
        <f aca="false">IF(AND(N('Hiring plan'!$F$10)&gt;0,AQ$3&gt;='Hiring plan'!$G$10,AQ$3&lt;=IF('Hiring plan'!$H$10="",999,'Hiring plan'!$H$10)),'Hiring plan'!$F$10,0)</f>
        <v>1</v>
      </c>
      <c r="AR14" s="33" t="n">
        <f aca="false">IF(AND(N('Hiring plan'!$F$10)&gt;0,AR$3&gt;='Hiring plan'!$G$10,AR$3&lt;=IF('Hiring plan'!$H$10="",999,'Hiring plan'!$H$10)),'Hiring plan'!$F$10,0)</f>
        <v>1</v>
      </c>
      <c r="AS14" s="33" t="n">
        <f aca="false">IF(AND(N('Hiring plan'!$F$10)&gt;0,AS$3&gt;='Hiring plan'!$G$10,AS$3&lt;=IF('Hiring plan'!$H$10="",999,'Hiring plan'!$H$10)),'Hiring plan'!$F$10,0)</f>
        <v>1</v>
      </c>
      <c r="AT14" s="33" t="n">
        <f aca="false">IF(AND(N('Hiring plan'!$F$10)&gt;0,AT$3&gt;='Hiring plan'!$G$10,AT$3&lt;=IF('Hiring plan'!$H$10="",999,'Hiring plan'!$H$10)),'Hiring plan'!$F$10,0)</f>
        <v>1</v>
      </c>
      <c r="AU14" s="33" t="n">
        <f aca="false">IF(AND(N('Hiring plan'!$F$10)&gt;0,AU$3&gt;='Hiring plan'!$G$10,AU$3&lt;=IF('Hiring plan'!$H$10="",999,'Hiring plan'!$H$10)),'Hiring plan'!$F$10,0)</f>
        <v>1</v>
      </c>
      <c r="AV14" s="33" t="n">
        <f aca="false">IF(AND(N('Hiring plan'!$F$10)&gt;0,AV$3&gt;='Hiring plan'!$G$10,AV$3&lt;=IF('Hiring plan'!$H$10="",999,'Hiring plan'!$H$10)),'Hiring plan'!$F$10,0)</f>
        <v>1</v>
      </c>
      <c r="AW14" s="33" t="n">
        <f aca="false">IF(AND(N('Hiring plan'!$F$10)&gt;0,AW$3&gt;='Hiring plan'!$G$10,AW$3&lt;=IF('Hiring plan'!$H$10="",999,'Hiring plan'!$H$10)),'Hiring plan'!$F$10,0)</f>
        <v>1</v>
      </c>
      <c r="AX14" s="33" t="n">
        <f aca="false">IF(AND(N('Hiring plan'!$F$10)&gt;0,AX$3&gt;='Hiring plan'!$G$10,AX$3&lt;=IF('Hiring plan'!$H$10="",999,'Hiring plan'!$H$10)),'Hiring plan'!$F$10,0)</f>
        <v>1</v>
      </c>
      <c r="AY14" s="33" t="n">
        <f aca="false">IF(AND(N('Hiring plan'!$F$10)&gt;0,AY$3&gt;='Hiring plan'!$G$10,AY$3&lt;=IF('Hiring plan'!$H$10="",999,'Hiring plan'!$H$10)),'Hiring plan'!$F$10,0)</f>
        <v>1</v>
      </c>
      <c r="AZ14" s="33" t="n">
        <f aca="false">IF(AND(N('Hiring plan'!$F$10)&gt;0,AZ$3&gt;='Hiring plan'!$G$10,AZ$3&lt;=IF('Hiring plan'!$H$10="",999,'Hiring plan'!$H$10)),'Hiring plan'!$F$10,0)</f>
        <v>1</v>
      </c>
      <c r="BA14" s="33" t="n">
        <f aca="false">IF(AND(N('Hiring plan'!$F$10)&gt;0,BA$3&gt;='Hiring plan'!$G$10,BA$3&lt;=IF('Hiring plan'!$H$10="",999,'Hiring plan'!$H$10)),'Hiring plan'!$F$10,0)</f>
        <v>1</v>
      </c>
      <c r="BB14" s="33" t="n">
        <f aca="false">IF(AND(N('Hiring plan'!$F$10)&gt;0,BB$3&gt;='Hiring plan'!$G$10,BB$3&lt;=IF('Hiring plan'!$H$10="",999,'Hiring plan'!$H$10)),'Hiring plan'!$F$10,0)</f>
        <v>1</v>
      </c>
      <c r="BC14" s="33" t="n">
        <f aca="false">IF(AND(N('Hiring plan'!$F$10)&gt;0,BC$3&gt;='Hiring plan'!$G$10,BC$3&lt;=IF('Hiring plan'!$H$10="",999,'Hiring plan'!$H$10)),'Hiring plan'!$F$10,0)</f>
        <v>1</v>
      </c>
      <c r="BD14" s="33" t="n">
        <f aca="false">IF(AND(N('Hiring plan'!$F$10)&gt;0,BD$3&gt;='Hiring plan'!$G$10,BD$3&lt;=IF('Hiring plan'!$H$10="",999,'Hiring plan'!$H$10)),'Hiring plan'!$F$10,0)</f>
        <v>1</v>
      </c>
      <c r="BE14" s="33" t="n">
        <f aca="false">IF(AND(N('Hiring plan'!$F$10)&gt;0,BE$3&gt;='Hiring plan'!$G$10,BE$3&lt;=IF('Hiring plan'!$H$10="",999,'Hiring plan'!$H$10)),'Hiring plan'!$F$10,0)</f>
        <v>1</v>
      </c>
      <c r="BF14" s="33" t="n">
        <f aca="false">IF(AND(N('Hiring plan'!$F$10)&gt;0,BF$3&gt;='Hiring plan'!$G$10,BF$3&lt;=IF('Hiring plan'!$H$10="",999,'Hiring plan'!$H$10)),'Hiring plan'!$F$10,0)</f>
        <v>1</v>
      </c>
      <c r="BG14" s="33" t="n">
        <f aca="false">IF(AND(N('Hiring plan'!$F$10)&gt;0,BG$3&gt;='Hiring plan'!$G$10,BG$3&lt;=IF('Hiring plan'!$H$10="",999,'Hiring plan'!$H$10)),'Hiring plan'!$F$10,0)</f>
        <v>1</v>
      </c>
      <c r="BH14" s="33" t="n">
        <f aca="false">IF(AND(N('Hiring plan'!$F$10)&gt;0,BH$3&gt;='Hiring plan'!$G$10,BH$3&lt;=IF('Hiring plan'!$H$10="",999,'Hiring plan'!$H$10)),'Hiring plan'!$F$10,0)</f>
        <v>1</v>
      </c>
      <c r="BI14" s="33" t="n">
        <f aca="false">IF(AND(N('Hiring plan'!$F$10)&gt;0,BI$3&gt;='Hiring plan'!$G$10,BI$3&lt;=IF('Hiring plan'!$H$10="",999,'Hiring plan'!$H$10)),'Hiring plan'!$F$10,0)</f>
        <v>1</v>
      </c>
      <c r="BJ14" s="33" t="n">
        <f aca="false">IF(AND(N('Hiring plan'!$F$10)&gt;0,BJ$3&gt;='Hiring plan'!$G$10,BJ$3&lt;=IF('Hiring plan'!$H$10="",999,'Hiring plan'!$H$10)),'Hiring plan'!$F$10,0)</f>
        <v>1</v>
      </c>
      <c r="BK14" s="33" t="n">
        <f aca="false">IF(AND(N('Hiring plan'!$F$10)&gt;0,BK$3&gt;='Hiring plan'!$G$10,BK$3&lt;=IF('Hiring plan'!$H$10="",999,'Hiring plan'!$H$10)),'Hiring plan'!$F$10,0)</f>
        <v>1</v>
      </c>
      <c r="BL14" s="33" t="n">
        <f aca="false">IF(AND(N('Hiring plan'!$F$10)&gt;0,BL$3&gt;='Hiring plan'!$G$10,BL$3&lt;=IF('Hiring plan'!$H$10="",999,'Hiring plan'!$H$10)),'Hiring plan'!$F$10,0)</f>
        <v>1</v>
      </c>
    </row>
    <row r="15" customFormat="false" ht="15" hidden="false" customHeight="true" outlineLevel="0" collapsed="false">
      <c r="A15" s="13" t="str">
        <f aca="false">IF('Hiring plan'!$C$11="","(spare line 7)",'Hiring plan'!$C$11&amp;" · "&amp;'Hiring plan'!$D$11)</f>
        <v>Country manager, Abidjan · CI</v>
      </c>
      <c r="B15" s="15" t="s">
        <v>92</v>
      </c>
      <c r="D15" s="56" t="n">
        <f aca="false">MAX(E15:BL15)</f>
        <v>1</v>
      </c>
      <c r="E15" s="33" t="n">
        <f aca="false">IF(AND(N('Hiring plan'!$F$11)&gt;0,E$3&gt;='Hiring plan'!$G$11,E$3&lt;=IF('Hiring plan'!$H$11="",999,'Hiring plan'!$H$11)),'Hiring plan'!$F$11,0)</f>
        <v>0</v>
      </c>
      <c r="F15" s="33" t="n">
        <f aca="false">IF(AND(N('Hiring plan'!$F$11)&gt;0,F$3&gt;='Hiring plan'!$G$11,F$3&lt;=IF('Hiring plan'!$H$11="",999,'Hiring plan'!$H$11)),'Hiring plan'!$F$11,0)</f>
        <v>0</v>
      </c>
      <c r="G15" s="33" t="n">
        <f aca="false">IF(AND(N('Hiring plan'!$F$11)&gt;0,G$3&gt;='Hiring plan'!$G$11,G$3&lt;=IF('Hiring plan'!$H$11="",999,'Hiring plan'!$H$11)),'Hiring plan'!$F$11,0)</f>
        <v>0</v>
      </c>
      <c r="H15" s="33" t="n">
        <f aca="false">IF(AND(N('Hiring plan'!$F$11)&gt;0,H$3&gt;='Hiring plan'!$G$11,H$3&lt;=IF('Hiring plan'!$H$11="",999,'Hiring plan'!$H$11)),'Hiring plan'!$F$11,0)</f>
        <v>0</v>
      </c>
      <c r="I15" s="33" t="n">
        <f aca="false">IF(AND(N('Hiring plan'!$F$11)&gt;0,I$3&gt;='Hiring plan'!$G$11,I$3&lt;=IF('Hiring plan'!$H$11="",999,'Hiring plan'!$H$11)),'Hiring plan'!$F$11,0)</f>
        <v>0</v>
      </c>
      <c r="J15" s="33" t="n">
        <f aca="false">IF(AND(N('Hiring plan'!$F$11)&gt;0,J$3&gt;='Hiring plan'!$G$11,J$3&lt;=IF('Hiring plan'!$H$11="",999,'Hiring plan'!$H$11)),'Hiring plan'!$F$11,0)</f>
        <v>0</v>
      </c>
      <c r="K15" s="33" t="n">
        <f aca="false">IF(AND(N('Hiring plan'!$F$11)&gt;0,K$3&gt;='Hiring plan'!$G$11,K$3&lt;=IF('Hiring plan'!$H$11="",999,'Hiring plan'!$H$11)),'Hiring plan'!$F$11,0)</f>
        <v>0</v>
      </c>
      <c r="L15" s="33" t="n">
        <f aca="false">IF(AND(N('Hiring plan'!$F$11)&gt;0,L$3&gt;='Hiring plan'!$G$11,L$3&lt;=IF('Hiring plan'!$H$11="",999,'Hiring plan'!$H$11)),'Hiring plan'!$F$11,0)</f>
        <v>0</v>
      </c>
      <c r="M15" s="33" t="n">
        <f aca="false">IF(AND(N('Hiring plan'!$F$11)&gt;0,M$3&gt;='Hiring plan'!$G$11,M$3&lt;=IF('Hiring plan'!$H$11="",999,'Hiring plan'!$H$11)),'Hiring plan'!$F$11,0)</f>
        <v>0</v>
      </c>
      <c r="N15" s="33" t="n">
        <f aca="false">IF(AND(N('Hiring plan'!$F$11)&gt;0,N$3&gt;='Hiring plan'!$G$11,N$3&lt;=IF('Hiring plan'!$H$11="",999,'Hiring plan'!$H$11)),'Hiring plan'!$F$11,0)</f>
        <v>0</v>
      </c>
      <c r="O15" s="33" t="n">
        <f aca="false">IF(AND(N('Hiring plan'!$F$11)&gt;0,O$3&gt;='Hiring plan'!$G$11,O$3&lt;=IF('Hiring plan'!$H$11="",999,'Hiring plan'!$H$11)),'Hiring plan'!$F$11,0)</f>
        <v>0</v>
      </c>
      <c r="P15" s="33" t="n">
        <f aca="false">IF(AND(N('Hiring plan'!$F$11)&gt;0,P$3&gt;='Hiring plan'!$G$11,P$3&lt;=IF('Hiring plan'!$H$11="",999,'Hiring plan'!$H$11)),'Hiring plan'!$F$11,0)</f>
        <v>0</v>
      </c>
      <c r="Q15" s="33" t="n">
        <f aca="false">IF(AND(N('Hiring plan'!$F$11)&gt;0,Q$3&gt;='Hiring plan'!$G$11,Q$3&lt;=IF('Hiring plan'!$H$11="",999,'Hiring plan'!$H$11)),'Hiring plan'!$F$11,0)</f>
        <v>0</v>
      </c>
      <c r="R15" s="33" t="n">
        <f aca="false">IF(AND(N('Hiring plan'!$F$11)&gt;0,R$3&gt;='Hiring plan'!$G$11,R$3&lt;=IF('Hiring plan'!$H$11="",999,'Hiring plan'!$H$11)),'Hiring plan'!$F$11,0)</f>
        <v>0</v>
      </c>
      <c r="S15" s="33" t="n">
        <f aca="false">IF(AND(N('Hiring plan'!$F$11)&gt;0,S$3&gt;='Hiring plan'!$G$11,S$3&lt;=IF('Hiring plan'!$H$11="",999,'Hiring plan'!$H$11)),'Hiring plan'!$F$11,0)</f>
        <v>0</v>
      </c>
      <c r="T15" s="33" t="n">
        <f aca="false">IF(AND(N('Hiring plan'!$F$11)&gt;0,T$3&gt;='Hiring plan'!$G$11,T$3&lt;=IF('Hiring plan'!$H$11="",999,'Hiring plan'!$H$11)),'Hiring plan'!$F$11,0)</f>
        <v>0</v>
      </c>
      <c r="U15" s="33" t="n">
        <f aca="false">IF(AND(N('Hiring plan'!$F$11)&gt;0,U$3&gt;='Hiring plan'!$G$11,U$3&lt;=IF('Hiring plan'!$H$11="",999,'Hiring plan'!$H$11)),'Hiring plan'!$F$11,0)</f>
        <v>0</v>
      </c>
      <c r="V15" s="33" t="n">
        <f aca="false">IF(AND(N('Hiring plan'!$F$11)&gt;0,V$3&gt;='Hiring plan'!$G$11,V$3&lt;=IF('Hiring plan'!$H$11="",999,'Hiring plan'!$H$11)),'Hiring plan'!$F$11,0)</f>
        <v>1</v>
      </c>
      <c r="W15" s="33" t="n">
        <f aca="false">IF(AND(N('Hiring plan'!$F$11)&gt;0,W$3&gt;='Hiring plan'!$G$11,W$3&lt;=IF('Hiring plan'!$H$11="",999,'Hiring plan'!$H$11)),'Hiring plan'!$F$11,0)</f>
        <v>1</v>
      </c>
      <c r="X15" s="33" t="n">
        <f aca="false">IF(AND(N('Hiring plan'!$F$11)&gt;0,X$3&gt;='Hiring plan'!$G$11,X$3&lt;=IF('Hiring plan'!$H$11="",999,'Hiring plan'!$H$11)),'Hiring plan'!$F$11,0)</f>
        <v>1</v>
      </c>
      <c r="Y15" s="33" t="n">
        <f aca="false">IF(AND(N('Hiring plan'!$F$11)&gt;0,Y$3&gt;='Hiring plan'!$G$11,Y$3&lt;=IF('Hiring plan'!$H$11="",999,'Hiring plan'!$H$11)),'Hiring plan'!$F$11,0)</f>
        <v>1</v>
      </c>
      <c r="Z15" s="33" t="n">
        <f aca="false">IF(AND(N('Hiring plan'!$F$11)&gt;0,Z$3&gt;='Hiring plan'!$G$11,Z$3&lt;=IF('Hiring plan'!$H$11="",999,'Hiring plan'!$H$11)),'Hiring plan'!$F$11,0)</f>
        <v>1</v>
      </c>
      <c r="AA15" s="33" t="n">
        <f aca="false">IF(AND(N('Hiring plan'!$F$11)&gt;0,AA$3&gt;='Hiring plan'!$G$11,AA$3&lt;=IF('Hiring plan'!$H$11="",999,'Hiring plan'!$H$11)),'Hiring plan'!$F$11,0)</f>
        <v>1</v>
      </c>
      <c r="AB15" s="33" t="n">
        <f aca="false">IF(AND(N('Hiring plan'!$F$11)&gt;0,AB$3&gt;='Hiring plan'!$G$11,AB$3&lt;=IF('Hiring plan'!$H$11="",999,'Hiring plan'!$H$11)),'Hiring plan'!$F$11,0)</f>
        <v>1</v>
      </c>
      <c r="AC15" s="33" t="n">
        <f aca="false">IF(AND(N('Hiring plan'!$F$11)&gt;0,AC$3&gt;='Hiring plan'!$G$11,AC$3&lt;=IF('Hiring plan'!$H$11="",999,'Hiring plan'!$H$11)),'Hiring plan'!$F$11,0)</f>
        <v>1</v>
      </c>
      <c r="AD15" s="33" t="n">
        <f aca="false">IF(AND(N('Hiring plan'!$F$11)&gt;0,AD$3&gt;='Hiring plan'!$G$11,AD$3&lt;=IF('Hiring plan'!$H$11="",999,'Hiring plan'!$H$11)),'Hiring plan'!$F$11,0)</f>
        <v>1</v>
      </c>
      <c r="AE15" s="33" t="n">
        <f aca="false">IF(AND(N('Hiring plan'!$F$11)&gt;0,AE$3&gt;='Hiring plan'!$G$11,AE$3&lt;=IF('Hiring plan'!$H$11="",999,'Hiring plan'!$H$11)),'Hiring plan'!$F$11,0)</f>
        <v>1</v>
      </c>
      <c r="AF15" s="33" t="n">
        <f aca="false">IF(AND(N('Hiring plan'!$F$11)&gt;0,AF$3&gt;='Hiring plan'!$G$11,AF$3&lt;=IF('Hiring plan'!$H$11="",999,'Hiring plan'!$H$11)),'Hiring plan'!$F$11,0)</f>
        <v>1</v>
      </c>
      <c r="AG15" s="33" t="n">
        <f aca="false">IF(AND(N('Hiring plan'!$F$11)&gt;0,AG$3&gt;='Hiring plan'!$G$11,AG$3&lt;=IF('Hiring plan'!$H$11="",999,'Hiring plan'!$H$11)),'Hiring plan'!$F$11,0)</f>
        <v>1</v>
      </c>
      <c r="AH15" s="33" t="n">
        <f aca="false">IF(AND(N('Hiring plan'!$F$11)&gt;0,AH$3&gt;='Hiring plan'!$G$11,AH$3&lt;=IF('Hiring plan'!$H$11="",999,'Hiring plan'!$H$11)),'Hiring plan'!$F$11,0)</f>
        <v>1</v>
      </c>
      <c r="AI15" s="33" t="n">
        <f aca="false">IF(AND(N('Hiring plan'!$F$11)&gt;0,AI$3&gt;='Hiring plan'!$G$11,AI$3&lt;=IF('Hiring plan'!$H$11="",999,'Hiring plan'!$H$11)),'Hiring plan'!$F$11,0)</f>
        <v>1</v>
      </c>
      <c r="AJ15" s="33" t="n">
        <f aca="false">IF(AND(N('Hiring plan'!$F$11)&gt;0,AJ$3&gt;='Hiring plan'!$G$11,AJ$3&lt;=IF('Hiring plan'!$H$11="",999,'Hiring plan'!$H$11)),'Hiring plan'!$F$11,0)</f>
        <v>1</v>
      </c>
      <c r="AK15" s="33" t="n">
        <f aca="false">IF(AND(N('Hiring plan'!$F$11)&gt;0,AK$3&gt;='Hiring plan'!$G$11,AK$3&lt;=IF('Hiring plan'!$H$11="",999,'Hiring plan'!$H$11)),'Hiring plan'!$F$11,0)</f>
        <v>1</v>
      </c>
      <c r="AL15" s="33" t="n">
        <f aca="false">IF(AND(N('Hiring plan'!$F$11)&gt;0,AL$3&gt;='Hiring plan'!$G$11,AL$3&lt;=IF('Hiring plan'!$H$11="",999,'Hiring plan'!$H$11)),'Hiring plan'!$F$11,0)</f>
        <v>1</v>
      </c>
      <c r="AM15" s="33" t="n">
        <f aca="false">IF(AND(N('Hiring plan'!$F$11)&gt;0,AM$3&gt;='Hiring plan'!$G$11,AM$3&lt;=IF('Hiring plan'!$H$11="",999,'Hiring plan'!$H$11)),'Hiring plan'!$F$11,0)</f>
        <v>1</v>
      </c>
      <c r="AN15" s="33" t="n">
        <f aca="false">IF(AND(N('Hiring plan'!$F$11)&gt;0,AN$3&gt;='Hiring plan'!$G$11,AN$3&lt;=IF('Hiring plan'!$H$11="",999,'Hiring plan'!$H$11)),'Hiring plan'!$F$11,0)</f>
        <v>1</v>
      </c>
      <c r="AO15" s="33" t="n">
        <f aca="false">IF(AND(N('Hiring plan'!$F$11)&gt;0,AO$3&gt;='Hiring plan'!$G$11,AO$3&lt;=IF('Hiring plan'!$H$11="",999,'Hiring plan'!$H$11)),'Hiring plan'!$F$11,0)</f>
        <v>1</v>
      </c>
      <c r="AP15" s="33" t="n">
        <f aca="false">IF(AND(N('Hiring plan'!$F$11)&gt;0,AP$3&gt;='Hiring plan'!$G$11,AP$3&lt;=IF('Hiring plan'!$H$11="",999,'Hiring plan'!$H$11)),'Hiring plan'!$F$11,0)</f>
        <v>1</v>
      </c>
      <c r="AQ15" s="33" t="n">
        <f aca="false">IF(AND(N('Hiring plan'!$F$11)&gt;0,AQ$3&gt;='Hiring plan'!$G$11,AQ$3&lt;=IF('Hiring plan'!$H$11="",999,'Hiring plan'!$H$11)),'Hiring plan'!$F$11,0)</f>
        <v>1</v>
      </c>
      <c r="AR15" s="33" t="n">
        <f aca="false">IF(AND(N('Hiring plan'!$F$11)&gt;0,AR$3&gt;='Hiring plan'!$G$11,AR$3&lt;=IF('Hiring plan'!$H$11="",999,'Hiring plan'!$H$11)),'Hiring plan'!$F$11,0)</f>
        <v>1</v>
      </c>
      <c r="AS15" s="33" t="n">
        <f aca="false">IF(AND(N('Hiring plan'!$F$11)&gt;0,AS$3&gt;='Hiring plan'!$G$11,AS$3&lt;=IF('Hiring plan'!$H$11="",999,'Hiring plan'!$H$11)),'Hiring plan'!$F$11,0)</f>
        <v>1</v>
      </c>
      <c r="AT15" s="33" t="n">
        <f aca="false">IF(AND(N('Hiring plan'!$F$11)&gt;0,AT$3&gt;='Hiring plan'!$G$11,AT$3&lt;=IF('Hiring plan'!$H$11="",999,'Hiring plan'!$H$11)),'Hiring plan'!$F$11,0)</f>
        <v>1</v>
      </c>
      <c r="AU15" s="33" t="n">
        <f aca="false">IF(AND(N('Hiring plan'!$F$11)&gt;0,AU$3&gt;='Hiring plan'!$G$11,AU$3&lt;=IF('Hiring plan'!$H$11="",999,'Hiring plan'!$H$11)),'Hiring plan'!$F$11,0)</f>
        <v>1</v>
      </c>
      <c r="AV15" s="33" t="n">
        <f aca="false">IF(AND(N('Hiring plan'!$F$11)&gt;0,AV$3&gt;='Hiring plan'!$G$11,AV$3&lt;=IF('Hiring plan'!$H$11="",999,'Hiring plan'!$H$11)),'Hiring plan'!$F$11,0)</f>
        <v>1</v>
      </c>
      <c r="AW15" s="33" t="n">
        <f aca="false">IF(AND(N('Hiring plan'!$F$11)&gt;0,AW$3&gt;='Hiring plan'!$G$11,AW$3&lt;=IF('Hiring plan'!$H$11="",999,'Hiring plan'!$H$11)),'Hiring plan'!$F$11,0)</f>
        <v>1</v>
      </c>
      <c r="AX15" s="33" t="n">
        <f aca="false">IF(AND(N('Hiring plan'!$F$11)&gt;0,AX$3&gt;='Hiring plan'!$G$11,AX$3&lt;=IF('Hiring plan'!$H$11="",999,'Hiring plan'!$H$11)),'Hiring plan'!$F$11,0)</f>
        <v>1</v>
      </c>
      <c r="AY15" s="33" t="n">
        <f aca="false">IF(AND(N('Hiring plan'!$F$11)&gt;0,AY$3&gt;='Hiring plan'!$G$11,AY$3&lt;=IF('Hiring plan'!$H$11="",999,'Hiring plan'!$H$11)),'Hiring plan'!$F$11,0)</f>
        <v>1</v>
      </c>
      <c r="AZ15" s="33" t="n">
        <f aca="false">IF(AND(N('Hiring plan'!$F$11)&gt;0,AZ$3&gt;='Hiring plan'!$G$11,AZ$3&lt;=IF('Hiring plan'!$H$11="",999,'Hiring plan'!$H$11)),'Hiring plan'!$F$11,0)</f>
        <v>1</v>
      </c>
      <c r="BA15" s="33" t="n">
        <f aca="false">IF(AND(N('Hiring plan'!$F$11)&gt;0,BA$3&gt;='Hiring plan'!$G$11,BA$3&lt;=IF('Hiring plan'!$H$11="",999,'Hiring plan'!$H$11)),'Hiring plan'!$F$11,0)</f>
        <v>1</v>
      </c>
      <c r="BB15" s="33" t="n">
        <f aca="false">IF(AND(N('Hiring plan'!$F$11)&gt;0,BB$3&gt;='Hiring plan'!$G$11,BB$3&lt;=IF('Hiring plan'!$H$11="",999,'Hiring plan'!$H$11)),'Hiring plan'!$F$11,0)</f>
        <v>1</v>
      </c>
      <c r="BC15" s="33" t="n">
        <f aca="false">IF(AND(N('Hiring plan'!$F$11)&gt;0,BC$3&gt;='Hiring plan'!$G$11,BC$3&lt;=IF('Hiring plan'!$H$11="",999,'Hiring plan'!$H$11)),'Hiring plan'!$F$11,0)</f>
        <v>1</v>
      </c>
      <c r="BD15" s="33" t="n">
        <f aca="false">IF(AND(N('Hiring plan'!$F$11)&gt;0,BD$3&gt;='Hiring plan'!$G$11,BD$3&lt;=IF('Hiring plan'!$H$11="",999,'Hiring plan'!$H$11)),'Hiring plan'!$F$11,0)</f>
        <v>1</v>
      </c>
      <c r="BE15" s="33" t="n">
        <f aca="false">IF(AND(N('Hiring plan'!$F$11)&gt;0,BE$3&gt;='Hiring plan'!$G$11,BE$3&lt;=IF('Hiring plan'!$H$11="",999,'Hiring plan'!$H$11)),'Hiring plan'!$F$11,0)</f>
        <v>1</v>
      </c>
      <c r="BF15" s="33" t="n">
        <f aca="false">IF(AND(N('Hiring plan'!$F$11)&gt;0,BF$3&gt;='Hiring plan'!$G$11,BF$3&lt;=IF('Hiring plan'!$H$11="",999,'Hiring plan'!$H$11)),'Hiring plan'!$F$11,0)</f>
        <v>1</v>
      </c>
      <c r="BG15" s="33" t="n">
        <f aca="false">IF(AND(N('Hiring plan'!$F$11)&gt;0,BG$3&gt;='Hiring plan'!$G$11,BG$3&lt;=IF('Hiring plan'!$H$11="",999,'Hiring plan'!$H$11)),'Hiring plan'!$F$11,0)</f>
        <v>1</v>
      </c>
      <c r="BH15" s="33" t="n">
        <f aca="false">IF(AND(N('Hiring plan'!$F$11)&gt;0,BH$3&gt;='Hiring plan'!$G$11,BH$3&lt;=IF('Hiring plan'!$H$11="",999,'Hiring plan'!$H$11)),'Hiring plan'!$F$11,0)</f>
        <v>1</v>
      </c>
      <c r="BI15" s="33" t="n">
        <f aca="false">IF(AND(N('Hiring plan'!$F$11)&gt;0,BI$3&gt;='Hiring plan'!$G$11,BI$3&lt;=IF('Hiring plan'!$H$11="",999,'Hiring plan'!$H$11)),'Hiring plan'!$F$11,0)</f>
        <v>1</v>
      </c>
      <c r="BJ15" s="33" t="n">
        <f aca="false">IF(AND(N('Hiring plan'!$F$11)&gt;0,BJ$3&gt;='Hiring plan'!$G$11,BJ$3&lt;=IF('Hiring plan'!$H$11="",999,'Hiring plan'!$H$11)),'Hiring plan'!$F$11,0)</f>
        <v>1</v>
      </c>
      <c r="BK15" s="33" t="n">
        <f aca="false">IF(AND(N('Hiring plan'!$F$11)&gt;0,BK$3&gt;='Hiring plan'!$G$11,BK$3&lt;=IF('Hiring plan'!$H$11="",999,'Hiring plan'!$H$11)),'Hiring plan'!$F$11,0)</f>
        <v>1</v>
      </c>
      <c r="BL15" s="33" t="n">
        <f aca="false">IF(AND(N('Hiring plan'!$F$11)&gt;0,BL$3&gt;='Hiring plan'!$G$11,BL$3&lt;=IF('Hiring plan'!$H$11="",999,'Hiring plan'!$H$11)),'Hiring plan'!$F$11,0)</f>
        <v>1</v>
      </c>
    </row>
    <row r="16" customFormat="false" ht="15" hidden="false" customHeight="true" outlineLevel="0" collapsed="false">
      <c r="A16" s="13" t="str">
        <f aca="false">IF('Hiring plan'!$C$12="","(spare line 8)",'Hiring plan'!$C$12&amp;" · "&amp;'Hiring plan'!$D$12)</f>
        <v>Compliance officer (AML/CFT) · SN</v>
      </c>
      <c r="B16" s="15" t="s">
        <v>92</v>
      </c>
      <c r="D16" s="56" t="n">
        <f aca="false">MAX(E16:BL16)</f>
        <v>1</v>
      </c>
      <c r="E16" s="33" t="n">
        <f aca="false">IF(AND(N('Hiring plan'!$F$12)&gt;0,E$3&gt;='Hiring plan'!$G$12,E$3&lt;=IF('Hiring plan'!$H$12="",999,'Hiring plan'!$H$12)),'Hiring plan'!$F$12,0)</f>
        <v>0</v>
      </c>
      <c r="F16" s="33" t="n">
        <f aca="false">IF(AND(N('Hiring plan'!$F$12)&gt;0,F$3&gt;='Hiring plan'!$G$12,F$3&lt;=IF('Hiring plan'!$H$12="",999,'Hiring plan'!$H$12)),'Hiring plan'!$F$12,0)</f>
        <v>0</v>
      </c>
      <c r="G16" s="33" t="n">
        <f aca="false">IF(AND(N('Hiring plan'!$F$12)&gt;0,G$3&gt;='Hiring plan'!$G$12,G$3&lt;=IF('Hiring plan'!$H$12="",999,'Hiring plan'!$H$12)),'Hiring plan'!$F$12,0)</f>
        <v>0</v>
      </c>
      <c r="H16" s="33" t="n">
        <f aca="false">IF(AND(N('Hiring plan'!$F$12)&gt;0,H$3&gt;='Hiring plan'!$G$12,H$3&lt;=IF('Hiring plan'!$H$12="",999,'Hiring plan'!$H$12)),'Hiring plan'!$F$12,0)</f>
        <v>0</v>
      </c>
      <c r="I16" s="33" t="n">
        <f aca="false">IF(AND(N('Hiring plan'!$F$12)&gt;0,I$3&gt;='Hiring plan'!$G$12,I$3&lt;=IF('Hiring plan'!$H$12="",999,'Hiring plan'!$H$12)),'Hiring plan'!$F$12,0)</f>
        <v>0</v>
      </c>
      <c r="J16" s="33" t="n">
        <f aca="false">IF(AND(N('Hiring plan'!$F$12)&gt;0,J$3&gt;='Hiring plan'!$G$12,J$3&lt;=IF('Hiring plan'!$H$12="",999,'Hiring plan'!$H$12)),'Hiring plan'!$F$12,0)</f>
        <v>0</v>
      </c>
      <c r="K16" s="33" t="n">
        <f aca="false">IF(AND(N('Hiring plan'!$F$12)&gt;0,K$3&gt;='Hiring plan'!$G$12,K$3&lt;=IF('Hiring plan'!$H$12="",999,'Hiring plan'!$H$12)),'Hiring plan'!$F$12,0)</f>
        <v>0</v>
      </c>
      <c r="L16" s="33" t="n">
        <f aca="false">IF(AND(N('Hiring plan'!$F$12)&gt;0,L$3&gt;='Hiring plan'!$G$12,L$3&lt;=IF('Hiring plan'!$H$12="",999,'Hiring plan'!$H$12)),'Hiring plan'!$F$12,0)</f>
        <v>0</v>
      </c>
      <c r="M16" s="33" t="n">
        <f aca="false">IF(AND(N('Hiring plan'!$F$12)&gt;0,M$3&gt;='Hiring plan'!$G$12,M$3&lt;=IF('Hiring plan'!$H$12="",999,'Hiring plan'!$H$12)),'Hiring plan'!$F$12,0)</f>
        <v>0</v>
      </c>
      <c r="N16" s="33" t="n">
        <f aca="false">IF(AND(N('Hiring plan'!$F$12)&gt;0,N$3&gt;='Hiring plan'!$G$12,N$3&lt;=IF('Hiring plan'!$H$12="",999,'Hiring plan'!$H$12)),'Hiring plan'!$F$12,0)</f>
        <v>0</v>
      </c>
      <c r="O16" s="33" t="n">
        <f aca="false">IF(AND(N('Hiring plan'!$F$12)&gt;0,O$3&gt;='Hiring plan'!$G$12,O$3&lt;=IF('Hiring plan'!$H$12="",999,'Hiring plan'!$H$12)),'Hiring plan'!$F$12,0)</f>
        <v>0</v>
      </c>
      <c r="P16" s="33" t="n">
        <f aca="false">IF(AND(N('Hiring plan'!$F$12)&gt;0,P$3&gt;='Hiring plan'!$G$12,P$3&lt;=IF('Hiring plan'!$H$12="",999,'Hiring plan'!$H$12)),'Hiring plan'!$F$12,0)</f>
        <v>0</v>
      </c>
      <c r="Q16" s="33" t="n">
        <f aca="false">IF(AND(N('Hiring plan'!$F$12)&gt;0,Q$3&gt;='Hiring plan'!$G$12,Q$3&lt;=IF('Hiring plan'!$H$12="",999,'Hiring plan'!$H$12)),'Hiring plan'!$F$12,0)</f>
        <v>0</v>
      </c>
      <c r="R16" s="33" t="n">
        <f aca="false">IF(AND(N('Hiring plan'!$F$12)&gt;0,R$3&gt;='Hiring plan'!$G$12,R$3&lt;=IF('Hiring plan'!$H$12="",999,'Hiring plan'!$H$12)),'Hiring plan'!$F$12,0)</f>
        <v>0</v>
      </c>
      <c r="S16" s="33" t="n">
        <f aca="false">IF(AND(N('Hiring plan'!$F$12)&gt;0,S$3&gt;='Hiring plan'!$G$12,S$3&lt;=IF('Hiring plan'!$H$12="",999,'Hiring plan'!$H$12)),'Hiring plan'!$F$12,0)</f>
        <v>0</v>
      </c>
      <c r="T16" s="33" t="n">
        <f aca="false">IF(AND(N('Hiring plan'!$F$12)&gt;0,T$3&gt;='Hiring plan'!$G$12,T$3&lt;=IF('Hiring plan'!$H$12="",999,'Hiring plan'!$H$12)),'Hiring plan'!$F$12,0)</f>
        <v>0</v>
      </c>
      <c r="U16" s="33" t="n">
        <f aca="false">IF(AND(N('Hiring plan'!$F$12)&gt;0,U$3&gt;='Hiring plan'!$G$12,U$3&lt;=IF('Hiring plan'!$H$12="",999,'Hiring plan'!$H$12)),'Hiring plan'!$F$12,0)</f>
        <v>0</v>
      </c>
      <c r="V16" s="33" t="n">
        <f aca="false">IF(AND(N('Hiring plan'!$F$12)&gt;0,V$3&gt;='Hiring plan'!$G$12,V$3&lt;=IF('Hiring plan'!$H$12="",999,'Hiring plan'!$H$12)),'Hiring plan'!$F$12,0)</f>
        <v>0</v>
      </c>
      <c r="W16" s="33" t="n">
        <f aca="false">IF(AND(N('Hiring plan'!$F$12)&gt;0,W$3&gt;='Hiring plan'!$G$12,W$3&lt;=IF('Hiring plan'!$H$12="",999,'Hiring plan'!$H$12)),'Hiring plan'!$F$12,0)</f>
        <v>0</v>
      </c>
      <c r="X16" s="33" t="n">
        <f aca="false">IF(AND(N('Hiring plan'!$F$12)&gt;0,X$3&gt;='Hiring plan'!$G$12,X$3&lt;=IF('Hiring plan'!$H$12="",999,'Hiring plan'!$H$12)),'Hiring plan'!$F$12,0)</f>
        <v>0</v>
      </c>
      <c r="Y16" s="33" t="n">
        <f aca="false">IF(AND(N('Hiring plan'!$F$12)&gt;0,Y$3&gt;='Hiring plan'!$G$12,Y$3&lt;=IF('Hiring plan'!$H$12="",999,'Hiring plan'!$H$12)),'Hiring plan'!$F$12,0)</f>
        <v>0</v>
      </c>
      <c r="Z16" s="33" t="n">
        <f aca="false">IF(AND(N('Hiring plan'!$F$12)&gt;0,Z$3&gt;='Hiring plan'!$G$12,Z$3&lt;=IF('Hiring plan'!$H$12="",999,'Hiring plan'!$H$12)),'Hiring plan'!$F$12,0)</f>
        <v>0</v>
      </c>
      <c r="AA16" s="33" t="n">
        <f aca="false">IF(AND(N('Hiring plan'!$F$12)&gt;0,AA$3&gt;='Hiring plan'!$G$12,AA$3&lt;=IF('Hiring plan'!$H$12="",999,'Hiring plan'!$H$12)),'Hiring plan'!$F$12,0)</f>
        <v>0</v>
      </c>
      <c r="AB16" s="33" t="n">
        <f aca="false">IF(AND(N('Hiring plan'!$F$12)&gt;0,AB$3&gt;='Hiring plan'!$G$12,AB$3&lt;=IF('Hiring plan'!$H$12="",999,'Hiring plan'!$H$12)),'Hiring plan'!$F$12,0)</f>
        <v>1</v>
      </c>
      <c r="AC16" s="33" t="n">
        <f aca="false">IF(AND(N('Hiring plan'!$F$12)&gt;0,AC$3&gt;='Hiring plan'!$G$12,AC$3&lt;=IF('Hiring plan'!$H$12="",999,'Hiring plan'!$H$12)),'Hiring plan'!$F$12,0)</f>
        <v>1</v>
      </c>
      <c r="AD16" s="33" t="n">
        <f aca="false">IF(AND(N('Hiring plan'!$F$12)&gt;0,AD$3&gt;='Hiring plan'!$G$12,AD$3&lt;=IF('Hiring plan'!$H$12="",999,'Hiring plan'!$H$12)),'Hiring plan'!$F$12,0)</f>
        <v>1</v>
      </c>
      <c r="AE16" s="33" t="n">
        <f aca="false">IF(AND(N('Hiring plan'!$F$12)&gt;0,AE$3&gt;='Hiring plan'!$G$12,AE$3&lt;=IF('Hiring plan'!$H$12="",999,'Hiring plan'!$H$12)),'Hiring plan'!$F$12,0)</f>
        <v>1</v>
      </c>
      <c r="AF16" s="33" t="n">
        <f aca="false">IF(AND(N('Hiring plan'!$F$12)&gt;0,AF$3&gt;='Hiring plan'!$G$12,AF$3&lt;=IF('Hiring plan'!$H$12="",999,'Hiring plan'!$H$12)),'Hiring plan'!$F$12,0)</f>
        <v>1</v>
      </c>
      <c r="AG16" s="33" t="n">
        <f aca="false">IF(AND(N('Hiring plan'!$F$12)&gt;0,AG$3&gt;='Hiring plan'!$G$12,AG$3&lt;=IF('Hiring plan'!$H$12="",999,'Hiring plan'!$H$12)),'Hiring plan'!$F$12,0)</f>
        <v>1</v>
      </c>
      <c r="AH16" s="33" t="n">
        <f aca="false">IF(AND(N('Hiring plan'!$F$12)&gt;0,AH$3&gt;='Hiring plan'!$G$12,AH$3&lt;=IF('Hiring plan'!$H$12="",999,'Hiring plan'!$H$12)),'Hiring plan'!$F$12,0)</f>
        <v>1</v>
      </c>
      <c r="AI16" s="33" t="n">
        <f aca="false">IF(AND(N('Hiring plan'!$F$12)&gt;0,AI$3&gt;='Hiring plan'!$G$12,AI$3&lt;=IF('Hiring plan'!$H$12="",999,'Hiring plan'!$H$12)),'Hiring plan'!$F$12,0)</f>
        <v>1</v>
      </c>
      <c r="AJ16" s="33" t="n">
        <f aca="false">IF(AND(N('Hiring plan'!$F$12)&gt;0,AJ$3&gt;='Hiring plan'!$G$12,AJ$3&lt;=IF('Hiring plan'!$H$12="",999,'Hiring plan'!$H$12)),'Hiring plan'!$F$12,0)</f>
        <v>1</v>
      </c>
      <c r="AK16" s="33" t="n">
        <f aca="false">IF(AND(N('Hiring plan'!$F$12)&gt;0,AK$3&gt;='Hiring plan'!$G$12,AK$3&lt;=IF('Hiring plan'!$H$12="",999,'Hiring plan'!$H$12)),'Hiring plan'!$F$12,0)</f>
        <v>1</v>
      </c>
      <c r="AL16" s="33" t="n">
        <f aca="false">IF(AND(N('Hiring plan'!$F$12)&gt;0,AL$3&gt;='Hiring plan'!$G$12,AL$3&lt;=IF('Hiring plan'!$H$12="",999,'Hiring plan'!$H$12)),'Hiring plan'!$F$12,0)</f>
        <v>1</v>
      </c>
      <c r="AM16" s="33" t="n">
        <f aca="false">IF(AND(N('Hiring plan'!$F$12)&gt;0,AM$3&gt;='Hiring plan'!$G$12,AM$3&lt;=IF('Hiring plan'!$H$12="",999,'Hiring plan'!$H$12)),'Hiring plan'!$F$12,0)</f>
        <v>1</v>
      </c>
      <c r="AN16" s="33" t="n">
        <f aca="false">IF(AND(N('Hiring plan'!$F$12)&gt;0,AN$3&gt;='Hiring plan'!$G$12,AN$3&lt;=IF('Hiring plan'!$H$12="",999,'Hiring plan'!$H$12)),'Hiring plan'!$F$12,0)</f>
        <v>1</v>
      </c>
      <c r="AO16" s="33" t="n">
        <f aca="false">IF(AND(N('Hiring plan'!$F$12)&gt;0,AO$3&gt;='Hiring plan'!$G$12,AO$3&lt;=IF('Hiring plan'!$H$12="",999,'Hiring plan'!$H$12)),'Hiring plan'!$F$12,0)</f>
        <v>1</v>
      </c>
      <c r="AP16" s="33" t="n">
        <f aca="false">IF(AND(N('Hiring plan'!$F$12)&gt;0,AP$3&gt;='Hiring plan'!$G$12,AP$3&lt;=IF('Hiring plan'!$H$12="",999,'Hiring plan'!$H$12)),'Hiring plan'!$F$12,0)</f>
        <v>1</v>
      </c>
      <c r="AQ16" s="33" t="n">
        <f aca="false">IF(AND(N('Hiring plan'!$F$12)&gt;0,AQ$3&gt;='Hiring plan'!$G$12,AQ$3&lt;=IF('Hiring plan'!$H$12="",999,'Hiring plan'!$H$12)),'Hiring plan'!$F$12,0)</f>
        <v>1</v>
      </c>
      <c r="AR16" s="33" t="n">
        <f aca="false">IF(AND(N('Hiring plan'!$F$12)&gt;0,AR$3&gt;='Hiring plan'!$G$12,AR$3&lt;=IF('Hiring plan'!$H$12="",999,'Hiring plan'!$H$12)),'Hiring plan'!$F$12,0)</f>
        <v>1</v>
      </c>
      <c r="AS16" s="33" t="n">
        <f aca="false">IF(AND(N('Hiring plan'!$F$12)&gt;0,AS$3&gt;='Hiring plan'!$G$12,AS$3&lt;=IF('Hiring plan'!$H$12="",999,'Hiring plan'!$H$12)),'Hiring plan'!$F$12,0)</f>
        <v>1</v>
      </c>
      <c r="AT16" s="33" t="n">
        <f aca="false">IF(AND(N('Hiring plan'!$F$12)&gt;0,AT$3&gt;='Hiring plan'!$G$12,AT$3&lt;=IF('Hiring plan'!$H$12="",999,'Hiring plan'!$H$12)),'Hiring plan'!$F$12,0)</f>
        <v>1</v>
      </c>
      <c r="AU16" s="33" t="n">
        <f aca="false">IF(AND(N('Hiring plan'!$F$12)&gt;0,AU$3&gt;='Hiring plan'!$G$12,AU$3&lt;=IF('Hiring plan'!$H$12="",999,'Hiring plan'!$H$12)),'Hiring plan'!$F$12,0)</f>
        <v>1</v>
      </c>
      <c r="AV16" s="33" t="n">
        <f aca="false">IF(AND(N('Hiring plan'!$F$12)&gt;0,AV$3&gt;='Hiring plan'!$G$12,AV$3&lt;=IF('Hiring plan'!$H$12="",999,'Hiring plan'!$H$12)),'Hiring plan'!$F$12,0)</f>
        <v>1</v>
      </c>
      <c r="AW16" s="33" t="n">
        <f aca="false">IF(AND(N('Hiring plan'!$F$12)&gt;0,AW$3&gt;='Hiring plan'!$G$12,AW$3&lt;=IF('Hiring plan'!$H$12="",999,'Hiring plan'!$H$12)),'Hiring plan'!$F$12,0)</f>
        <v>1</v>
      </c>
      <c r="AX16" s="33" t="n">
        <f aca="false">IF(AND(N('Hiring plan'!$F$12)&gt;0,AX$3&gt;='Hiring plan'!$G$12,AX$3&lt;=IF('Hiring plan'!$H$12="",999,'Hiring plan'!$H$12)),'Hiring plan'!$F$12,0)</f>
        <v>1</v>
      </c>
      <c r="AY16" s="33" t="n">
        <f aca="false">IF(AND(N('Hiring plan'!$F$12)&gt;0,AY$3&gt;='Hiring plan'!$G$12,AY$3&lt;=IF('Hiring plan'!$H$12="",999,'Hiring plan'!$H$12)),'Hiring plan'!$F$12,0)</f>
        <v>1</v>
      </c>
      <c r="AZ16" s="33" t="n">
        <f aca="false">IF(AND(N('Hiring plan'!$F$12)&gt;0,AZ$3&gt;='Hiring plan'!$G$12,AZ$3&lt;=IF('Hiring plan'!$H$12="",999,'Hiring plan'!$H$12)),'Hiring plan'!$F$12,0)</f>
        <v>1</v>
      </c>
      <c r="BA16" s="33" t="n">
        <f aca="false">IF(AND(N('Hiring plan'!$F$12)&gt;0,BA$3&gt;='Hiring plan'!$G$12,BA$3&lt;=IF('Hiring plan'!$H$12="",999,'Hiring plan'!$H$12)),'Hiring plan'!$F$12,0)</f>
        <v>1</v>
      </c>
      <c r="BB16" s="33" t="n">
        <f aca="false">IF(AND(N('Hiring plan'!$F$12)&gt;0,BB$3&gt;='Hiring plan'!$G$12,BB$3&lt;=IF('Hiring plan'!$H$12="",999,'Hiring plan'!$H$12)),'Hiring plan'!$F$12,0)</f>
        <v>1</v>
      </c>
      <c r="BC16" s="33" t="n">
        <f aca="false">IF(AND(N('Hiring plan'!$F$12)&gt;0,BC$3&gt;='Hiring plan'!$G$12,BC$3&lt;=IF('Hiring plan'!$H$12="",999,'Hiring plan'!$H$12)),'Hiring plan'!$F$12,0)</f>
        <v>1</v>
      </c>
      <c r="BD16" s="33" t="n">
        <f aca="false">IF(AND(N('Hiring plan'!$F$12)&gt;0,BD$3&gt;='Hiring plan'!$G$12,BD$3&lt;=IF('Hiring plan'!$H$12="",999,'Hiring plan'!$H$12)),'Hiring plan'!$F$12,0)</f>
        <v>1</v>
      </c>
      <c r="BE16" s="33" t="n">
        <f aca="false">IF(AND(N('Hiring plan'!$F$12)&gt;0,BE$3&gt;='Hiring plan'!$G$12,BE$3&lt;=IF('Hiring plan'!$H$12="",999,'Hiring plan'!$H$12)),'Hiring plan'!$F$12,0)</f>
        <v>1</v>
      </c>
      <c r="BF16" s="33" t="n">
        <f aca="false">IF(AND(N('Hiring plan'!$F$12)&gt;0,BF$3&gt;='Hiring plan'!$G$12,BF$3&lt;=IF('Hiring plan'!$H$12="",999,'Hiring plan'!$H$12)),'Hiring plan'!$F$12,0)</f>
        <v>1</v>
      </c>
      <c r="BG16" s="33" t="n">
        <f aca="false">IF(AND(N('Hiring plan'!$F$12)&gt;0,BG$3&gt;='Hiring plan'!$G$12,BG$3&lt;=IF('Hiring plan'!$H$12="",999,'Hiring plan'!$H$12)),'Hiring plan'!$F$12,0)</f>
        <v>1</v>
      </c>
      <c r="BH16" s="33" t="n">
        <f aca="false">IF(AND(N('Hiring plan'!$F$12)&gt;0,BH$3&gt;='Hiring plan'!$G$12,BH$3&lt;=IF('Hiring plan'!$H$12="",999,'Hiring plan'!$H$12)),'Hiring plan'!$F$12,0)</f>
        <v>1</v>
      </c>
      <c r="BI16" s="33" t="n">
        <f aca="false">IF(AND(N('Hiring plan'!$F$12)&gt;0,BI$3&gt;='Hiring plan'!$G$12,BI$3&lt;=IF('Hiring plan'!$H$12="",999,'Hiring plan'!$H$12)),'Hiring plan'!$F$12,0)</f>
        <v>1</v>
      </c>
      <c r="BJ16" s="33" t="n">
        <f aca="false">IF(AND(N('Hiring plan'!$F$12)&gt;0,BJ$3&gt;='Hiring plan'!$G$12,BJ$3&lt;=IF('Hiring plan'!$H$12="",999,'Hiring plan'!$H$12)),'Hiring plan'!$F$12,0)</f>
        <v>1</v>
      </c>
      <c r="BK16" s="33" t="n">
        <f aca="false">IF(AND(N('Hiring plan'!$F$12)&gt;0,BK$3&gt;='Hiring plan'!$G$12,BK$3&lt;=IF('Hiring plan'!$H$12="",999,'Hiring plan'!$H$12)),'Hiring plan'!$F$12,0)</f>
        <v>1</v>
      </c>
      <c r="BL16" s="33" t="n">
        <f aca="false">IF(AND(N('Hiring plan'!$F$12)&gt;0,BL$3&gt;='Hiring plan'!$G$12,BL$3&lt;=IF('Hiring plan'!$H$12="",999,'Hiring plan'!$H$12)),'Hiring plan'!$F$12,0)</f>
        <v>1</v>
      </c>
    </row>
    <row r="17" customFormat="false" ht="15" hidden="false" customHeight="true" outlineLevel="0" collapsed="false">
      <c r="A17" s="13" t="str">
        <f aca="false">IF('Hiring plan'!$C$13="","(spare line 9)",'Hiring plan'!$C$13&amp;" · "&amp;'Hiring plan'!$D$13)</f>
        <v>(spare line 9)</v>
      </c>
      <c r="B17" s="15" t="s">
        <v>92</v>
      </c>
      <c r="D17" s="56" t="n">
        <f aca="false">MAX(E17:BL17)</f>
        <v>0</v>
      </c>
      <c r="E17" s="33" t="n">
        <f aca="false">IF(AND(N('Hiring plan'!$F$13)&gt;0,E$3&gt;='Hiring plan'!$G$13,E$3&lt;=IF('Hiring plan'!$H$13="",999,'Hiring plan'!$H$13)),'Hiring plan'!$F$13,0)</f>
        <v>0</v>
      </c>
      <c r="F17" s="33" t="n">
        <f aca="false">IF(AND(N('Hiring plan'!$F$13)&gt;0,F$3&gt;='Hiring plan'!$G$13,F$3&lt;=IF('Hiring plan'!$H$13="",999,'Hiring plan'!$H$13)),'Hiring plan'!$F$13,0)</f>
        <v>0</v>
      </c>
      <c r="G17" s="33" t="n">
        <f aca="false">IF(AND(N('Hiring plan'!$F$13)&gt;0,G$3&gt;='Hiring plan'!$G$13,G$3&lt;=IF('Hiring plan'!$H$13="",999,'Hiring plan'!$H$13)),'Hiring plan'!$F$13,0)</f>
        <v>0</v>
      </c>
      <c r="H17" s="33" t="n">
        <f aca="false">IF(AND(N('Hiring plan'!$F$13)&gt;0,H$3&gt;='Hiring plan'!$G$13,H$3&lt;=IF('Hiring plan'!$H$13="",999,'Hiring plan'!$H$13)),'Hiring plan'!$F$13,0)</f>
        <v>0</v>
      </c>
      <c r="I17" s="33" t="n">
        <f aca="false">IF(AND(N('Hiring plan'!$F$13)&gt;0,I$3&gt;='Hiring plan'!$G$13,I$3&lt;=IF('Hiring plan'!$H$13="",999,'Hiring plan'!$H$13)),'Hiring plan'!$F$13,0)</f>
        <v>0</v>
      </c>
      <c r="J17" s="33" t="n">
        <f aca="false">IF(AND(N('Hiring plan'!$F$13)&gt;0,J$3&gt;='Hiring plan'!$G$13,J$3&lt;=IF('Hiring plan'!$H$13="",999,'Hiring plan'!$H$13)),'Hiring plan'!$F$13,0)</f>
        <v>0</v>
      </c>
      <c r="K17" s="33" t="n">
        <f aca="false">IF(AND(N('Hiring plan'!$F$13)&gt;0,K$3&gt;='Hiring plan'!$G$13,K$3&lt;=IF('Hiring plan'!$H$13="",999,'Hiring plan'!$H$13)),'Hiring plan'!$F$13,0)</f>
        <v>0</v>
      </c>
      <c r="L17" s="33" t="n">
        <f aca="false">IF(AND(N('Hiring plan'!$F$13)&gt;0,L$3&gt;='Hiring plan'!$G$13,L$3&lt;=IF('Hiring plan'!$H$13="",999,'Hiring plan'!$H$13)),'Hiring plan'!$F$13,0)</f>
        <v>0</v>
      </c>
      <c r="M17" s="33" t="n">
        <f aca="false">IF(AND(N('Hiring plan'!$F$13)&gt;0,M$3&gt;='Hiring plan'!$G$13,M$3&lt;=IF('Hiring plan'!$H$13="",999,'Hiring plan'!$H$13)),'Hiring plan'!$F$13,0)</f>
        <v>0</v>
      </c>
      <c r="N17" s="33" t="n">
        <f aca="false">IF(AND(N('Hiring plan'!$F$13)&gt;0,N$3&gt;='Hiring plan'!$G$13,N$3&lt;=IF('Hiring plan'!$H$13="",999,'Hiring plan'!$H$13)),'Hiring plan'!$F$13,0)</f>
        <v>0</v>
      </c>
      <c r="O17" s="33" t="n">
        <f aca="false">IF(AND(N('Hiring plan'!$F$13)&gt;0,O$3&gt;='Hiring plan'!$G$13,O$3&lt;=IF('Hiring plan'!$H$13="",999,'Hiring plan'!$H$13)),'Hiring plan'!$F$13,0)</f>
        <v>0</v>
      </c>
      <c r="P17" s="33" t="n">
        <f aca="false">IF(AND(N('Hiring plan'!$F$13)&gt;0,P$3&gt;='Hiring plan'!$G$13,P$3&lt;=IF('Hiring plan'!$H$13="",999,'Hiring plan'!$H$13)),'Hiring plan'!$F$13,0)</f>
        <v>0</v>
      </c>
      <c r="Q17" s="33" t="n">
        <f aca="false">IF(AND(N('Hiring plan'!$F$13)&gt;0,Q$3&gt;='Hiring plan'!$G$13,Q$3&lt;=IF('Hiring plan'!$H$13="",999,'Hiring plan'!$H$13)),'Hiring plan'!$F$13,0)</f>
        <v>0</v>
      </c>
      <c r="R17" s="33" t="n">
        <f aca="false">IF(AND(N('Hiring plan'!$F$13)&gt;0,R$3&gt;='Hiring plan'!$G$13,R$3&lt;=IF('Hiring plan'!$H$13="",999,'Hiring plan'!$H$13)),'Hiring plan'!$F$13,0)</f>
        <v>0</v>
      </c>
      <c r="S17" s="33" t="n">
        <f aca="false">IF(AND(N('Hiring plan'!$F$13)&gt;0,S$3&gt;='Hiring plan'!$G$13,S$3&lt;=IF('Hiring plan'!$H$13="",999,'Hiring plan'!$H$13)),'Hiring plan'!$F$13,0)</f>
        <v>0</v>
      </c>
      <c r="T17" s="33" t="n">
        <f aca="false">IF(AND(N('Hiring plan'!$F$13)&gt;0,T$3&gt;='Hiring plan'!$G$13,T$3&lt;=IF('Hiring plan'!$H$13="",999,'Hiring plan'!$H$13)),'Hiring plan'!$F$13,0)</f>
        <v>0</v>
      </c>
      <c r="U17" s="33" t="n">
        <f aca="false">IF(AND(N('Hiring plan'!$F$13)&gt;0,U$3&gt;='Hiring plan'!$G$13,U$3&lt;=IF('Hiring plan'!$H$13="",999,'Hiring plan'!$H$13)),'Hiring plan'!$F$13,0)</f>
        <v>0</v>
      </c>
      <c r="V17" s="33" t="n">
        <f aca="false">IF(AND(N('Hiring plan'!$F$13)&gt;0,V$3&gt;='Hiring plan'!$G$13,V$3&lt;=IF('Hiring plan'!$H$13="",999,'Hiring plan'!$H$13)),'Hiring plan'!$F$13,0)</f>
        <v>0</v>
      </c>
      <c r="W17" s="33" t="n">
        <f aca="false">IF(AND(N('Hiring plan'!$F$13)&gt;0,W$3&gt;='Hiring plan'!$G$13,W$3&lt;=IF('Hiring plan'!$H$13="",999,'Hiring plan'!$H$13)),'Hiring plan'!$F$13,0)</f>
        <v>0</v>
      </c>
      <c r="X17" s="33" t="n">
        <f aca="false">IF(AND(N('Hiring plan'!$F$13)&gt;0,X$3&gt;='Hiring plan'!$G$13,X$3&lt;=IF('Hiring plan'!$H$13="",999,'Hiring plan'!$H$13)),'Hiring plan'!$F$13,0)</f>
        <v>0</v>
      </c>
      <c r="Y17" s="33" t="n">
        <f aca="false">IF(AND(N('Hiring plan'!$F$13)&gt;0,Y$3&gt;='Hiring plan'!$G$13,Y$3&lt;=IF('Hiring plan'!$H$13="",999,'Hiring plan'!$H$13)),'Hiring plan'!$F$13,0)</f>
        <v>0</v>
      </c>
      <c r="Z17" s="33" t="n">
        <f aca="false">IF(AND(N('Hiring plan'!$F$13)&gt;0,Z$3&gt;='Hiring plan'!$G$13,Z$3&lt;=IF('Hiring plan'!$H$13="",999,'Hiring plan'!$H$13)),'Hiring plan'!$F$13,0)</f>
        <v>0</v>
      </c>
      <c r="AA17" s="33" t="n">
        <f aca="false">IF(AND(N('Hiring plan'!$F$13)&gt;0,AA$3&gt;='Hiring plan'!$G$13,AA$3&lt;=IF('Hiring plan'!$H$13="",999,'Hiring plan'!$H$13)),'Hiring plan'!$F$13,0)</f>
        <v>0</v>
      </c>
      <c r="AB17" s="33" t="n">
        <f aca="false">IF(AND(N('Hiring plan'!$F$13)&gt;0,AB$3&gt;='Hiring plan'!$G$13,AB$3&lt;=IF('Hiring plan'!$H$13="",999,'Hiring plan'!$H$13)),'Hiring plan'!$F$13,0)</f>
        <v>0</v>
      </c>
      <c r="AC17" s="33" t="n">
        <f aca="false">IF(AND(N('Hiring plan'!$F$13)&gt;0,AC$3&gt;='Hiring plan'!$G$13,AC$3&lt;=IF('Hiring plan'!$H$13="",999,'Hiring plan'!$H$13)),'Hiring plan'!$F$13,0)</f>
        <v>0</v>
      </c>
      <c r="AD17" s="33" t="n">
        <f aca="false">IF(AND(N('Hiring plan'!$F$13)&gt;0,AD$3&gt;='Hiring plan'!$G$13,AD$3&lt;=IF('Hiring plan'!$H$13="",999,'Hiring plan'!$H$13)),'Hiring plan'!$F$13,0)</f>
        <v>0</v>
      </c>
      <c r="AE17" s="33" t="n">
        <f aca="false">IF(AND(N('Hiring plan'!$F$13)&gt;0,AE$3&gt;='Hiring plan'!$G$13,AE$3&lt;=IF('Hiring plan'!$H$13="",999,'Hiring plan'!$H$13)),'Hiring plan'!$F$13,0)</f>
        <v>0</v>
      </c>
      <c r="AF17" s="33" t="n">
        <f aca="false">IF(AND(N('Hiring plan'!$F$13)&gt;0,AF$3&gt;='Hiring plan'!$G$13,AF$3&lt;=IF('Hiring plan'!$H$13="",999,'Hiring plan'!$H$13)),'Hiring plan'!$F$13,0)</f>
        <v>0</v>
      </c>
      <c r="AG17" s="33" t="n">
        <f aca="false">IF(AND(N('Hiring plan'!$F$13)&gt;0,AG$3&gt;='Hiring plan'!$G$13,AG$3&lt;=IF('Hiring plan'!$H$13="",999,'Hiring plan'!$H$13)),'Hiring plan'!$F$13,0)</f>
        <v>0</v>
      </c>
      <c r="AH17" s="33" t="n">
        <f aca="false">IF(AND(N('Hiring plan'!$F$13)&gt;0,AH$3&gt;='Hiring plan'!$G$13,AH$3&lt;=IF('Hiring plan'!$H$13="",999,'Hiring plan'!$H$13)),'Hiring plan'!$F$13,0)</f>
        <v>0</v>
      </c>
      <c r="AI17" s="33" t="n">
        <f aca="false">IF(AND(N('Hiring plan'!$F$13)&gt;0,AI$3&gt;='Hiring plan'!$G$13,AI$3&lt;=IF('Hiring plan'!$H$13="",999,'Hiring plan'!$H$13)),'Hiring plan'!$F$13,0)</f>
        <v>0</v>
      </c>
      <c r="AJ17" s="33" t="n">
        <f aca="false">IF(AND(N('Hiring plan'!$F$13)&gt;0,AJ$3&gt;='Hiring plan'!$G$13,AJ$3&lt;=IF('Hiring plan'!$H$13="",999,'Hiring plan'!$H$13)),'Hiring plan'!$F$13,0)</f>
        <v>0</v>
      </c>
      <c r="AK17" s="33" t="n">
        <f aca="false">IF(AND(N('Hiring plan'!$F$13)&gt;0,AK$3&gt;='Hiring plan'!$G$13,AK$3&lt;=IF('Hiring plan'!$H$13="",999,'Hiring plan'!$H$13)),'Hiring plan'!$F$13,0)</f>
        <v>0</v>
      </c>
      <c r="AL17" s="33" t="n">
        <f aca="false">IF(AND(N('Hiring plan'!$F$13)&gt;0,AL$3&gt;='Hiring plan'!$G$13,AL$3&lt;=IF('Hiring plan'!$H$13="",999,'Hiring plan'!$H$13)),'Hiring plan'!$F$13,0)</f>
        <v>0</v>
      </c>
      <c r="AM17" s="33" t="n">
        <f aca="false">IF(AND(N('Hiring plan'!$F$13)&gt;0,AM$3&gt;='Hiring plan'!$G$13,AM$3&lt;=IF('Hiring plan'!$H$13="",999,'Hiring plan'!$H$13)),'Hiring plan'!$F$13,0)</f>
        <v>0</v>
      </c>
      <c r="AN17" s="33" t="n">
        <f aca="false">IF(AND(N('Hiring plan'!$F$13)&gt;0,AN$3&gt;='Hiring plan'!$G$13,AN$3&lt;=IF('Hiring plan'!$H$13="",999,'Hiring plan'!$H$13)),'Hiring plan'!$F$13,0)</f>
        <v>0</v>
      </c>
      <c r="AO17" s="33" t="n">
        <f aca="false">IF(AND(N('Hiring plan'!$F$13)&gt;0,AO$3&gt;='Hiring plan'!$G$13,AO$3&lt;=IF('Hiring plan'!$H$13="",999,'Hiring plan'!$H$13)),'Hiring plan'!$F$13,0)</f>
        <v>0</v>
      </c>
      <c r="AP17" s="33" t="n">
        <f aca="false">IF(AND(N('Hiring plan'!$F$13)&gt;0,AP$3&gt;='Hiring plan'!$G$13,AP$3&lt;=IF('Hiring plan'!$H$13="",999,'Hiring plan'!$H$13)),'Hiring plan'!$F$13,0)</f>
        <v>0</v>
      </c>
      <c r="AQ17" s="33" t="n">
        <f aca="false">IF(AND(N('Hiring plan'!$F$13)&gt;0,AQ$3&gt;='Hiring plan'!$G$13,AQ$3&lt;=IF('Hiring plan'!$H$13="",999,'Hiring plan'!$H$13)),'Hiring plan'!$F$13,0)</f>
        <v>0</v>
      </c>
      <c r="AR17" s="33" t="n">
        <f aca="false">IF(AND(N('Hiring plan'!$F$13)&gt;0,AR$3&gt;='Hiring plan'!$G$13,AR$3&lt;=IF('Hiring plan'!$H$13="",999,'Hiring plan'!$H$13)),'Hiring plan'!$F$13,0)</f>
        <v>0</v>
      </c>
      <c r="AS17" s="33" t="n">
        <f aca="false">IF(AND(N('Hiring plan'!$F$13)&gt;0,AS$3&gt;='Hiring plan'!$G$13,AS$3&lt;=IF('Hiring plan'!$H$13="",999,'Hiring plan'!$H$13)),'Hiring plan'!$F$13,0)</f>
        <v>0</v>
      </c>
      <c r="AT17" s="33" t="n">
        <f aca="false">IF(AND(N('Hiring plan'!$F$13)&gt;0,AT$3&gt;='Hiring plan'!$G$13,AT$3&lt;=IF('Hiring plan'!$H$13="",999,'Hiring plan'!$H$13)),'Hiring plan'!$F$13,0)</f>
        <v>0</v>
      </c>
      <c r="AU17" s="33" t="n">
        <f aca="false">IF(AND(N('Hiring plan'!$F$13)&gt;0,AU$3&gt;='Hiring plan'!$G$13,AU$3&lt;=IF('Hiring plan'!$H$13="",999,'Hiring plan'!$H$13)),'Hiring plan'!$F$13,0)</f>
        <v>0</v>
      </c>
      <c r="AV17" s="33" t="n">
        <f aca="false">IF(AND(N('Hiring plan'!$F$13)&gt;0,AV$3&gt;='Hiring plan'!$G$13,AV$3&lt;=IF('Hiring plan'!$H$13="",999,'Hiring plan'!$H$13)),'Hiring plan'!$F$13,0)</f>
        <v>0</v>
      </c>
      <c r="AW17" s="33" t="n">
        <f aca="false">IF(AND(N('Hiring plan'!$F$13)&gt;0,AW$3&gt;='Hiring plan'!$G$13,AW$3&lt;=IF('Hiring plan'!$H$13="",999,'Hiring plan'!$H$13)),'Hiring plan'!$F$13,0)</f>
        <v>0</v>
      </c>
      <c r="AX17" s="33" t="n">
        <f aca="false">IF(AND(N('Hiring plan'!$F$13)&gt;0,AX$3&gt;='Hiring plan'!$G$13,AX$3&lt;=IF('Hiring plan'!$H$13="",999,'Hiring plan'!$H$13)),'Hiring plan'!$F$13,0)</f>
        <v>0</v>
      </c>
      <c r="AY17" s="33" t="n">
        <f aca="false">IF(AND(N('Hiring plan'!$F$13)&gt;0,AY$3&gt;='Hiring plan'!$G$13,AY$3&lt;=IF('Hiring plan'!$H$13="",999,'Hiring plan'!$H$13)),'Hiring plan'!$F$13,0)</f>
        <v>0</v>
      </c>
      <c r="AZ17" s="33" t="n">
        <f aca="false">IF(AND(N('Hiring plan'!$F$13)&gt;0,AZ$3&gt;='Hiring plan'!$G$13,AZ$3&lt;=IF('Hiring plan'!$H$13="",999,'Hiring plan'!$H$13)),'Hiring plan'!$F$13,0)</f>
        <v>0</v>
      </c>
      <c r="BA17" s="33" t="n">
        <f aca="false">IF(AND(N('Hiring plan'!$F$13)&gt;0,BA$3&gt;='Hiring plan'!$G$13,BA$3&lt;=IF('Hiring plan'!$H$13="",999,'Hiring plan'!$H$13)),'Hiring plan'!$F$13,0)</f>
        <v>0</v>
      </c>
      <c r="BB17" s="33" t="n">
        <f aca="false">IF(AND(N('Hiring plan'!$F$13)&gt;0,BB$3&gt;='Hiring plan'!$G$13,BB$3&lt;=IF('Hiring plan'!$H$13="",999,'Hiring plan'!$H$13)),'Hiring plan'!$F$13,0)</f>
        <v>0</v>
      </c>
      <c r="BC17" s="33" t="n">
        <f aca="false">IF(AND(N('Hiring plan'!$F$13)&gt;0,BC$3&gt;='Hiring plan'!$G$13,BC$3&lt;=IF('Hiring plan'!$H$13="",999,'Hiring plan'!$H$13)),'Hiring plan'!$F$13,0)</f>
        <v>0</v>
      </c>
      <c r="BD17" s="33" t="n">
        <f aca="false">IF(AND(N('Hiring plan'!$F$13)&gt;0,BD$3&gt;='Hiring plan'!$G$13,BD$3&lt;=IF('Hiring plan'!$H$13="",999,'Hiring plan'!$H$13)),'Hiring plan'!$F$13,0)</f>
        <v>0</v>
      </c>
      <c r="BE17" s="33" t="n">
        <f aca="false">IF(AND(N('Hiring plan'!$F$13)&gt;0,BE$3&gt;='Hiring plan'!$G$13,BE$3&lt;=IF('Hiring plan'!$H$13="",999,'Hiring plan'!$H$13)),'Hiring plan'!$F$13,0)</f>
        <v>0</v>
      </c>
      <c r="BF17" s="33" t="n">
        <f aca="false">IF(AND(N('Hiring plan'!$F$13)&gt;0,BF$3&gt;='Hiring plan'!$G$13,BF$3&lt;=IF('Hiring plan'!$H$13="",999,'Hiring plan'!$H$13)),'Hiring plan'!$F$13,0)</f>
        <v>0</v>
      </c>
      <c r="BG17" s="33" t="n">
        <f aca="false">IF(AND(N('Hiring plan'!$F$13)&gt;0,BG$3&gt;='Hiring plan'!$G$13,BG$3&lt;=IF('Hiring plan'!$H$13="",999,'Hiring plan'!$H$13)),'Hiring plan'!$F$13,0)</f>
        <v>0</v>
      </c>
      <c r="BH17" s="33" t="n">
        <f aca="false">IF(AND(N('Hiring plan'!$F$13)&gt;0,BH$3&gt;='Hiring plan'!$G$13,BH$3&lt;=IF('Hiring plan'!$H$13="",999,'Hiring plan'!$H$13)),'Hiring plan'!$F$13,0)</f>
        <v>0</v>
      </c>
      <c r="BI17" s="33" t="n">
        <f aca="false">IF(AND(N('Hiring plan'!$F$13)&gt;0,BI$3&gt;='Hiring plan'!$G$13,BI$3&lt;=IF('Hiring plan'!$H$13="",999,'Hiring plan'!$H$13)),'Hiring plan'!$F$13,0)</f>
        <v>0</v>
      </c>
      <c r="BJ17" s="33" t="n">
        <f aca="false">IF(AND(N('Hiring plan'!$F$13)&gt;0,BJ$3&gt;='Hiring plan'!$G$13,BJ$3&lt;=IF('Hiring plan'!$H$13="",999,'Hiring plan'!$H$13)),'Hiring plan'!$F$13,0)</f>
        <v>0</v>
      </c>
      <c r="BK17" s="33" t="n">
        <f aca="false">IF(AND(N('Hiring plan'!$F$13)&gt;0,BK$3&gt;='Hiring plan'!$G$13,BK$3&lt;=IF('Hiring plan'!$H$13="",999,'Hiring plan'!$H$13)),'Hiring plan'!$F$13,0)</f>
        <v>0</v>
      </c>
      <c r="BL17" s="33" t="n">
        <f aca="false">IF(AND(N('Hiring plan'!$F$13)&gt;0,BL$3&gt;='Hiring plan'!$G$13,BL$3&lt;=IF('Hiring plan'!$H$13="",999,'Hiring plan'!$H$13)),'Hiring plan'!$F$13,0)</f>
        <v>0</v>
      </c>
    </row>
    <row r="18" customFormat="false" ht="15" hidden="false" customHeight="true" outlineLevel="0" collapsed="false">
      <c r="A18" s="13" t="str">
        <f aca="false">IF('Hiring plan'!$C$14="","(spare line 10)",'Hiring plan'!$C$14&amp;" · "&amp;'Hiring plan'!$D$14)</f>
        <v>(spare line 10)</v>
      </c>
      <c r="B18" s="15" t="s">
        <v>92</v>
      </c>
      <c r="D18" s="56" t="n">
        <f aca="false">MAX(E18:BL18)</f>
        <v>0</v>
      </c>
      <c r="E18" s="33" t="n">
        <f aca="false">IF(AND(N('Hiring plan'!$F$14)&gt;0,E$3&gt;='Hiring plan'!$G$14,E$3&lt;=IF('Hiring plan'!$H$14="",999,'Hiring plan'!$H$14)),'Hiring plan'!$F$14,0)</f>
        <v>0</v>
      </c>
      <c r="F18" s="33" t="n">
        <f aca="false">IF(AND(N('Hiring plan'!$F$14)&gt;0,F$3&gt;='Hiring plan'!$G$14,F$3&lt;=IF('Hiring plan'!$H$14="",999,'Hiring plan'!$H$14)),'Hiring plan'!$F$14,0)</f>
        <v>0</v>
      </c>
      <c r="G18" s="33" t="n">
        <f aca="false">IF(AND(N('Hiring plan'!$F$14)&gt;0,G$3&gt;='Hiring plan'!$G$14,G$3&lt;=IF('Hiring plan'!$H$14="",999,'Hiring plan'!$H$14)),'Hiring plan'!$F$14,0)</f>
        <v>0</v>
      </c>
      <c r="H18" s="33" t="n">
        <f aca="false">IF(AND(N('Hiring plan'!$F$14)&gt;0,H$3&gt;='Hiring plan'!$G$14,H$3&lt;=IF('Hiring plan'!$H$14="",999,'Hiring plan'!$H$14)),'Hiring plan'!$F$14,0)</f>
        <v>0</v>
      </c>
      <c r="I18" s="33" t="n">
        <f aca="false">IF(AND(N('Hiring plan'!$F$14)&gt;0,I$3&gt;='Hiring plan'!$G$14,I$3&lt;=IF('Hiring plan'!$H$14="",999,'Hiring plan'!$H$14)),'Hiring plan'!$F$14,0)</f>
        <v>0</v>
      </c>
      <c r="J18" s="33" t="n">
        <f aca="false">IF(AND(N('Hiring plan'!$F$14)&gt;0,J$3&gt;='Hiring plan'!$G$14,J$3&lt;=IF('Hiring plan'!$H$14="",999,'Hiring plan'!$H$14)),'Hiring plan'!$F$14,0)</f>
        <v>0</v>
      </c>
      <c r="K18" s="33" t="n">
        <f aca="false">IF(AND(N('Hiring plan'!$F$14)&gt;0,K$3&gt;='Hiring plan'!$G$14,K$3&lt;=IF('Hiring plan'!$H$14="",999,'Hiring plan'!$H$14)),'Hiring plan'!$F$14,0)</f>
        <v>0</v>
      </c>
      <c r="L18" s="33" t="n">
        <f aca="false">IF(AND(N('Hiring plan'!$F$14)&gt;0,L$3&gt;='Hiring plan'!$G$14,L$3&lt;=IF('Hiring plan'!$H$14="",999,'Hiring plan'!$H$14)),'Hiring plan'!$F$14,0)</f>
        <v>0</v>
      </c>
      <c r="M18" s="33" t="n">
        <f aca="false">IF(AND(N('Hiring plan'!$F$14)&gt;0,M$3&gt;='Hiring plan'!$G$14,M$3&lt;=IF('Hiring plan'!$H$14="",999,'Hiring plan'!$H$14)),'Hiring plan'!$F$14,0)</f>
        <v>0</v>
      </c>
      <c r="N18" s="33" t="n">
        <f aca="false">IF(AND(N('Hiring plan'!$F$14)&gt;0,N$3&gt;='Hiring plan'!$G$14,N$3&lt;=IF('Hiring plan'!$H$14="",999,'Hiring plan'!$H$14)),'Hiring plan'!$F$14,0)</f>
        <v>0</v>
      </c>
      <c r="O18" s="33" t="n">
        <f aca="false">IF(AND(N('Hiring plan'!$F$14)&gt;0,O$3&gt;='Hiring plan'!$G$14,O$3&lt;=IF('Hiring plan'!$H$14="",999,'Hiring plan'!$H$14)),'Hiring plan'!$F$14,0)</f>
        <v>0</v>
      </c>
      <c r="P18" s="33" t="n">
        <f aca="false">IF(AND(N('Hiring plan'!$F$14)&gt;0,P$3&gt;='Hiring plan'!$G$14,P$3&lt;=IF('Hiring plan'!$H$14="",999,'Hiring plan'!$H$14)),'Hiring plan'!$F$14,0)</f>
        <v>0</v>
      </c>
      <c r="Q18" s="33" t="n">
        <f aca="false">IF(AND(N('Hiring plan'!$F$14)&gt;0,Q$3&gt;='Hiring plan'!$G$14,Q$3&lt;=IF('Hiring plan'!$H$14="",999,'Hiring plan'!$H$14)),'Hiring plan'!$F$14,0)</f>
        <v>0</v>
      </c>
      <c r="R18" s="33" t="n">
        <f aca="false">IF(AND(N('Hiring plan'!$F$14)&gt;0,R$3&gt;='Hiring plan'!$G$14,R$3&lt;=IF('Hiring plan'!$H$14="",999,'Hiring plan'!$H$14)),'Hiring plan'!$F$14,0)</f>
        <v>0</v>
      </c>
      <c r="S18" s="33" t="n">
        <f aca="false">IF(AND(N('Hiring plan'!$F$14)&gt;0,S$3&gt;='Hiring plan'!$G$14,S$3&lt;=IF('Hiring plan'!$H$14="",999,'Hiring plan'!$H$14)),'Hiring plan'!$F$14,0)</f>
        <v>0</v>
      </c>
      <c r="T18" s="33" t="n">
        <f aca="false">IF(AND(N('Hiring plan'!$F$14)&gt;0,T$3&gt;='Hiring plan'!$G$14,T$3&lt;=IF('Hiring plan'!$H$14="",999,'Hiring plan'!$H$14)),'Hiring plan'!$F$14,0)</f>
        <v>0</v>
      </c>
      <c r="U18" s="33" t="n">
        <f aca="false">IF(AND(N('Hiring plan'!$F$14)&gt;0,U$3&gt;='Hiring plan'!$G$14,U$3&lt;=IF('Hiring plan'!$H$14="",999,'Hiring plan'!$H$14)),'Hiring plan'!$F$14,0)</f>
        <v>0</v>
      </c>
      <c r="V18" s="33" t="n">
        <f aca="false">IF(AND(N('Hiring plan'!$F$14)&gt;0,V$3&gt;='Hiring plan'!$G$14,V$3&lt;=IF('Hiring plan'!$H$14="",999,'Hiring plan'!$H$14)),'Hiring plan'!$F$14,0)</f>
        <v>0</v>
      </c>
      <c r="W18" s="33" t="n">
        <f aca="false">IF(AND(N('Hiring plan'!$F$14)&gt;0,W$3&gt;='Hiring plan'!$G$14,W$3&lt;=IF('Hiring plan'!$H$14="",999,'Hiring plan'!$H$14)),'Hiring plan'!$F$14,0)</f>
        <v>0</v>
      </c>
      <c r="X18" s="33" t="n">
        <f aca="false">IF(AND(N('Hiring plan'!$F$14)&gt;0,X$3&gt;='Hiring plan'!$G$14,X$3&lt;=IF('Hiring plan'!$H$14="",999,'Hiring plan'!$H$14)),'Hiring plan'!$F$14,0)</f>
        <v>0</v>
      </c>
      <c r="Y18" s="33" t="n">
        <f aca="false">IF(AND(N('Hiring plan'!$F$14)&gt;0,Y$3&gt;='Hiring plan'!$G$14,Y$3&lt;=IF('Hiring plan'!$H$14="",999,'Hiring plan'!$H$14)),'Hiring plan'!$F$14,0)</f>
        <v>0</v>
      </c>
      <c r="Z18" s="33" t="n">
        <f aca="false">IF(AND(N('Hiring plan'!$F$14)&gt;0,Z$3&gt;='Hiring plan'!$G$14,Z$3&lt;=IF('Hiring plan'!$H$14="",999,'Hiring plan'!$H$14)),'Hiring plan'!$F$14,0)</f>
        <v>0</v>
      </c>
      <c r="AA18" s="33" t="n">
        <f aca="false">IF(AND(N('Hiring plan'!$F$14)&gt;0,AA$3&gt;='Hiring plan'!$G$14,AA$3&lt;=IF('Hiring plan'!$H$14="",999,'Hiring plan'!$H$14)),'Hiring plan'!$F$14,0)</f>
        <v>0</v>
      </c>
      <c r="AB18" s="33" t="n">
        <f aca="false">IF(AND(N('Hiring plan'!$F$14)&gt;0,AB$3&gt;='Hiring plan'!$G$14,AB$3&lt;=IF('Hiring plan'!$H$14="",999,'Hiring plan'!$H$14)),'Hiring plan'!$F$14,0)</f>
        <v>0</v>
      </c>
      <c r="AC18" s="33" t="n">
        <f aca="false">IF(AND(N('Hiring plan'!$F$14)&gt;0,AC$3&gt;='Hiring plan'!$G$14,AC$3&lt;=IF('Hiring plan'!$H$14="",999,'Hiring plan'!$H$14)),'Hiring plan'!$F$14,0)</f>
        <v>0</v>
      </c>
      <c r="AD18" s="33" t="n">
        <f aca="false">IF(AND(N('Hiring plan'!$F$14)&gt;0,AD$3&gt;='Hiring plan'!$G$14,AD$3&lt;=IF('Hiring plan'!$H$14="",999,'Hiring plan'!$H$14)),'Hiring plan'!$F$14,0)</f>
        <v>0</v>
      </c>
      <c r="AE18" s="33" t="n">
        <f aca="false">IF(AND(N('Hiring plan'!$F$14)&gt;0,AE$3&gt;='Hiring plan'!$G$14,AE$3&lt;=IF('Hiring plan'!$H$14="",999,'Hiring plan'!$H$14)),'Hiring plan'!$F$14,0)</f>
        <v>0</v>
      </c>
      <c r="AF18" s="33" t="n">
        <f aca="false">IF(AND(N('Hiring plan'!$F$14)&gt;0,AF$3&gt;='Hiring plan'!$G$14,AF$3&lt;=IF('Hiring plan'!$H$14="",999,'Hiring plan'!$H$14)),'Hiring plan'!$F$14,0)</f>
        <v>0</v>
      </c>
      <c r="AG18" s="33" t="n">
        <f aca="false">IF(AND(N('Hiring plan'!$F$14)&gt;0,AG$3&gt;='Hiring plan'!$G$14,AG$3&lt;=IF('Hiring plan'!$H$14="",999,'Hiring plan'!$H$14)),'Hiring plan'!$F$14,0)</f>
        <v>0</v>
      </c>
      <c r="AH18" s="33" t="n">
        <f aca="false">IF(AND(N('Hiring plan'!$F$14)&gt;0,AH$3&gt;='Hiring plan'!$G$14,AH$3&lt;=IF('Hiring plan'!$H$14="",999,'Hiring plan'!$H$14)),'Hiring plan'!$F$14,0)</f>
        <v>0</v>
      </c>
      <c r="AI18" s="33" t="n">
        <f aca="false">IF(AND(N('Hiring plan'!$F$14)&gt;0,AI$3&gt;='Hiring plan'!$G$14,AI$3&lt;=IF('Hiring plan'!$H$14="",999,'Hiring plan'!$H$14)),'Hiring plan'!$F$14,0)</f>
        <v>0</v>
      </c>
      <c r="AJ18" s="33" t="n">
        <f aca="false">IF(AND(N('Hiring plan'!$F$14)&gt;0,AJ$3&gt;='Hiring plan'!$G$14,AJ$3&lt;=IF('Hiring plan'!$H$14="",999,'Hiring plan'!$H$14)),'Hiring plan'!$F$14,0)</f>
        <v>0</v>
      </c>
      <c r="AK18" s="33" t="n">
        <f aca="false">IF(AND(N('Hiring plan'!$F$14)&gt;0,AK$3&gt;='Hiring plan'!$G$14,AK$3&lt;=IF('Hiring plan'!$H$14="",999,'Hiring plan'!$H$14)),'Hiring plan'!$F$14,0)</f>
        <v>0</v>
      </c>
      <c r="AL18" s="33" t="n">
        <f aca="false">IF(AND(N('Hiring plan'!$F$14)&gt;0,AL$3&gt;='Hiring plan'!$G$14,AL$3&lt;=IF('Hiring plan'!$H$14="",999,'Hiring plan'!$H$14)),'Hiring plan'!$F$14,0)</f>
        <v>0</v>
      </c>
      <c r="AM18" s="33" t="n">
        <f aca="false">IF(AND(N('Hiring plan'!$F$14)&gt;0,AM$3&gt;='Hiring plan'!$G$14,AM$3&lt;=IF('Hiring plan'!$H$14="",999,'Hiring plan'!$H$14)),'Hiring plan'!$F$14,0)</f>
        <v>0</v>
      </c>
      <c r="AN18" s="33" t="n">
        <f aca="false">IF(AND(N('Hiring plan'!$F$14)&gt;0,AN$3&gt;='Hiring plan'!$G$14,AN$3&lt;=IF('Hiring plan'!$H$14="",999,'Hiring plan'!$H$14)),'Hiring plan'!$F$14,0)</f>
        <v>0</v>
      </c>
      <c r="AO18" s="33" t="n">
        <f aca="false">IF(AND(N('Hiring plan'!$F$14)&gt;0,AO$3&gt;='Hiring plan'!$G$14,AO$3&lt;=IF('Hiring plan'!$H$14="",999,'Hiring plan'!$H$14)),'Hiring plan'!$F$14,0)</f>
        <v>0</v>
      </c>
      <c r="AP18" s="33" t="n">
        <f aca="false">IF(AND(N('Hiring plan'!$F$14)&gt;0,AP$3&gt;='Hiring plan'!$G$14,AP$3&lt;=IF('Hiring plan'!$H$14="",999,'Hiring plan'!$H$14)),'Hiring plan'!$F$14,0)</f>
        <v>0</v>
      </c>
      <c r="AQ18" s="33" t="n">
        <f aca="false">IF(AND(N('Hiring plan'!$F$14)&gt;0,AQ$3&gt;='Hiring plan'!$G$14,AQ$3&lt;=IF('Hiring plan'!$H$14="",999,'Hiring plan'!$H$14)),'Hiring plan'!$F$14,0)</f>
        <v>0</v>
      </c>
      <c r="AR18" s="33" t="n">
        <f aca="false">IF(AND(N('Hiring plan'!$F$14)&gt;0,AR$3&gt;='Hiring plan'!$G$14,AR$3&lt;=IF('Hiring plan'!$H$14="",999,'Hiring plan'!$H$14)),'Hiring plan'!$F$14,0)</f>
        <v>0</v>
      </c>
      <c r="AS18" s="33" t="n">
        <f aca="false">IF(AND(N('Hiring plan'!$F$14)&gt;0,AS$3&gt;='Hiring plan'!$G$14,AS$3&lt;=IF('Hiring plan'!$H$14="",999,'Hiring plan'!$H$14)),'Hiring plan'!$F$14,0)</f>
        <v>0</v>
      </c>
      <c r="AT18" s="33" t="n">
        <f aca="false">IF(AND(N('Hiring plan'!$F$14)&gt;0,AT$3&gt;='Hiring plan'!$G$14,AT$3&lt;=IF('Hiring plan'!$H$14="",999,'Hiring plan'!$H$14)),'Hiring plan'!$F$14,0)</f>
        <v>0</v>
      </c>
      <c r="AU18" s="33" t="n">
        <f aca="false">IF(AND(N('Hiring plan'!$F$14)&gt;0,AU$3&gt;='Hiring plan'!$G$14,AU$3&lt;=IF('Hiring plan'!$H$14="",999,'Hiring plan'!$H$14)),'Hiring plan'!$F$14,0)</f>
        <v>0</v>
      </c>
      <c r="AV18" s="33" t="n">
        <f aca="false">IF(AND(N('Hiring plan'!$F$14)&gt;0,AV$3&gt;='Hiring plan'!$G$14,AV$3&lt;=IF('Hiring plan'!$H$14="",999,'Hiring plan'!$H$14)),'Hiring plan'!$F$14,0)</f>
        <v>0</v>
      </c>
      <c r="AW18" s="33" t="n">
        <f aca="false">IF(AND(N('Hiring plan'!$F$14)&gt;0,AW$3&gt;='Hiring plan'!$G$14,AW$3&lt;=IF('Hiring plan'!$H$14="",999,'Hiring plan'!$H$14)),'Hiring plan'!$F$14,0)</f>
        <v>0</v>
      </c>
      <c r="AX18" s="33" t="n">
        <f aca="false">IF(AND(N('Hiring plan'!$F$14)&gt;0,AX$3&gt;='Hiring plan'!$G$14,AX$3&lt;=IF('Hiring plan'!$H$14="",999,'Hiring plan'!$H$14)),'Hiring plan'!$F$14,0)</f>
        <v>0</v>
      </c>
      <c r="AY18" s="33" t="n">
        <f aca="false">IF(AND(N('Hiring plan'!$F$14)&gt;0,AY$3&gt;='Hiring plan'!$G$14,AY$3&lt;=IF('Hiring plan'!$H$14="",999,'Hiring plan'!$H$14)),'Hiring plan'!$F$14,0)</f>
        <v>0</v>
      </c>
      <c r="AZ18" s="33" t="n">
        <f aca="false">IF(AND(N('Hiring plan'!$F$14)&gt;0,AZ$3&gt;='Hiring plan'!$G$14,AZ$3&lt;=IF('Hiring plan'!$H$14="",999,'Hiring plan'!$H$14)),'Hiring plan'!$F$14,0)</f>
        <v>0</v>
      </c>
      <c r="BA18" s="33" t="n">
        <f aca="false">IF(AND(N('Hiring plan'!$F$14)&gt;0,BA$3&gt;='Hiring plan'!$G$14,BA$3&lt;=IF('Hiring plan'!$H$14="",999,'Hiring plan'!$H$14)),'Hiring plan'!$F$14,0)</f>
        <v>0</v>
      </c>
      <c r="BB18" s="33" t="n">
        <f aca="false">IF(AND(N('Hiring plan'!$F$14)&gt;0,BB$3&gt;='Hiring plan'!$G$14,BB$3&lt;=IF('Hiring plan'!$H$14="",999,'Hiring plan'!$H$14)),'Hiring plan'!$F$14,0)</f>
        <v>0</v>
      </c>
      <c r="BC18" s="33" t="n">
        <f aca="false">IF(AND(N('Hiring plan'!$F$14)&gt;0,BC$3&gt;='Hiring plan'!$G$14,BC$3&lt;=IF('Hiring plan'!$H$14="",999,'Hiring plan'!$H$14)),'Hiring plan'!$F$14,0)</f>
        <v>0</v>
      </c>
      <c r="BD18" s="33" t="n">
        <f aca="false">IF(AND(N('Hiring plan'!$F$14)&gt;0,BD$3&gt;='Hiring plan'!$G$14,BD$3&lt;=IF('Hiring plan'!$H$14="",999,'Hiring plan'!$H$14)),'Hiring plan'!$F$14,0)</f>
        <v>0</v>
      </c>
      <c r="BE18" s="33" t="n">
        <f aca="false">IF(AND(N('Hiring plan'!$F$14)&gt;0,BE$3&gt;='Hiring plan'!$G$14,BE$3&lt;=IF('Hiring plan'!$H$14="",999,'Hiring plan'!$H$14)),'Hiring plan'!$F$14,0)</f>
        <v>0</v>
      </c>
      <c r="BF18" s="33" t="n">
        <f aca="false">IF(AND(N('Hiring plan'!$F$14)&gt;0,BF$3&gt;='Hiring plan'!$G$14,BF$3&lt;=IF('Hiring plan'!$H$14="",999,'Hiring plan'!$H$14)),'Hiring plan'!$F$14,0)</f>
        <v>0</v>
      </c>
      <c r="BG18" s="33" t="n">
        <f aca="false">IF(AND(N('Hiring plan'!$F$14)&gt;0,BG$3&gt;='Hiring plan'!$G$14,BG$3&lt;=IF('Hiring plan'!$H$14="",999,'Hiring plan'!$H$14)),'Hiring plan'!$F$14,0)</f>
        <v>0</v>
      </c>
      <c r="BH18" s="33" t="n">
        <f aca="false">IF(AND(N('Hiring plan'!$F$14)&gt;0,BH$3&gt;='Hiring plan'!$G$14,BH$3&lt;=IF('Hiring plan'!$H$14="",999,'Hiring plan'!$H$14)),'Hiring plan'!$F$14,0)</f>
        <v>0</v>
      </c>
      <c r="BI18" s="33" t="n">
        <f aca="false">IF(AND(N('Hiring plan'!$F$14)&gt;0,BI$3&gt;='Hiring plan'!$G$14,BI$3&lt;=IF('Hiring plan'!$H$14="",999,'Hiring plan'!$H$14)),'Hiring plan'!$F$14,0)</f>
        <v>0</v>
      </c>
      <c r="BJ18" s="33" t="n">
        <f aca="false">IF(AND(N('Hiring plan'!$F$14)&gt;0,BJ$3&gt;='Hiring plan'!$G$14,BJ$3&lt;=IF('Hiring plan'!$H$14="",999,'Hiring plan'!$H$14)),'Hiring plan'!$F$14,0)</f>
        <v>0</v>
      </c>
      <c r="BK18" s="33" t="n">
        <f aca="false">IF(AND(N('Hiring plan'!$F$14)&gt;0,BK$3&gt;='Hiring plan'!$G$14,BK$3&lt;=IF('Hiring plan'!$H$14="",999,'Hiring plan'!$H$14)),'Hiring plan'!$F$14,0)</f>
        <v>0</v>
      </c>
      <c r="BL18" s="33" t="n">
        <f aca="false">IF(AND(N('Hiring plan'!$F$14)&gt;0,BL$3&gt;='Hiring plan'!$G$14,BL$3&lt;=IF('Hiring plan'!$H$14="",999,'Hiring plan'!$H$14)),'Hiring plan'!$F$14,0)</f>
        <v>0</v>
      </c>
    </row>
    <row r="19" customFormat="false" ht="15" hidden="false" customHeight="true" outlineLevel="0" collapsed="false">
      <c r="A19" s="13" t="str">
        <f aca="false">IF('Hiring plan'!$C$15="","(spare line 11)",'Hiring plan'!$C$15&amp;" · "&amp;'Hiring plan'!$D$15)</f>
        <v>(spare line 11)</v>
      </c>
      <c r="B19" s="15" t="s">
        <v>92</v>
      </c>
      <c r="D19" s="56" t="n">
        <f aca="false">MAX(E19:BL19)</f>
        <v>0</v>
      </c>
      <c r="E19" s="33" t="n">
        <f aca="false">IF(AND(N('Hiring plan'!$F$15)&gt;0,E$3&gt;='Hiring plan'!$G$15,E$3&lt;=IF('Hiring plan'!$H$15="",999,'Hiring plan'!$H$15)),'Hiring plan'!$F$15,0)</f>
        <v>0</v>
      </c>
      <c r="F19" s="33" t="n">
        <f aca="false">IF(AND(N('Hiring plan'!$F$15)&gt;0,F$3&gt;='Hiring plan'!$G$15,F$3&lt;=IF('Hiring plan'!$H$15="",999,'Hiring plan'!$H$15)),'Hiring plan'!$F$15,0)</f>
        <v>0</v>
      </c>
      <c r="G19" s="33" t="n">
        <f aca="false">IF(AND(N('Hiring plan'!$F$15)&gt;0,G$3&gt;='Hiring plan'!$G$15,G$3&lt;=IF('Hiring plan'!$H$15="",999,'Hiring plan'!$H$15)),'Hiring plan'!$F$15,0)</f>
        <v>0</v>
      </c>
      <c r="H19" s="33" t="n">
        <f aca="false">IF(AND(N('Hiring plan'!$F$15)&gt;0,H$3&gt;='Hiring plan'!$G$15,H$3&lt;=IF('Hiring plan'!$H$15="",999,'Hiring plan'!$H$15)),'Hiring plan'!$F$15,0)</f>
        <v>0</v>
      </c>
      <c r="I19" s="33" t="n">
        <f aca="false">IF(AND(N('Hiring plan'!$F$15)&gt;0,I$3&gt;='Hiring plan'!$G$15,I$3&lt;=IF('Hiring plan'!$H$15="",999,'Hiring plan'!$H$15)),'Hiring plan'!$F$15,0)</f>
        <v>0</v>
      </c>
      <c r="J19" s="33" t="n">
        <f aca="false">IF(AND(N('Hiring plan'!$F$15)&gt;0,J$3&gt;='Hiring plan'!$G$15,J$3&lt;=IF('Hiring plan'!$H$15="",999,'Hiring plan'!$H$15)),'Hiring plan'!$F$15,0)</f>
        <v>0</v>
      </c>
      <c r="K19" s="33" t="n">
        <f aca="false">IF(AND(N('Hiring plan'!$F$15)&gt;0,K$3&gt;='Hiring plan'!$G$15,K$3&lt;=IF('Hiring plan'!$H$15="",999,'Hiring plan'!$H$15)),'Hiring plan'!$F$15,0)</f>
        <v>0</v>
      </c>
      <c r="L19" s="33" t="n">
        <f aca="false">IF(AND(N('Hiring plan'!$F$15)&gt;0,L$3&gt;='Hiring plan'!$G$15,L$3&lt;=IF('Hiring plan'!$H$15="",999,'Hiring plan'!$H$15)),'Hiring plan'!$F$15,0)</f>
        <v>0</v>
      </c>
      <c r="M19" s="33" t="n">
        <f aca="false">IF(AND(N('Hiring plan'!$F$15)&gt;0,M$3&gt;='Hiring plan'!$G$15,M$3&lt;=IF('Hiring plan'!$H$15="",999,'Hiring plan'!$H$15)),'Hiring plan'!$F$15,0)</f>
        <v>0</v>
      </c>
      <c r="N19" s="33" t="n">
        <f aca="false">IF(AND(N('Hiring plan'!$F$15)&gt;0,N$3&gt;='Hiring plan'!$G$15,N$3&lt;=IF('Hiring plan'!$H$15="",999,'Hiring plan'!$H$15)),'Hiring plan'!$F$15,0)</f>
        <v>0</v>
      </c>
      <c r="O19" s="33" t="n">
        <f aca="false">IF(AND(N('Hiring plan'!$F$15)&gt;0,O$3&gt;='Hiring plan'!$G$15,O$3&lt;=IF('Hiring plan'!$H$15="",999,'Hiring plan'!$H$15)),'Hiring plan'!$F$15,0)</f>
        <v>0</v>
      </c>
      <c r="P19" s="33" t="n">
        <f aca="false">IF(AND(N('Hiring plan'!$F$15)&gt;0,P$3&gt;='Hiring plan'!$G$15,P$3&lt;=IF('Hiring plan'!$H$15="",999,'Hiring plan'!$H$15)),'Hiring plan'!$F$15,0)</f>
        <v>0</v>
      </c>
      <c r="Q19" s="33" t="n">
        <f aca="false">IF(AND(N('Hiring plan'!$F$15)&gt;0,Q$3&gt;='Hiring plan'!$G$15,Q$3&lt;=IF('Hiring plan'!$H$15="",999,'Hiring plan'!$H$15)),'Hiring plan'!$F$15,0)</f>
        <v>0</v>
      </c>
      <c r="R19" s="33" t="n">
        <f aca="false">IF(AND(N('Hiring plan'!$F$15)&gt;0,R$3&gt;='Hiring plan'!$G$15,R$3&lt;=IF('Hiring plan'!$H$15="",999,'Hiring plan'!$H$15)),'Hiring plan'!$F$15,0)</f>
        <v>0</v>
      </c>
      <c r="S19" s="33" t="n">
        <f aca="false">IF(AND(N('Hiring plan'!$F$15)&gt;0,S$3&gt;='Hiring plan'!$G$15,S$3&lt;=IF('Hiring plan'!$H$15="",999,'Hiring plan'!$H$15)),'Hiring plan'!$F$15,0)</f>
        <v>0</v>
      </c>
      <c r="T19" s="33" t="n">
        <f aca="false">IF(AND(N('Hiring plan'!$F$15)&gt;0,T$3&gt;='Hiring plan'!$G$15,T$3&lt;=IF('Hiring plan'!$H$15="",999,'Hiring plan'!$H$15)),'Hiring plan'!$F$15,0)</f>
        <v>0</v>
      </c>
      <c r="U19" s="33" t="n">
        <f aca="false">IF(AND(N('Hiring plan'!$F$15)&gt;0,U$3&gt;='Hiring plan'!$G$15,U$3&lt;=IF('Hiring plan'!$H$15="",999,'Hiring plan'!$H$15)),'Hiring plan'!$F$15,0)</f>
        <v>0</v>
      </c>
      <c r="V19" s="33" t="n">
        <f aca="false">IF(AND(N('Hiring plan'!$F$15)&gt;0,V$3&gt;='Hiring plan'!$G$15,V$3&lt;=IF('Hiring plan'!$H$15="",999,'Hiring plan'!$H$15)),'Hiring plan'!$F$15,0)</f>
        <v>0</v>
      </c>
      <c r="W19" s="33" t="n">
        <f aca="false">IF(AND(N('Hiring plan'!$F$15)&gt;0,W$3&gt;='Hiring plan'!$G$15,W$3&lt;=IF('Hiring plan'!$H$15="",999,'Hiring plan'!$H$15)),'Hiring plan'!$F$15,0)</f>
        <v>0</v>
      </c>
      <c r="X19" s="33" t="n">
        <f aca="false">IF(AND(N('Hiring plan'!$F$15)&gt;0,X$3&gt;='Hiring plan'!$G$15,X$3&lt;=IF('Hiring plan'!$H$15="",999,'Hiring plan'!$H$15)),'Hiring plan'!$F$15,0)</f>
        <v>0</v>
      </c>
      <c r="Y19" s="33" t="n">
        <f aca="false">IF(AND(N('Hiring plan'!$F$15)&gt;0,Y$3&gt;='Hiring plan'!$G$15,Y$3&lt;=IF('Hiring plan'!$H$15="",999,'Hiring plan'!$H$15)),'Hiring plan'!$F$15,0)</f>
        <v>0</v>
      </c>
      <c r="Z19" s="33" t="n">
        <f aca="false">IF(AND(N('Hiring plan'!$F$15)&gt;0,Z$3&gt;='Hiring plan'!$G$15,Z$3&lt;=IF('Hiring plan'!$H$15="",999,'Hiring plan'!$H$15)),'Hiring plan'!$F$15,0)</f>
        <v>0</v>
      </c>
      <c r="AA19" s="33" t="n">
        <f aca="false">IF(AND(N('Hiring plan'!$F$15)&gt;0,AA$3&gt;='Hiring plan'!$G$15,AA$3&lt;=IF('Hiring plan'!$H$15="",999,'Hiring plan'!$H$15)),'Hiring plan'!$F$15,0)</f>
        <v>0</v>
      </c>
      <c r="AB19" s="33" t="n">
        <f aca="false">IF(AND(N('Hiring plan'!$F$15)&gt;0,AB$3&gt;='Hiring plan'!$G$15,AB$3&lt;=IF('Hiring plan'!$H$15="",999,'Hiring plan'!$H$15)),'Hiring plan'!$F$15,0)</f>
        <v>0</v>
      </c>
      <c r="AC19" s="33" t="n">
        <f aca="false">IF(AND(N('Hiring plan'!$F$15)&gt;0,AC$3&gt;='Hiring plan'!$G$15,AC$3&lt;=IF('Hiring plan'!$H$15="",999,'Hiring plan'!$H$15)),'Hiring plan'!$F$15,0)</f>
        <v>0</v>
      </c>
      <c r="AD19" s="33" t="n">
        <f aca="false">IF(AND(N('Hiring plan'!$F$15)&gt;0,AD$3&gt;='Hiring plan'!$G$15,AD$3&lt;=IF('Hiring plan'!$H$15="",999,'Hiring plan'!$H$15)),'Hiring plan'!$F$15,0)</f>
        <v>0</v>
      </c>
      <c r="AE19" s="33" t="n">
        <f aca="false">IF(AND(N('Hiring plan'!$F$15)&gt;0,AE$3&gt;='Hiring plan'!$G$15,AE$3&lt;=IF('Hiring plan'!$H$15="",999,'Hiring plan'!$H$15)),'Hiring plan'!$F$15,0)</f>
        <v>0</v>
      </c>
      <c r="AF19" s="33" t="n">
        <f aca="false">IF(AND(N('Hiring plan'!$F$15)&gt;0,AF$3&gt;='Hiring plan'!$G$15,AF$3&lt;=IF('Hiring plan'!$H$15="",999,'Hiring plan'!$H$15)),'Hiring plan'!$F$15,0)</f>
        <v>0</v>
      </c>
      <c r="AG19" s="33" t="n">
        <f aca="false">IF(AND(N('Hiring plan'!$F$15)&gt;0,AG$3&gt;='Hiring plan'!$G$15,AG$3&lt;=IF('Hiring plan'!$H$15="",999,'Hiring plan'!$H$15)),'Hiring plan'!$F$15,0)</f>
        <v>0</v>
      </c>
      <c r="AH19" s="33" t="n">
        <f aca="false">IF(AND(N('Hiring plan'!$F$15)&gt;0,AH$3&gt;='Hiring plan'!$G$15,AH$3&lt;=IF('Hiring plan'!$H$15="",999,'Hiring plan'!$H$15)),'Hiring plan'!$F$15,0)</f>
        <v>0</v>
      </c>
      <c r="AI19" s="33" t="n">
        <f aca="false">IF(AND(N('Hiring plan'!$F$15)&gt;0,AI$3&gt;='Hiring plan'!$G$15,AI$3&lt;=IF('Hiring plan'!$H$15="",999,'Hiring plan'!$H$15)),'Hiring plan'!$F$15,0)</f>
        <v>0</v>
      </c>
      <c r="AJ19" s="33" t="n">
        <f aca="false">IF(AND(N('Hiring plan'!$F$15)&gt;0,AJ$3&gt;='Hiring plan'!$G$15,AJ$3&lt;=IF('Hiring plan'!$H$15="",999,'Hiring plan'!$H$15)),'Hiring plan'!$F$15,0)</f>
        <v>0</v>
      </c>
      <c r="AK19" s="33" t="n">
        <f aca="false">IF(AND(N('Hiring plan'!$F$15)&gt;0,AK$3&gt;='Hiring plan'!$G$15,AK$3&lt;=IF('Hiring plan'!$H$15="",999,'Hiring plan'!$H$15)),'Hiring plan'!$F$15,0)</f>
        <v>0</v>
      </c>
      <c r="AL19" s="33" t="n">
        <f aca="false">IF(AND(N('Hiring plan'!$F$15)&gt;0,AL$3&gt;='Hiring plan'!$G$15,AL$3&lt;=IF('Hiring plan'!$H$15="",999,'Hiring plan'!$H$15)),'Hiring plan'!$F$15,0)</f>
        <v>0</v>
      </c>
      <c r="AM19" s="33" t="n">
        <f aca="false">IF(AND(N('Hiring plan'!$F$15)&gt;0,AM$3&gt;='Hiring plan'!$G$15,AM$3&lt;=IF('Hiring plan'!$H$15="",999,'Hiring plan'!$H$15)),'Hiring plan'!$F$15,0)</f>
        <v>0</v>
      </c>
      <c r="AN19" s="33" t="n">
        <f aca="false">IF(AND(N('Hiring plan'!$F$15)&gt;0,AN$3&gt;='Hiring plan'!$G$15,AN$3&lt;=IF('Hiring plan'!$H$15="",999,'Hiring plan'!$H$15)),'Hiring plan'!$F$15,0)</f>
        <v>0</v>
      </c>
      <c r="AO19" s="33" t="n">
        <f aca="false">IF(AND(N('Hiring plan'!$F$15)&gt;0,AO$3&gt;='Hiring plan'!$G$15,AO$3&lt;=IF('Hiring plan'!$H$15="",999,'Hiring plan'!$H$15)),'Hiring plan'!$F$15,0)</f>
        <v>0</v>
      </c>
      <c r="AP19" s="33" t="n">
        <f aca="false">IF(AND(N('Hiring plan'!$F$15)&gt;0,AP$3&gt;='Hiring plan'!$G$15,AP$3&lt;=IF('Hiring plan'!$H$15="",999,'Hiring plan'!$H$15)),'Hiring plan'!$F$15,0)</f>
        <v>0</v>
      </c>
      <c r="AQ19" s="33" t="n">
        <f aca="false">IF(AND(N('Hiring plan'!$F$15)&gt;0,AQ$3&gt;='Hiring plan'!$G$15,AQ$3&lt;=IF('Hiring plan'!$H$15="",999,'Hiring plan'!$H$15)),'Hiring plan'!$F$15,0)</f>
        <v>0</v>
      </c>
      <c r="AR19" s="33" t="n">
        <f aca="false">IF(AND(N('Hiring plan'!$F$15)&gt;0,AR$3&gt;='Hiring plan'!$G$15,AR$3&lt;=IF('Hiring plan'!$H$15="",999,'Hiring plan'!$H$15)),'Hiring plan'!$F$15,0)</f>
        <v>0</v>
      </c>
      <c r="AS19" s="33" t="n">
        <f aca="false">IF(AND(N('Hiring plan'!$F$15)&gt;0,AS$3&gt;='Hiring plan'!$G$15,AS$3&lt;=IF('Hiring plan'!$H$15="",999,'Hiring plan'!$H$15)),'Hiring plan'!$F$15,0)</f>
        <v>0</v>
      </c>
      <c r="AT19" s="33" t="n">
        <f aca="false">IF(AND(N('Hiring plan'!$F$15)&gt;0,AT$3&gt;='Hiring plan'!$G$15,AT$3&lt;=IF('Hiring plan'!$H$15="",999,'Hiring plan'!$H$15)),'Hiring plan'!$F$15,0)</f>
        <v>0</v>
      </c>
      <c r="AU19" s="33" t="n">
        <f aca="false">IF(AND(N('Hiring plan'!$F$15)&gt;0,AU$3&gt;='Hiring plan'!$G$15,AU$3&lt;=IF('Hiring plan'!$H$15="",999,'Hiring plan'!$H$15)),'Hiring plan'!$F$15,0)</f>
        <v>0</v>
      </c>
      <c r="AV19" s="33" t="n">
        <f aca="false">IF(AND(N('Hiring plan'!$F$15)&gt;0,AV$3&gt;='Hiring plan'!$G$15,AV$3&lt;=IF('Hiring plan'!$H$15="",999,'Hiring plan'!$H$15)),'Hiring plan'!$F$15,0)</f>
        <v>0</v>
      </c>
      <c r="AW19" s="33" t="n">
        <f aca="false">IF(AND(N('Hiring plan'!$F$15)&gt;0,AW$3&gt;='Hiring plan'!$G$15,AW$3&lt;=IF('Hiring plan'!$H$15="",999,'Hiring plan'!$H$15)),'Hiring plan'!$F$15,0)</f>
        <v>0</v>
      </c>
      <c r="AX19" s="33" t="n">
        <f aca="false">IF(AND(N('Hiring plan'!$F$15)&gt;0,AX$3&gt;='Hiring plan'!$G$15,AX$3&lt;=IF('Hiring plan'!$H$15="",999,'Hiring plan'!$H$15)),'Hiring plan'!$F$15,0)</f>
        <v>0</v>
      </c>
      <c r="AY19" s="33" t="n">
        <f aca="false">IF(AND(N('Hiring plan'!$F$15)&gt;0,AY$3&gt;='Hiring plan'!$G$15,AY$3&lt;=IF('Hiring plan'!$H$15="",999,'Hiring plan'!$H$15)),'Hiring plan'!$F$15,0)</f>
        <v>0</v>
      </c>
      <c r="AZ19" s="33" t="n">
        <f aca="false">IF(AND(N('Hiring plan'!$F$15)&gt;0,AZ$3&gt;='Hiring plan'!$G$15,AZ$3&lt;=IF('Hiring plan'!$H$15="",999,'Hiring plan'!$H$15)),'Hiring plan'!$F$15,0)</f>
        <v>0</v>
      </c>
      <c r="BA19" s="33" t="n">
        <f aca="false">IF(AND(N('Hiring plan'!$F$15)&gt;0,BA$3&gt;='Hiring plan'!$G$15,BA$3&lt;=IF('Hiring plan'!$H$15="",999,'Hiring plan'!$H$15)),'Hiring plan'!$F$15,0)</f>
        <v>0</v>
      </c>
      <c r="BB19" s="33" t="n">
        <f aca="false">IF(AND(N('Hiring plan'!$F$15)&gt;0,BB$3&gt;='Hiring plan'!$G$15,BB$3&lt;=IF('Hiring plan'!$H$15="",999,'Hiring plan'!$H$15)),'Hiring plan'!$F$15,0)</f>
        <v>0</v>
      </c>
      <c r="BC19" s="33" t="n">
        <f aca="false">IF(AND(N('Hiring plan'!$F$15)&gt;0,BC$3&gt;='Hiring plan'!$G$15,BC$3&lt;=IF('Hiring plan'!$H$15="",999,'Hiring plan'!$H$15)),'Hiring plan'!$F$15,0)</f>
        <v>0</v>
      </c>
      <c r="BD19" s="33" t="n">
        <f aca="false">IF(AND(N('Hiring plan'!$F$15)&gt;0,BD$3&gt;='Hiring plan'!$G$15,BD$3&lt;=IF('Hiring plan'!$H$15="",999,'Hiring plan'!$H$15)),'Hiring plan'!$F$15,0)</f>
        <v>0</v>
      </c>
      <c r="BE19" s="33" t="n">
        <f aca="false">IF(AND(N('Hiring plan'!$F$15)&gt;0,BE$3&gt;='Hiring plan'!$G$15,BE$3&lt;=IF('Hiring plan'!$H$15="",999,'Hiring plan'!$H$15)),'Hiring plan'!$F$15,0)</f>
        <v>0</v>
      </c>
      <c r="BF19" s="33" t="n">
        <f aca="false">IF(AND(N('Hiring plan'!$F$15)&gt;0,BF$3&gt;='Hiring plan'!$G$15,BF$3&lt;=IF('Hiring plan'!$H$15="",999,'Hiring plan'!$H$15)),'Hiring plan'!$F$15,0)</f>
        <v>0</v>
      </c>
      <c r="BG19" s="33" t="n">
        <f aca="false">IF(AND(N('Hiring plan'!$F$15)&gt;0,BG$3&gt;='Hiring plan'!$G$15,BG$3&lt;=IF('Hiring plan'!$H$15="",999,'Hiring plan'!$H$15)),'Hiring plan'!$F$15,0)</f>
        <v>0</v>
      </c>
      <c r="BH19" s="33" t="n">
        <f aca="false">IF(AND(N('Hiring plan'!$F$15)&gt;0,BH$3&gt;='Hiring plan'!$G$15,BH$3&lt;=IF('Hiring plan'!$H$15="",999,'Hiring plan'!$H$15)),'Hiring plan'!$F$15,0)</f>
        <v>0</v>
      </c>
      <c r="BI19" s="33" t="n">
        <f aca="false">IF(AND(N('Hiring plan'!$F$15)&gt;0,BI$3&gt;='Hiring plan'!$G$15,BI$3&lt;=IF('Hiring plan'!$H$15="",999,'Hiring plan'!$H$15)),'Hiring plan'!$F$15,0)</f>
        <v>0</v>
      </c>
      <c r="BJ19" s="33" t="n">
        <f aca="false">IF(AND(N('Hiring plan'!$F$15)&gt;0,BJ$3&gt;='Hiring plan'!$G$15,BJ$3&lt;=IF('Hiring plan'!$H$15="",999,'Hiring plan'!$H$15)),'Hiring plan'!$F$15,0)</f>
        <v>0</v>
      </c>
      <c r="BK19" s="33" t="n">
        <f aca="false">IF(AND(N('Hiring plan'!$F$15)&gt;0,BK$3&gt;='Hiring plan'!$G$15,BK$3&lt;=IF('Hiring plan'!$H$15="",999,'Hiring plan'!$H$15)),'Hiring plan'!$F$15,0)</f>
        <v>0</v>
      </c>
      <c r="BL19" s="33" t="n">
        <f aca="false">IF(AND(N('Hiring plan'!$F$15)&gt;0,BL$3&gt;='Hiring plan'!$G$15,BL$3&lt;=IF('Hiring plan'!$H$15="",999,'Hiring plan'!$H$15)),'Hiring plan'!$F$15,0)</f>
        <v>0</v>
      </c>
    </row>
    <row r="20" customFormat="false" ht="15" hidden="false" customHeight="true" outlineLevel="0" collapsed="false">
      <c r="A20" s="13" t="str">
        <f aca="false">IF('Hiring plan'!$C$16="","(spare line 12)",'Hiring plan'!$C$16&amp;" · "&amp;'Hiring plan'!$D$16)</f>
        <v>(spare line 12)</v>
      </c>
      <c r="B20" s="15" t="s">
        <v>92</v>
      </c>
      <c r="D20" s="56" t="n">
        <f aca="false">MAX(E20:BL20)</f>
        <v>0</v>
      </c>
      <c r="E20" s="33" t="n">
        <f aca="false">IF(AND(N('Hiring plan'!$F$16)&gt;0,E$3&gt;='Hiring plan'!$G$16,E$3&lt;=IF('Hiring plan'!$H$16="",999,'Hiring plan'!$H$16)),'Hiring plan'!$F$16,0)</f>
        <v>0</v>
      </c>
      <c r="F20" s="33" t="n">
        <f aca="false">IF(AND(N('Hiring plan'!$F$16)&gt;0,F$3&gt;='Hiring plan'!$G$16,F$3&lt;=IF('Hiring plan'!$H$16="",999,'Hiring plan'!$H$16)),'Hiring plan'!$F$16,0)</f>
        <v>0</v>
      </c>
      <c r="G20" s="33" t="n">
        <f aca="false">IF(AND(N('Hiring plan'!$F$16)&gt;0,G$3&gt;='Hiring plan'!$G$16,G$3&lt;=IF('Hiring plan'!$H$16="",999,'Hiring plan'!$H$16)),'Hiring plan'!$F$16,0)</f>
        <v>0</v>
      </c>
      <c r="H20" s="33" t="n">
        <f aca="false">IF(AND(N('Hiring plan'!$F$16)&gt;0,H$3&gt;='Hiring plan'!$G$16,H$3&lt;=IF('Hiring plan'!$H$16="",999,'Hiring plan'!$H$16)),'Hiring plan'!$F$16,0)</f>
        <v>0</v>
      </c>
      <c r="I20" s="33" t="n">
        <f aca="false">IF(AND(N('Hiring plan'!$F$16)&gt;0,I$3&gt;='Hiring plan'!$G$16,I$3&lt;=IF('Hiring plan'!$H$16="",999,'Hiring plan'!$H$16)),'Hiring plan'!$F$16,0)</f>
        <v>0</v>
      </c>
      <c r="J20" s="33" t="n">
        <f aca="false">IF(AND(N('Hiring plan'!$F$16)&gt;0,J$3&gt;='Hiring plan'!$G$16,J$3&lt;=IF('Hiring plan'!$H$16="",999,'Hiring plan'!$H$16)),'Hiring plan'!$F$16,0)</f>
        <v>0</v>
      </c>
      <c r="K20" s="33" t="n">
        <f aca="false">IF(AND(N('Hiring plan'!$F$16)&gt;0,K$3&gt;='Hiring plan'!$G$16,K$3&lt;=IF('Hiring plan'!$H$16="",999,'Hiring plan'!$H$16)),'Hiring plan'!$F$16,0)</f>
        <v>0</v>
      </c>
      <c r="L20" s="33" t="n">
        <f aca="false">IF(AND(N('Hiring plan'!$F$16)&gt;0,L$3&gt;='Hiring plan'!$G$16,L$3&lt;=IF('Hiring plan'!$H$16="",999,'Hiring plan'!$H$16)),'Hiring plan'!$F$16,0)</f>
        <v>0</v>
      </c>
      <c r="M20" s="33" t="n">
        <f aca="false">IF(AND(N('Hiring plan'!$F$16)&gt;0,M$3&gt;='Hiring plan'!$G$16,M$3&lt;=IF('Hiring plan'!$H$16="",999,'Hiring plan'!$H$16)),'Hiring plan'!$F$16,0)</f>
        <v>0</v>
      </c>
      <c r="N20" s="33" t="n">
        <f aca="false">IF(AND(N('Hiring plan'!$F$16)&gt;0,N$3&gt;='Hiring plan'!$G$16,N$3&lt;=IF('Hiring plan'!$H$16="",999,'Hiring plan'!$H$16)),'Hiring plan'!$F$16,0)</f>
        <v>0</v>
      </c>
      <c r="O20" s="33" t="n">
        <f aca="false">IF(AND(N('Hiring plan'!$F$16)&gt;0,O$3&gt;='Hiring plan'!$G$16,O$3&lt;=IF('Hiring plan'!$H$16="",999,'Hiring plan'!$H$16)),'Hiring plan'!$F$16,0)</f>
        <v>0</v>
      </c>
      <c r="P20" s="33" t="n">
        <f aca="false">IF(AND(N('Hiring plan'!$F$16)&gt;0,P$3&gt;='Hiring plan'!$G$16,P$3&lt;=IF('Hiring plan'!$H$16="",999,'Hiring plan'!$H$16)),'Hiring plan'!$F$16,0)</f>
        <v>0</v>
      </c>
      <c r="Q20" s="33" t="n">
        <f aca="false">IF(AND(N('Hiring plan'!$F$16)&gt;0,Q$3&gt;='Hiring plan'!$G$16,Q$3&lt;=IF('Hiring plan'!$H$16="",999,'Hiring plan'!$H$16)),'Hiring plan'!$F$16,0)</f>
        <v>0</v>
      </c>
      <c r="R20" s="33" t="n">
        <f aca="false">IF(AND(N('Hiring plan'!$F$16)&gt;0,R$3&gt;='Hiring plan'!$G$16,R$3&lt;=IF('Hiring plan'!$H$16="",999,'Hiring plan'!$H$16)),'Hiring plan'!$F$16,0)</f>
        <v>0</v>
      </c>
      <c r="S20" s="33" t="n">
        <f aca="false">IF(AND(N('Hiring plan'!$F$16)&gt;0,S$3&gt;='Hiring plan'!$G$16,S$3&lt;=IF('Hiring plan'!$H$16="",999,'Hiring plan'!$H$16)),'Hiring plan'!$F$16,0)</f>
        <v>0</v>
      </c>
      <c r="T20" s="33" t="n">
        <f aca="false">IF(AND(N('Hiring plan'!$F$16)&gt;0,T$3&gt;='Hiring plan'!$G$16,T$3&lt;=IF('Hiring plan'!$H$16="",999,'Hiring plan'!$H$16)),'Hiring plan'!$F$16,0)</f>
        <v>0</v>
      </c>
      <c r="U20" s="33" t="n">
        <f aca="false">IF(AND(N('Hiring plan'!$F$16)&gt;0,U$3&gt;='Hiring plan'!$G$16,U$3&lt;=IF('Hiring plan'!$H$16="",999,'Hiring plan'!$H$16)),'Hiring plan'!$F$16,0)</f>
        <v>0</v>
      </c>
      <c r="V20" s="33" t="n">
        <f aca="false">IF(AND(N('Hiring plan'!$F$16)&gt;0,V$3&gt;='Hiring plan'!$G$16,V$3&lt;=IF('Hiring plan'!$H$16="",999,'Hiring plan'!$H$16)),'Hiring plan'!$F$16,0)</f>
        <v>0</v>
      </c>
      <c r="W20" s="33" t="n">
        <f aca="false">IF(AND(N('Hiring plan'!$F$16)&gt;0,W$3&gt;='Hiring plan'!$G$16,W$3&lt;=IF('Hiring plan'!$H$16="",999,'Hiring plan'!$H$16)),'Hiring plan'!$F$16,0)</f>
        <v>0</v>
      </c>
      <c r="X20" s="33" t="n">
        <f aca="false">IF(AND(N('Hiring plan'!$F$16)&gt;0,X$3&gt;='Hiring plan'!$G$16,X$3&lt;=IF('Hiring plan'!$H$16="",999,'Hiring plan'!$H$16)),'Hiring plan'!$F$16,0)</f>
        <v>0</v>
      </c>
      <c r="Y20" s="33" t="n">
        <f aca="false">IF(AND(N('Hiring plan'!$F$16)&gt;0,Y$3&gt;='Hiring plan'!$G$16,Y$3&lt;=IF('Hiring plan'!$H$16="",999,'Hiring plan'!$H$16)),'Hiring plan'!$F$16,0)</f>
        <v>0</v>
      </c>
      <c r="Z20" s="33" t="n">
        <f aca="false">IF(AND(N('Hiring plan'!$F$16)&gt;0,Z$3&gt;='Hiring plan'!$G$16,Z$3&lt;=IF('Hiring plan'!$H$16="",999,'Hiring plan'!$H$16)),'Hiring plan'!$F$16,0)</f>
        <v>0</v>
      </c>
      <c r="AA20" s="33" t="n">
        <f aca="false">IF(AND(N('Hiring plan'!$F$16)&gt;0,AA$3&gt;='Hiring plan'!$G$16,AA$3&lt;=IF('Hiring plan'!$H$16="",999,'Hiring plan'!$H$16)),'Hiring plan'!$F$16,0)</f>
        <v>0</v>
      </c>
      <c r="AB20" s="33" t="n">
        <f aca="false">IF(AND(N('Hiring plan'!$F$16)&gt;0,AB$3&gt;='Hiring plan'!$G$16,AB$3&lt;=IF('Hiring plan'!$H$16="",999,'Hiring plan'!$H$16)),'Hiring plan'!$F$16,0)</f>
        <v>0</v>
      </c>
      <c r="AC20" s="33" t="n">
        <f aca="false">IF(AND(N('Hiring plan'!$F$16)&gt;0,AC$3&gt;='Hiring plan'!$G$16,AC$3&lt;=IF('Hiring plan'!$H$16="",999,'Hiring plan'!$H$16)),'Hiring plan'!$F$16,0)</f>
        <v>0</v>
      </c>
      <c r="AD20" s="33" t="n">
        <f aca="false">IF(AND(N('Hiring plan'!$F$16)&gt;0,AD$3&gt;='Hiring plan'!$G$16,AD$3&lt;=IF('Hiring plan'!$H$16="",999,'Hiring plan'!$H$16)),'Hiring plan'!$F$16,0)</f>
        <v>0</v>
      </c>
      <c r="AE20" s="33" t="n">
        <f aca="false">IF(AND(N('Hiring plan'!$F$16)&gt;0,AE$3&gt;='Hiring plan'!$G$16,AE$3&lt;=IF('Hiring plan'!$H$16="",999,'Hiring plan'!$H$16)),'Hiring plan'!$F$16,0)</f>
        <v>0</v>
      </c>
      <c r="AF20" s="33" t="n">
        <f aca="false">IF(AND(N('Hiring plan'!$F$16)&gt;0,AF$3&gt;='Hiring plan'!$G$16,AF$3&lt;=IF('Hiring plan'!$H$16="",999,'Hiring plan'!$H$16)),'Hiring plan'!$F$16,0)</f>
        <v>0</v>
      </c>
      <c r="AG20" s="33" t="n">
        <f aca="false">IF(AND(N('Hiring plan'!$F$16)&gt;0,AG$3&gt;='Hiring plan'!$G$16,AG$3&lt;=IF('Hiring plan'!$H$16="",999,'Hiring plan'!$H$16)),'Hiring plan'!$F$16,0)</f>
        <v>0</v>
      </c>
      <c r="AH20" s="33" t="n">
        <f aca="false">IF(AND(N('Hiring plan'!$F$16)&gt;0,AH$3&gt;='Hiring plan'!$G$16,AH$3&lt;=IF('Hiring plan'!$H$16="",999,'Hiring plan'!$H$16)),'Hiring plan'!$F$16,0)</f>
        <v>0</v>
      </c>
      <c r="AI20" s="33" t="n">
        <f aca="false">IF(AND(N('Hiring plan'!$F$16)&gt;0,AI$3&gt;='Hiring plan'!$G$16,AI$3&lt;=IF('Hiring plan'!$H$16="",999,'Hiring plan'!$H$16)),'Hiring plan'!$F$16,0)</f>
        <v>0</v>
      </c>
      <c r="AJ20" s="33" t="n">
        <f aca="false">IF(AND(N('Hiring plan'!$F$16)&gt;0,AJ$3&gt;='Hiring plan'!$G$16,AJ$3&lt;=IF('Hiring plan'!$H$16="",999,'Hiring plan'!$H$16)),'Hiring plan'!$F$16,0)</f>
        <v>0</v>
      </c>
      <c r="AK20" s="33" t="n">
        <f aca="false">IF(AND(N('Hiring plan'!$F$16)&gt;0,AK$3&gt;='Hiring plan'!$G$16,AK$3&lt;=IF('Hiring plan'!$H$16="",999,'Hiring plan'!$H$16)),'Hiring plan'!$F$16,0)</f>
        <v>0</v>
      </c>
      <c r="AL20" s="33" t="n">
        <f aca="false">IF(AND(N('Hiring plan'!$F$16)&gt;0,AL$3&gt;='Hiring plan'!$G$16,AL$3&lt;=IF('Hiring plan'!$H$16="",999,'Hiring plan'!$H$16)),'Hiring plan'!$F$16,0)</f>
        <v>0</v>
      </c>
      <c r="AM20" s="33" t="n">
        <f aca="false">IF(AND(N('Hiring plan'!$F$16)&gt;0,AM$3&gt;='Hiring plan'!$G$16,AM$3&lt;=IF('Hiring plan'!$H$16="",999,'Hiring plan'!$H$16)),'Hiring plan'!$F$16,0)</f>
        <v>0</v>
      </c>
      <c r="AN20" s="33" t="n">
        <f aca="false">IF(AND(N('Hiring plan'!$F$16)&gt;0,AN$3&gt;='Hiring plan'!$G$16,AN$3&lt;=IF('Hiring plan'!$H$16="",999,'Hiring plan'!$H$16)),'Hiring plan'!$F$16,0)</f>
        <v>0</v>
      </c>
      <c r="AO20" s="33" t="n">
        <f aca="false">IF(AND(N('Hiring plan'!$F$16)&gt;0,AO$3&gt;='Hiring plan'!$G$16,AO$3&lt;=IF('Hiring plan'!$H$16="",999,'Hiring plan'!$H$16)),'Hiring plan'!$F$16,0)</f>
        <v>0</v>
      </c>
      <c r="AP20" s="33" t="n">
        <f aca="false">IF(AND(N('Hiring plan'!$F$16)&gt;0,AP$3&gt;='Hiring plan'!$G$16,AP$3&lt;=IF('Hiring plan'!$H$16="",999,'Hiring plan'!$H$16)),'Hiring plan'!$F$16,0)</f>
        <v>0</v>
      </c>
      <c r="AQ20" s="33" t="n">
        <f aca="false">IF(AND(N('Hiring plan'!$F$16)&gt;0,AQ$3&gt;='Hiring plan'!$G$16,AQ$3&lt;=IF('Hiring plan'!$H$16="",999,'Hiring plan'!$H$16)),'Hiring plan'!$F$16,0)</f>
        <v>0</v>
      </c>
      <c r="AR20" s="33" t="n">
        <f aca="false">IF(AND(N('Hiring plan'!$F$16)&gt;0,AR$3&gt;='Hiring plan'!$G$16,AR$3&lt;=IF('Hiring plan'!$H$16="",999,'Hiring plan'!$H$16)),'Hiring plan'!$F$16,0)</f>
        <v>0</v>
      </c>
      <c r="AS20" s="33" t="n">
        <f aca="false">IF(AND(N('Hiring plan'!$F$16)&gt;0,AS$3&gt;='Hiring plan'!$G$16,AS$3&lt;=IF('Hiring plan'!$H$16="",999,'Hiring plan'!$H$16)),'Hiring plan'!$F$16,0)</f>
        <v>0</v>
      </c>
      <c r="AT20" s="33" t="n">
        <f aca="false">IF(AND(N('Hiring plan'!$F$16)&gt;0,AT$3&gt;='Hiring plan'!$G$16,AT$3&lt;=IF('Hiring plan'!$H$16="",999,'Hiring plan'!$H$16)),'Hiring plan'!$F$16,0)</f>
        <v>0</v>
      </c>
      <c r="AU20" s="33" t="n">
        <f aca="false">IF(AND(N('Hiring plan'!$F$16)&gt;0,AU$3&gt;='Hiring plan'!$G$16,AU$3&lt;=IF('Hiring plan'!$H$16="",999,'Hiring plan'!$H$16)),'Hiring plan'!$F$16,0)</f>
        <v>0</v>
      </c>
      <c r="AV20" s="33" t="n">
        <f aca="false">IF(AND(N('Hiring plan'!$F$16)&gt;0,AV$3&gt;='Hiring plan'!$G$16,AV$3&lt;=IF('Hiring plan'!$H$16="",999,'Hiring plan'!$H$16)),'Hiring plan'!$F$16,0)</f>
        <v>0</v>
      </c>
      <c r="AW20" s="33" t="n">
        <f aca="false">IF(AND(N('Hiring plan'!$F$16)&gt;0,AW$3&gt;='Hiring plan'!$G$16,AW$3&lt;=IF('Hiring plan'!$H$16="",999,'Hiring plan'!$H$16)),'Hiring plan'!$F$16,0)</f>
        <v>0</v>
      </c>
      <c r="AX20" s="33" t="n">
        <f aca="false">IF(AND(N('Hiring plan'!$F$16)&gt;0,AX$3&gt;='Hiring plan'!$G$16,AX$3&lt;=IF('Hiring plan'!$H$16="",999,'Hiring plan'!$H$16)),'Hiring plan'!$F$16,0)</f>
        <v>0</v>
      </c>
      <c r="AY20" s="33" t="n">
        <f aca="false">IF(AND(N('Hiring plan'!$F$16)&gt;0,AY$3&gt;='Hiring plan'!$G$16,AY$3&lt;=IF('Hiring plan'!$H$16="",999,'Hiring plan'!$H$16)),'Hiring plan'!$F$16,0)</f>
        <v>0</v>
      </c>
      <c r="AZ20" s="33" t="n">
        <f aca="false">IF(AND(N('Hiring plan'!$F$16)&gt;0,AZ$3&gt;='Hiring plan'!$G$16,AZ$3&lt;=IF('Hiring plan'!$H$16="",999,'Hiring plan'!$H$16)),'Hiring plan'!$F$16,0)</f>
        <v>0</v>
      </c>
      <c r="BA20" s="33" t="n">
        <f aca="false">IF(AND(N('Hiring plan'!$F$16)&gt;0,BA$3&gt;='Hiring plan'!$G$16,BA$3&lt;=IF('Hiring plan'!$H$16="",999,'Hiring plan'!$H$16)),'Hiring plan'!$F$16,0)</f>
        <v>0</v>
      </c>
      <c r="BB20" s="33" t="n">
        <f aca="false">IF(AND(N('Hiring plan'!$F$16)&gt;0,BB$3&gt;='Hiring plan'!$G$16,BB$3&lt;=IF('Hiring plan'!$H$16="",999,'Hiring plan'!$H$16)),'Hiring plan'!$F$16,0)</f>
        <v>0</v>
      </c>
      <c r="BC20" s="33" t="n">
        <f aca="false">IF(AND(N('Hiring plan'!$F$16)&gt;0,BC$3&gt;='Hiring plan'!$G$16,BC$3&lt;=IF('Hiring plan'!$H$16="",999,'Hiring plan'!$H$16)),'Hiring plan'!$F$16,0)</f>
        <v>0</v>
      </c>
      <c r="BD20" s="33" t="n">
        <f aca="false">IF(AND(N('Hiring plan'!$F$16)&gt;0,BD$3&gt;='Hiring plan'!$G$16,BD$3&lt;=IF('Hiring plan'!$H$16="",999,'Hiring plan'!$H$16)),'Hiring plan'!$F$16,0)</f>
        <v>0</v>
      </c>
      <c r="BE20" s="33" t="n">
        <f aca="false">IF(AND(N('Hiring plan'!$F$16)&gt;0,BE$3&gt;='Hiring plan'!$G$16,BE$3&lt;=IF('Hiring plan'!$H$16="",999,'Hiring plan'!$H$16)),'Hiring plan'!$F$16,0)</f>
        <v>0</v>
      </c>
      <c r="BF20" s="33" t="n">
        <f aca="false">IF(AND(N('Hiring plan'!$F$16)&gt;0,BF$3&gt;='Hiring plan'!$G$16,BF$3&lt;=IF('Hiring plan'!$H$16="",999,'Hiring plan'!$H$16)),'Hiring plan'!$F$16,0)</f>
        <v>0</v>
      </c>
      <c r="BG20" s="33" t="n">
        <f aca="false">IF(AND(N('Hiring plan'!$F$16)&gt;0,BG$3&gt;='Hiring plan'!$G$16,BG$3&lt;=IF('Hiring plan'!$H$16="",999,'Hiring plan'!$H$16)),'Hiring plan'!$F$16,0)</f>
        <v>0</v>
      </c>
      <c r="BH20" s="33" t="n">
        <f aca="false">IF(AND(N('Hiring plan'!$F$16)&gt;0,BH$3&gt;='Hiring plan'!$G$16,BH$3&lt;=IF('Hiring plan'!$H$16="",999,'Hiring plan'!$H$16)),'Hiring plan'!$F$16,0)</f>
        <v>0</v>
      </c>
      <c r="BI20" s="33" t="n">
        <f aca="false">IF(AND(N('Hiring plan'!$F$16)&gt;0,BI$3&gt;='Hiring plan'!$G$16,BI$3&lt;=IF('Hiring plan'!$H$16="",999,'Hiring plan'!$H$16)),'Hiring plan'!$F$16,0)</f>
        <v>0</v>
      </c>
      <c r="BJ20" s="33" t="n">
        <f aca="false">IF(AND(N('Hiring plan'!$F$16)&gt;0,BJ$3&gt;='Hiring plan'!$G$16,BJ$3&lt;=IF('Hiring plan'!$H$16="",999,'Hiring plan'!$H$16)),'Hiring plan'!$F$16,0)</f>
        <v>0</v>
      </c>
      <c r="BK20" s="33" t="n">
        <f aca="false">IF(AND(N('Hiring plan'!$F$16)&gt;0,BK$3&gt;='Hiring plan'!$G$16,BK$3&lt;=IF('Hiring plan'!$H$16="",999,'Hiring plan'!$H$16)),'Hiring plan'!$F$16,0)</f>
        <v>0</v>
      </c>
      <c r="BL20" s="33" t="n">
        <f aca="false">IF(AND(N('Hiring plan'!$F$16)&gt;0,BL$3&gt;='Hiring plan'!$G$16,BL$3&lt;=IF('Hiring plan'!$H$16="",999,'Hiring plan'!$H$16)),'Hiring plan'!$F$16,0)</f>
        <v>0</v>
      </c>
    </row>
    <row r="21" customFormat="false" ht="15" hidden="false" customHeight="true" outlineLevel="0" collapsed="false">
      <c r="A21" s="13" t="str">
        <f aca="false">IF('Hiring plan'!$C$17="","(spare line 13)",'Hiring plan'!$C$17&amp;" · "&amp;'Hiring plan'!$D$17)</f>
        <v>(spare line 13)</v>
      </c>
      <c r="B21" s="15" t="s">
        <v>92</v>
      </c>
      <c r="D21" s="56" t="n">
        <f aca="false">MAX(E21:BL21)</f>
        <v>0</v>
      </c>
      <c r="E21" s="33" t="n">
        <f aca="false">IF(AND(N('Hiring plan'!$F$17)&gt;0,E$3&gt;='Hiring plan'!$G$17,E$3&lt;=IF('Hiring plan'!$H$17="",999,'Hiring plan'!$H$17)),'Hiring plan'!$F$17,0)</f>
        <v>0</v>
      </c>
      <c r="F21" s="33" t="n">
        <f aca="false">IF(AND(N('Hiring plan'!$F$17)&gt;0,F$3&gt;='Hiring plan'!$G$17,F$3&lt;=IF('Hiring plan'!$H$17="",999,'Hiring plan'!$H$17)),'Hiring plan'!$F$17,0)</f>
        <v>0</v>
      </c>
      <c r="G21" s="33" t="n">
        <f aca="false">IF(AND(N('Hiring plan'!$F$17)&gt;0,G$3&gt;='Hiring plan'!$G$17,G$3&lt;=IF('Hiring plan'!$H$17="",999,'Hiring plan'!$H$17)),'Hiring plan'!$F$17,0)</f>
        <v>0</v>
      </c>
      <c r="H21" s="33" t="n">
        <f aca="false">IF(AND(N('Hiring plan'!$F$17)&gt;0,H$3&gt;='Hiring plan'!$G$17,H$3&lt;=IF('Hiring plan'!$H$17="",999,'Hiring plan'!$H$17)),'Hiring plan'!$F$17,0)</f>
        <v>0</v>
      </c>
      <c r="I21" s="33" t="n">
        <f aca="false">IF(AND(N('Hiring plan'!$F$17)&gt;0,I$3&gt;='Hiring plan'!$G$17,I$3&lt;=IF('Hiring plan'!$H$17="",999,'Hiring plan'!$H$17)),'Hiring plan'!$F$17,0)</f>
        <v>0</v>
      </c>
      <c r="J21" s="33" t="n">
        <f aca="false">IF(AND(N('Hiring plan'!$F$17)&gt;0,J$3&gt;='Hiring plan'!$G$17,J$3&lt;=IF('Hiring plan'!$H$17="",999,'Hiring plan'!$H$17)),'Hiring plan'!$F$17,0)</f>
        <v>0</v>
      </c>
      <c r="K21" s="33" t="n">
        <f aca="false">IF(AND(N('Hiring plan'!$F$17)&gt;0,K$3&gt;='Hiring plan'!$G$17,K$3&lt;=IF('Hiring plan'!$H$17="",999,'Hiring plan'!$H$17)),'Hiring plan'!$F$17,0)</f>
        <v>0</v>
      </c>
      <c r="L21" s="33" t="n">
        <f aca="false">IF(AND(N('Hiring plan'!$F$17)&gt;0,L$3&gt;='Hiring plan'!$G$17,L$3&lt;=IF('Hiring plan'!$H$17="",999,'Hiring plan'!$H$17)),'Hiring plan'!$F$17,0)</f>
        <v>0</v>
      </c>
      <c r="M21" s="33" t="n">
        <f aca="false">IF(AND(N('Hiring plan'!$F$17)&gt;0,M$3&gt;='Hiring plan'!$G$17,M$3&lt;=IF('Hiring plan'!$H$17="",999,'Hiring plan'!$H$17)),'Hiring plan'!$F$17,0)</f>
        <v>0</v>
      </c>
      <c r="N21" s="33" t="n">
        <f aca="false">IF(AND(N('Hiring plan'!$F$17)&gt;0,N$3&gt;='Hiring plan'!$G$17,N$3&lt;=IF('Hiring plan'!$H$17="",999,'Hiring plan'!$H$17)),'Hiring plan'!$F$17,0)</f>
        <v>0</v>
      </c>
      <c r="O21" s="33" t="n">
        <f aca="false">IF(AND(N('Hiring plan'!$F$17)&gt;0,O$3&gt;='Hiring plan'!$G$17,O$3&lt;=IF('Hiring plan'!$H$17="",999,'Hiring plan'!$H$17)),'Hiring plan'!$F$17,0)</f>
        <v>0</v>
      </c>
      <c r="P21" s="33" t="n">
        <f aca="false">IF(AND(N('Hiring plan'!$F$17)&gt;0,P$3&gt;='Hiring plan'!$G$17,P$3&lt;=IF('Hiring plan'!$H$17="",999,'Hiring plan'!$H$17)),'Hiring plan'!$F$17,0)</f>
        <v>0</v>
      </c>
      <c r="Q21" s="33" t="n">
        <f aca="false">IF(AND(N('Hiring plan'!$F$17)&gt;0,Q$3&gt;='Hiring plan'!$G$17,Q$3&lt;=IF('Hiring plan'!$H$17="",999,'Hiring plan'!$H$17)),'Hiring plan'!$F$17,0)</f>
        <v>0</v>
      </c>
      <c r="R21" s="33" t="n">
        <f aca="false">IF(AND(N('Hiring plan'!$F$17)&gt;0,R$3&gt;='Hiring plan'!$G$17,R$3&lt;=IF('Hiring plan'!$H$17="",999,'Hiring plan'!$H$17)),'Hiring plan'!$F$17,0)</f>
        <v>0</v>
      </c>
      <c r="S21" s="33" t="n">
        <f aca="false">IF(AND(N('Hiring plan'!$F$17)&gt;0,S$3&gt;='Hiring plan'!$G$17,S$3&lt;=IF('Hiring plan'!$H$17="",999,'Hiring plan'!$H$17)),'Hiring plan'!$F$17,0)</f>
        <v>0</v>
      </c>
      <c r="T21" s="33" t="n">
        <f aca="false">IF(AND(N('Hiring plan'!$F$17)&gt;0,T$3&gt;='Hiring plan'!$G$17,T$3&lt;=IF('Hiring plan'!$H$17="",999,'Hiring plan'!$H$17)),'Hiring plan'!$F$17,0)</f>
        <v>0</v>
      </c>
      <c r="U21" s="33" t="n">
        <f aca="false">IF(AND(N('Hiring plan'!$F$17)&gt;0,U$3&gt;='Hiring plan'!$G$17,U$3&lt;=IF('Hiring plan'!$H$17="",999,'Hiring plan'!$H$17)),'Hiring plan'!$F$17,0)</f>
        <v>0</v>
      </c>
      <c r="V21" s="33" t="n">
        <f aca="false">IF(AND(N('Hiring plan'!$F$17)&gt;0,V$3&gt;='Hiring plan'!$G$17,V$3&lt;=IF('Hiring plan'!$H$17="",999,'Hiring plan'!$H$17)),'Hiring plan'!$F$17,0)</f>
        <v>0</v>
      </c>
      <c r="W21" s="33" t="n">
        <f aca="false">IF(AND(N('Hiring plan'!$F$17)&gt;0,W$3&gt;='Hiring plan'!$G$17,W$3&lt;=IF('Hiring plan'!$H$17="",999,'Hiring plan'!$H$17)),'Hiring plan'!$F$17,0)</f>
        <v>0</v>
      </c>
      <c r="X21" s="33" t="n">
        <f aca="false">IF(AND(N('Hiring plan'!$F$17)&gt;0,X$3&gt;='Hiring plan'!$G$17,X$3&lt;=IF('Hiring plan'!$H$17="",999,'Hiring plan'!$H$17)),'Hiring plan'!$F$17,0)</f>
        <v>0</v>
      </c>
      <c r="Y21" s="33" t="n">
        <f aca="false">IF(AND(N('Hiring plan'!$F$17)&gt;0,Y$3&gt;='Hiring plan'!$G$17,Y$3&lt;=IF('Hiring plan'!$H$17="",999,'Hiring plan'!$H$17)),'Hiring plan'!$F$17,0)</f>
        <v>0</v>
      </c>
      <c r="Z21" s="33" t="n">
        <f aca="false">IF(AND(N('Hiring plan'!$F$17)&gt;0,Z$3&gt;='Hiring plan'!$G$17,Z$3&lt;=IF('Hiring plan'!$H$17="",999,'Hiring plan'!$H$17)),'Hiring plan'!$F$17,0)</f>
        <v>0</v>
      </c>
      <c r="AA21" s="33" t="n">
        <f aca="false">IF(AND(N('Hiring plan'!$F$17)&gt;0,AA$3&gt;='Hiring plan'!$G$17,AA$3&lt;=IF('Hiring plan'!$H$17="",999,'Hiring plan'!$H$17)),'Hiring plan'!$F$17,0)</f>
        <v>0</v>
      </c>
      <c r="AB21" s="33" t="n">
        <f aca="false">IF(AND(N('Hiring plan'!$F$17)&gt;0,AB$3&gt;='Hiring plan'!$G$17,AB$3&lt;=IF('Hiring plan'!$H$17="",999,'Hiring plan'!$H$17)),'Hiring plan'!$F$17,0)</f>
        <v>0</v>
      </c>
      <c r="AC21" s="33" t="n">
        <f aca="false">IF(AND(N('Hiring plan'!$F$17)&gt;0,AC$3&gt;='Hiring plan'!$G$17,AC$3&lt;=IF('Hiring plan'!$H$17="",999,'Hiring plan'!$H$17)),'Hiring plan'!$F$17,0)</f>
        <v>0</v>
      </c>
      <c r="AD21" s="33" t="n">
        <f aca="false">IF(AND(N('Hiring plan'!$F$17)&gt;0,AD$3&gt;='Hiring plan'!$G$17,AD$3&lt;=IF('Hiring plan'!$H$17="",999,'Hiring plan'!$H$17)),'Hiring plan'!$F$17,0)</f>
        <v>0</v>
      </c>
      <c r="AE21" s="33" t="n">
        <f aca="false">IF(AND(N('Hiring plan'!$F$17)&gt;0,AE$3&gt;='Hiring plan'!$G$17,AE$3&lt;=IF('Hiring plan'!$H$17="",999,'Hiring plan'!$H$17)),'Hiring plan'!$F$17,0)</f>
        <v>0</v>
      </c>
      <c r="AF21" s="33" t="n">
        <f aca="false">IF(AND(N('Hiring plan'!$F$17)&gt;0,AF$3&gt;='Hiring plan'!$G$17,AF$3&lt;=IF('Hiring plan'!$H$17="",999,'Hiring plan'!$H$17)),'Hiring plan'!$F$17,0)</f>
        <v>0</v>
      </c>
      <c r="AG21" s="33" t="n">
        <f aca="false">IF(AND(N('Hiring plan'!$F$17)&gt;0,AG$3&gt;='Hiring plan'!$G$17,AG$3&lt;=IF('Hiring plan'!$H$17="",999,'Hiring plan'!$H$17)),'Hiring plan'!$F$17,0)</f>
        <v>0</v>
      </c>
      <c r="AH21" s="33" t="n">
        <f aca="false">IF(AND(N('Hiring plan'!$F$17)&gt;0,AH$3&gt;='Hiring plan'!$G$17,AH$3&lt;=IF('Hiring plan'!$H$17="",999,'Hiring plan'!$H$17)),'Hiring plan'!$F$17,0)</f>
        <v>0</v>
      </c>
      <c r="AI21" s="33" t="n">
        <f aca="false">IF(AND(N('Hiring plan'!$F$17)&gt;0,AI$3&gt;='Hiring plan'!$G$17,AI$3&lt;=IF('Hiring plan'!$H$17="",999,'Hiring plan'!$H$17)),'Hiring plan'!$F$17,0)</f>
        <v>0</v>
      </c>
      <c r="AJ21" s="33" t="n">
        <f aca="false">IF(AND(N('Hiring plan'!$F$17)&gt;0,AJ$3&gt;='Hiring plan'!$G$17,AJ$3&lt;=IF('Hiring plan'!$H$17="",999,'Hiring plan'!$H$17)),'Hiring plan'!$F$17,0)</f>
        <v>0</v>
      </c>
      <c r="AK21" s="33" t="n">
        <f aca="false">IF(AND(N('Hiring plan'!$F$17)&gt;0,AK$3&gt;='Hiring plan'!$G$17,AK$3&lt;=IF('Hiring plan'!$H$17="",999,'Hiring plan'!$H$17)),'Hiring plan'!$F$17,0)</f>
        <v>0</v>
      </c>
      <c r="AL21" s="33" t="n">
        <f aca="false">IF(AND(N('Hiring plan'!$F$17)&gt;0,AL$3&gt;='Hiring plan'!$G$17,AL$3&lt;=IF('Hiring plan'!$H$17="",999,'Hiring plan'!$H$17)),'Hiring plan'!$F$17,0)</f>
        <v>0</v>
      </c>
      <c r="AM21" s="33" t="n">
        <f aca="false">IF(AND(N('Hiring plan'!$F$17)&gt;0,AM$3&gt;='Hiring plan'!$G$17,AM$3&lt;=IF('Hiring plan'!$H$17="",999,'Hiring plan'!$H$17)),'Hiring plan'!$F$17,0)</f>
        <v>0</v>
      </c>
      <c r="AN21" s="33" t="n">
        <f aca="false">IF(AND(N('Hiring plan'!$F$17)&gt;0,AN$3&gt;='Hiring plan'!$G$17,AN$3&lt;=IF('Hiring plan'!$H$17="",999,'Hiring plan'!$H$17)),'Hiring plan'!$F$17,0)</f>
        <v>0</v>
      </c>
      <c r="AO21" s="33" t="n">
        <f aca="false">IF(AND(N('Hiring plan'!$F$17)&gt;0,AO$3&gt;='Hiring plan'!$G$17,AO$3&lt;=IF('Hiring plan'!$H$17="",999,'Hiring plan'!$H$17)),'Hiring plan'!$F$17,0)</f>
        <v>0</v>
      </c>
      <c r="AP21" s="33" t="n">
        <f aca="false">IF(AND(N('Hiring plan'!$F$17)&gt;0,AP$3&gt;='Hiring plan'!$G$17,AP$3&lt;=IF('Hiring plan'!$H$17="",999,'Hiring plan'!$H$17)),'Hiring plan'!$F$17,0)</f>
        <v>0</v>
      </c>
      <c r="AQ21" s="33" t="n">
        <f aca="false">IF(AND(N('Hiring plan'!$F$17)&gt;0,AQ$3&gt;='Hiring plan'!$G$17,AQ$3&lt;=IF('Hiring plan'!$H$17="",999,'Hiring plan'!$H$17)),'Hiring plan'!$F$17,0)</f>
        <v>0</v>
      </c>
      <c r="AR21" s="33" t="n">
        <f aca="false">IF(AND(N('Hiring plan'!$F$17)&gt;0,AR$3&gt;='Hiring plan'!$G$17,AR$3&lt;=IF('Hiring plan'!$H$17="",999,'Hiring plan'!$H$17)),'Hiring plan'!$F$17,0)</f>
        <v>0</v>
      </c>
      <c r="AS21" s="33" t="n">
        <f aca="false">IF(AND(N('Hiring plan'!$F$17)&gt;0,AS$3&gt;='Hiring plan'!$G$17,AS$3&lt;=IF('Hiring plan'!$H$17="",999,'Hiring plan'!$H$17)),'Hiring plan'!$F$17,0)</f>
        <v>0</v>
      </c>
      <c r="AT21" s="33" t="n">
        <f aca="false">IF(AND(N('Hiring plan'!$F$17)&gt;0,AT$3&gt;='Hiring plan'!$G$17,AT$3&lt;=IF('Hiring plan'!$H$17="",999,'Hiring plan'!$H$17)),'Hiring plan'!$F$17,0)</f>
        <v>0</v>
      </c>
      <c r="AU21" s="33" t="n">
        <f aca="false">IF(AND(N('Hiring plan'!$F$17)&gt;0,AU$3&gt;='Hiring plan'!$G$17,AU$3&lt;=IF('Hiring plan'!$H$17="",999,'Hiring plan'!$H$17)),'Hiring plan'!$F$17,0)</f>
        <v>0</v>
      </c>
      <c r="AV21" s="33" t="n">
        <f aca="false">IF(AND(N('Hiring plan'!$F$17)&gt;0,AV$3&gt;='Hiring plan'!$G$17,AV$3&lt;=IF('Hiring plan'!$H$17="",999,'Hiring plan'!$H$17)),'Hiring plan'!$F$17,0)</f>
        <v>0</v>
      </c>
      <c r="AW21" s="33" t="n">
        <f aca="false">IF(AND(N('Hiring plan'!$F$17)&gt;0,AW$3&gt;='Hiring plan'!$G$17,AW$3&lt;=IF('Hiring plan'!$H$17="",999,'Hiring plan'!$H$17)),'Hiring plan'!$F$17,0)</f>
        <v>0</v>
      </c>
      <c r="AX21" s="33" t="n">
        <f aca="false">IF(AND(N('Hiring plan'!$F$17)&gt;0,AX$3&gt;='Hiring plan'!$G$17,AX$3&lt;=IF('Hiring plan'!$H$17="",999,'Hiring plan'!$H$17)),'Hiring plan'!$F$17,0)</f>
        <v>0</v>
      </c>
      <c r="AY21" s="33" t="n">
        <f aca="false">IF(AND(N('Hiring plan'!$F$17)&gt;0,AY$3&gt;='Hiring plan'!$G$17,AY$3&lt;=IF('Hiring plan'!$H$17="",999,'Hiring plan'!$H$17)),'Hiring plan'!$F$17,0)</f>
        <v>0</v>
      </c>
      <c r="AZ21" s="33" t="n">
        <f aca="false">IF(AND(N('Hiring plan'!$F$17)&gt;0,AZ$3&gt;='Hiring plan'!$G$17,AZ$3&lt;=IF('Hiring plan'!$H$17="",999,'Hiring plan'!$H$17)),'Hiring plan'!$F$17,0)</f>
        <v>0</v>
      </c>
      <c r="BA21" s="33" t="n">
        <f aca="false">IF(AND(N('Hiring plan'!$F$17)&gt;0,BA$3&gt;='Hiring plan'!$G$17,BA$3&lt;=IF('Hiring plan'!$H$17="",999,'Hiring plan'!$H$17)),'Hiring plan'!$F$17,0)</f>
        <v>0</v>
      </c>
      <c r="BB21" s="33" t="n">
        <f aca="false">IF(AND(N('Hiring plan'!$F$17)&gt;0,BB$3&gt;='Hiring plan'!$G$17,BB$3&lt;=IF('Hiring plan'!$H$17="",999,'Hiring plan'!$H$17)),'Hiring plan'!$F$17,0)</f>
        <v>0</v>
      </c>
      <c r="BC21" s="33" t="n">
        <f aca="false">IF(AND(N('Hiring plan'!$F$17)&gt;0,BC$3&gt;='Hiring plan'!$G$17,BC$3&lt;=IF('Hiring plan'!$H$17="",999,'Hiring plan'!$H$17)),'Hiring plan'!$F$17,0)</f>
        <v>0</v>
      </c>
      <c r="BD21" s="33" t="n">
        <f aca="false">IF(AND(N('Hiring plan'!$F$17)&gt;0,BD$3&gt;='Hiring plan'!$G$17,BD$3&lt;=IF('Hiring plan'!$H$17="",999,'Hiring plan'!$H$17)),'Hiring plan'!$F$17,0)</f>
        <v>0</v>
      </c>
      <c r="BE21" s="33" t="n">
        <f aca="false">IF(AND(N('Hiring plan'!$F$17)&gt;0,BE$3&gt;='Hiring plan'!$G$17,BE$3&lt;=IF('Hiring plan'!$H$17="",999,'Hiring plan'!$H$17)),'Hiring plan'!$F$17,0)</f>
        <v>0</v>
      </c>
      <c r="BF21" s="33" t="n">
        <f aca="false">IF(AND(N('Hiring plan'!$F$17)&gt;0,BF$3&gt;='Hiring plan'!$G$17,BF$3&lt;=IF('Hiring plan'!$H$17="",999,'Hiring plan'!$H$17)),'Hiring plan'!$F$17,0)</f>
        <v>0</v>
      </c>
      <c r="BG21" s="33" t="n">
        <f aca="false">IF(AND(N('Hiring plan'!$F$17)&gt;0,BG$3&gt;='Hiring plan'!$G$17,BG$3&lt;=IF('Hiring plan'!$H$17="",999,'Hiring plan'!$H$17)),'Hiring plan'!$F$17,0)</f>
        <v>0</v>
      </c>
      <c r="BH21" s="33" t="n">
        <f aca="false">IF(AND(N('Hiring plan'!$F$17)&gt;0,BH$3&gt;='Hiring plan'!$G$17,BH$3&lt;=IF('Hiring plan'!$H$17="",999,'Hiring plan'!$H$17)),'Hiring plan'!$F$17,0)</f>
        <v>0</v>
      </c>
      <c r="BI21" s="33" t="n">
        <f aca="false">IF(AND(N('Hiring plan'!$F$17)&gt;0,BI$3&gt;='Hiring plan'!$G$17,BI$3&lt;=IF('Hiring plan'!$H$17="",999,'Hiring plan'!$H$17)),'Hiring plan'!$F$17,0)</f>
        <v>0</v>
      </c>
      <c r="BJ21" s="33" t="n">
        <f aca="false">IF(AND(N('Hiring plan'!$F$17)&gt;0,BJ$3&gt;='Hiring plan'!$G$17,BJ$3&lt;=IF('Hiring plan'!$H$17="",999,'Hiring plan'!$H$17)),'Hiring plan'!$F$17,0)</f>
        <v>0</v>
      </c>
      <c r="BK21" s="33" t="n">
        <f aca="false">IF(AND(N('Hiring plan'!$F$17)&gt;0,BK$3&gt;='Hiring plan'!$G$17,BK$3&lt;=IF('Hiring plan'!$H$17="",999,'Hiring plan'!$H$17)),'Hiring plan'!$F$17,0)</f>
        <v>0</v>
      </c>
      <c r="BL21" s="33" t="n">
        <f aca="false">IF(AND(N('Hiring plan'!$F$17)&gt;0,BL$3&gt;='Hiring plan'!$G$17,BL$3&lt;=IF('Hiring plan'!$H$17="",999,'Hiring plan'!$H$17)),'Hiring plan'!$F$17,0)</f>
        <v>0</v>
      </c>
    </row>
    <row r="22" customFormat="false" ht="15" hidden="false" customHeight="true" outlineLevel="0" collapsed="false">
      <c r="A22" s="13" t="str">
        <f aca="false">IF('Hiring plan'!$C$18="","(spare line 14)",'Hiring plan'!$C$18&amp;" · "&amp;'Hiring plan'!$D$18)</f>
        <v>(spare line 14)</v>
      </c>
      <c r="B22" s="15" t="s">
        <v>92</v>
      </c>
      <c r="D22" s="56" t="n">
        <f aca="false">MAX(E22:BL22)</f>
        <v>0</v>
      </c>
      <c r="E22" s="33" t="n">
        <f aca="false">IF(AND(N('Hiring plan'!$F$18)&gt;0,E$3&gt;='Hiring plan'!$G$18,E$3&lt;=IF('Hiring plan'!$H$18="",999,'Hiring plan'!$H$18)),'Hiring plan'!$F$18,0)</f>
        <v>0</v>
      </c>
      <c r="F22" s="33" t="n">
        <f aca="false">IF(AND(N('Hiring plan'!$F$18)&gt;0,F$3&gt;='Hiring plan'!$G$18,F$3&lt;=IF('Hiring plan'!$H$18="",999,'Hiring plan'!$H$18)),'Hiring plan'!$F$18,0)</f>
        <v>0</v>
      </c>
      <c r="G22" s="33" t="n">
        <f aca="false">IF(AND(N('Hiring plan'!$F$18)&gt;0,G$3&gt;='Hiring plan'!$G$18,G$3&lt;=IF('Hiring plan'!$H$18="",999,'Hiring plan'!$H$18)),'Hiring plan'!$F$18,0)</f>
        <v>0</v>
      </c>
      <c r="H22" s="33" t="n">
        <f aca="false">IF(AND(N('Hiring plan'!$F$18)&gt;0,H$3&gt;='Hiring plan'!$G$18,H$3&lt;=IF('Hiring plan'!$H$18="",999,'Hiring plan'!$H$18)),'Hiring plan'!$F$18,0)</f>
        <v>0</v>
      </c>
      <c r="I22" s="33" t="n">
        <f aca="false">IF(AND(N('Hiring plan'!$F$18)&gt;0,I$3&gt;='Hiring plan'!$G$18,I$3&lt;=IF('Hiring plan'!$H$18="",999,'Hiring plan'!$H$18)),'Hiring plan'!$F$18,0)</f>
        <v>0</v>
      </c>
      <c r="J22" s="33" t="n">
        <f aca="false">IF(AND(N('Hiring plan'!$F$18)&gt;0,J$3&gt;='Hiring plan'!$G$18,J$3&lt;=IF('Hiring plan'!$H$18="",999,'Hiring plan'!$H$18)),'Hiring plan'!$F$18,0)</f>
        <v>0</v>
      </c>
      <c r="K22" s="33" t="n">
        <f aca="false">IF(AND(N('Hiring plan'!$F$18)&gt;0,K$3&gt;='Hiring plan'!$G$18,K$3&lt;=IF('Hiring plan'!$H$18="",999,'Hiring plan'!$H$18)),'Hiring plan'!$F$18,0)</f>
        <v>0</v>
      </c>
      <c r="L22" s="33" t="n">
        <f aca="false">IF(AND(N('Hiring plan'!$F$18)&gt;0,L$3&gt;='Hiring plan'!$G$18,L$3&lt;=IF('Hiring plan'!$H$18="",999,'Hiring plan'!$H$18)),'Hiring plan'!$F$18,0)</f>
        <v>0</v>
      </c>
      <c r="M22" s="33" t="n">
        <f aca="false">IF(AND(N('Hiring plan'!$F$18)&gt;0,M$3&gt;='Hiring plan'!$G$18,M$3&lt;=IF('Hiring plan'!$H$18="",999,'Hiring plan'!$H$18)),'Hiring plan'!$F$18,0)</f>
        <v>0</v>
      </c>
      <c r="N22" s="33" t="n">
        <f aca="false">IF(AND(N('Hiring plan'!$F$18)&gt;0,N$3&gt;='Hiring plan'!$G$18,N$3&lt;=IF('Hiring plan'!$H$18="",999,'Hiring plan'!$H$18)),'Hiring plan'!$F$18,0)</f>
        <v>0</v>
      </c>
      <c r="O22" s="33" t="n">
        <f aca="false">IF(AND(N('Hiring plan'!$F$18)&gt;0,O$3&gt;='Hiring plan'!$G$18,O$3&lt;=IF('Hiring plan'!$H$18="",999,'Hiring plan'!$H$18)),'Hiring plan'!$F$18,0)</f>
        <v>0</v>
      </c>
      <c r="P22" s="33" t="n">
        <f aca="false">IF(AND(N('Hiring plan'!$F$18)&gt;0,P$3&gt;='Hiring plan'!$G$18,P$3&lt;=IF('Hiring plan'!$H$18="",999,'Hiring plan'!$H$18)),'Hiring plan'!$F$18,0)</f>
        <v>0</v>
      </c>
      <c r="Q22" s="33" t="n">
        <f aca="false">IF(AND(N('Hiring plan'!$F$18)&gt;0,Q$3&gt;='Hiring plan'!$G$18,Q$3&lt;=IF('Hiring plan'!$H$18="",999,'Hiring plan'!$H$18)),'Hiring plan'!$F$18,0)</f>
        <v>0</v>
      </c>
      <c r="R22" s="33" t="n">
        <f aca="false">IF(AND(N('Hiring plan'!$F$18)&gt;0,R$3&gt;='Hiring plan'!$G$18,R$3&lt;=IF('Hiring plan'!$H$18="",999,'Hiring plan'!$H$18)),'Hiring plan'!$F$18,0)</f>
        <v>0</v>
      </c>
      <c r="S22" s="33" t="n">
        <f aca="false">IF(AND(N('Hiring plan'!$F$18)&gt;0,S$3&gt;='Hiring plan'!$G$18,S$3&lt;=IF('Hiring plan'!$H$18="",999,'Hiring plan'!$H$18)),'Hiring plan'!$F$18,0)</f>
        <v>0</v>
      </c>
      <c r="T22" s="33" t="n">
        <f aca="false">IF(AND(N('Hiring plan'!$F$18)&gt;0,T$3&gt;='Hiring plan'!$G$18,T$3&lt;=IF('Hiring plan'!$H$18="",999,'Hiring plan'!$H$18)),'Hiring plan'!$F$18,0)</f>
        <v>0</v>
      </c>
      <c r="U22" s="33" t="n">
        <f aca="false">IF(AND(N('Hiring plan'!$F$18)&gt;0,U$3&gt;='Hiring plan'!$G$18,U$3&lt;=IF('Hiring plan'!$H$18="",999,'Hiring plan'!$H$18)),'Hiring plan'!$F$18,0)</f>
        <v>0</v>
      </c>
      <c r="V22" s="33" t="n">
        <f aca="false">IF(AND(N('Hiring plan'!$F$18)&gt;0,V$3&gt;='Hiring plan'!$G$18,V$3&lt;=IF('Hiring plan'!$H$18="",999,'Hiring plan'!$H$18)),'Hiring plan'!$F$18,0)</f>
        <v>0</v>
      </c>
      <c r="W22" s="33" t="n">
        <f aca="false">IF(AND(N('Hiring plan'!$F$18)&gt;0,W$3&gt;='Hiring plan'!$G$18,W$3&lt;=IF('Hiring plan'!$H$18="",999,'Hiring plan'!$H$18)),'Hiring plan'!$F$18,0)</f>
        <v>0</v>
      </c>
      <c r="X22" s="33" t="n">
        <f aca="false">IF(AND(N('Hiring plan'!$F$18)&gt;0,X$3&gt;='Hiring plan'!$G$18,X$3&lt;=IF('Hiring plan'!$H$18="",999,'Hiring plan'!$H$18)),'Hiring plan'!$F$18,0)</f>
        <v>0</v>
      </c>
      <c r="Y22" s="33" t="n">
        <f aca="false">IF(AND(N('Hiring plan'!$F$18)&gt;0,Y$3&gt;='Hiring plan'!$G$18,Y$3&lt;=IF('Hiring plan'!$H$18="",999,'Hiring plan'!$H$18)),'Hiring plan'!$F$18,0)</f>
        <v>0</v>
      </c>
      <c r="Z22" s="33" t="n">
        <f aca="false">IF(AND(N('Hiring plan'!$F$18)&gt;0,Z$3&gt;='Hiring plan'!$G$18,Z$3&lt;=IF('Hiring plan'!$H$18="",999,'Hiring plan'!$H$18)),'Hiring plan'!$F$18,0)</f>
        <v>0</v>
      </c>
      <c r="AA22" s="33" t="n">
        <f aca="false">IF(AND(N('Hiring plan'!$F$18)&gt;0,AA$3&gt;='Hiring plan'!$G$18,AA$3&lt;=IF('Hiring plan'!$H$18="",999,'Hiring plan'!$H$18)),'Hiring plan'!$F$18,0)</f>
        <v>0</v>
      </c>
      <c r="AB22" s="33" t="n">
        <f aca="false">IF(AND(N('Hiring plan'!$F$18)&gt;0,AB$3&gt;='Hiring plan'!$G$18,AB$3&lt;=IF('Hiring plan'!$H$18="",999,'Hiring plan'!$H$18)),'Hiring plan'!$F$18,0)</f>
        <v>0</v>
      </c>
      <c r="AC22" s="33" t="n">
        <f aca="false">IF(AND(N('Hiring plan'!$F$18)&gt;0,AC$3&gt;='Hiring plan'!$G$18,AC$3&lt;=IF('Hiring plan'!$H$18="",999,'Hiring plan'!$H$18)),'Hiring plan'!$F$18,0)</f>
        <v>0</v>
      </c>
      <c r="AD22" s="33" t="n">
        <f aca="false">IF(AND(N('Hiring plan'!$F$18)&gt;0,AD$3&gt;='Hiring plan'!$G$18,AD$3&lt;=IF('Hiring plan'!$H$18="",999,'Hiring plan'!$H$18)),'Hiring plan'!$F$18,0)</f>
        <v>0</v>
      </c>
      <c r="AE22" s="33" t="n">
        <f aca="false">IF(AND(N('Hiring plan'!$F$18)&gt;0,AE$3&gt;='Hiring plan'!$G$18,AE$3&lt;=IF('Hiring plan'!$H$18="",999,'Hiring plan'!$H$18)),'Hiring plan'!$F$18,0)</f>
        <v>0</v>
      </c>
      <c r="AF22" s="33" t="n">
        <f aca="false">IF(AND(N('Hiring plan'!$F$18)&gt;0,AF$3&gt;='Hiring plan'!$G$18,AF$3&lt;=IF('Hiring plan'!$H$18="",999,'Hiring plan'!$H$18)),'Hiring plan'!$F$18,0)</f>
        <v>0</v>
      </c>
      <c r="AG22" s="33" t="n">
        <f aca="false">IF(AND(N('Hiring plan'!$F$18)&gt;0,AG$3&gt;='Hiring plan'!$G$18,AG$3&lt;=IF('Hiring plan'!$H$18="",999,'Hiring plan'!$H$18)),'Hiring plan'!$F$18,0)</f>
        <v>0</v>
      </c>
      <c r="AH22" s="33" t="n">
        <f aca="false">IF(AND(N('Hiring plan'!$F$18)&gt;0,AH$3&gt;='Hiring plan'!$G$18,AH$3&lt;=IF('Hiring plan'!$H$18="",999,'Hiring plan'!$H$18)),'Hiring plan'!$F$18,0)</f>
        <v>0</v>
      </c>
      <c r="AI22" s="33" t="n">
        <f aca="false">IF(AND(N('Hiring plan'!$F$18)&gt;0,AI$3&gt;='Hiring plan'!$G$18,AI$3&lt;=IF('Hiring plan'!$H$18="",999,'Hiring plan'!$H$18)),'Hiring plan'!$F$18,0)</f>
        <v>0</v>
      </c>
      <c r="AJ22" s="33" t="n">
        <f aca="false">IF(AND(N('Hiring plan'!$F$18)&gt;0,AJ$3&gt;='Hiring plan'!$G$18,AJ$3&lt;=IF('Hiring plan'!$H$18="",999,'Hiring plan'!$H$18)),'Hiring plan'!$F$18,0)</f>
        <v>0</v>
      </c>
      <c r="AK22" s="33" t="n">
        <f aca="false">IF(AND(N('Hiring plan'!$F$18)&gt;0,AK$3&gt;='Hiring plan'!$G$18,AK$3&lt;=IF('Hiring plan'!$H$18="",999,'Hiring plan'!$H$18)),'Hiring plan'!$F$18,0)</f>
        <v>0</v>
      </c>
      <c r="AL22" s="33" t="n">
        <f aca="false">IF(AND(N('Hiring plan'!$F$18)&gt;0,AL$3&gt;='Hiring plan'!$G$18,AL$3&lt;=IF('Hiring plan'!$H$18="",999,'Hiring plan'!$H$18)),'Hiring plan'!$F$18,0)</f>
        <v>0</v>
      </c>
      <c r="AM22" s="33" t="n">
        <f aca="false">IF(AND(N('Hiring plan'!$F$18)&gt;0,AM$3&gt;='Hiring plan'!$G$18,AM$3&lt;=IF('Hiring plan'!$H$18="",999,'Hiring plan'!$H$18)),'Hiring plan'!$F$18,0)</f>
        <v>0</v>
      </c>
      <c r="AN22" s="33" t="n">
        <f aca="false">IF(AND(N('Hiring plan'!$F$18)&gt;0,AN$3&gt;='Hiring plan'!$G$18,AN$3&lt;=IF('Hiring plan'!$H$18="",999,'Hiring plan'!$H$18)),'Hiring plan'!$F$18,0)</f>
        <v>0</v>
      </c>
      <c r="AO22" s="33" t="n">
        <f aca="false">IF(AND(N('Hiring plan'!$F$18)&gt;0,AO$3&gt;='Hiring plan'!$G$18,AO$3&lt;=IF('Hiring plan'!$H$18="",999,'Hiring plan'!$H$18)),'Hiring plan'!$F$18,0)</f>
        <v>0</v>
      </c>
      <c r="AP22" s="33" t="n">
        <f aca="false">IF(AND(N('Hiring plan'!$F$18)&gt;0,AP$3&gt;='Hiring plan'!$G$18,AP$3&lt;=IF('Hiring plan'!$H$18="",999,'Hiring plan'!$H$18)),'Hiring plan'!$F$18,0)</f>
        <v>0</v>
      </c>
      <c r="AQ22" s="33" t="n">
        <f aca="false">IF(AND(N('Hiring plan'!$F$18)&gt;0,AQ$3&gt;='Hiring plan'!$G$18,AQ$3&lt;=IF('Hiring plan'!$H$18="",999,'Hiring plan'!$H$18)),'Hiring plan'!$F$18,0)</f>
        <v>0</v>
      </c>
      <c r="AR22" s="33" t="n">
        <f aca="false">IF(AND(N('Hiring plan'!$F$18)&gt;0,AR$3&gt;='Hiring plan'!$G$18,AR$3&lt;=IF('Hiring plan'!$H$18="",999,'Hiring plan'!$H$18)),'Hiring plan'!$F$18,0)</f>
        <v>0</v>
      </c>
      <c r="AS22" s="33" t="n">
        <f aca="false">IF(AND(N('Hiring plan'!$F$18)&gt;0,AS$3&gt;='Hiring plan'!$G$18,AS$3&lt;=IF('Hiring plan'!$H$18="",999,'Hiring plan'!$H$18)),'Hiring plan'!$F$18,0)</f>
        <v>0</v>
      </c>
      <c r="AT22" s="33" t="n">
        <f aca="false">IF(AND(N('Hiring plan'!$F$18)&gt;0,AT$3&gt;='Hiring plan'!$G$18,AT$3&lt;=IF('Hiring plan'!$H$18="",999,'Hiring plan'!$H$18)),'Hiring plan'!$F$18,0)</f>
        <v>0</v>
      </c>
      <c r="AU22" s="33" t="n">
        <f aca="false">IF(AND(N('Hiring plan'!$F$18)&gt;0,AU$3&gt;='Hiring plan'!$G$18,AU$3&lt;=IF('Hiring plan'!$H$18="",999,'Hiring plan'!$H$18)),'Hiring plan'!$F$18,0)</f>
        <v>0</v>
      </c>
      <c r="AV22" s="33" t="n">
        <f aca="false">IF(AND(N('Hiring plan'!$F$18)&gt;0,AV$3&gt;='Hiring plan'!$G$18,AV$3&lt;=IF('Hiring plan'!$H$18="",999,'Hiring plan'!$H$18)),'Hiring plan'!$F$18,0)</f>
        <v>0</v>
      </c>
      <c r="AW22" s="33" t="n">
        <f aca="false">IF(AND(N('Hiring plan'!$F$18)&gt;0,AW$3&gt;='Hiring plan'!$G$18,AW$3&lt;=IF('Hiring plan'!$H$18="",999,'Hiring plan'!$H$18)),'Hiring plan'!$F$18,0)</f>
        <v>0</v>
      </c>
      <c r="AX22" s="33" t="n">
        <f aca="false">IF(AND(N('Hiring plan'!$F$18)&gt;0,AX$3&gt;='Hiring plan'!$G$18,AX$3&lt;=IF('Hiring plan'!$H$18="",999,'Hiring plan'!$H$18)),'Hiring plan'!$F$18,0)</f>
        <v>0</v>
      </c>
      <c r="AY22" s="33" t="n">
        <f aca="false">IF(AND(N('Hiring plan'!$F$18)&gt;0,AY$3&gt;='Hiring plan'!$G$18,AY$3&lt;=IF('Hiring plan'!$H$18="",999,'Hiring plan'!$H$18)),'Hiring plan'!$F$18,0)</f>
        <v>0</v>
      </c>
      <c r="AZ22" s="33" t="n">
        <f aca="false">IF(AND(N('Hiring plan'!$F$18)&gt;0,AZ$3&gt;='Hiring plan'!$G$18,AZ$3&lt;=IF('Hiring plan'!$H$18="",999,'Hiring plan'!$H$18)),'Hiring plan'!$F$18,0)</f>
        <v>0</v>
      </c>
      <c r="BA22" s="33" t="n">
        <f aca="false">IF(AND(N('Hiring plan'!$F$18)&gt;0,BA$3&gt;='Hiring plan'!$G$18,BA$3&lt;=IF('Hiring plan'!$H$18="",999,'Hiring plan'!$H$18)),'Hiring plan'!$F$18,0)</f>
        <v>0</v>
      </c>
      <c r="BB22" s="33" t="n">
        <f aca="false">IF(AND(N('Hiring plan'!$F$18)&gt;0,BB$3&gt;='Hiring plan'!$G$18,BB$3&lt;=IF('Hiring plan'!$H$18="",999,'Hiring plan'!$H$18)),'Hiring plan'!$F$18,0)</f>
        <v>0</v>
      </c>
      <c r="BC22" s="33" t="n">
        <f aca="false">IF(AND(N('Hiring plan'!$F$18)&gt;0,BC$3&gt;='Hiring plan'!$G$18,BC$3&lt;=IF('Hiring plan'!$H$18="",999,'Hiring plan'!$H$18)),'Hiring plan'!$F$18,0)</f>
        <v>0</v>
      </c>
      <c r="BD22" s="33" t="n">
        <f aca="false">IF(AND(N('Hiring plan'!$F$18)&gt;0,BD$3&gt;='Hiring plan'!$G$18,BD$3&lt;=IF('Hiring plan'!$H$18="",999,'Hiring plan'!$H$18)),'Hiring plan'!$F$18,0)</f>
        <v>0</v>
      </c>
      <c r="BE22" s="33" t="n">
        <f aca="false">IF(AND(N('Hiring plan'!$F$18)&gt;0,BE$3&gt;='Hiring plan'!$G$18,BE$3&lt;=IF('Hiring plan'!$H$18="",999,'Hiring plan'!$H$18)),'Hiring plan'!$F$18,0)</f>
        <v>0</v>
      </c>
      <c r="BF22" s="33" t="n">
        <f aca="false">IF(AND(N('Hiring plan'!$F$18)&gt;0,BF$3&gt;='Hiring plan'!$G$18,BF$3&lt;=IF('Hiring plan'!$H$18="",999,'Hiring plan'!$H$18)),'Hiring plan'!$F$18,0)</f>
        <v>0</v>
      </c>
      <c r="BG22" s="33" t="n">
        <f aca="false">IF(AND(N('Hiring plan'!$F$18)&gt;0,BG$3&gt;='Hiring plan'!$G$18,BG$3&lt;=IF('Hiring plan'!$H$18="",999,'Hiring plan'!$H$18)),'Hiring plan'!$F$18,0)</f>
        <v>0</v>
      </c>
      <c r="BH22" s="33" t="n">
        <f aca="false">IF(AND(N('Hiring plan'!$F$18)&gt;0,BH$3&gt;='Hiring plan'!$G$18,BH$3&lt;=IF('Hiring plan'!$H$18="",999,'Hiring plan'!$H$18)),'Hiring plan'!$F$18,0)</f>
        <v>0</v>
      </c>
      <c r="BI22" s="33" t="n">
        <f aca="false">IF(AND(N('Hiring plan'!$F$18)&gt;0,BI$3&gt;='Hiring plan'!$G$18,BI$3&lt;=IF('Hiring plan'!$H$18="",999,'Hiring plan'!$H$18)),'Hiring plan'!$F$18,0)</f>
        <v>0</v>
      </c>
      <c r="BJ22" s="33" t="n">
        <f aca="false">IF(AND(N('Hiring plan'!$F$18)&gt;0,BJ$3&gt;='Hiring plan'!$G$18,BJ$3&lt;=IF('Hiring plan'!$H$18="",999,'Hiring plan'!$H$18)),'Hiring plan'!$F$18,0)</f>
        <v>0</v>
      </c>
      <c r="BK22" s="33" t="n">
        <f aca="false">IF(AND(N('Hiring plan'!$F$18)&gt;0,BK$3&gt;='Hiring plan'!$G$18,BK$3&lt;=IF('Hiring plan'!$H$18="",999,'Hiring plan'!$H$18)),'Hiring plan'!$F$18,0)</f>
        <v>0</v>
      </c>
      <c r="BL22" s="33" t="n">
        <f aca="false">IF(AND(N('Hiring plan'!$F$18)&gt;0,BL$3&gt;='Hiring plan'!$G$18,BL$3&lt;=IF('Hiring plan'!$H$18="",999,'Hiring plan'!$H$18)),'Hiring plan'!$F$18,0)</f>
        <v>0</v>
      </c>
    </row>
    <row r="23" customFormat="false" ht="15" hidden="false" customHeight="true" outlineLevel="0" collapsed="false">
      <c r="A23" s="13" t="str">
        <f aca="false">IF('Hiring plan'!$C$19="","(spare line 15)",'Hiring plan'!$C$19&amp;" · "&amp;'Hiring plan'!$D$19)</f>
        <v>(spare line 15)</v>
      </c>
      <c r="B23" s="15" t="s">
        <v>92</v>
      </c>
      <c r="D23" s="56" t="n">
        <f aca="false">MAX(E23:BL23)</f>
        <v>0</v>
      </c>
      <c r="E23" s="33" t="n">
        <f aca="false">IF(AND(N('Hiring plan'!$F$19)&gt;0,E$3&gt;='Hiring plan'!$G$19,E$3&lt;=IF('Hiring plan'!$H$19="",999,'Hiring plan'!$H$19)),'Hiring plan'!$F$19,0)</f>
        <v>0</v>
      </c>
      <c r="F23" s="33" t="n">
        <f aca="false">IF(AND(N('Hiring plan'!$F$19)&gt;0,F$3&gt;='Hiring plan'!$G$19,F$3&lt;=IF('Hiring plan'!$H$19="",999,'Hiring plan'!$H$19)),'Hiring plan'!$F$19,0)</f>
        <v>0</v>
      </c>
      <c r="G23" s="33" t="n">
        <f aca="false">IF(AND(N('Hiring plan'!$F$19)&gt;0,G$3&gt;='Hiring plan'!$G$19,G$3&lt;=IF('Hiring plan'!$H$19="",999,'Hiring plan'!$H$19)),'Hiring plan'!$F$19,0)</f>
        <v>0</v>
      </c>
      <c r="H23" s="33" t="n">
        <f aca="false">IF(AND(N('Hiring plan'!$F$19)&gt;0,H$3&gt;='Hiring plan'!$G$19,H$3&lt;=IF('Hiring plan'!$H$19="",999,'Hiring plan'!$H$19)),'Hiring plan'!$F$19,0)</f>
        <v>0</v>
      </c>
      <c r="I23" s="33" t="n">
        <f aca="false">IF(AND(N('Hiring plan'!$F$19)&gt;0,I$3&gt;='Hiring plan'!$G$19,I$3&lt;=IF('Hiring plan'!$H$19="",999,'Hiring plan'!$H$19)),'Hiring plan'!$F$19,0)</f>
        <v>0</v>
      </c>
      <c r="J23" s="33" t="n">
        <f aca="false">IF(AND(N('Hiring plan'!$F$19)&gt;0,J$3&gt;='Hiring plan'!$G$19,J$3&lt;=IF('Hiring plan'!$H$19="",999,'Hiring plan'!$H$19)),'Hiring plan'!$F$19,0)</f>
        <v>0</v>
      </c>
      <c r="K23" s="33" t="n">
        <f aca="false">IF(AND(N('Hiring plan'!$F$19)&gt;0,K$3&gt;='Hiring plan'!$G$19,K$3&lt;=IF('Hiring plan'!$H$19="",999,'Hiring plan'!$H$19)),'Hiring plan'!$F$19,0)</f>
        <v>0</v>
      </c>
      <c r="L23" s="33" t="n">
        <f aca="false">IF(AND(N('Hiring plan'!$F$19)&gt;0,L$3&gt;='Hiring plan'!$G$19,L$3&lt;=IF('Hiring plan'!$H$19="",999,'Hiring plan'!$H$19)),'Hiring plan'!$F$19,0)</f>
        <v>0</v>
      </c>
      <c r="M23" s="33" t="n">
        <f aca="false">IF(AND(N('Hiring plan'!$F$19)&gt;0,M$3&gt;='Hiring plan'!$G$19,M$3&lt;=IF('Hiring plan'!$H$19="",999,'Hiring plan'!$H$19)),'Hiring plan'!$F$19,0)</f>
        <v>0</v>
      </c>
      <c r="N23" s="33" t="n">
        <f aca="false">IF(AND(N('Hiring plan'!$F$19)&gt;0,N$3&gt;='Hiring plan'!$G$19,N$3&lt;=IF('Hiring plan'!$H$19="",999,'Hiring plan'!$H$19)),'Hiring plan'!$F$19,0)</f>
        <v>0</v>
      </c>
      <c r="O23" s="33" t="n">
        <f aca="false">IF(AND(N('Hiring plan'!$F$19)&gt;0,O$3&gt;='Hiring plan'!$G$19,O$3&lt;=IF('Hiring plan'!$H$19="",999,'Hiring plan'!$H$19)),'Hiring plan'!$F$19,0)</f>
        <v>0</v>
      </c>
      <c r="P23" s="33" t="n">
        <f aca="false">IF(AND(N('Hiring plan'!$F$19)&gt;0,P$3&gt;='Hiring plan'!$G$19,P$3&lt;=IF('Hiring plan'!$H$19="",999,'Hiring plan'!$H$19)),'Hiring plan'!$F$19,0)</f>
        <v>0</v>
      </c>
      <c r="Q23" s="33" t="n">
        <f aca="false">IF(AND(N('Hiring plan'!$F$19)&gt;0,Q$3&gt;='Hiring plan'!$G$19,Q$3&lt;=IF('Hiring plan'!$H$19="",999,'Hiring plan'!$H$19)),'Hiring plan'!$F$19,0)</f>
        <v>0</v>
      </c>
      <c r="R23" s="33" t="n">
        <f aca="false">IF(AND(N('Hiring plan'!$F$19)&gt;0,R$3&gt;='Hiring plan'!$G$19,R$3&lt;=IF('Hiring plan'!$H$19="",999,'Hiring plan'!$H$19)),'Hiring plan'!$F$19,0)</f>
        <v>0</v>
      </c>
      <c r="S23" s="33" t="n">
        <f aca="false">IF(AND(N('Hiring plan'!$F$19)&gt;0,S$3&gt;='Hiring plan'!$G$19,S$3&lt;=IF('Hiring plan'!$H$19="",999,'Hiring plan'!$H$19)),'Hiring plan'!$F$19,0)</f>
        <v>0</v>
      </c>
      <c r="T23" s="33" t="n">
        <f aca="false">IF(AND(N('Hiring plan'!$F$19)&gt;0,T$3&gt;='Hiring plan'!$G$19,T$3&lt;=IF('Hiring plan'!$H$19="",999,'Hiring plan'!$H$19)),'Hiring plan'!$F$19,0)</f>
        <v>0</v>
      </c>
      <c r="U23" s="33" t="n">
        <f aca="false">IF(AND(N('Hiring plan'!$F$19)&gt;0,U$3&gt;='Hiring plan'!$G$19,U$3&lt;=IF('Hiring plan'!$H$19="",999,'Hiring plan'!$H$19)),'Hiring plan'!$F$19,0)</f>
        <v>0</v>
      </c>
      <c r="V23" s="33" t="n">
        <f aca="false">IF(AND(N('Hiring plan'!$F$19)&gt;0,V$3&gt;='Hiring plan'!$G$19,V$3&lt;=IF('Hiring plan'!$H$19="",999,'Hiring plan'!$H$19)),'Hiring plan'!$F$19,0)</f>
        <v>0</v>
      </c>
      <c r="W23" s="33" t="n">
        <f aca="false">IF(AND(N('Hiring plan'!$F$19)&gt;0,W$3&gt;='Hiring plan'!$G$19,W$3&lt;=IF('Hiring plan'!$H$19="",999,'Hiring plan'!$H$19)),'Hiring plan'!$F$19,0)</f>
        <v>0</v>
      </c>
      <c r="X23" s="33" t="n">
        <f aca="false">IF(AND(N('Hiring plan'!$F$19)&gt;0,X$3&gt;='Hiring plan'!$G$19,X$3&lt;=IF('Hiring plan'!$H$19="",999,'Hiring plan'!$H$19)),'Hiring plan'!$F$19,0)</f>
        <v>0</v>
      </c>
      <c r="Y23" s="33" t="n">
        <f aca="false">IF(AND(N('Hiring plan'!$F$19)&gt;0,Y$3&gt;='Hiring plan'!$G$19,Y$3&lt;=IF('Hiring plan'!$H$19="",999,'Hiring plan'!$H$19)),'Hiring plan'!$F$19,0)</f>
        <v>0</v>
      </c>
      <c r="Z23" s="33" t="n">
        <f aca="false">IF(AND(N('Hiring plan'!$F$19)&gt;0,Z$3&gt;='Hiring plan'!$G$19,Z$3&lt;=IF('Hiring plan'!$H$19="",999,'Hiring plan'!$H$19)),'Hiring plan'!$F$19,0)</f>
        <v>0</v>
      </c>
      <c r="AA23" s="33" t="n">
        <f aca="false">IF(AND(N('Hiring plan'!$F$19)&gt;0,AA$3&gt;='Hiring plan'!$G$19,AA$3&lt;=IF('Hiring plan'!$H$19="",999,'Hiring plan'!$H$19)),'Hiring plan'!$F$19,0)</f>
        <v>0</v>
      </c>
      <c r="AB23" s="33" t="n">
        <f aca="false">IF(AND(N('Hiring plan'!$F$19)&gt;0,AB$3&gt;='Hiring plan'!$G$19,AB$3&lt;=IF('Hiring plan'!$H$19="",999,'Hiring plan'!$H$19)),'Hiring plan'!$F$19,0)</f>
        <v>0</v>
      </c>
      <c r="AC23" s="33" t="n">
        <f aca="false">IF(AND(N('Hiring plan'!$F$19)&gt;0,AC$3&gt;='Hiring plan'!$G$19,AC$3&lt;=IF('Hiring plan'!$H$19="",999,'Hiring plan'!$H$19)),'Hiring plan'!$F$19,0)</f>
        <v>0</v>
      </c>
      <c r="AD23" s="33" t="n">
        <f aca="false">IF(AND(N('Hiring plan'!$F$19)&gt;0,AD$3&gt;='Hiring plan'!$G$19,AD$3&lt;=IF('Hiring plan'!$H$19="",999,'Hiring plan'!$H$19)),'Hiring plan'!$F$19,0)</f>
        <v>0</v>
      </c>
      <c r="AE23" s="33" t="n">
        <f aca="false">IF(AND(N('Hiring plan'!$F$19)&gt;0,AE$3&gt;='Hiring plan'!$G$19,AE$3&lt;=IF('Hiring plan'!$H$19="",999,'Hiring plan'!$H$19)),'Hiring plan'!$F$19,0)</f>
        <v>0</v>
      </c>
      <c r="AF23" s="33" t="n">
        <f aca="false">IF(AND(N('Hiring plan'!$F$19)&gt;0,AF$3&gt;='Hiring plan'!$G$19,AF$3&lt;=IF('Hiring plan'!$H$19="",999,'Hiring plan'!$H$19)),'Hiring plan'!$F$19,0)</f>
        <v>0</v>
      </c>
      <c r="AG23" s="33" t="n">
        <f aca="false">IF(AND(N('Hiring plan'!$F$19)&gt;0,AG$3&gt;='Hiring plan'!$G$19,AG$3&lt;=IF('Hiring plan'!$H$19="",999,'Hiring plan'!$H$19)),'Hiring plan'!$F$19,0)</f>
        <v>0</v>
      </c>
      <c r="AH23" s="33" t="n">
        <f aca="false">IF(AND(N('Hiring plan'!$F$19)&gt;0,AH$3&gt;='Hiring plan'!$G$19,AH$3&lt;=IF('Hiring plan'!$H$19="",999,'Hiring plan'!$H$19)),'Hiring plan'!$F$19,0)</f>
        <v>0</v>
      </c>
      <c r="AI23" s="33" t="n">
        <f aca="false">IF(AND(N('Hiring plan'!$F$19)&gt;0,AI$3&gt;='Hiring plan'!$G$19,AI$3&lt;=IF('Hiring plan'!$H$19="",999,'Hiring plan'!$H$19)),'Hiring plan'!$F$19,0)</f>
        <v>0</v>
      </c>
      <c r="AJ23" s="33" t="n">
        <f aca="false">IF(AND(N('Hiring plan'!$F$19)&gt;0,AJ$3&gt;='Hiring plan'!$G$19,AJ$3&lt;=IF('Hiring plan'!$H$19="",999,'Hiring plan'!$H$19)),'Hiring plan'!$F$19,0)</f>
        <v>0</v>
      </c>
      <c r="AK23" s="33" t="n">
        <f aca="false">IF(AND(N('Hiring plan'!$F$19)&gt;0,AK$3&gt;='Hiring plan'!$G$19,AK$3&lt;=IF('Hiring plan'!$H$19="",999,'Hiring plan'!$H$19)),'Hiring plan'!$F$19,0)</f>
        <v>0</v>
      </c>
      <c r="AL23" s="33" t="n">
        <f aca="false">IF(AND(N('Hiring plan'!$F$19)&gt;0,AL$3&gt;='Hiring plan'!$G$19,AL$3&lt;=IF('Hiring plan'!$H$19="",999,'Hiring plan'!$H$19)),'Hiring plan'!$F$19,0)</f>
        <v>0</v>
      </c>
      <c r="AM23" s="33" t="n">
        <f aca="false">IF(AND(N('Hiring plan'!$F$19)&gt;0,AM$3&gt;='Hiring plan'!$G$19,AM$3&lt;=IF('Hiring plan'!$H$19="",999,'Hiring plan'!$H$19)),'Hiring plan'!$F$19,0)</f>
        <v>0</v>
      </c>
      <c r="AN23" s="33" t="n">
        <f aca="false">IF(AND(N('Hiring plan'!$F$19)&gt;0,AN$3&gt;='Hiring plan'!$G$19,AN$3&lt;=IF('Hiring plan'!$H$19="",999,'Hiring plan'!$H$19)),'Hiring plan'!$F$19,0)</f>
        <v>0</v>
      </c>
      <c r="AO23" s="33" t="n">
        <f aca="false">IF(AND(N('Hiring plan'!$F$19)&gt;0,AO$3&gt;='Hiring plan'!$G$19,AO$3&lt;=IF('Hiring plan'!$H$19="",999,'Hiring plan'!$H$19)),'Hiring plan'!$F$19,0)</f>
        <v>0</v>
      </c>
      <c r="AP23" s="33" t="n">
        <f aca="false">IF(AND(N('Hiring plan'!$F$19)&gt;0,AP$3&gt;='Hiring plan'!$G$19,AP$3&lt;=IF('Hiring plan'!$H$19="",999,'Hiring plan'!$H$19)),'Hiring plan'!$F$19,0)</f>
        <v>0</v>
      </c>
      <c r="AQ23" s="33" t="n">
        <f aca="false">IF(AND(N('Hiring plan'!$F$19)&gt;0,AQ$3&gt;='Hiring plan'!$G$19,AQ$3&lt;=IF('Hiring plan'!$H$19="",999,'Hiring plan'!$H$19)),'Hiring plan'!$F$19,0)</f>
        <v>0</v>
      </c>
      <c r="AR23" s="33" t="n">
        <f aca="false">IF(AND(N('Hiring plan'!$F$19)&gt;0,AR$3&gt;='Hiring plan'!$G$19,AR$3&lt;=IF('Hiring plan'!$H$19="",999,'Hiring plan'!$H$19)),'Hiring plan'!$F$19,0)</f>
        <v>0</v>
      </c>
      <c r="AS23" s="33" t="n">
        <f aca="false">IF(AND(N('Hiring plan'!$F$19)&gt;0,AS$3&gt;='Hiring plan'!$G$19,AS$3&lt;=IF('Hiring plan'!$H$19="",999,'Hiring plan'!$H$19)),'Hiring plan'!$F$19,0)</f>
        <v>0</v>
      </c>
      <c r="AT23" s="33" t="n">
        <f aca="false">IF(AND(N('Hiring plan'!$F$19)&gt;0,AT$3&gt;='Hiring plan'!$G$19,AT$3&lt;=IF('Hiring plan'!$H$19="",999,'Hiring plan'!$H$19)),'Hiring plan'!$F$19,0)</f>
        <v>0</v>
      </c>
      <c r="AU23" s="33" t="n">
        <f aca="false">IF(AND(N('Hiring plan'!$F$19)&gt;0,AU$3&gt;='Hiring plan'!$G$19,AU$3&lt;=IF('Hiring plan'!$H$19="",999,'Hiring plan'!$H$19)),'Hiring plan'!$F$19,0)</f>
        <v>0</v>
      </c>
      <c r="AV23" s="33" t="n">
        <f aca="false">IF(AND(N('Hiring plan'!$F$19)&gt;0,AV$3&gt;='Hiring plan'!$G$19,AV$3&lt;=IF('Hiring plan'!$H$19="",999,'Hiring plan'!$H$19)),'Hiring plan'!$F$19,0)</f>
        <v>0</v>
      </c>
      <c r="AW23" s="33" t="n">
        <f aca="false">IF(AND(N('Hiring plan'!$F$19)&gt;0,AW$3&gt;='Hiring plan'!$G$19,AW$3&lt;=IF('Hiring plan'!$H$19="",999,'Hiring plan'!$H$19)),'Hiring plan'!$F$19,0)</f>
        <v>0</v>
      </c>
      <c r="AX23" s="33" t="n">
        <f aca="false">IF(AND(N('Hiring plan'!$F$19)&gt;0,AX$3&gt;='Hiring plan'!$G$19,AX$3&lt;=IF('Hiring plan'!$H$19="",999,'Hiring plan'!$H$19)),'Hiring plan'!$F$19,0)</f>
        <v>0</v>
      </c>
      <c r="AY23" s="33" t="n">
        <f aca="false">IF(AND(N('Hiring plan'!$F$19)&gt;0,AY$3&gt;='Hiring plan'!$G$19,AY$3&lt;=IF('Hiring plan'!$H$19="",999,'Hiring plan'!$H$19)),'Hiring plan'!$F$19,0)</f>
        <v>0</v>
      </c>
      <c r="AZ23" s="33" t="n">
        <f aca="false">IF(AND(N('Hiring plan'!$F$19)&gt;0,AZ$3&gt;='Hiring plan'!$G$19,AZ$3&lt;=IF('Hiring plan'!$H$19="",999,'Hiring plan'!$H$19)),'Hiring plan'!$F$19,0)</f>
        <v>0</v>
      </c>
      <c r="BA23" s="33" t="n">
        <f aca="false">IF(AND(N('Hiring plan'!$F$19)&gt;0,BA$3&gt;='Hiring plan'!$G$19,BA$3&lt;=IF('Hiring plan'!$H$19="",999,'Hiring plan'!$H$19)),'Hiring plan'!$F$19,0)</f>
        <v>0</v>
      </c>
      <c r="BB23" s="33" t="n">
        <f aca="false">IF(AND(N('Hiring plan'!$F$19)&gt;0,BB$3&gt;='Hiring plan'!$G$19,BB$3&lt;=IF('Hiring plan'!$H$19="",999,'Hiring plan'!$H$19)),'Hiring plan'!$F$19,0)</f>
        <v>0</v>
      </c>
      <c r="BC23" s="33" t="n">
        <f aca="false">IF(AND(N('Hiring plan'!$F$19)&gt;0,BC$3&gt;='Hiring plan'!$G$19,BC$3&lt;=IF('Hiring plan'!$H$19="",999,'Hiring plan'!$H$19)),'Hiring plan'!$F$19,0)</f>
        <v>0</v>
      </c>
      <c r="BD23" s="33" t="n">
        <f aca="false">IF(AND(N('Hiring plan'!$F$19)&gt;0,BD$3&gt;='Hiring plan'!$G$19,BD$3&lt;=IF('Hiring plan'!$H$19="",999,'Hiring plan'!$H$19)),'Hiring plan'!$F$19,0)</f>
        <v>0</v>
      </c>
      <c r="BE23" s="33" t="n">
        <f aca="false">IF(AND(N('Hiring plan'!$F$19)&gt;0,BE$3&gt;='Hiring plan'!$G$19,BE$3&lt;=IF('Hiring plan'!$H$19="",999,'Hiring plan'!$H$19)),'Hiring plan'!$F$19,0)</f>
        <v>0</v>
      </c>
      <c r="BF23" s="33" t="n">
        <f aca="false">IF(AND(N('Hiring plan'!$F$19)&gt;0,BF$3&gt;='Hiring plan'!$G$19,BF$3&lt;=IF('Hiring plan'!$H$19="",999,'Hiring plan'!$H$19)),'Hiring plan'!$F$19,0)</f>
        <v>0</v>
      </c>
      <c r="BG23" s="33" t="n">
        <f aca="false">IF(AND(N('Hiring plan'!$F$19)&gt;0,BG$3&gt;='Hiring plan'!$G$19,BG$3&lt;=IF('Hiring plan'!$H$19="",999,'Hiring plan'!$H$19)),'Hiring plan'!$F$19,0)</f>
        <v>0</v>
      </c>
      <c r="BH23" s="33" t="n">
        <f aca="false">IF(AND(N('Hiring plan'!$F$19)&gt;0,BH$3&gt;='Hiring plan'!$G$19,BH$3&lt;=IF('Hiring plan'!$H$19="",999,'Hiring plan'!$H$19)),'Hiring plan'!$F$19,0)</f>
        <v>0</v>
      </c>
      <c r="BI23" s="33" t="n">
        <f aca="false">IF(AND(N('Hiring plan'!$F$19)&gt;0,BI$3&gt;='Hiring plan'!$G$19,BI$3&lt;=IF('Hiring plan'!$H$19="",999,'Hiring plan'!$H$19)),'Hiring plan'!$F$19,0)</f>
        <v>0</v>
      </c>
      <c r="BJ23" s="33" t="n">
        <f aca="false">IF(AND(N('Hiring plan'!$F$19)&gt;0,BJ$3&gt;='Hiring plan'!$G$19,BJ$3&lt;=IF('Hiring plan'!$H$19="",999,'Hiring plan'!$H$19)),'Hiring plan'!$F$19,0)</f>
        <v>0</v>
      </c>
      <c r="BK23" s="33" t="n">
        <f aca="false">IF(AND(N('Hiring plan'!$F$19)&gt;0,BK$3&gt;='Hiring plan'!$G$19,BK$3&lt;=IF('Hiring plan'!$H$19="",999,'Hiring plan'!$H$19)),'Hiring plan'!$F$19,0)</f>
        <v>0</v>
      </c>
      <c r="BL23" s="33" t="n">
        <f aca="false">IF(AND(N('Hiring plan'!$F$19)&gt;0,BL$3&gt;='Hiring plan'!$G$19,BL$3&lt;=IF('Hiring plan'!$H$19="",999,'Hiring plan'!$H$19)),'Hiring plan'!$F$19,0)</f>
        <v>0</v>
      </c>
    </row>
    <row r="24" customFormat="false" ht="15" hidden="false" customHeight="true" outlineLevel="0" collapsed="false">
      <c r="A24" s="13" t="str">
        <f aca="false">IF('Hiring plan'!$C$20="","(spare line 16)",'Hiring plan'!$C$20&amp;" · "&amp;'Hiring plan'!$D$20)</f>
        <v>(spare line 16)</v>
      </c>
      <c r="B24" s="15" t="s">
        <v>92</v>
      </c>
      <c r="D24" s="56" t="n">
        <f aca="false">MAX(E24:BL24)</f>
        <v>0</v>
      </c>
      <c r="E24" s="33" t="n">
        <f aca="false">IF(AND(N('Hiring plan'!$F$20)&gt;0,E$3&gt;='Hiring plan'!$G$20,E$3&lt;=IF('Hiring plan'!$H$20="",999,'Hiring plan'!$H$20)),'Hiring plan'!$F$20,0)</f>
        <v>0</v>
      </c>
      <c r="F24" s="33" t="n">
        <f aca="false">IF(AND(N('Hiring plan'!$F$20)&gt;0,F$3&gt;='Hiring plan'!$G$20,F$3&lt;=IF('Hiring plan'!$H$20="",999,'Hiring plan'!$H$20)),'Hiring plan'!$F$20,0)</f>
        <v>0</v>
      </c>
      <c r="G24" s="33" t="n">
        <f aca="false">IF(AND(N('Hiring plan'!$F$20)&gt;0,G$3&gt;='Hiring plan'!$G$20,G$3&lt;=IF('Hiring plan'!$H$20="",999,'Hiring plan'!$H$20)),'Hiring plan'!$F$20,0)</f>
        <v>0</v>
      </c>
      <c r="H24" s="33" t="n">
        <f aca="false">IF(AND(N('Hiring plan'!$F$20)&gt;0,H$3&gt;='Hiring plan'!$G$20,H$3&lt;=IF('Hiring plan'!$H$20="",999,'Hiring plan'!$H$20)),'Hiring plan'!$F$20,0)</f>
        <v>0</v>
      </c>
      <c r="I24" s="33" t="n">
        <f aca="false">IF(AND(N('Hiring plan'!$F$20)&gt;0,I$3&gt;='Hiring plan'!$G$20,I$3&lt;=IF('Hiring plan'!$H$20="",999,'Hiring plan'!$H$20)),'Hiring plan'!$F$20,0)</f>
        <v>0</v>
      </c>
      <c r="J24" s="33" t="n">
        <f aca="false">IF(AND(N('Hiring plan'!$F$20)&gt;0,J$3&gt;='Hiring plan'!$G$20,J$3&lt;=IF('Hiring plan'!$H$20="",999,'Hiring plan'!$H$20)),'Hiring plan'!$F$20,0)</f>
        <v>0</v>
      </c>
      <c r="K24" s="33" t="n">
        <f aca="false">IF(AND(N('Hiring plan'!$F$20)&gt;0,K$3&gt;='Hiring plan'!$G$20,K$3&lt;=IF('Hiring plan'!$H$20="",999,'Hiring plan'!$H$20)),'Hiring plan'!$F$20,0)</f>
        <v>0</v>
      </c>
      <c r="L24" s="33" t="n">
        <f aca="false">IF(AND(N('Hiring plan'!$F$20)&gt;0,L$3&gt;='Hiring plan'!$G$20,L$3&lt;=IF('Hiring plan'!$H$20="",999,'Hiring plan'!$H$20)),'Hiring plan'!$F$20,0)</f>
        <v>0</v>
      </c>
      <c r="M24" s="33" t="n">
        <f aca="false">IF(AND(N('Hiring plan'!$F$20)&gt;0,M$3&gt;='Hiring plan'!$G$20,M$3&lt;=IF('Hiring plan'!$H$20="",999,'Hiring plan'!$H$20)),'Hiring plan'!$F$20,0)</f>
        <v>0</v>
      </c>
      <c r="N24" s="33" t="n">
        <f aca="false">IF(AND(N('Hiring plan'!$F$20)&gt;0,N$3&gt;='Hiring plan'!$G$20,N$3&lt;=IF('Hiring plan'!$H$20="",999,'Hiring plan'!$H$20)),'Hiring plan'!$F$20,0)</f>
        <v>0</v>
      </c>
      <c r="O24" s="33" t="n">
        <f aca="false">IF(AND(N('Hiring plan'!$F$20)&gt;0,O$3&gt;='Hiring plan'!$G$20,O$3&lt;=IF('Hiring plan'!$H$20="",999,'Hiring plan'!$H$20)),'Hiring plan'!$F$20,0)</f>
        <v>0</v>
      </c>
      <c r="P24" s="33" t="n">
        <f aca="false">IF(AND(N('Hiring plan'!$F$20)&gt;0,P$3&gt;='Hiring plan'!$G$20,P$3&lt;=IF('Hiring plan'!$H$20="",999,'Hiring plan'!$H$20)),'Hiring plan'!$F$20,0)</f>
        <v>0</v>
      </c>
      <c r="Q24" s="33" t="n">
        <f aca="false">IF(AND(N('Hiring plan'!$F$20)&gt;0,Q$3&gt;='Hiring plan'!$G$20,Q$3&lt;=IF('Hiring plan'!$H$20="",999,'Hiring plan'!$H$20)),'Hiring plan'!$F$20,0)</f>
        <v>0</v>
      </c>
      <c r="R24" s="33" t="n">
        <f aca="false">IF(AND(N('Hiring plan'!$F$20)&gt;0,R$3&gt;='Hiring plan'!$G$20,R$3&lt;=IF('Hiring plan'!$H$20="",999,'Hiring plan'!$H$20)),'Hiring plan'!$F$20,0)</f>
        <v>0</v>
      </c>
      <c r="S24" s="33" t="n">
        <f aca="false">IF(AND(N('Hiring plan'!$F$20)&gt;0,S$3&gt;='Hiring plan'!$G$20,S$3&lt;=IF('Hiring plan'!$H$20="",999,'Hiring plan'!$H$20)),'Hiring plan'!$F$20,0)</f>
        <v>0</v>
      </c>
      <c r="T24" s="33" t="n">
        <f aca="false">IF(AND(N('Hiring plan'!$F$20)&gt;0,T$3&gt;='Hiring plan'!$G$20,T$3&lt;=IF('Hiring plan'!$H$20="",999,'Hiring plan'!$H$20)),'Hiring plan'!$F$20,0)</f>
        <v>0</v>
      </c>
      <c r="U24" s="33" t="n">
        <f aca="false">IF(AND(N('Hiring plan'!$F$20)&gt;0,U$3&gt;='Hiring plan'!$G$20,U$3&lt;=IF('Hiring plan'!$H$20="",999,'Hiring plan'!$H$20)),'Hiring plan'!$F$20,0)</f>
        <v>0</v>
      </c>
      <c r="V24" s="33" t="n">
        <f aca="false">IF(AND(N('Hiring plan'!$F$20)&gt;0,V$3&gt;='Hiring plan'!$G$20,V$3&lt;=IF('Hiring plan'!$H$20="",999,'Hiring plan'!$H$20)),'Hiring plan'!$F$20,0)</f>
        <v>0</v>
      </c>
      <c r="W24" s="33" t="n">
        <f aca="false">IF(AND(N('Hiring plan'!$F$20)&gt;0,W$3&gt;='Hiring plan'!$G$20,W$3&lt;=IF('Hiring plan'!$H$20="",999,'Hiring plan'!$H$20)),'Hiring plan'!$F$20,0)</f>
        <v>0</v>
      </c>
      <c r="X24" s="33" t="n">
        <f aca="false">IF(AND(N('Hiring plan'!$F$20)&gt;0,X$3&gt;='Hiring plan'!$G$20,X$3&lt;=IF('Hiring plan'!$H$20="",999,'Hiring plan'!$H$20)),'Hiring plan'!$F$20,0)</f>
        <v>0</v>
      </c>
      <c r="Y24" s="33" t="n">
        <f aca="false">IF(AND(N('Hiring plan'!$F$20)&gt;0,Y$3&gt;='Hiring plan'!$G$20,Y$3&lt;=IF('Hiring plan'!$H$20="",999,'Hiring plan'!$H$20)),'Hiring plan'!$F$20,0)</f>
        <v>0</v>
      </c>
      <c r="Z24" s="33" t="n">
        <f aca="false">IF(AND(N('Hiring plan'!$F$20)&gt;0,Z$3&gt;='Hiring plan'!$G$20,Z$3&lt;=IF('Hiring plan'!$H$20="",999,'Hiring plan'!$H$20)),'Hiring plan'!$F$20,0)</f>
        <v>0</v>
      </c>
      <c r="AA24" s="33" t="n">
        <f aca="false">IF(AND(N('Hiring plan'!$F$20)&gt;0,AA$3&gt;='Hiring plan'!$G$20,AA$3&lt;=IF('Hiring plan'!$H$20="",999,'Hiring plan'!$H$20)),'Hiring plan'!$F$20,0)</f>
        <v>0</v>
      </c>
      <c r="AB24" s="33" t="n">
        <f aca="false">IF(AND(N('Hiring plan'!$F$20)&gt;0,AB$3&gt;='Hiring plan'!$G$20,AB$3&lt;=IF('Hiring plan'!$H$20="",999,'Hiring plan'!$H$20)),'Hiring plan'!$F$20,0)</f>
        <v>0</v>
      </c>
      <c r="AC24" s="33" t="n">
        <f aca="false">IF(AND(N('Hiring plan'!$F$20)&gt;0,AC$3&gt;='Hiring plan'!$G$20,AC$3&lt;=IF('Hiring plan'!$H$20="",999,'Hiring plan'!$H$20)),'Hiring plan'!$F$20,0)</f>
        <v>0</v>
      </c>
      <c r="AD24" s="33" t="n">
        <f aca="false">IF(AND(N('Hiring plan'!$F$20)&gt;0,AD$3&gt;='Hiring plan'!$G$20,AD$3&lt;=IF('Hiring plan'!$H$20="",999,'Hiring plan'!$H$20)),'Hiring plan'!$F$20,0)</f>
        <v>0</v>
      </c>
      <c r="AE24" s="33" t="n">
        <f aca="false">IF(AND(N('Hiring plan'!$F$20)&gt;0,AE$3&gt;='Hiring plan'!$G$20,AE$3&lt;=IF('Hiring plan'!$H$20="",999,'Hiring plan'!$H$20)),'Hiring plan'!$F$20,0)</f>
        <v>0</v>
      </c>
      <c r="AF24" s="33" t="n">
        <f aca="false">IF(AND(N('Hiring plan'!$F$20)&gt;0,AF$3&gt;='Hiring plan'!$G$20,AF$3&lt;=IF('Hiring plan'!$H$20="",999,'Hiring plan'!$H$20)),'Hiring plan'!$F$20,0)</f>
        <v>0</v>
      </c>
      <c r="AG24" s="33" t="n">
        <f aca="false">IF(AND(N('Hiring plan'!$F$20)&gt;0,AG$3&gt;='Hiring plan'!$G$20,AG$3&lt;=IF('Hiring plan'!$H$20="",999,'Hiring plan'!$H$20)),'Hiring plan'!$F$20,0)</f>
        <v>0</v>
      </c>
      <c r="AH24" s="33" t="n">
        <f aca="false">IF(AND(N('Hiring plan'!$F$20)&gt;0,AH$3&gt;='Hiring plan'!$G$20,AH$3&lt;=IF('Hiring plan'!$H$20="",999,'Hiring plan'!$H$20)),'Hiring plan'!$F$20,0)</f>
        <v>0</v>
      </c>
      <c r="AI24" s="33" t="n">
        <f aca="false">IF(AND(N('Hiring plan'!$F$20)&gt;0,AI$3&gt;='Hiring plan'!$G$20,AI$3&lt;=IF('Hiring plan'!$H$20="",999,'Hiring plan'!$H$20)),'Hiring plan'!$F$20,0)</f>
        <v>0</v>
      </c>
      <c r="AJ24" s="33" t="n">
        <f aca="false">IF(AND(N('Hiring plan'!$F$20)&gt;0,AJ$3&gt;='Hiring plan'!$G$20,AJ$3&lt;=IF('Hiring plan'!$H$20="",999,'Hiring plan'!$H$20)),'Hiring plan'!$F$20,0)</f>
        <v>0</v>
      </c>
      <c r="AK24" s="33" t="n">
        <f aca="false">IF(AND(N('Hiring plan'!$F$20)&gt;0,AK$3&gt;='Hiring plan'!$G$20,AK$3&lt;=IF('Hiring plan'!$H$20="",999,'Hiring plan'!$H$20)),'Hiring plan'!$F$20,0)</f>
        <v>0</v>
      </c>
      <c r="AL24" s="33" t="n">
        <f aca="false">IF(AND(N('Hiring plan'!$F$20)&gt;0,AL$3&gt;='Hiring plan'!$G$20,AL$3&lt;=IF('Hiring plan'!$H$20="",999,'Hiring plan'!$H$20)),'Hiring plan'!$F$20,0)</f>
        <v>0</v>
      </c>
      <c r="AM24" s="33" t="n">
        <f aca="false">IF(AND(N('Hiring plan'!$F$20)&gt;0,AM$3&gt;='Hiring plan'!$G$20,AM$3&lt;=IF('Hiring plan'!$H$20="",999,'Hiring plan'!$H$20)),'Hiring plan'!$F$20,0)</f>
        <v>0</v>
      </c>
      <c r="AN24" s="33" t="n">
        <f aca="false">IF(AND(N('Hiring plan'!$F$20)&gt;0,AN$3&gt;='Hiring plan'!$G$20,AN$3&lt;=IF('Hiring plan'!$H$20="",999,'Hiring plan'!$H$20)),'Hiring plan'!$F$20,0)</f>
        <v>0</v>
      </c>
      <c r="AO24" s="33" t="n">
        <f aca="false">IF(AND(N('Hiring plan'!$F$20)&gt;0,AO$3&gt;='Hiring plan'!$G$20,AO$3&lt;=IF('Hiring plan'!$H$20="",999,'Hiring plan'!$H$20)),'Hiring plan'!$F$20,0)</f>
        <v>0</v>
      </c>
      <c r="AP24" s="33" t="n">
        <f aca="false">IF(AND(N('Hiring plan'!$F$20)&gt;0,AP$3&gt;='Hiring plan'!$G$20,AP$3&lt;=IF('Hiring plan'!$H$20="",999,'Hiring plan'!$H$20)),'Hiring plan'!$F$20,0)</f>
        <v>0</v>
      </c>
      <c r="AQ24" s="33" t="n">
        <f aca="false">IF(AND(N('Hiring plan'!$F$20)&gt;0,AQ$3&gt;='Hiring plan'!$G$20,AQ$3&lt;=IF('Hiring plan'!$H$20="",999,'Hiring plan'!$H$20)),'Hiring plan'!$F$20,0)</f>
        <v>0</v>
      </c>
      <c r="AR24" s="33" t="n">
        <f aca="false">IF(AND(N('Hiring plan'!$F$20)&gt;0,AR$3&gt;='Hiring plan'!$G$20,AR$3&lt;=IF('Hiring plan'!$H$20="",999,'Hiring plan'!$H$20)),'Hiring plan'!$F$20,0)</f>
        <v>0</v>
      </c>
      <c r="AS24" s="33" t="n">
        <f aca="false">IF(AND(N('Hiring plan'!$F$20)&gt;0,AS$3&gt;='Hiring plan'!$G$20,AS$3&lt;=IF('Hiring plan'!$H$20="",999,'Hiring plan'!$H$20)),'Hiring plan'!$F$20,0)</f>
        <v>0</v>
      </c>
      <c r="AT24" s="33" t="n">
        <f aca="false">IF(AND(N('Hiring plan'!$F$20)&gt;0,AT$3&gt;='Hiring plan'!$G$20,AT$3&lt;=IF('Hiring plan'!$H$20="",999,'Hiring plan'!$H$20)),'Hiring plan'!$F$20,0)</f>
        <v>0</v>
      </c>
      <c r="AU24" s="33" t="n">
        <f aca="false">IF(AND(N('Hiring plan'!$F$20)&gt;0,AU$3&gt;='Hiring plan'!$G$20,AU$3&lt;=IF('Hiring plan'!$H$20="",999,'Hiring plan'!$H$20)),'Hiring plan'!$F$20,0)</f>
        <v>0</v>
      </c>
      <c r="AV24" s="33" t="n">
        <f aca="false">IF(AND(N('Hiring plan'!$F$20)&gt;0,AV$3&gt;='Hiring plan'!$G$20,AV$3&lt;=IF('Hiring plan'!$H$20="",999,'Hiring plan'!$H$20)),'Hiring plan'!$F$20,0)</f>
        <v>0</v>
      </c>
      <c r="AW24" s="33" t="n">
        <f aca="false">IF(AND(N('Hiring plan'!$F$20)&gt;0,AW$3&gt;='Hiring plan'!$G$20,AW$3&lt;=IF('Hiring plan'!$H$20="",999,'Hiring plan'!$H$20)),'Hiring plan'!$F$20,0)</f>
        <v>0</v>
      </c>
      <c r="AX24" s="33" t="n">
        <f aca="false">IF(AND(N('Hiring plan'!$F$20)&gt;0,AX$3&gt;='Hiring plan'!$G$20,AX$3&lt;=IF('Hiring plan'!$H$20="",999,'Hiring plan'!$H$20)),'Hiring plan'!$F$20,0)</f>
        <v>0</v>
      </c>
      <c r="AY24" s="33" t="n">
        <f aca="false">IF(AND(N('Hiring plan'!$F$20)&gt;0,AY$3&gt;='Hiring plan'!$G$20,AY$3&lt;=IF('Hiring plan'!$H$20="",999,'Hiring plan'!$H$20)),'Hiring plan'!$F$20,0)</f>
        <v>0</v>
      </c>
      <c r="AZ24" s="33" t="n">
        <f aca="false">IF(AND(N('Hiring plan'!$F$20)&gt;0,AZ$3&gt;='Hiring plan'!$G$20,AZ$3&lt;=IF('Hiring plan'!$H$20="",999,'Hiring plan'!$H$20)),'Hiring plan'!$F$20,0)</f>
        <v>0</v>
      </c>
      <c r="BA24" s="33" t="n">
        <f aca="false">IF(AND(N('Hiring plan'!$F$20)&gt;0,BA$3&gt;='Hiring plan'!$G$20,BA$3&lt;=IF('Hiring plan'!$H$20="",999,'Hiring plan'!$H$20)),'Hiring plan'!$F$20,0)</f>
        <v>0</v>
      </c>
      <c r="BB24" s="33" t="n">
        <f aca="false">IF(AND(N('Hiring plan'!$F$20)&gt;0,BB$3&gt;='Hiring plan'!$G$20,BB$3&lt;=IF('Hiring plan'!$H$20="",999,'Hiring plan'!$H$20)),'Hiring plan'!$F$20,0)</f>
        <v>0</v>
      </c>
      <c r="BC24" s="33" t="n">
        <f aca="false">IF(AND(N('Hiring plan'!$F$20)&gt;0,BC$3&gt;='Hiring plan'!$G$20,BC$3&lt;=IF('Hiring plan'!$H$20="",999,'Hiring plan'!$H$20)),'Hiring plan'!$F$20,0)</f>
        <v>0</v>
      </c>
      <c r="BD24" s="33" t="n">
        <f aca="false">IF(AND(N('Hiring plan'!$F$20)&gt;0,BD$3&gt;='Hiring plan'!$G$20,BD$3&lt;=IF('Hiring plan'!$H$20="",999,'Hiring plan'!$H$20)),'Hiring plan'!$F$20,0)</f>
        <v>0</v>
      </c>
      <c r="BE24" s="33" t="n">
        <f aca="false">IF(AND(N('Hiring plan'!$F$20)&gt;0,BE$3&gt;='Hiring plan'!$G$20,BE$3&lt;=IF('Hiring plan'!$H$20="",999,'Hiring plan'!$H$20)),'Hiring plan'!$F$20,0)</f>
        <v>0</v>
      </c>
      <c r="BF24" s="33" t="n">
        <f aca="false">IF(AND(N('Hiring plan'!$F$20)&gt;0,BF$3&gt;='Hiring plan'!$G$20,BF$3&lt;=IF('Hiring plan'!$H$20="",999,'Hiring plan'!$H$20)),'Hiring plan'!$F$20,0)</f>
        <v>0</v>
      </c>
      <c r="BG24" s="33" t="n">
        <f aca="false">IF(AND(N('Hiring plan'!$F$20)&gt;0,BG$3&gt;='Hiring plan'!$G$20,BG$3&lt;=IF('Hiring plan'!$H$20="",999,'Hiring plan'!$H$20)),'Hiring plan'!$F$20,0)</f>
        <v>0</v>
      </c>
      <c r="BH24" s="33" t="n">
        <f aca="false">IF(AND(N('Hiring plan'!$F$20)&gt;0,BH$3&gt;='Hiring plan'!$G$20,BH$3&lt;=IF('Hiring plan'!$H$20="",999,'Hiring plan'!$H$20)),'Hiring plan'!$F$20,0)</f>
        <v>0</v>
      </c>
      <c r="BI24" s="33" t="n">
        <f aca="false">IF(AND(N('Hiring plan'!$F$20)&gt;0,BI$3&gt;='Hiring plan'!$G$20,BI$3&lt;=IF('Hiring plan'!$H$20="",999,'Hiring plan'!$H$20)),'Hiring plan'!$F$20,0)</f>
        <v>0</v>
      </c>
      <c r="BJ24" s="33" t="n">
        <f aca="false">IF(AND(N('Hiring plan'!$F$20)&gt;0,BJ$3&gt;='Hiring plan'!$G$20,BJ$3&lt;=IF('Hiring plan'!$H$20="",999,'Hiring plan'!$H$20)),'Hiring plan'!$F$20,0)</f>
        <v>0</v>
      </c>
      <c r="BK24" s="33" t="n">
        <f aca="false">IF(AND(N('Hiring plan'!$F$20)&gt;0,BK$3&gt;='Hiring plan'!$G$20,BK$3&lt;=IF('Hiring plan'!$H$20="",999,'Hiring plan'!$H$20)),'Hiring plan'!$F$20,0)</f>
        <v>0</v>
      </c>
      <c r="BL24" s="33" t="n">
        <f aca="false">IF(AND(N('Hiring plan'!$F$20)&gt;0,BL$3&gt;='Hiring plan'!$G$20,BL$3&lt;=IF('Hiring plan'!$H$20="",999,'Hiring plan'!$H$20)),'Hiring plan'!$F$20,0)</f>
        <v>0</v>
      </c>
    </row>
    <row r="25" customFormat="false" ht="15" hidden="false" customHeight="true" outlineLevel="0" collapsed="false">
      <c r="A25" s="13" t="str">
        <f aca="false">IF('Hiring plan'!$C$21="","(spare line 17)",'Hiring plan'!$C$21&amp;" · "&amp;'Hiring plan'!$D$21)</f>
        <v>(spare line 17)</v>
      </c>
      <c r="B25" s="15" t="s">
        <v>92</v>
      </c>
      <c r="D25" s="56" t="n">
        <f aca="false">MAX(E25:BL25)</f>
        <v>0</v>
      </c>
      <c r="E25" s="33" t="n">
        <f aca="false">IF(AND(N('Hiring plan'!$F$21)&gt;0,E$3&gt;='Hiring plan'!$G$21,E$3&lt;=IF('Hiring plan'!$H$21="",999,'Hiring plan'!$H$21)),'Hiring plan'!$F$21,0)</f>
        <v>0</v>
      </c>
      <c r="F25" s="33" t="n">
        <f aca="false">IF(AND(N('Hiring plan'!$F$21)&gt;0,F$3&gt;='Hiring plan'!$G$21,F$3&lt;=IF('Hiring plan'!$H$21="",999,'Hiring plan'!$H$21)),'Hiring plan'!$F$21,0)</f>
        <v>0</v>
      </c>
      <c r="G25" s="33" t="n">
        <f aca="false">IF(AND(N('Hiring plan'!$F$21)&gt;0,G$3&gt;='Hiring plan'!$G$21,G$3&lt;=IF('Hiring plan'!$H$21="",999,'Hiring plan'!$H$21)),'Hiring plan'!$F$21,0)</f>
        <v>0</v>
      </c>
      <c r="H25" s="33" t="n">
        <f aca="false">IF(AND(N('Hiring plan'!$F$21)&gt;0,H$3&gt;='Hiring plan'!$G$21,H$3&lt;=IF('Hiring plan'!$H$21="",999,'Hiring plan'!$H$21)),'Hiring plan'!$F$21,0)</f>
        <v>0</v>
      </c>
      <c r="I25" s="33" t="n">
        <f aca="false">IF(AND(N('Hiring plan'!$F$21)&gt;0,I$3&gt;='Hiring plan'!$G$21,I$3&lt;=IF('Hiring plan'!$H$21="",999,'Hiring plan'!$H$21)),'Hiring plan'!$F$21,0)</f>
        <v>0</v>
      </c>
      <c r="J25" s="33" t="n">
        <f aca="false">IF(AND(N('Hiring plan'!$F$21)&gt;0,J$3&gt;='Hiring plan'!$G$21,J$3&lt;=IF('Hiring plan'!$H$21="",999,'Hiring plan'!$H$21)),'Hiring plan'!$F$21,0)</f>
        <v>0</v>
      </c>
      <c r="K25" s="33" t="n">
        <f aca="false">IF(AND(N('Hiring plan'!$F$21)&gt;0,K$3&gt;='Hiring plan'!$G$21,K$3&lt;=IF('Hiring plan'!$H$21="",999,'Hiring plan'!$H$21)),'Hiring plan'!$F$21,0)</f>
        <v>0</v>
      </c>
      <c r="L25" s="33" t="n">
        <f aca="false">IF(AND(N('Hiring plan'!$F$21)&gt;0,L$3&gt;='Hiring plan'!$G$21,L$3&lt;=IF('Hiring plan'!$H$21="",999,'Hiring plan'!$H$21)),'Hiring plan'!$F$21,0)</f>
        <v>0</v>
      </c>
      <c r="M25" s="33" t="n">
        <f aca="false">IF(AND(N('Hiring plan'!$F$21)&gt;0,M$3&gt;='Hiring plan'!$G$21,M$3&lt;=IF('Hiring plan'!$H$21="",999,'Hiring plan'!$H$21)),'Hiring plan'!$F$21,0)</f>
        <v>0</v>
      </c>
      <c r="N25" s="33" t="n">
        <f aca="false">IF(AND(N('Hiring plan'!$F$21)&gt;0,N$3&gt;='Hiring plan'!$G$21,N$3&lt;=IF('Hiring plan'!$H$21="",999,'Hiring plan'!$H$21)),'Hiring plan'!$F$21,0)</f>
        <v>0</v>
      </c>
      <c r="O25" s="33" t="n">
        <f aca="false">IF(AND(N('Hiring plan'!$F$21)&gt;0,O$3&gt;='Hiring plan'!$G$21,O$3&lt;=IF('Hiring plan'!$H$21="",999,'Hiring plan'!$H$21)),'Hiring plan'!$F$21,0)</f>
        <v>0</v>
      </c>
      <c r="P25" s="33" t="n">
        <f aca="false">IF(AND(N('Hiring plan'!$F$21)&gt;0,P$3&gt;='Hiring plan'!$G$21,P$3&lt;=IF('Hiring plan'!$H$21="",999,'Hiring plan'!$H$21)),'Hiring plan'!$F$21,0)</f>
        <v>0</v>
      </c>
      <c r="Q25" s="33" t="n">
        <f aca="false">IF(AND(N('Hiring plan'!$F$21)&gt;0,Q$3&gt;='Hiring plan'!$G$21,Q$3&lt;=IF('Hiring plan'!$H$21="",999,'Hiring plan'!$H$21)),'Hiring plan'!$F$21,0)</f>
        <v>0</v>
      </c>
      <c r="R25" s="33" t="n">
        <f aca="false">IF(AND(N('Hiring plan'!$F$21)&gt;0,R$3&gt;='Hiring plan'!$G$21,R$3&lt;=IF('Hiring plan'!$H$21="",999,'Hiring plan'!$H$21)),'Hiring plan'!$F$21,0)</f>
        <v>0</v>
      </c>
      <c r="S25" s="33" t="n">
        <f aca="false">IF(AND(N('Hiring plan'!$F$21)&gt;0,S$3&gt;='Hiring plan'!$G$21,S$3&lt;=IF('Hiring plan'!$H$21="",999,'Hiring plan'!$H$21)),'Hiring plan'!$F$21,0)</f>
        <v>0</v>
      </c>
      <c r="T25" s="33" t="n">
        <f aca="false">IF(AND(N('Hiring plan'!$F$21)&gt;0,T$3&gt;='Hiring plan'!$G$21,T$3&lt;=IF('Hiring plan'!$H$21="",999,'Hiring plan'!$H$21)),'Hiring plan'!$F$21,0)</f>
        <v>0</v>
      </c>
      <c r="U25" s="33" t="n">
        <f aca="false">IF(AND(N('Hiring plan'!$F$21)&gt;0,U$3&gt;='Hiring plan'!$G$21,U$3&lt;=IF('Hiring plan'!$H$21="",999,'Hiring plan'!$H$21)),'Hiring plan'!$F$21,0)</f>
        <v>0</v>
      </c>
      <c r="V25" s="33" t="n">
        <f aca="false">IF(AND(N('Hiring plan'!$F$21)&gt;0,V$3&gt;='Hiring plan'!$G$21,V$3&lt;=IF('Hiring plan'!$H$21="",999,'Hiring plan'!$H$21)),'Hiring plan'!$F$21,0)</f>
        <v>0</v>
      </c>
      <c r="W25" s="33" t="n">
        <f aca="false">IF(AND(N('Hiring plan'!$F$21)&gt;0,W$3&gt;='Hiring plan'!$G$21,W$3&lt;=IF('Hiring plan'!$H$21="",999,'Hiring plan'!$H$21)),'Hiring plan'!$F$21,0)</f>
        <v>0</v>
      </c>
      <c r="X25" s="33" t="n">
        <f aca="false">IF(AND(N('Hiring plan'!$F$21)&gt;0,X$3&gt;='Hiring plan'!$G$21,X$3&lt;=IF('Hiring plan'!$H$21="",999,'Hiring plan'!$H$21)),'Hiring plan'!$F$21,0)</f>
        <v>0</v>
      </c>
      <c r="Y25" s="33" t="n">
        <f aca="false">IF(AND(N('Hiring plan'!$F$21)&gt;0,Y$3&gt;='Hiring plan'!$G$21,Y$3&lt;=IF('Hiring plan'!$H$21="",999,'Hiring plan'!$H$21)),'Hiring plan'!$F$21,0)</f>
        <v>0</v>
      </c>
      <c r="Z25" s="33" t="n">
        <f aca="false">IF(AND(N('Hiring plan'!$F$21)&gt;0,Z$3&gt;='Hiring plan'!$G$21,Z$3&lt;=IF('Hiring plan'!$H$21="",999,'Hiring plan'!$H$21)),'Hiring plan'!$F$21,0)</f>
        <v>0</v>
      </c>
      <c r="AA25" s="33" t="n">
        <f aca="false">IF(AND(N('Hiring plan'!$F$21)&gt;0,AA$3&gt;='Hiring plan'!$G$21,AA$3&lt;=IF('Hiring plan'!$H$21="",999,'Hiring plan'!$H$21)),'Hiring plan'!$F$21,0)</f>
        <v>0</v>
      </c>
      <c r="AB25" s="33" t="n">
        <f aca="false">IF(AND(N('Hiring plan'!$F$21)&gt;0,AB$3&gt;='Hiring plan'!$G$21,AB$3&lt;=IF('Hiring plan'!$H$21="",999,'Hiring plan'!$H$21)),'Hiring plan'!$F$21,0)</f>
        <v>0</v>
      </c>
      <c r="AC25" s="33" t="n">
        <f aca="false">IF(AND(N('Hiring plan'!$F$21)&gt;0,AC$3&gt;='Hiring plan'!$G$21,AC$3&lt;=IF('Hiring plan'!$H$21="",999,'Hiring plan'!$H$21)),'Hiring plan'!$F$21,0)</f>
        <v>0</v>
      </c>
      <c r="AD25" s="33" t="n">
        <f aca="false">IF(AND(N('Hiring plan'!$F$21)&gt;0,AD$3&gt;='Hiring plan'!$G$21,AD$3&lt;=IF('Hiring plan'!$H$21="",999,'Hiring plan'!$H$21)),'Hiring plan'!$F$21,0)</f>
        <v>0</v>
      </c>
      <c r="AE25" s="33" t="n">
        <f aca="false">IF(AND(N('Hiring plan'!$F$21)&gt;0,AE$3&gt;='Hiring plan'!$G$21,AE$3&lt;=IF('Hiring plan'!$H$21="",999,'Hiring plan'!$H$21)),'Hiring plan'!$F$21,0)</f>
        <v>0</v>
      </c>
      <c r="AF25" s="33" t="n">
        <f aca="false">IF(AND(N('Hiring plan'!$F$21)&gt;0,AF$3&gt;='Hiring plan'!$G$21,AF$3&lt;=IF('Hiring plan'!$H$21="",999,'Hiring plan'!$H$21)),'Hiring plan'!$F$21,0)</f>
        <v>0</v>
      </c>
      <c r="AG25" s="33" t="n">
        <f aca="false">IF(AND(N('Hiring plan'!$F$21)&gt;0,AG$3&gt;='Hiring plan'!$G$21,AG$3&lt;=IF('Hiring plan'!$H$21="",999,'Hiring plan'!$H$21)),'Hiring plan'!$F$21,0)</f>
        <v>0</v>
      </c>
      <c r="AH25" s="33" t="n">
        <f aca="false">IF(AND(N('Hiring plan'!$F$21)&gt;0,AH$3&gt;='Hiring plan'!$G$21,AH$3&lt;=IF('Hiring plan'!$H$21="",999,'Hiring plan'!$H$21)),'Hiring plan'!$F$21,0)</f>
        <v>0</v>
      </c>
      <c r="AI25" s="33" t="n">
        <f aca="false">IF(AND(N('Hiring plan'!$F$21)&gt;0,AI$3&gt;='Hiring plan'!$G$21,AI$3&lt;=IF('Hiring plan'!$H$21="",999,'Hiring plan'!$H$21)),'Hiring plan'!$F$21,0)</f>
        <v>0</v>
      </c>
      <c r="AJ25" s="33" t="n">
        <f aca="false">IF(AND(N('Hiring plan'!$F$21)&gt;0,AJ$3&gt;='Hiring plan'!$G$21,AJ$3&lt;=IF('Hiring plan'!$H$21="",999,'Hiring plan'!$H$21)),'Hiring plan'!$F$21,0)</f>
        <v>0</v>
      </c>
      <c r="AK25" s="33" t="n">
        <f aca="false">IF(AND(N('Hiring plan'!$F$21)&gt;0,AK$3&gt;='Hiring plan'!$G$21,AK$3&lt;=IF('Hiring plan'!$H$21="",999,'Hiring plan'!$H$21)),'Hiring plan'!$F$21,0)</f>
        <v>0</v>
      </c>
      <c r="AL25" s="33" t="n">
        <f aca="false">IF(AND(N('Hiring plan'!$F$21)&gt;0,AL$3&gt;='Hiring plan'!$G$21,AL$3&lt;=IF('Hiring plan'!$H$21="",999,'Hiring plan'!$H$21)),'Hiring plan'!$F$21,0)</f>
        <v>0</v>
      </c>
      <c r="AM25" s="33" t="n">
        <f aca="false">IF(AND(N('Hiring plan'!$F$21)&gt;0,AM$3&gt;='Hiring plan'!$G$21,AM$3&lt;=IF('Hiring plan'!$H$21="",999,'Hiring plan'!$H$21)),'Hiring plan'!$F$21,0)</f>
        <v>0</v>
      </c>
      <c r="AN25" s="33" t="n">
        <f aca="false">IF(AND(N('Hiring plan'!$F$21)&gt;0,AN$3&gt;='Hiring plan'!$G$21,AN$3&lt;=IF('Hiring plan'!$H$21="",999,'Hiring plan'!$H$21)),'Hiring plan'!$F$21,0)</f>
        <v>0</v>
      </c>
      <c r="AO25" s="33" t="n">
        <f aca="false">IF(AND(N('Hiring plan'!$F$21)&gt;0,AO$3&gt;='Hiring plan'!$G$21,AO$3&lt;=IF('Hiring plan'!$H$21="",999,'Hiring plan'!$H$21)),'Hiring plan'!$F$21,0)</f>
        <v>0</v>
      </c>
      <c r="AP25" s="33" t="n">
        <f aca="false">IF(AND(N('Hiring plan'!$F$21)&gt;0,AP$3&gt;='Hiring plan'!$G$21,AP$3&lt;=IF('Hiring plan'!$H$21="",999,'Hiring plan'!$H$21)),'Hiring plan'!$F$21,0)</f>
        <v>0</v>
      </c>
      <c r="AQ25" s="33" t="n">
        <f aca="false">IF(AND(N('Hiring plan'!$F$21)&gt;0,AQ$3&gt;='Hiring plan'!$G$21,AQ$3&lt;=IF('Hiring plan'!$H$21="",999,'Hiring plan'!$H$21)),'Hiring plan'!$F$21,0)</f>
        <v>0</v>
      </c>
      <c r="AR25" s="33" t="n">
        <f aca="false">IF(AND(N('Hiring plan'!$F$21)&gt;0,AR$3&gt;='Hiring plan'!$G$21,AR$3&lt;=IF('Hiring plan'!$H$21="",999,'Hiring plan'!$H$21)),'Hiring plan'!$F$21,0)</f>
        <v>0</v>
      </c>
      <c r="AS25" s="33" t="n">
        <f aca="false">IF(AND(N('Hiring plan'!$F$21)&gt;0,AS$3&gt;='Hiring plan'!$G$21,AS$3&lt;=IF('Hiring plan'!$H$21="",999,'Hiring plan'!$H$21)),'Hiring plan'!$F$21,0)</f>
        <v>0</v>
      </c>
      <c r="AT25" s="33" t="n">
        <f aca="false">IF(AND(N('Hiring plan'!$F$21)&gt;0,AT$3&gt;='Hiring plan'!$G$21,AT$3&lt;=IF('Hiring plan'!$H$21="",999,'Hiring plan'!$H$21)),'Hiring plan'!$F$21,0)</f>
        <v>0</v>
      </c>
      <c r="AU25" s="33" t="n">
        <f aca="false">IF(AND(N('Hiring plan'!$F$21)&gt;0,AU$3&gt;='Hiring plan'!$G$21,AU$3&lt;=IF('Hiring plan'!$H$21="",999,'Hiring plan'!$H$21)),'Hiring plan'!$F$21,0)</f>
        <v>0</v>
      </c>
      <c r="AV25" s="33" t="n">
        <f aca="false">IF(AND(N('Hiring plan'!$F$21)&gt;0,AV$3&gt;='Hiring plan'!$G$21,AV$3&lt;=IF('Hiring plan'!$H$21="",999,'Hiring plan'!$H$21)),'Hiring plan'!$F$21,0)</f>
        <v>0</v>
      </c>
      <c r="AW25" s="33" t="n">
        <f aca="false">IF(AND(N('Hiring plan'!$F$21)&gt;0,AW$3&gt;='Hiring plan'!$G$21,AW$3&lt;=IF('Hiring plan'!$H$21="",999,'Hiring plan'!$H$21)),'Hiring plan'!$F$21,0)</f>
        <v>0</v>
      </c>
      <c r="AX25" s="33" t="n">
        <f aca="false">IF(AND(N('Hiring plan'!$F$21)&gt;0,AX$3&gt;='Hiring plan'!$G$21,AX$3&lt;=IF('Hiring plan'!$H$21="",999,'Hiring plan'!$H$21)),'Hiring plan'!$F$21,0)</f>
        <v>0</v>
      </c>
      <c r="AY25" s="33" t="n">
        <f aca="false">IF(AND(N('Hiring plan'!$F$21)&gt;0,AY$3&gt;='Hiring plan'!$G$21,AY$3&lt;=IF('Hiring plan'!$H$21="",999,'Hiring plan'!$H$21)),'Hiring plan'!$F$21,0)</f>
        <v>0</v>
      </c>
      <c r="AZ25" s="33" t="n">
        <f aca="false">IF(AND(N('Hiring plan'!$F$21)&gt;0,AZ$3&gt;='Hiring plan'!$G$21,AZ$3&lt;=IF('Hiring plan'!$H$21="",999,'Hiring plan'!$H$21)),'Hiring plan'!$F$21,0)</f>
        <v>0</v>
      </c>
      <c r="BA25" s="33" t="n">
        <f aca="false">IF(AND(N('Hiring plan'!$F$21)&gt;0,BA$3&gt;='Hiring plan'!$G$21,BA$3&lt;=IF('Hiring plan'!$H$21="",999,'Hiring plan'!$H$21)),'Hiring plan'!$F$21,0)</f>
        <v>0</v>
      </c>
      <c r="BB25" s="33" t="n">
        <f aca="false">IF(AND(N('Hiring plan'!$F$21)&gt;0,BB$3&gt;='Hiring plan'!$G$21,BB$3&lt;=IF('Hiring plan'!$H$21="",999,'Hiring plan'!$H$21)),'Hiring plan'!$F$21,0)</f>
        <v>0</v>
      </c>
      <c r="BC25" s="33" t="n">
        <f aca="false">IF(AND(N('Hiring plan'!$F$21)&gt;0,BC$3&gt;='Hiring plan'!$G$21,BC$3&lt;=IF('Hiring plan'!$H$21="",999,'Hiring plan'!$H$21)),'Hiring plan'!$F$21,0)</f>
        <v>0</v>
      </c>
      <c r="BD25" s="33" t="n">
        <f aca="false">IF(AND(N('Hiring plan'!$F$21)&gt;0,BD$3&gt;='Hiring plan'!$G$21,BD$3&lt;=IF('Hiring plan'!$H$21="",999,'Hiring plan'!$H$21)),'Hiring plan'!$F$21,0)</f>
        <v>0</v>
      </c>
      <c r="BE25" s="33" t="n">
        <f aca="false">IF(AND(N('Hiring plan'!$F$21)&gt;0,BE$3&gt;='Hiring plan'!$G$21,BE$3&lt;=IF('Hiring plan'!$H$21="",999,'Hiring plan'!$H$21)),'Hiring plan'!$F$21,0)</f>
        <v>0</v>
      </c>
      <c r="BF25" s="33" t="n">
        <f aca="false">IF(AND(N('Hiring plan'!$F$21)&gt;0,BF$3&gt;='Hiring plan'!$G$21,BF$3&lt;=IF('Hiring plan'!$H$21="",999,'Hiring plan'!$H$21)),'Hiring plan'!$F$21,0)</f>
        <v>0</v>
      </c>
      <c r="BG25" s="33" t="n">
        <f aca="false">IF(AND(N('Hiring plan'!$F$21)&gt;0,BG$3&gt;='Hiring plan'!$G$21,BG$3&lt;=IF('Hiring plan'!$H$21="",999,'Hiring plan'!$H$21)),'Hiring plan'!$F$21,0)</f>
        <v>0</v>
      </c>
      <c r="BH25" s="33" t="n">
        <f aca="false">IF(AND(N('Hiring plan'!$F$21)&gt;0,BH$3&gt;='Hiring plan'!$G$21,BH$3&lt;=IF('Hiring plan'!$H$21="",999,'Hiring plan'!$H$21)),'Hiring plan'!$F$21,0)</f>
        <v>0</v>
      </c>
      <c r="BI25" s="33" t="n">
        <f aca="false">IF(AND(N('Hiring plan'!$F$21)&gt;0,BI$3&gt;='Hiring plan'!$G$21,BI$3&lt;=IF('Hiring plan'!$H$21="",999,'Hiring plan'!$H$21)),'Hiring plan'!$F$21,0)</f>
        <v>0</v>
      </c>
      <c r="BJ25" s="33" t="n">
        <f aca="false">IF(AND(N('Hiring plan'!$F$21)&gt;0,BJ$3&gt;='Hiring plan'!$G$21,BJ$3&lt;=IF('Hiring plan'!$H$21="",999,'Hiring plan'!$H$21)),'Hiring plan'!$F$21,0)</f>
        <v>0</v>
      </c>
      <c r="BK25" s="33" t="n">
        <f aca="false">IF(AND(N('Hiring plan'!$F$21)&gt;0,BK$3&gt;='Hiring plan'!$G$21,BK$3&lt;=IF('Hiring plan'!$H$21="",999,'Hiring plan'!$H$21)),'Hiring plan'!$F$21,0)</f>
        <v>0</v>
      </c>
      <c r="BL25" s="33" t="n">
        <f aca="false">IF(AND(N('Hiring plan'!$F$21)&gt;0,BL$3&gt;='Hiring plan'!$G$21,BL$3&lt;=IF('Hiring plan'!$H$21="",999,'Hiring plan'!$H$21)),'Hiring plan'!$F$21,0)</f>
        <v>0</v>
      </c>
    </row>
    <row r="26" customFormat="false" ht="15" hidden="false" customHeight="true" outlineLevel="0" collapsed="false">
      <c r="A26" s="13" t="str">
        <f aca="false">IF('Hiring plan'!$C$22="","(spare line 18)",'Hiring plan'!$C$22&amp;" · "&amp;'Hiring plan'!$D$22)</f>
        <v>(spare line 18)</v>
      </c>
      <c r="B26" s="15" t="s">
        <v>92</v>
      </c>
      <c r="D26" s="56" t="n">
        <f aca="false">MAX(E26:BL26)</f>
        <v>0</v>
      </c>
      <c r="E26" s="33" t="n">
        <f aca="false">IF(AND(N('Hiring plan'!$F$22)&gt;0,E$3&gt;='Hiring plan'!$G$22,E$3&lt;=IF('Hiring plan'!$H$22="",999,'Hiring plan'!$H$22)),'Hiring plan'!$F$22,0)</f>
        <v>0</v>
      </c>
      <c r="F26" s="33" t="n">
        <f aca="false">IF(AND(N('Hiring plan'!$F$22)&gt;0,F$3&gt;='Hiring plan'!$G$22,F$3&lt;=IF('Hiring plan'!$H$22="",999,'Hiring plan'!$H$22)),'Hiring plan'!$F$22,0)</f>
        <v>0</v>
      </c>
      <c r="G26" s="33" t="n">
        <f aca="false">IF(AND(N('Hiring plan'!$F$22)&gt;0,G$3&gt;='Hiring plan'!$G$22,G$3&lt;=IF('Hiring plan'!$H$22="",999,'Hiring plan'!$H$22)),'Hiring plan'!$F$22,0)</f>
        <v>0</v>
      </c>
      <c r="H26" s="33" t="n">
        <f aca="false">IF(AND(N('Hiring plan'!$F$22)&gt;0,H$3&gt;='Hiring plan'!$G$22,H$3&lt;=IF('Hiring plan'!$H$22="",999,'Hiring plan'!$H$22)),'Hiring plan'!$F$22,0)</f>
        <v>0</v>
      </c>
      <c r="I26" s="33" t="n">
        <f aca="false">IF(AND(N('Hiring plan'!$F$22)&gt;0,I$3&gt;='Hiring plan'!$G$22,I$3&lt;=IF('Hiring plan'!$H$22="",999,'Hiring plan'!$H$22)),'Hiring plan'!$F$22,0)</f>
        <v>0</v>
      </c>
      <c r="J26" s="33" t="n">
        <f aca="false">IF(AND(N('Hiring plan'!$F$22)&gt;0,J$3&gt;='Hiring plan'!$G$22,J$3&lt;=IF('Hiring plan'!$H$22="",999,'Hiring plan'!$H$22)),'Hiring plan'!$F$22,0)</f>
        <v>0</v>
      </c>
      <c r="K26" s="33" t="n">
        <f aca="false">IF(AND(N('Hiring plan'!$F$22)&gt;0,K$3&gt;='Hiring plan'!$G$22,K$3&lt;=IF('Hiring plan'!$H$22="",999,'Hiring plan'!$H$22)),'Hiring plan'!$F$22,0)</f>
        <v>0</v>
      </c>
      <c r="L26" s="33" t="n">
        <f aca="false">IF(AND(N('Hiring plan'!$F$22)&gt;0,L$3&gt;='Hiring plan'!$G$22,L$3&lt;=IF('Hiring plan'!$H$22="",999,'Hiring plan'!$H$22)),'Hiring plan'!$F$22,0)</f>
        <v>0</v>
      </c>
      <c r="M26" s="33" t="n">
        <f aca="false">IF(AND(N('Hiring plan'!$F$22)&gt;0,M$3&gt;='Hiring plan'!$G$22,M$3&lt;=IF('Hiring plan'!$H$22="",999,'Hiring plan'!$H$22)),'Hiring plan'!$F$22,0)</f>
        <v>0</v>
      </c>
      <c r="N26" s="33" t="n">
        <f aca="false">IF(AND(N('Hiring plan'!$F$22)&gt;0,N$3&gt;='Hiring plan'!$G$22,N$3&lt;=IF('Hiring plan'!$H$22="",999,'Hiring plan'!$H$22)),'Hiring plan'!$F$22,0)</f>
        <v>0</v>
      </c>
      <c r="O26" s="33" t="n">
        <f aca="false">IF(AND(N('Hiring plan'!$F$22)&gt;0,O$3&gt;='Hiring plan'!$G$22,O$3&lt;=IF('Hiring plan'!$H$22="",999,'Hiring plan'!$H$22)),'Hiring plan'!$F$22,0)</f>
        <v>0</v>
      </c>
      <c r="P26" s="33" t="n">
        <f aca="false">IF(AND(N('Hiring plan'!$F$22)&gt;0,P$3&gt;='Hiring plan'!$G$22,P$3&lt;=IF('Hiring plan'!$H$22="",999,'Hiring plan'!$H$22)),'Hiring plan'!$F$22,0)</f>
        <v>0</v>
      </c>
      <c r="Q26" s="33" t="n">
        <f aca="false">IF(AND(N('Hiring plan'!$F$22)&gt;0,Q$3&gt;='Hiring plan'!$G$22,Q$3&lt;=IF('Hiring plan'!$H$22="",999,'Hiring plan'!$H$22)),'Hiring plan'!$F$22,0)</f>
        <v>0</v>
      </c>
      <c r="R26" s="33" t="n">
        <f aca="false">IF(AND(N('Hiring plan'!$F$22)&gt;0,R$3&gt;='Hiring plan'!$G$22,R$3&lt;=IF('Hiring plan'!$H$22="",999,'Hiring plan'!$H$22)),'Hiring plan'!$F$22,0)</f>
        <v>0</v>
      </c>
      <c r="S26" s="33" t="n">
        <f aca="false">IF(AND(N('Hiring plan'!$F$22)&gt;0,S$3&gt;='Hiring plan'!$G$22,S$3&lt;=IF('Hiring plan'!$H$22="",999,'Hiring plan'!$H$22)),'Hiring plan'!$F$22,0)</f>
        <v>0</v>
      </c>
      <c r="T26" s="33" t="n">
        <f aca="false">IF(AND(N('Hiring plan'!$F$22)&gt;0,T$3&gt;='Hiring plan'!$G$22,T$3&lt;=IF('Hiring plan'!$H$22="",999,'Hiring plan'!$H$22)),'Hiring plan'!$F$22,0)</f>
        <v>0</v>
      </c>
      <c r="U26" s="33" t="n">
        <f aca="false">IF(AND(N('Hiring plan'!$F$22)&gt;0,U$3&gt;='Hiring plan'!$G$22,U$3&lt;=IF('Hiring plan'!$H$22="",999,'Hiring plan'!$H$22)),'Hiring plan'!$F$22,0)</f>
        <v>0</v>
      </c>
      <c r="V26" s="33" t="n">
        <f aca="false">IF(AND(N('Hiring plan'!$F$22)&gt;0,V$3&gt;='Hiring plan'!$G$22,V$3&lt;=IF('Hiring plan'!$H$22="",999,'Hiring plan'!$H$22)),'Hiring plan'!$F$22,0)</f>
        <v>0</v>
      </c>
      <c r="W26" s="33" t="n">
        <f aca="false">IF(AND(N('Hiring plan'!$F$22)&gt;0,W$3&gt;='Hiring plan'!$G$22,W$3&lt;=IF('Hiring plan'!$H$22="",999,'Hiring plan'!$H$22)),'Hiring plan'!$F$22,0)</f>
        <v>0</v>
      </c>
      <c r="X26" s="33" t="n">
        <f aca="false">IF(AND(N('Hiring plan'!$F$22)&gt;0,X$3&gt;='Hiring plan'!$G$22,X$3&lt;=IF('Hiring plan'!$H$22="",999,'Hiring plan'!$H$22)),'Hiring plan'!$F$22,0)</f>
        <v>0</v>
      </c>
      <c r="Y26" s="33" t="n">
        <f aca="false">IF(AND(N('Hiring plan'!$F$22)&gt;0,Y$3&gt;='Hiring plan'!$G$22,Y$3&lt;=IF('Hiring plan'!$H$22="",999,'Hiring plan'!$H$22)),'Hiring plan'!$F$22,0)</f>
        <v>0</v>
      </c>
      <c r="Z26" s="33" t="n">
        <f aca="false">IF(AND(N('Hiring plan'!$F$22)&gt;0,Z$3&gt;='Hiring plan'!$G$22,Z$3&lt;=IF('Hiring plan'!$H$22="",999,'Hiring plan'!$H$22)),'Hiring plan'!$F$22,0)</f>
        <v>0</v>
      </c>
      <c r="AA26" s="33" t="n">
        <f aca="false">IF(AND(N('Hiring plan'!$F$22)&gt;0,AA$3&gt;='Hiring plan'!$G$22,AA$3&lt;=IF('Hiring plan'!$H$22="",999,'Hiring plan'!$H$22)),'Hiring plan'!$F$22,0)</f>
        <v>0</v>
      </c>
      <c r="AB26" s="33" t="n">
        <f aca="false">IF(AND(N('Hiring plan'!$F$22)&gt;0,AB$3&gt;='Hiring plan'!$G$22,AB$3&lt;=IF('Hiring plan'!$H$22="",999,'Hiring plan'!$H$22)),'Hiring plan'!$F$22,0)</f>
        <v>0</v>
      </c>
      <c r="AC26" s="33" t="n">
        <f aca="false">IF(AND(N('Hiring plan'!$F$22)&gt;0,AC$3&gt;='Hiring plan'!$G$22,AC$3&lt;=IF('Hiring plan'!$H$22="",999,'Hiring plan'!$H$22)),'Hiring plan'!$F$22,0)</f>
        <v>0</v>
      </c>
      <c r="AD26" s="33" t="n">
        <f aca="false">IF(AND(N('Hiring plan'!$F$22)&gt;0,AD$3&gt;='Hiring plan'!$G$22,AD$3&lt;=IF('Hiring plan'!$H$22="",999,'Hiring plan'!$H$22)),'Hiring plan'!$F$22,0)</f>
        <v>0</v>
      </c>
      <c r="AE26" s="33" t="n">
        <f aca="false">IF(AND(N('Hiring plan'!$F$22)&gt;0,AE$3&gt;='Hiring plan'!$G$22,AE$3&lt;=IF('Hiring plan'!$H$22="",999,'Hiring plan'!$H$22)),'Hiring plan'!$F$22,0)</f>
        <v>0</v>
      </c>
      <c r="AF26" s="33" t="n">
        <f aca="false">IF(AND(N('Hiring plan'!$F$22)&gt;0,AF$3&gt;='Hiring plan'!$G$22,AF$3&lt;=IF('Hiring plan'!$H$22="",999,'Hiring plan'!$H$22)),'Hiring plan'!$F$22,0)</f>
        <v>0</v>
      </c>
      <c r="AG26" s="33" t="n">
        <f aca="false">IF(AND(N('Hiring plan'!$F$22)&gt;0,AG$3&gt;='Hiring plan'!$G$22,AG$3&lt;=IF('Hiring plan'!$H$22="",999,'Hiring plan'!$H$22)),'Hiring plan'!$F$22,0)</f>
        <v>0</v>
      </c>
      <c r="AH26" s="33" t="n">
        <f aca="false">IF(AND(N('Hiring plan'!$F$22)&gt;0,AH$3&gt;='Hiring plan'!$G$22,AH$3&lt;=IF('Hiring plan'!$H$22="",999,'Hiring plan'!$H$22)),'Hiring plan'!$F$22,0)</f>
        <v>0</v>
      </c>
      <c r="AI26" s="33" t="n">
        <f aca="false">IF(AND(N('Hiring plan'!$F$22)&gt;0,AI$3&gt;='Hiring plan'!$G$22,AI$3&lt;=IF('Hiring plan'!$H$22="",999,'Hiring plan'!$H$22)),'Hiring plan'!$F$22,0)</f>
        <v>0</v>
      </c>
      <c r="AJ26" s="33" t="n">
        <f aca="false">IF(AND(N('Hiring plan'!$F$22)&gt;0,AJ$3&gt;='Hiring plan'!$G$22,AJ$3&lt;=IF('Hiring plan'!$H$22="",999,'Hiring plan'!$H$22)),'Hiring plan'!$F$22,0)</f>
        <v>0</v>
      </c>
      <c r="AK26" s="33" t="n">
        <f aca="false">IF(AND(N('Hiring plan'!$F$22)&gt;0,AK$3&gt;='Hiring plan'!$G$22,AK$3&lt;=IF('Hiring plan'!$H$22="",999,'Hiring plan'!$H$22)),'Hiring plan'!$F$22,0)</f>
        <v>0</v>
      </c>
      <c r="AL26" s="33" t="n">
        <f aca="false">IF(AND(N('Hiring plan'!$F$22)&gt;0,AL$3&gt;='Hiring plan'!$G$22,AL$3&lt;=IF('Hiring plan'!$H$22="",999,'Hiring plan'!$H$22)),'Hiring plan'!$F$22,0)</f>
        <v>0</v>
      </c>
      <c r="AM26" s="33" t="n">
        <f aca="false">IF(AND(N('Hiring plan'!$F$22)&gt;0,AM$3&gt;='Hiring plan'!$G$22,AM$3&lt;=IF('Hiring plan'!$H$22="",999,'Hiring plan'!$H$22)),'Hiring plan'!$F$22,0)</f>
        <v>0</v>
      </c>
      <c r="AN26" s="33" t="n">
        <f aca="false">IF(AND(N('Hiring plan'!$F$22)&gt;0,AN$3&gt;='Hiring plan'!$G$22,AN$3&lt;=IF('Hiring plan'!$H$22="",999,'Hiring plan'!$H$22)),'Hiring plan'!$F$22,0)</f>
        <v>0</v>
      </c>
      <c r="AO26" s="33" t="n">
        <f aca="false">IF(AND(N('Hiring plan'!$F$22)&gt;0,AO$3&gt;='Hiring plan'!$G$22,AO$3&lt;=IF('Hiring plan'!$H$22="",999,'Hiring plan'!$H$22)),'Hiring plan'!$F$22,0)</f>
        <v>0</v>
      </c>
      <c r="AP26" s="33" t="n">
        <f aca="false">IF(AND(N('Hiring plan'!$F$22)&gt;0,AP$3&gt;='Hiring plan'!$G$22,AP$3&lt;=IF('Hiring plan'!$H$22="",999,'Hiring plan'!$H$22)),'Hiring plan'!$F$22,0)</f>
        <v>0</v>
      </c>
      <c r="AQ26" s="33" t="n">
        <f aca="false">IF(AND(N('Hiring plan'!$F$22)&gt;0,AQ$3&gt;='Hiring plan'!$G$22,AQ$3&lt;=IF('Hiring plan'!$H$22="",999,'Hiring plan'!$H$22)),'Hiring plan'!$F$22,0)</f>
        <v>0</v>
      </c>
      <c r="AR26" s="33" t="n">
        <f aca="false">IF(AND(N('Hiring plan'!$F$22)&gt;0,AR$3&gt;='Hiring plan'!$G$22,AR$3&lt;=IF('Hiring plan'!$H$22="",999,'Hiring plan'!$H$22)),'Hiring plan'!$F$22,0)</f>
        <v>0</v>
      </c>
      <c r="AS26" s="33" t="n">
        <f aca="false">IF(AND(N('Hiring plan'!$F$22)&gt;0,AS$3&gt;='Hiring plan'!$G$22,AS$3&lt;=IF('Hiring plan'!$H$22="",999,'Hiring plan'!$H$22)),'Hiring plan'!$F$22,0)</f>
        <v>0</v>
      </c>
      <c r="AT26" s="33" t="n">
        <f aca="false">IF(AND(N('Hiring plan'!$F$22)&gt;0,AT$3&gt;='Hiring plan'!$G$22,AT$3&lt;=IF('Hiring plan'!$H$22="",999,'Hiring plan'!$H$22)),'Hiring plan'!$F$22,0)</f>
        <v>0</v>
      </c>
      <c r="AU26" s="33" t="n">
        <f aca="false">IF(AND(N('Hiring plan'!$F$22)&gt;0,AU$3&gt;='Hiring plan'!$G$22,AU$3&lt;=IF('Hiring plan'!$H$22="",999,'Hiring plan'!$H$22)),'Hiring plan'!$F$22,0)</f>
        <v>0</v>
      </c>
      <c r="AV26" s="33" t="n">
        <f aca="false">IF(AND(N('Hiring plan'!$F$22)&gt;0,AV$3&gt;='Hiring plan'!$G$22,AV$3&lt;=IF('Hiring plan'!$H$22="",999,'Hiring plan'!$H$22)),'Hiring plan'!$F$22,0)</f>
        <v>0</v>
      </c>
      <c r="AW26" s="33" t="n">
        <f aca="false">IF(AND(N('Hiring plan'!$F$22)&gt;0,AW$3&gt;='Hiring plan'!$G$22,AW$3&lt;=IF('Hiring plan'!$H$22="",999,'Hiring plan'!$H$22)),'Hiring plan'!$F$22,0)</f>
        <v>0</v>
      </c>
      <c r="AX26" s="33" t="n">
        <f aca="false">IF(AND(N('Hiring plan'!$F$22)&gt;0,AX$3&gt;='Hiring plan'!$G$22,AX$3&lt;=IF('Hiring plan'!$H$22="",999,'Hiring plan'!$H$22)),'Hiring plan'!$F$22,0)</f>
        <v>0</v>
      </c>
      <c r="AY26" s="33" t="n">
        <f aca="false">IF(AND(N('Hiring plan'!$F$22)&gt;0,AY$3&gt;='Hiring plan'!$G$22,AY$3&lt;=IF('Hiring plan'!$H$22="",999,'Hiring plan'!$H$22)),'Hiring plan'!$F$22,0)</f>
        <v>0</v>
      </c>
      <c r="AZ26" s="33" t="n">
        <f aca="false">IF(AND(N('Hiring plan'!$F$22)&gt;0,AZ$3&gt;='Hiring plan'!$G$22,AZ$3&lt;=IF('Hiring plan'!$H$22="",999,'Hiring plan'!$H$22)),'Hiring plan'!$F$22,0)</f>
        <v>0</v>
      </c>
      <c r="BA26" s="33" t="n">
        <f aca="false">IF(AND(N('Hiring plan'!$F$22)&gt;0,BA$3&gt;='Hiring plan'!$G$22,BA$3&lt;=IF('Hiring plan'!$H$22="",999,'Hiring plan'!$H$22)),'Hiring plan'!$F$22,0)</f>
        <v>0</v>
      </c>
      <c r="BB26" s="33" t="n">
        <f aca="false">IF(AND(N('Hiring plan'!$F$22)&gt;0,BB$3&gt;='Hiring plan'!$G$22,BB$3&lt;=IF('Hiring plan'!$H$22="",999,'Hiring plan'!$H$22)),'Hiring plan'!$F$22,0)</f>
        <v>0</v>
      </c>
      <c r="BC26" s="33" t="n">
        <f aca="false">IF(AND(N('Hiring plan'!$F$22)&gt;0,BC$3&gt;='Hiring plan'!$G$22,BC$3&lt;=IF('Hiring plan'!$H$22="",999,'Hiring plan'!$H$22)),'Hiring plan'!$F$22,0)</f>
        <v>0</v>
      </c>
      <c r="BD26" s="33" t="n">
        <f aca="false">IF(AND(N('Hiring plan'!$F$22)&gt;0,BD$3&gt;='Hiring plan'!$G$22,BD$3&lt;=IF('Hiring plan'!$H$22="",999,'Hiring plan'!$H$22)),'Hiring plan'!$F$22,0)</f>
        <v>0</v>
      </c>
      <c r="BE26" s="33" t="n">
        <f aca="false">IF(AND(N('Hiring plan'!$F$22)&gt;0,BE$3&gt;='Hiring plan'!$G$22,BE$3&lt;=IF('Hiring plan'!$H$22="",999,'Hiring plan'!$H$22)),'Hiring plan'!$F$22,0)</f>
        <v>0</v>
      </c>
      <c r="BF26" s="33" t="n">
        <f aca="false">IF(AND(N('Hiring plan'!$F$22)&gt;0,BF$3&gt;='Hiring plan'!$G$22,BF$3&lt;=IF('Hiring plan'!$H$22="",999,'Hiring plan'!$H$22)),'Hiring plan'!$F$22,0)</f>
        <v>0</v>
      </c>
      <c r="BG26" s="33" t="n">
        <f aca="false">IF(AND(N('Hiring plan'!$F$22)&gt;0,BG$3&gt;='Hiring plan'!$G$22,BG$3&lt;=IF('Hiring plan'!$H$22="",999,'Hiring plan'!$H$22)),'Hiring plan'!$F$22,0)</f>
        <v>0</v>
      </c>
      <c r="BH26" s="33" t="n">
        <f aca="false">IF(AND(N('Hiring plan'!$F$22)&gt;0,BH$3&gt;='Hiring plan'!$G$22,BH$3&lt;=IF('Hiring plan'!$H$22="",999,'Hiring plan'!$H$22)),'Hiring plan'!$F$22,0)</f>
        <v>0</v>
      </c>
      <c r="BI26" s="33" t="n">
        <f aca="false">IF(AND(N('Hiring plan'!$F$22)&gt;0,BI$3&gt;='Hiring plan'!$G$22,BI$3&lt;=IF('Hiring plan'!$H$22="",999,'Hiring plan'!$H$22)),'Hiring plan'!$F$22,0)</f>
        <v>0</v>
      </c>
      <c r="BJ26" s="33" t="n">
        <f aca="false">IF(AND(N('Hiring plan'!$F$22)&gt;0,BJ$3&gt;='Hiring plan'!$G$22,BJ$3&lt;=IF('Hiring plan'!$H$22="",999,'Hiring plan'!$H$22)),'Hiring plan'!$F$22,0)</f>
        <v>0</v>
      </c>
      <c r="BK26" s="33" t="n">
        <f aca="false">IF(AND(N('Hiring plan'!$F$22)&gt;0,BK$3&gt;='Hiring plan'!$G$22,BK$3&lt;=IF('Hiring plan'!$H$22="",999,'Hiring plan'!$H$22)),'Hiring plan'!$F$22,0)</f>
        <v>0</v>
      </c>
      <c r="BL26" s="33" t="n">
        <f aca="false">IF(AND(N('Hiring plan'!$F$22)&gt;0,BL$3&gt;='Hiring plan'!$G$22,BL$3&lt;=IF('Hiring plan'!$H$22="",999,'Hiring plan'!$H$22)),'Hiring plan'!$F$22,0)</f>
        <v>0</v>
      </c>
    </row>
    <row r="27" customFormat="false" ht="15" hidden="false" customHeight="true" outlineLevel="0" collapsed="false">
      <c r="A27" s="13" t="str">
        <f aca="false">IF('Hiring plan'!$C$23="","(spare line 19)",'Hiring plan'!$C$23&amp;" · "&amp;'Hiring plan'!$D$23)</f>
        <v>(spare line 19)</v>
      </c>
      <c r="B27" s="15" t="s">
        <v>92</v>
      </c>
      <c r="D27" s="56" t="n">
        <f aca="false">MAX(E27:BL27)</f>
        <v>0</v>
      </c>
      <c r="E27" s="33" t="n">
        <f aca="false">IF(AND(N('Hiring plan'!$F$23)&gt;0,E$3&gt;='Hiring plan'!$G$23,E$3&lt;=IF('Hiring plan'!$H$23="",999,'Hiring plan'!$H$23)),'Hiring plan'!$F$23,0)</f>
        <v>0</v>
      </c>
      <c r="F27" s="33" t="n">
        <f aca="false">IF(AND(N('Hiring plan'!$F$23)&gt;0,F$3&gt;='Hiring plan'!$G$23,F$3&lt;=IF('Hiring plan'!$H$23="",999,'Hiring plan'!$H$23)),'Hiring plan'!$F$23,0)</f>
        <v>0</v>
      </c>
      <c r="G27" s="33" t="n">
        <f aca="false">IF(AND(N('Hiring plan'!$F$23)&gt;0,G$3&gt;='Hiring plan'!$G$23,G$3&lt;=IF('Hiring plan'!$H$23="",999,'Hiring plan'!$H$23)),'Hiring plan'!$F$23,0)</f>
        <v>0</v>
      </c>
      <c r="H27" s="33" t="n">
        <f aca="false">IF(AND(N('Hiring plan'!$F$23)&gt;0,H$3&gt;='Hiring plan'!$G$23,H$3&lt;=IF('Hiring plan'!$H$23="",999,'Hiring plan'!$H$23)),'Hiring plan'!$F$23,0)</f>
        <v>0</v>
      </c>
      <c r="I27" s="33" t="n">
        <f aca="false">IF(AND(N('Hiring plan'!$F$23)&gt;0,I$3&gt;='Hiring plan'!$G$23,I$3&lt;=IF('Hiring plan'!$H$23="",999,'Hiring plan'!$H$23)),'Hiring plan'!$F$23,0)</f>
        <v>0</v>
      </c>
      <c r="J27" s="33" t="n">
        <f aca="false">IF(AND(N('Hiring plan'!$F$23)&gt;0,J$3&gt;='Hiring plan'!$G$23,J$3&lt;=IF('Hiring plan'!$H$23="",999,'Hiring plan'!$H$23)),'Hiring plan'!$F$23,0)</f>
        <v>0</v>
      </c>
      <c r="K27" s="33" t="n">
        <f aca="false">IF(AND(N('Hiring plan'!$F$23)&gt;0,K$3&gt;='Hiring plan'!$G$23,K$3&lt;=IF('Hiring plan'!$H$23="",999,'Hiring plan'!$H$23)),'Hiring plan'!$F$23,0)</f>
        <v>0</v>
      </c>
      <c r="L27" s="33" t="n">
        <f aca="false">IF(AND(N('Hiring plan'!$F$23)&gt;0,L$3&gt;='Hiring plan'!$G$23,L$3&lt;=IF('Hiring plan'!$H$23="",999,'Hiring plan'!$H$23)),'Hiring plan'!$F$23,0)</f>
        <v>0</v>
      </c>
      <c r="M27" s="33" t="n">
        <f aca="false">IF(AND(N('Hiring plan'!$F$23)&gt;0,M$3&gt;='Hiring plan'!$G$23,M$3&lt;=IF('Hiring plan'!$H$23="",999,'Hiring plan'!$H$23)),'Hiring plan'!$F$23,0)</f>
        <v>0</v>
      </c>
      <c r="N27" s="33" t="n">
        <f aca="false">IF(AND(N('Hiring plan'!$F$23)&gt;0,N$3&gt;='Hiring plan'!$G$23,N$3&lt;=IF('Hiring plan'!$H$23="",999,'Hiring plan'!$H$23)),'Hiring plan'!$F$23,0)</f>
        <v>0</v>
      </c>
      <c r="O27" s="33" t="n">
        <f aca="false">IF(AND(N('Hiring plan'!$F$23)&gt;0,O$3&gt;='Hiring plan'!$G$23,O$3&lt;=IF('Hiring plan'!$H$23="",999,'Hiring plan'!$H$23)),'Hiring plan'!$F$23,0)</f>
        <v>0</v>
      </c>
      <c r="P27" s="33" t="n">
        <f aca="false">IF(AND(N('Hiring plan'!$F$23)&gt;0,P$3&gt;='Hiring plan'!$G$23,P$3&lt;=IF('Hiring plan'!$H$23="",999,'Hiring plan'!$H$23)),'Hiring plan'!$F$23,0)</f>
        <v>0</v>
      </c>
      <c r="Q27" s="33" t="n">
        <f aca="false">IF(AND(N('Hiring plan'!$F$23)&gt;0,Q$3&gt;='Hiring plan'!$G$23,Q$3&lt;=IF('Hiring plan'!$H$23="",999,'Hiring plan'!$H$23)),'Hiring plan'!$F$23,0)</f>
        <v>0</v>
      </c>
      <c r="R27" s="33" t="n">
        <f aca="false">IF(AND(N('Hiring plan'!$F$23)&gt;0,R$3&gt;='Hiring plan'!$G$23,R$3&lt;=IF('Hiring plan'!$H$23="",999,'Hiring plan'!$H$23)),'Hiring plan'!$F$23,0)</f>
        <v>0</v>
      </c>
      <c r="S27" s="33" t="n">
        <f aca="false">IF(AND(N('Hiring plan'!$F$23)&gt;0,S$3&gt;='Hiring plan'!$G$23,S$3&lt;=IF('Hiring plan'!$H$23="",999,'Hiring plan'!$H$23)),'Hiring plan'!$F$23,0)</f>
        <v>0</v>
      </c>
      <c r="T27" s="33" t="n">
        <f aca="false">IF(AND(N('Hiring plan'!$F$23)&gt;0,T$3&gt;='Hiring plan'!$G$23,T$3&lt;=IF('Hiring plan'!$H$23="",999,'Hiring plan'!$H$23)),'Hiring plan'!$F$23,0)</f>
        <v>0</v>
      </c>
      <c r="U27" s="33" t="n">
        <f aca="false">IF(AND(N('Hiring plan'!$F$23)&gt;0,U$3&gt;='Hiring plan'!$G$23,U$3&lt;=IF('Hiring plan'!$H$23="",999,'Hiring plan'!$H$23)),'Hiring plan'!$F$23,0)</f>
        <v>0</v>
      </c>
      <c r="V27" s="33" t="n">
        <f aca="false">IF(AND(N('Hiring plan'!$F$23)&gt;0,V$3&gt;='Hiring plan'!$G$23,V$3&lt;=IF('Hiring plan'!$H$23="",999,'Hiring plan'!$H$23)),'Hiring plan'!$F$23,0)</f>
        <v>0</v>
      </c>
      <c r="W27" s="33" t="n">
        <f aca="false">IF(AND(N('Hiring plan'!$F$23)&gt;0,W$3&gt;='Hiring plan'!$G$23,W$3&lt;=IF('Hiring plan'!$H$23="",999,'Hiring plan'!$H$23)),'Hiring plan'!$F$23,0)</f>
        <v>0</v>
      </c>
      <c r="X27" s="33" t="n">
        <f aca="false">IF(AND(N('Hiring plan'!$F$23)&gt;0,X$3&gt;='Hiring plan'!$G$23,X$3&lt;=IF('Hiring plan'!$H$23="",999,'Hiring plan'!$H$23)),'Hiring plan'!$F$23,0)</f>
        <v>0</v>
      </c>
      <c r="Y27" s="33" t="n">
        <f aca="false">IF(AND(N('Hiring plan'!$F$23)&gt;0,Y$3&gt;='Hiring plan'!$G$23,Y$3&lt;=IF('Hiring plan'!$H$23="",999,'Hiring plan'!$H$23)),'Hiring plan'!$F$23,0)</f>
        <v>0</v>
      </c>
      <c r="Z27" s="33" t="n">
        <f aca="false">IF(AND(N('Hiring plan'!$F$23)&gt;0,Z$3&gt;='Hiring plan'!$G$23,Z$3&lt;=IF('Hiring plan'!$H$23="",999,'Hiring plan'!$H$23)),'Hiring plan'!$F$23,0)</f>
        <v>0</v>
      </c>
      <c r="AA27" s="33" t="n">
        <f aca="false">IF(AND(N('Hiring plan'!$F$23)&gt;0,AA$3&gt;='Hiring plan'!$G$23,AA$3&lt;=IF('Hiring plan'!$H$23="",999,'Hiring plan'!$H$23)),'Hiring plan'!$F$23,0)</f>
        <v>0</v>
      </c>
      <c r="AB27" s="33" t="n">
        <f aca="false">IF(AND(N('Hiring plan'!$F$23)&gt;0,AB$3&gt;='Hiring plan'!$G$23,AB$3&lt;=IF('Hiring plan'!$H$23="",999,'Hiring plan'!$H$23)),'Hiring plan'!$F$23,0)</f>
        <v>0</v>
      </c>
      <c r="AC27" s="33" t="n">
        <f aca="false">IF(AND(N('Hiring plan'!$F$23)&gt;0,AC$3&gt;='Hiring plan'!$G$23,AC$3&lt;=IF('Hiring plan'!$H$23="",999,'Hiring plan'!$H$23)),'Hiring plan'!$F$23,0)</f>
        <v>0</v>
      </c>
      <c r="AD27" s="33" t="n">
        <f aca="false">IF(AND(N('Hiring plan'!$F$23)&gt;0,AD$3&gt;='Hiring plan'!$G$23,AD$3&lt;=IF('Hiring plan'!$H$23="",999,'Hiring plan'!$H$23)),'Hiring plan'!$F$23,0)</f>
        <v>0</v>
      </c>
      <c r="AE27" s="33" t="n">
        <f aca="false">IF(AND(N('Hiring plan'!$F$23)&gt;0,AE$3&gt;='Hiring plan'!$G$23,AE$3&lt;=IF('Hiring plan'!$H$23="",999,'Hiring plan'!$H$23)),'Hiring plan'!$F$23,0)</f>
        <v>0</v>
      </c>
      <c r="AF27" s="33" t="n">
        <f aca="false">IF(AND(N('Hiring plan'!$F$23)&gt;0,AF$3&gt;='Hiring plan'!$G$23,AF$3&lt;=IF('Hiring plan'!$H$23="",999,'Hiring plan'!$H$23)),'Hiring plan'!$F$23,0)</f>
        <v>0</v>
      </c>
      <c r="AG27" s="33" t="n">
        <f aca="false">IF(AND(N('Hiring plan'!$F$23)&gt;0,AG$3&gt;='Hiring plan'!$G$23,AG$3&lt;=IF('Hiring plan'!$H$23="",999,'Hiring plan'!$H$23)),'Hiring plan'!$F$23,0)</f>
        <v>0</v>
      </c>
      <c r="AH27" s="33" t="n">
        <f aca="false">IF(AND(N('Hiring plan'!$F$23)&gt;0,AH$3&gt;='Hiring plan'!$G$23,AH$3&lt;=IF('Hiring plan'!$H$23="",999,'Hiring plan'!$H$23)),'Hiring plan'!$F$23,0)</f>
        <v>0</v>
      </c>
      <c r="AI27" s="33" t="n">
        <f aca="false">IF(AND(N('Hiring plan'!$F$23)&gt;0,AI$3&gt;='Hiring plan'!$G$23,AI$3&lt;=IF('Hiring plan'!$H$23="",999,'Hiring plan'!$H$23)),'Hiring plan'!$F$23,0)</f>
        <v>0</v>
      </c>
      <c r="AJ27" s="33" t="n">
        <f aca="false">IF(AND(N('Hiring plan'!$F$23)&gt;0,AJ$3&gt;='Hiring plan'!$G$23,AJ$3&lt;=IF('Hiring plan'!$H$23="",999,'Hiring plan'!$H$23)),'Hiring plan'!$F$23,0)</f>
        <v>0</v>
      </c>
      <c r="AK27" s="33" t="n">
        <f aca="false">IF(AND(N('Hiring plan'!$F$23)&gt;0,AK$3&gt;='Hiring plan'!$G$23,AK$3&lt;=IF('Hiring plan'!$H$23="",999,'Hiring plan'!$H$23)),'Hiring plan'!$F$23,0)</f>
        <v>0</v>
      </c>
      <c r="AL27" s="33" t="n">
        <f aca="false">IF(AND(N('Hiring plan'!$F$23)&gt;0,AL$3&gt;='Hiring plan'!$G$23,AL$3&lt;=IF('Hiring plan'!$H$23="",999,'Hiring plan'!$H$23)),'Hiring plan'!$F$23,0)</f>
        <v>0</v>
      </c>
      <c r="AM27" s="33" t="n">
        <f aca="false">IF(AND(N('Hiring plan'!$F$23)&gt;0,AM$3&gt;='Hiring plan'!$G$23,AM$3&lt;=IF('Hiring plan'!$H$23="",999,'Hiring plan'!$H$23)),'Hiring plan'!$F$23,0)</f>
        <v>0</v>
      </c>
      <c r="AN27" s="33" t="n">
        <f aca="false">IF(AND(N('Hiring plan'!$F$23)&gt;0,AN$3&gt;='Hiring plan'!$G$23,AN$3&lt;=IF('Hiring plan'!$H$23="",999,'Hiring plan'!$H$23)),'Hiring plan'!$F$23,0)</f>
        <v>0</v>
      </c>
      <c r="AO27" s="33" t="n">
        <f aca="false">IF(AND(N('Hiring plan'!$F$23)&gt;0,AO$3&gt;='Hiring plan'!$G$23,AO$3&lt;=IF('Hiring plan'!$H$23="",999,'Hiring plan'!$H$23)),'Hiring plan'!$F$23,0)</f>
        <v>0</v>
      </c>
      <c r="AP27" s="33" t="n">
        <f aca="false">IF(AND(N('Hiring plan'!$F$23)&gt;0,AP$3&gt;='Hiring plan'!$G$23,AP$3&lt;=IF('Hiring plan'!$H$23="",999,'Hiring plan'!$H$23)),'Hiring plan'!$F$23,0)</f>
        <v>0</v>
      </c>
      <c r="AQ27" s="33" t="n">
        <f aca="false">IF(AND(N('Hiring plan'!$F$23)&gt;0,AQ$3&gt;='Hiring plan'!$G$23,AQ$3&lt;=IF('Hiring plan'!$H$23="",999,'Hiring plan'!$H$23)),'Hiring plan'!$F$23,0)</f>
        <v>0</v>
      </c>
      <c r="AR27" s="33" t="n">
        <f aca="false">IF(AND(N('Hiring plan'!$F$23)&gt;0,AR$3&gt;='Hiring plan'!$G$23,AR$3&lt;=IF('Hiring plan'!$H$23="",999,'Hiring plan'!$H$23)),'Hiring plan'!$F$23,0)</f>
        <v>0</v>
      </c>
      <c r="AS27" s="33" t="n">
        <f aca="false">IF(AND(N('Hiring plan'!$F$23)&gt;0,AS$3&gt;='Hiring plan'!$G$23,AS$3&lt;=IF('Hiring plan'!$H$23="",999,'Hiring plan'!$H$23)),'Hiring plan'!$F$23,0)</f>
        <v>0</v>
      </c>
      <c r="AT27" s="33" t="n">
        <f aca="false">IF(AND(N('Hiring plan'!$F$23)&gt;0,AT$3&gt;='Hiring plan'!$G$23,AT$3&lt;=IF('Hiring plan'!$H$23="",999,'Hiring plan'!$H$23)),'Hiring plan'!$F$23,0)</f>
        <v>0</v>
      </c>
      <c r="AU27" s="33" t="n">
        <f aca="false">IF(AND(N('Hiring plan'!$F$23)&gt;0,AU$3&gt;='Hiring plan'!$G$23,AU$3&lt;=IF('Hiring plan'!$H$23="",999,'Hiring plan'!$H$23)),'Hiring plan'!$F$23,0)</f>
        <v>0</v>
      </c>
      <c r="AV27" s="33" t="n">
        <f aca="false">IF(AND(N('Hiring plan'!$F$23)&gt;0,AV$3&gt;='Hiring plan'!$G$23,AV$3&lt;=IF('Hiring plan'!$H$23="",999,'Hiring plan'!$H$23)),'Hiring plan'!$F$23,0)</f>
        <v>0</v>
      </c>
      <c r="AW27" s="33" t="n">
        <f aca="false">IF(AND(N('Hiring plan'!$F$23)&gt;0,AW$3&gt;='Hiring plan'!$G$23,AW$3&lt;=IF('Hiring plan'!$H$23="",999,'Hiring plan'!$H$23)),'Hiring plan'!$F$23,0)</f>
        <v>0</v>
      </c>
      <c r="AX27" s="33" t="n">
        <f aca="false">IF(AND(N('Hiring plan'!$F$23)&gt;0,AX$3&gt;='Hiring plan'!$G$23,AX$3&lt;=IF('Hiring plan'!$H$23="",999,'Hiring plan'!$H$23)),'Hiring plan'!$F$23,0)</f>
        <v>0</v>
      </c>
      <c r="AY27" s="33" t="n">
        <f aca="false">IF(AND(N('Hiring plan'!$F$23)&gt;0,AY$3&gt;='Hiring plan'!$G$23,AY$3&lt;=IF('Hiring plan'!$H$23="",999,'Hiring plan'!$H$23)),'Hiring plan'!$F$23,0)</f>
        <v>0</v>
      </c>
      <c r="AZ27" s="33" t="n">
        <f aca="false">IF(AND(N('Hiring plan'!$F$23)&gt;0,AZ$3&gt;='Hiring plan'!$G$23,AZ$3&lt;=IF('Hiring plan'!$H$23="",999,'Hiring plan'!$H$23)),'Hiring plan'!$F$23,0)</f>
        <v>0</v>
      </c>
      <c r="BA27" s="33" t="n">
        <f aca="false">IF(AND(N('Hiring plan'!$F$23)&gt;0,BA$3&gt;='Hiring plan'!$G$23,BA$3&lt;=IF('Hiring plan'!$H$23="",999,'Hiring plan'!$H$23)),'Hiring plan'!$F$23,0)</f>
        <v>0</v>
      </c>
      <c r="BB27" s="33" t="n">
        <f aca="false">IF(AND(N('Hiring plan'!$F$23)&gt;0,BB$3&gt;='Hiring plan'!$G$23,BB$3&lt;=IF('Hiring plan'!$H$23="",999,'Hiring plan'!$H$23)),'Hiring plan'!$F$23,0)</f>
        <v>0</v>
      </c>
      <c r="BC27" s="33" t="n">
        <f aca="false">IF(AND(N('Hiring plan'!$F$23)&gt;0,BC$3&gt;='Hiring plan'!$G$23,BC$3&lt;=IF('Hiring plan'!$H$23="",999,'Hiring plan'!$H$23)),'Hiring plan'!$F$23,0)</f>
        <v>0</v>
      </c>
      <c r="BD27" s="33" t="n">
        <f aca="false">IF(AND(N('Hiring plan'!$F$23)&gt;0,BD$3&gt;='Hiring plan'!$G$23,BD$3&lt;=IF('Hiring plan'!$H$23="",999,'Hiring plan'!$H$23)),'Hiring plan'!$F$23,0)</f>
        <v>0</v>
      </c>
      <c r="BE27" s="33" t="n">
        <f aca="false">IF(AND(N('Hiring plan'!$F$23)&gt;0,BE$3&gt;='Hiring plan'!$G$23,BE$3&lt;=IF('Hiring plan'!$H$23="",999,'Hiring plan'!$H$23)),'Hiring plan'!$F$23,0)</f>
        <v>0</v>
      </c>
      <c r="BF27" s="33" t="n">
        <f aca="false">IF(AND(N('Hiring plan'!$F$23)&gt;0,BF$3&gt;='Hiring plan'!$G$23,BF$3&lt;=IF('Hiring plan'!$H$23="",999,'Hiring plan'!$H$23)),'Hiring plan'!$F$23,0)</f>
        <v>0</v>
      </c>
      <c r="BG27" s="33" t="n">
        <f aca="false">IF(AND(N('Hiring plan'!$F$23)&gt;0,BG$3&gt;='Hiring plan'!$G$23,BG$3&lt;=IF('Hiring plan'!$H$23="",999,'Hiring plan'!$H$23)),'Hiring plan'!$F$23,0)</f>
        <v>0</v>
      </c>
      <c r="BH27" s="33" t="n">
        <f aca="false">IF(AND(N('Hiring plan'!$F$23)&gt;0,BH$3&gt;='Hiring plan'!$G$23,BH$3&lt;=IF('Hiring plan'!$H$23="",999,'Hiring plan'!$H$23)),'Hiring plan'!$F$23,0)</f>
        <v>0</v>
      </c>
      <c r="BI27" s="33" t="n">
        <f aca="false">IF(AND(N('Hiring plan'!$F$23)&gt;0,BI$3&gt;='Hiring plan'!$G$23,BI$3&lt;=IF('Hiring plan'!$H$23="",999,'Hiring plan'!$H$23)),'Hiring plan'!$F$23,0)</f>
        <v>0</v>
      </c>
      <c r="BJ27" s="33" t="n">
        <f aca="false">IF(AND(N('Hiring plan'!$F$23)&gt;0,BJ$3&gt;='Hiring plan'!$G$23,BJ$3&lt;=IF('Hiring plan'!$H$23="",999,'Hiring plan'!$H$23)),'Hiring plan'!$F$23,0)</f>
        <v>0</v>
      </c>
      <c r="BK27" s="33" t="n">
        <f aca="false">IF(AND(N('Hiring plan'!$F$23)&gt;0,BK$3&gt;='Hiring plan'!$G$23,BK$3&lt;=IF('Hiring plan'!$H$23="",999,'Hiring plan'!$H$23)),'Hiring plan'!$F$23,0)</f>
        <v>0</v>
      </c>
      <c r="BL27" s="33" t="n">
        <f aca="false">IF(AND(N('Hiring plan'!$F$23)&gt;0,BL$3&gt;='Hiring plan'!$G$23,BL$3&lt;=IF('Hiring plan'!$H$23="",999,'Hiring plan'!$H$23)),'Hiring plan'!$F$23,0)</f>
        <v>0</v>
      </c>
    </row>
    <row r="28" customFormat="false" ht="15" hidden="false" customHeight="true" outlineLevel="0" collapsed="false">
      <c r="A28" s="13" t="str">
        <f aca="false">IF('Hiring plan'!$C$24="","(spare line 20)",'Hiring plan'!$C$24&amp;" · "&amp;'Hiring plan'!$D$24)</f>
        <v>(spare line 20)</v>
      </c>
      <c r="B28" s="15" t="s">
        <v>92</v>
      </c>
      <c r="D28" s="56" t="n">
        <f aca="false">MAX(E28:BL28)</f>
        <v>0</v>
      </c>
      <c r="E28" s="33" t="n">
        <f aca="false">IF(AND(N('Hiring plan'!$F$24)&gt;0,E$3&gt;='Hiring plan'!$G$24,E$3&lt;=IF('Hiring plan'!$H$24="",999,'Hiring plan'!$H$24)),'Hiring plan'!$F$24,0)</f>
        <v>0</v>
      </c>
      <c r="F28" s="33" t="n">
        <f aca="false">IF(AND(N('Hiring plan'!$F$24)&gt;0,F$3&gt;='Hiring plan'!$G$24,F$3&lt;=IF('Hiring plan'!$H$24="",999,'Hiring plan'!$H$24)),'Hiring plan'!$F$24,0)</f>
        <v>0</v>
      </c>
      <c r="G28" s="33" t="n">
        <f aca="false">IF(AND(N('Hiring plan'!$F$24)&gt;0,G$3&gt;='Hiring plan'!$G$24,G$3&lt;=IF('Hiring plan'!$H$24="",999,'Hiring plan'!$H$24)),'Hiring plan'!$F$24,0)</f>
        <v>0</v>
      </c>
      <c r="H28" s="33" t="n">
        <f aca="false">IF(AND(N('Hiring plan'!$F$24)&gt;0,H$3&gt;='Hiring plan'!$G$24,H$3&lt;=IF('Hiring plan'!$H$24="",999,'Hiring plan'!$H$24)),'Hiring plan'!$F$24,0)</f>
        <v>0</v>
      </c>
      <c r="I28" s="33" t="n">
        <f aca="false">IF(AND(N('Hiring plan'!$F$24)&gt;0,I$3&gt;='Hiring plan'!$G$24,I$3&lt;=IF('Hiring plan'!$H$24="",999,'Hiring plan'!$H$24)),'Hiring plan'!$F$24,0)</f>
        <v>0</v>
      </c>
      <c r="J28" s="33" t="n">
        <f aca="false">IF(AND(N('Hiring plan'!$F$24)&gt;0,J$3&gt;='Hiring plan'!$G$24,J$3&lt;=IF('Hiring plan'!$H$24="",999,'Hiring plan'!$H$24)),'Hiring plan'!$F$24,0)</f>
        <v>0</v>
      </c>
      <c r="K28" s="33" t="n">
        <f aca="false">IF(AND(N('Hiring plan'!$F$24)&gt;0,K$3&gt;='Hiring plan'!$G$24,K$3&lt;=IF('Hiring plan'!$H$24="",999,'Hiring plan'!$H$24)),'Hiring plan'!$F$24,0)</f>
        <v>0</v>
      </c>
      <c r="L28" s="33" t="n">
        <f aca="false">IF(AND(N('Hiring plan'!$F$24)&gt;0,L$3&gt;='Hiring plan'!$G$24,L$3&lt;=IF('Hiring plan'!$H$24="",999,'Hiring plan'!$H$24)),'Hiring plan'!$F$24,0)</f>
        <v>0</v>
      </c>
      <c r="M28" s="33" t="n">
        <f aca="false">IF(AND(N('Hiring plan'!$F$24)&gt;0,M$3&gt;='Hiring plan'!$G$24,M$3&lt;=IF('Hiring plan'!$H$24="",999,'Hiring plan'!$H$24)),'Hiring plan'!$F$24,0)</f>
        <v>0</v>
      </c>
      <c r="N28" s="33" t="n">
        <f aca="false">IF(AND(N('Hiring plan'!$F$24)&gt;0,N$3&gt;='Hiring plan'!$G$24,N$3&lt;=IF('Hiring plan'!$H$24="",999,'Hiring plan'!$H$24)),'Hiring plan'!$F$24,0)</f>
        <v>0</v>
      </c>
      <c r="O28" s="33" t="n">
        <f aca="false">IF(AND(N('Hiring plan'!$F$24)&gt;0,O$3&gt;='Hiring plan'!$G$24,O$3&lt;=IF('Hiring plan'!$H$24="",999,'Hiring plan'!$H$24)),'Hiring plan'!$F$24,0)</f>
        <v>0</v>
      </c>
      <c r="P28" s="33" t="n">
        <f aca="false">IF(AND(N('Hiring plan'!$F$24)&gt;0,P$3&gt;='Hiring plan'!$G$24,P$3&lt;=IF('Hiring plan'!$H$24="",999,'Hiring plan'!$H$24)),'Hiring plan'!$F$24,0)</f>
        <v>0</v>
      </c>
      <c r="Q28" s="33" t="n">
        <f aca="false">IF(AND(N('Hiring plan'!$F$24)&gt;0,Q$3&gt;='Hiring plan'!$G$24,Q$3&lt;=IF('Hiring plan'!$H$24="",999,'Hiring plan'!$H$24)),'Hiring plan'!$F$24,0)</f>
        <v>0</v>
      </c>
      <c r="R28" s="33" t="n">
        <f aca="false">IF(AND(N('Hiring plan'!$F$24)&gt;0,R$3&gt;='Hiring plan'!$G$24,R$3&lt;=IF('Hiring plan'!$H$24="",999,'Hiring plan'!$H$24)),'Hiring plan'!$F$24,0)</f>
        <v>0</v>
      </c>
      <c r="S28" s="33" t="n">
        <f aca="false">IF(AND(N('Hiring plan'!$F$24)&gt;0,S$3&gt;='Hiring plan'!$G$24,S$3&lt;=IF('Hiring plan'!$H$24="",999,'Hiring plan'!$H$24)),'Hiring plan'!$F$24,0)</f>
        <v>0</v>
      </c>
      <c r="T28" s="33" t="n">
        <f aca="false">IF(AND(N('Hiring plan'!$F$24)&gt;0,T$3&gt;='Hiring plan'!$G$24,T$3&lt;=IF('Hiring plan'!$H$24="",999,'Hiring plan'!$H$24)),'Hiring plan'!$F$24,0)</f>
        <v>0</v>
      </c>
      <c r="U28" s="33" t="n">
        <f aca="false">IF(AND(N('Hiring plan'!$F$24)&gt;0,U$3&gt;='Hiring plan'!$G$24,U$3&lt;=IF('Hiring plan'!$H$24="",999,'Hiring plan'!$H$24)),'Hiring plan'!$F$24,0)</f>
        <v>0</v>
      </c>
      <c r="V28" s="33" t="n">
        <f aca="false">IF(AND(N('Hiring plan'!$F$24)&gt;0,V$3&gt;='Hiring plan'!$G$24,V$3&lt;=IF('Hiring plan'!$H$24="",999,'Hiring plan'!$H$24)),'Hiring plan'!$F$24,0)</f>
        <v>0</v>
      </c>
      <c r="W28" s="33" t="n">
        <f aca="false">IF(AND(N('Hiring plan'!$F$24)&gt;0,W$3&gt;='Hiring plan'!$G$24,W$3&lt;=IF('Hiring plan'!$H$24="",999,'Hiring plan'!$H$24)),'Hiring plan'!$F$24,0)</f>
        <v>0</v>
      </c>
      <c r="X28" s="33" t="n">
        <f aca="false">IF(AND(N('Hiring plan'!$F$24)&gt;0,X$3&gt;='Hiring plan'!$G$24,X$3&lt;=IF('Hiring plan'!$H$24="",999,'Hiring plan'!$H$24)),'Hiring plan'!$F$24,0)</f>
        <v>0</v>
      </c>
      <c r="Y28" s="33" t="n">
        <f aca="false">IF(AND(N('Hiring plan'!$F$24)&gt;0,Y$3&gt;='Hiring plan'!$G$24,Y$3&lt;=IF('Hiring plan'!$H$24="",999,'Hiring plan'!$H$24)),'Hiring plan'!$F$24,0)</f>
        <v>0</v>
      </c>
      <c r="Z28" s="33" t="n">
        <f aca="false">IF(AND(N('Hiring plan'!$F$24)&gt;0,Z$3&gt;='Hiring plan'!$G$24,Z$3&lt;=IF('Hiring plan'!$H$24="",999,'Hiring plan'!$H$24)),'Hiring plan'!$F$24,0)</f>
        <v>0</v>
      </c>
      <c r="AA28" s="33" t="n">
        <f aca="false">IF(AND(N('Hiring plan'!$F$24)&gt;0,AA$3&gt;='Hiring plan'!$G$24,AA$3&lt;=IF('Hiring plan'!$H$24="",999,'Hiring plan'!$H$24)),'Hiring plan'!$F$24,0)</f>
        <v>0</v>
      </c>
      <c r="AB28" s="33" t="n">
        <f aca="false">IF(AND(N('Hiring plan'!$F$24)&gt;0,AB$3&gt;='Hiring plan'!$G$24,AB$3&lt;=IF('Hiring plan'!$H$24="",999,'Hiring plan'!$H$24)),'Hiring plan'!$F$24,0)</f>
        <v>0</v>
      </c>
      <c r="AC28" s="33" t="n">
        <f aca="false">IF(AND(N('Hiring plan'!$F$24)&gt;0,AC$3&gt;='Hiring plan'!$G$24,AC$3&lt;=IF('Hiring plan'!$H$24="",999,'Hiring plan'!$H$24)),'Hiring plan'!$F$24,0)</f>
        <v>0</v>
      </c>
      <c r="AD28" s="33" t="n">
        <f aca="false">IF(AND(N('Hiring plan'!$F$24)&gt;0,AD$3&gt;='Hiring plan'!$G$24,AD$3&lt;=IF('Hiring plan'!$H$24="",999,'Hiring plan'!$H$24)),'Hiring plan'!$F$24,0)</f>
        <v>0</v>
      </c>
      <c r="AE28" s="33" t="n">
        <f aca="false">IF(AND(N('Hiring plan'!$F$24)&gt;0,AE$3&gt;='Hiring plan'!$G$24,AE$3&lt;=IF('Hiring plan'!$H$24="",999,'Hiring plan'!$H$24)),'Hiring plan'!$F$24,0)</f>
        <v>0</v>
      </c>
      <c r="AF28" s="33" t="n">
        <f aca="false">IF(AND(N('Hiring plan'!$F$24)&gt;0,AF$3&gt;='Hiring plan'!$G$24,AF$3&lt;=IF('Hiring plan'!$H$24="",999,'Hiring plan'!$H$24)),'Hiring plan'!$F$24,0)</f>
        <v>0</v>
      </c>
      <c r="AG28" s="33" t="n">
        <f aca="false">IF(AND(N('Hiring plan'!$F$24)&gt;0,AG$3&gt;='Hiring plan'!$G$24,AG$3&lt;=IF('Hiring plan'!$H$24="",999,'Hiring plan'!$H$24)),'Hiring plan'!$F$24,0)</f>
        <v>0</v>
      </c>
      <c r="AH28" s="33" t="n">
        <f aca="false">IF(AND(N('Hiring plan'!$F$24)&gt;0,AH$3&gt;='Hiring plan'!$G$24,AH$3&lt;=IF('Hiring plan'!$H$24="",999,'Hiring plan'!$H$24)),'Hiring plan'!$F$24,0)</f>
        <v>0</v>
      </c>
      <c r="AI28" s="33" t="n">
        <f aca="false">IF(AND(N('Hiring plan'!$F$24)&gt;0,AI$3&gt;='Hiring plan'!$G$24,AI$3&lt;=IF('Hiring plan'!$H$24="",999,'Hiring plan'!$H$24)),'Hiring plan'!$F$24,0)</f>
        <v>0</v>
      </c>
      <c r="AJ28" s="33" t="n">
        <f aca="false">IF(AND(N('Hiring plan'!$F$24)&gt;0,AJ$3&gt;='Hiring plan'!$G$24,AJ$3&lt;=IF('Hiring plan'!$H$24="",999,'Hiring plan'!$H$24)),'Hiring plan'!$F$24,0)</f>
        <v>0</v>
      </c>
      <c r="AK28" s="33" t="n">
        <f aca="false">IF(AND(N('Hiring plan'!$F$24)&gt;0,AK$3&gt;='Hiring plan'!$G$24,AK$3&lt;=IF('Hiring plan'!$H$24="",999,'Hiring plan'!$H$24)),'Hiring plan'!$F$24,0)</f>
        <v>0</v>
      </c>
      <c r="AL28" s="33" t="n">
        <f aca="false">IF(AND(N('Hiring plan'!$F$24)&gt;0,AL$3&gt;='Hiring plan'!$G$24,AL$3&lt;=IF('Hiring plan'!$H$24="",999,'Hiring plan'!$H$24)),'Hiring plan'!$F$24,0)</f>
        <v>0</v>
      </c>
      <c r="AM28" s="33" t="n">
        <f aca="false">IF(AND(N('Hiring plan'!$F$24)&gt;0,AM$3&gt;='Hiring plan'!$G$24,AM$3&lt;=IF('Hiring plan'!$H$24="",999,'Hiring plan'!$H$24)),'Hiring plan'!$F$24,0)</f>
        <v>0</v>
      </c>
      <c r="AN28" s="33" t="n">
        <f aca="false">IF(AND(N('Hiring plan'!$F$24)&gt;0,AN$3&gt;='Hiring plan'!$G$24,AN$3&lt;=IF('Hiring plan'!$H$24="",999,'Hiring plan'!$H$24)),'Hiring plan'!$F$24,0)</f>
        <v>0</v>
      </c>
      <c r="AO28" s="33" t="n">
        <f aca="false">IF(AND(N('Hiring plan'!$F$24)&gt;0,AO$3&gt;='Hiring plan'!$G$24,AO$3&lt;=IF('Hiring plan'!$H$24="",999,'Hiring plan'!$H$24)),'Hiring plan'!$F$24,0)</f>
        <v>0</v>
      </c>
      <c r="AP28" s="33" t="n">
        <f aca="false">IF(AND(N('Hiring plan'!$F$24)&gt;0,AP$3&gt;='Hiring plan'!$G$24,AP$3&lt;=IF('Hiring plan'!$H$24="",999,'Hiring plan'!$H$24)),'Hiring plan'!$F$24,0)</f>
        <v>0</v>
      </c>
      <c r="AQ28" s="33" t="n">
        <f aca="false">IF(AND(N('Hiring plan'!$F$24)&gt;0,AQ$3&gt;='Hiring plan'!$G$24,AQ$3&lt;=IF('Hiring plan'!$H$24="",999,'Hiring plan'!$H$24)),'Hiring plan'!$F$24,0)</f>
        <v>0</v>
      </c>
      <c r="AR28" s="33" t="n">
        <f aca="false">IF(AND(N('Hiring plan'!$F$24)&gt;0,AR$3&gt;='Hiring plan'!$G$24,AR$3&lt;=IF('Hiring plan'!$H$24="",999,'Hiring plan'!$H$24)),'Hiring plan'!$F$24,0)</f>
        <v>0</v>
      </c>
      <c r="AS28" s="33" t="n">
        <f aca="false">IF(AND(N('Hiring plan'!$F$24)&gt;0,AS$3&gt;='Hiring plan'!$G$24,AS$3&lt;=IF('Hiring plan'!$H$24="",999,'Hiring plan'!$H$24)),'Hiring plan'!$F$24,0)</f>
        <v>0</v>
      </c>
      <c r="AT28" s="33" t="n">
        <f aca="false">IF(AND(N('Hiring plan'!$F$24)&gt;0,AT$3&gt;='Hiring plan'!$G$24,AT$3&lt;=IF('Hiring plan'!$H$24="",999,'Hiring plan'!$H$24)),'Hiring plan'!$F$24,0)</f>
        <v>0</v>
      </c>
      <c r="AU28" s="33" t="n">
        <f aca="false">IF(AND(N('Hiring plan'!$F$24)&gt;0,AU$3&gt;='Hiring plan'!$G$24,AU$3&lt;=IF('Hiring plan'!$H$24="",999,'Hiring plan'!$H$24)),'Hiring plan'!$F$24,0)</f>
        <v>0</v>
      </c>
      <c r="AV28" s="33" t="n">
        <f aca="false">IF(AND(N('Hiring plan'!$F$24)&gt;0,AV$3&gt;='Hiring plan'!$G$24,AV$3&lt;=IF('Hiring plan'!$H$24="",999,'Hiring plan'!$H$24)),'Hiring plan'!$F$24,0)</f>
        <v>0</v>
      </c>
      <c r="AW28" s="33" t="n">
        <f aca="false">IF(AND(N('Hiring plan'!$F$24)&gt;0,AW$3&gt;='Hiring plan'!$G$24,AW$3&lt;=IF('Hiring plan'!$H$24="",999,'Hiring plan'!$H$24)),'Hiring plan'!$F$24,0)</f>
        <v>0</v>
      </c>
      <c r="AX28" s="33" t="n">
        <f aca="false">IF(AND(N('Hiring plan'!$F$24)&gt;0,AX$3&gt;='Hiring plan'!$G$24,AX$3&lt;=IF('Hiring plan'!$H$24="",999,'Hiring plan'!$H$24)),'Hiring plan'!$F$24,0)</f>
        <v>0</v>
      </c>
      <c r="AY28" s="33" t="n">
        <f aca="false">IF(AND(N('Hiring plan'!$F$24)&gt;0,AY$3&gt;='Hiring plan'!$G$24,AY$3&lt;=IF('Hiring plan'!$H$24="",999,'Hiring plan'!$H$24)),'Hiring plan'!$F$24,0)</f>
        <v>0</v>
      </c>
      <c r="AZ28" s="33" t="n">
        <f aca="false">IF(AND(N('Hiring plan'!$F$24)&gt;0,AZ$3&gt;='Hiring plan'!$G$24,AZ$3&lt;=IF('Hiring plan'!$H$24="",999,'Hiring plan'!$H$24)),'Hiring plan'!$F$24,0)</f>
        <v>0</v>
      </c>
      <c r="BA28" s="33" t="n">
        <f aca="false">IF(AND(N('Hiring plan'!$F$24)&gt;0,BA$3&gt;='Hiring plan'!$G$24,BA$3&lt;=IF('Hiring plan'!$H$24="",999,'Hiring plan'!$H$24)),'Hiring plan'!$F$24,0)</f>
        <v>0</v>
      </c>
      <c r="BB28" s="33" t="n">
        <f aca="false">IF(AND(N('Hiring plan'!$F$24)&gt;0,BB$3&gt;='Hiring plan'!$G$24,BB$3&lt;=IF('Hiring plan'!$H$24="",999,'Hiring plan'!$H$24)),'Hiring plan'!$F$24,0)</f>
        <v>0</v>
      </c>
      <c r="BC28" s="33" t="n">
        <f aca="false">IF(AND(N('Hiring plan'!$F$24)&gt;0,BC$3&gt;='Hiring plan'!$G$24,BC$3&lt;=IF('Hiring plan'!$H$24="",999,'Hiring plan'!$H$24)),'Hiring plan'!$F$24,0)</f>
        <v>0</v>
      </c>
      <c r="BD28" s="33" t="n">
        <f aca="false">IF(AND(N('Hiring plan'!$F$24)&gt;0,BD$3&gt;='Hiring plan'!$G$24,BD$3&lt;=IF('Hiring plan'!$H$24="",999,'Hiring plan'!$H$24)),'Hiring plan'!$F$24,0)</f>
        <v>0</v>
      </c>
      <c r="BE28" s="33" t="n">
        <f aca="false">IF(AND(N('Hiring plan'!$F$24)&gt;0,BE$3&gt;='Hiring plan'!$G$24,BE$3&lt;=IF('Hiring plan'!$H$24="",999,'Hiring plan'!$H$24)),'Hiring plan'!$F$24,0)</f>
        <v>0</v>
      </c>
      <c r="BF28" s="33" t="n">
        <f aca="false">IF(AND(N('Hiring plan'!$F$24)&gt;0,BF$3&gt;='Hiring plan'!$G$24,BF$3&lt;=IF('Hiring plan'!$H$24="",999,'Hiring plan'!$H$24)),'Hiring plan'!$F$24,0)</f>
        <v>0</v>
      </c>
      <c r="BG28" s="33" t="n">
        <f aca="false">IF(AND(N('Hiring plan'!$F$24)&gt;0,BG$3&gt;='Hiring plan'!$G$24,BG$3&lt;=IF('Hiring plan'!$H$24="",999,'Hiring plan'!$H$24)),'Hiring plan'!$F$24,0)</f>
        <v>0</v>
      </c>
      <c r="BH28" s="33" t="n">
        <f aca="false">IF(AND(N('Hiring plan'!$F$24)&gt;0,BH$3&gt;='Hiring plan'!$G$24,BH$3&lt;=IF('Hiring plan'!$H$24="",999,'Hiring plan'!$H$24)),'Hiring plan'!$F$24,0)</f>
        <v>0</v>
      </c>
      <c r="BI28" s="33" t="n">
        <f aca="false">IF(AND(N('Hiring plan'!$F$24)&gt;0,BI$3&gt;='Hiring plan'!$G$24,BI$3&lt;=IF('Hiring plan'!$H$24="",999,'Hiring plan'!$H$24)),'Hiring plan'!$F$24,0)</f>
        <v>0</v>
      </c>
      <c r="BJ28" s="33" t="n">
        <f aca="false">IF(AND(N('Hiring plan'!$F$24)&gt;0,BJ$3&gt;='Hiring plan'!$G$24,BJ$3&lt;=IF('Hiring plan'!$H$24="",999,'Hiring plan'!$H$24)),'Hiring plan'!$F$24,0)</f>
        <v>0</v>
      </c>
      <c r="BK28" s="33" t="n">
        <f aca="false">IF(AND(N('Hiring plan'!$F$24)&gt;0,BK$3&gt;='Hiring plan'!$G$24,BK$3&lt;=IF('Hiring plan'!$H$24="",999,'Hiring plan'!$H$24)),'Hiring plan'!$F$24,0)</f>
        <v>0</v>
      </c>
      <c r="BL28" s="33" t="n">
        <f aca="false">IF(AND(N('Hiring plan'!$F$24)&gt;0,BL$3&gt;='Hiring plan'!$G$24,BL$3&lt;=IF('Hiring plan'!$H$24="",999,'Hiring plan'!$H$24)),'Hiring plan'!$F$24,0)</f>
        <v>0</v>
      </c>
    </row>
    <row r="29" customFormat="false" ht="15" hidden="false" customHeight="true" outlineLevel="0" collapsed="false">
      <c r="A29" s="13" t="str">
        <f aca="false">IF('Hiring plan'!$C$25="","(spare line 21)",'Hiring plan'!$C$25&amp;" · "&amp;'Hiring plan'!$D$25)</f>
        <v>(spare line 21)</v>
      </c>
      <c r="B29" s="15" t="s">
        <v>92</v>
      </c>
      <c r="D29" s="56" t="n">
        <f aca="false">MAX(E29:BL29)</f>
        <v>0</v>
      </c>
      <c r="E29" s="33" t="n">
        <f aca="false">IF(AND(N('Hiring plan'!$F$25)&gt;0,E$3&gt;='Hiring plan'!$G$25,E$3&lt;=IF('Hiring plan'!$H$25="",999,'Hiring plan'!$H$25)),'Hiring plan'!$F$25,0)</f>
        <v>0</v>
      </c>
      <c r="F29" s="33" t="n">
        <f aca="false">IF(AND(N('Hiring plan'!$F$25)&gt;0,F$3&gt;='Hiring plan'!$G$25,F$3&lt;=IF('Hiring plan'!$H$25="",999,'Hiring plan'!$H$25)),'Hiring plan'!$F$25,0)</f>
        <v>0</v>
      </c>
      <c r="G29" s="33" t="n">
        <f aca="false">IF(AND(N('Hiring plan'!$F$25)&gt;0,G$3&gt;='Hiring plan'!$G$25,G$3&lt;=IF('Hiring plan'!$H$25="",999,'Hiring plan'!$H$25)),'Hiring plan'!$F$25,0)</f>
        <v>0</v>
      </c>
      <c r="H29" s="33" t="n">
        <f aca="false">IF(AND(N('Hiring plan'!$F$25)&gt;0,H$3&gt;='Hiring plan'!$G$25,H$3&lt;=IF('Hiring plan'!$H$25="",999,'Hiring plan'!$H$25)),'Hiring plan'!$F$25,0)</f>
        <v>0</v>
      </c>
      <c r="I29" s="33" t="n">
        <f aca="false">IF(AND(N('Hiring plan'!$F$25)&gt;0,I$3&gt;='Hiring plan'!$G$25,I$3&lt;=IF('Hiring plan'!$H$25="",999,'Hiring plan'!$H$25)),'Hiring plan'!$F$25,0)</f>
        <v>0</v>
      </c>
      <c r="J29" s="33" t="n">
        <f aca="false">IF(AND(N('Hiring plan'!$F$25)&gt;0,J$3&gt;='Hiring plan'!$G$25,J$3&lt;=IF('Hiring plan'!$H$25="",999,'Hiring plan'!$H$25)),'Hiring plan'!$F$25,0)</f>
        <v>0</v>
      </c>
      <c r="K29" s="33" t="n">
        <f aca="false">IF(AND(N('Hiring plan'!$F$25)&gt;0,K$3&gt;='Hiring plan'!$G$25,K$3&lt;=IF('Hiring plan'!$H$25="",999,'Hiring plan'!$H$25)),'Hiring plan'!$F$25,0)</f>
        <v>0</v>
      </c>
      <c r="L29" s="33" t="n">
        <f aca="false">IF(AND(N('Hiring plan'!$F$25)&gt;0,L$3&gt;='Hiring plan'!$G$25,L$3&lt;=IF('Hiring plan'!$H$25="",999,'Hiring plan'!$H$25)),'Hiring plan'!$F$25,0)</f>
        <v>0</v>
      </c>
      <c r="M29" s="33" t="n">
        <f aca="false">IF(AND(N('Hiring plan'!$F$25)&gt;0,M$3&gt;='Hiring plan'!$G$25,M$3&lt;=IF('Hiring plan'!$H$25="",999,'Hiring plan'!$H$25)),'Hiring plan'!$F$25,0)</f>
        <v>0</v>
      </c>
      <c r="N29" s="33" t="n">
        <f aca="false">IF(AND(N('Hiring plan'!$F$25)&gt;0,N$3&gt;='Hiring plan'!$G$25,N$3&lt;=IF('Hiring plan'!$H$25="",999,'Hiring plan'!$H$25)),'Hiring plan'!$F$25,0)</f>
        <v>0</v>
      </c>
      <c r="O29" s="33" t="n">
        <f aca="false">IF(AND(N('Hiring plan'!$F$25)&gt;0,O$3&gt;='Hiring plan'!$G$25,O$3&lt;=IF('Hiring plan'!$H$25="",999,'Hiring plan'!$H$25)),'Hiring plan'!$F$25,0)</f>
        <v>0</v>
      </c>
      <c r="P29" s="33" t="n">
        <f aca="false">IF(AND(N('Hiring plan'!$F$25)&gt;0,P$3&gt;='Hiring plan'!$G$25,P$3&lt;=IF('Hiring plan'!$H$25="",999,'Hiring plan'!$H$25)),'Hiring plan'!$F$25,0)</f>
        <v>0</v>
      </c>
      <c r="Q29" s="33" t="n">
        <f aca="false">IF(AND(N('Hiring plan'!$F$25)&gt;0,Q$3&gt;='Hiring plan'!$G$25,Q$3&lt;=IF('Hiring plan'!$H$25="",999,'Hiring plan'!$H$25)),'Hiring plan'!$F$25,0)</f>
        <v>0</v>
      </c>
      <c r="R29" s="33" t="n">
        <f aca="false">IF(AND(N('Hiring plan'!$F$25)&gt;0,R$3&gt;='Hiring plan'!$G$25,R$3&lt;=IF('Hiring plan'!$H$25="",999,'Hiring plan'!$H$25)),'Hiring plan'!$F$25,0)</f>
        <v>0</v>
      </c>
      <c r="S29" s="33" t="n">
        <f aca="false">IF(AND(N('Hiring plan'!$F$25)&gt;0,S$3&gt;='Hiring plan'!$G$25,S$3&lt;=IF('Hiring plan'!$H$25="",999,'Hiring plan'!$H$25)),'Hiring plan'!$F$25,0)</f>
        <v>0</v>
      </c>
      <c r="T29" s="33" t="n">
        <f aca="false">IF(AND(N('Hiring plan'!$F$25)&gt;0,T$3&gt;='Hiring plan'!$G$25,T$3&lt;=IF('Hiring plan'!$H$25="",999,'Hiring plan'!$H$25)),'Hiring plan'!$F$25,0)</f>
        <v>0</v>
      </c>
      <c r="U29" s="33" t="n">
        <f aca="false">IF(AND(N('Hiring plan'!$F$25)&gt;0,U$3&gt;='Hiring plan'!$G$25,U$3&lt;=IF('Hiring plan'!$H$25="",999,'Hiring plan'!$H$25)),'Hiring plan'!$F$25,0)</f>
        <v>0</v>
      </c>
      <c r="V29" s="33" t="n">
        <f aca="false">IF(AND(N('Hiring plan'!$F$25)&gt;0,V$3&gt;='Hiring plan'!$G$25,V$3&lt;=IF('Hiring plan'!$H$25="",999,'Hiring plan'!$H$25)),'Hiring plan'!$F$25,0)</f>
        <v>0</v>
      </c>
      <c r="W29" s="33" t="n">
        <f aca="false">IF(AND(N('Hiring plan'!$F$25)&gt;0,W$3&gt;='Hiring plan'!$G$25,W$3&lt;=IF('Hiring plan'!$H$25="",999,'Hiring plan'!$H$25)),'Hiring plan'!$F$25,0)</f>
        <v>0</v>
      </c>
      <c r="X29" s="33" t="n">
        <f aca="false">IF(AND(N('Hiring plan'!$F$25)&gt;0,X$3&gt;='Hiring plan'!$G$25,X$3&lt;=IF('Hiring plan'!$H$25="",999,'Hiring plan'!$H$25)),'Hiring plan'!$F$25,0)</f>
        <v>0</v>
      </c>
      <c r="Y29" s="33" t="n">
        <f aca="false">IF(AND(N('Hiring plan'!$F$25)&gt;0,Y$3&gt;='Hiring plan'!$G$25,Y$3&lt;=IF('Hiring plan'!$H$25="",999,'Hiring plan'!$H$25)),'Hiring plan'!$F$25,0)</f>
        <v>0</v>
      </c>
      <c r="Z29" s="33" t="n">
        <f aca="false">IF(AND(N('Hiring plan'!$F$25)&gt;0,Z$3&gt;='Hiring plan'!$G$25,Z$3&lt;=IF('Hiring plan'!$H$25="",999,'Hiring plan'!$H$25)),'Hiring plan'!$F$25,0)</f>
        <v>0</v>
      </c>
      <c r="AA29" s="33" t="n">
        <f aca="false">IF(AND(N('Hiring plan'!$F$25)&gt;0,AA$3&gt;='Hiring plan'!$G$25,AA$3&lt;=IF('Hiring plan'!$H$25="",999,'Hiring plan'!$H$25)),'Hiring plan'!$F$25,0)</f>
        <v>0</v>
      </c>
      <c r="AB29" s="33" t="n">
        <f aca="false">IF(AND(N('Hiring plan'!$F$25)&gt;0,AB$3&gt;='Hiring plan'!$G$25,AB$3&lt;=IF('Hiring plan'!$H$25="",999,'Hiring plan'!$H$25)),'Hiring plan'!$F$25,0)</f>
        <v>0</v>
      </c>
      <c r="AC29" s="33" t="n">
        <f aca="false">IF(AND(N('Hiring plan'!$F$25)&gt;0,AC$3&gt;='Hiring plan'!$G$25,AC$3&lt;=IF('Hiring plan'!$H$25="",999,'Hiring plan'!$H$25)),'Hiring plan'!$F$25,0)</f>
        <v>0</v>
      </c>
      <c r="AD29" s="33" t="n">
        <f aca="false">IF(AND(N('Hiring plan'!$F$25)&gt;0,AD$3&gt;='Hiring plan'!$G$25,AD$3&lt;=IF('Hiring plan'!$H$25="",999,'Hiring plan'!$H$25)),'Hiring plan'!$F$25,0)</f>
        <v>0</v>
      </c>
      <c r="AE29" s="33" t="n">
        <f aca="false">IF(AND(N('Hiring plan'!$F$25)&gt;0,AE$3&gt;='Hiring plan'!$G$25,AE$3&lt;=IF('Hiring plan'!$H$25="",999,'Hiring plan'!$H$25)),'Hiring plan'!$F$25,0)</f>
        <v>0</v>
      </c>
      <c r="AF29" s="33" t="n">
        <f aca="false">IF(AND(N('Hiring plan'!$F$25)&gt;0,AF$3&gt;='Hiring plan'!$G$25,AF$3&lt;=IF('Hiring plan'!$H$25="",999,'Hiring plan'!$H$25)),'Hiring plan'!$F$25,0)</f>
        <v>0</v>
      </c>
      <c r="AG29" s="33" t="n">
        <f aca="false">IF(AND(N('Hiring plan'!$F$25)&gt;0,AG$3&gt;='Hiring plan'!$G$25,AG$3&lt;=IF('Hiring plan'!$H$25="",999,'Hiring plan'!$H$25)),'Hiring plan'!$F$25,0)</f>
        <v>0</v>
      </c>
      <c r="AH29" s="33" t="n">
        <f aca="false">IF(AND(N('Hiring plan'!$F$25)&gt;0,AH$3&gt;='Hiring plan'!$G$25,AH$3&lt;=IF('Hiring plan'!$H$25="",999,'Hiring plan'!$H$25)),'Hiring plan'!$F$25,0)</f>
        <v>0</v>
      </c>
      <c r="AI29" s="33" t="n">
        <f aca="false">IF(AND(N('Hiring plan'!$F$25)&gt;0,AI$3&gt;='Hiring plan'!$G$25,AI$3&lt;=IF('Hiring plan'!$H$25="",999,'Hiring plan'!$H$25)),'Hiring plan'!$F$25,0)</f>
        <v>0</v>
      </c>
      <c r="AJ29" s="33" t="n">
        <f aca="false">IF(AND(N('Hiring plan'!$F$25)&gt;0,AJ$3&gt;='Hiring plan'!$G$25,AJ$3&lt;=IF('Hiring plan'!$H$25="",999,'Hiring plan'!$H$25)),'Hiring plan'!$F$25,0)</f>
        <v>0</v>
      </c>
      <c r="AK29" s="33" t="n">
        <f aca="false">IF(AND(N('Hiring plan'!$F$25)&gt;0,AK$3&gt;='Hiring plan'!$G$25,AK$3&lt;=IF('Hiring plan'!$H$25="",999,'Hiring plan'!$H$25)),'Hiring plan'!$F$25,0)</f>
        <v>0</v>
      </c>
      <c r="AL29" s="33" t="n">
        <f aca="false">IF(AND(N('Hiring plan'!$F$25)&gt;0,AL$3&gt;='Hiring plan'!$G$25,AL$3&lt;=IF('Hiring plan'!$H$25="",999,'Hiring plan'!$H$25)),'Hiring plan'!$F$25,0)</f>
        <v>0</v>
      </c>
      <c r="AM29" s="33" t="n">
        <f aca="false">IF(AND(N('Hiring plan'!$F$25)&gt;0,AM$3&gt;='Hiring plan'!$G$25,AM$3&lt;=IF('Hiring plan'!$H$25="",999,'Hiring plan'!$H$25)),'Hiring plan'!$F$25,0)</f>
        <v>0</v>
      </c>
      <c r="AN29" s="33" t="n">
        <f aca="false">IF(AND(N('Hiring plan'!$F$25)&gt;0,AN$3&gt;='Hiring plan'!$G$25,AN$3&lt;=IF('Hiring plan'!$H$25="",999,'Hiring plan'!$H$25)),'Hiring plan'!$F$25,0)</f>
        <v>0</v>
      </c>
      <c r="AO29" s="33" t="n">
        <f aca="false">IF(AND(N('Hiring plan'!$F$25)&gt;0,AO$3&gt;='Hiring plan'!$G$25,AO$3&lt;=IF('Hiring plan'!$H$25="",999,'Hiring plan'!$H$25)),'Hiring plan'!$F$25,0)</f>
        <v>0</v>
      </c>
      <c r="AP29" s="33" t="n">
        <f aca="false">IF(AND(N('Hiring plan'!$F$25)&gt;0,AP$3&gt;='Hiring plan'!$G$25,AP$3&lt;=IF('Hiring plan'!$H$25="",999,'Hiring plan'!$H$25)),'Hiring plan'!$F$25,0)</f>
        <v>0</v>
      </c>
      <c r="AQ29" s="33" t="n">
        <f aca="false">IF(AND(N('Hiring plan'!$F$25)&gt;0,AQ$3&gt;='Hiring plan'!$G$25,AQ$3&lt;=IF('Hiring plan'!$H$25="",999,'Hiring plan'!$H$25)),'Hiring plan'!$F$25,0)</f>
        <v>0</v>
      </c>
      <c r="AR29" s="33" t="n">
        <f aca="false">IF(AND(N('Hiring plan'!$F$25)&gt;0,AR$3&gt;='Hiring plan'!$G$25,AR$3&lt;=IF('Hiring plan'!$H$25="",999,'Hiring plan'!$H$25)),'Hiring plan'!$F$25,0)</f>
        <v>0</v>
      </c>
      <c r="AS29" s="33" t="n">
        <f aca="false">IF(AND(N('Hiring plan'!$F$25)&gt;0,AS$3&gt;='Hiring plan'!$G$25,AS$3&lt;=IF('Hiring plan'!$H$25="",999,'Hiring plan'!$H$25)),'Hiring plan'!$F$25,0)</f>
        <v>0</v>
      </c>
      <c r="AT29" s="33" t="n">
        <f aca="false">IF(AND(N('Hiring plan'!$F$25)&gt;0,AT$3&gt;='Hiring plan'!$G$25,AT$3&lt;=IF('Hiring plan'!$H$25="",999,'Hiring plan'!$H$25)),'Hiring plan'!$F$25,0)</f>
        <v>0</v>
      </c>
      <c r="AU29" s="33" t="n">
        <f aca="false">IF(AND(N('Hiring plan'!$F$25)&gt;0,AU$3&gt;='Hiring plan'!$G$25,AU$3&lt;=IF('Hiring plan'!$H$25="",999,'Hiring plan'!$H$25)),'Hiring plan'!$F$25,0)</f>
        <v>0</v>
      </c>
      <c r="AV29" s="33" t="n">
        <f aca="false">IF(AND(N('Hiring plan'!$F$25)&gt;0,AV$3&gt;='Hiring plan'!$G$25,AV$3&lt;=IF('Hiring plan'!$H$25="",999,'Hiring plan'!$H$25)),'Hiring plan'!$F$25,0)</f>
        <v>0</v>
      </c>
      <c r="AW29" s="33" t="n">
        <f aca="false">IF(AND(N('Hiring plan'!$F$25)&gt;0,AW$3&gt;='Hiring plan'!$G$25,AW$3&lt;=IF('Hiring plan'!$H$25="",999,'Hiring plan'!$H$25)),'Hiring plan'!$F$25,0)</f>
        <v>0</v>
      </c>
      <c r="AX29" s="33" t="n">
        <f aca="false">IF(AND(N('Hiring plan'!$F$25)&gt;0,AX$3&gt;='Hiring plan'!$G$25,AX$3&lt;=IF('Hiring plan'!$H$25="",999,'Hiring plan'!$H$25)),'Hiring plan'!$F$25,0)</f>
        <v>0</v>
      </c>
      <c r="AY29" s="33" t="n">
        <f aca="false">IF(AND(N('Hiring plan'!$F$25)&gt;0,AY$3&gt;='Hiring plan'!$G$25,AY$3&lt;=IF('Hiring plan'!$H$25="",999,'Hiring plan'!$H$25)),'Hiring plan'!$F$25,0)</f>
        <v>0</v>
      </c>
      <c r="AZ29" s="33" t="n">
        <f aca="false">IF(AND(N('Hiring plan'!$F$25)&gt;0,AZ$3&gt;='Hiring plan'!$G$25,AZ$3&lt;=IF('Hiring plan'!$H$25="",999,'Hiring plan'!$H$25)),'Hiring plan'!$F$25,0)</f>
        <v>0</v>
      </c>
      <c r="BA29" s="33" t="n">
        <f aca="false">IF(AND(N('Hiring plan'!$F$25)&gt;0,BA$3&gt;='Hiring plan'!$G$25,BA$3&lt;=IF('Hiring plan'!$H$25="",999,'Hiring plan'!$H$25)),'Hiring plan'!$F$25,0)</f>
        <v>0</v>
      </c>
      <c r="BB29" s="33" t="n">
        <f aca="false">IF(AND(N('Hiring plan'!$F$25)&gt;0,BB$3&gt;='Hiring plan'!$G$25,BB$3&lt;=IF('Hiring plan'!$H$25="",999,'Hiring plan'!$H$25)),'Hiring plan'!$F$25,0)</f>
        <v>0</v>
      </c>
      <c r="BC29" s="33" t="n">
        <f aca="false">IF(AND(N('Hiring plan'!$F$25)&gt;0,BC$3&gt;='Hiring plan'!$G$25,BC$3&lt;=IF('Hiring plan'!$H$25="",999,'Hiring plan'!$H$25)),'Hiring plan'!$F$25,0)</f>
        <v>0</v>
      </c>
      <c r="BD29" s="33" t="n">
        <f aca="false">IF(AND(N('Hiring plan'!$F$25)&gt;0,BD$3&gt;='Hiring plan'!$G$25,BD$3&lt;=IF('Hiring plan'!$H$25="",999,'Hiring plan'!$H$25)),'Hiring plan'!$F$25,0)</f>
        <v>0</v>
      </c>
      <c r="BE29" s="33" t="n">
        <f aca="false">IF(AND(N('Hiring plan'!$F$25)&gt;0,BE$3&gt;='Hiring plan'!$G$25,BE$3&lt;=IF('Hiring plan'!$H$25="",999,'Hiring plan'!$H$25)),'Hiring plan'!$F$25,0)</f>
        <v>0</v>
      </c>
      <c r="BF29" s="33" t="n">
        <f aca="false">IF(AND(N('Hiring plan'!$F$25)&gt;0,BF$3&gt;='Hiring plan'!$G$25,BF$3&lt;=IF('Hiring plan'!$H$25="",999,'Hiring plan'!$H$25)),'Hiring plan'!$F$25,0)</f>
        <v>0</v>
      </c>
      <c r="BG29" s="33" t="n">
        <f aca="false">IF(AND(N('Hiring plan'!$F$25)&gt;0,BG$3&gt;='Hiring plan'!$G$25,BG$3&lt;=IF('Hiring plan'!$H$25="",999,'Hiring plan'!$H$25)),'Hiring plan'!$F$25,0)</f>
        <v>0</v>
      </c>
      <c r="BH29" s="33" t="n">
        <f aca="false">IF(AND(N('Hiring plan'!$F$25)&gt;0,BH$3&gt;='Hiring plan'!$G$25,BH$3&lt;=IF('Hiring plan'!$H$25="",999,'Hiring plan'!$H$25)),'Hiring plan'!$F$25,0)</f>
        <v>0</v>
      </c>
      <c r="BI29" s="33" t="n">
        <f aca="false">IF(AND(N('Hiring plan'!$F$25)&gt;0,BI$3&gt;='Hiring plan'!$G$25,BI$3&lt;=IF('Hiring plan'!$H$25="",999,'Hiring plan'!$H$25)),'Hiring plan'!$F$25,0)</f>
        <v>0</v>
      </c>
      <c r="BJ29" s="33" t="n">
        <f aca="false">IF(AND(N('Hiring plan'!$F$25)&gt;0,BJ$3&gt;='Hiring plan'!$G$25,BJ$3&lt;=IF('Hiring plan'!$H$25="",999,'Hiring plan'!$H$25)),'Hiring plan'!$F$25,0)</f>
        <v>0</v>
      </c>
      <c r="BK29" s="33" t="n">
        <f aca="false">IF(AND(N('Hiring plan'!$F$25)&gt;0,BK$3&gt;='Hiring plan'!$G$25,BK$3&lt;=IF('Hiring plan'!$H$25="",999,'Hiring plan'!$H$25)),'Hiring plan'!$F$25,0)</f>
        <v>0</v>
      </c>
      <c r="BL29" s="33" t="n">
        <f aca="false">IF(AND(N('Hiring plan'!$F$25)&gt;0,BL$3&gt;='Hiring plan'!$G$25,BL$3&lt;=IF('Hiring plan'!$H$25="",999,'Hiring plan'!$H$25)),'Hiring plan'!$F$25,0)</f>
        <v>0</v>
      </c>
    </row>
    <row r="30" customFormat="false" ht="15" hidden="false" customHeight="true" outlineLevel="0" collapsed="false">
      <c r="A30" s="13" t="str">
        <f aca="false">IF('Hiring plan'!$C$26="","(spare line 22)",'Hiring plan'!$C$26&amp;" · "&amp;'Hiring plan'!$D$26)</f>
        <v>(spare line 22)</v>
      </c>
      <c r="B30" s="15" t="s">
        <v>92</v>
      </c>
      <c r="D30" s="56" t="n">
        <f aca="false">MAX(E30:BL30)</f>
        <v>0</v>
      </c>
      <c r="E30" s="33" t="n">
        <f aca="false">IF(AND(N('Hiring plan'!$F$26)&gt;0,E$3&gt;='Hiring plan'!$G$26,E$3&lt;=IF('Hiring plan'!$H$26="",999,'Hiring plan'!$H$26)),'Hiring plan'!$F$26,0)</f>
        <v>0</v>
      </c>
      <c r="F30" s="33" t="n">
        <f aca="false">IF(AND(N('Hiring plan'!$F$26)&gt;0,F$3&gt;='Hiring plan'!$G$26,F$3&lt;=IF('Hiring plan'!$H$26="",999,'Hiring plan'!$H$26)),'Hiring plan'!$F$26,0)</f>
        <v>0</v>
      </c>
      <c r="G30" s="33" t="n">
        <f aca="false">IF(AND(N('Hiring plan'!$F$26)&gt;0,G$3&gt;='Hiring plan'!$G$26,G$3&lt;=IF('Hiring plan'!$H$26="",999,'Hiring plan'!$H$26)),'Hiring plan'!$F$26,0)</f>
        <v>0</v>
      </c>
      <c r="H30" s="33" t="n">
        <f aca="false">IF(AND(N('Hiring plan'!$F$26)&gt;0,H$3&gt;='Hiring plan'!$G$26,H$3&lt;=IF('Hiring plan'!$H$26="",999,'Hiring plan'!$H$26)),'Hiring plan'!$F$26,0)</f>
        <v>0</v>
      </c>
      <c r="I30" s="33" t="n">
        <f aca="false">IF(AND(N('Hiring plan'!$F$26)&gt;0,I$3&gt;='Hiring plan'!$G$26,I$3&lt;=IF('Hiring plan'!$H$26="",999,'Hiring plan'!$H$26)),'Hiring plan'!$F$26,0)</f>
        <v>0</v>
      </c>
      <c r="J30" s="33" t="n">
        <f aca="false">IF(AND(N('Hiring plan'!$F$26)&gt;0,J$3&gt;='Hiring plan'!$G$26,J$3&lt;=IF('Hiring plan'!$H$26="",999,'Hiring plan'!$H$26)),'Hiring plan'!$F$26,0)</f>
        <v>0</v>
      </c>
      <c r="K30" s="33" t="n">
        <f aca="false">IF(AND(N('Hiring plan'!$F$26)&gt;0,K$3&gt;='Hiring plan'!$G$26,K$3&lt;=IF('Hiring plan'!$H$26="",999,'Hiring plan'!$H$26)),'Hiring plan'!$F$26,0)</f>
        <v>0</v>
      </c>
      <c r="L30" s="33" t="n">
        <f aca="false">IF(AND(N('Hiring plan'!$F$26)&gt;0,L$3&gt;='Hiring plan'!$G$26,L$3&lt;=IF('Hiring plan'!$H$26="",999,'Hiring plan'!$H$26)),'Hiring plan'!$F$26,0)</f>
        <v>0</v>
      </c>
      <c r="M30" s="33" t="n">
        <f aca="false">IF(AND(N('Hiring plan'!$F$26)&gt;0,M$3&gt;='Hiring plan'!$G$26,M$3&lt;=IF('Hiring plan'!$H$26="",999,'Hiring plan'!$H$26)),'Hiring plan'!$F$26,0)</f>
        <v>0</v>
      </c>
      <c r="N30" s="33" t="n">
        <f aca="false">IF(AND(N('Hiring plan'!$F$26)&gt;0,N$3&gt;='Hiring plan'!$G$26,N$3&lt;=IF('Hiring plan'!$H$26="",999,'Hiring plan'!$H$26)),'Hiring plan'!$F$26,0)</f>
        <v>0</v>
      </c>
      <c r="O30" s="33" t="n">
        <f aca="false">IF(AND(N('Hiring plan'!$F$26)&gt;0,O$3&gt;='Hiring plan'!$G$26,O$3&lt;=IF('Hiring plan'!$H$26="",999,'Hiring plan'!$H$26)),'Hiring plan'!$F$26,0)</f>
        <v>0</v>
      </c>
      <c r="P30" s="33" t="n">
        <f aca="false">IF(AND(N('Hiring plan'!$F$26)&gt;0,P$3&gt;='Hiring plan'!$G$26,P$3&lt;=IF('Hiring plan'!$H$26="",999,'Hiring plan'!$H$26)),'Hiring plan'!$F$26,0)</f>
        <v>0</v>
      </c>
      <c r="Q30" s="33" t="n">
        <f aca="false">IF(AND(N('Hiring plan'!$F$26)&gt;0,Q$3&gt;='Hiring plan'!$G$26,Q$3&lt;=IF('Hiring plan'!$H$26="",999,'Hiring plan'!$H$26)),'Hiring plan'!$F$26,0)</f>
        <v>0</v>
      </c>
      <c r="R30" s="33" t="n">
        <f aca="false">IF(AND(N('Hiring plan'!$F$26)&gt;0,R$3&gt;='Hiring plan'!$G$26,R$3&lt;=IF('Hiring plan'!$H$26="",999,'Hiring plan'!$H$26)),'Hiring plan'!$F$26,0)</f>
        <v>0</v>
      </c>
      <c r="S30" s="33" t="n">
        <f aca="false">IF(AND(N('Hiring plan'!$F$26)&gt;0,S$3&gt;='Hiring plan'!$G$26,S$3&lt;=IF('Hiring plan'!$H$26="",999,'Hiring plan'!$H$26)),'Hiring plan'!$F$26,0)</f>
        <v>0</v>
      </c>
      <c r="T30" s="33" t="n">
        <f aca="false">IF(AND(N('Hiring plan'!$F$26)&gt;0,T$3&gt;='Hiring plan'!$G$26,T$3&lt;=IF('Hiring plan'!$H$26="",999,'Hiring plan'!$H$26)),'Hiring plan'!$F$26,0)</f>
        <v>0</v>
      </c>
      <c r="U30" s="33" t="n">
        <f aca="false">IF(AND(N('Hiring plan'!$F$26)&gt;0,U$3&gt;='Hiring plan'!$G$26,U$3&lt;=IF('Hiring plan'!$H$26="",999,'Hiring plan'!$H$26)),'Hiring plan'!$F$26,0)</f>
        <v>0</v>
      </c>
      <c r="V30" s="33" t="n">
        <f aca="false">IF(AND(N('Hiring plan'!$F$26)&gt;0,V$3&gt;='Hiring plan'!$G$26,V$3&lt;=IF('Hiring plan'!$H$26="",999,'Hiring plan'!$H$26)),'Hiring plan'!$F$26,0)</f>
        <v>0</v>
      </c>
      <c r="W30" s="33" t="n">
        <f aca="false">IF(AND(N('Hiring plan'!$F$26)&gt;0,W$3&gt;='Hiring plan'!$G$26,W$3&lt;=IF('Hiring plan'!$H$26="",999,'Hiring plan'!$H$26)),'Hiring plan'!$F$26,0)</f>
        <v>0</v>
      </c>
      <c r="X30" s="33" t="n">
        <f aca="false">IF(AND(N('Hiring plan'!$F$26)&gt;0,X$3&gt;='Hiring plan'!$G$26,X$3&lt;=IF('Hiring plan'!$H$26="",999,'Hiring plan'!$H$26)),'Hiring plan'!$F$26,0)</f>
        <v>0</v>
      </c>
      <c r="Y30" s="33" t="n">
        <f aca="false">IF(AND(N('Hiring plan'!$F$26)&gt;0,Y$3&gt;='Hiring plan'!$G$26,Y$3&lt;=IF('Hiring plan'!$H$26="",999,'Hiring plan'!$H$26)),'Hiring plan'!$F$26,0)</f>
        <v>0</v>
      </c>
      <c r="Z30" s="33" t="n">
        <f aca="false">IF(AND(N('Hiring plan'!$F$26)&gt;0,Z$3&gt;='Hiring plan'!$G$26,Z$3&lt;=IF('Hiring plan'!$H$26="",999,'Hiring plan'!$H$26)),'Hiring plan'!$F$26,0)</f>
        <v>0</v>
      </c>
      <c r="AA30" s="33" t="n">
        <f aca="false">IF(AND(N('Hiring plan'!$F$26)&gt;0,AA$3&gt;='Hiring plan'!$G$26,AA$3&lt;=IF('Hiring plan'!$H$26="",999,'Hiring plan'!$H$26)),'Hiring plan'!$F$26,0)</f>
        <v>0</v>
      </c>
      <c r="AB30" s="33" t="n">
        <f aca="false">IF(AND(N('Hiring plan'!$F$26)&gt;0,AB$3&gt;='Hiring plan'!$G$26,AB$3&lt;=IF('Hiring plan'!$H$26="",999,'Hiring plan'!$H$26)),'Hiring plan'!$F$26,0)</f>
        <v>0</v>
      </c>
      <c r="AC30" s="33" t="n">
        <f aca="false">IF(AND(N('Hiring plan'!$F$26)&gt;0,AC$3&gt;='Hiring plan'!$G$26,AC$3&lt;=IF('Hiring plan'!$H$26="",999,'Hiring plan'!$H$26)),'Hiring plan'!$F$26,0)</f>
        <v>0</v>
      </c>
      <c r="AD30" s="33" t="n">
        <f aca="false">IF(AND(N('Hiring plan'!$F$26)&gt;0,AD$3&gt;='Hiring plan'!$G$26,AD$3&lt;=IF('Hiring plan'!$H$26="",999,'Hiring plan'!$H$26)),'Hiring plan'!$F$26,0)</f>
        <v>0</v>
      </c>
      <c r="AE30" s="33" t="n">
        <f aca="false">IF(AND(N('Hiring plan'!$F$26)&gt;0,AE$3&gt;='Hiring plan'!$G$26,AE$3&lt;=IF('Hiring plan'!$H$26="",999,'Hiring plan'!$H$26)),'Hiring plan'!$F$26,0)</f>
        <v>0</v>
      </c>
      <c r="AF30" s="33" t="n">
        <f aca="false">IF(AND(N('Hiring plan'!$F$26)&gt;0,AF$3&gt;='Hiring plan'!$G$26,AF$3&lt;=IF('Hiring plan'!$H$26="",999,'Hiring plan'!$H$26)),'Hiring plan'!$F$26,0)</f>
        <v>0</v>
      </c>
      <c r="AG30" s="33" t="n">
        <f aca="false">IF(AND(N('Hiring plan'!$F$26)&gt;0,AG$3&gt;='Hiring plan'!$G$26,AG$3&lt;=IF('Hiring plan'!$H$26="",999,'Hiring plan'!$H$26)),'Hiring plan'!$F$26,0)</f>
        <v>0</v>
      </c>
      <c r="AH30" s="33" t="n">
        <f aca="false">IF(AND(N('Hiring plan'!$F$26)&gt;0,AH$3&gt;='Hiring plan'!$G$26,AH$3&lt;=IF('Hiring plan'!$H$26="",999,'Hiring plan'!$H$26)),'Hiring plan'!$F$26,0)</f>
        <v>0</v>
      </c>
      <c r="AI30" s="33" t="n">
        <f aca="false">IF(AND(N('Hiring plan'!$F$26)&gt;0,AI$3&gt;='Hiring plan'!$G$26,AI$3&lt;=IF('Hiring plan'!$H$26="",999,'Hiring plan'!$H$26)),'Hiring plan'!$F$26,0)</f>
        <v>0</v>
      </c>
      <c r="AJ30" s="33" t="n">
        <f aca="false">IF(AND(N('Hiring plan'!$F$26)&gt;0,AJ$3&gt;='Hiring plan'!$G$26,AJ$3&lt;=IF('Hiring plan'!$H$26="",999,'Hiring plan'!$H$26)),'Hiring plan'!$F$26,0)</f>
        <v>0</v>
      </c>
      <c r="AK30" s="33" t="n">
        <f aca="false">IF(AND(N('Hiring plan'!$F$26)&gt;0,AK$3&gt;='Hiring plan'!$G$26,AK$3&lt;=IF('Hiring plan'!$H$26="",999,'Hiring plan'!$H$26)),'Hiring plan'!$F$26,0)</f>
        <v>0</v>
      </c>
      <c r="AL30" s="33" t="n">
        <f aca="false">IF(AND(N('Hiring plan'!$F$26)&gt;0,AL$3&gt;='Hiring plan'!$G$26,AL$3&lt;=IF('Hiring plan'!$H$26="",999,'Hiring plan'!$H$26)),'Hiring plan'!$F$26,0)</f>
        <v>0</v>
      </c>
      <c r="AM30" s="33" t="n">
        <f aca="false">IF(AND(N('Hiring plan'!$F$26)&gt;0,AM$3&gt;='Hiring plan'!$G$26,AM$3&lt;=IF('Hiring plan'!$H$26="",999,'Hiring plan'!$H$26)),'Hiring plan'!$F$26,0)</f>
        <v>0</v>
      </c>
      <c r="AN30" s="33" t="n">
        <f aca="false">IF(AND(N('Hiring plan'!$F$26)&gt;0,AN$3&gt;='Hiring plan'!$G$26,AN$3&lt;=IF('Hiring plan'!$H$26="",999,'Hiring plan'!$H$26)),'Hiring plan'!$F$26,0)</f>
        <v>0</v>
      </c>
      <c r="AO30" s="33" t="n">
        <f aca="false">IF(AND(N('Hiring plan'!$F$26)&gt;0,AO$3&gt;='Hiring plan'!$G$26,AO$3&lt;=IF('Hiring plan'!$H$26="",999,'Hiring plan'!$H$26)),'Hiring plan'!$F$26,0)</f>
        <v>0</v>
      </c>
      <c r="AP30" s="33" t="n">
        <f aca="false">IF(AND(N('Hiring plan'!$F$26)&gt;0,AP$3&gt;='Hiring plan'!$G$26,AP$3&lt;=IF('Hiring plan'!$H$26="",999,'Hiring plan'!$H$26)),'Hiring plan'!$F$26,0)</f>
        <v>0</v>
      </c>
      <c r="AQ30" s="33" t="n">
        <f aca="false">IF(AND(N('Hiring plan'!$F$26)&gt;0,AQ$3&gt;='Hiring plan'!$G$26,AQ$3&lt;=IF('Hiring plan'!$H$26="",999,'Hiring plan'!$H$26)),'Hiring plan'!$F$26,0)</f>
        <v>0</v>
      </c>
      <c r="AR30" s="33" t="n">
        <f aca="false">IF(AND(N('Hiring plan'!$F$26)&gt;0,AR$3&gt;='Hiring plan'!$G$26,AR$3&lt;=IF('Hiring plan'!$H$26="",999,'Hiring plan'!$H$26)),'Hiring plan'!$F$26,0)</f>
        <v>0</v>
      </c>
      <c r="AS30" s="33" t="n">
        <f aca="false">IF(AND(N('Hiring plan'!$F$26)&gt;0,AS$3&gt;='Hiring plan'!$G$26,AS$3&lt;=IF('Hiring plan'!$H$26="",999,'Hiring plan'!$H$26)),'Hiring plan'!$F$26,0)</f>
        <v>0</v>
      </c>
      <c r="AT30" s="33" t="n">
        <f aca="false">IF(AND(N('Hiring plan'!$F$26)&gt;0,AT$3&gt;='Hiring plan'!$G$26,AT$3&lt;=IF('Hiring plan'!$H$26="",999,'Hiring plan'!$H$26)),'Hiring plan'!$F$26,0)</f>
        <v>0</v>
      </c>
      <c r="AU30" s="33" t="n">
        <f aca="false">IF(AND(N('Hiring plan'!$F$26)&gt;0,AU$3&gt;='Hiring plan'!$G$26,AU$3&lt;=IF('Hiring plan'!$H$26="",999,'Hiring plan'!$H$26)),'Hiring plan'!$F$26,0)</f>
        <v>0</v>
      </c>
      <c r="AV30" s="33" t="n">
        <f aca="false">IF(AND(N('Hiring plan'!$F$26)&gt;0,AV$3&gt;='Hiring plan'!$G$26,AV$3&lt;=IF('Hiring plan'!$H$26="",999,'Hiring plan'!$H$26)),'Hiring plan'!$F$26,0)</f>
        <v>0</v>
      </c>
      <c r="AW30" s="33" t="n">
        <f aca="false">IF(AND(N('Hiring plan'!$F$26)&gt;0,AW$3&gt;='Hiring plan'!$G$26,AW$3&lt;=IF('Hiring plan'!$H$26="",999,'Hiring plan'!$H$26)),'Hiring plan'!$F$26,0)</f>
        <v>0</v>
      </c>
      <c r="AX30" s="33" t="n">
        <f aca="false">IF(AND(N('Hiring plan'!$F$26)&gt;0,AX$3&gt;='Hiring plan'!$G$26,AX$3&lt;=IF('Hiring plan'!$H$26="",999,'Hiring plan'!$H$26)),'Hiring plan'!$F$26,0)</f>
        <v>0</v>
      </c>
      <c r="AY30" s="33" t="n">
        <f aca="false">IF(AND(N('Hiring plan'!$F$26)&gt;0,AY$3&gt;='Hiring plan'!$G$26,AY$3&lt;=IF('Hiring plan'!$H$26="",999,'Hiring plan'!$H$26)),'Hiring plan'!$F$26,0)</f>
        <v>0</v>
      </c>
      <c r="AZ30" s="33" t="n">
        <f aca="false">IF(AND(N('Hiring plan'!$F$26)&gt;0,AZ$3&gt;='Hiring plan'!$G$26,AZ$3&lt;=IF('Hiring plan'!$H$26="",999,'Hiring plan'!$H$26)),'Hiring plan'!$F$26,0)</f>
        <v>0</v>
      </c>
      <c r="BA30" s="33" t="n">
        <f aca="false">IF(AND(N('Hiring plan'!$F$26)&gt;0,BA$3&gt;='Hiring plan'!$G$26,BA$3&lt;=IF('Hiring plan'!$H$26="",999,'Hiring plan'!$H$26)),'Hiring plan'!$F$26,0)</f>
        <v>0</v>
      </c>
      <c r="BB30" s="33" t="n">
        <f aca="false">IF(AND(N('Hiring plan'!$F$26)&gt;0,BB$3&gt;='Hiring plan'!$G$26,BB$3&lt;=IF('Hiring plan'!$H$26="",999,'Hiring plan'!$H$26)),'Hiring plan'!$F$26,0)</f>
        <v>0</v>
      </c>
      <c r="BC30" s="33" t="n">
        <f aca="false">IF(AND(N('Hiring plan'!$F$26)&gt;0,BC$3&gt;='Hiring plan'!$G$26,BC$3&lt;=IF('Hiring plan'!$H$26="",999,'Hiring plan'!$H$26)),'Hiring plan'!$F$26,0)</f>
        <v>0</v>
      </c>
      <c r="BD30" s="33" t="n">
        <f aca="false">IF(AND(N('Hiring plan'!$F$26)&gt;0,BD$3&gt;='Hiring plan'!$G$26,BD$3&lt;=IF('Hiring plan'!$H$26="",999,'Hiring plan'!$H$26)),'Hiring plan'!$F$26,0)</f>
        <v>0</v>
      </c>
      <c r="BE30" s="33" t="n">
        <f aca="false">IF(AND(N('Hiring plan'!$F$26)&gt;0,BE$3&gt;='Hiring plan'!$G$26,BE$3&lt;=IF('Hiring plan'!$H$26="",999,'Hiring plan'!$H$26)),'Hiring plan'!$F$26,0)</f>
        <v>0</v>
      </c>
      <c r="BF30" s="33" t="n">
        <f aca="false">IF(AND(N('Hiring plan'!$F$26)&gt;0,BF$3&gt;='Hiring plan'!$G$26,BF$3&lt;=IF('Hiring plan'!$H$26="",999,'Hiring plan'!$H$26)),'Hiring plan'!$F$26,0)</f>
        <v>0</v>
      </c>
      <c r="BG30" s="33" t="n">
        <f aca="false">IF(AND(N('Hiring plan'!$F$26)&gt;0,BG$3&gt;='Hiring plan'!$G$26,BG$3&lt;=IF('Hiring plan'!$H$26="",999,'Hiring plan'!$H$26)),'Hiring plan'!$F$26,0)</f>
        <v>0</v>
      </c>
      <c r="BH30" s="33" t="n">
        <f aca="false">IF(AND(N('Hiring plan'!$F$26)&gt;0,BH$3&gt;='Hiring plan'!$G$26,BH$3&lt;=IF('Hiring plan'!$H$26="",999,'Hiring plan'!$H$26)),'Hiring plan'!$F$26,0)</f>
        <v>0</v>
      </c>
      <c r="BI30" s="33" t="n">
        <f aca="false">IF(AND(N('Hiring plan'!$F$26)&gt;0,BI$3&gt;='Hiring plan'!$G$26,BI$3&lt;=IF('Hiring plan'!$H$26="",999,'Hiring plan'!$H$26)),'Hiring plan'!$F$26,0)</f>
        <v>0</v>
      </c>
      <c r="BJ30" s="33" t="n">
        <f aca="false">IF(AND(N('Hiring plan'!$F$26)&gt;0,BJ$3&gt;='Hiring plan'!$G$26,BJ$3&lt;=IF('Hiring plan'!$H$26="",999,'Hiring plan'!$H$26)),'Hiring plan'!$F$26,0)</f>
        <v>0</v>
      </c>
      <c r="BK30" s="33" t="n">
        <f aca="false">IF(AND(N('Hiring plan'!$F$26)&gt;0,BK$3&gt;='Hiring plan'!$G$26,BK$3&lt;=IF('Hiring plan'!$H$26="",999,'Hiring plan'!$H$26)),'Hiring plan'!$F$26,0)</f>
        <v>0</v>
      </c>
      <c r="BL30" s="33" t="n">
        <f aca="false">IF(AND(N('Hiring plan'!$F$26)&gt;0,BL$3&gt;='Hiring plan'!$G$26,BL$3&lt;=IF('Hiring plan'!$H$26="",999,'Hiring plan'!$H$26)),'Hiring plan'!$F$26,0)</f>
        <v>0</v>
      </c>
    </row>
    <row r="31" customFormat="false" ht="15" hidden="false" customHeight="true" outlineLevel="0" collapsed="false">
      <c r="A31" s="13" t="str">
        <f aca="false">IF('Hiring plan'!$C$27="","(spare line 23)",'Hiring plan'!$C$27&amp;" · "&amp;'Hiring plan'!$D$27)</f>
        <v>(spare line 23)</v>
      </c>
      <c r="B31" s="15" t="s">
        <v>92</v>
      </c>
      <c r="D31" s="56" t="n">
        <f aca="false">MAX(E31:BL31)</f>
        <v>0</v>
      </c>
      <c r="E31" s="33" t="n">
        <f aca="false">IF(AND(N('Hiring plan'!$F$27)&gt;0,E$3&gt;='Hiring plan'!$G$27,E$3&lt;=IF('Hiring plan'!$H$27="",999,'Hiring plan'!$H$27)),'Hiring plan'!$F$27,0)</f>
        <v>0</v>
      </c>
      <c r="F31" s="33" t="n">
        <f aca="false">IF(AND(N('Hiring plan'!$F$27)&gt;0,F$3&gt;='Hiring plan'!$G$27,F$3&lt;=IF('Hiring plan'!$H$27="",999,'Hiring plan'!$H$27)),'Hiring plan'!$F$27,0)</f>
        <v>0</v>
      </c>
      <c r="G31" s="33" t="n">
        <f aca="false">IF(AND(N('Hiring plan'!$F$27)&gt;0,G$3&gt;='Hiring plan'!$G$27,G$3&lt;=IF('Hiring plan'!$H$27="",999,'Hiring plan'!$H$27)),'Hiring plan'!$F$27,0)</f>
        <v>0</v>
      </c>
      <c r="H31" s="33" t="n">
        <f aca="false">IF(AND(N('Hiring plan'!$F$27)&gt;0,H$3&gt;='Hiring plan'!$G$27,H$3&lt;=IF('Hiring plan'!$H$27="",999,'Hiring plan'!$H$27)),'Hiring plan'!$F$27,0)</f>
        <v>0</v>
      </c>
      <c r="I31" s="33" t="n">
        <f aca="false">IF(AND(N('Hiring plan'!$F$27)&gt;0,I$3&gt;='Hiring plan'!$G$27,I$3&lt;=IF('Hiring plan'!$H$27="",999,'Hiring plan'!$H$27)),'Hiring plan'!$F$27,0)</f>
        <v>0</v>
      </c>
      <c r="J31" s="33" t="n">
        <f aca="false">IF(AND(N('Hiring plan'!$F$27)&gt;0,J$3&gt;='Hiring plan'!$G$27,J$3&lt;=IF('Hiring plan'!$H$27="",999,'Hiring plan'!$H$27)),'Hiring plan'!$F$27,0)</f>
        <v>0</v>
      </c>
      <c r="K31" s="33" t="n">
        <f aca="false">IF(AND(N('Hiring plan'!$F$27)&gt;0,K$3&gt;='Hiring plan'!$G$27,K$3&lt;=IF('Hiring plan'!$H$27="",999,'Hiring plan'!$H$27)),'Hiring plan'!$F$27,0)</f>
        <v>0</v>
      </c>
      <c r="L31" s="33" t="n">
        <f aca="false">IF(AND(N('Hiring plan'!$F$27)&gt;0,L$3&gt;='Hiring plan'!$G$27,L$3&lt;=IF('Hiring plan'!$H$27="",999,'Hiring plan'!$H$27)),'Hiring plan'!$F$27,0)</f>
        <v>0</v>
      </c>
      <c r="M31" s="33" t="n">
        <f aca="false">IF(AND(N('Hiring plan'!$F$27)&gt;0,M$3&gt;='Hiring plan'!$G$27,M$3&lt;=IF('Hiring plan'!$H$27="",999,'Hiring plan'!$H$27)),'Hiring plan'!$F$27,0)</f>
        <v>0</v>
      </c>
      <c r="N31" s="33" t="n">
        <f aca="false">IF(AND(N('Hiring plan'!$F$27)&gt;0,N$3&gt;='Hiring plan'!$G$27,N$3&lt;=IF('Hiring plan'!$H$27="",999,'Hiring plan'!$H$27)),'Hiring plan'!$F$27,0)</f>
        <v>0</v>
      </c>
      <c r="O31" s="33" t="n">
        <f aca="false">IF(AND(N('Hiring plan'!$F$27)&gt;0,O$3&gt;='Hiring plan'!$G$27,O$3&lt;=IF('Hiring plan'!$H$27="",999,'Hiring plan'!$H$27)),'Hiring plan'!$F$27,0)</f>
        <v>0</v>
      </c>
      <c r="P31" s="33" t="n">
        <f aca="false">IF(AND(N('Hiring plan'!$F$27)&gt;0,P$3&gt;='Hiring plan'!$G$27,P$3&lt;=IF('Hiring plan'!$H$27="",999,'Hiring plan'!$H$27)),'Hiring plan'!$F$27,0)</f>
        <v>0</v>
      </c>
      <c r="Q31" s="33" t="n">
        <f aca="false">IF(AND(N('Hiring plan'!$F$27)&gt;0,Q$3&gt;='Hiring plan'!$G$27,Q$3&lt;=IF('Hiring plan'!$H$27="",999,'Hiring plan'!$H$27)),'Hiring plan'!$F$27,0)</f>
        <v>0</v>
      </c>
      <c r="R31" s="33" t="n">
        <f aca="false">IF(AND(N('Hiring plan'!$F$27)&gt;0,R$3&gt;='Hiring plan'!$G$27,R$3&lt;=IF('Hiring plan'!$H$27="",999,'Hiring plan'!$H$27)),'Hiring plan'!$F$27,0)</f>
        <v>0</v>
      </c>
      <c r="S31" s="33" t="n">
        <f aca="false">IF(AND(N('Hiring plan'!$F$27)&gt;0,S$3&gt;='Hiring plan'!$G$27,S$3&lt;=IF('Hiring plan'!$H$27="",999,'Hiring plan'!$H$27)),'Hiring plan'!$F$27,0)</f>
        <v>0</v>
      </c>
      <c r="T31" s="33" t="n">
        <f aca="false">IF(AND(N('Hiring plan'!$F$27)&gt;0,T$3&gt;='Hiring plan'!$G$27,T$3&lt;=IF('Hiring plan'!$H$27="",999,'Hiring plan'!$H$27)),'Hiring plan'!$F$27,0)</f>
        <v>0</v>
      </c>
      <c r="U31" s="33" t="n">
        <f aca="false">IF(AND(N('Hiring plan'!$F$27)&gt;0,U$3&gt;='Hiring plan'!$G$27,U$3&lt;=IF('Hiring plan'!$H$27="",999,'Hiring plan'!$H$27)),'Hiring plan'!$F$27,0)</f>
        <v>0</v>
      </c>
      <c r="V31" s="33" t="n">
        <f aca="false">IF(AND(N('Hiring plan'!$F$27)&gt;0,V$3&gt;='Hiring plan'!$G$27,V$3&lt;=IF('Hiring plan'!$H$27="",999,'Hiring plan'!$H$27)),'Hiring plan'!$F$27,0)</f>
        <v>0</v>
      </c>
      <c r="W31" s="33" t="n">
        <f aca="false">IF(AND(N('Hiring plan'!$F$27)&gt;0,W$3&gt;='Hiring plan'!$G$27,W$3&lt;=IF('Hiring plan'!$H$27="",999,'Hiring plan'!$H$27)),'Hiring plan'!$F$27,0)</f>
        <v>0</v>
      </c>
      <c r="X31" s="33" t="n">
        <f aca="false">IF(AND(N('Hiring plan'!$F$27)&gt;0,X$3&gt;='Hiring plan'!$G$27,X$3&lt;=IF('Hiring plan'!$H$27="",999,'Hiring plan'!$H$27)),'Hiring plan'!$F$27,0)</f>
        <v>0</v>
      </c>
      <c r="Y31" s="33" t="n">
        <f aca="false">IF(AND(N('Hiring plan'!$F$27)&gt;0,Y$3&gt;='Hiring plan'!$G$27,Y$3&lt;=IF('Hiring plan'!$H$27="",999,'Hiring plan'!$H$27)),'Hiring plan'!$F$27,0)</f>
        <v>0</v>
      </c>
      <c r="Z31" s="33" t="n">
        <f aca="false">IF(AND(N('Hiring plan'!$F$27)&gt;0,Z$3&gt;='Hiring plan'!$G$27,Z$3&lt;=IF('Hiring plan'!$H$27="",999,'Hiring plan'!$H$27)),'Hiring plan'!$F$27,0)</f>
        <v>0</v>
      </c>
      <c r="AA31" s="33" t="n">
        <f aca="false">IF(AND(N('Hiring plan'!$F$27)&gt;0,AA$3&gt;='Hiring plan'!$G$27,AA$3&lt;=IF('Hiring plan'!$H$27="",999,'Hiring plan'!$H$27)),'Hiring plan'!$F$27,0)</f>
        <v>0</v>
      </c>
      <c r="AB31" s="33" t="n">
        <f aca="false">IF(AND(N('Hiring plan'!$F$27)&gt;0,AB$3&gt;='Hiring plan'!$G$27,AB$3&lt;=IF('Hiring plan'!$H$27="",999,'Hiring plan'!$H$27)),'Hiring plan'!$F$27,0)</f>
        <v>0</v>
      </c>
      <c r="AC31" s="33" t="n">
        <f aca="false">IF(AND(N('Hiring plan'!$F$27)&gt;0,AC$3&gt;='Hiring plan'!$G$27,AC$3&lt;=IF('Hiring plan'!$H$27="",999,'Hiring plan'!$H$27)),'Hiring plan'!$F$27,0)</f>
        <v>0</v>
      </c>
      <c r="AD31" s="33" t="n">
        <f aca="false">IF(AND(N('Hiring plan'!$F$27)&gt;0,AD$3&gt;='Hiring plan'!$G$27,AD$3&lt;=IF('Hiring plan'!$H$27="",999,'Hiring plan'!$H$27)),'Hiring plan'!$F$27,0)</f>
        <v>0</v>
      </c>
      <c r="AE31" s="33" t="n">
        <f aca="false">IF(AND(N('Hiring plan'!$F$27)&gt;0,AE$3&gt;='Hiring plan'!$G$27,AE$3&lt;=IF('Hiring plan'!$H$27="",999,'Hiring plan'!$H$27)),'Hiring plan'!$F$27,0)</f>
        <v>0</v>
      </c>
      <c r="AF31" s="33" t="n">
        <f aca="false">IF(AND(N('Hiring plan'!$F$27)&gt;0,AF$3&gt;='Hiring plan'!$G$27,AF$3&lt;=IF('Hiring plan'!$H$27="",999,'Hiring plan'!$H$27)),'Hiring plan'!$F$27,0)</f>
        <v>0</v>
      </c>
      <c r="AG31" s="33" t="n">
        <f aca="false">IF(AND(N('Hiring plan'!$F$27)&gt;0,AG$3&gt;='Hiring plan'!$G$27,AG$3&lt;=IF('Hiring plan'!$H$27="",999,'Hiring plan'!$H$27)),'Hiring plan'!$F$27,0)</f>
        <v>0</v>
      </c>
      <c r="AH31" s="33" t="n">
        <f aca="false">IF(AND(N('Hiring plan'!$F$27)&gt;0,AH$3&gt;='Hiring plan'!$G$27,AH$3&lt;=IF('Hiring plan'!$H$27="",999,'Hiring plan'!$H$27)),'Hiring plan'!$F$27,0)</f>
        <v>0</v>
      </c>
      <c r="AI31" s="33" t="n">
        <f aca="false">IF(AND(N('Hiring plan'!$F$27)&gt;0,AI$3&gt;='Hiring plan'!$G$27,AI$3&lt;=IF('Hiring plan'!$H$27="",999,'Hiring plan'!$H$27)),'Hiring plan'!$F$27,0)</f>
        <v>0</v>
      </c>
      <c r="AJ31" s="33" t="n">
        <f aca="false">IF(AND(N('Hiring plan'!$F$27)&gt;0,AJ$3&gt;='Hiring plan'!$G$27,AJ$3&lt;=IF('Hiring plan'!$H$27="",999,'Hiring plan'!$H$27)),'Hiring plan'!$F$27,0)</f>
        <v>0</v>
      </c>
      <c r="AK31" s="33" t="n">
        <f aca="false">IF(AND(N('Hiring plan'!$F$27)&gt;0,AK$3&gt;='Hiring plan'!$G$27,AK$3&lt;=IF('Hiring plan'!$H$27="",999,'Hiring plan'!$H$27)),'Hiring plan'!$F$27,0)</f>
        <v>0</v>
      </c>
      <c r="AL31" s="33" t="n">
        <f aca="false">IF(AND(N('Hiring plan'!$F$27)&gt;0,AL$3&gt;='Hiring plan'!$G$27,AL$3&lt;=IF('Hiring plan'!$H$27="",999,'Hiring plan'!$H$27)),'Hiring plan'!$F$27,0)</f>
        <v>0</v>
      </c>
      <c r="AM31" s="33" t="n">
        <f aca="false">IF(AND(N('Hiring plan'!$F$27)&gt;0,AM$3&gt;='Hiring plan'!$G$27,AM$3&lt;=IF('Hiring plan'!$H$27="",999,'Hiring plan'!$H$27)),'Hiring plan'!$F$27,0)</f>
        <v>0</v>
      </c>
      <c r="AN31" s="33" t="n">
        <f aca="false">IF(AND(N('Hiring plan'!$F$27)&gt;0,AN$3&gt;='Hiring plan'!$G$27,AN$3&lt;=IF('Hiring plan'!$H$27="",999,'Hiring plan'!$H$27)),'Hiring plan'!$F$27,0)</f>
        <v>0</v>
      </c>
      <c r="AO31" s="33" t="n">
        <f aca="false">IF(AND(N('Hiring plan'!$F$27)&gt;0,AO$3&gt;='Hiring plan'!$G$27,AO$3&lt;=IF('Hiring plan'!$H$27="",999,'Hiring plan'!$H$27)),'Hiring plan'!$F$27,0)</f>
        <v>0</v>
      </c>
      <c r="AP31" s="33" t="n">
        <f aca="false">IF(AND(N('Hiring plan'!$F$27)&gt;0,AP$3&gt;='Hiring plan'!$G$27,AP$3&lt;=IF('Hiring plan'!$H$27="",999,'Hiring plan'!$H$27)),'Hiring plan'!$F$27,0)</f>
        <v>0</v>
      </c>
      <c r="AQ31" s="33" t="n">
        <f aca="false">IF(AND(N('Hiring plan'!$F$27)&gt;0,AQ$3&gt;='Hiring plan'!$G$27,AQ$3&lt;=IF('Hiring plan'!$H$27="",999,'Hiring plan'!$H$27)),'Hiring plan'!$F$27,0)</f>
        <v>0</v>
      </c>
      <c r="AR31" s="33" t="n">
        <f aca="false">IF(AND(N('Hiring plan'!$F$27)&gt;0,AR$3&gt;='Hiring plan'!$G$27,AR$3&lt;=IF('Hiring plan'!$H$27="",999,'Hiring plan'!$H$27)),'Hiring plan'!$F$27,0)</f>
        <v>0</v>
      </c>
      <c r="AS31" s="33" t="n">
        <f aca="false">IF(AND(N('Hiring plan'!$F$27)&gt;0,AS$3&gt;='Hiring plan'!$G$27,AS$3&lt;=IF('Hiring plan'!$H$27="",999,'Hiring plan'!$H$27)),'Hiring plan'!$F$27,0)</f>
        <v>0</v>
      </c>
      <c r="AT31" s="33" t="n">
        <f aca="false">IF(AND(N('Hiring plan'!$F$27)&gt;0,AT$3&gt;='Hiring plan'!$G$27,AT$3&lt;=IF('Hiring plan'!$H$27="",999,'Hiring plan'!$H$27)),'Hiring plan'!$F$27,0)</f>
        <v>0</v>
      </c>
      <c r="AU31" s="33" t="n">
        <f aca="false">IF(AND(N('Hiring plan'!$F$27)&gt;0,AU$3&gt;='Hiring plan'!$G$27,AU$3&lt;=IF('Hiring plan'!$H$27="",999,'Hiring plan'!$H$27)),'Hiring plan'!$F$27,0)</f>
        <v>0</v>
      </c>
      <c r="AV31" s="33" t="n">
        <f aca="false">IF(AND(N('Hiring plan'!$F$27)&gt;0,AV$3&gt;='Hiring plan'!$G$27,AV$3&lt;=IF('Hiring plan'!$H$27="",999,'Hiring plan'!$H$27)),'Hiring plan'!$F$27,0)</f>
        <v>0</v>
      </c>
      <c r="AW31" s="33" t="n">
        <f aca="false">IF(AND(N('Hiring plan'!$F$27)&gt;0,AW$3&gt;='Hiring plan'!$G$27,AW$3&lt;=IF('Hiring plan'!$H$27="",999,'Hiring plan'!$H$27)),'Hiring plan'!$F$27,0)</f>
        <v>0</v>
      </c>
      <c r="AX31" s="33" t="n">
        <f aca="false">IF(AND(N('Hiring plan'!$F$27)&gt;0,AX$3&gt;='Hiring plan'!$G$27,AX$3&lt;=IF('Hiring plan'!$H$27="",999,'Hiring plan'!$H$27)),'Hiring plan'!$F$27,0)</f>
        <v>0</v>
      </c>
      <c r="AY31" s="33" t="n">
        <f aca="false">IF(AND(N('Hiring plan'!$F$27)&gt;0,AY$3&gt;='Hiring plan'!$G$27,AY$3&lt;=IF('Hiring plan'!$H$27="",999,'Hiring plan'!$H$27)),'Hiring plan'!$F$27,0)</f>
        <v>0</v>
      </c>
      <c r="AZ31" s="33" t="n">
        <f aca="false">IF(AND(N('Hiring plan'!$F$27)&gt;0,AZ$3&gt;='Hiring plan'!$G$27,AZ$3&lt;=IF('Hiring plan'!$H$27="",999,'Hiring plan'!$H$27)),'Hiring plan'!$F$27,0)</f>
        <v>0</v>
      </c>
      <c r="BA31" s="33" t="n">
        <f aca="false">IF(AND(N('Hiring plan'!$F$27)&gt;0,BA$3&gt;='Hiring plan'!$G$27,BA$3&lt;=IF('Hiring plan'!$H$27="",999,'Hiring plan'!$H$27)),'Hiring plan'!$F$27,0)</f>
        <v>0</v>
      </c>
      <c r="BB31" s="33" t="n">
        <f aca="false">IF(AND(N('Hiring plan'!$F$27)&gt;0,BB$3&gt;='Hiring plan'!$G$27,BB$3&lt;=IF('Hiring plan'!$H$27="",999,'Hiring plan'!$H$27)),'Hiring plan'!$F$27,0)</f>
        <v>0</v>
      </c>
      <c r="BC31" s="33" t="n">
        <f aca="false">IF(AND(N('Hiring plan'!$F$27)&gt;0,BC$3&gt;='Hiring plan'!$G$27,BC$3&lt;=IF('Hiring plan'!$H$27="",999,'Hiring plan'!$H$27)),'Hiring plan'!$F$27,0)</f>
        <v>0</v>
      </c>
      <c r="BD31" s="33" t="n">
        <f aca="false">IF(AND(N('Hiring plan'!$F$27)&gt;0,BD$3&gt;='Hiring plan'!$G$27,BD$3&lt;=IF('Hiring plan'!$H$27="",999,'Hiring plan'!$H$27)),'Hiring plan'!$F$27,0)</f>
        <v>0</v>
      </c>
      <c r="BE31" s="33" t="n">
        <f aca="false">IF(AND(N('Hiring plan'!$F$27)&gt;0,BE$3&gt;='Hiring plan'!$G$27,BE$3&lt;=IF('Hiring plan'!$H$27="",999,'Hiring plan'!$H$27)),'Hiring plan'!$F$27,0)</f>
        <v>0</v>
      </c>
      <c r="BF31" s="33" t="n">
        <f aca="false">IF(AND(N('Hiring plan'!$F$27)&gt;0,BF$3&gt;='Hiring plan'!$G$27,BF$3&lt;=IF('Hiring plan'!$H$27="",999,'Hiring plan'!$H$27)),'Hiring plan'!$F$27,0)</f>
        <v>0</v>
      </c>
      <c r="BG31" s="33" t="n">
        <f aca="false">IF(AND(N('Hiring plan'!$F$27)&gt;0,BG$3&gt;='Hiring plan'!$G$27,BG$3&lt;=IF('Hiring plan'!$H$27="",999,'Hiring plan'!$H$27)),'Hiring plan'!$F$27,0)</f>
        <v>0</v>
      </c>
      <c r="BH31" s="33" t="n">
        <f aca="false">IF(AND(N('Hiring plan'!$F$27)&gt;0,BH$3&gt;='Hiring plan'!$G$27,BH$3&lt;=IF('Hiring plan'!$H$27="",999,'Hiring plan'!$H$27)),'Hiring plan'!$F$27,0)</f>
        <v>0</v>
      </c>
      <c r="BI31" s="33" t="n">
        <f aca="false">IF(AND(N('Hiring plan'!$F$27)&gt;0,BI$3&gt;='Hiring plan'!$G$27,BI$3&lt;=IF('Hiring plan'!$H$27="",999,'Hiring plan'!$H$27)),'Hiring plan'!$F$27,0)</f>
        <v>0</v>
      </c>
      <c r="BJ31" s="33" t="n">
        <f aca="false">IF(AND(N('Hiring plan'!$F$27)&gt;0,BJ$3&gt;='Hiring plan'!$G$27,BJ$3&lt;=IF('Hiring plan'!$H$27="",999,'Hiring plan'!$H$27)),'Hiring plan'!$F$27,0)</f>
        <v>0</v>
      </c>
      <c r="BK31" s="33" t="n">
        <f aca="false">IF(AND(N('Hiring plan'!$F$27)&gt;0,BK$3&gt;='Hiring plan'!$G$27,BK$3&lt;=IF('Hiring plan'!$H$27="",999,'Hiring plan'!$H$27)),'Hiring plan'!$F$27,0)</f>
        <v>0</v>
      </c>
      <c r="BL31" s="33" t="n">
        <f aca="false">IF(AND(N('Hiring plan'!$F$27)&gt;0,BL$3&gt;='Hiring plan'!$G$27,BL$3&lt;=IF('Hiring plan'!$H$27="",999,'Hiring plan'!$H$27)),'Hiring plan'!$F$27,0)</f>
        <v>0</v>
      </c>
    </row>
    <row r="32" customFormat="false" ht="15" hidden="false" customHeight="true" outlineLevel="0" collapsed="false">
      <c r="A32" s="13" t="str">
        <f aca="false">IF('Hiring plan'!$C$28="","(spare line 24)",'Hiring plan'!$C$28&amp;" · "&amp;'Hiring plan'!$D$28)</f>
        <v>(spare line 24)</v>
      </c>
      <c r="B32" s="15" t="s">
        <v>92</v>
      </c>
      <c r="D32" s="56" t="n">
        <f aca="false">MAX(E32:BL32)</f>
        <v>0</v>
      </c>
      <c r="E32" s="33" t="n">
        <f aca="false">IF(AND(N('Hiring plan'!$F$28)&gt;0,E$3&gt;='Hiring plan'!$G$28,E$3&lt;=IF('Hiring plan'!$H$28="",999,'Hiring plan'!$H$28)),'Hiring plan'!$F$28,0)</f>
        <v>0</v>
      </c>
      <c r="F32" s="33" t="n">
        <f aca="false">IF(AND(N('Hiring plan'!$F$28)&gt;0,F$3&gt;='Hiring plan'!$G$28,F$3&lt;=IF('Hiring plan'!$H$28="",999,'Hiring plan'!$H$28)),'Hiring plan'!$F$28,0)</f>
        <v>0</v>
      </c>
      <c r="G32" s="33" t="n">
        <f aca="false">IF(AND(N('Hiring plan'!$F$28)&gt;0,G$3&gt;='Hiring plan'!$G$28,G$3&lt;=IF('Hiring plan'!$H$28="",999,'Hiring plan'!$H$28)),'Hiring plan'!$F$28,0)</f>
        <v>0</v>
      </c>
      <c r="H32" s="33" t="n">
        <f aca="false">IF(AND(N('Hiring plan'!$F$28)&gt;0,H$3&gt;='Hiring plan'!$G$28,H$3&lt;=IF('Hiring plan'!$H$28="",999,'Hiring plan'!$H$28)),'Hiring plan'!$F$28,0)</f>
        <v>0</v>
      </c>
      <c r="I32" s="33" t="n">
        <f aca="false">IF(AND(N('Hiring plan'!$F$28)&gt;0,I$3&gt;='Hiring plan'!$G$28,I$3&lt;=IF('Hiring plan'!$H$28="",999,'Hiring plan'!$H$28)),'Hiring plan'!$F$28,0)</f>
        <v>0</v>
      </c>
      <c r="J32" s="33" t="n">
        <f aca="false">IF(AND(N('Hiring plan'!$F$28)&gt;0,J$3&gt;='Hiring plan'!$G$28,J$3&lt;=IF('Hiring plan'!$H$28="",999,'Hiring plan'!$H$28)),'Hiring plan'!$F$28,0)</f>
        <v>0</v>
      </c>
      <c r="K32" s="33" t="n">
        <f aca="false">IF(AND(N('Hiring plan'!$F$28)&gt;0,K$3&gt;='Hiring plan'!$G$28,K$3&lt;=IF('Hiring plan'!$H$28="",999,'Hiring plan'!$H$28)),'Hiring plan'!$F$28,0)</f>
        <v>0</v>
      </c>
      <c r="L32" s="33" t="n">
        <f aca="false">IF(AND(N('Hiring plan'!$F$28)&gt;0,L$3&gt;='Hiring plan'!$G$28,L$3&lt;=IF('Hiring plan'!$H$28="",999,'Hiring plan'!$H$28)),'Hiring plan'!$F$28,0)</f>
        <v>0</v>
      </c>
      <c r="M32" s="33" t="n">
        <f aca="false">IF(AND(N('Hiring plan'!$F$28)&gt;0,M$3&gt;='Hiring plan'!$G$28,M$3&lt;=IF('Hiring plan'!$H$28="",999,'Hiring plan'!$H$28)),'Hiring plan'!$F$28,0)</f>
        <v>0</v>
      </c>
      <c r="N32" s="33" t="n">
        <f aca="false">IF(AND(N('Hiring plan'!$F$28)&gt;0,N$3&gt;='Hiring plan'!$G$28,N$3&lt;=IF('Hiring plan'!$H$28="",999,'Hiring plan'!$H$28)),'Hiring plan'!$F$28,0)</f>
        <v>0</v>
      </c>
      <c r="O32" s="33" t="n">
        <f aca="false">IF(AND(N('Hiring plan'!$F$28)&gt;0,O$3&gt;='Hiring plan'!$G$28,O$3&lt;=IF('Hiring plan'!$H$28="",999,'Hiring plan'!$H$28)),'Hiring plan'!$F$28,0)</f>
        <v>0</v>
      </c>
      <c r="P32" s="33" t="n">
        <f aca="false">IF(AND(N('Hiring plan'!$F$28)&gt;0,P$3&gt;='Hiring plan'!$G$28,P$3&lt;=IF('Hiring plan'!$H$28="",999,'Hiring plan'!$H$28)),'Hiring plan'!$F$28,0)</f>
        <v>0</v>
      </c>
      <c r="Q32" s="33" t="n">
        <f aca="false">IF(AND(N('Hiring plan'!$F$28)&gt;0,Q$3&gt;='Hiring plan'!$G$28,Q$3&lt;=IF('Hiring plan'!$H$28="",999,'Hiring plan'!$H$28)),'Hiring plan'!$F$28,0)</f>
        <v>0</v>
      </c>
      <c r="R32" s="33" t="n">
        <f aca="false">IF(AND(N('Hiring plan'!$F$28)&gt;0,R$3&gt;='Hiring plan'!$G$28,R$3&lt;=IF('Hiring plan'!$H$28="",999,'Hiring plan'!$H$28)),'Hiring plan'!$F$28,0)</f>
        <v>0</v>
      </c>
      <c r="S32" s="33" t="n">
        <f aca="false">IF(AND(N('Hiring plan'!$F$28)&gt;0,S$3&gt;='Hiring plan'!$G$28,S$3&lt;=IF('Hiring plan'!$H$28="",999,'Hiring plan'!$H$28)),'Hiring plan'!$F$28,0)</f>
        <v>0</v>
      </c>
      <c r="T32" s="33" t="n">
        <f aca="false">IF(AND(N('Hiring plan'!$F$28)&gt;0,T$3&gt;='Hiring plan'!$G$28,T$3&lt;=IF('Hiring plan'!$H$28="",999,'Hiring plan'!$H$28)),'Hiring plan'!$F$28,0)</f>
        <v>0</v>
      </c>
      <c r="U32" s="33" t="n">
        <f aca="false">IF(AND(N('Hiring plan'!$F$28)&gt;0,U$3&gt;='Hiring plan'!$G$28,U$3&lt;=IF('Hiring plan'!$H$28="",999,'Hiring plan'!$H$28)),'Hiring plan'!$F$28,0)</f>
        <v>0</v>
      </c>
      <c r="V32" s="33" t="n">
        <f aca="false">IF(AND(N('Hiring plan'!$F$28)&gt;0,V$3&gt;='Hiring plan'!$G$28,V$3&lt;=IF('Hiring plan'!$H$28="",999,'Hiring plan'!$H$28)),'Hiring plan'!$F$28,0)</f>
        <v>0</v>
      </c>
      <c r="W32" s="33" t="n">
        <f aca="false">IF(AND(N('Hiring plan'!$F$28)&gt;0,W$3&gt;='Hiring plan'!$G$28,W$3&lt;=IF('Hiring plan'!$H$28="",999,'Hiring plan'!$H$28)),'Hiring plan'!$F$28,0)</f>
        <v>0</v>
      </c>
      <c r="X32" s="33" t="n">
        <f aca="false">IF(AND(N('Hiring plan'!$F$28)&gt;0,X$3&gt;='Hiring plan'!$G$28,X$3&lt;=IF('Hiring plan'!$H$28="",999,'Hiring plan'!$H$28)),'Hiring plan'!$F$28,0)</f>
        <v>0</v>
      </c>
      <c r="Y32" s="33" t="n">
        <f aca="false">IF(AND(N('Hiring plan'!$F$28)&gt;0,Y$3&gt;='Hiring plan'!$G$28,Y$3&lt;=IF('Hiring plan'!$H$28="",999,'Hiring plan'!$H$28)),'Hiring plan'!$F$28,0)</f>
        <v>0</v>
      </c>
      <c r="Z32" s="33" t="n">
        <f aca="false">IF(AND(N('Hiring plan'!$F$28)&gt;0,Z$3&gt;='Hiring plan'!$G$28,Z$3&lt;=IF('Hiring plan'!$H$28="",999,'Hiring plan'!$H$28)),'Hiring plan'!$F$28,0)</f>
        <v>0</v>
      </c>
      <c r="AA32" s="33" t="n">
        <f aca="false">IF(AND(N('Hiring plan'!$F$28)&gt;0,AA$3&gt;='Hiring plan'!$G$28,AA$3&lt;=IF('Hiring plan'!$H$28="",999,'Hiring plan'!$H$28)),'Hiring plan'!$F$28,0)</f>
        <v>0</v>
      </c>
      <c r="AB32" s="33" t="n">
        <f aca="false">IF(AND(N('Hiring plan'!$F$28)&gt;0,AB$3&gt;='Hiring plan'!$G$28,AB$3&lt;=IF('Hiring plan'!$H$28="",999,'Hiring plan'!$H$28)),'Hiring plan'!$F$28,0)</f>
        <v>0</v>
      </c>
      <c r="AC32" s="33" t="n">
        <f aca="false">IF(AND(N('Hiring plan'!$F$28)&gt;0,AC$3&gt;='Hiring plan'!$G$28,AC$3&lt;=IF('Hiring plan'!$H$28="",999,'Hiring plan'!$H$28)),'Hiring plan'!$F$28,0)</f>
        <v>0</v>
      </c>
      <c r="AD32" s="33" t="n">
        <f aca="false">IF(AND(N('Hiring plan'!$F$28)&gt;0,AD$3&gt;='Hiring plan'!$G$28,AD$3&lt;=IF('Hiring plan'!$H$28="",999,'Hiring plan'!$H$28)),'Hiring plan'!$F$28,0)</f>
        <v>0</v>
      </c>
      <c r="AE32" s="33" t="n">
        <f aca="false">IF(AND(N('Hiring plan'!$F$28)&gt;0,AE$3&gt;='Hiring plan'!$G$28,AE$3&lt;=IF('Hiring plan'!$H$28="",999,'Hiring plan'!$H$28)),'Hiring plan'!$F$28,0)</f>
        <v>0</v>
      </c>
      <c r="AF32" s="33" t="n">
        <f aca="false">IF(AND(N('Hiring plan'!$F$28)&gt;0,AF$3&gt;='Hiring plan'!$G$28,AF$3&lt;=IF('Hiring plan'!$H$28="",999,'Hiring plan'!$H$28)),'Hiring plan'!$F$28,0)</f>
        <v>0</v>
      </c>
      <c r="AG32" s="33" t="n">
        <f aca="false">IF(AND(N('Hiring plan'!$F$28)&gt;0,AG$3&gt;='Hiring plan'!$G$28,AG$3&lt;=IF('Hiring plan'!$H$28="",999,'Hiring plan'!$H$28)),'Hiring plan'!$F$28,0)</f>
        <v>0</v>
      </c>
      <c r="AH32" s="33" t="n">
        <f aca="false">IF(AND(N('Hiring plan'!$F$28)&gt;0,AH$3&gt;='Hiring plan'!$G$28,AH$3&lt;=IF('Hiring plan'!$H$28="",999,'Hiring plan'!$H$28)),'Hiring plan'!$F$28,0)</f>
        <v>0</v>
      </c>
      <c r="AI32" s="33" t="n">
        <f aca="false">IF(AND(N('Hiring plan'!$F$28)&gt;0,AI$3&gt;='Hiring plan'!$G$28,AI$3&lt;=IF('Hiring plan'!$H$28="",999,'Hiring plan'!$H$28)),'Hiring plan'!$F$28,0)</f>
        <v>0</v>
      </c>
      <c r="AJ32" s="33" t="n">
        <f aca="false">IF(AND(N('Hiring plan'!$F$28)&gt;0,AJ$3&gt;='Hiring plan'!$G$28,AJ$3&lt;=IF('Hiring plan'!$H$28="",999,'Hiring plan'!$H$28)),'Hiring plan'!$F$28,0)</f>
        <v>0</v>
      </c>
      <c r="AK32" s="33" t="n">
        <f aca="false">IF(AND(N('Hiring plan'!$F$28)&gt;0,AK$3&gt;='Hiring plan'!$G$28,AK$3&lt;=IF('Hiring plan'!$H$28="",999,'Hiring plan'!$H$28)),'Hiring plan'!$F$28,0)</f>
        <v>0</v>
      </c>
      <c r="AL32" s="33" t="n">
        <f aca="false">IF(AND(N('Hiring plan'!$F$28)&gt;0,AL$3&gt;='Hiring plan'!$G$28,AL$3&lt;=IF('Hiring plan'!$H$28="",999,'Hiring plan'!$H$28)),'Hiring plan'!$F$28,0)</f>
        <v>0</v>
      </c>
      <c r="AM32" s="33" t="n">
        <f aca="false">IF(AND(N('Hiring plan'!$F$28)&gt;0,AM$3&gt;='Hiring plan'!$G$28,AM$3&lt;=IF('Hiring plan'!$H$28="",999,'Hiring plan'!$H$28)),'Hiring plan'!$F$28,0)</f>
        <v>0</v>
      </c>
      <c r="AN32" s="33" t="n">
        <f aca="false">IF(AND(N('Hiring plan'!$F$28)&gt;0,AN$3&gt;='Hiring plan'!$G$28,AN$3&lt;=IF('Hiring plan'!$H$28="",999,'Hiring plan'!$H$28)),'Hiring plan'!$F$28,0)</f>
        <v>0</v>
      </c>
      <c r="AO32" s="33" t="n">
        <f aca="false">IF(AND(N('Hiring plan'!$F$28)&gt;0,AO$3&gt;='Hiring plan'!$G$28,AO$3&lt;=IF('Hiring plan'!$H$28="",999,'Hiring plan'!$H$28)),'Hiring plan'!$F$28,0)</f>
        <v>0</v>
      </c>
      <c r="AP32" s="33" t="n">
        <f aca="false">IF(AND(N('Hiring plan'!$F$28)&gt;0,AP$3&gt;='Hiring plan'!$G$28,AP$3&lt;=IF('Hiring plan'!$H$28="",999,'Hiring plan'!$H$28)),'Hiring plan'!$F$28,0)</f>
        <v>0</v>
      </c>
      <c r="AQ32" s="33" t="n">
        <f aca="false">IF(AND(N('Hiring plan'!$F$28)&gt;0,AQ$3&gt;='Hiring plan'!$G$28,AQ$3&lt;=IF('Hiring plan'!$H$28="",999,'Hiring plan'!$H$28)),'Hiring plan'!$F$28,0)</f>
        <v>0</v>
      </c>
      <c r="AR32" s="33" t="n">
        <f aca="false">IF(AND(N('Hiring plan'!$F$28)&gt;0,AR$3&gt;='Hiring plan'!$G$28,AR$3&lt;=IF('Hiring plan'!$H$28="",999,'Hiring plan'!$H$28)),'Hiring plan'!$F$28,0)</f>
        <v>0</v>
      </c>
      <c r="AS32" s="33" t="n">
        <f aca="false">IF(AND(N('Hiring plan'!$F$28)&gt;0,AS$3&gt;='Hiring plan'!$G$28,AS$3&lt;=IF('Hiring plan'!$H$28="",999,'Hiring plan'!$H$28)),'Hiring plan'!$F$28,0)</f>
        <v>0</v>
      </c>
      <c r="AT32" s="33" t="n">
        <f aca="false">IF(AND(N('Hiring plan'!$F$28)&gt;0,AT$3&gt;='Hiring plan'!$G$28,AT$3&lt;=IF('Hiring plan'!$H$28="",999,'Hiring plan'!$H$28)),'Hiring plan'!$F$28,0)</f>
        <v>0</v>
      </c>
      <c r="AU32" s="33" t="n">
        <f aca="false">IF(AND(N('Hiring plan'!$F$28)&gt;0,AU$3&gt;='Hiring plan'!$G$28,AU$3&lt;=IF('Hiring plan'!$H$28="",999,'Hiring plan'!$H$28)),'Hiring plan'!$F$28,0)</f>
        <v>0</v>
      </c>
      <c r="AV32" s="33" t="n">
        <f aca="false">IF(AND(N('Hiring plan'!$F$28)&gt;0,AV$3&gt;='Hiring plan'!$G$28,AV$3&lt;=IF('Hiring plan'!$H$28="",999,'Hiring plan'!$H$28)),'Hiring plan'!$F$28,0)</f>
        <v>0</v>
      </c>
      <c r="AW32" s="33" t="n">
        <f aca="false">IF(AND(N('Hiring plan'!$F$28)&gt;0,AW$3&gt;='Hiring plan'!$G$28,AW$3&lt;=IF('Hiring plan'!$H$28="",999,'Hiring plan'!$H$28)),'Hiring plan'!$F$28,0)</f>
        <v>0</v>
      </c>
      <c r="AX32" s="33" t="n">
        <f aca="false">IF(AND(N('Hiring plan'!$F$28)&gt;0,AX$3&gt;='Hiring plan'!$G$28,AX$3&lt;=IF('Hiring plan'!$H$28="",999,'Hiring plan'!$H$28)),'Hiring plan'!$F$28,0)</f>
        <v>0</v>
      </c>
      <c r="AY32" s="33" t="n">
        <f aca="false">IF(AND(N('Hiring plan'!$F$28)&gt;0,AY$3&gt;='Hiring plan'!$G$28,AY$3&lt;=IF('Hiring plan'!$H$28="",999,'Hiring plan'!$H$28)),'Hiring plan'!$F$28,0)</f>
        <v>0</v>
      </c>
      <c r="AZ32" s="33" t="n">
        <f aca="false">IF(AND(N('Hiring plan'!$F$28)&gt;0,AZ$3&gt;='Hiring plan'!$G$28,AZ$3&lt;=IF('Hiring plan'!$H$28="",999,'Hiring plan'!$H$28)),'Hiring plan'!$F$28,0)</f>
        <v>0</v>
      </c>
      <c r="BA32" s="33" t="n">
        <f aca="false">IF(AND(N('Hiring plan'!$F$28)&gt;0,BA$3&gt;='Hiring plan'!$G$28,BA$3&lt;=IF('Hiring plan'!$H$28="",999,'Hiring plan'!$H$28)),'Hiring plan'!$F$28,0)</f>
        <v>0</v>
      </c>
      <c r="BB32" s="33" t="n">
        <f aca="false">IF(AND(N('Hiring plan'!$F$28)&gt;0,BB$3&gt;='Hiring plan'!$G$28,BB$3&lt;=IF('Hiring plan'!$H$28="",999,'Hiring plan'!$H$28)),'Hiring plan'!$F$28,0)</f>
        <v>0</v>
      </c>
      <c r="BC32" s="33" t="n">
        <f aca="false">IF(AND(N('Hiring plan'!$F$28)&gt;0,BC$3&gt;='Hiring plan'!$G$28,BC$3&lt;=IF('Hiring plan'!$H$28="",999,'Hiring plan'!$H$28)),'Hiring plan'!$F$28,0)</f>
        <v>0</v>
      </c>
      <c r="BD32" s="33" t="n">
        <f aca="false">IF(AND(N('Hiring plan'!$F$28)&gt;0,BD$3&gt;='Hiring plan'!$G$28,BD$3&lt;=IF('Hiring plan'!$H$28="",999,'Hiring plan'!$H$28)),'Hiring plan'!$F$28,0)</f>
        <v>0</v>
      </c>
      <c r="BE32" s="33" t="n">
        <f aca="false">IF(AND(N('Hiring plan'!$F$28)&gt;0,BE$3&gt;='Hiring plan'!$G$28,BE$3&lt;=IF('Hiring plan'!$H$28="",999,'Hiring plan'!$H$28)),'Hiring plan'!$F$28,0)</f>
        <v>0</v>
      </c>
      <c r="BF32" s="33" t="n">
        <f aca="false">IF(AND(N('Hiring plan'!$F$28)&gt;0,BF$3&gt;='Hiring plan'!$G$28,BF$3&lt;=IF('Hiring plan'!$H$28="",999,'Hiring plan'!$H$28)),'Hiring plan'!$F$28,0)</f>
        <v>0</v>
      </c>
      <c r="BG32" s="33" t="n">
        <f aca="false">IF(AND(N('Hiring plan'!$F$28)&gt;0,BG$3&gt;='Hiring plan'!$G$28,BG$3&lt;=IF('Hiring plan'!$H$28="",999,'Hiring plan'!$H$28)),'Hiring plan'!$F$28,0)</f>
        <v>0</v>
      </c>
      <c r="BH32" s="33" t="n">
        <f aca="false">IF(AND(N('Hiring plan'!$F$28)&gt;0,BH$3&gt;='Hiring plan'!$G$28,BH$3&lt;=IF('Hiring plan'!$H$28="",999,'Hiring plan'!$H$28)),'Hiring plan'!$F$28,0)</f>
        <v>0</v>
      </c>
      <c r="BI32" s="33" t="n">
        <f aca="false">IF(AND(N('Hiring plan'!$F$28)&gt;0,BI$3&gt;='Hiring plan'!$G$28,BI$3&lt;=IF('Hiring plan'!$H$28="",999,'Hiring plan'!$H$28)),'Hiring plan'!$F$28,0)</f>
        <v>0</v>
      </c>
      <c r="BJ32" s="33" t="n">
        <f aca="false">IF(AND(N('Hiring plan'!$F$28)&gt;0,BJ$3&gt;='Hiring plan'!$G$28,BJ$3&lt;=IF('Hiring plan'!$H$28="",999,'Hiring plan'!$H$28)),'Hiring plan'!$F$28,0)</f>
        <v>0</v>
      </c>
      <c r="BK32" s="33" t="n">
        <f aca="false">IF(AND(N('Hiring plan'!$F$28)&gt;0,BK$3&gt;='Hiring plan'!$G$28,BK$3&lt;=IF('Hiring plan'!$H$28="",999,'Hiring plan'!$H$28)),'Hiring plan'!$F$28,0)</f>
        <v>0</v>
      </c>
      <c r="BL32" s="33" t="n">
        <f aca="false">IF(AND(N('Hiring plan'!$F$28)&gt;0,BL$3&gt;='Hiring plan'!$G$28,BL$3&lt;=IF('Hiring plan'!$H$28="",999,'Hiring plan'!$H$28)),'Hiring plan'!$F$28,0)</f>
        <v>0</v>
      </c>
    </row>
    <row r="33" customFormat="false" ht="15" hidden="false" customHeight="true" outlineLevel="0" collapsed="false">
      <c r="A33" s="13" t="str">
        <f aca="false">IF('Hiring plan'!$C$29="","(spare line 25)",'Hiring plan'!$C$29&amp;" · "&amp;'Hiring plan'!$D$29)</f>
        <v>(spare line 25)</v>
      </c>
      <c r="B33" s="15" t="s">
        <v>92</v>
      </c>
      <c r="D33" s="56" t="n">
        <f aca="false">MAX(E33:BL33)</f>
        <v>0</v>
      </c>
      <c r="E33" s="33" t="n">
        <f aca="false">IF(AND(N('Hiring plan'!$F$29)&gt;0,E$3&gt;='Hiring plan'!$G$29,E$3&lt;=IF('Hiring plan'!$H$29="",999,'Hiring plan'!$H$29)),'Hiring plan'!$F$29,0)</f>
        <v>0</v>
      </c>
      <c r="F33" s="33" t="n">
        <f aca="false">IF(AND(N('Hiring plan'!$F$29)&gt;0,F$3&gt;='Hiring plan'!$G$29,F$3&lt;=IF('Hiring plan'!$H$29="",999,'Hiring plan'!$H$29)),'Hiring plan'!$F$29,0)</f>
        <v>0</v>
      </c>
      <c r="G33" s="33" t="n">
        <f aca="false">IF(AND(N('Hiring plan'!$F$29)&gt;0,G$3&gt;='Hiring plan'!$G$29,G$3&lt;=IF('Hiring plan'!$H$29="",999,'Hiring plan'!$H$29)),'Hiring plan'!$F$29,0)</f>
        <v>0</v>
      </c>
      <c r="H33" s="33" t="n">
        <f aca="false">IF(AND(N('Hiring plan'!$F$29)&gt;0,H$3&gt;='Hiring plan'!$G$29,H$3&lt;=IF('Hiring plan'!$H$29="",999,'Hiring plan'!$H$29)),'Hiring plan'!$F$29,0)</f>
        <v>0</v>
      </c>
      <c r="I33" s="33" t="n">
        <f aca="false">IF(AND(N('Hiring plan'!$F$29)&gt;0,I$3&gt;='Hiring plan'!$G$29,I$3&lt;=IF('Hiring plan'!$H$29="",999,'Hiring plan'!$H$29)),'Hiring plan'!$F$29,0)</f>
        <v>0</v>
      </c>
      <c r="J33" s="33" t="n">
        <f aca="false">IF(AND(N('Hiring plan'!$F$29)&gt;0,J$3&gt;='Hiring plan'!$G$29,J$3&lt;=IF('Hiring plan'!$H$29="",999,'Hiring plan'!$H$29)),'Hiring plan'!$F$29,0)</f>
        <v>0</v>
      </c>
      <c r="K33" s="33" t="n">
        <f aca="false">IF(AND(N('Hiring plan'!$F$29)&gt;0,K$3&gt;='Hiring plan'!$G$29,K$3&lt;=IF('Hiring plan'!$H$29="",999,'Hiring plan'!$H$29)),'Hiring plan'!$F$29,0)</f>
        <v>0</v>
      </c>
      <c r="L33" s="33" t="n">
        <f aca="false">IF(AND(N('Hiring plan'!$F$29)&gt;0,L$3&gt;='Hiring plan'!$G$29,L$3&lt;=IF('Hiring plan'!$H$29="",999,'Hiring plan'!$H$29)),'Hiring plan'!$F$29,0)</f>
        <v>0</v>
      </c>
      <c r="M33" s="33" t="n">
        <f aca="false">IF(AND(N('Hiring plan'!$F$29)&gt;0,M$3&gt;='Hiring plan'!$G$29,M$3&lt;=IF('Hiring plan'!$H$29="",999,'Hiring plan'!$H$29)),'Hiring plan'!$F$29,0)</f>
        <v>0</v>
      </c>
      <c r="N33" s="33" t="n">
        <f aca="false">IF(AND(N('Hiring plan'!$F$29)&gt;0,N$3&gt;='Hiring plan'!$G$29,N$3&lt;=IF('Hiring plan'!$H$29="",999,'Hiring plan'!$H$29)),'Hiring plan'!$F$29,0)</f>
        <v>0</v>
      </c>
      <c r="O33" s="33" t="n">
        <f aca="false">IF(AND(N('Hiring plan'!$F$29)&gt;0,O$3&gt;='Hiring plan'!$G$29,O$3&lt;=IF('Hiring plan'!$H$29="",999,'Hiring plan'!$H$29)),'Hiring plan'!$F$29,0)</f>
        <v>0</v>
      </c>
      <c r="P33" s="33" t="n">
        <f aca="false">IF(AND(N('Hiring plan'!$F$29)&gt;0,P$3&gt;='Hiring plan'!$G$29,P$3&lt;=IF('Hiring plan'!$H$29="",999,'Hiring plan'!$H$29)),'Hiring plan'!$F$29,0)</f>
        <v>0</v>
      </c>
      <c r="Q33" s="33" t="n">
        <f aca="false">IF(AND(N('Hiring plan'!$F$29)&gt;0,Q$3&gt;='Hiring plan'!$G$29,Q$3&lt;=IF('Hiring plan'!$H$29="",999,'Hiring plan'!$H$29)),'Hiring plan'!$F$29,0)</f>
        <v>0</v>
      </c>
      <c r="R33" s="33" t="n">
        <f aca="false">IF(AND(N('Hiring plan'!$F$29)&gt;0,R$3&gt;='Hiring plan'!$G$29,R$3&lt;=IF('Hiring plan'!$H$29="",999,'Hiring plan'!$H$29)),'Hiring plan'!$F$29,0)</f>
        <v>0</v>
      </c>
      <c r="S33" s="33" t="n">
        <f aca="false">IF(AND(N('Hiring plan'!$F$29)&gt;0,S$3&gt;='Hiring plan'!$G$29,S$3&lt;=IF('Hiring plan'!$H$29="",999,'Hiring plan'!$H$29)),'Hiring plan'!$F$29,0)</f>
        <v>0</v>
      </c>
      <c r="T33" s="33" t="n">
        <f aca="false">IF(AND(N('Hiring plan'!$F$29)&gt;0,T$3&gt;='Hiring plan'!$G$29,T$3&lt;=IF('Hiring plan'!$H$29="",999,'Hiring plan'!$H$29)),'Hiring plan'!$F$29,0)</f>
        <v>0</v>
      </c>
      <c r="U33" s="33" t="n">
        <f aca="false">IF(AND(N('Hiring plan'!$F$29)&gt;0,U$3&gt;='Hiring plan'!$G$29,U$3&lt;=IF('Hiring plan'!$H$29="",999,'Hiring plan'!$H$29)),'Hiring plan'!$F$29,0)</f>
        <v>0</v>
      </c>
      <c r="V33" s="33" t="n">
        <f aca="false">IF(AND(N('Hiring plan'!$F$29)&gt;0,V$3&gt;='Hiring plan'!$G$29,V$3&lt;=IF('Hiring plan'!$H$29="",999,'Hiring plan'!$H$29)),'Hiring plan'!$F$29,0)</f>
        <v>0</v>
      </c>
      <c r="W33" s="33" t="n">
        <f aca="false">IF(AND(N('Hiring plan'!$F$29)&gt;0,W$3&gt;='Hiring plan'!$G$29,W$3&lt;=IF('Hiring plan'!$H$29="",999,'Hiring plan'!$H$29)),'Hiring plan'!$F$29,0)</f>
        <v>0</v>
      </c>
      <c r="X33" s="33" t="n">
        <f aca="false">IF(AND(N('Hiring plan'!$F$29)&gt;0,X$3&gt;='Hiring plan'!$G$29,X$3&lt;=IF('Hiring plan'!$H$29="",999,'Hiring plan'!$H$29)),'Hiring plan'!$F$29,0)</f>
        <v>0</v>
      </c>
      <c r="Y33" s="33" t="n">
        <f aca="false">IF(AND(N('Hiring plan'!$F$29)&gt;0,Y$3&gt;='Hiring plan'!$G$29,Y$3&lt;=IF('Hiring plan'!$H$29="",999,'Hiring plan'!$H$29)),'Hiring plan'!$F$29,0)</f>
        <v>0</v>
      </c>
      <c r="Z33" s="33" t="n">
        <f aca="false">IF(AND(N('Hiring plan'!$F$29)&gt;0,Z$3&gt;='Hiring plan'!$G$29,Z$3&lt;=IF('Hiring plan'!$H$29="",999,'Hiring plan'!$H$29)),'Hiring plan'!$F$29,0)</f>
        <v>0</v>
      </c>
      <c r="AA33" s="33" t="n">
        <f aca="false">IF(AND(N('Hiring plan'!$F$29)&gt;0,AA$3&gt;='Hiring plan'!$G$29,AA$3&lt;=IF('Hiring plan'!$H$29="",999,'Hiring plan'!$H$29)),'Hiring plan'!$F$29,0)</f>
        <v>0</v>
      </c>
      <c r="AB33" s="33" t="n">
        <f aca="false">IF(AND(N('Hiring plan'!$F$29)&gt;0,AB$3&gt;='Hiring plan'!$G$29,AB$3&lt;=IF('Hiring plan'!$H$29="",999,'Hiring plan'!$H$29)),'Hiring plan'!$F$29,0)</f>
        <v>0</v>
      </c>
      <c r="AC33" s="33" t="n">
        <f aca="false">IF(AND(N('Hiring plan'!$F$29)&gt;0,AC$3&gt;='Hiring plan'!$G$29,AC$3&lt;=IF('Hiring plan'!$H$29="",999,'Hiring plan'!$H$29)),'Hiring plan'!$F$29,0)</f>
        <v>0</v>
      </c>
      <c r="AD33" s="33" t="n">
        <f aca="false">IF(AND(N('Hiring plan'!$F$29)&gt;0,AD$3&gt;='Hiring plan'!$G$29,AD$3&lt;=IF('Hiring plan'!$H$29="",999,'Hiring plan'!$H$29)),'Hiring plan'!$F$29,0)</f>
        <v>0</v>
      </c>
      <c r="AE33" s="33" t="n">
        <f aca="false">IF(AND(N('Hiring plan'!$F$29)&gt;0,AE$3&gt;='Hiring plan'!$G$29,AE$3&lt;=IF('Hiring plan'!$H$29="",999,'Hiring plan'!$H$29)),'Hiring plan'!$F$29,0)</f>
        <v>0</v>
      </c>
      <c r="AF33" s="33" t="n">
        <f aca="false">IF(AND(N('Hiring plan'!$F$29)&gt;0,AF$3&gt;='Hiring plan'!$G$29,AF$3&lt;=IF('Hiring plan'!$H$29="",999,'Hiring plan'!$H$29)),'Hiring plan'!$F$29,0)</f>
        <v>0</v>
      </c>
      <c r="AG33" s="33" t="n">
        <f aca="false">IF(AND(N('Hiring plan'!$F$29)&gt;0,AG$3&gt;='Hiring plan'!$G$29,AG$3&lt;=IF('Hiring plan'!$H$29="",999,'Hiring plan'!$H$29)),'Hiring plan'!$F$29,0)</f>
        <v>0</v>
      </c>
      <c r="AH33" s="33" t="n">
        <f aca="false">IF(AND(N('Hiring plan'!$F$29)&gt;0,AH$3&gt;='Hiring plan'!$G$29,AH$3&lt;=IF('Hiring plan'!$H$29="",999,'Hiring plan'!$H$29)),'Hiring plan'!$F$29,0)</f>
        <v>0</v>
      </c>
      <c r="AI33" s="33" t="n">
        <f aca="false">IF(AND(N('Hiring plan'!$F$29)&gt;0,AI$3&gt;='Hiring plan'!$G$29,AI$3&lt;=IF('Hiring plan'!$H$29="",999,'Hiring plan'!$H$29)),'Hiring plan'!$F$29,0)</f>
        <v>0</v>
      </c>
      <c r="AJ33" s="33" t="n">
        <f aca="false">IF(AND(N('Hiring plan'!$F$29)&gt;0,AJ$3&gt;='Hiring plan'!$G$29,AJ$3&lt;=IF('Hiring plan'!$H$29="",999,'Hiring plan'!$H$29)),'Hiring plan'!$F$29,0)</f>
        <v>0</v>
      </c>
      <c r="AK33" s="33" t="n">
        <f aca="false">IF(AND(N('Hiring plan'!$F$29)&gt;0,AK$3&gt;='Hiring plan'!$G$29,AK$3&lt;=IF('Hiring plan'!$H$29="",999,'Hiring plan'!$H$29)),'Hiring plan'!$F$29,0)</f>
        <v>0</v>
      </c>
      <c r="AL33" s="33" t="n">
        <f aca="false">IF(AND(N('Hiring plan'!$F$29)&gt;0,AL$3&gt;='Hiring plan'!$G$29,AL$3&lt;=IF('Hiring plan'!$H$29="",999,'Hiring plan'!$H$29)),'Hiring plan'!$F$29,0)</f>
        <v>0</v>
      </c>
      <c r="AM33" s="33" t="n">
        <f aca="false">IF(AND(N('Hiring plan'!$F$29)&gt;0,AM$3&gt;='Hiring plan'!$G$29,AM$3&lt;=IF('Hiring plan'!$H$29="",999,'Hiring plan'!$H$29)),'Hiring plan'!$F$29,0)</f>
        <v>0</v>
      </c>
      <c r="AN33" s="33" t="n">
        <f aca="false">IF(AND(N('Hiring plan'!$F$29)&gt;0,AN$3&gt;='Hiring plan'!$G$29,AN$3&lt;=IF('Hiring plan'!$H$29="",999,'Hiring plan'!$H$29)),'Hiring plan'!$F$29,0)</f>
        <v>0</v>
      </c>
      <c r="AO33" s="33" t="n">
        <f aca="false">IF(AND(N('Hiring plan'!$F$29)&gt;0,AO$3&gt;='Hiring plan'!$G$29,AO$3&lt;=IF('Hiring plan'!$H$29="",999,'Hiring plan'!$H$29)),'Hiring plan'!$F$29,0)</f>
        <v>0</v>
      </c>
      <c r="AP33" s="33" t="n">
        <f aca="false">IF(AND(N('Hiring plan'!$F$29)&gt;0,AP$3&gt;='Hiring plan'!$G$29,AP$3&lt;=IF('Hiring plan'!$H$29="",999,'Hiring plan'!$H$29)),'Hiring plan'!$F$29,0)</f>
        <v>0</v>
      </c>
      <c r="AQ33" s="33" t="n">
        <f aca="false">IF(AND(N('Hiring plan'!$F$29)&gt;0,AQ$3&gt;='Hiring plan'!$G$29,AQ$3&lt;=IF('Hiring plan'!$H$29="",999,'Hiring plan'!$H$29)),'Hiring plan'!$F$29,0)</f>
        <v>0</v>
      </c>
      <c r="AR33" s="33" t="n">
        <f aca="false">IF(AND(N('Hiring plan'!$F$29)&gt;0,AR$3&gt;='Hiring plan'!$G$29,AR$3&lt;=IF('Hiring plan'!$H$29="",999,'Hiring plan'!$H$29)),'Hiring plan'!$F$29,0)</f>
        <v>0</v>
      </c>
      <c r="AS33" s="33" t="n">
        <f aca="false">IF(AND(N('Hiring plan'!$F$29)&gt;0,AS$3&gt;='Hiring plan'!$G$29,AS$3&lt;=IF('Hiring plan'!$H$29="",999,'Hiring plan'!$H$29)),'Hiring plan'!$F$29,0)</f>
        <v>0</v>
      </c>
      <c r="AT33" s="33" t="n">
        <f aca="false">IF(AND(N('Hiring plan'!$F$29)&gt;0,AT$3&gt;='Hiring plan'!$G$29,AT$3&lt;=IF('Hiring plan'!$H$29="",999,'Hiring plan'!$H$29)),'Hiring plan'!$F$29,0)</f>
        <v>0</v>
      </c>
      <c r="AU33" s="33" t="n">
        <f aca="false">IF(AND(N('Hiring plan'!$F$29)&gt;0,AU$3&gt;='Hiring plan'!$G$29,AU$3&lt;=IF('Hiring plan'!$H$29="",999,'Hiring plan'!$H$29)),'Hiring plan'!$F$29,0)</f>
        <v>0</v>
      </c>
      <c r="AV33" s="33" t="n">
        <f aca="false">IF(AND(N('Hiring plan'!$F$29)&gt;0,AV$3&gt;='Hiring plan'!$G$29,AV$3&lt;=IF('Hiring plan'!$H$29="",999,'Hiring plan'!$H$29)),'Hiring plan'!$F$29,0)</f>
        <v>0</v>
      </c>
      <c r="AW33" s="33" t="n">
        <f aca="false">IF(AND(N('Hiring plan'!$F$29)&gt;0,AW$3&gt;='Hiring plan'!$G$29,AW$3&lt;=IF('Hiring plan'!$H$29="",999,'Hiring plan'!$H$29)),'Hiring plan'!$F$29,0)</f>
        <v>0</v>
      </c>
      <c r="AX33" s="33" t="n">
        <f aca="false">IF(AND(N('Hiring plan'!$F$29)&gt;0,AX$3&gt;='Hiring plan'!$G$29,AX$3&lt;=IF('Hiring plan'!$H$29="",999,'Hiring plan'!$H$29)),'Hiring plan'!$F$29,0)</f>
        <v>0</v>
      </c>
      <c r="AY33" s="33" t="n">
        <f aca="false">IF(AND(N('Hiring plan'!$F$29)&gt;0,AY$3&gt;='Hiring plan'!$G$29,AY$3&lt;=IF('Hiring plan'!$H$29="",999,'Hiring plan'!$H$29)),'Hiring plan'!$F$29,0)</f>
        <v>0</v>
      </c>
      <c r="AZ33" s="33" t="n">
        <f aca="false">IF(AND(N('Hiring plan'!$F$29)&gt;0,AZ$3&gt;='Hiring plan'!$G$29,AZ$3&lt;=IF('Hiring plan'!$H$29="",999,'Hiring plan'!$H$29)),'Hiring plan'!$F$29,0)</f>
        <v>0</v>
      </c>
      <c r="BA33" s="33" t="n">
        <f aca="false">IF(AND(N('Hiring plan'!$F$29)&gt;0,BA$3&gt;='Hiring plan'!$G$29,BA$3&lt;=IF('Hiring plan'!$H$29="",999,'Hiring plan'!$H$29)),'Hiring plan'!$F$29,0)</f>
        <v>0</v>
      </c>
      <c r="BB33" s="33" t="n">
        <f aca="false">IF(AND(N('Hiring plan'!$F$29)&gt;0,BB$3&gt;='Hiring plan'!$G$29,BB$3&lt;=IF('Hiring plan'!$H$29="",999,'Hiring plan'!$H$29)),'Hiring plan'!$F$29,0)</f>
        <v>0</v>
      </c>
      <c r="BC33" s="33" t="n">
        <f aca="false">IF(AND(N('Hiring plan'!$F$29)&gt;0,BC$3&gt;='Hiring plan'!$G$29,BC$3&lt;=IF('Hiring plan'!$H$29="",999,'Hiring plan'!$H$29)),'Hiring plan'!$F$29,0)</f>
        <v>0</v>
      </c>
      <c r="BD33" s="33" t="n">
        <f aca="false">IF(AND(N('Hiring plan'!$F$29)&gt;0,BD$3&gt;='Hiring plan'!$G$29,BD$3&lt;=IF('Hiring plan'!$H$29="",999,'Hiring plan'!$H$29)),'Hiring plan'!$F$29,0)</f>
        <v>0</v>
      </c>
      <c r="BE33" s="33" t="n">
        <f aca="false">IF(AND(N('Hiring plan'!$F$29)&gt;0,BE$3&gt;='Hiring plan'!$G$29,BE$3&lt;=IF('Hiring plan'!$H$29="",999,'Hiring plan'!$H$29)),'Hiring plan'!$F$29,0)</f>
        <v>0</v>
      </c>
      <c r="BF33" s="33" t="n">
        <f aca="false">IF(AND(N('Hiring plan'!$F$29)&gt;0,BF$3&gt;='Hiring plan'!$G$29,BF$3&lt;=IF('Hiring plan'!$H$29="",999,'Hiring plan'!$H$29)),'Hiring plan'!$F$29,0)</f>
        <v>0</v>
      </c>
      <c r="BG33" s="33" t="n">
        <f aca="false">IF(AND(N('Hiring plan'!$F$29)&gt;0,BG$3&gt;='Hiring plan'!$G$29,BG$3&lt;=IF('Hiring plan'!$H$29="",999,'Hiring plan'!$H$29)),'Hiring plan'!$F$29,0)</f>
        <v>0</v>
      </c>
      <c r="BH33" s="33" t="n">
        <f aca="false">IF(AND(N('Hiring plan'!$F$29)&gt;0,BH$3&gt;='Hiring plan'!$G$29,BH$3&lt;=IF('Hiring plan'!$H$29="",999,'Hiring plan'!$H$29)),'Hiring plan'!$F$29,0)</f>
        <v>0</v>
      </c>
      <c r="BI33" s="33" t="n">
        <f aca="false">IF(AND(N('Hiring plan'!$F$29)&gt;0,BI$3&gt;='Hiring plan'!$G$29,BI$3&lt;=IF('Hiring plan'!$H$29="",999,'Hiring plan'!$H$29)),'Hiring plan'!$F$29,0)</f>
        <v>0</v>
      </c>
      <c r="BJ33" s="33" t="n">
        <f aca="false">IF(AND(N('Hiring plan'!$F$29)&gt;0,BJ$3&gt;='Hiring plan'!$G$29,BJ$3&lt;=IF('Hiring plan'!$H$29="",999,'Hiring plan'!$H$29)),'Hiring plan'!$F$29,0)</f>
        <v>0</v>
      </c>
      <c r="BK33" s="33" t="n">
        <f aca="false">IF(AND(N('Hiring plan'!$F$29)&gt;0,BK$3&gt;='Hiring plan'!$G$29,BK$3&lt;=IF('Hiring plan'!$H$29="",999,'Hiring plan'!$H$29)),'Hiring plan'!$F$29,0)</f>
        <v>0</v>
      </c>
      <c r="BL33" s="33" t="n">
        <f aca="false">IF(AND(N('Hiring plan'!$F$29)&gt;0,BL$3&gt;='Hiring plan'!$G$29,BL$3&lt;=IF('Hiring plan'!$H$29="",999,'Hiring plan'!$H$29)),'Hiring plan'!$F$29,0)</f>
        <v>0</v>
      </c>
    </row>
    <row r="34" customFormat="false" ht="15" hidden="false" customHeight="true" outlineLevel="0" collapsed="false">
      <c r="A34" s="13" t="str">
        <f aca="false">IF('Hiring plan'!$C$30="","(spare line 26)",'Hiring plan'!$C$30&amp;" · "&amp;'Hiring plan'!$D$30)</f>
        <v>(spare line 26)</v>
      </c>
      <c r="B34" s="15" t="s">
        <v>92</v>
      </c>
      <c r="D34" s="56" t="n">
        <f aca="false">MAX(E34:BL34)</f>
        <v>0</v>
      </c>
      <c r="E34" s="33" t="n">
        <f aca="false">IF(AND(N('Hiring plan'!$F$30)&gt;0,E$3&gt;='Hiring plan'!$G$30,E$3&lt;=IF('Hiring plan'!$H$30="",999,'Hiring plan'!$H$30)),'Hiring plan'!$F$30,0)</f>
        <v>0</v>
      </c>
      <c r="F34" s="33" t="n">
        <f aca="false">IF(AND(N('Hiring plan'!$F$30)&gt;0,F$3&gt;='Hiring plan'!$G$30,F$3&lt;=IF('Hiring plan'!$H$30="",999,'Hiring plan'!$H$30)),'Hiring plan'!$F$30,0)</f>
        <v>0</v>
      </c>
      <c r="G34" s="33" t="n">
        <f aca="false">IF(AND(N('Hiring plan'!$F$30)&gt;0,G$3&gt;='Hiring plan'!$G$30,G$3&lt;=IF('Hiring plan'!$H$30="",999,'Hiring plan'!$H$30)),'Hiring plan'!$F$30,0)</f>
        <v>0</v>
      </c>
      <c r="H34" s="33" t="n">
        <f aca="false">IF(AND(N('Hiring plan'!$F$30)&gt;0,H$3&gt;='Hiring plan'!$G$30,H$3&lt;=IF('Hiring plan'!$H$30="",999,'Hiring plan'!$H$30)),'Hiring plan'!$F$30,0)</f>
        <v>0</v>
      </c>
      <c r="I34" s="33" t="n">
        <f aca="false">IF(AND(N('Hiring plan'!$F$30)&gt;0,I$3&gt;='Hiring plan'!$G$30,I$3&lt;=IF('Hiring plan'!$H$30="",999,'Hiring plan'!$H$30)),'Hiring plan'!$F$30,0)</f>
        <v>0</v>
      </c>
      <c r="J34" s="33" t="n">
        <f aca="false">IF(AND(N('Hiring plan'!$F$30)&gt;0,J$3&gt;='Hiring plan'!$G$30,J$3&lt;=IF('Hiring plan'!$H$30="",999,'Hiring plan'!$H$30)),'Hiring plan'!$F$30,0)</f>
        <v>0</v>
      </c>
      <c r="K34" s="33" t="n">
        <f aca="false">IF(AND(N('Hiring plan'!$F$30)&gt;0,K$3&gt;='Hiring plan'!$G$30,K$3&lt;=IF('Hiring plan'!$H$30="",999,'Hiring plan'!$H$30)),'Hiring plan'!$F$30,0)</f>
        <v>0</v>
      </c>
      <c r="L34" s="33" t="n">
        <f aca="false">IF(AND(N('Hiring plan'!$F$30)&gt;0,L$3&gt;='Hiring plan'!$G$30,L$3&lt;=IF('Hiring plan'!$H$30="",999,'Hiring plan'!$H$30)),'Hiring plan'!$F$30,0)</f>
        <v>0</v>
      </c>
      <c r="M34" s="33" t="n">
        <f aca="false">IF(AND(N('Hiring plan'!$F$30)&gt;0,M$3&gt;='Hiring plan'!$G$30,M$3&lt;=IF('Hiring plan'!$H$30="",999,'Hiring plan'!$H$30)),'Hiring plan'!$F$30,0)</f>
        <v>0</v>
      </c>
      <c r="N34" s="33" t="n">
        <f aca="false">IF(AND(N('Hiring plan'!$F$30)&gt;0,N$3&gt;='Hiring plan'!$G$30,N$3&lt;=IF('Hiring plan'!$H$30="",999,'Hiring plan'!$H$30)),'Hiring plan'!$F$30,0)</f>
        <v>0</v>
      </c>
      <c r="O34" s="33" t="n">
        <f aca="false">IF(AND(N('Hiring plan'!$F$30)&gt;0,O$3&gt;='Hiring plan'!$G$30,O$3&lt;=IF('Hiring plan'!$H$30="",999,'Hiring plan'!$H$30)),'Hiring plan'!$F$30,0)</f>
        <v>0</v>
      </c>
      <c r="P34" s="33" t="n">
        <f aca="false">IF(AND(N('Hiring plan'!$F$30)&gt;0,P$3&gt;='Hiring plan'!$G$30,P$3&lt;=IF('Hiring plan'!$H$30="",999,'Hiring plan'!$H$30)),'Hiring plan'!$F$30,0)</f>
        <v>0</v>
      </c>
      <c r="Q34" s="33" t="n">
        <f aca="false">IF(AND(N('Hiring plan'!$F$30)&gt;0,Q$3&gt;='Hiring plan'!$G$30,Q$3&lt;=IF('Hiring plan'!$H$30="",999,'Hiring plan'!$H$30)),'Hiring plan'!$F$30,0)</f>
        <v>0</v>
      </c>
      <c r="R34" s="33" t="n">
        <f aca="false">IF(AND(N('Hiring plan'!$F$30)&gt;0,R$3&gt;='Hiring plan'!$G$30,R$3&lt;=IF('Hiring plan'!$H$30="",999,'Hiring plan'!$H$30)),'Hiring plan'!$F$30,0)</f>
        <v>0</v>
      </c>
      <c r="S34" s="33" t="n">
        <f aca="false">IF(AND(N('Hiring plan'!$F$30)&gt;0,S$3&gt;='Hiring plan'!$G$30,S$3&lt;=IF('Hiring plan'!$H$30="",999,'Hiring plan'!$H$30)),'Hiring plan'!$F$30,0)</f>
        <v>0</v>
      </c>
      <c r="T34" s="33" t="n">
        <f aca="false">IF(AND(N('Hiring plan'!$F$30)&gt;0,T$3&gt;='Hiring plan'!$G$30,T$3&lt;=IF('Hiring plan'!$H$30="",999,'Hiring plan'!$H$30)),'Hiring plan'!$F$30,0)</f>
        <v>0</v>
      </c>
      <c r="U34" s="33" t="n">
        <f aca="false">IF(AND(N('Hiring plan'!$F$30)&gt;0,U$3&gt;='Hiring plan'!$G$30,U$3&lt;=IF('Hiring plan'!$H$30="",999,'Hiring plan'!$H$30)),'Hiring plan'!$F$30,0)</f>
        <v>0</v>
      </c>
      <c r="V34" s="33" t="n">
        <f aca="false">IF(AND(N('Hiring plan'!$F$30)&gt;0,V$3&gt;='Hiring plan'!$G$30,V$3&lt;=IF('Hiring plan'!$H$30="",999,'Hiring plan'!$H$30)),'Hiring plan'!$F$30,0)</f>
        <v>0</v>
      </c>
      <c r="W34" s="33" t="n">
        <f aca="false">IF(AND(N('Hiring plan'!$F$30)&gt;0,W$3&gt;='Hiring plan'!$G$30,W$3&lt;=IF('Hiring plan'!$H$30="",999,'Hiring plan'!$H$30)),'Hiring plan'!$F$30,0)</f>
        <v>0</v>
      </c>
      <c r="X34" s="33" t="n">
        <f aca="false">IF(AND(N('Hiring plan'!$F$30)&gt;0,X$3&gt;='Hiring plan'!$G$30,X$3&lt;=IF('Hiring plan'!$H$30="",999,'Hiring plan'!$H$30)),'Hiring plan'!$F$30,0)</f>
        <v>0</v>
      </c>
      <c r="Y34" s="33" t="n">
        <f aca="false">IF(AND(N('Hiring plan'!$F$30)&gt;0,Y$3&gt;='Hiring plan'!$G$30,Y$3&lt;=IF('Hiring plan'!$H$30="",999,'Hiring plan'!$H$30)),'Hiring plan'!$F$30,0)</f>
        <v>0</v>
      </c>
      <c r="Z34" s="33" t="n">
        <f aca="false">IF(AND(N('Hiring plan'!$F$30)&gt;0,Z$3&gt;='Hiring plan'!$G$30,Z$3&lt;=IF('Hiring plan'!$H$30="",999,'Hiring plan'!$H$30)),'Hiring plan'!$F$30,0)</f>
        <v>0</v>
      </c>
      <c r="AA34" s="33" t="n">
        <f aca="false">IF(AND(N('Hiring plan'!$F$30)&gt;0,AA$3&gt;='Hiring plan'!$G$30,AA$3&lt;=IF('Hiring plan'!$H$30="",999,'Hiring plan'!$H$30)),'Hiring plan'!$F$30,0)</f>
        <v>0</v>
      </c>
      <c r="AB34" s="33" t="n">
        <f aca="false">IF(AND(N('Hiring plan'!$F$30)&gt;0,AB$3&gt;='Hiring plan'!$G$30,AB$3&lt;=IF('Hiring plan'!$H$30="",999,'Hiring plan'!$H$30)),'Hiring plan'!$F$30,0)</f>
        <v>0</v>
      </c>
      <c r="AC34" s="33" t="n">
        <f aca="false">IF(AND(N('Hiring plan'!$F$30)&gt;0,AC$3&gt;='Hiring plan'!$G$30,AC$3&lt;=IF('Hiring plan'!$H$30="",999,'Hiring plan'!$H$30)),'Hiring plan'!$F$30,0)</f>
        <v>0</v>
      </c>
      <c r="AD34" s="33" t="n">
        <f aca="false">IF(AND(N('Hiring plan'!$F$30)&gt;0,AD$3&gt;='Hiring plan'!$G$30,AD$3&lt;=IF('Hiring plan'!$H$30="",999,'Hiring plan'!$H$30)),'Hiring plan'!$F$30,0)</f>
        <v>0</v>
      </c>
      <c r="AE34" s="33" t="n">
        <f aca="false">IF(AND(N('Hiring plan'!$F$30)&gt;0,AE$3&gt;='Hiring plan'!$G$30,AE$3&lt;=IF('Hiring plan'!$H$30="",999,'Hiring plan'!$H$30)),'Hiring plan'!$F$30,0)</f>
        <v>0</v>
      </c>
      <c r="AF34" s="33" t="n">
        <f aca="false">IF(AND(N('Hiring plan'!$F$30)&gt;0,AF$3&gt;='Hiring plan'!$G$30,AF$3&lt;=IF('Hiring plan'!$H$30="",999,'Hiring plan'!$H$30)),'Hiring plan'!$F$30,0)</f>
        <v>0</v>
      </c>
      <c r="AG34" s="33" t="n">
        <f aca="false">IF(AND(N('Hiring plan'!$F$30)&gt;0,AG$3&gt;='Hiring plan'!$G$30,AG$3&lt;=IF('Hiring plan'!$H$30="",999,'Hiring plan'!$H$30)),'Hiring plan'!$F$30,0)</f>
        <v>0</v>
      </c>
      <c r="AH34" s="33" t="n">
        <f aca="false">IF(AND(N('Hiring plan'!$F$30)&gt;0,AH$3&gt;='Hiring plan'!$G$30,AH$3&lt;=IF('Hiring plan'!$H$30="",999,'Hiring plan'!$H$30)),'Hiring plan'!$F$30,0)</f>
        <v>0</v>
      </c>
      <c r="AI34" s="33" t="n">
        <f aca="false">IF(AND(N('Hiring plan'!$F$30)&gt;0,AI$3&gt;='Hiring plan'!$G$30,AI$3&lt;=IF('Hiring plan'!$H$30="",999,'Hiring plan'!$H$30)),'Hiring plan'!$F$30,0)</f>
        <v>0</v>
      </c>
      <c r="AJ34" s="33" t="n">
        <f aca="false">IF(AND(N('Hiring plan'!$F$30)&gt;0,AJ$3&gt;='Hiring plan'!$G$30,AJ$3&lt;=IF('Hiring plan'!$H$30="",999,'Hiring plan'!$H$30)),'Hiring plan'!$F$30,0)</f>
        <v>0</v>
      </c>
      <c r="AK34" s="33" t="n">
        <f aca="false">IF(AND(N('Hiring plan'!$F$30)&gt;0,AK$3&gt;='Hiring plan'!$G$30,AK$3&lt;=IF('Hiring plan'!$H$30="",999,'Hiring plan'!$H$30)),'Hiring plan'!$F$30,0)</f>
        <v>0</v>
      </c>
      <c r="AL34" s="33" t="n">
        <f aca="false">IF(AND(N('Hiring plan'!$F$30)&gt;0,AL$3&gt;='Hiring plan'!$G$30,AL$3&lt;=IF('Hiring plan'!$H$30="",999,'Hiring plan'!$H$30)),'Hiring plan'!$F$30,0)</f>
        <v>0</v>
      </c>
      <c r="AM34" s="33" t="n">
        <f aca="false">IF(AND(N('Hiring plan'!$F$30)&gt;0,AM$3&gt;='Hiring plan'!$G$30,AM$3&lt;=IF('Hiring plan'!$H$30="",999,'Hiring plan'!$H$30)),'Hiring plan'!$F$30,0)</f>
        <v>0</v>
      </c>
      <c r="AN34" s="33" t="n">
        <f aca="false">IF(AND(N('Hiring plan'!$F$30)&gt;0,AN$3&gt;='Hiring plan'!$G$30,AN$3&lt;=IF('Hiring plan'!$H$30="",999,'Hiring plan'!$H$30)),'Hiring plan'!$F$30,0)</f>
        <v>0</v>
      </c>
      <c r="AO34" s="33" t="n">
        <f aca="false">IF(AND(N('Hiring plan'!$F$30)&gt;0,AO$3&gt;='Hiring plan'!$G$30,AO$3&lt;=IF('Hiring plan'!$H$30="",999,'Hiring plan'!$H$30)),'Hiring plan'!$F$30,0)</f>
        <v>0</v>
      </c>
      <c r="AP34" s="33" t="n">
        <f aca="false">IF(AND(N('Hiring plan'!$F$30)&gt;0,AP$3&gt;='Hiring plan'!$G$30,AP$3&lt;=IF('Hiring plan'!$H$30="",999,'Hiring plan'!$H$30)),'Hiring plan'!$F$30,0)</f>
        <v>0</v>
      </c>
      <c r="AQ34" s="33" t="n">
        <f aca="false">IF(AND(N('Hiring plan'!$F$30)&gt;0,AQ$3&gt;='Hiring plan'!$G$30,AQ$3&lt;=IF('Hiring plan'!$H$30="",999,'Hiring plan'!$H$30)),'Hiring plan'!$F$30,0)</f>
        <v>0</v>
      </c>
      <c r="AR34" s="33" t="n">
        <f aca="false">IF(AND(N('Hiring plan'!$F$30)&gt;0,AR$3&gt;='Hiring plan'!$G$30,AR$3&lt;=IF('Hiring plan'!$H$30="",999,'Hiring plan'!$H$30)),'Hiring plan'!$F$30,0)</f>
        <v>0</v>
      </c>
      <c r="AS34" s="33" t="n">
        <f aca="false">IF(AND(N('Hiring plan'!$F$30)&gt;0,AS$3&gt;='Hiring plan'!$G$30,AS$3&lt;=IF('Hiring plan'!$H$30="",999,'Hiring plan'!$H$30)),'Hiring plan'!$F$30,0)</f>
        <v>0</v>
      </c>
      <c r="AT34" s="33" t="n">
        <f aca="false">IF(AND(N('Hiring plan'!$F$30)&gt;0,AT$3&gt;='Hiring plan'!$G$30,AT$3&lt;=IF('Hiring plan'!$H$30="",999,'Hiring plan'!$H$30)),'Hiring plan'!$F$30,0)</f>
        <v>0</v>
      </c>
      <c r="AU34" s="33" t="n">
        <f aca="false">IF(AND(N('Hiring plan'!$F$30)&gt;0,AU$3&gt;='Hiring plan'!$G$30,AU$3&lt;=IF('Hiring plan'!$H$30="",999,'Hiring plan'!$H$30)),'Hiring plan'!$F$30,0)</f>
        <v>0</v>
      </c>
      <c r="AV34" s="33" t="n">
        <f aca="false">IF(AND(N('Hiring plan'!$F$30)&gt;0,AV$3&gt;='Hiring plan'!$G$30,AV$3&lt;=IF('Hiring plan'!$H$30="",999,'Hiring plan'!$H$30)),'Hiring plan'!$F$30,0)</f>
        <v>0</v>
      </c>
      <c r="AW34" s="33" t="n">
        <f aca="false">IF(AND(N('Hiring plan'!$F$30)&gt;0,AW$3&gt;='Hiring plan'!$G$30,AW$3&lt;=IF('Hiring plan'!$H$30="",999,'Hiring plan'!$H$30)),'Hiring plan'!$F$30,0)</f>
        <v>0</v>
      </c>
      <c r="AX34" s="33" t="n">
        <f aca="false">IF(AND(N('Hiring plan'!$F$30)&gt;0,AX$3&gt;='Hiring plan'!$G$30,AX$3&lt;=IF('Hiring plan'!$H$30="",999,'Hiring plan'!$H$30)),'Hiring plan'!$F$30,0)</f>
        <v>0</v>
      </c>
      <c r="AY34" s="33" t="n">
        <f aca="false">IF(AND(N('Hiring plan'!$F$30)&gt;0,AY$3&gt;='Hiring plan'!$G$30,AY$3&lt;=IF('Hiring plan'!$H$30="",999,'Hiring plan'!$H$30)),'Hiring plan'!$F$30,0)</f>
        <v>0</v>
      </c>
      <c r="AZ34" s="33" t="n">
        <f aca="false">IF(AND(N('Hiring plan'!$F$30)&gt;0,AZ$3&gt;='Hiring plan'!$G$30,AZ$3&lt;=IF('Hiring plan'!$H$30="",999,'Hiring plan'!$H$30)),'Hiring plan'!$F$30,0)</f>
        <v>0</v>
      </c>
      <c r="BA34" s="33" t="n">
        <f aca="false">IF(AND(N('Hiring plan'!$F$30)&gt;0,BA$3&gt;='Hiring plan'!$G$30,BA$3&lt;=IF('Hiring plan'!$H$30="",999,'Hiring plan'!$H$30)),'Hiring plan'!$F$30,0)</f>
        <v>0</v>
      </c>
      <c r="BB34" s="33" t="n">
        <f aca="false">IF(AND(N('Hiring plan'!$F$30)&gt;0,BB$3&gt;='Hiring plan'!$G$30,BB$3&lt;=IF('Hiring plan'!$H$30="",999,'Hiring plan'!$H$30)),'Hiring plan'!$F$30,0)</f>
        <v>0</v>
      </c>
      <c r="BC34" s="33" t="n">
        <f aca="false">IF(AND(N('Hiring plan'!$F$30)&gt;0,BC$3&gt;='Hiring plan'!$G$30,BC$3&lt;=IF('Hiring plan'!$H$30="",999,'Hiring plan'!$H$30)),'Hiring plan'!$F$30,0)</f>
        <v>0</v>
      </c>
      <c r="BD34" s="33" t="n">
        <f aca="false">IF(AND(N('Hiring plan'!$F$30)&gt;0,BD$3&gt;='Hiring plan'!$G$30,BD$3&lt;=IF('Hiring plan'!$H$30="",999,'Hiring plan'!$H$30)),'Hiring plan'!$F$30,0)</f>
        <v>0</v>
      </c>
      <c r="BE34" s="33" t="n">
        <f aca="false">IF(AND(N('Hiring plan'!$F$30)&gt;0,BE$3&gt;='Hiring plan'!$G$30,BE$3&lt;=IF('Hiring plan'!$H$30="",999,'Hiring plan'!$H$30)),'Hiring plan'!$F$30,0)</f>
        <v>0</v>
      </c>
      <c r="BF34" s="33" t="n">
        <f aca="false">IF(AND(N('Hiring plan'!$F$30)&gt;0,BF$3&gt;='Hiring plan'!$G$30,BF$3&lt;=IF('Hiring plan'!$H$30="",999,'Hiring plan'!$H$30)),'Hiring plan'!$F$30,0)</f>
        <v>0</v>
      </c>
      <c r="BG34" s="33" t="n">
        <f aca="false">IF(AND(N('Hiring plan'!$F$30)&gt;0,BG$3&gt;='Hiring plan'!$G$30,BG$3&lt;=IF('Hiring plan'!$H$30="",999,'Hiring plan'!$H$30)),'Hiring plan'!$F$30,0)</f>
        <v>0</v>
      </c>
      <c r="BH34" s="33" t="n">
        <f aca="false">IF(AND(N('Hiring plan'!$F$30)&gt;0,BH$3&gt;='Hiring plan'!$G$30,BH$3&lt;=IF('Hiring plan'!$H$30="",999,'Hiring plan'!$H$30)),'Hiring plan'!$F$30,0)</f>
        <v>0</v>
      </c>
      <c r="BI34" s="33" t="n">
        <f aca="false">IF(AND(N('Hiring plan'!$F$30)&gt;0,BI$3&gt;='Hiring plan'!$G$30,BI$3&lt;=IF('Hiring plan'!$H$30="",999,'Hiring plan'!$H$30)),'Hiring plan'!$F$30,0)</f>
        <v>0</v>
      </c>
      <c r="BJ34" s="33" t="n">
        <f aca="false">IF(AND(N('Hiring plan'!$F$30)&gt;0,BJ$3&gt;='Hiring plan'!$G$30,BJ$3&lt;=IF('Hiring plan'!$H$30="",999,'Hiring plan'!$H$30)),'Hiring plan'!$F$30,0)</f>
        <v>0</v>
      </c>
      <c r="BK34" s="33" t="n">
        <f aca="false">IF(AND(N('Hiring plan'!$F$30)&gt;0,BK$3&gt;='Hiring plan'!$G$30,BK$3&lt;=IF('Hiring plan'!$H$30="",999,'Hiring plan'!$H$30)),'Hiring plan'!$F$30,0)</f>
        <v>0</v>
      </c>
      <c r="BL34" s="33" t="n">
        <f aca="false">IF(AND(N('Hiring plan'!$F$30)&gt;0,BL$3&gt;='Hiring plan'!$G$30,BL$3&lt;=IF('Hiring plan'!$H$30="",999,'Hiring plan'!$H$30)),'Hiring plan'!$F$30,0)</f>
        <v>0</v>
      </c>
    </row>
    <row r="35" customFormat="false" ht="15" hidden="false" customHeight="true" outlineLevel="0" collapsed="false">
      <c r="A35" s="13" t="str">
        <f aca="false">IF('Hiring plan'!$C$31="","(spare line 27)",'Hiring plan'!$C$31&amp;" · "&amp;'Hiring plan'!$D$31)</f>
        <v>(spare line 27)</v>
      </c>
      <c r="B35" s="15" t="s">
        <v>92</v>
      </c>
      <c r="D35" s="56" t="n">
        <f aca="false">MAX(E35:BL35)</f>
        <v>0</v>
      </c>
      <c r="E35" s="33" t="n">
        <f aca="false">IF(AND(N('Hiring plan'!$F$31)&gt;0,E$3&gt;='Hiring plan'!$G$31,E$3&lt;=IF('Hiring plan'!$H$31="",999,'Hiring plan'!$H$31)),'Hiring plan'!$F$31,0)</f>
        <v>0</v>
      </c>
      <c r="F35" s="33" t="n">
        <f aca="false">IF(AND(N('Hiring plan'!$F$31)&gt;0,F$3&gt;='Hiring plan'!$G$31,F$3&lt;=IF('Hiring plan'!$H$31="",999,'Hiring plan'!$H$31)),'Hiring plan'!$F$31,0)</f>
        <v>0</v>
      </c>
      <c r="G35" s="33" t="n">
        <f aca="false">IF(AND(N('Hiring plan'!$F$31)&gt;0,G$3&gt;='Hiring plan'!$G$31,G$3&lt;=IF('Hiring plan'!$H$31="",999,'Hiring plan'!$H$31)),'Hiring plan'!$F$31,0)</f>
        <v>0</v>
      </c>
      <c r="H35" s="33" t="n">
        <f aca="false">IF(AND(N('Hiring plan'!$F$31)&gt;0,H$3&gt;='Hiring plan'!$G$31,H$3&lt;=IF('Hiring plan'!$H$31="",999,'Hiring plan'!$H$31)),'Hiring plan'!$F$31,0)</f>
        <v>0</v>
      </c>
      <c r="I35" s="33" t="n">
        <f aca="false">IF(AND(N('Hiring plan'!$F$31)&gt;0,I$3&gt;='Hiring plan'!$G$31,I$3&lt;=IF('Hiring plan'!$H$31="",999,'Hiring plan'!$H$31)),'Hiring plan'!$F$31,0)</f>
        <v>0</v>
      </c>
      <c r="J35" s="33" t="n">
        <f aca="false">IF(AND(N('Hiring plan'!$F$31)&gt;0,J$3&gt;='Hiring plan'!$G$31,J$3&lt;=IF('Hiring plan'!$H$31="",999,'Hiring plan'!$H$31)),'Hiring plan'!$F$31,0)</f>
        <v>0</v>
      </c>
      <c r="K35" s="33" t="n">
        <f aca="false">IF(AND(N('Hiring plan'!$F$31)&gt;0,K$3&gt;='Hiring plan'!$G$31,K$3&lt;=IF('Hiring plan'!$H$31="",999,'Hiring plan'!$H$31)),'Hiring plan'!$F$31,0)</f>
        <v>0</v>
      </c>
      <c r="L35" s="33" t="n">
        <f aca="false">IF(AND(N('Hiring plan'!$F$31)&gt;0,L$3&gt;='Hiring plan'!$G$31,L$3&lt;=IF('Hiring plan'!$H$31="",999,'Hiring plan'!$H$31)),'Hiring plan'!$F$31,0)</f>
        <v>0</v>
      </c>
      <c r="M35" s="33" t="n">
        <f aca="false">IF(AND(N('Hiring plan'!$F$31)&gt;0,M$3&gt;='Hiring plan'!$G$31,M$3&lt;=IF('Hiring plan'!$H$31="",999,'Hiring plan'!$H$31)),'Hiring plan'!$F$31,0)</f>
        <v>0</v>
      </c>
      <c r="N35" s="33" t="n">
        <f aca="false">IF(AND(N('Hiring plan'!$F$31)&gt;0,N$3&gt;='Hiring plan'!$G$31,N$3&lt;=IF('Hiring plan'!$H$31="",999,'Hiring plan'!$H$31)),'Hiring plan'!$F$31,0)</f>
        <v>0</v>
      </c>
      <c r="O35" s="33" t="n">
        <f aca="false">IF(AND(N('Hiring plan'!$F$31)&gt;0,O$3&gt;='Hiring plan'!$G$31,O$3&lt;=IF('Hiring plan'!$H$31="",999,'Hiring plan'!$H$31)),'Hiring plan'!$F$31,0)</f>
        <v>0</v>
      </c>
      <c r="P35" s="33" t="n">
        <f aca="false">IF(AND(N('Hiring plan'!$F$31)&gt;0,P$3&gt;='Hiring plan'!$G$31,P$3&lt;=IF('Hiring plan'!$H$31="",999,'Hiring plan'!$H$31)),'Hiring plan'!$F$31,0)</f>
        <v>0</v>
      </c>
      <c r="Q35" s="33" t="n">
        <f aca="false">IF(AND(N('Hiring plan'!$F$31)&gt;0,Q$3&gt;='Hiring plan'!$G$31,Q$3&lt;=IF('Hiring plan'!$H$31="",999,'Hiring plan'!$H$31)),'Hiring plan'!$F$31,0)</f>
        <v>0</v>
      </c>
      <c r="R35" s="33" t="n">
        <f aca="false">IF(AND(N('Hiring plan'!$F$31)&gt;0,R$3&gt;='Hiring plan'!$G$31,R$3&lt;=IF('Hiring plan'!$H$31="",999,'Hiring plan'!$H$31)),'Hiring plan'!$F$31,0)</f>
        <v>0</v>
      </c>
      <c r="S35" s="33" t="n">
        <f aca="false">IF(AND(N('Hiring plan'!$F$31)&gt;0,S$3&gt;='Hiring plan'!$G$31,S$3&lt;=IF('Hiring plan'!$H$31="",999,'Hiring plan'!$H$31)),'Hiring plan'!$F$31,0)</f>
        <v>0</v>
      </c>
      <c r="T35" s="33" t="n">
        <f aca="false">IF(AND(N('Hiring plan'!$F$31)&gt;0,T$3&gt;='Hiring plan'!$G$31,T$3&lt;=IF('Hiring plan'!$H$31="",999,'Hiring plan'!$H$31)),'Hiring plan'!$F$31,0)</f>
        <v>0</v>
      </c>
      <c r="U35" s="33" t="n">
        <f aca="false">IF(AND(N('Hiring plan'!$F$31)&gt;0,U$3&gt;='Hiring plan'!$G$31,U$3&lt;=IF('Hiring plan'!$H$31="",999,'Hiring plan'!$H$31)),'Hiring plan'!$F$31,0)</f>
        <v>0</v>
      </c>
      <c r="V35" s="33" t="n">
        <f aca="false">IF(AND(N('Hiring plan'!$F$31)&gt;0,V$3&gt;='Hiring plan'!$G$31,V$3&lt;=IF('Hiring plan'!$H$31="",999,'Hiring plan'!$H$31)),'Hiring plan'!$F$31,0)</f>
        <v>0</v>
      </c>
      <c r="W35" s="33" t="n">
        <f aca="false">IF(AND(N('Hiring plan'!$F$31)&gt;0,W$3&gt;='Hiring plan'!$G$31,W$3&lt;=IF('Hiring plan'!$H$31="",999,'Hiring plan'!$H$31)),'Hiring plan'!$F$31,0)</f>
        <v>0</v>
      </c>
      <c r="X35" s="33" t="n">
        <f aca="false">IF(AND(N('Hiring plan'!$F$31)&gt;0,X$3&gt;='Hiring plan'!$G$31,X$3&lt;=IF('Hiring plan'!$H$31="",999,'Hiring plan'!$H$31)),'Hiring plan'!$F$31,0)</f>
        <v>0</v>
      </c>
      <c r="Y35" s="33" t="n">
        <f aca="false">IF(AND(N('Hiring plan'!$F$31)&gt;0,Y$3&gt;='Hiring plan'!$G$31,Y$3&lt;=IF('Hiring plan'!$H$31="",999,'Hiring plan'!$H$31)),'Hiring plan'!$F$31,0)</f>
        <v>0</v>
      </c>
      <c r="Z35" s="33" t="n">
        <f aca="false">IF(AND(N('Hiring plan'!$F$31)&gt;0,Z$3&gt;='Hiring plan'!$G$31,Z$3&lt;=IF('Hiring plan'!$H$31="",999,'Hiring plan'!$H$31)),'Hiring plan'!$F$31,0)</f>
        <v>0</v>
      </c>
      <c r="AA35" s="33" t="n">
        <f aca="false">IF(AND(N('Hiring plan'!$F$31)&gt;0,AA$3&gt;='Hiring plan'!$G$31,AA$3&lt;=IF('Hiring plan'!$H$31="",999,'Hiring plan'!$H$31)),'Hiring plan'!$F$31,0)</f>
        <v>0</v>
      </c>
      <c r="AB35" s="33" t="n">
        <f aca="false">IF(AND(N('Hiring plan'!$F$31)&gt;0,AB$3&gt;='Hiring plan'!$G$31,AB$3&lt;=IF('Hiring plan'!$H$31="",999,'Hiring plan'!$H$31)),'Hiring plan'!$F$31,0)</f>
        <v>0</v>
      </c>
      <c r="AC35" s="33" t="n">
        <f aca="false">IF(AND(N('Hiring plan'!$F$31)&gt;0,AC$3&gt;='Hiring plan'!$G$31,AC$3&lt;=IF('Hiring plan'!$H$31="",999,'Hiring plan'!$H$31)),'Hiring plan'!$F$31,0)</f>
        <v>0</v>
      </c>
      <c r="AD35" s="33" t="n">
        <f aca="false">IF(AND(N('Hiring plan'!$F$31)&gt;0,AD$3&gt;='Hiring plan'!$G$31,AD$3&lt;=IF('Hiring plan'!$H$31="",999,'Hiring plan'!$H$31)),'Hiring plan'!$F$31,0)</f>
        <v>0</v>
      </c>
      <c r="AE35" s="33" t="n">
        <f aca="false">IF(AND(N('Hiring plan'!$F$31)&gt;0,AE$3&gt;='Hiring plan'!$G$31,AE$3&lt;=IF('Hiring plan'!$H$31="",999,'Hiring plan'!$H$31)),'Hiring plan'!$F$31,0)</f>
        <v>0</v>
      </c>
      <c r="AF35" s="33" t="n">
        <f aca="false">IF(AND(N('Hiring plan'!$F$31)&gt;0,AF$3&gt;='Hiring plan'!$G$31,AF$3&lt;=IF('Hiring plan'!$H$31="",999,'Hiring plan'!$H$31)),'Hiring plan'!$F$31,0)</f>
        <v>0</v>
      </c>
      <c r="AG35" s="33" t="n">
        <f aca="false">IF(AND(N('Hiring plan'!$F$31)&gt;0,AG$3&gt;='Hiring plan'!$G$31,AG$3&lt;=IF('Hiring plan'!$H$31="",999,'Hiring plan'!$H$31)),'Hiring plan'!$F$31,0)</f>
        <v>0</v>
      </c>
      <c r="AH35" s="33" t="n">
        <f aca="false">IF(AND(N('Hiring plan'!$F$31)&gt;0,AH$3&gt;='Hiring plan'!$G$31,AH$3&lt;=IF('Hiring plan'!$H$31="",999,'Hiring plan'!$H$31)),'Hiring plan'!$F$31,0)</f>
        <v>0</v>
      </c>
      <c r="AI35" s="33" t="n">
        <f aca="false">IF(AND(N('Hiring plan'!$F$31)&gt;0,AI$3&gt;='Hiring plan'!$G$31,AI$3&lt;=IF('Hiring plan'!$H$31="",999,'Hiring plan'!$H$31)),'Hiring plan'!$F$31,0)</f>
        <v>0</v>
      </c>
      <c r="AJ35" s="33" t="n">
        <f aca="false">IF(AND(N('Hiring plan'!$F$31)&gt;0,AJ$3&gt;='Hiring plan'!$G$31,AJ$3&lt;=IF('Hiring plan'!$H$31="",999,'Hiring plan'!$H$31)),'Hiring plan'!$F$31,0)</f>
        <v>0</v>
      </c>
      <c r="AK35" s="33" t="n">
        <f aca="false">IF(AND(N('Hiring plan'!$F$31)&gt;0,AK$3&gt;='Hiring plan'!$G$31,AK$3&lt;=IF('Hiring plan'!$H$31="",999,'Hiring plan'!$H$31)),'Hiring plan'!$F$31,0)</f>
        <v>0</v>
      </c>
      <c r="AL35" s="33" t="n">
        <f aca="false">IF(AND(N('Hiring plan'!$F$31)&gt;0,AL$3&gt;='Hiring plan'!$G$31,AL$3&lt;=IF('Hiring plan'!$H$31="",999,'Hiring plan'!$H$31)),'Hiring plan'!$F$31,0)</f>
        <v>0</v>
      </c>
      <c r="AM35" s="33" t="n">
        <f aca="false">IF(AND(N('Hiring plan'!$F$31)&gt;0,AM$3&gt;='Hiring plan'!$G$31,AM$3&lt;=IF('Hiring plan'!$H$31="",999,'Hiring plan'!$H$31)),'Hiring plan'!$F$31,0)</f>
        <v>0</v>
      </c>
      <c r="AN35" s="33" t="n">
        <f aca="false">IF(AND(N('Hiring plan'!$F$31)&gt;0,AN$3&gt;='Hiring plan'!$G$31,AN$3&lt;=IF('Hiring plan'!$H$31="",999,'Hiring plan'!$H$31)),'Hiring plan'!$F$31,0)</f>
        <v>0</v>
      </c>
      <c r="AO35" s="33" t="n">
        <f aca="false">IF(AND(N('Hiring plan'!$F$31)&gt;0,AO$3&gt;='Hiring plan'!$G$31,AO$3&lt;=IF('Hiring plan'!$H$31="",999,'Hiring plan'!$H$31)),'Hiring plan'!$F$31,0)</f>
        <v>0</v>
      </c>
      <c r="AP35" s="33" t="n">
        <f aca="false">IF(AND(N('Hiring plan'!$F$31)&gt;0,AP$3&gt;='Hiring plan'!$G$31,AP$3&lt;=IF('Hiring plan'!$H$31="",999,'Hiring plan'!$H$31)),'Hiring plan'!$F$31,0)</f>
        <v>0</v>
      </c>
      <c r="AQ35" s="33" t="n">
        <f aca="false">IF(AND(N('Hiring plan'!$F$31)&gt;0,AQ$3&gt;='Hiring plan'!$G$31,AQ$3&lt;=IF('Hiring plan'!$H$31="",999,'Hiring plan'!$H$31)),'Hiring plan'!$F$31,0)</f>
        <v>0</v>
      </c>
      <c r="AR35" s="33" t="n">
        <f aca="false">IF(AND(N('Hiring plan'!$F$31)&gt;0,AR$3&gt;='Hiring plan'!$G$31,AR$3&lt;=IF('Hiring plan'!$H$31="",999,'Hiring plan'!$H$31)),'Hiring plan'!$F$31,0)</f>
        <v>0</v>
      </c>
      <c r="AS35" s="33" t="n">
        <f aca="false">IF(AND(N('Hiring plan'!$F$31)&gt;0,AS$3&gt;='Hiring plan'!$G$31,AS$3&lt;=IF('Hiring plan'!$H$31="",999,'Hiring plan'!$H$31)),'Hiring plan'!$F$31,0)</f>
        <v>0</v>
      </c>
      <c r="AT35" s="33" t="n">
        <f aca="false">IF(AND(N('Hiring plan'!$F$31)&gt;0,AT$3&gt;='Hiring plan'!$G$31,AT$3&lt;=IF('Hiring plan'!$H$31="",999,'Hiring plan'!$H$31)),'Hiring plan'!$F$31,0)</f>
        <v>0</v>
      </c>
      <c r="AU35" s="33" t="n">
        <f aca="false">IF(AND(N('Hiring plan'!$F$31)&gt;0,AU$3&gt;='Hiring plan'!$G$31,AU$3&lt;=IF('Hiring plan'!$H$31="",999,'Hiring plan'!$H$31)),'Hiring plan'!$F$31,0)</f>
        <v>0</v>
      </c>
      <c r="AV35" s="33" t="n">
        <f aca="false">IF(AND(N('Hiring plan'!$F$31)&gt;0,AV$3&gt;='Hiring plan'!$G$31,AV$3&lt;=IF('Hiring plan'!$H$31="",999,'Hiring plan'!$H$31)),'Hiring plan'!$F$31,0)</f>
        <v>0</v>
      </c>
      <c r="AW35" s="33" t="n">
        <f aca="false">IF(AND(N('Hiring plan'!$F$31)&gt;0,AW$3&gt;='Hiring plan'!$G$31,AW$3&lt;=IF('Hiring plan'!$H$31="",999,'Hiring plan'!$H$31)),'Hiring plan'!$F$31,0)</f>
        <v>0</v>
      </c>
      <c r="AX35" s="33" t="n">
        <f aca="false">IF(AND(N('Hiring plan'!$F$31)&gt;0,AX$3&gt;='Hiring plan'!$G$31,AX$3&lt;=IF('Hiring plan'!$H$31="",999,'Hiring plan'!$H$31)),'Hiring plan'!$F$31,0)</f>
        <v>0</v>
      </c>
      <c r="AY35" s="33" t="n">
        <f aca="false">IF(AND(N('Hiring plan'!$F$31)&gt;0,AY$3&gt;='Hiring plan'!$G$31,AY$3&lt;=IF('Hiring plan'!$H$31="",999,'Hiring plan'!$H$31)),'Hiring plan'!$F$31,0)</f>
        <v>0</v>
      </c>
      <c r="AZ35" s="33" t="n">
        <f aca="false">IF(AND(N('Hiring plan'!$F$31)&gt;0,AZ$3&gt;='Hiring plan'!$G$31,AZ$3&lt;=IF('Hiring plan'!$H$31="",999,'Hiring plan'!$H$31)),'Hiring plan'!$F$31,0)</f>
        <v>0</v>
      </c>
      <c r="BA35" s="33" t="n">
        <f aca="false">IF(AND(N('Hiring plan'!$F$31)&gt;0,BA$3&gt;='Hiring plan'!$G$31,BA$3&lt;=IF('Hiring plan'!$H$31="",999,'Hiring plan'!$H$31)),'Hiring plan'!$F$31,0)</f>
        <v>0</v>
      </c>
      <c r="BB35" s="33" t="n">
        <f aca="false">IF(AND(N('Hiring plan'!$F$31)&gt;0,BB$3&gt;='Hiring plan'!$G$31,BB$3&lt;=IF('Hiring plan'!$H$31="",999,'Hiring plan'!$H$31)),'Hiring plan'!$F$31,0)</f>
        <v>0</v>
      </c>
      <c r="BC35" s="33" t="n">
        <f aca="false">IF(AND(N('Hiring plan'!$F$31)&gt;0,BC$3&gt;='Hiring plan'!$G$31,BC$3&lt;=IF('Hiring plan'!$H$31="",999,'Hiring plan'!$H$31)),'Hiring plan'!$F$31,0)</f>
        <v>0</v>
      </c>
      <c r="BD35" s="33" t="n">
        <f aca="false">IF(AND(N('Hiring plan'!$F$31)&gt;0,BD$3&gt;='Hiring plan'!$G$31,BD$3&lt;=IF('Hiring plan'!$H$31="",999,'Hiring plan'!$H$31)),'Hiring plan'!$F$31,0)</f>
        <v>0</v>
      </c>
      <c r="BE35" s="33" t="n">
        <f aca="false">IF(AND(N('Hiring plan'!$F$31)&gt;0,BE$3&gt;='Hiring plan'!$G$31,BE$3&lt;=IF('Hiring plan'!$H$31="",999,'Hiring plan'!$H$31)),'Hiring plan'!$F$31,0)</f>
        <v>0</v>
      </c>
      <c r="BF35" s="33" t="n">
        <f aca="false">IF(AND(N('Hiring plan'!$F$31)&gt;0,BF$3&gt;='Hiring plan'!$G$31,BF$3&lt;=IF('Hiring plan'!$H$31="",999,'Hiring plan'!$H$31)),'Hiring plan'!$F$31,0)</f>
        <v>0</v>
      </c>
      <c r="BG35" s="33" t="n">
        <f aca="false">IF(AND(N('Hiring plan'!$F$31)&gt;0,BG$3&gt;='Hiring plan'!$G$31,BG$3&lt;=IF('Hiring plan'!$H$31="",999,'Hiring plan'!$H$31)),'Hiring plan'!$F$31,0)</f>
        <v>0</v>
      </c>
      <c r="BH35" s="33" t="n">
        <f aca="false">IF(AND(N('Hiring plan'!$F$31)&gt;0,BH$3&gt;='Hiring plan'!$G$31,BH$3&lt;=IF('Hiring plan'!$H$31="",999,'Hiring plan'!$H$31)),'Hiring plan'!$F$31,0)</f>
        <v>0</v>
      </c>
      <c r="BI35" s="33" t="n">
        <f aca="false">IF(AND(N('Hiring plan'!$F$31)&gt;0,BI$3&gt;='Hiring plan'!$G$31,BI$3&lt;=IF('Hiring plan'!$H$31="",999,'Hiring plan'!$H$31)),'Hiring plan'!$F$31,0)</f>
        <v>0</v>
      </c>
      <c r="BJ35" s="33" t="n">
        <f aca="false">IF(AND(N('Hiring plan'!$F$31)&gt;0,BJ$3&gt;='Hiring plan'!$G$31,BJ$3&lt;=IF('Hiring plan'!$H$31="",999,'Hiring plan'!$H$31)),'Hiring plan'!$F$31,0)</f>
        <v>0</v>
      </c>
      <c r="BK35" s="33" t="n">
        <f aca="false">IF(AND(N('Hiring plan'!$F$31)&gt;0,BK$3&gt;='Hiring plan'!$G$31,BK$3&lt;=IF('Hiring plan'!$H$31="",999,'Hiring plan'!$H$31)),'Hiring plan'!$F$31,0)</f>
        <v>0</v>
      </c>
      <c r="BL35" s="33" t="n">
        <f aca="false">IF(AND(N('Hiring plan'!$F$31)&gt;0,BL$3&gt;='Hiring plan'!$G$31,BL$3&lt;=IF('Hiring plan'!$H$31="",999,'Hiring plan'!$H$31)),'Hiring plan'!$F$31,0)</f>
        <v>0</v>
      </c>
    </row>
    <row r="36" customFormat="false" ht="15" hidden="false" customHeight="true" outlineLevel="0" collapsed="false">
      <c r="A36" s="13" t="str">
        <f aca="false">IF('Hiring plan'!$C$32="","(spare line 28)",'Hiring plan'!$C$32&amp;" · "&amp;'Hiring plan'!$D$32)</f>
        <v>(spare line 28)</v>
      </c>
      <c r="B36" s="15" t="s">
        <v>92</v>
      </c>
      <c r="D36" s="56" t="n">
        <f aca="false">MAX(E36:BL36)</f>
        <v>0</v>
      </c>
      <c r="E36" s="33" t="n">
        <f aca="false">IF(AND(N('Hiring plan'!$F$32)&gt;0,E$3&gt;='Hiring plan'!$G$32,E$3&lt;=IF('Hiring plan'!$H$32="",999,'Hiring plan'!$H$32)),'Hiring plan'!$F$32,0)</f>
        <v>0</v>
      </c>
      <c r="F36" s="33" t="n">
        <f aca="false">IF(AND(N('Hiring plan'!$F$32)&gt;0,F$3&gt;='Hiring plan'!$G$32,F$3&lt;=IF('Hiring plan'!$H$32="",999,'Hiring plan'!$H$32)),'Hiring plan'!$F$32,0)</f>
        <v>0</v>
      </c>
      <c r="G36" s="33" t="n">
        <f aca="false">IF(AND(N('Hiring plan'!$F$32)&gt;0,G$3&gt;='Hiring plan'!$G$32,G$3&lt;=IF('Hiring plan'!$H$32="",999,'Hiring plan'!$H$32)),'Hiring plan'!$F$32,0)</f>
        <v>0</v>
      </c>
      <c r="H36" s="33" t="n">
        <f aca="false">IF(AND(N('Hiring plan'!$F$32)&gt;0,H$3&gt;='Hiring plan'!$G$32,H$3&lt;=IF('Hiring plan'!$H$32="",999,'Hiring plan'!$H$32)),'Hiring plan'!$F$32,0)</f>
        <v>0</v>
      </c>
      <c r="I36" s="33" t="n">
        <f aca="false">IF(AND(N('Hiring plan'!$F$32)&gt;0,I$3&gt;='Hiring plan'!$G$32,I$3&lt;=IF('Hiring plan'!$H$32="",999,'Hiring plan'!$H$32)),'Hiring plan'!$F$32,0)</f>
        <v>0</v>
      </c>
      <c r="J36" s="33" t="n">
        <f aca="false">IF(AND(N('Hiring plan'!$F$32)&gt;0,J$3&gt;='Hiring plan'!$G$32,J$3&lt;=IF('Hiring plan'!$H$32="",999,'Hiring plan'!$H$32)),'Hiring plan'!$F$32,0)</f>
        <v>0</v>
      </c>
      <c r="K36" s="33" t="n">
        <f aca="false">IF(AND(N('Hiring plan'!$F$32)&gt;0,K$3&gt;='Hiring plan'!$G$32,K$3&lt;=IF('Hiring plan'!$H$32="",999,'Hiring plan'!$H$32)),'Hiring plan'!$F$32,0)</f>
        <v>0</v>
      </c>
      <c r="L36" s="33" t="n">
        <f aca="false">IF(AND(N('Hiring plan'!$F$32)&gt;0,L$3&gt;='Hiring plan'!$G$32,L$3&lt;=IF('Hiring plan'!$H$32="",999,'Hiring plan'!$H$32)),'Hiring plan'!$F$32,0)</f>
        <v>0</v>
      </c>
      <c r="M36" s="33" t="n">
        <f aca="false">IF(AND(N('Hiring plan'!$F$32)&gt;0,M$3&gt;='Hiring plan'!$G$32,M$3&lt;=IF('Hiring plan'!$H$32="",999,'Hiring plan'!$H$32)),'Hiring plan'!$F$32,0)</f>
        <v>0</v>
      </c>
      <c r="N36" s="33" t="n">
        <f aca="false">IF(AND(N('Hiring plan'!$F$32)&gt;0,N$3&gt;='Hiring plan'!$G$32,N$3&lt;=IF('Hiring plan'!$H$32="",999,'Hiring plan'!$H$32)),'Hiring plan'!$F$32,0)</f>
        <v>0</v>
      </c>
      <c r="O36" s="33" t="n">
        <f aca="false">IF(AND(N('Hiring plan'!$F$32)&gt;0,O$3&gt;='Hiring plan'!$G$32,O$3&lt;=IF('Hiring plan'!$H$32="",999,'Hiring plan'!$H$32)),'Hiring plan'!$F$32,0)</f>
        <v>0</v>
      </c>
      <c r="P36" s="33" t="n">
        <f aca="false">IF(AND(N('Hiring plan'!$F$32)&gt;0,P$3&gt;='Hiring plan'!$G$32,P$3&lt;=IF('Hiring plan'!$H$32="",999,'Hiring plan'!$H$32)),'Hiring plan'!$F$32,0)</f>
        <v>0</v>
      </c>
      <c r="Q36" s="33" t="n">
        <f aca="false">IF(AND(N('Hiring plan'!$F$32)&gt;0,Q$3&gt;='Hiring plan'!$G$32,Q$3&lt;=IF('Hiring plan'!$H$32="",999,'Hiring plan'!$H$32)),'Hiring plan'!$F$32,0)</f>
        <v>0</v>
      </c>
      <c r="R36" s="33" t="n">
        <f aca="false">IF(AND(N('Hiring plan'!$F$32)&gt;0,R$3&gt;='Hiring plan'!$G$32,R$3&lt;=IF('Hiring plan'!$H$32="",999,'Hiring plan'!$H$32)),'Hiring plan'!$F$32,0)</f>
        <v>0</v>
      </c>
      <c r="S36" s="33" t="n">
        <f aca="false">IF(AND(N('Hiring plan'!$F$32)&gt;0,S$3&gt;='Hiring plan'!$G$32,S$3&lt;=IF('Hiring plan'!$H$32="",999,'Hiring plan'!$H$32)),'Hiring plan'!$F$32,0)</f>
        <v>0</v>
      </c>
      <c r="T36" s="33" t="n">
        <f aca="false">IF(AND(N('Hiring plan'!$F$32)&gt;0,T$3&gt;='Hiring plan'!$G$32,T$3&lt;=IF('Hiring plan'!$H$32="",999,'Hiring plan'!$H$32)),'Hiring plan'!$F$32,0)</f>
        <v>0</v>
      </c>
      <c r="U36" s="33" t="n">
        <f aca="false">IF(AND(N('Hiring plan'!$F$32)&gt;0,U$3&gt;='Hiring plan'!$G$32,U$3&lt;=IF('Hiring plan'!$H$32="",999,'Hiring plan'!$H$32)),'Hiring plan'!$F$32,0)</f>
        <v>0</v>
      </c>
      <c r="V36" s="33" t="n">
        <f aca="false">IF(AND(N('Hiring plan'!$F$32)&gt;0,V$3&gt;='Hiring plan'!$G$32,V$3&lt;=IF('Hiring plan'!$H$32="",999,'Hiring plan'!$H$32)),'Hiring plan'!$F$32,0)</f>
        <v>0</v>
      </c>
      <c r="W36" s="33" t="n">
        <f aca="false">IF(AND(N('Hiring plan'!$F$32)&gt;0,W$3&gt;='Hiring plan'!$G$32,W$3&lt;=IF('Hiring plan'!$H$32="",999,'Hiring plan'!$H$32)),'Hiring plan'!$F$32,0)</f>
        <v>0</v>
      </c>
      <c r="X36" s="33" t="n">
        <f aca="false">IF(AND(N('Hiring plan'!$F$32)&gt;0,X$3&gt;='Hiring plan'!$G$32,X$3&lt;=IF('Hiring plan'!$H$32="",999,'Hiring plan'!$H$32)),'Hiring plan'!$F$32,0)</f>
        <v>0</v>
      </c>
      <c r="Y36" s="33" t="n">
        <f aca="false">IF(AND(N('Hiring plan'!$F$32)&gt;0,Y$3&gt;='Hiring plan'!$G$32,Y$3&lt;=IF('Hiring plan'!$H$32="",999,'Hiring plan'!$H$32)),'Hiring plan'!$F$32,0)</f>
        <v>0</v>
      </c>
      <c r="Z36" s="33" t="n">
        <f aca="false">IF(AND(N('Hiring plan'!$F$32)&gt;0,Z$3&gt;='Hiring plan'!$G$32,Z$3&lt;=IF('Hiring plan'!$H$32="",999,'Hiring plan'!$H$32)),'Hiring plan'!$F$32,0)</f>
        <v>0</v>
      </c>
      <c r="AA36" s="33" t="n">
        <f aca="false">IF(AND(N('Hiring plan'!$F$32)&gt;0,AA$3&gt;='Hiring plan'!$G$32,AA$3&lt;=IF('Hiring plan'!$H$32="",999,'Hiring plan'!$H$32)),'Hiring plan'!$F$32,0)</f>
        <v>0</v>
      </c>
      <c r="AB36" s="33" t="n">
        <f aca="false">IF(AND(N('Hiring plan'!$F$32)&gt;0,AB$3&gt;='Hiring plan'!$G$32,AB$3&lt;=IF('Hiring plan'!$H$32="",999,'Hiring plan'!$H$32)),'Hiring plan'!$F$32,0)</f>
        <v>0</v>
      </c>
      <c r="AC36" s="33" t="n">
        <f aca="false">IF(AND(N('Hiring plan'!$F$32)&gt;0,AC$3&gt;='Hiring plan'!$G$32,AC$3&lt;=IF('Hiring plan'!$H$32="",999,'Hiring plan'!$H$32)),'Hiring plan'!$F$32,0)</f>
        <v>0</v>
      </c>
      <c r="AD36" s="33" t="n">
        <f aca="false">IF(AND(N('Hiring plan'!$F$32)&gt;0,AD$3&gt;='Hiring plan'!$G$32,AD$3&lt;=IF('Hiring plan'!$H$32="",999,'Hiring plan'!$H$32)),'Hiring plan'!$F$32,0)</f>
        <v>0</v>
      </c>
      <c r="AE36" s="33" t="n">
        <f aca="false">IF(AND(N('Hiring plan'!$F$32)&gt;0,AE$3&gt;='Hiring plan'!$G$32,AE$3&lt;=IF('Hiring plan'!$H$32="",999,'Hiring plan'!$H$32)),'Hiring plan'!$F$32,0)</f>
        <v>0</v>
      </c>
      <c r="AF36" s="33" t="n">
        <f aca="false">IF(AND(N('Hiring plan'!$F$32)&gt;0,AF$3&gt;='Hiring plan'!$G$32,AF$3&lt;=IF('Hiring plan'!$H$32="",999,'Hiring plan'!$H$32)),'Hiring plan'!$F$32,0)</f>
        <v>0</v>
      </c>
      <c r="AG36" s="33" t="n">
        <f aca="false">IF(AND(N('Hiring plan'!$F$32)&gt;0,AG$3&gt;='Hiring plan'!$G$32,AG$3&lt;=IF('Hiring plan'!$H$32="",999,'Hiring plan'!$H$32)),'Hiring plan'!$F$32,0)</f>
        <v>0</v>
      </c>
      <c r="AH36" s="33" t="n">
        <f aca="false">IF(AND(N('Hiring plan'!$F$32)&gt;0,AH$3&gt;='Hiring plan'!$G$32,AH$3&lt;=IF('Hiring plan'!$H$32="",999,'Hiring plan'!$H$32)),'Hiring plan'!$F$32,0)</f>
        <v>0</v>
      </c>
      <c r="AI36" s="33" t="n">
        <f aca="false">IF(AND(N('Hiring plan'!$F$32)&gt;0,AI$3&gt;='Hiring plan'!$G$32,AI$3&lt;=IF('Hiring plan'!$H$32="",999,'Hiring plan'!$H$32)),'Hiring plan'!$F$32,0)</f>
        <v>0</v>
      </c>
      <c r="AJ36" s="33" t="n">
        <f aca="false">IF(AND(N('Hiring plan'!$F$32)&gt;0,AJ$3&gt;='Hiring plan'!$G$32,AJ$3&lt;=IF('Hiring plan'!$H$32="",999,'Hiring plan'!$H$32)),'Hiring plan'!$F$32,0)</f>
        <v>0</v>
      </c>
      <c r="AK36" s="33" t="n">
        <f aca="false">IF(AND(N('Hiring plan'!$F$32)&gt;0,AK$3&gt;='Hiring plan'!$G$32,AK$3&lt;=IF('Hiring plan'!$H$32="",999,'Hiring plan'!$H$32)),'Hiring plan'!$F$32,0)</f>
        <v>0</v>
      </c>
      <c r="AL36" s="33" t="n">
        <f aca="false">IF(AND(N('Hiring plan'!$F$32)&gt;0,AL$3&gt;='Hiring plan'!$G$32,AL$3&lt;=IF('Hiring plan'!$H$32="",999,'Hiring plan'!$H$32)),'Hiring plan'!$F$32,0)</f>
        <v>0</v>
      </c>
      <c r="AM36" s="33" t="n">
        <f aca="false">IF(AND(N('Hiring plan'!$F$32)&gt;0,AM$3&gt;='Hiring plan'!$G$32,AM$3&lt;=IF('Hiring plan'!$H$32="",999,'Hiring plan'!$H$32)),'Hiring plan'!$F$32,0)</f>
        <v>0</v>
      </c>
      <c r="AN36" s="33" t="n">
        <f aca="false">IF(AND(N('Hiring plan'!$F$32)&gt;0,AN$3&gt;='Hiring plan'!$G$32,AN$3&lt;=IF('Hiring plan'!$H$32="",999,'Hiring plan'!$H$32)),'Hiring plan'!$F$32,0)</f>
        <v>0</v>
      </c>
      <c r="AO36" s="33" t="n">
        <f aca="false">IF(AND(N('Hiring plan'!$F$32)&gt;0,AO$3&gt;='Hiring plan'!$G$32,AO$3&lt;=IF('Hiring plan'!$H$32="",999,'Hiring plan'!$H$32)),'Hiring plan'!$F$32,0)</f>
        <v>0</v>
      </c>
      <c r="AP36" s="33" t="n">
        <f aca="false">IF(AND(N('Hiring plan'!$F$32)&gt;0,AP$3&gt;='Hiring plan'!$G$32,AP$3&lt;=IF('Hiring plan'!$H$32="",999,'Hiring plan'!$H$32)),'Hiring plan'!$F$32,0)</f>
        <v>0</v>
      </c>
      <c r="AQ36" s="33" t="n">
        <f aca="false">IF(AND(N('Hiring plan'!$F$32)&gt;0,AQ$3&gt;='Hiring plan'!$G$32,AQ$3&lt;=IF('Hiring plan'!$H$32="",999,'Hiring plan'!$H$32)),'Hiring plan'!$F$32,0)</f>
        <v>0</v>
      </c>
      <c r="AR36" s="33" t="n">
        <f aca="false">IF(AND(N('Hiring plan'!$F$32)&gt;0,AR$3&gt;='Hiring plan'!$G$32,AR$3&lt;=IF('Hiring plan'!$H$32="",999,'Hiring plan'!$H$32)),'Hiring plan'!$F$32,0)</f>
        <v>0</v>
      </c>
      <c r="AS36" s="33" t="n">
        <f aca="false">IF(AND(N('Hiring plan'!$F$32)&gt;0,AS$3&gt;='Hiring plan'!$G$32,AS$3&lt;=IF('Hiring plan'!$H$32="",999,'Hiring plan'!$H$32)),'Hiring plan'!$F$32,0)</f>
        <v>0</v>
      </c>
      <c r="AT36" s="33" t="n">
        <f aca="false">IF(AND(N('Hiring plan'!$F$32)&gt;0,AT$3&gt;='Hiring plan'!$G$32,AT$3&lt;=IF('Hiring plan'!$H$32="",999,'Hiring plan'!$H$32)),'Hiring plan'!$F$32,0)</f>
        <v>0</v>
      </c>
      <c r="AU36" s="33" t="n">
        <f aca="false">IF(AND(N('Hiring plan'!$F$32)&gt;0,AU$3&gt;='Hiring plan'!$G$32,AU$3&lt;=IF('Hiring plan'!$H$32="",999,'Hiring plan'!$H$32)),'Hiring plan'!$F$32,0)</f>
        <v>0</v>
      </c>
      <c r="AV36" s="33" t="n">
        <f aca="false">IF(AND(N('Hiring plan'!$F$32)&gt;0,AV$3&gt;='Hiring plan'!$G$32,AV$3&lt;=IF('Hiring plan'!$H$32="",999,'Hiring plan'!$H$32)),'Hiring plan'!$F$32,0)</f>
        <v>0</v>
      </c>
      <c r="AW36" s="33" t="n">
        <f aca="false">IF(AND(N('Hiring plan'!$F$32)&gt;0,AW$3&gt;='Hiring plan'!$G$32,AW$3&lt;=IF('Hiring plan'!$H$32="",999,'Hiring plan'!$H$32)),'Hiring plan'!$F$32,0)</f>
        <v>0</v>
      </c>
      <c r="AX36" s="33" t="n">
        <f aca="false">IF(AND(N('Hiring plan'!$F$32)&gt;0,AX$3&gt;='Hiring plan'!$G$32,AX$3&lt;=IF('Hiring plan'!$H$32="",999,'Hiring plan'!$H$32)),'Hiring plan'!$F$32,0)</f>
        <v>0</v>
      </c>
      <c r="AY36" s="33" t="n">
        <f aca="false">IF(AND(N('Hiring plan'!$F$32)&gt;0,AY$3&gt;='Hiring plan'!$G$32,AY$3&lt;=IF('Hiring plan'!$H$32="",999,'Hiring plan'!$H$32)),'Hiring plan'!$F$32,0)</f>
        <v>0</v>
      </c>
      <c r="AZ36" s="33" t="n">
        <f aca="false">IF(AND(N('Hiring plan'!$F$32)&gt;0,AZ$3&gt;='Hiring plan'!$G$32,AZ$3&lt;=IF('Hiring plan'!$H$32="",999,'Hiring plan'!$H$32)),'Hiring plan'!$F$32,0)</f>
        <v>0</v>
      </c>
      <c r="BA36" s="33" t="n">
        <f aca="false">IF(AND(N('Hiring plan'!$F$32)&gt;0,BA$3&gt;='Hiring plan'!$G$32,BA$3&lt;=IF('Hiring plan'!$H$32="",999,'Hiring plan'!$H$32)),'Hiring plan'!$F$32,0)</f>
        <v>0</v>
      </c>
      <c r="BB36" s="33" t="n">
        <f aca="false">IF(AND(N('Hiring plan'!$F$32)&gt;0,BB$3&gt;='Hiring plan'!$G$32,BB$3&lt;=IF('Hiring plan'!$H$32="",999,'Hiring plan'!$H$32)),'Hiring plan'!$F$32,0)</f>
        <v>0</v>
      </c>
      <c r="BC36" s="33" t="n">
        <f aca="false">IF(AND(N('Hiring plan'!$F$32)&gt;0,BC$3&gt;='Hiring plan'!$G$32,BC$3&lt;=IF('Hiring plan'!$H$32="",999,'Hiring plan'!$H$32)),'Hiring plan'!$F$32,0)</f>
        <v>0</v>
      </c>
      <c r="BD36" s="33" t="n">
        <f aca="false">IF(AND(N('Hiring plan'!$F$32)&gt;0,BD$3&gt;='Hiring plan'!$G$32,BD$3&lt;=IF('Hiring plan'!$H$32="",999,'Hiring plan'!$H$32)),'Hiring plan'!$F$32,0)</f>
        <v>0</v>
      </c>
      <c r="BE36" s="33" t="n">
        <f aca="false">IF(AND(N('Hiring plan'!$F$32)&gt;0,BE$3&gt;='Hiring plan'!$G$32,BE$3&lt;=IF('Hiring plan'!$H$32="",999,'Hiring plan'!$H$32)),'Hiring plan'!$F$32,0)</f>
        <v>0</v>
      </c>
      <c r="BF36" s="33" t="n">
        <f aca="false">IF(AND(N('Hiring plan'!$F$32)&gt;0,BF$3&gt;='Hiring plan'!$G$32,BF$3&lt;=IF('Hiring plan'!$H$32="",999,'Hiring plan'!$H$32)),'Hiring plan'!$F$32,0)</f>
        <v>0</v>
      </c>
      <c r="BG36" s="33" t="n">
        <f aca="false">IF(AND(N('Hiring plan'!$F$32)&gt;0,BG$3&gt;='Hiring plan'!$G$32,BG$3&lt;=IF('Hiring plan'!$H$32="",999,'Hiring plan'!$H$32)),'Hiring plan'!$F$32,0)</f>
        <v>0</v>
      </c>
      <c r="BH36" s="33" t="n">
        <f aca="false">IF(AND(N('Hiring plan'!$F$32)&gt;0,BH$3&gt;='Hiring plan'!$G$32,BH$3&lt;=IF('Hiring plan'!$H$32="",999,'Hiring plan'!$H$32)),'Hiring plan'!$F$32,0)</f>
        <v>0</v>
      </c>
      <c r="BI36" s="33" t="n">
        <f aca="false">IF(AND(N('Hiring plan'!$F$32)&gt;0,BI$3&gt;='Hiring plan'!$G$32,BI$3&lt;=IF('Hiring plan'!$H$32="",999,'Hiring plan'!$H$32)),'Hiring plan'!$F$32,0)</f>
        <v>0</v>
      </c>
      <c r="BJ36" s="33" t="n">
        <f aca="false">IF(AND(N('Hiring plan'!$F$32)&gt;0,BJ$3&gt;='Hiring plan'!$G$32,BJ$3&lt;=IF('Hiring plan'!$H$32="",999,'Hiring plan'!$H$32)),'Hiring plan'!$F$32,0)</f>
        <v>0</v>
      </c>
      <c r="BK36" s="33" t="n">
        <f aca="false">IF(AND(N('Hiring plan'!$F$32)&gt;0,BK$3&gt;='Hiring plan'!$G$32,BK$3&lt;=IF('Hiring plan'!$H$32="",999,'Hiring plan'!$H$32)),'Hiring plan'!$F$32,0)</f>
        <v>0</v>
      </c>
      <c r="BL36" s="33" t="n">
        <f aca="false">IF(AND(N('Hiring plan'!$F$32)&gt;0,BL$3&gt;='Hiring plan'!$G$32,BL$3&lt;=IF('Hiring plan'!$H$32="",999,'Hiring plan'!$H$32)),'Hiring plan'!$F$32,0)</f>
        <v>0</v>
      </c>
    </row>
    <row r="38" customFormat="false" ht="15" hidden="false" customHeight="true" outlineLevel="0" collapsed="false">
      <c r="A38" s="11" t="s">
        <v>1135</v>
      </c>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row>
    <row r="39" customFormat="false" ht="15" hidden="false" customHeight="true" outlineLevel="0" collapsed="false">
      <c r="A39" s="13" t="str">
        <f aca="false">A9</f>
        <v>CEO (full salary from year 2) · SN</v>
      </c>
      <c r="B39" s="15" t="s">
        <v>77</v>
      </c>
      <c r="D39" s="56" t="n">
        <f aca="false">SUM(E39:BL39)</f>
        <v>176499618.75</v>
      </c>
      <c r="E39" s="33" t="n">
        <f aca="false">E9*'Hiring plan'!$K$5*(1+Salary_Raise)^(E$5-1)</f>
        <v>0</v>
      </c>
      <c r="F39" s="33" t="n">
        <f aca="false">F9*'Hiring plan'!$K$5*(1+Salary_Raise)^(F$5-1)</f>
        <v>0</v>
      </c>
      <c r="G39" s="33" t="n">
        <f aca="false">G9*'Hiring plan'!$K$5*(1+Salary_Raise)^(G$5-1)</f>
        <v>0</v>
      </c>
      <c r="H39" s="33" t="n">
        <f aca="false">H9*'Hiring plan'!$K$5*(1+Salary_Raise)^(H$5-1)</f>
        <v>0</v>
      </c>
      <c r="I39" s="33" t="n">
        <f aca="false">I9*'Hiring plan'!$K$5*(1+Salary_Raise)^(I$5-1)</f>
        <v>0</v>
      </c>
      <c r="J39" s="33" t="n">
        <f aca="false">J9*'Hiring plan'!$K$5*(1+Salary_Raise)^(J$5-1)</f>
        <v>0</v>
      </c>
      <c r="K39" s="33" t="n">
        <f aca="false">K9*'Hiring plan'!$K$5*(1+Salary_Raise)^(K$5-1)</f>
        <v>0</v>
      </c>
      <c r="L39" s="33" t="n">
        <f aca="false">L9*'Hiring plan'!$K$5*(1+Salary_Raise)^(L$5-1)</f>
        <v>0</v>
      </c>
      <c r="M39" s="33" t="n">
        <f aca="false">M9*'Hiring plan'!$K$5*(1+Salary_Raise)^(M$5-1)</f>
        <v>0</v>
      </c>
      <c r="N39" s="33" t="n">
        <f aca="false">N9*'Hiring plan'!$K$5*(1+Salary_Raise)^(N$5-1)</f>
        <v>0</v>
      </c>
      <c r="O39" s="33" t="n">
        <f aca="false">O9*'Hiring plan'!$K$5*(1+Salary_Raise)^(O$5-1)</f>
        <v>0</v>
      </c>
      <c r="P39" s="33" t="n">
        <f aca="false">P9*'Hiring plan'!$K$5*(1+Salary_Raise)^(P$5-1)</f>
        <v>0</v>
      </c>
      <c r="Q39" s="33" t="n">
        <f aca="false">Q9*'Hiring plan'!$K$5*(1+Salary_Raise)^(Q$5-1)</f>
        <v>3412500</v>
      </c>
      <c r="R39" s="33" t="n">
        <f aca="false">R9*'Hiring plan'!$K$5*(1+Salary_Raise)^(R$5-1)</f>
        <v>3412500</v>
      </c>
      <c r="S39" s="33" t="n">
        <f aca="false">S9*'Hiring plan'!$K$5*(1+Salary_Raise)^(S$5-1)</f>
        <v>3412500</v>
      </c>
      <c r="T39" s="33" t="n">
        <f aca="false">T9*'Hiring plan'!$K$5*(1+Salary_Raise)^(T$5-1)</f>
        <v>3412500</v>
      </c>
      <c r="U39" s="33" t="n">
        <f aca="false">U9*'Hiring plan'!$K$5*(1+Salary_Raise)^(U$5-1)</f>
        <v>3412500</v>
      </c>
      <c r="V39" s="33" t="n">
        <f aca="false">V9*'Hiring plan'!$K$5*(1+Salary_Raise)^(V$5-1)</f>
        <v>3412500</v>
      </c>
      <c r="W39" s="33" t="n">
        <f aca="false">W9*'Hiring plan'!$K$5*(1+Salary_Raise)^(W$5-1)</f>
        <v>3412500</v>
      </c>
      <c r="X39" s="33" t="n">
        <f aca="false">X9*'Hiring plan'!$K$5*(1+Salary_Raise)^(X$5-1)</f>
        <v>3412500</v>
      </c>
      <c r="Y39" s="33" t="n">
        <f aca="false">Y9*'Hiring plan'!$K$5*(1+Salary_Raise)^(Y$5-1)</f>
        <v>3412500</v>
      </c>
      <c r="Z39" s="33" t="n">
        <f aca="false">Z9*'Hiring plan'!$K$5*(1+Salary_Raise)^(Z$5-1)</f>
        <v>3412500</v>
      </c>
      <c r="AA39" s="33" t="n">
        <f aca="false">AA9*'Hiring plan'!$K$5*(1+Salary_Raise)^(AA$5-1)</f>
        <v>3412500</v>
      </c>
      <c r="AB39" s="33" t="n">
        <f aca="false">AB9*'Hiring plan'!$K$5*(1+Salary_Raise)^(AB$5-1)</f>
        <v>3412500</v>
      </c>
      <c r="AC39" s="33" t="n">
        <f aca="false">AC9*'Hiring plan'!$K$5*(1+Salary_Raise)^(AC$5-1)</f>
        <v>3583125</v>
      </c>
      <c r="AD39" s="33" t="n">
        <f aca="false">AD9*'Hiring plan'!$K$5*(1+Salary_Raise)^(AD$5-1)</f>
        <v>3583125</v>
      </c>
      <c r="AE39" s="33" t="n">
        <f aca="false">AE9*'Hiring plan'!$K$5*(1+Salary_Raise)^(AE$5-1)</f>
        <v>3583125</v>
      </c>
      <c r="AF39" s="33" t="n">
        <f aca="false">AF9*'Hiring plan'!$K$5*(1+Salary_Raise)^(AF$5-1)</f>
        <v>3583125</v>
      </c>
      <c r="AG39" s="33" t="n">
        <f aca="false">AG9*'Hiring plan'!$K$5*(1+Salary_Raise)^(AG$5-1)</f>
        <v>3583125</v>
      </c>
      <c r="AH39" s="33" t="n">
        <f aca="false">AH9*'Hiring plan'!$K$5*(1+Salary_Raise)^(AH$5-1)</f>
        <v>3583125</v>
      </c>
      <c r="AI39" s="33" t="n">
        <f aca="false">AI9*'Hiring plan'!$K$5*(1+Salary_Raise)^(AI$5-1)</f>
        <v>3583125</v>
      </c>
      <c r="AJ39" s="33" t="n">
        <f aca="false">AJ9*'Hiring plan'!$K$5*(1+Salary_Raise)^(AJ$5-1)</f>
        <v>3583125</v>
      </c>
      <c r="AK39" s="33" t="n">
        <f aca="false">AK9*'Hiring plan'!$K$5*(1+Salary_Raise)^(AK$5-1)</f>
        <v>3583125</v>
      </c>
      <c r="AL39" s="33" t="n">
        <f aca="false">AL9*'Hiring plan'!$K$5*(1+Salary_Raise)^(AL$5-1)</f>
        <v>3583125</v>
      </c>
      <c r="AM39" s="33" t="n">
        <f aca="false">AM9*'Hiring plan'!$K$5*(1+Salary_Raise)^(AM$5-1)</f>
        <v>3583125</v>
      </c>
      <c r="AN39" s="33" t="n">
        <f aca="false">AN9*'Hiring plan'!$K$5*(1+Salary_Raise)^(AN$5-1)</f>
        <v>3583125</v>
      </c>
      <c r="AO39" s="33" t="n">
        <f aca="false">AO9*'Hiring plan'!$K$5*(1+Salary_Raise)^(AO$5-1)</f>
        <v>3762281.25</v>
      </c>
      <c r="AP39" s="33" t="n">
        <f aca="false">AP9*'Hiring plan'!$K$5*(1+Salary_Raise)^(AP$5-1)</f>
        <v>3762281.25</v>
      </c>
      <c r="AQ39" s="33" t="n">
        <f aca="false">AQ9*'Hiring plan'!$K$5*(1+Salary_Raise)^(AQ$5-1)</f>
        <v>3762281.25</v>
      </c>
      <c r="AR39" s="33" t="n">
        <f aca="false">AR9*'Hiring plan'!$K$5*(1+Salary_Raise)^(AR$5-1)</f>
        <v>3762281.25</v>
      </c>
      <c r="AS39" s="33" t="n">
        <f aca="false">AS9*'Hiring plan'!$K$5*(1+Salary_Raise)^(AS$5-1)</f>
        <v>3762281.25</v>
      </c>
      <c r="AT39" s="33" t="n">
        <f aca="false">AT9*'Hiring plan'!$K$5*(1+Salary_Raise)^(AT$5-1)</f>
        <v>3762281.25</v>
      </c>
      <c r="AU39" s="33" t="n">
        <f aca="false">AU9*'Hiring plan'!$K$5*(1+Salary_Raise)^(AU$5-1)</f>
        <v>3762281.25</v>
      </c>
      <c r="AV39" s="33" t="n">
        <f aca="false">AV9*'Hiring plan'!$K$5*(1+Salary_Raise)^(AV$5-1)</f>
        <v>3762281.25</v>
      </c>
      <c r="AW39" s="33" t="n">
        <f aca="false">AW9*'Hiring plan'!$K$5*(1+Salary_Raise)^(AW$5-1)</f>
        <v>3762281.25</v>
      </c>
      <c r="AX39" s="33" t="n">
        <f aca="false">AX9*'Hiring plan'!$K$5*(1+Salary_Raise)^(AX$5-1)</f>
        <v>3762281.25</v>
      </c>
      <c r="AY39" s="33" t="n">
        <f aca="false">AY9*'Hiring plan'!$K$5*(1+Salary_Raise)^(AY$5-1)</f>
        <v>3762281.25</v>
      </c>
      <c r="AZ39" s="33" t="n">
        <f aca="false">AZ9*'Hiring plan'!$K$5*(1+Salary_Raise)^(AZ$5-1)</f>
        <v>3762281.25</v>
      </c>
      <c r="BA39" s="33" t="n">
        <f aca="false">BA9*'Hiring plan'!$K$5*(1+Salary_Raise)^(BA$5-1)</f>
        <v>3950395.3125</v>
      </c>
      <c r="BB39" s="33" t="n">
        <f aca="false">BB9*'Hiring plan'!$K$5*(1+Salary_Raise)^(BB$5-1)</f>
        <v>3950395.3125</v>
      </c>
      <c r="BC39" s="33" t="n">
        <f aca="false">BC9*'Hiring plan'!$K$5*(1+Salary_Raise)^(BC$5-1)</f>
        <v>3950395.3125</v>
      </c>
      <c r="BD39" s="33" t="n">
        <f aca="false">BD9*'Hiring plan'!$K$5*(1+Salary_Raise)^(BD$5-1)</f>
        <v>3950395.3125</v>
      </c>
      <c r="BE39" s="33" t="n">
        <f aca="false">BE9*'Hiring plan'!$K$5*(1+Salary_Raise)^(BE$5-1)</f>
        <v>3950395.3125</v>
      </c>
      <c r="BF39" s="33" t="n">
        <f aca="false">BF9*'Hiring plan'!$K$5*(1+Salary_Raise)^(BF$5-1)</f>
        <v>3950395.3125</v>
      </c>
      <c r="BG39" s="33" t="n">
        <f aca="false">BG9*'Hiring plan'!$K$5*(1+Salary_Raise)^(BG$5-1)</f>
        <v>3950395.3125</v>
      </c>
      <c r="BH39" s="33" t="n">
        <f aca="false">BH9*'Hiring plan'!$K$5*(1+Salary_Raise)^(BH$5-1)</f>
        <v>3950395.3125</v>
      </c>
      <c r="BI39" s="33" t="n">
        <f aca="false">BI9*'Hiring plan'!$K$5*(1+Salary_Raise)^(BI$5-1)</f>
        <v>3950395.3125</v>
      </c>
      <c r="BJ39" s="33" t="n">
        <f aca="false">BJ9*'Hiring plan'!$K$5*(1+Salary_Raise)^(BJ$5-1)</f>
        <v>3950395.3125</v>
      </c>
      <c r="BK39" s="33" t="n">
        <f aca="false">BK9*'Hiring plan'!$K$5*(1+Salary_Raise)^(BK$5-1)</f>
        <v>3950395.3125</v>
      </c>
      <c r="BL39" s="33" t="n">
        <f aca="false">BL9*'Hiring plan'!$K$5*(1+Salary_Raise)^(BL$5-1)</f>
        <v>3950395.3125</v>
      </c>
    </row>
    <row r="40" customFormat="false" ht="15" hidden="false" customHeight="true" outlineLevel="0" collapsed="false">
      <c r="A40" s="13" t="str">
        <f aca="false">A10</f>
        <v>CTO (also codes) · SN</v>
      </c>
      <c r="B40" s="15" t="s">
        <v>77</v>
      </c>
      <c r="D40" s="56" t="n">
        <f aca="false">SUM(E40:BL40)</f>
        <v>215499618.75</v>
      </c>
      <c r="E40" s="33" t="n">
        <f aca="false">E10*'Hiring plan'!$K$6*(1+Salary_Raise)^(E$5-1)</f>
        <v>3250000</v>
      </c>
      <c r="F40" s="33" t="n">
        <f aca="false">F10*'Hiring plan'!$K$6*(1+Salary_Raise)^(F$5-1)</f>
        <v>3250000</v>
      </c>
      <c r="G40" s="33" t="n">
        <f aca="false">G10*'Hiring plan'!$K$6*(1+Salary_Raise)^(G$5-1)</f>
        <v>3250000</v>
      </c>
      <c r="H40" s="33" t="n">
        <f aca="false">H10*'Hiring plan'!$K$6*(1+Salary_Raise)^(H$5-1)</f>
        <v>3250000</v>
      </c>
      <c r="I40" s="33" t="n">
        <f aca="false">I10*'Hiring plan'!$K$6*(1+Salary_Raise)^(I$5-1)</f>
        <v>3250000</v>
      </c>
      <c r="J40" s="33" t="n">
        <f aca="false">J10*'Hiring plan'!$K$6*(1+Salary_Raise)^(J$5-1)</f>
        <v>3250000</v>
      </c>
      <c r="K40" s="33" t="n">
        <f aca="false">K10*'Hiring plan'!$K$6*(1+Salary_Raise)^(K$5-1)</f>
        <v>3250000</v>
      </c>
      <c r="L40" s="33" t="n">
        <f aca="false">L10*'Hiring plan'!$K$6*(1+Salary_Raise)^(L$5-1)</f>
        <v>3250000</v>
      </c>
      <c r="M40" s="33" t="n">
        <f aca="false">M10*'Hiring plan'!$K$6*(1+Salary_Raise)^(M$5-1)</f>
        <v>3250000</v>
      </c>
      <c r="N40" s="33" t="n">
        <f aca="false">N10*'Hiring plan'!$K$6*(1+Salary_Raise)^(N$5-1)</f>
        <v>3250000</v>
      </c>
      <c r="O40" s="33" t="n">
        <f aca="false">O10*'Hiring plan'!$K$6*(1+Salary_Raise)^(O$5-1)</f>
        <v>3250000</v>
      </c>
      <c r="P40" s="33" t="n">
        <f aca="false">P10*'Hiring plan'!$K$6*(1+Salary_Raise)^(P$5-1)</f>
        <v>3250000</v>
      </c>
      <c r="Q40" s="33" t="n">
        <f aca="false">Q10*'Hiring plan'!$K$6*(1+Salary_Raise)^(Q$5-1)</f>
        <v>3412500</v>
      </c>
      <c r="R40" s="33" t="n">
        <f aca="false">R10*'Hiring plan'!$K$6*(1+Salary_Raise)^(R$5-1)</f>
        <v>3412500</v>
      </c>
      <c r="S40" s="33" t="n">
        <f aca="false">S10*'Hiring plan'!$K$6*(1+Salary_Raise)^(S$5-1)</f>
        <v>3412500</v>
      </c>
      <c r="T40" s="33" t="n">
        <f aca="false">T10*'Hiring plan'!$K$6*(1+Salary_Raise)^(T$5-1)</f>
        <v>3412500</v>
      </c>
      <c r="U40" s="33" t="n">
        <f aca="false">U10*'Hiring plan'!$K$6*(1+Salary_Raise)^(U$5-1)</f>
        <v>3412500</v>
      </c>
      <c r="V40" s="33" t="n">
        <f aca="false">V10*'Hiring plan'!$K$6*(1+Salary_Raise)^(V$5-1)</f>
        <v>3412500</v>
      </c>
      <c r="W40" s="33" t="n">
        <f aca="false">W10*'Hiring plan'!$K$6*(1+Salary_Raise)^(W$5-1)</f>
        <v>3412500</v>
      </c>
      <c r="X40" s="33" t="n">
        <f aca="false">X10*'Hiring plan'!$K$6*(1+Salary_Raise)^(X$5-1)</f>
        <v>3412500</v>
      </c>
      <c r="Y40" s="33" t="n">
        <f aca="false">Y10*'Hiring plan'!$K$6*(1+Salary_Raise)^(Y$5-1)</f>
        <v>3412500</v>
      </c>
      <c r="Z40" s="33" t="n">
        <f aca="false">Z10*'Hiring plan'!$K$6*(1+Salary_Raise)^(Z$5-1)</f>
        <v>3412500</v>
      </c>
      <c r="AA40" s="33" t="n">
        <f aca="false">AA10*'Hiring plan'!$K$6*(1+Salary_Raise)^(AA$5-1)</f>
        <v>3412500</v>
      </c>
      <c r="AB40" s="33" t="n">
        <f aca="false">AB10*'Hiring plan'!$K$6*(1+Salary_Raise)^(AB$5-1)</f>
        <v>3412500</v>
      </c>
      <c r="AC40" s="33" t="n">
        <f aca="false">AC10*'Hiring plan'!$K$6*(1+Salary_Raise)^(AC$5-1)</f>
        <v>3583125</v>
      </c>
      <c r="AD40" s="33" t="n">
        <f aca="false">AD10*'Hiring plan'!$K$6*(1+Salary_Raise)^(AD$5-1)</f>
        <v>3583125</v>
      </c>
      <c r="AE40" s="33" t="n">
        <f aca="false">AE10*'Hiring plan'!$K$6*(1+Salary_Raise)^(AE$5-1)</f>
        <v>3583125</v>
      </c>
      <c r="AF40" s="33" t="n">
        <f aca="false">AF10*'Hiring plan'!$K$6*(1+Salary_Raise)^(AF$5-1)</f>
        <v>3583125</v>
      </c>
      <c r="AG40" s="33" t="n">
        <f aca="false">AG10*'Hiring plan'!$K$6*(1+Salary_Raise)^(AG$5-1)</f>
        <v>3583125</v>
      </c>
      <c r="AH40" s="33" t="n">
        <f aca="false">AH10*'Hiring plan'!$K$6*(1+Salary_Raise)^(AH$5-1)</f>
        <v>3583125</v>
      </c>
      <c r="AI40" s="33" t="n">
        <f aca="false">AI10*'Hiring plan'!$K$6*(1+Salary_Raise)^(AI$5-1)</f>
        <v>3583125</v>
      </c>
      <c r="AJ40" s="33" t="n">
        <f aca="false">AJ10*'Hiring plan'!$K$6*(1+Salary_Raise)^(AJ$5-1)</f>
        <v>3583125</v>
      </c>
      <c r="AK40" s="33" t="n">
        <f aca="false">AK10*'Hiring plan'!$K$6*(1+Salary_Raise)^(AK$5-1)</f>
        <v>3583125</v>
      </c>
      <c r="AL40" s="33" t="n">
        <f aca="false">AL10*'Hiring plan'!$K$6*(1+Salary_Raise)^(AL$5-1)</f>
        <v>3583125</v>
      </c>
      <c r="AM40" s="33" t="n">
        <f aca="false">AM10*'Hiring plan'!$K$6*(1+Salary_Raise)^(AM$5-1)</f>
        <v>3583125</v>
      </c>
      <c r="AN40" s="33" t="n">
        <f aca="false">AN10*'Hiring plan'!$K$6*(1+Salary_Raise)^(AN$5-1)</f>
        <v>3583125</v>
      </c>
      <c r="AO40" s="33" t="n">
        <f aca="false">AO10*'Hiring plan'!$K$6*(1+Salary_Raise)^(AO$5-1)</f>
        <v>3762281.25</v>
      </c>
      <c r="AP40" s="33" t="n">
        <f aca="false">AP10*'Hiring plan'!$K$6*(1+Salary_Raise)^(AP$5-1)</f>
        <v>3762281.25</v>
      </c>
      <c r="AQ40" s="33" t="n">
        <f aca="false">AQ10*'Hiring plan'!$K$6*(1+Salary_Raise)^(AQ$5-1)</f>
        <v>3762281.25</v>
      </c>
      <c r="AR40" s="33" t="n">
        <f aca="false">AR10*'Hiring plan'!$K$6*(1+Salary_Raise)^(AR$5-1)</f>
        <v>3762281.25</v>
      </c>
      <c r="AS40" s="33" t="n">
        <f aca="false">AS10*'Hiring plan'!$K$6*(1+Salary_Raise)^(AS$5-1)</f>
        <v>3762281.25</v>
      </c>
      <c r="AT40" s="33" t="n">
        <f aca="false">AT10*'Hiring plan'!$K$6*(1+Salary_Raise)^(AT$5-1)</f>
        <v>3762281.25</v>
      </c>
      <c r="AU40" s="33" t="n">
        <f aca="false">AU10*'Hiring plan'!$K$6*(1+Salary_Raise)^(AU$5-1)</f>
        <v>3762281.25</v>
      </c>
      <c r="AV40" s="33" t="n">
        <f aca="false">AV10*'Hiring plan'!$K$6*(1+Salary_Raise)^(AV$5-1)</f>
        <v>3762281.25</v>
      </c>
      <c r="AW40" s="33" t="n">
        <f aca="false">AW10*'Hiring plan'!$K$6*(1+Salary_Raise)^(AW$5-1)</f>
        <v>3762281.25</v>
      </c>
      <c r="AX40" s="33" t="n">
        <f aca="false">AX10*'Hiring plan'!$K$6*(1+Salary_Raise)^(AX$5-1)</f>
        <v>3762281.25</v>
      </c>
      <c r="AY40" s="33" t="n">
        <f aca="false">AY10*'Hiring plan'!$K$6*(1+Salary_Raise)^(AY$5-1)</f>
        <v>3762281.25</v>
      </c>
      <c r="AZ40" s="33" t="n">
        <f aca="false">AZ10*'Hiring plan'!$K$6*(1+Salary_Raise)^(AZ$5-1)</f>
        <v>3762281.25</v>
      </c>
      <c r="BA40" s="33" t="n">
        <f aca="false">BA10*'Hiring plan'!$K$6*(1+Salary_Raise)^(BA$5-1)</f>
        <v>3950395.3125</v>
      </c>
      <c r="BB40" s="33" t="n">
        <f aca="false">BB10*'Hiring plan'!$K$6*(1+Salary_Raise)^(BB$5-1)</f>
        <v>3950395.3125</v>
      </c>
      <c r="BC40" s="33" t="n">
        <f aca="false">BC10*'Hiring plan'!$K$6*(1+Salary_Raise)^(BC$5-1)</f>
        <v>3950395.3125</v>
      </c>
      <c r="BD40" s="33" t="n">
        <f aca="false">BD10*'Hiring plan'!$K$6*(1+Salary_Raise)^(BD$5-1)</f>
        <v>3950395.3125</v>
      </c>
      <c r="BE40" s="33" t="n">
        <f aca="false">BE10*'Hiring plan'!$K$6*(1+Salary_Raise)^(BE$5-1)</f>
        <v>3950395.3125</v>
      </c>
      <c r="BF40" s="33" t="n">
        <f aca="false">BF10*'Hiring plan'!$K$6*(1+Salary_Raise)^(BF$5-1)</f>
        <v>3950395.3125</v>
      </c>
      <c r="BG40" s="33" t="n">
        <f aca="false">BG10*'Hiring plan'!$K$6*(1+Salary_Raise)^(BG$5-1)</f>
        <v>3950395.3125</v>
      </c>
      <c r="BH40" s="33" t="n">
        <f aca="false">BH10*'Hiring plan'!$K$6*(1+Salary_Raise)^(BH$5-1)</f>
        <v>3950395.3125</v>
      </c>
      <c r="BI40" s="33" t="n">
        <f aca="false">BI10*'Hiring plan'!$K$6*(1+Salary_Raise)^(BI$5-1)</f>
        <v>3950395.3125</v>
      </c>
      <c r="BJ40" s="33" t="n">
        <f aca="false">BJ10*'Hiring plan'!$K$6*(1+Salary_Raise)^(BJ$5-1)</f>
        <v>3950395.3125</v>
      </c>
      <c r="BK40" s="33" t="n">
        <f aca="false">BK10*'Hiring plan'!$K$6*(1+Salary_Raise)^(BK$5-1)</f>
        <v>3950395.3125</v>
      </c>
      <c r="BL40" s="33" t="n">
        <f aca="false">BL10*'Hiring plan'!$K$6*(1+Salary_Raise)^(BL$5-1)</f>
        <v>3950395.3125</v>
      </c>
    </row>
    <row r="41" customFormat="false" ht="15" hidden="false" customHeight="true" outlineLevel="0" collapsed="false">
      <c r="A41" s="13" t="str">
        <f aca="false">A11</f>
        <v>Financial expert (finance, partners, credit lead) · SN</v>
      </c>
      <c r="B41" s="15" t="s">
        <v>77</v>
      </c>
      <c r="D41" s="56" t="n">
        <f aca="false">SUM(E41:BL41)</f>
        <v>129299771.25</v>
      </c>
      <c r="E41" s="33" t="n">
        <f aca="false">E11*'Hiring plan'!$K$7*(1+Salary_Raise)^(E$5-1)</f>
        <v>1950000</v>
      </c>
      <c r="F41" s="33" t="n">
        <f aca="false">F11*'Hiring plan'!$K$7*(1+Salary_Raise)^(F$5-1)</f>
        <v>1950000</v>
      </c>
      <c r="G41" s="33" t="n">
        <f aca="false">G11*'Hiring plan'!$K$7*(1+Salary_Raise)^(G$5-1)</f>
        <v>1950000</v>
      </c>
      <c r="H41" s="33" t="n">
        <f aca="false">H11*'Hiring plan'!$K$7*(1+Salary_Raise)^(H$5-1)</f>
        <v>1950000</v>
      </c>
      <c r="I41" s="33" t="n">
        <f aca="false">I11*'Hiring plan'!$K$7*(1+Salary_Raise)^(I$5-1)</f>
        <v>1950000</v>
      </c>
      <c r="J41" s="33" t="n">
        <f aca="false">J11*'Hiring plan'!$K$7*(1+Salary_Raise)^(J$5-1)</f>
        <v>1950000</v>
      </c>
      <c r="K41" s="33" t="n">
        <f aca="false">K11*'Hiring plan'!$K$7*(1+Salary_Raise)^(K$5-1)</f>
        <v>1950000</v>
      </c>
      <c r="L41" s="33" t="n">
        <f aca="false">L11*'Hiring plan'!$K$7*(1+Salary_Raise)^(L$5-1)</f>
        <v>1950000</v>
      </c>
      <c r="M41" s="33" t="n">
        <f aca="false">M11*'Hiring plan'!$K$7*(1+Salary_Raise)^(M$5-1)</f>
        <v>1950000</v>
      </c>
      <c r="N41" s="33" t="n">
        <f aca="false">N11*'Hiring plan'!$K$7*(1+Salary_Raise)^(N$5-1)</f>
        <v>1950000</v>
      </c>
      <c r="O41" s="33" t="n">
        <f aca="false">O11*'Hiring plan'!$K$7*(1+Salary_Raise)^(O$5-1)</f>
        <v>1950000</v>
      </c>
      <c r="P41" s="33" t="n">
        <f aca="false">P11*'Hiring plan'!$K$7*(1+Salary_Raise)^(P$5-1)</f>
        <v>1950000</v>
      </c>
      <c r="Q41" s="33" t="n">
        <f aca="false">Q11*'Hiring plan'!$K$7*(1+Salary_Raise)^(Q$5-1)</f>
        <v>2047500</v>
      </c>
      <c r="R41" s="33" t="n">
        <f aca="false">R11*'Hiring plan'!$K$7*(1+Salary_Raise)^(R$5-1)</f>
        <v>2047500</v>
      </c>
      <c r="S41" s="33" t="n">
        <f aca="false">S11*'Hiring plan'!$K$7*(1+Salary_Raise)^(S$5-1)</f>
        <v>2047500</v>
      </c>
      <c r="T41" s="33" t="n">
        <f aca="false">T11*'Hiring plan'!$K$7*(1+Salary_Raise)^(T$5-1)</f>
        <v>2047500</v>
      </c>
      <c r="U41" s="33" t="n">
        <f aca="false">U11*'Hiring plan'!$K$7*(1+Salary_Raise)^(U$5-1)</f>
        <v>2047500</v>
      </c>
      <c r="V41" s="33" t="n">
        <f aca="false">V11*'Hiring plan'!$K$7*(1+Salary_Raise)^(V$5-1)</f>
        <v>2047500</v>
      </c>
      <c r="W41" s="33" t="n">
        <f aca="false">W11*'Hiring plan'!$K$7*(1+Salary_Raise)^(W$5-1)</f>
        <v>2047500</v>
      </c>
      <c r="X41" s="33" t="n">
        <f aca="false">X11*'Hiring plan'!$K$7*(1+Salary_Raise)^(X$5-1)</f>
        <v>2047500</v>
      </c>
      <c r="Y41" s="33" t="n">
        <f aca="false">Y11*'Hiring plan'!$K$7*(1+Salary_Raise)^(Y$5-1)</f>
        <v>2047500</v>
      </c>
      <c r="Z41" s="33" t="n">
        <f aca="false">Z11*'Hiring plan'!$K$7*(1+Salary_Raise)^(Z$5-1)</f>
        <v>2047500</v>
      </c>
      <c r="AA41" s="33" t="n">
        <f aca="false">AA11*'Hiring plan'!$K$7*(1+Salary_Raise)^(AA$5-1)</f>
        <v>2047500</v>
      </c>
      <c r="AB41" s="33" t="n">
        <f aca="false">AB11*'Hiring plan'!$K$7*(1+Salary_Raise)^(AB$5-1)</f>
        <v>2047500</v>
      </c>
      <c r="AC41" s="33" t="n">
        <f aca="false">AC11*'Hiring plan'!$K$7*(1+Salary_Raise)^(AC$5-1)</f>
        <v>2149875</v>
      </c>
      <c r="AD41" s="33" t="n">
        <f aca="false">AD11*'Hiring plan'!$K$7*(1+Salary_Raise)^(AD$5-1)</f>
        <v>2149875</v>
      </c>
      <c r="AE41" s="33" t="n">
        <f aca="false">AE11*'Hiring plan'!$K$7*(1+Salary_Raise)^(AE$5-1)</f>
        <v>2149875</v>
      </c>
      <c r="AF41" s="33" t="n">
        <f aca="false">AF11*'Hiring plan'!$K$7*(1+Salary_Raise)^(AF$5-1)</f>
        <v>2149875</v>
      </c>
      <c r="AG41" s="33" t="n">
        <f aca="false">AG11*'Hiring plan'!$K$7*(1+Salary_Raise)^(AG$5-1)</f>
        <v>2149875</v>
      </c>
      <c r="AH41" s="33" t="n">
        <f aca="false">AH11*'Hiring plan'!$K$7*(1+Salary_Raise)^(AH$5-1)</f>
        <v>2149875</v>
      </c>
      <c r="AI41" s="33" t="n">
        <f aca="false">AI11*'Hiring plan'!$K$7*(1+Salary_Raise)^(AI$5-1)</f>
        <v>2149875</v>
      </c>
      <c r="AJ41" s="33" t="n">
        <f aca="false">AJ11*'Hiring plan'!$K$7*(1+Salary_Raise)^(AJ$5-1)</f>
        <v>2149875</v>
      </c>
      <c r="AK41" s="33" t="n">
        <f aca="false">AK11*'Hiring plan'!$K$7*(1+Salary_Raise)^(AK$5-1)</f>
        <v>2149875</v>
      </c>
      <c r="AL41" s="33" t="n">
        <f aca="false">AL11*'Hiring plan'!$K$7*(1+Salary_Raise)^(AL$5-1)</f>
        <v>2149875</v>
      </c>
      <c r="AM41" s="33" t="n">
        <f aca="false">AM11*'Hiring plan'!$K$7*(1+Salary_Raise)^(AM$5-1)</f>
        <v>2149875</v>
      </c>
      <c r="AN41" s="33" t="n">
        <f aca="false">AN11*'Hiring plan'!$K$7*(1+Salary_Raise)^(AN$5-1)</f>
        <v>2149875</v>
      </c>
      <c r="AO41" s="33" t="n">
        <f aca="false">AO11*'Hiring plan'!$K$7*(1+Salary_Raise)^(AO$5-1)</f>
        <v>2257368.75</v>
      </c>
      <c r="AP41" s="33" t="n">
        <f aca="false">AP11*'Hiring plan'!$K$7*(1+Salary_Raise)^(AP$5-1)</f>
        <v>2257368.75</v>
      </c>
      <c r="AQ41" s="33" t="n">
        <f aca="false">AQ11*'Hiring plan'!$K$7*(1+Salary_Raise)^(AQ$5-1)</f>
        <v>2257368.75</v>
      </c>
      <c r="AR41" s="33" t="n">
        <f aca="false">AR11*'Hiring plan'!$K$7*(1+Salary_Raise)^(AR$5-1)</f>
        <v>2257368.75</v>
      </c>
      <c r="AS41" s="33" t="n">
        <f aca="false">AS11*'Hiring plan'!$K$7*(1+Salary_Raise)^(AS$5-1)</f>
        <v>2257368.75</v>
      </c>
      <c r="AT41" s="33" t="n">
        <f aca="false">AT11*'Hiring plan'!$K$7*(1+Salary_Raise)^(AT$5-1)</f>
        <v>2257368.75</v>
      </c>
      <c r="AU41" s="33" t="n">
        <f aca="false">AU11*'Hiring plan'!$K$7*(1+Salary_Raise)^(AU$5-1)</f>
        <v>2257368.75</v>
      </c>
      <c r="AV41" s="33" t="n">
        <f aca="false">AV11*'Hiring plan'!$K$7*(1+Salary_Raise)^(AV$5-1)</f>
        <v>2257368.75</v>
      </c>
      <c r="AW41" s="33" t="n">
        <f aca="false">AW11*'Hiring plan'!$K$7*(1+Salary_Raise)^(AW$5-1)</f>
        <v>2257368.75</v>
      </c>
      <c r="AX41" s="33" t="n">
        <f aca="false">AX11*'Hiring plan'!$K$7*(1+Salary_Raise)^(AX$5-1)</f>
        <v>2257368.75</v>
      </c>
      <c r="AY41" s="33" t="n">
        <f aca="false">AY11*'Hiring plan'!$K$7*(1+Salary_Raise)^(AY$5-1)</f>
        <v>2257368.75</v>
      </c>
      <c r="AZ41" s="33" t="n">
        <f aca="false">AZ11*'Hiring plan'!$K$7*(1+Salary_Raise)^(AZ$5-1)</f>
        <v>2257368.75</v>
      </c>
      <c r="BA41" s="33" t="n">
        <f aca="false">BA11*'Hiring plan'!$K$7*(1+Salary_Raise)^(BA$5-1)</f>
        <v>2370237.1875</v>
      </c>
      <c r="BB41" s="33" t="n">
        <f aca="false">BB11*'Hiring plan'!$K$7*(1+Salary_Raise)^(BB$5-1)</f>
        <v>2370237.1875</v>
      </c>
      <c r="BC41" s="33" t="n">
        <f aca="false">BC11*'Hiring plan'!$K$7*(1+Salary_Raise)^(BC$5-1)</f>
        <v>2370237.1875</v>
      </c>
      <c r="BD41" s="33" t="n">
        <f aca="false">BD11*'Hiring plan'!$K$7*(1+Salary_Raise)^(BD$5-1)</f>
        <v>2370237.1875</v>
      </c>
      <c r="BE41" s="33" t="n">
        <f aca="false">BE11*'Hiring plan'!$K$7*(1+Salary_Raise)^(BE$5-1)</f>
        <v>2370237.1875</v>
      </c>
      <c r="BF41" s="33" t="n">
        <f aca="false">BF11*'Hiring plan'!$K$7*(1+Salary_Raise)^(BF$5-1)</f>
        <v>2370237.1875</v>
      </c>
      <c r="BG41" s="33" t="n">
        <f aca="false">BG11*'Hiring plan'!$K$7*(1+Salary_Raise)^(BG$5-1)</f>
        <v>2370237.1875</v>
      </c>
      <c r="BH41" s="33" t="n">
        <f aca="false">BH11*'Hiring plan'!$K$7*(1+Salary_Raise)^(BH$5-1)</f>
        <v>2370237.1875</v>
      </c>
      <c r="BI41" s="33" t="n">
        <f aca="false">BI11*'Hiring plan'!$K$7*(1+Salary_Raise)^(BI$5-1)</f>
        <v>2370237.1875</v>
      </c>
      <c r="BJ41" s="33" t="n">
        <f aca="false">BJ11*'Hiring plan'!$K$7*(1+Salary_Raise)^(BJ$5-1)</f>
        <v>2370237.1875</v>
      </c>
      <c r="BK41" s="33" t="n">
        <f aca="false">BK11*'Hiring plan'!$K$7*(1+Salary_Raise)^(BK$5-1)</f>
        <v>2370237.1875</v>
      </c>
      <c r="BL41" s="33" t="n">
        <f aca="false">BL11*'Hiring plan'!$K$7*(1+Salary_Raise)^(BL$5-1)</f>
        <v>2370237.1875</v>
      </c>
    </row>
    <row r="42" customFormat="false" ht="15" hidden="false" customHeight="true" outlineLevel="0" collapsed="false">
      <c r="A42" s="13" t="str">
        <f aca="false">A12</f>
        <v>Sales lead (also sells; incl. bonus) · SN</v>
      </c>
      <c r="B42" s="15" t="s">
        <v>77</v>
      </c>
      <c r="D42" s="56" t="n">
        <f aca="false">SUM(E42:BL42)</f>
        <v>103439817</v>
      </c>
      <c r="E42" s="33" t="n">
        <f aca="false">E12*'Hiring plan'!$K$8*(1+Salary_Raise)^(E$5-1)</f>
        <v>1560000</v>
      </c>
      <c r="F42" s="33" t="n">
        <f aca="false">F12*'Hiring plan'!$K$8*(1+Salary_Raise)^(F$5-1)</f>
        <v>1560000</v>
      </c>
      <c r="G42" s="33" t="n">
        <f aca="false">G12*'Hiring plan'!$K$8*(1+Salary_Raise)^(G$5-1)</f>
        <v>1560000</v>
      </c>
      <c r="H42" s="33" t="n">
        <f aca="false">H12*'Hiring plan'!$K$8*(1+Salary_Raise)^(H$5-1)</f>
        <v>1560000</v>
      </c>
      <c r="I42" s="33" t="n">
        <f aca="false">I12*'Hiring plan'!$K$8*(1+Salary_Raise)^(I$5-1)</f>
        <v>1560000</v>
      </c>
      <c r="J42" s="33" t="n">
        <f aca="false">J12*'Hiring plan'!$K$8*(1+Salary_Raise)^(J$5-1)</f>
        <v>1560000</v>
      </c>
      <c r="K42" s="33" t="n">
        <f aca="false">K12*'Hiring plan'!$K$8*(1+Salary_Raise)^(K$5-1)</f>
        <v>1560000</v>
      </c>
      <c r="L42" s="33" t="n">
        <f aca="false">L12*'Hiring plan'!$K$8*(1+Salary_Raise)^(L$5-1)</f>
        <v>1560000</v>
      </c>
      <c r="M42" s="33" t="n">
        <f aca="false">M12*'Hiring plan'!$K$8*(1+Salary_Raise)^(M$5-1)</f>
        <v>1560000</v>
      </c>
      <c r="N42" s="33" t="n">
        <f aca="false">N12*'Hiring plan'!$K$8*(1+Salary_Raise)^(N$5-1)</f>
        <v>1560000</v>
      </c>
      <c r="O42" s="33" t="n">
        <f aca="false">O12*'Hiring plan'!$K$8*(1+Salary_Raise)^(O$5-1)</f>
        <v>1560000</v>
      </c>
      <c r="P42" s="33" t="n">
        <f aca="false">P12*'Hiring plan'!$K$8*(1+Salary_Raise)^(P$5-1)</f>
        <v>1560000</v>
      </c>
      <c r="Q42" s="33" t="n">
        <f aca="false">Q12*'Hiring plan'!$K$8*(1+Salary_Raise)^(Q$5-1)</f>
        <v>1638000</v>
      </c>
      <c r="R42" s="33" t="n">
        <f aca="false">R12*'Hiring plan'!$K$8*(1+Salary_Raise)^(R$5-1)</f>
        <v>1638000</v>
      </c>
      <c r="S42" s="33" t="n">
        <f aca="false">S12*'Hiring plan'!$K$8*(1+Salary_Raise)^(S$5-1)</f>
        <v>1638000</v>
      </c>
      <c r="T42" s="33" t="n">
        <f aca="false">T12*'Hiring plan'!$K$8*(1+Salary_Raise)^(T$5-1)</f>
        <v>1638000</v>
      </c>
      <c r="U42" s="33" t="n">
        <f aca="false">U12*'Hiring plan'!$K$8*(1+Salary_Raise)^(U$5-1)</f>
        <v>1638000</v>
      </c>
      <c r="V42" s="33" t="n">
        <f aca="false">V12*'Hiring plan'!$K$8*(1+Salary_Raise)^(V$5-1)</f>
        <v>1638000</v>
      </c>
      <c r="W42" s="33" t="n">
        <f aca="false">W12*'Hiring plan'!$K$8*(1+Salary_Raise)^(W$5-1)</f>
        <v>1638000</v>
      </c>
      <c r="X42" s="33" t="n">
        <f aca="false">X12*'Hiring plan'!$K$8*(1+Salary_Raise)^(X$5-1)</f>
        <v>1638000</v>
      </c>
      <c r="Y42" s="33" t="n">
        <f aca="false">Y12*'Hiring plan'!$K$8*(1+Salary_Raise)^(Y$5-1)</f>
        <v>1638000</v>
      </c>
      <c r="Z42" s="33" t="n">
        <f aca="false">Z12*'Hiring plan'!$K$8*(1+Salary_Raise)^(Z$5-1)</f>
        <v>1638000</v>
      </c>
      <c r="AA42" s="33" t="n">
        <f aca="false">AA12*'Hiring plan'!$K$8*(1+Salary_Raise)^(AA$5-1)</f>
        <v>1638000</v>
      </c>
      <c r="AB42" s="33" t="n">
        <f aca="false">AB12*'Hiring plan'!$K$8*(1+Salary_Raise)^(AB$5-1)</f>
        <v>1638000</v>
      </c>
      <c r="AC42" s="33" t="n">
        <f aca="false">AC12*'Hiring plan'!$K$8*(1+Salary_Raise)^(AC$5-1)</f>
        <v>1719900</v>
      </c>
      <c r="AD42" s="33" t="n">
        <f aca="false">AD12*'Hiring plan'!$K$8*(1+Salary_Raise)^(AD$5-1)</f>
        <v>1719900</v>
      </c>
      <c r="AE42" s="33" t="n">
        <f aca="false">AE12*'Hiring plan'!$K$8*(1+Salary_Raise)^(AE$5-1)</f>
        <v>1719900</v>
      </c>
      <c r="AF42" s="33" t="n">
        <f aca="false">AF12*'Hiring plan'!$K$8*(1+Salary_Raise)^(AF$5-1)</f>
        <v>1719900</v>
      </c>
      <c r="AG42" s="33" t="n">
        <f aca="false">AG12*'Hiring plan'!$K$8*(1+Salary_Raise)^(AG$5-1)</f>
        <v>1719900</v>
      </c>
      <c r="AH42" s="33" t="n">
        <f aca="false">AH12*'Hiring plan'!$K$8*(1+Salary_Raise)^(AH$5-1)</f>
        <v>1719900</v>
      </c>
      <c r="AI42" s="33" t="n">
        <f aca="false">AI12*'Hiring plan'!$K$8*(1+Salary_Raise)^(AI$5-1)</f>
        <v>1719900</v>
      </c>
      <c r="AJ42" s="33" t="n">
        <f aca="false">AJ12*'Hiring plan'!$K$8*(1+Salary_Raise)^(AJ$5-1)</f>
        <v>1719900</v>
      </c>
      <c r="AK42" s="33" t="n">
        <f aca="false">AK12*'Hiring plan'!$K$8*(1+Salary_Raise)^(AK$5-1)</f>
        <v>1719900</v>
      </c>
      <c r="AL42" s="33" t="n">
        <f aca="false">AL12*'Hiring plan'!$K$8*(1+Salary_Raise)^(AL$5-1)</f>
        <v>1719900</v>
      </c>
      <c r="AM42" s="33" t="n">
        <f aca="false">AM12*'Hiring plan'!$K$8*(1+Salary_Raise)^(AM$5-1)</f>
        <v>1719900</v>
      </c>
      <c r="AN42" s="33" t="n">
        <f aca="false">AN12*'Hiring plan'!$K$8*(1+Salary_Raise)^(AN$5-1)</f>
        <v>1719900</v>
      </c>
      <c r="AO42" s="33" t="n">
        <f aca="false">AO12*'Hiring plan'!$K$8*(1+Salary_Raise)^(AO$5-1)</f>
        <v>1805895</v>
      </c>
      <c r="AP42" s="33" t="n">
        <f aca="false">AP12*'Hiring plan'!$K$8*(1+Salary_Raise)^(AP$5-1)</f>
        <v>1805895</v>
      </c>
      <c r="AQ42" s="33" t="n">
        <f aca="false">AQ12*'Hiring plan'!$K$8*(1+Salary_Raise)^(AQ$5-1)</f>
        <v>1805895</v>
      </c>
      <c r="AR42" s="33" t="n">
        <f aca="false">AR12*'Hiring plan'!$K$8*(1+Salary_Raise)^(AR$5-1)</f>
        <v>1805895</v>
      </c>
      <c r="AS42" s="33" t="n">
        <f aca="false">AS12*'Hiring plan'!$K$8*(1+Salary_Raise)^(AS$5-1)</f>
        <v>1805895</v>
      </c>
      <c r="AT42" s="33" t="n">
        <f aca="false">AT12*'Hiring plan'!$K$8*(1+Salary_Raise)^(AT$5-1)</f>
        <v>1805895</v>
      </c>
      <c r="AU42" s="33" t="n">
        <f aca="false">AU12*'Hiring plan'!$K$8*(1+Salary_Raise)^(AU$5-1)</f>
        <v>1805895</v>
      </c>
      <c r="AV42" s="33" t="n">
        <f aca="false">AV12*'Hiring plan'!$K$8*(1+Salary_Raise)^(AV$5-1)</f>
        <v>1805895</v>
      </c>
      <c r="AW42" s="33" t="n">
        <f aca="false">AW12*'Hiring plan'!$K$8*(1+Salary_Raise)^(AW$5-1)</f>
        <v>1805895</v>
      </c>
      <c r="AX42" s="33" t="n">
        <f aca="false">AX12*'Hiring plan'!$K$8*(1+Salary_Raise)^(AX$5-1)</f>
        <v>1805895</v>
      </c>
      <c r="AY42" s="33" t="n">
        <f aca="false">AY12*'Hiring plan'!$K$8*(1+Salary_Raise)^(AY$5-1)</f>
        <v>1805895</v>
      </c>
      <c r="AZ42" s="33" t="n">
        <f aca="false">AZ12*'Hiring plan'!$K$8*(1+Salary_Raise)^(AZ$5-1)</f>
        <v>1805895</v>
      </c>
      <c r="BA42" s="33" t="n">
        <f aca="false">BA12*'Hiring plan'!$K$8*(1+Salary_Raise)^(BA$5-1)</f>
        <v>1896189.75</v>
      </c>
      <c r="BB42" s="33" t="n">
        <f aca="false">BB12*'Hiring plan'!$K$8*(1+Salary_Raise)^(BB$5-1)</f>
        <v>1896189.75</v>
      </c>
      <c r="BC42" s="33" t="n">
        <f aca="false">BC12*'Hiring plan'!$K$8*(1+Salary_Raise)^(BC$5-1)</f>
        <v>1896189.75</v>
      </c>
      <c r="BD42" s="33" t="n">
        <f aca="false">BD12*'Hiring plan'!$K$8*(1+Salary_Raise)^(BD$5-1)</f>
        <v>1896189.75</v>
      </c>
      <c r="BE42" s="33" t="n">
        <f aca="false">BE12*'Hiring plan'!$K$8*(1+Salary_Raise)^(BE$5-1)</f>
        <v>1896189.75</v>
      </c>
      <c r="BF42" s="33" t="n">
        <f aca="false">BF12*'Hiring plan'!$K$8*(1+Salary_Raise)^(BF$5-1)</f>
        <v>1896189.75</v>
      </c>
      <c r="BG42" s="33" t="n">
        <f aca="false">BG12*'Hiring plan'!$K$8*(1+Salary_Raise)^(BG$5-1)</f>
        <v>1896189.75</v>
      </c>
      <c r="BH42" s="33" t="n">
        <f aca="false">BH12*'Hiring plan'!$K$8*(1+Salary_Raise)^(BH$5-1)</f>
        <v>1896189.75</v>
      </c>
      <c r="BI42" s="33" t="n">
        <f aca="false">BI12*'Hiring plan'!$K$8*(1+Salary_Raise)^(BI$5-1)</f>
        <v>1896189.75</v>
      </c>
      <c r="BJ42" s="33" t="n">
        <f aca="false">BJ12*'Hiring plan'!$K$8*(1+Salary_Raise)^(BJ$5-1)</f>
        <v>1896189.75</v>
      </c>
      <c r="BK42" s="33" t="n">
        <f aca="false">BK12*'Hiring plan'!$K$8*(1+Salary_Raise)^(BK$5-1)</f>
        <v>1896189.75</v>
      </c>
      <c r="BL42" s="33" t="n">
        <f aca="false">BL12*'Hiring plan'!$K$8*(1+Salary_Raise)^(BL$5-1)</f>
        <v>1896189.75</v>
      </c>
    </row>
    <row r="43" customFormat="false" ht="15" hidden="false" customHeight="true" outlineLevel="0" collapsed="false">
      <c r="A43" s="13" t="str">
        <f aca="false">A13</f>
        <v>Marketing manager (senior) · SN</v>
      </c>
      <c r="B43" s="15" t="s">
        <v>77</v>
      </c>
      <c r="D43" s="56" t="n">
        <f aca="false">SUM(E43:BL43)</f>
        <v>74069862.75</v>
      </c>
      <c r="E43" s="33" t="n">
        <f aca="false">E13*'Hiring plan'!$K$9*(1+Salary_Raise)^(E$5-1)</f>
        <v>0</v>
      </c>
      <c r="F43" s="33" t="n">
        <f aca="false">F13*'Hiring plan'!$K$9*(1+Salary_Raise)^(F$5-1)</f>
        <v>0</v>
      </c>
      <c r="G43" s="33" t="n">
        <f aca="false">G13*'Hiring plan'!$K$9*(1+Salary_Raise)^(G$5-1)</f>
        <v>0</v>
      </c>
      <c r="H43" s="33" t="n">
        <f aca="false">H13*'Hiring plan'!$K$9*(1+Salary_Raise)^(H$5-1)</f>
        <v>1170000</v>
      </c>
      <c r="I43" s="33" t="n">
        <f aca="false">I13*'Hiring plan'!$K$9*(1+Salary_Raise)^(I$5-1)</f>
        <v>1170000</v>
      </c>
      <c r="J43" s="33" t="n">
        <f aca="false">J13*'Hiring plan'!$K$9*(1+Salary_Raise)^(J$5-1)</f>
        <v>1170000</v>
      </c>
      <c r="K43" s="33" t="n">
        <f aca="false">K13*'Hiring plan'!$K$9*(1+Salary_Raise)^(K$5-1)</f>
        <v>1170000</v>
      </c>
      <c r="L43" s="33" t="n">
        <f aca="false">L13*'Hiring plan'!$K$9*(1+Salary_Raise)^(L$5-1)</f>
        <v>1170000</v>
      </c>
      <c r="M43" s="33" t="n">
        <f aca="false">M13*'Hiring plan'!$K$9*(1+Salary_Raise)^(M$5-1)</f>
        <v>1170000</v>
      </c>
      <c r="N43" s="33" t="n">
        <f aca="false">N13*'Hiring plan'!$K$9*(1+Salary_Raise)^(N$5-1)</f>
        <v>1170000</v>
      </c>
      <c r="O43" s="33" t="n">
        <f aca="false">O13*'Hiring plan'!$K$9*(1+Salary_Raise)^(O$5-1)</f>
        <v>1170000</v>
      </c>
      <c r="P43" s="33" t="n">
        <f aca="false">P13*'Hiring plan'!$K$9*(1+Salary_Raise)^(P$5-1)</f>
        <v>1170000</v>
      </c>
      <c r="Q43" s="33" t="n">
        <f aca="false">Q13*'Hiring plan'!$K$9*(1+Salary_Raise)^(Q$5-1)</f>
        <v>1228500</v>
      </c>
      <c r="R43" s="33" t="n">
        <f aca="false">R13*'Hiring plan'!$K$9*(1+Salary_Raise)^(R$5-1)</f>
        <v>1228500</v>
      </c>
      <c r="S43" s="33" t="n">
        <f aca="false">S13*'Hiring plan'!$K$9*(1+Salary_Raise)^(S$5-1)</f>
        <v>1228500</v>
      </c>
      <c r="T43" s="33" t="n">
        <f aca="false">T13*'Hiring plan'!$K$9*(1+Salary_Raise)^(T$5-1)</f>
        <v>1228500</v>
      </c>
      <c r="U43" s="33" t="n">
        <f aca="false">U13*'Hiring plan'!$K$9*(1+Salary_Raise)^(U$5-1)</f>
        <v>1228500</v>
      </c>
      <c r="V43" s="33" t="n">
        <f aca="false">V13*'Hiring plan'!$K$9*(1+Salary_Raise)^(V$5-1)</f>
        <v>1228500</v>
      </c>
      <c r="W43" s="33" t="n">
        <f aca="false">W13*'Hiring plan'!$K$9*(1+Salary_Raise)^(W$5-1)</f>
        <v>1228500</v>
      </c>
      <c r="X43" s="33" t="n">
        <f aca="false">X13*'Hiring plan'!$K$9*(1+Salary_Raise)^(X$5-1)</f>
        <v>1228500</v>
      </c>
      <c r="Y43" s="33" t="n">
        <f aca="false">Y13*'Hiring plan'!$K$9*(1+Salary_Raise)^(Y$5-1)</f>
        <v>1228500</v>
      </c>
      <c r="Z43" s="33" t="n">
        <f aca="false">Z13*'Hiring plan'!$K$9*(1+Salary_Raise)^(Z$5-1)</f>
        <v>1228500</v>
      </c>
      <c r="AA43" s="33" t="n">
        <f aca="false">AA13*'Hiring plan'!$K$9*(1+Salary_Raise)^(AA$5-1)</f>
        <v>1228500</v>
      </c>
      <c r="AB43" s="33" t="n">
        <f aca="false">AB13*'Hiring plan'!$K$9*(1+Salary_Raise)^(AB$5-1)</f>
        <v>1228500</v>
      </c>
      <c r="AC43" s="33" t="n">
        <f aca="false">AC13*'Hiring plan'!$K$9*(1+Salary_Raise)^(AC$5-1)</f>
        <v>1289925</v>
      </c>
      <c r="AD43" s="33" t="n">
        <f aca="false">AD13*'Hiring plan'!$K$9*(1+Salary_Raise)^(AD$5-1)</f>
        <v>1289925</v>
      </c>
      <c r="AE43" s="33" t="n">
        <f aca="false">AE13*'Hiring plan'!$K$9*(1+Salary_Raise)^(AE$5-1)</f>
        <v>1289925</v>
      </c>
      <c r="AF43" s="33" t="n">
        <f aca="false">AF13*'Hiring plan'!$K$9*(1+Salary_Raise)^(AF$5-1)</f>
        <v>1289925</v>
      </c>
      <c r="AG43" s="33" t="n">
        <f aca="false">AG13*'Hiring plan'!$K$9*(1+Salary_Raise)^(AG$5-1)</f>
        <v>1289925</v>
      </c>
      <c r="AH43" s="33" t="n">
        <f aca="false">AH13*'Hiring plan'!$K$9*(1+Salary_Raise)^(AH$5-1)</f>
        <v>1289925</v>
      </c>
      <c r="AI43" s="33" t="n">
        <f aca="false">AI13*'Hiring plan'!$K$9*(1+Salary_Raise)^(AI$5-1)</f>
        <v>1289925</v>
      </c>
      <c r="AJ43" s="33" t="n">
        <f aca="false">AJ13*'Hiring plan'!$K$9*(1+Salary_Raise)^(AJ$5-1)</f>
        <v>1289925</v>
      </c>
      <c r="AK43" s="33" t="n">
        <f aca="false">AK13*'Hiring plan'!$K$9*(1+Salary_Raise)^(AK$5-1)</f>
        <v>1289925</v>
      </c>
      <c r="AL43" s="33" t="n">
        <f aca="false">AL13*'Hiring plan'!$K$9*(1+Salary_Raise)^(AL$5-1)</f>
        <v>1289925</v>
      </c>
      <c r="AM43" s="33" t="n">
        <f aca="false">AM13*'Hiring plan'!$K$9*(1+Salary_Raise)^(AM$5-1)</f>
        <v>1289925</v>
      </c>
      <c r="AN43" s="33" t="n">
        <f aca="false">AN13*'Hiring plan'!$K$9*(1+Salary_Raise)^(AN$5-1)</f>
        <v>1289925</v>
      </c>
      <c r="AO43" s="33" t="n">
        <f aca="false">AO13*'Hiring plan'!$K$9*(1+Salary_Raise)^(AO$5-1)</f>
        <v>1354421.25</v>
      </c>
      <c r="AP43" s="33" t="n">
        <f aca="false">AP13*'Hiring plan'!$K$9*(1+Salary_Raise)^(AP$5-1)</f>
        <v>1354421.25</v>
      </c>
      <c r="AQ43" s="33" t="n">
        <f aca="false">AQ13*'Hiring plan'!$K$9*(1+Salary_Raise)^(AQ$5-1)</f>
        <v>1354421.25</v>
      </c>
      <c r="AR43" s="33" t="n">
        <f aca="false">AR13*'Hiring plan'!$K$9*(1+Salary_Raise)^(AR$5-1)</f>
        <v>1354421.25</v>
      </c>
      <c r="AS43" s="33" t="n">
        <f aca="false">AS13*'Hiring plan'!$K$9*(1+Salary_Raise)^(AS$5-1)</f>
        <v>1354421.25</v>
      </c>
      <c r="AT43" s="33" t="n">
        <f aca="false">AT13*'Hiring plan'!$K$9*(1+Salary_Raise)^(AT$5-1)</f>
        <v>1354421.25</v>
      </c>
      <c r="AU43" s="33" t="n">
        <f aca="false">AU13*'Hiring plan'!$K$9*(1+Salary_Raise)^(AU$5-1)</f>
        <v>1354421.25</v>
      </c>
      <c r="AV43" s="33" t="n">
        <f aca="false">AV13*'Hiring plan'!$K$9*(1+Salary_Raise)^(AV$5-1)</f>
        <v>1354421.25</v>
      </c>
      <c r="AW43" s="33" t="n">
        <f aca="false">AW13*'Hiring plan'!$K$9*(1+Salary_Raise)^(AW$5-1)</f>
        <v>1354421.25</v>
      </c>
      <c r="AX43" s="33" t="n">
        <f aca="false">AX13*'Hiring plan'!$K$9*(1+Salary_Raise)^(AX$5-1)</f>
        <v>1354421.25</v>
      </c>
      <c r="AY43" s="33" t="n">
        <f aca="false">AY13*'Hiring plan'!$K$9*(1+Salary_Raise)^(AY$5-1)</f>
        <v>1354421.25</v>
      </c>
      <c r="AZ43" s="33" t="n">
        <f aca="false">AZ13*'Hiring plan'!$K$9*(1+Salary_Raise)^(AZ$5-1)</f>
        <v>1354421.25</v>
      </c>
      <c r="BA43" s="33" t="n">
        <f aca="false">BA13*'Hiring plan'!$K$9*(1+Salary_Raise)^(BA$5-1)</f>
        <v>1422142.3125</v>
      </c>
      <c r="BB43" s="33" t="n">
        <f aca="false">BB13*'Hiring plan'!$K$9*(1+Salary_Raise)^(BB$5-1)</f>
        <v>1422142.3125</v>
      </c>
      <c r="BC43" s="33" t="n">
        <f aca="false">BC13*'Hiring plan'!$K$9*(1+Salary_Raise)^(BC$5-1)</f>
        <v>1422142.3125</v>
      </c>
      <c r="BD43" s="33" t="n">
        <f aca="false">BD13*'Hiring plan'!$K$9*(1+Salary_Raise)^(BD$5-1)</f>
        <v>1422142.3125</v>
      </c>
      <c r="BE43" s="33" t="n">
        <f aca="false">BE13*'Hiring plan'!$K$9*(1+Salary_Raise)^(BE$5-1)</f>
        <v>1422142.3125</v>
      </c>
      <c r="BF43" s="33" t="n">
        <f aca="false">BF13*'Hiring plan'!$K$9*(1+Salary_Raise)^(BF$5-1)</f>
        <v>1422142.3125</v>
      </c>
      <c r="BG43" s="33" t="n">
        <f aca="false">BG13*'Hiring plan'!$K$9*(1+Salary_Raise)^(BG$5-1)</f>
        <v>1422142.3125</v>
      </c>
      <c r="BH43" s="33" t="n">
        <f aca="false">BH13*'Hiring plan'!$K$9*(1+Salary_Raise)^(BH$5-1)</f>
        <v>1422142.3125</v>
      </c>
      <c r="BI43" s="33" t="n">
        <f aca="false">BI13*'Hiring plan'!$K$9*(1+Salary_Raise)^(BI$5-1)</f>
        <v>1422142.3125</v>
      </c>
      <c r="BJ43" s="33" t="n">
        <f aca="false">BJ13*'Hiring plan'!$K$9*(1+Salary_Raise)^(BJ$5-1)</f>
        <v>1422142.3125</v>
      </c>
      <c r="BK43" s="33" t="n">
        <f aca="false">BK13*'Hiring plan'!$K$9*(1+Salary_Raise)^(BK$5-1)</f>
        <v>1422142.3125</v>
      </c>
      <c r="BL43" s="33" t="n">
        <f aca="false">BL13*'Hiring plan'!$K$9*(1+Salary_Raise)^(BL$5-1)</f>
        <v>1422142.3125</v>
      </c>
    </row>
    <row r="44" customFormat="false" ht="15" hidden="false" customHeight="true" outlineLevel="0" collapsed="false">
      <c r="A44" s="13" t="str">
        <f aca="false">A14</f>
        <v>Marketing officer (junior) · SN</v>
      </c>
      <c r="B44" s="15" t="s">
        <v>77</v>
      </c>
      <c r="D44" s="56" t="n">
        <f aca="false">SUM(E44:BL44)</f>
        <v>32399939</v>
      </c>
      <c r="E44" s="33" t="n">
        <f aca="false">E14*'Hiring plan'!$K$10*(1+Salary_Raise)^(E$5-1)</f>
        <v>0</v>
      </c>
      <c r="F44" s="33" t="n">
        <f aca="false">F14*'Hiring plan'!$K$10*(1+Salary_Raise)^(F$5-1)</f>
        <v>0</v>
      </c>
      <c r="G44" s="33" t="n">
        <f aca="false">G14*'Hiring plan'!$K$10*(1+Salary_Raise)^(G$5-1)</f>
        <v>0</v>
      </c>
      <c r="H44" s="33" t="n">
        <f aca="false">H14*'Hiring plan'!$K$10*(1+Salary_Raise)^(H$5-1)</f>
        <v>0</v>
      </c>
      <c r="I44" s="33" t="n">
        <f aca="false">I14*'Hiring plan'!$K$10*(1+Salary_Raise)^(I$5-1)</f>
        <v>520000</v>
      </c>
      <c r="J44" s="33" t="n">
        <f aca="false">J14*'Hiring plan'!$K$10*(1+Salary_Raise)^(J$5-1)</f>
        <v>520000</v>
      </c>
      <c r="K44" s="33" t="n">
        <f aca="false">K14*'Hiring plan'!$K$10*(1+Salary_Raise)^(K$5-1)</f>
        <v>520000</v>
      </c>
      <c r="L44" s="33" t="n">
        <f aca="false">L14*'Hiring plan'!$K$10*(1+Salary_Raise)^(L$5-1)</f>
        <v>520000</v>
      </c>
      <c r="M44" s="33" t="n">
        <f aca="false">M14*'Hiring plan'!$K$10*(1+Salary_Raise)^(M$5-1)</f>
        <v>520000</v>
      </c>
      <c r="N44" s="33" t="n">
        <f aca="false">N14*'Hiring plan'!$K$10*(1+Salary_Raise)^(N$5-1)</f>
        <v>520000</v>
      </c>
      <c r="O44" s="33" t="n">
        <f aca="false">O14*'Hiring plan'!$K$10*(1+Salary_Raise)^(O$5-1)</f>
        <v>520000</v>
      </c>
      <c r="P44" s="33" t="n">
        <f aca="false">P14*'Hiring plan'!$K$10*(1+Salary_Raise)^(P$5-1)</f>
        <v>520000</v>
      </c>
      <c r="Q44" s="33" t="n">
        <f aca="false">Q14*'Hiring plan'!$K$10*(1+Salary_Raise)^(Q$5-1)</f>
        <v>546000</v>
      </c>
      <c r="R44" s="33" t="n">
        <f aca="false">R14*'Hiring plan'!$K$10*(1+Salary_Raise)^(R$5-1)</f>
        <v>546000</v>
      </c>
      <c r="S44" s="33" t="n">
        <f aca="false">S14*'Hiring plan'!$K$10*(1+Salary_Raise)^(S$5-1)</f>
        <v>546000</v>
      </c>
      <c r="T44" s="33" t="n">
        <f aca="false">T14*'Hiring plan'!$K$10*(1+Salary_Raise)^(T$5-1)</f>
        <v>546000</v>
      </c>
      <c r="U44" s="33" t="n">
        <f aca="false">U14*'Hiring plan'!$K$10*(1+Salary_Raise)^(U$5-1)</f>
        <v>546000</v>
      </c>
      <c r="V44" s="33" t="n">
        <f aca="false">V14*'Hiring plan'!$K$10*(1+Salary_Raise)^(V$5-1)</f>
        <v>546000</v>
      </c>
      <c r="W44" s="33" t="n">
        <f aca="false">W14*'Hiring plan'!$K$10*(1+Salary_Raise)^(W$5-1)</f>
        <v>546000</v>
      </c>
      <c r="X44" s="33" t="n">
        <f aca="false">X14*'Hiring plan'!$K$10*(1+Salary_Raise)^(X$5-1)</f>
        <v>546000</v>
      </c>
      <c r="Y44" s="33" t="n">
        <f aca="false">Y14*'Hiring plan'!$K$10*(1+Salary_Raise)^(Y$5-1)</f>
        <v>546000</v>
      </c>
      <c r="Z44" s="33" t="n">
        <f aca="false">Z14*'Hiring plan'!$K$10*(1+Salary_Raise)^(Z$5-1)</f>
        <v>546000</v>
      </c>
      <c r="AA44" s="33" t="n">
        <f aca="false">AA14*'Hiring plan'!$K$10*(1+Salary_Raise)^(AA$5-1)</f>
        <v>546000</v>
      </c>
      <c r="AB44" s="33" t="n">
        <f aca="false">AB14*'Hiring plan'!$K$10*(1+Salary_Raise)^(AB$5-1)</f>
        <v>546000</v>
      </c>
      <c r="AC44" s="33" t="n">
        <f aca="false">AC14*'Hiring plan'!$K$10*(1+Salary_Raise)^(AC$5-1)</f>
        <v>573300</v>
      </c>
      <c r="AD44" s="33" t="n">
        <f aca="false">AD14*'Hiring plan'!$K$10*(1+Salary_Raise)^(AD$5-1)</f>
        <v>573300</v>
      </c>
      <c r="AE44" s="33" t="n">
        <f aca="false">AE14*'Hiring plan'!$K$10*(1+Salary_Raise)^(AE$5-1)</f>
        <v>573300</v>
      </c>
      <c r="AF44" s="33" t="n">
        <f aca="false">AF14*'Hiring plan'!$K$10*(1+Salary_Raise)^(AF$5-1)</f>
        <v>573300</v>
      </c>
      <c r="AG44" s="33" t="n">
        <f aca="false">AG14*'Hiring plan'!$K$10*(1+Salary_Raise)^(AG$5-1)</f>
        <v>573300</v>
      </c>
      <c r="AH44" s="33" t="n">
        <f aca="false">AH14*'Hiring plan'!$K$10*(1+Salary_Raise)^(AH$5-1)</f>
        <v>573300</v>
      </c>
      <c r="AI44" s="33" t="n">
        <f aca="false">AI14*'Hiring plan'!$K$10*(1+Salary_Raise)^(AI$5-1)</f>
        <v>573300</v>
      </c>
      <c r="AJ44" s="33" t="n">
        <f aca="false">AJ14*'Hiring plan'!$K$10*(1+Salary_Raise)^(AJ$5-1)</f>
        <v>573300</v>
      </c>
      <c r="AK44" s="33" t="n">
        <f aca="false">AK14*'Hiring plan'!$K$10*(1+Salary_Raise)^(AK$5-1)</f>
        <v>573300</v>
      </c>
      <c r="AL44" s="33" t="n">
        <f aca="false">AL14*'Hiring plan'!$K$10*(1+Salary_Raise)^(AL$5-1)</f>
        <v>573300</v>
      </c>
      <c r="AM44" s="33" t="n">
        <f aca="false">AM14*'Hiring plan'!$K$10*(1+Salary_Raise)^(AM$5-1)</f>
        <v>573300</v>
      </c>
      <c r="AN44" s="33" t="n">
        <f aca="false">AN14*'Hiring plan'!$K$10*(1+Salary_Raise)^(AN$5-1)</f>
        <v>573300</v>
      </c>
      <c r="AO44" s="33" t="n">
        <f aca="false">AO14*'Hiring plan'!$K$10*(1+Salary_Raise)^(AO$5-1)</f>
        <v>601965</v>
      </c>
      <c r="AP44" s="33" t="n">
        <f aca="false">AP14*'Hiring plan'!$K$10*(1+Salary_Raise)^(AP$5-1)</f>
        <v>601965</v>
      </c>
      <c r="AQ44" s="33" t="n">
        <f aca="false">AQ14*'Hiring plan'!$K$10*(1+Salary_Raise)^(AQ$5-1)</f>
        <v>601965</v>
      </c>
      <c r="AR44" s="33" t="n">
        <f aca="false">AR14*'Hiring plan'!$K$10*(1+Salary_Raise)^(AR$5-1)</f>
        <v>601965</v>
      </c>
      <c r="AS44" s="33" t="n">
        <f aca="false">AS14*'Hiring plan'!$K$10*(1+Salary_Raise)^(AS$5-1)</f>
        <v>601965</v>
      </c>
      <c r="AT44" s="33" t="n">
        <f aca="false">AT14*'Hiring plan'!$K$10*(1+Salary_Raise)^(AT$5-1)</f>
        <v>601965</v>
      </c>
      <c r="AU44" s="33" t="n">
        <f aca="false">AU14*'Hiring plan'!$K$10*(1+Salary_Raise)^(AU$5-1)</f>
        <v>601965</v>
      </c>
      <c r="AV44" s="33" t="n">
        <f aca="false">AV14*'Hiring plan'!$K$10*(1+Salary_Raise)^(AV$5-1)</f>
        <v>601965</v>
      </c>
      <c r="AW44" s="33" t="n">
        <f aca="false">AW14*'Hiring plan'!$K$10*(1+Salary_Raise)^(AW$5-1)</f>
        <v>601965</v>
      </c>
      <c r="AX44" s="33" t="n">
        <f aca="false">AX14*'Hiring plan'!$K$10*(1+Salary_Raise)^(AX$5-1)</f>
        <v>601965</v>
      </c>
      <c r="AY44" s="33" t="n">
        <f aca="false">AY14*'Hiring plan'!$K$10*(1+Salary_Raise)^(AY$5-1)</f>
        <v>601965</v>
      </c>
      <c r="AZ44" s="33" t="n">
        <f aca="false">AZ14*'Hiring plan'!$K$10*(1+Salary_Raise)^(AZ$5-1)</f>
        <v>601965</v>
      </c>
      <c r="BA44" s="33" t="n">
        <f aca="false">BA14*'Hiring plan'!$K$10*(1+Salary_Raise)^(BA$5-1)</f>
        <v>632063.25</v>
      </c>
      <c r="BB44" s="33" t="n">
        <f aca="false">BB14*'Hiring plan'!$K$10*(1+Salary_Raise)^(BB$5-1)</f>
        <v>632063.25</v>
      </c>
      <c r="BC44" s="33" t="n">
        <f aca="false">BC14*'Hiring plan'!$K$10*(1+Salary_Raise)^(BC$5-1)</f>
        <v>632063.25</v>
      </c>
      <c r="BD44" s="33" t="n">
        <f aca="false">BD14*'Hiring plan'!$K$10*(1+Salary_Raise)^(BD$5-1)</f>
        <v>632063.25</v>
      </c>
      <c r="BE44" s="33" t="n">
        <f aca="false">BE14*'Hiring plan'!$K$10*(1+Salary_Raise)^(BE$5-1)</f>
        <v>632063.25</v>
      </c>
      <c r="BF44" s="33" t="n">
        <f aca="false">BF14*'Hiring plan'!$K$10*(1+Salary_Raise)^(BF$5-1)</f>
        <v>632063.25</v>
      </c>
      <c r="BG44" s="33" t="n">
        <f aca="false">BG14*'Hiring plan'!$K$10*(1+Salary_Raise)^(BG$5-1)</f>
        <v>632063.25</v>
      </c>
      <c r="BH44" s="33" t="n">
        <f aca="false">BH14*'Hiring plan'!$K$10*(1+Salary_Raise)^(BH$5-1)</f>
        <v>632063.25</v>
      </c>
      <c r="BI44" s="33" t="n">
        <f aca="false">BI14*'Hiring plan'!$K$10*(1+Salary_Raise)^(BI$5-1)</f>
        <v>632063.25</v>
      </c>
      <c r="BJ44" s="33" t="n">
        <f aca="false">BJ14*'Hiring plan'!$K$10*(1+Salary_Raise)^(BJ$5-1)</f>
        <v>632063.25</v>
      </c>
      <c r="BK44" s="33" t="n">
        <f aca="false">BK14*'Hiring plan'!$K$10*(1+Salary_Raise)^(BK$5-1)</f>
        <v>632063.25</v>
      </c>
      <c r="BL44" s="33" t="n">
        <f aca="false">BL14*'Hiring plan'!$K$10*(1+Salary_Raise)^(BL$5-1)</f>
        <v>632063.25</v>
      </c>
    </row>
    <row r="45" customFormat="false" ht="15" hidden="false" customHeight="true" outlineLevel="0" collapsed="false">
      <c r="A45" s="13" t="str">
        <f aca="false">A15</f>
        <v>Country manager, Abidjan · CI</v>
      </c>
      <c r="B45" s="15" t="s">
        <v>77</v>
      </c>
      <c r="D45" s="56" t="n">
        <f aca="false">SUM(E45:BL45)</f>
        <v>178569573</v>
      </c>
      <c r="E45" s="33" t="n">
        <f aca="false">E15*'Hiring plan'!$K$11*(1+Salary_Raise)^(E$5-1)</f>
        <v>0</v>
      </c>
      <c r="F45" s="33" t="n">
        <f aca="false">F15*'Hiring plan'!$K$11*(1+Salary_Raise)^(F$5-1)</f>
        <v>0</v>
      </c>
      <c r="G45" s="33" t="n">
        <f aca="false">G15*'Hiring plan'!$K$11*(1+Salary_Raise)^(G$5-1)</f>
        <v>0</v>
      </c>
      <c r="H45" s="33" t="n">
        <f aca="false">H15*'Hiring plan'!$K$11*(1+Salary_Raise)^(H$5-1)</f>
        <v>0</v>
      </c>
      <c r="I45" s="33" t="n">
        <f aca="false">I15*'Hiring plan'!$K$11*(1+Salary_Raise)^(I$5-1)</f>
        <v>0</v>
      </c>
      <c r="J45" s="33" t="n">
        <f aca="false">J15*'Hiring plan'!$K$11*(1+Salary_Raise)^(J$5-1)</f>
        <v>0</v>
      </c>
      <c r="K45" s="33" t="n">
        <f aca="false">K15*'Hiring plan'!$K$11*(1+Salary_Raise)^(K$5-1)</f>
        <v>0</v>
      </c>
      <c r="L45" s="33" t="n">
        <f aca="false">L15*'Hiring plan'!$K$11*(1+Salary_Raise)^(L$5-1)</f>
        <v>0</v>
      </c>
      <c r="M45" s="33" t="n">
        <f aca="false">M15*'Hiring plan'!$K$11*(1+Salary_Raise)^(M$5-1)</f>
        <v>0</v>
      </c>
      <c r="N45" s="33" t="n">
        <f aca="false">N15*'Hiring plan'!$K$11*(1+Salary_Raise)^(N$5-1)</f>
        <v>0</v>
      </c>
      <c r="O45" s="33" t="n">
        <f aca="false">O15*'Hiring plan'!$K$11*(1+Salary_Raise)^(O$5-1)</f>
        <v>0</v>
      </c>
      <c r="P45" s="33" t="n">
        <f aca="false">P15*'Hiring plan'!$K$11*(1+Salary_Raise)^(P$5-1)</f>
        <v>0</v>
      </c>
      <c r="Q45" s="33" t="n">
        <f aca="false">Q15*'Hiring plan'!$K$11*(1+Salary_Raise)^(Q$5-1)</f>
        <v>0</v>
      </c>
      <c r="R45" s="33" t="n">
        <f aca="false">R15*'Hiring plan'!$K$11*(1+Salary_Raise)^(R$5-1)</f>
        <v>0</v>
      </c>
      <c r="S45" s="33" t="n">
        <f aca="false">S15*'Hiring plan'!$K$11*(1+Salary_Raise)^(S$5-1)</f>
        <v>0</v>
      </c>
      <c r="T45" s="33" t="n">
        <f aca="false">T15*'Hiring plan'!$K$11*(1+Salary_Raise)^(T$5-1)</f>
        <v>0</v>
      </c>
      <c r="U45" s="33" t="n">
        <f aca="false">U15*'Hiring plan'!$K$11*(1+Salary_Raise)^(U$5-1)</f>
        <v>0</v>
      </c>
      <c r="V45" s="33" t="n">
        <f aca="false">V15*'Hiring plan'!$K$11*(1+Salary_Raise)^(V$5-1)</f>
        <v>3822000</v>
      </c>
      <c r="W45" s="33" t="n">
        <f aca="false">W15*'Hiring plan'!$K$11*(1+Salary_Raise)^(W$5-1)</f>
        <v>3822000</v>
      </c>
      <c r="X45" s="33" t="n">
        <f aca="false">X15*'Hiring plan'!$K$11*(1+Salary_Raise)^(X$5-1)</f>
        <v>3822000</v>
      </c>
      <c r="Y45" s="33" t="n">
        <f aca="false">Y15*'Hiring plan'!$K$11*(1+Salary_Raise)^(Y$5-1)</f>
        <v>3822000</v>
      </c>
      <c r="Z45" s="33" t="n">
        <f aca="false">Z15*'Hiring plan'!$K$11*(1+Salary_Raise)^(Z$5-1)</f>
        <v>3822000</v>
      </c>
      <c r="AA45" s="33" t="n">
        <f aca="false">AA15*'Hiring plan'!$K$11*(1+Salary_Raise)^(AA$5-1)</f>
        <v>3822000</v>
      </c>
      <c r="AB45" s="33" t="n">
        <f aca="false">AB15*'Hiring plan'!$K$11*(1+Salary_Raise)^(AB$5-1)</f>
        <v>3822000</v>
      </c>
      <c r="AC45" s="33" t="n">
        <f aca="false">AC15*'Hiring plan'!$K$11*(1+Salary_Raise)^(AC$5-1)</f>
        <v>4013100</v>
      </c>
      <c r="AD45" s="33" t="n">
        <f aca="false">AD15*'Hiring plan'!$K$11*(1+Salary_Raise)^(AD$5-1)</f>
        <v>4013100</v>
      </c>
      <c r="AE45" s="33" t="n">
        <f aca="false">AE15*'Hiring plan'!$K$11*(1+Salary_Raise)^(AE$5-1)</f>
        <v>4013100</v>
      </c>
      <c r="AF45" s="33" t="n">
        <f aca="false">AF15*'Hiring plan'!$K$11*(1+Salary_Raise)^(AF$5-1)</f>
        <v>4013100</v>
      </c>
      <c r="AG45" s="33" t="n">
        <f aca="false">AG15*'Hiring plan'!$K$11*(1+Salary_Raise)^(AG$5-1)</f>
        <v>4013100</v>
      </c>
      <c r="AH45" s="33" t="n">
        <f aca="false">AH15*'Hiring plan'!$K$11*(1+Salary_Raise)^(AH$5-1)</f>
        <v>4013100</v>
      </c>
      <c r="AI45" s="33" t="n">
        <f aca="false">AI15*'Hiring plan'!$K$11*(1+Salary_Raise)^(AI$5-1)</f>
        <v>4013100</v>
      </c>
      <c r="AJ45" s="33" t="n">
        <f aca="false">AJ15*'Hiring plan'!$K$11*(1+Salary_Raise)^(AJ$5-1)</f>
        <v>4013100</v>
      </c>
      <c r="AK45" s="33" t="n">
        <f aca="false">AK15*'Hiring plan'!$K$11*(1+Salary_Raise)^(AK$5-1)</f>
        <v>4013100</v>
      </c>
      <c r="AL45" s="33" t="n">
        <f aca="false">AL15*'Hiring plan'!$K$11*(1+Salary_Raise)^(AL$5-1)</f>
        <v>4013100</v>
      </c>
      <c r="AM45" s="33" t="n">
        <f aca="false">AM15*'Hiring plan'!$K$11*(1+Salary_Raise)^(AM$5-1)</f>
        <v>4013100</v>
      </c>
      <c r="AN45" s="33" t="n">
        <f aca="false">AN15*'Hiring plan'!$K$11*(1+Salary_Raise)^(AN$5-1)</f>
        <v>4013100</v>
      </c>
      <c r="AO45" s="33" t="n">
        <f aca="false">AO15*'Hiring plan'!$K$11*(1+Salary_Raise)^(AO$5-1)</f>
        <v>4213755</v>
      </c>
      <c r="AP45" s="33" t="n">
        <f aca="false">AP15*'Hiring plan'!$K$11*(1+Salary_Raise)^(AP$5-1)</f>
        <v>4213755</v>
      </c>
      <c r="AQ45" s="33" t="n">
        <f aca="false">AQ15*'Hiring plan'!$K$11*(1+Salary_Raise)^(AQ$5-1)</f>
        <v>4213755</v>
      </c>
      <c r="AR45" s="33" t="n">
        <f aca="false">AR15*'Hiring plan'!$K$11*(1+Salary_Raise)^(AR$5-1)</f>
        <v>4213755</v>
      </c>
      <c r="AS45" s="33" t="n">
        <f aca="false">AS15*'Hiring plan'!$K$11*(1+Salary_Raise)^(AS$5-1)</f>
        <v>4213755</v>
      </c>
      <c r="AT45" s="33" t="n">
        <f aca="false">AT15*'Hiring plan'!$K$11*(1+Salary_Raise)^(AT$5-1)</f>
        <v>4213755</v>
      </c>
      <c r="AU45" s="33" t="n">
        <f aca="false">AU15*'Hiring plan'!$K$11*(1+Salary_Raise)^(AU$5-1)</f>
        <v>4213755</v>
      </c>
      <c r="AV45" s="33" t="n">
        <f aca="false">AV15*'Hiring plan'!$K$11*(1+Salary_Raise)^(AV$5-1)</f>
        <v>4213755</v>
      </c>
      <c r="AW45" s="33" t="n">
        <f aca="false">AW15*'Hiring plan'!$K$11*(1+Salary_Raise)^(AW$5-1)</f>
        <v>4213755</v>
      </c>
      <c r="AX45" s="33" t="n">
        <f aca="false">AX15*'Hiring plan'!$K$11*(1+Salary_Raise)^(AX$5-1)</f>
        <v>4213755</v>
      </c>
      <c r="AY45" s="33" t="n">
        <f aca="false">AY15*'Hiring plan'!$K$11*(1+Salary_Raise)^(AY$5-1)</f>
        <v>4213755</v>
      </c>
      <c r="AZ45" s="33" t="n">
        <f aca="false">AZ15*'Hiring plan'!$K$11*(1+Salary_Raise)^(AZ$5-1)</f>
        <v>4213755</v>
      </c>
      <c r="BA45" s="33" t="n">
        <f aca="false">BA15*'Hiring plan'!$K$11*(1+Salary_Raise)^(BA$5-1)</f>
        <v>4424442.75</v>
      </c>
      <c r="BB45" s="33" t="n">
        <f aca="false">BB15*'Hiring plan'!$K$11*(1+Salary_Raise)^(BB$5-1)</f>
        <v>4424442.75</v>
      </c>
      <c r="BC45" s="33" t="n">
        <f aca="false">BC15*'Hiring plan'!$K$11*(1+Salary_Raise)^(BC$5-1)</f>
        <v>4424442.75</v>
      </c>
      <c r="BD45" s="33" t="n">
        <f aca="false">BD15*'Hiring plan'!$K$11*(1+Salary_Raise)^(BD$5-1)</f>
        <v>4424442.75</v>
      </c>
      <c r="BE45" s="33" t="n">
        <f aca="false">BE15*'Hiring plan'!$K$11*(1+Salary_Raise)^(BE$5-1)</f>
        <v>4424442.75</v>
      </c>
      <c r="BF45" s="33" t="n">
        <f aca="false">BF15*'Hiring plan'!$K$11*(1+Salary_Raise)^(BF$5-1)</f>
        <v>4424442.75</v>
      </c>
      <c r="BG45" s="33" t="n">
        <f aca="false">BG15*'Hiring plan'!$K$11*(1+Salary_Raise)^(BG$5-1)</f>
        <v>4424442.75</v>
      </c>
      <c r="BH45" s="33" t="n">
        <f aca="false">BH15*'Hiring plan'!$K$11*(1+Salary_Raise)^(BH$5-1)</f>
        <v>4424442.75</v>
      </c>
      <c r="BI45" s="33" t="n">
        <f aca="false">BI15*'Hiring plan'!$K$11*(1+Salary_Raise)^(BI$5-1)</f>
        <v>4424442.75</v>
      </c>
      <c r="BJ45" s="33" t="n">
        <f aca="false">BJ15*'Hiring plan'!$K$11*(1+Salary_Raise)^(BJ$5-1)</f>
        <v>4424442.75</v>
      </c>
      <c r="BK45" s="33" t="n">
        <f aca="false">BK15*'Hiring plan'!$K$11*(1+Salary_Raise)^(BK$5-1)</f>
        <v>4424442.75</v>
      </c>
      <c r="BL45" s="33" t="n">
        <f aca="false">BL15*'Hiring plan'!$K$11*(1+Salary_Raise)^(BL$5-1)</f>
        <v>4424442.75</v>
      </c>
    </row>
    <row r="46" customFormat="false" ht="15" hidden="false" customHeight="true" outlineLevel="0" collapsed="false">
      <c r="A46" s="13" t="str">
        <f aca="false">A16</f>
        <v>Compliance officer (AML/CFT) · SN</v>
      </c>
      <c r="B46" s="15" t="s">
        <v>77</v>
      </c>
      <c r="D46" s="56" t="n">
        <f aca="false">SUM(E46:BL46)</f>
        <v>83377271.25</v>
      </c>
      <c r="E46" s="33" t="n">
        <f aca="false">E16*'Hiring plan'!$K$12*(1+Salary_Raise)^(E$5-1)</f>
        <v>0</v>
      </c>
      <c r="F46" s="33" t="n">
        <f aca="false">F16*'Hiring plan'!$K$12*(1+Salary_Raise)^(F$5-1)</f>
        <v>0</v>
      </c>
      <c r="G46" s="33" t="n">
        <f aca="false">G16*'Hiring plan'!$K$12*(1+Salary_Raise)^(G$5-1)</f>
        <v>0</v>
      </c>
      <c r="H46" s="33" t="n">
        <f aca="false">H16*'Hiring plan'!$K$12*(1+Salary_Raise)^(H$5-1)</f>
        <v>0</v>
      </c>
      <c r="I46" s="33" t="n">
        <f aca="false">I16*'Hiring plan'!$K$12*(1+Salary_Raise)^(I$5-1)</f>
        <v>0</v>
      </c>
      <c r="J46" s="33" t="n">
        <f aca="false">J16*'Hiring plan'!$K$12*(1+Salary_Raise)^(J$5-1)</f>
        <v>0</v>
      </c>
      <c r="K46" s="33" t="n">
        <f aca="false">K16*'Hiring plan'!$K$12*(1+Salary_Raise)^(K$5-1)</f>
        <v>0</v>
      </c>
      <c r="L46" s="33" t="n">
        <f aca="false">L16*'Hiring plan'!$K$12*(1+Salary_Raise)^(L$5-1)</f>
        <v>0</v>
      </c>
      <c r="M46" s="33" t="n">
        <f aca="false">M16*'Hiring plan'!$K$12*(1+Salary_Raise)^(M$5-1)</f>
        <v>0</v>
      </c>
      <c r="N46" s="33" t="n">
        <f aca="false">N16*'Hiring plan'!$K$12*(1+Salary_Raise)^(N$5-1)</f>
        <v>0</v>
      </c>
      <c r="O46" s="33" t="n">
        <f aca="false">O16*'Hiring plan'!$K$12*(1+Salary_Raise)^(O$5-1)</f>
        <v>0</v>
      </c>
      <c r="P46" s="33" t="n">
        <f aca="false">P16*'Hiring plan'!$K$12*(1+Salary_Raise)^(P$5-1)</f>
        <v>0</v>
      </c>
      <c r="Q46" s="33" t="n">
        <f aca="false">Q16*'Hiring plan'!$K$12*(1+Salary_Raise)^(Q$5-1)</f>
        <v>0</v>
      </c>
      <c r="R46" s="33" t="n">
        <f aca="false">R16*'Hiring plan'!$K$12*(1+Salary_Raise)^(R$5-1)</f>
        <v>0</v>
      </c>
      <c r="S46" s="33" t="n">
        <f aca="false">S16*'Hiring plan'!$K$12*(1+Salary_Raise)^(S$5-1)</f>
        <v>0</v>
      </c>
      <c r="T46" s="33" t="n">
        <f aca="false">T16*'Hiring plan'!$K$12*(1+Salary_Raise)^(T$5-1)</f>
        <v>0</v>
      </c>
      <c r="U46" s="33" t="n">
        <f aca="false">U16*'Hiring plan'!$K$12*(1+Salary_Raise)^(U$5-1)</f>
        <v>0</v>
      </c>
      <c r="V46" s="33" t="n">
        <f aca="false">V16*'Hiring plan'!$K$12*(1+Salary_Raise)^(V$5-1)</f>
        <v>0</v>
      </c>
      <c r="W46" s="33" t="n">
        <f aca="false">W16*'Hiring plan'!$K$12*(1+Salary_Raise)^(W$5-1)</f>
        <v>0</v>
      </c>
      <c r="X46" s="33" t="n">
        <f aca="false">X16*'Hiring plan'!$K$12*(1+Salary_Raise)^(X$5-1)</f>
        <v>0</v>
      </c>
      <c r="Y46" s="33" t="n">
        <f aca="false">Y16*'Hiring plan'!$K$12*(1+Salary_Raise)^(Y$5-1)</f>
        <v>0</v>
      </c>
      <c r="Z46" s="33" t="n">
        <f aca="false">Z16*'Hiring plan'!$K$12*(1+Salary_Raise)^(Z$5-1)</f>
        <v>0</v>
      </c>
      <c r="AA46" s="33" t="n">
        <f aca="false">AA16*'Hiring plan'!$K$12*(1+Salary_Raise)^(AA$5-1)</f>
        <v>0</v>
      </c>
      <c r="AB46" s="33" t="n">
        <f aca="false">AB16*'Hiring plan'!$K$12*(1+Salary_Raise)^(AB$5-1)</f>
        <v>2047500</v>
      </c>
      <c r="AC46" s="33" t="n">
        <f aca="false">AC16*'Hiring plan'!$K$12*(1+Salary_Raise)^(AC$5-1)</f>
        <v>2149875</v>
      </c>
      <c r="AD46" s="33" t="n">
        <f aca="false">AD16*'Hiring plan'!$K$12*(1+Salary_Raise)^(AD$5-1)</f>
        <v>2149875</v>
      </c>
      <c r="AE46" s="33" t="n">
        <f aca="false">AE16*'Hiring plan'!$K$12*(1+Salary_Raise)^(AE$5-1)</f>
        <v>2149875</v>
      </c>
      <c r="AF46" s="33" t="n">
        <f aca="false">AF16*'Hiring plan'!$K$12*(1+Salary_Raise)^(AF$5-1)</f>
        <v>2149875</v>
      </c>
      <c r="AG46" s="33" t="n">
        <f aca="false">AG16*'Hiring plan'!$K$12*(1+Salary_Raise)^(AG$5-1)</f>
        <v>2149875</v>
      </c>
      <c r="AH46" s="33" t="n">
        <f aca="false">AH16*'Hiring plan'!$K$12*(1+Salary_Raise)^(AH$5-1)</f>
        <v>2149875</v>
      </c>
      <c r="AI46" s="33" t="n">
        <f aca="false">AI16*'Hiring plan'!$K$12*(1+Salary_Raise)^(AI$5-1)</f>
        <v>2149875</v>
      </c>
      <c r="AJ46" s="33" t="n">
        <f aca="false">AJ16*'Hiring plan'!$K$12*(1+Salary_Raise)^(AJ$5-1)</f>
        <v>2149875</v>
      </c>
      <c r="AK46" s="33" t="n">
        <f aca="false">AK16*'Hiring plan'!$K$12*(1+Salary_Raise)^(AK$5-1)</f>
        <v>2149875</v>
      </c>
      <c r="AL46" s="33" t="n">
        <f aca="false">AL16*'Hiring plan'!$K$12*(1+Salary_Raise)^(AL$5-1)</f>
        <v>2149875</v>
      </c>
      <c r="AM46" s="33" t="n">
        <f aca="false">AM16*'Hiring plan'!$K$12*(1+Salary_Raise)^(AM$5-1)</f>
        <v>2149875</v>
      </c>
      <c r="AN46" s="33" t="n">
        <f aca="false">AN16*'Hiring plan'!$K$12*(1+Salary_Raise)^(AN$5-1)</f>
        <v>2149875</v>
      </c>
      <c r="AO46" s="33" t="n">
        <f aca="false">AO16*'Hiring plan'!$K$12*(1+Salary_Raise)^(AO$5-1)</f>
        <v>2257368.75</v>
      </c>
      <c r="AP46" s="33" t="n">
        <f aca="false">AP16*'Hiring plan'!$K$12*(1+Salary_Raise)^(AP$5-1)</f>
        <v>2257368.75</v>
      </c>
      <c r="AQ46" s="33" t="n">
        <f aca="false">AQ16*'Hiring plan'!$K$12*(1+Salary_Raise)^(AQ$5-1)</f>
        <v>2257368.75</v>
      </c>
      <c r="AR46" s="33" t="n">
        <f aca="false">AR16*'Hiring plan'!$K$12*(1+Salary_Raise)^(AR$5-1)</f>
        <v>2257368.75</v>
      </c>
      <c r="AS46" s="33" t="n">
        <f aca="false">AS16*'Hiring plan'!$K$12*(1+Salary_Raise)^(AS$5-1)</f>
        <v>2257368.75</v>
      </c>
      <c r="AT46" s="33" t="n">
        <f aca="false">AT16*'Hiring plan'!$K$12*(1+Salary_Raise)^(AT$5-1)</f>
        <v>2257368.75</v>
      </c>
      <c r="AU46" s="33" t="n">
        <f aca="false">AU16*'Hiring plan'!$K$12*(1+Salary_Raise)^(AU$5-1)</f>
        <v>2257368.75</v>
      </c>
      <c r="AV46" s="33" t="n">
        <f aca="false">AV16*'Hiring plan'!$K$12*(1+Salary_Raise)^(AV$5-1)</f>
        <v>2257368.75</v>
      </c>
      <c r="AW46" s="33" t="n">
        <f aca="false">AW16*'Hiring plan'!$K$12*(1+Salary_Raise)^(AW$5-1)</f>
        <v>2257368.75</v>
      </c>
      <c r="AX46" s="33" t="n">
        <f aca="false">AX16*'Hiring plan'!$K$12*(1+Salary_Raise)^(AX$5-1)</f>
        <v>2257368.75</v>
      </c>
      <c r="AY46" s="33" t="n">
        <f aca="false">AY16*'Hiring plan'!$K$12*(1+Salary_Raise)^(AY$5-1)</f>
        <v>2257368.75</v>
      </c>
      <c r="AZ46" s="33" t="n">
        <f aca="false">AZ16*'Hiring plan'!$K$12*(1+Salary_Raise)^(AZ$5-1)</f>
        <v>2257368.75</v>
      </c>
      <c r="BA46" s="33" t="n">
        <f aca="false">BA16*'Hiring plan'!$K$12*(1+Salary_Raise)^(BA$5-1)</f>
        <v>2370237.1875</v>
      </c>
      <c r="BB46" s="33" t="n">
        <f aca="false">BB16*'Hiring plan'!$K$12*(1+Salary_Raise)^(BB$5-1)</f>
        <v>2370237.1875</v>
      </c>
      <c r="BC46" s="33" t="n">
        <f aca="false">BC16*'Hiring plan'!$K$12*(1+Salary_Raise)^(BC$5-1)</f>
        <v>2370237.1875</v>
      </c>
      <c r="BD46" s="33" t="n">
        <f aca="false">BD16*'Hiring plan'!$K$12*(1+Salary_Raise)^(BD$5-1)</f>
        <v>2370237.1875</v>
      </c>
      <c r="BE46" s="33" t="n">
        <f aca="false">BE16*'Hiring plan'!$K$12*(1+Salary_Raise)^(BE$5-1)</f>
        <v>2370237.1875</v>
      </c>
      <c r="BF46" s="33" t="n">
        <f aca="false">BF16*'Hiring plan'!$K$12*(1+Salary_Raise)^(BF$5-1)</f>
        <v>2370237.1875</v>
      </c>
      <c r="BG46" s="33" t="n">
        <f aca="false">BG16*'Hiring plan'!$K$12*(1+Salary_Raise)^(BG$5-1)</f>
        <v>2370237.1875</v>
      </c>
      <c r="BH46" s="33" t="n">
        <f aca="false">BH16*'Hiring plan'!$K$12*(1+Salary_Raise)^(BH$5-1)</f>
        <v>2370237.1875</v>
      </c>
      <c r="BI46" s="33" t="n">
        <f aca="false">BI16*'Hiring plan'!$K$12*(1+Salary_Raise)^(BI$5-1)</f>
        <v>2370237.1875</v>
      </c>
      <c r="BJ46" s="33" t="n">
        <f aca="false">BJ16*'Hiring plan'!$K$12*(1+Salary_Raise)^(BJ$5-1)</f>
        <v>2370237.1875</v>
      </c>
      <c r="BK46" s="33" t="n">
        <f aca="false">BK16*'Hiring plan'!$K$12*(1+Salary_Raise)^(BK$5-1)</f>
        <v>2370237.1875</v>
      </c>
      <c r="BL46" s="33" t="n">
        <f aca="false">BL16*'Hiring plan'!$K$12*(1+Salary_Raise)^(BL$5-1)</f>
        <v>2370237.1875</v>
      </c>
    </row>
    <row r="47" customFormat="false" ht="15" hidden="false" customHeight="true" outlineLevel="0" collapsed="false">
      <c r="A47" s="13" t="str">
        <f aca="false">A17</f>
        <v>(spare line 9)</v>
      </c>
      <c r="B47" s="15" t="s">
        <v>77</v>
      </c>
      <c r="D47" s="56" t="n">
        <f aca="false">SUM(E47:BL47)</f>
        <v>0</v>
      </c>
      <c r="E47" s="33" t="n">
        <f aca="false">E17*'Hiring plan'!$K$13*(1+Salary_Raise)^(E$5-1)</f>
        <v>0</v>
      </c>
      <c r="F47" s="33" t="n">
        <f aca="false">F17*'Hiring plan'!$K$13*(1+Salary_Raise)^(F$5-1)</f>
        <v>0</v>
      </c>
      <c r="G47" s="33" t="n">
        <f aca="false">G17*'Hiring plan'!$K$13*(1+Salary_Raise)^(G$5-1)</f>
        <v>0</v>
      </c>
      <c r="H47" s="33" t="n">
        <f aca="false">H17*'Hiring plan'!$K$13*(1+Salary_Raise)^(H$5-1)</f>
        <v>0</v>
      </c>
      <c r="I47" s="33" t="n">
        <f aca="false">I17*'Hiring plan'!$K$13*(1+Salary_Raise)^(I$5-1)</f>
        <v>0</v>
      </c>
      <c r="J47" s="33" t="n">
        <f aca="false">J17*'Hiring plan'!$K$13*(1+Salary_Raise)^(J$5-1)</f>
        <v>0</v>
      </c>
      <c r="K47" s="33" t="n">
        <f aca="false">K17*'Hiring plan'!$K$13*(1+Salary_Raise)^(K$5-1)</f>
        <v>0</v>
      </c>
      <c r="L47" s="33" t="n">
        <f aca="false">L17*'Hiring plan'!$K$13*(1+Salary_Raise)^(L$5-1)</f>
        <v>0</v>
      </c>
      <c r="M47" s="33" t="n">
        <f aca="false">M17*'Hiring plan'!$K$13*(1+Salary_Raise)^(M$5-1)</f>
        <v>0</v>
      </c>
      <c r="N47" s="33" t="n">
        <f aca="false">N17*'Hiring plan'!$K$13*(1+Salary_Raise)^(N$5-1)</f>
        <v>0</v>
      </c>
      <c r="O47" s="33" t="n">
        <f aca="false">O17*'Hiring plan'!$K$13*(1+Salary_Raise)^(O$5-1)</f>
        <v>0</v>
      </c>
      <c r="P47" s="33" t="n">
        <f aca="false">P17*'Hiring plan'!$K$13*(1+Salary_Raise)^(P$5-1)</f>
        <v>0</v>
      </c>
      <c r="Q47" s="33" t="n">
        <f aca="false">Q17*'Hiring plan'!$K$13*(1+Salary_Raise)^(Q$5-1)</f>
        <v>0</v>
      </c>
      <c r="R47" s="33" t="n">
        <f aca="false">R17*'Hiring plan'!$K$13*(1+Salary_Raise)^(R$5-1)</f>
        <v>0</v>
      </c>
      <c r="S47" s="33" t="n">
        <f aca="false">S17*'Hiring plan'!$K$13*(1+Salary_Raise)^(S$5-1)</f>
        <v>0</v>
      </c>
      <c r="T47" s="33" t="n">
        <f aca="false">T17*'Hiring plan'!$K$13*(1+Salary_Raise)^(T$5-1)</f>
        <v>0</v>
      </c>
      <c r="U47" s="33" t="n">
        <f aca="false">U17*'Hiring plan'!$K$13*(1+Salary_Raise)^(U$5-1)</f>
        <v>0</v>
      </c>
      <c r="V47" s="33" t="n">
        <f aca="false">V17*'Hiring plan'!$K$13*(1+Salary_Raise)^(V$5-1)</f>
        <v>0</v>
      </c>
      <c r="W47" s="33" t="n">
        <f aca="false">W17*'Hiring plan'!$K$13*(1+Salary_Raise)^(W$5-1)</f>
        <v>0</v>
      </c>
      <c r="X47" s="33" t="n">
        <f aca="false">X17*'Hiring plan'!$K$13*(1+Salary_Raise)^(X$5-1)</f>
        <v>0</v>
      </c>
      <c r="Y47" s="33" t="n">
        <f aca="false">Y17*'Hiring plan'!$K$13*(1+Salary_Raise)^(Y$5-1)</f>
        <v>0</v>
      </c>
      <c r="Z47" s="33" t="n">
        <f aca="false">Z17*'Hiring plan'!$K$13*(1+Salary_Raise)^(Z$5-1)</f>
        <v>0</v>
      </c>
      <c r="AA47" s="33" t="n">
        <f aca="false">AA17*'Hiring plan'!$K$13*(1+Salary_Raise)^(AA$5-1)</f>
        <v>0</v>
      </c>
      <c r="AB47" s="33" t="n">
        <f aca="false">AB17*'Hiring plan'!$K$13*(1+Salary_Raise)^(AB$5-1)</f>
        <v>0</v>
      </c>
      <c r="AC47" s="33" t="n">
        <f aca="false">AC17*'Hiring plan'!$K$13*(1+Salary_Raise)^(AC$5-1)</f>
        <v>0</v>
      </c>
      <c r="AD47" s="33" t="n">
        <f aca="false">AD17*'Hiring plan'!$K$13*(1+Salary_Raise)^(AD$5-1)</f>
        <v>0</v>
      </c>
      <c r="AE47" s="33" t="n">
        <f aca="false">AE17*'Hiring plan'!$K$13*(1+Salary_Raise)^(AE$5-1)</f>
        <v>0</v>
      </c>
      <c r="AF47" s="33" t="n">
        <f aca="false">AF17*'Hiring plan'!$K$13*(1+Salary_Raise)^(AF$5-1)</f>
        <v>0</v>
      </c>
      <c r="AG47" s="33" t="n">
        <f aca="false">AG17*'Hiring plan'!$K$13*(1+Salary_Raise)^(AG$5-1)</f>
        <v>0</v>
      </c>
      <c r="AH47" s="33" t="n">
        <f aca="false">AH17*'Hiring plan'!$K$13*(1+Salary_Raise)^(AH$5-1)</f>
        <v>0</v>
      </c>
      <c r="AI47" s="33" t="n">
        <f aca="false">AI17*'Hiring plan'!$K$13*(1+Salary_Raise)^(AI$5-1)</f>
        <v>0</v>
      </c>
      <c r="AJ47" s="33" t="n">
        <f aca="false">AJ17*'Hiring plan'!$K$13*(1+Salary_Raise)^(AJ$5-1)</f>
        <v>0</v>
      </c>
      <c r="AK47" s="33" t="n">
        <f aca="false">AK17*'Hiring plan'!$K$13*(1+Salary_Raise)^(AK$5-1)</f>
        <v>0</v>
      </c>
      <c r="AL47" s="33" t="n">
        <f aca="false">AL17*'Hiring plan'!$K$13*(1+Salary_Raise)^(AL$5-1)</f>
        <v>0</v>
      </c>
      <c r="AM47" s="33" t="n">
        <f aca="false">AM17*'Hiring plan'!$K$13*(1+Salary_Raise)^(AM$5-1)</f>
        <v>0</v>
      </c>
      <c r="AN47" s="33" t="n">
        <f aca="false">AN17*'Hiring plan'!$K$13*(1+Salary_Raise)^(AN$5-1)</f>
        <v>0</v>
      </c>
      <c r="AO47" s="33" t="n">
        <f aca="false">AO17*'Hiring plan'!$K$13*(1+Salary_Raise)^(AO$5-1)</f>
        <v>0</v>
      </c>
      <c r="AP47" s="33" t="n">
        <f aca="false">AP17*'Hiring plan'!$K$13*(1+Salary_Raise)^(AP$5-1)</f>
        <v>0</v>
      </c>
      <c r="AQ47" s="33" t="n">
        <f aca="false">AQ17*'Hiring plan'!$K$13*(1+Salary_Raise)^(AQ$5-1)</f>
        <v>0</v>
      </c>
      <c r="AR47" s="33" t="n">
        <f aca="false">AR17*'Hiring plan'!$K$13*(1+Salary_Raise)^(AR$5-1)</f>
        <v>0</v>
      </c>
      <c r="AS47" s="33" t="n">
        <f aca="false">AS17*'Hiring plan'!$K$13*(1+Salary_Raise)^(AS$5-1)</f>
        <v>0</v>
      </c>
      <c r="AT47" s="33" t="n">
        <f aca="false">AT17*'Hiring plan'!$K$13*(1+Salary_Raise)^(AT$5-1)</f>
        <v>0</v>
      </c>
      <c r="AU47" s="33" t="n">
        <f aca="false">AU17*'Hiring plan'!$K$13*(1+Salary_Raise)^(AU$5-1)</f>
        <v>0</v>
      </c>
      <c r="AV47" s="33" t="n">
        <f aca="false">AV17*'Hiring plan'!$K$13*(1+Salary_Raise)^(AV$5-1)</f>
        <v>0</v>
      </c>
      <c r="AW47" s="33" t="n">
        <f aca="false">AW17*'Hiring plan'!$K$13*(1+Salary_Raise)^(AW$5-1)</f>
        <v>0</v>
      </c>
      <c r="AX47" s="33" t="n">
        <f aca="false">AX17*'Hiring plan'!$K$13*(1+Salary_Raise)^(AX$5-1)</f>
        <v>0</v>
      </c>
      <c r="AY47" s="33" t="n">
        <f aca="false">AY17*'Hiring plan'!$K$13*(1+Salary_Raise)^(AY$5-1)</f>
        <v>0</v>
      </c>
      <c r="AZ47" s="33" t="n">
        <f aca="false">AZ17*'Hiring plan'!$K$13*(1+Salary_Raise)^(AZ$5-1)</f>
        <v>0</v>
      </c>
      <c r="BA47" s="33" t="n">
        <f aca="false">BA17*'Hiring plan'!$K$13*(1+Salary_Raise)^(BA$5-1)</f>
        <v>0</v>
      </c>
      <c r="BB47" s="33" t="n">
        <f aca="false">BB17*'Hiring plan'!$K$13*(1+Salary_Raise)^(BB$5-1)</f>
        <v>0</v>
      </c>
      <c r="BC47" s="33" t="n">
        <f aca="false">BC17*'Hiring plan'!$K$13*(1+Salary_Raise)^(BC$5-1)</f>
        <v>0</v>
      </c>
      <c r="BD47" s="33" t="n">
        <f aca="false">BD17*'Hiring plan'!$K$13*(1+Salary_Raise)^(BD$5-1)</f>
        <v>0</v>
      </c>
      <c r="BE47" s="33" t="n">
        <f aca="false">BE17*'Hiring plan'!$K$13*(1+Salary_Raise)^(BE$5-1)</f>
        <v>0</v>
      </c>
      <c r="BF47" s="33" t="n">
        <f aca="false">BF17*'Hiring plan'!$K$13*(1+Salary_Raise)^(BF$5-1)</f>
        <v>0</v>
      </c>
      <c r="BG47" s="33" t="n">
        <f aca="false">BG17*'Hiring plan'!$K$13*(1+Salary_Raise)^(BG$5-1)</f>
        <v>0</v>
      </c>
      <c r="BH47" s="33" t="n">
        <f aca="false">BH17*'Hiring plan'!$K$13*(1+Salary_Raise)^(BH$5-1)</f>
        <v>0</v>
      </c>
      <c r="BI47" s="33" t="n">
        <f aca="false">BI17*'Hiring plan'!$K$13*(1+Salary_Raise)^(BI$5-1)</f>
        <v>0</v>
      </c>
      <c r="BJ47" s="33" t="n">
        <f aca="false">BJ17*'Hiring plan'!$K$13*(1+Salary_Raise)^(BJ$5-1)</f>
        <v>0</v>
      </c>
      <c r="BK47" s="33" t="n">
        <f aca="false">BK17*'Hiring plan'!$K$13*(1+Salary_Raise)^(BK$5-1)</f>
        <v>0</v>
      </c>
      <c r="BL47" s="33" t="n">
        <f aca="false">BL17*'Hiring plan'!$K$13*(1+Salary_Raise)^(BL$5-1)</f>
        <v>0</v>
      </c>
    </row>
    <row r="48" customFormat="false" ht="15" hidden="false" customHeight="true" outlineLevel="0" collapsed="false">
      <c r="A48" s="13" t="str">
        <f aca="false">A18</f>
        <v>(spare line 10)</v>
      </c>
      <c r="B48" s="15" t="s">
        <v>77</v>
      </c>
      <c r="D48" s="56" t="n">
        <f aca="false">SUM(E48:BL48)</f>
        <v>0</v>
      </c>
      <c r="E48" s="33" t="n">
        <f aca="false">E18*'Hiring plan'!$K$14*(1+Salary_Raise)^(E$5-1)</f>
        <v>0</v>
      </c>
      <c r="F48" s="33" t="n">
        <f aca="false">F18*'Hiring plan'!$K$14*(1+Salary_Raise)^(F$5-1)</f>
        <v>0</v>
      </c>
      <c r="G48" s="33" t="n">
        <f aca="false">G18*'Hiring plan'!$K$14*(1+Salary_Raise)^(G$5-1)</f>
        <v>0</v>
      </c>
      <c r="H48" s="33" t="n">
        <f aca="false">H18*'Hiring plan'!$K$14*(1+Salary_Raise)^(H$5-1)</f>
        <v>0</v>
      </c>
      <c r="I48" s="33" t="n">
        <f aca="false">I18*'Hiring plan'!$K$14*(1+Salary_Raise)^(I$5-1)</f>
        <v>0</v>
      </c>
      <c r="J48" s="33" t="n">
        <f aca="false">J18*'Hiring plan'!$K$14*(1+Salary_Raise)^(J$5-1)</f>
        <v>0</v>
      </c>
      <c r="K48" s="33" t="n">
        <f aca="false">K18*'Hiring plan'!$K$14*(1+Salary_Raise)^(K$5-1)</f>
        <v>0</v>
      </c>
      <c r="L48" s="33" t="n">
        <f aca="false">L18*'Hiring plan'!$K$14*(1+Salary_Raise)^(L$5-1)</f>
        <v>0</v>
      </c>
      <c r="M48" s="33" t="n">
        <f aca="false">M18*'Hiring plan'!$K$14*(1+Salary_Raise)^(M$5-1)</f>
        <v>0</v>
      </c>
      <c r="N48" s="33" t="n">
        <f aca="false">N18*'Hiring plan'!$K$14*(1+Salary_Raise)^(N$5-1)</f>
        <v>0</v>
      </c>
      <c r="O48" s="33" t="n">
        <f aca="false">O18*'Hiring plan'!$K$14*(1+Salary_Raise)^(O$5-1)</f>
        <v>0</v>
      </c>
      <c r="P48" s="33" t="n">
        <f aca="false">P18*'Hiring plan'!$K$14*(1+Salary_Raise)^(P$5-1)</f>
        <v>0</v>
      </c>
      <c r="Q48" s="33" t="n">
        <f aca="false">Q18*'Hiring plan'!$K$14*(1+Salary_Raise)^(Q$5-1)</f>
        <v>0</v>
      </c>
      <c r="R48" s="33" t="n">
        <f aca="false">R18*'Hiring plan'!$K$14*(1+Salary_Raise)^(R$5-1)</f>
        <v>0</v>
      </c>
      <c r="S48" s="33" t="n">
        <f aca="false">S18*'Hiring plan'!$K$14*(1+Salary_Raise)^(S$5-1)</f>
        <v>0</v>
      </c>
      <c r="T48" s="33" t="n">
        <f aca="false">T18*'Hiring plan'!$K$14*(1+Salary_Raise)^(T$5-1)</f>
        <v>0</v>
      </c>
      <c r="U48" s="33" t="n">
        <f aca="false">U18*'Hiring plan'!$K$14*(1+Salary_Raise)^(U$5-1)</f>
        <v>0</v>
      </c>
      <c r="V48" s="33" t="n">
        <f aca="false">V18*'Hiring plan'!$K$14*(1+Salary_Raise)^(V$5-1)</f>
        <v>0</v>
      </c>
      <c r="W48" s="33" t="n">
        <f aca="false">W18*'Hiring plan'!$K$14*(1+Salary_Raise)^(W$5-1)</f>
        <v>0</v>
      </c>
      <c r="X48" s="33" t="n">
        <f aca="false">X18*'Hiring plan'!$K$14*(1+Salary_Raise)^(X$5-1)</f>
        <v>0</v>
      </c>
      <c r="Y48" s="33" t="n">
        <f aca="false">Y18*'Hiring plan'!$K$14*(1+Salary_Raise)^(Y$5-1)</f>
        <v>0</v>
      </c>
      <c r="Z48" s="33" t="n">
        <f aca="false">Z18*'Hiring plan'!$K$14*(1+Salary_Raise)^(Z$5-1)</f>
        <v>0</v>
      </c>
      <c r="AA48" s="33" t="n">
        <f aca="false">AA18*'Hiring plan'!$K$14*(1+Salary_Raise)^(AA$5-1)</f>
        <v>0</v>
      </c>
      <c r="AB48" s="33" t="n">
        <f aca="false">AB18*'Hiring plan'!$K$14*(1+Salary_Raise)^(AB$5-1)</f>
        <v>0</v>
      </c>
      <c r="AC48" s="33" t="n">
        <f aca="false">AC18*'Hiring plan'!$K$14*(1+Salary_Raise)^(AC$5-1)</f>
        <v>0</v>
      </c>
      <c r="AD48" s="33" t="n">
        <f aca="false">AD18*'Hiring plan'!$K$14*(1+Salary_Raise)^(AD$5-1)</f>
        <v>0</v>
      </c>
      <c r="AE48" s="33" t="n">
        <f aca="false">AE18*'Hiring plan'!$K$14*(1+Salary_Raise)^(AE$5-1)</f>
        <v>0</v>
      </c>
      <c r="AF48" s="33" t="n">
        <f aca="false">AF18*'Hiring plan'!$K$14*(1+Salary_Raise)^(AF$5-1)</f>
        <v>0</v>
      </c>
      <c r="AG48" s="33" t="n">
        <f aca="false">AG18*'Hiring plan'!$K$14*(1+Salary_Raise)^(AG$5-1)</f>
        <v>0</v>
      </c>
      <c r="AH48" s="33" t="n">
        <f aca="false">AH18*'Hiring plan'!$K$14*(1+Salary_Raise)^(AH$5-1)</f>
        <v>0</v>
      </c>
      <c r="AI48" s="33" t="n">
        <f aca="false">AI18*'Hiring plan'!$K$14*(1+Salary_Raise)^(AI$5-1)</f>
        <v>0</v>
      </c>
      <c r="AJ48" s="33" t="n">
        <f aca="false">AJ18*'Hiring plan'!$K$14*(1+Salary_Raise)^(AJ$5-1)</f>
        <v>0</v>
      </c>
      <c r="AK48" s="33" t="n">
        <f aca="false">AK18*'Hiring plan'!$K$14*(1+Salary_Raise)^(AK$5-1)</f>
        <v>0</v>
      </c>
      <c r="AL48" s="33" t="n">
        <f aca="false">AL18*'Hiring plan'!$K$14*(1+Salary_Raise)^(AL$5-1)</f>
        <v>0</v>
      </c>
      <c r="AM48" s="33" t="n">
        <f aca="false">AM18*'Hiring plan'!$K$14*(1+Salary_Raise)^(AM$5-1)</f>
        <v>0</v>
      </c>
      <c r="AN48" s="33" t="n">
        <f aca="false">AN18*'Hiring plan'!$K$14*(1+Salary_Raise)^(AN$5-1)</f>
        <v>0</v>
      </c>
      <c r="AO48" s="33" t="n">
        <f aca="false">AO18*'Hiring plan'!$K$14*(1+Salary_Raise)^(AO$5-1)</f>
        <v>0</v>
      </c>
      <c r="AP48" s="33" t="n">
        <f aca="false">AP18*'Hiring plan'!$K$14*(1+Salary_Raise)^(AP$5-1)</f>
        <v>0</v>
      </c>
      <c r="AQ48" s="33" t="n">
        <f aca="false">AQ18*'Hiring plan'!$K$14*(1+Salary_Raise)^(AQ$5-1)</f>
        <v>0</v>
      </c>
      <c r="AR48" s="33" t="n">
        <f aca="false">AR18*'Hiring plan'!$K$14*(1+Salary_Raise)^(AR$5-1)</f>
        <v>0</v>
      </c>
      <c r="AS48" s="33" t="n">
        <f aca="false">AS18*'Hiring plan'!$K$14*(1+Salary_Raise)^(AS$5-1)</f>
        <v>0</v>
      </c>
      <c r="AT48" s="33" t="n">
        <f aca="false">AT18*'Hiring plan'!$K$14*(1+Salary_Raise)^(AT$5-1)</f>
        <v>0</v>
      </c>
      <c r="AU48" s="33" t="n">
        <f aca="false">AU18*'Hiring plan'!$K$14*(1+Salary_Raise)^(AU$5-1)</f>
        <v>0</v>
      </c>
      <c r="AV48" s="33" t="n">
        <f aca="false">AV18*'Hiring plan'!$K$14*(1+Salary_Raise)^(AV$5-1)</f>
        <v>0</v>
      </c>
      <c r="AW48" s="33" t="n">
        <f aca="false">AW18*'Hiring plan'!$K$14*(1+Salary_Raise)^(AW$5-1)</f>
        <v>0</v>
      </c>
      <c r="AX48" s="33" t="n">
        <f aca="false">AX18*'Hiring plan'!$K$14*(1+Salary_Raise)^(AX$5-1)</f>
        <v>0</v>
      </c>
      <c r="AY48" s="33" t="n">
        <f aca="false">AY18*'Hiring plan'!$K$14*(1+Salary_Raise)^(AY$5-1)</f>
        <v>0</v>
      </c>
      <c r="AZ48" s="33" t="n">
        <f aca="false">AZ18*'Hiring plan'!$K$14*(1+Salary_Raise)^(AZ$5-1)</f>
        <v>0</v>
      </c>
      <c r="BA48" s="33" t="n">
        <f aca="false">BA18*'Hiring plan'!$K$14*(1+Salary_Raise)^(BA$5-1)</f>
        <v>0</v>
      </c>
      <c r="BB48" s="33" t="n">
        <f aca="false">BB18*'Hiring plan'!$K$14*(1+Salary_Raise)^(BB$5-1)</f>
        <v>0</v>
      </c>
      <c r="BC48" s="33" t="n">
        <f aca="false">BC18*'Hiring plan'!$K$14*(1+Salary_Raise)^(BC$5-1)</f>
        <v>0</v>
      </c>
      <c r="BD48" s="33" t="n">
        <f aca="false">BD18*'Hiring plan'!$K$14*(1+Salary_Raise)^(BD$5-1)</f>
        <v>0</v>
      </c>
      <c r="BE48" s="33" t="n">
        <f aca="false">BE18*'Hiring plan'!$K$14*(1+Salary_Raise)^(BE$5-1)</f>
        <v>0</v>
      </c>
      <c r="BF48" s="33" t="n">
        <f aca="false">BF18*'Hiring plan'!$K$14*(1+Salary_Raise)^(BF$5-1)</f>
        <v>0</v>
      </c>
      <c r="BG48" s="33" t="n">
        <f aca="false">BG18*'Hiring plan'!$K$14*(1+Salary_Raise)^(BG$5-1)</f>
        <v>0</v>
      </c>
      <c r="BH48" s="33" t="n">
        <f aca="false">BH18*'Hiring plan'!$K$14*(1+Salary_Raise)^(BH$5-1)</f>
        <v>0</v>
      </c>
      <c r="BI48" s="33" t="n">
        <f aca="false">BI18*'Hiring plan'!$K$14*(1+Salary_Raise)^(BI$5-1)</f>
        <v>0</v>
      </c>
      <c r="BJ48" s="33" t="n">
        <f aca="false">BJ18*'Hiring plan'!$K$14*(1+Salary_Raise)^(BJ$5-1)</f>
        <v>0</v>
      </c>
      <c r="BK48" s="33" t="n">
        <f aca="false">BK18*'Hiring plan'!$K$14*(1+Salary_Raise)^(BK$5-1)</f>
        <v>0</v>
      </c>
      <c r="BL48" s="33" t="n">
        <f aca="false">BL18*'Hiring plan'!$K$14*(1+Salary_Raise)^(BL$5-1)</f>
        <v>0</v>
      </c>
    </row>
    <row r="49" customFormat="false" ht="15" hidden="false" customHeight="true" outlineLevel="0" collapsed="false">
      <c r="A49" s="13" t="str">
        <f aca="false">A19</f>
        <v>(spare line 11)</v>
      </c>
      <c r="B49" s="15" t="s">
        <v>77</v>
      </c>
      <c r="D49" s="56" t="n">
        <f aca="false">SUM(E49:BL49)</f>
        <v>0</v>
      </c>
      <c r="E49" s="33" t="n">
        <f aca="false">E19*'Hiring plan'!$K$15*(1+Salary_Raise)^(E$5-1)</f>
        <v>0</v>
      </c>
      <c r="F49" s="33" t="n">
        <f aca="false">F19*'Hiring plan'!$K$15*(1+Salary_Raise)^(F$5-1)</f>
        <v>0</v>
      </c>
      <c r="G49" s="33" t="n">
        <f aca="false">G19*'Hiring plan'!$K$15*(1+Salary_Raise)^(G$5-1)</f>
        <v>0</v>
      </c>
      <c r="H49" s="33" t="n">
        <f aca="false">H19*'Hiring plan'!$K$15*(1+Salary_Raise)^(H$5-1)</f>
        <v>0</v>
      </c>
      <c r="I49" s="33" t="n">
        <f aca="false">I19*'Hiring plan'!$K$15*(1+Salary_Raise)^(I$5-1)</f>
        <v>0</v>
      </c>
      <c r="J49" s="33" t="n">
        <f aca="false">J19*'Hiring plan'!$K$15*(1+Salary_Raise)^(J$5-1)</f>
        <v>0</v>
      </c>
      <c r="K49" s="33" t="n">
        <f aca="false">K19*'Hiring plan'!$K$15*(1+Salary_Raise)^(K$5-1)</f>
        <v>0</v>
      </c>
      <c r="L49" s="33" t="n">
        <f aca="false">L19*'Hiring plan'!$K$15*(1+Salary_Raise)^(L$5-1)</f>
        <v>0</v>
      </c>
      <c r="M49" s="33" t="n">
        <f aca="false">M19*'Hiring plan'!$K$15*(1+Salary_Raise)^(M$5-1)</f>
        <v>0</v>
      </c>
      <c r="N49" s="33" t="n">
        <f aca="false">N19*'Hiring plan'!$K$15*(1+Salary_Raise)^(N$5-1)</f>
        <v>0</v>
      </c>
      <c r="O49" s="33" t="n">
        <f aca="false">O19*'Hiring plan'!$K$15*(1+Salary_Raise)^(O$5-1)</f>
        <v>0</v>
      </c>
      <c r="P49" s="33" t="n">
        <f aca="false">P19*'Hiring plan'!$K$15*(1+Salary_Raise)^(P$5-1)</f>
        <v>0</v>
      </c>
      <c r="Q49" s="33" t="n">
        <f aca="false">Q19*'Hiring plan'!$K$15*(1+Salary_Raise)^(Q$5-1)</f>
        <v>0</v>
      </c>
      <c r="R49" s="33" t="n">
        <f aca="false">R19*'Hiring plan'!$K$15*(1+Salary_Raise)^(R$5-1)</f>
        <v>0</v>
      </c>
      <c r="S49" s="33" t="n">
        <f aca="false">S19*'Hiring plan'!$K$15*(1+Salary_Raise)^(S$5-1)</f>
        <v>0</v>
      </c>
      <c r="T49" s="33" t="n">
        <f aca="false">T19*'Hiring plan'!$K$15*(1+Salary_Raise)^(T$5-1)</f>
        <v>0</v>
      </c>
      <c r="U49" s="33" t="n">
        <f aca="false">U19*'Hiring plan'!$K$15*(1+Salary_Raise)^(U$5-1)</f>
        <v>0</v>
      </c>
      <c r="V49" s="33" t="n">
        <f aca="false">V19*'Hiring plan'!$K$15*(1+Salary_Raise)^(V$5-1)</f>
        <v>0</v>
      </c>
      <c r="W49" s="33" t="n">
        <f aca="false">W19*'Hiring plan'!$K$15*(1+Salary_Raise)^(W$5-1)</f>
        <v>0</v>
      </c>
      <c r="X49" s="33" t="n">
        <f aca="false">X19*'Hiring plan'!$K$15*(1+Salary_Raise)^(X$5-1)</f>
        <v>0</v>
      </c>
      <c r="Y49" s="33" t="n">
        <f aca="false">Y19*'Hiring plan'!$K$15*(1+Salary_Raise)^(Y$5-1)</f>
        <v>0</v>
      </c>
      <c r="Z49" s="33" t="n">
        <f aca="false">Z19*'Hiring plan'!$K$15*(1+Salary_Raise)^(Z$5-1)</f>
        <v>0</v>
      </c>
      <c r="AA49" s="33" t="n">
        <f aca="false">AA19*'Hiring plan'!$K$15*(1+Salary_Raise)^(AA$5-1)</f>
        <v>0</v>
      </c>
      <c r="AB49" s="33" t="n">
        <f aca="false">AB19*'Hiring plan'!$K$15*(1+Salary_Raise)^(AB$5-1)</f>
        <v>0</v>
      </c>
      <c r="AC49" s="33" t="n">
        <f aca="false">AC19*'Hiring plan'!$K$15*(1+Salary_Raise)^(AC$5-1)</f>
        <v>0</v>
      </c>
      <c r="AD49" s="33" t="n">
        <f aca="false">AD19*'Hiring plan'!$K$15*(1+Salary_Raise)^(AD$5-1)</f>
        <v>0</v>
      </c>
      <c r="AE49" s="33" t="n">
        <f aca="false">AE19*'Hiring plan'!$K$15*(1+Salary_Raise)^(AE$5-1)</f>
        <v>0</v>
      </c>
      <c r="AF49" s="33" t="n">
        <f aca="false">AF19*'Hiring plan'!$K$15*(1+Salary_Raise)^(AF$5-1)</f>
        <v>0</v>
      </c>
      <c r="AG49" s="33" t="n">
        <f aca="false">AG19*'Hiring plan'!$K$15*(1+Salary_Raise)^(AG$5-1)</f>
        <v>0</v>
      </c>
      <c r="AH49" s="33" t="n">
        <f aca="false">AH19*'Hiring plan'!$K$15*(1+Salary_Raise)^(AH$5-1)</f>
        <v>0</v>
      </c>
      <c r="AI49" s="33" t="n">
        <f aca="false">AI19*'Hiring plan'!$K$15*(1+Salary_Raise)^(AI$5-1)</f>
        <v>0</v>
      </c>
      <c r="AJ49" s="33" t="n">
        <f aca="false">AJ19*'Hiring plan'!$K$15*(1+Salary_Raise)^(AJ$5-1)</f>
        <v>0</v>
      </c>
      <c r="AK49" s="33" t="n">
        <f aca="false">AK19*'Hiring plan'!$K$15*(1+Salary_Raise)^(AK$5-1)</f>
        <v>0</v>
      </c>
      <c r="AL49" s="33" t="n">
        <f aca="false">AL19*'Hiring plan'!$K$15*(1+Salary_Raise)^(AL$5-1)</f>
        <v>0</v>
      </c>
      <c r="AM49" s="33" t="n">
        <f aca="false">AM19*'Hiring plan'!$K$15*(1+Salary_Raise)^(AM$5-1)</f>
        <v>0</v>
      </c>
      <c r="AN49" s="33" t="n">
        <f aca="false">AN19*'Hiring plan'!$K$15*(1+Salary_Raise)^(AN$5-1)</f>
        <v>0</v>
      </c>
      <c r="AO49" s="33" t="n">
        <f aca="false">AO19*'Hiring plan'!$K$15*(1+Salary_Raise)^(AO$5-1)</f>
        <v>0</v>
      </c>
      <c r="AP49" s="33" t="n">
        <f aca="false">AP19*'Hiring plan'!$K$15*(1+Salary_Raise)^(AP$5-1)</f>
        <v>0</v>
      </c>
      <c r="AQ49" s="33" t="n">
        <f aca="false">AQ19*'Hiring plan'!$K$15*(1+Salary_Raise)^(AQ$5-1)</f>
        <v>0</v>
      </c>
      <c r="AR49" s="33" t="n">
        <f aca="false">AR19*'Hiring plan'!$K$15*(1+Salary_Raise)^(AR$5-1)</f>
        <v>0</v>
      </c>
      <c r="AS49" s="33" t="n">
        <f aca="false">AS19*'Hiring plan'!$K$15*(1+Salary_Raise)^(AS$5-1)</f>
        <v>0</v>
      </c>
      <c r="AT49" s="33" t="n">
        <f aca="false">AT19*'Hiring plan'!$K$15*(1+Salary_Raise)^(AT$5-1)</f>
        <v>0</v>
      </c>
      <c r="AU49" s="33" t="n">
        <f aca="false">AU19*'Hiring plan'!$K$15*(1+Salary_Raise)^(AU$5-1)</f>
        <v>0</v>
      </c>
      <c r="AV49" s="33" t="n">
        <f aca="false">AV19*'Hiring plan'!$K$15*(1+Salary_Raise)^(AV$5-1)</f>
        <v>0</v>
      </c>
      <c r="AW49" s="33" t="n">
        <f aca="false">AW19*'Hiring plan'!$K$15*(1+Salary_Raise)^(AW$5-1)</f>
        <v>0</v>
      </c>
      <c r="AX49" s="33" t="n">
        <f aca="false">AX19*'Hiring plan'!$K$15*(1+Salary_Raise)^(AX$5-1)</f>
        <v>0</v>
      </c>
      <c r="AY49" s="33" t="n">
        <f aca="false">AY19*'Hiring plan'!$K$15*(1+Salary_Raise)^(AY$5-1)</f>
        <v>0</v>
      </c>
      <c r="AZ49" s="33" t="n">
        <f aca="false">AZ19*'Hiring plan'!$K$15*(1+Salary_Raise)^(AZ$5-1)</f>
        <v>0</v>
      </c>
      <c r="BA49" s="33" t="n">
        <f aca="false">BA19*'Hiring plan'!$K$15*(1+Salary_Raise)^(BA$5-1)</f>
        <v>0</v>
      </c>
      <c r="BB49" s="33" t="n">
        <f aca="false">BB19*'Hiring plan'!$K$15*(1+Salary_Raise)^(BB$5-1)</f>
        <v>0</v>
      </c>
      <c r="BC49" s="33" t="n">
        <f aca="false">BC19*'Hiring plan'!$K$15*(1+Salary_Raise)^(BC$5-1)</f>
        <v>0</v>
      </c>
      <c r="BD49" s="33" t="n">
        <f aca="false">BD19*'Hiring plan'!$K$15*(1+Salary_Raise)^(BD$5-1)</f>
        <v>0</v>
      </c>
      <c r="BE49" s="33" t="n">
        <f aca="false">BE19*'Hiring plan'!$K$15*(1+Salary_Raise)^(BE$5-1)</f>
        <v>0</v>
      </c>
      <c r="BF49" s="33" t="n">
        <f aca="false">BF19*'Hiring plan'!$K$15*(1+Salary_Raise)^(BF$5-1)</f>
        <v>0</v>
      </c>
      <c r="BG49" s="33" t="n">
        <f aca="false">BG19*'Hiring plan'!$K$15*(1+Salary_Raise)^(BG$5-1)</f>
        <v>0</v>
      </c>
      <c r="BH49" s="33" t="n">
        <f aca="false">BH19*'Hiring plan'!$K$15*(1+Salary_Raise)^(BH$5-1)</f>
        <v>0</v>
      </c>
      <c r="BI49" s="33" t="n">
        <f aca="false">BI19*'Hiring plan'!$K$15*(1+Salary_Raise)^(BI$5-1)</f>
        <v>0</v>
      </c>
      <c r="BJ49" s="33" t="n">
        <f aca="false">BJ19*'Hiring plan'!$K$15*(1+Salary_Raise)^(BJ$5-1)</f>
        <v>0</v>
      </c>
      <c r="BK49" s="33" t="n">
        <f aca="false">BK19*'Hiring plan'!$K$15*(1+Salary_Raise)^(BK$5-1)</f>
        <v>0</v>
      </c>
      <c r="BL49" s="33" t="n">
        <f aca="false">BL19*'Hiring plan'!$K$15*(1+Salary_Raise)^(BL$5-1)</f>
        <v>0</v>
      </c>
    </row>
    <row r="50" customFormat="false" ht="15" hidden="false" customHeight="true" outlineLevel="0" collapsed="false">
      <c r="A50" s="13" t="str">
        <f aca="false">A20</f>
        <v>(spare line 12)</v>
      </c>
      <c r="B50" s="15" t="s">
        <v>77</v>
      </c>
      <c r="D50" s="56" t="n">
        <f aca="false">SUM(E50:BL50)</f>
        <v>0</v>
      </c>
      <c r="E50" s="33" t="n">
        <f aca="false">E20*'Hiring plan'!$K$16*(1+Salary_Raise)^(E$5-1)</f>
        <v>0</v>
      </c>
      <c r="F50" s="33" t="n">
        <f aca="false">F20*'Hiring plan'!$K$16*(1+Salary_Raise)^(F$5-1)</f>
        <v>0</v>
      </c>
      <c r="G50" s="33" t="n">
        <f aca="false">G20*'Hiring plan'!$K$16*(1+Salary_Raise)^(G$5-1)</f>
        <v>0</v>
      </c>
      <c r="H50" s="33" t="n">
        <f aca="false">H20*'Hiring plan'!$K$16*(1+Salary_Raise)^(H$5-1)</f>
        <v>0</v>
      </c>
      <c r="I50" s="33" t="n">
        <f aca="false">I20*'Hiring plan'!$K$16*(1+Salary_Raise)^(I$5-1)</f>
        <v>0</v>
      </c>
      <c r="J50" s="33" t="n">
        <f aca="false">J20*'Hiring plan'!$K$16*(1+Salary_Raise)^(J$5-1)</f>
        <v>0</v>
      </c>
      <c r="K50" s="33" t="n">
        <f aca="false">K20*'Hiring plan'!$K$16*(1+Salary_Raise)^(K$5-1)</f>
        <v>0</v>
      </c>
      <c r="L50" s="33" t="n">
        <f aca="false">L20*'Hiring plan'!$K$16*(1+Salary_Raise)^(L$5-1)</f>
        <v>0</v>
      </c>
      <c r="M50" s="33" t="n">
        <f aca="false">M20*'Hiring plan'!$K$16*(1+Salary_Raise)^(M$5-1)</f>
        <v>0</v>
      </c>
      <c r="N50" s="33" t="n">
        <f aca="false">N20*'Hiring plan'!$K$16*(1+Salary_Raise)^(N$5-1)</f>
        <v>0</v>
      </c>
      <c r="O50" s="33" t="n">
        <f aca="false">O20*'Hiring plan'!$K$16*(1+Salary_Raise)^(O$5-1)</f>
        <v>0</v>
      </c>
      <c r="P50" s="33" t="n">
        <f aca="false">P20*'Hiring plan'!$K$16*(1+Salary_Raise)^(P$5-1)</f>
        <v>0</v>
      </c>
      <c r="Q50" s="33" t="n">
        <f aca="false">Q20*'Hiring plan'!$K$16*(1+Salary_Raise)^(Q$5-1)</f>
        <v>0</v>
      </c>
      <c r="R50" s="33" t="n">
        <f aca="false">R20*'Hiring plan'!$K$16*(1+Salary_Raise)^(R$5-1)</f>
        <v>0</v>
      </c>
      <c r="S50" s="33" t="n">
        <f aca="false">S20*'Hiring plan'!$K$16*(1+Salary_Raise)^(S$5-1)</f>
        <v>0</v>
      </c>
      <c r="T50" s="33" t="n">
        <f aca="false">T20*'Hiring plan'!$K$16*(1+Salary_Raise)^(T$5-1)</f>
        <v>0</v>
      </c>
      <c r="U50" s="33" t="n">
        <f aca="false">U20*'Hiring plan'!$K$16*(1+Salary_Raise)^(U$5-1)</f>
        <v>0</v>
      </c>
      <c r="V50" s="33" t="n">
        <f aca="false">V20*'Hiring plan'!$K$16*(1+Salary_Raise)^(V$5-1)</f>
        <v>0</v>
      </c>
      <c r="W50" s="33" t="n">
        <f aca="false">W20*'Hiring plan'!$K$16*(1+Salary_Raise)^(W$5-1)</f>
        <v>0</v>
      </c>
      <c r="X50" s="33" t="n">
        <f aca="false">X20*'Hiring plan'!$K$16*(1+Salary_Raise)^(X$5-1)</f>
        <v>0</v>
      </c>
      <c r="Y50" s="33" t="n">
        <f aca="false">Y20*'Hiring plan'!$K$16*(1+Salary_Raise)^(Y$5-1)</f>
        <v>0</v>
      </c>
      <c r="Z50" s="33" t="n">
        <f aca="false">Z20*'Hiring plan'!$K$16*(1+Salary_Raise)^(Z$5-1)</f>
        <v>0</v>
      </c>
      <c r="AA50" s="33" t="n">
        <f aca="false">AA20*'Hiring plan'!$K$16*(1+Salary_Raise)^(AA$5-1)</f>
        <v>0</v>
      </c>
      <c r="AB50" s="33" t="n">
        <f aca="false">AB20*'Hiring plan'!$K$16*(1+Salary_Raise)^(AB$5-1)</f>
        <v>0</v>
      </c>
      <c r="AC50" s="33" t="n">
        <f aca="false">AC20*'Hiring plan'!$K$16*(1+Salary_Raise)^(AC$5-1)</f>
        <v>0</v>
      </c>
      <c r="AD50" s="33" t="n">
        <f aca="false">AD20*'Hiring plan'!$K$16*(1+Salary_Raise)^(AD$5-1)</f>
        <v>0</v>
      </c>
      <c r="AE50" s="33" t="n">
        <f aca="false">AE20*'Hiring plan'!$K$16*(1+Salary_Raise)^(AE$5-1)</f>
        <v>0</v>
      </c>
      <c r="AF50" s="33" t="n">
        <f aca="false">AF20*'Hiring plan'!$K$16*(1+Salary_Raise)^(AF$5-1)</f>
        <v>0</v>
      </c>
      <c r="AG50" s="33" t="n">
        <f aca="false">AG20*'Hiring plan'!$K$16*(1+Salary_Raise)^(AG$5-1)</f>
        <v>0</v>
      </c>
      <c r="AH50" s="33" t="n">
        <f aca="false">AH20*'Hiring plan'!$K$16*(1+Salary_Raise)^(AH$5-1)</f>
        <v>0</v>
      </c>
      <c r="AI50" s="33" t="n">
        <f aca="false">AI20*'Hiring plan'!$K$16*(1+Salary_Raise)^(AI$5-1)</f>
        <v>0</v>
      </c>
      <c r="AJ50" s="33" t="n">
        <f aca="false">AJ20*'Hiring plan'!$K$16*(1+Salary_Raise)^(AJ$5-1)</f>
        <v>0</v>
      </c>
      <c r="AK50" s="33" t="n">
        <f aca="false">AK20*'Hiring plan'!$K$16*(1+Salary_Raise)^(AK$5-1)</f>
        <v>0</v>
      </c>
      <c r="AL50" s="33" t="n">
        <f aca="false">AL20*'Hiring plan'!$K$16*(1+Salary_Raise)^(AL$5-1)</f>
        <v>0</v>
      </c>
      <c r="AM50" s="33" t="n">
        <f aca="false">AM20*'Hiring plan'!$K$16*(1+Salary_Raise)^(AM$5-1)</f>
        <v>0</v>
      </c>
      <c r="AN50" s="33" t="n">
        <f aca="false">AN20*'Hiring plan'!$K$16*(1+Salary_Raise)^(AN$5-1)</f>
        <v>0</v>
      </c>
      <c r="AO50" s="33" t="n">
        <f aca="false">AO20*'Hiring plan'!$K$16*(1+Salary_Raise)^(AO$5-1)</f>
        <v>0</v>
      </c>
      <c r="AP50" s="33" t="n">
        <f aca="false">AP20*'Hiring plan'!$K$16*(1+Salary_Raise)^(AP$5-1)</f>
        <v>0</v>
      </c>
      <c r="AQ50" s="33" t="n">
        <f aca="false">AQ20*'Hiring plan'!$K$16*(1+Salary_Raise)^(AQ$5-1)</f>
        <v>0</v>
      </c>
      <c r="AR50" s="33" t="n">
        <f aca="false">AR20*'Hiring plan'!$K$16*(1+Salary_Raise)^(AR$5-1)</f>
        <v>0</v>
      </c>
      <c r="AS50" s="33" t="n">
        <f aca="false">AS20*'Hiring plan'!$K$16*(1+Salary_Raise)^(AS$5-1)</f>
        <v>0</v>
      </c>
      <c r="AT50" s="33" t="n">
        <f aca="false">AT20*'Hiring plan'!$K$16*(1+Salary_Raise)^(AT$5-1)</f>
        <v>0</v>
      </c>
      <c r="AU50" s="33" t="n">
        <f aca="false">AU20*'Hiring plan'!$K$16*(1+Salary_Raise)^(AU$5-1)</f>
        <v>0</v>
      </c>
      <c r="AV50" s="33" t="n">
        <f aca="false">AV20*'Hiring plan'!$K$16*(1+Salary_Raise)^(AV$5-1)</f>
        <v>0</v>
      </c>
      <c r="AW50" s="33" t="n">
        <f aca="false">AW20*'Hiring plan'!$K$16*(1+Salary_Raise)^(AW$5-1)</f>
        <v>0</v>
      </c>
      <c r="AX50" s="33" t="n">
        <f aca="false">AX20*'Hiring plan'!$K$16*(1+Salary_Raise)^(AX$5-1)</f>
        <v>0</v>
      </c>
      <c r="AY50" s="33" t="n">
        <f aca="false">AY20*'Hiring plan'!$K$16*(1+Salary_Raise)^(AY$5-1)</f>
        <v>0</v>
      </c>
      <c r="AZ50" s="33" t="n">
        <f aca="false">AZ20*'Hiring plan'!$K$16*(1+Salary_Raise)^(AZ$5-1)</f>
        <v>0</v>
      </c>
      <c r="BA50" s="33" t="n">
        <f aca="false">BA20*'Hiring plan'!$K$16*(1+Salary_Raise)^(BA$5-1)</f>
        <v>0</v>
      </c>
      <c r="BB50" s="33" t="n">
        <f aca="false">BB20*'Hiring plan'!$K$16*(1+Salary_Raise)^(BB$5-1)</f>
        <v>0</v>
      </c>
      <c r="BC50" s="33" t="n">
        <f aca="false">BC20*'Hiring plan'!$K$16*(1+Salary_Raise)^(BC$5-1)</f>
        <v>0</v>
      </c>
      <c r="BD50" s="33" t="n">
        <f aca="false">BD20*'Hiring plan'!$K$16*(1+Salary_Raise)^(BD$5-1)</f>
        <v>0</v>
      </c>
      <c r="BE50" s="33" t="n">
        <f aca="false">BE20*'Hiring plan'!$K$16*(1+Salary_Raise)^(BE$5-1)</f>
        <v>0</v>
      </c>
      <c r="BF50" s="33" t="n">
        <f aca="false">BF20*'Hiring plan'!$K$16*(1+Salary_Raise)^(BF$5-1)</f>
        <v>0</v>
      </c>
      <c r="BG50" s="33" t="n">
        <f aca="false">BG20*'Hiring plan'!$K$16*(1+Salary_Raise)^(BG$5-1)</f>
        <v>0</v>
      </c>
      <c r="BH50" s="33" t="n">
        <f aca="false">BH20*'Hiring plan'!$K$16*(1+Salary_Raise)^(BH$5-1)</f>
        <v>0</v>
      </c>
      <c r="BI50" s="33" t="n">
        <f aca="false">BI20*'Hiring plan'!$K$16*(1+Salary_Raise)^(BI$5-1)</f>
        <v>0</v>
      </c>
      <c r="BJ50" s="33" t="n">
        <f aca="false">BJ20*'Hiring plan'!$K$16*(1+Salary_Raise)^(BJ$5-1)</f>
        <v>0</v>
      </c>
      <c r="BK50" s="33" t="n">
        <f aca="false">BK20*'Hiring plan'!$K$16*(1+Salary_Raise)^(BK$5-1)</f>
        <v>0</v>
      </c>
      <c r="BL50" s="33" t="n">
        <f aca="false">BL20*'Hiring plan'!$K$16*(1+Salary_Raise)^(BL$5-1)</f>
        <v>0</v>
      </c>
    </row>
    <row r="51" customFormat="false" ht="15" hidden="false" customHeight="true" outlineLevel="0" collapsed="false">
      <c r="A51" s="13" t="str">
        <f aca="false">A21</f>
        <v>(spare line 13)</v>
      </c>
      <c r="B51" s="15" t="s">
        <v>77</v>
      </c>
      <c r="D51" s="56" t="n">
        <f aca="false">SUM(E51:BL51)</f>
        <v>0</v>
      </c>
      <c r="E51" s="33" t="n">
        <f aca="false">E21*'Hiring plan'!$K$17*(1+Salary_Raise)^(E$5-1)</f>
        <v>0</v>
      </c>
      <c r="F51" s="33" t="n">
        <f aca="false">F21*'Hiring plan'!$K$17*(1+Salary_Raise)^(F$5-1)</f>
        <v>0</v>
      </c>
      <c r="G51" s="33" t="n">
        <f aca="false">G21*'Hiring plan'!$K$17*(1+Salary_Raise)^(G$5-1)</f>
        <v>0</v>
      </c>
      <c r="H51" s="33" t="n">
        <f aca="false">H21*'Hiring plan'!$K$17*(1+Salary_Raise)^(H$5-1)</f>
        <v>0</v>
      </c>
      <c r="I51" s="33" t="n">
        <f aca="false">I21*'Hiring plan'!$K$17*(1+Salary_Raise)^(I$5-1)</f>
        <v>0</v>
      </c>
      <c r="J51" s="33" t="n">
        <f aca="false">J21*'Hiring plan'!$K$17*(1+Salary_Raise)^(J$5-1)</f>
        <v>0</v>
      </c>
      <c r="K51" s="33" t="n">
        <f aca="false">K21*'Hiring plan'!$K$17*(1+Salary_Raise)^(K$5-1)</f>
        <v>0</v>
      </c>
      <c r="L51" s="33" t="n">
        <f aca="false">L21*'Hiring plan'!$K$17*(1+Salary_Raise)^(L$5-1)</f>
        <v>0</v>
      </c>
      <c r="M51" s="33" t="n">
        <f aca="false">M21*'Hiring plan'!$K$17*(1+Salary_Raise)^(M$5-1)</f>
        <v>0</v>
      </c>
      <c r="N51" s="33" t="n">
        <f aca="false">N21*'Hiring plan'!$K$17*(1+Salary_Raise)^(N$5-1)</f>
        <v>0</v>
      </c>
      <c r="O51" s="33" t="n">
        <f aca="false">O21*'Hiring plan'!$K$17*(1+Salary_Raise)^(O$5-1)</f>
        <v>0</v>
      </c>
      <c r="P51" s="33" t="n">
        <f aca="false">P21*'Hiring plan'!$K$17*(1+Salary_Raise)^(P$5-1)</f>
        <v>0</v>
      </c>
      <c r="Q51" s="33" t="n">
        <f aca="false">Q21*'Hiring plan'!$K$17*(1+Salary_Raise)^(Q$5-1)</f>
        <v>0</v>
      </c>
      <c r="R51" s="33" t="n">
        <f aca="false">R21*'Hiring plan'!$K$17*(1+Salary_Raise)^(R$5-1)</f>
        <v>0</v>
      </c>
      <c r="S51" s="33" t="n">
        <f aca="false">S21*'Hiring plan'!$K$17*(1+Salary_Raise)^(S$5-1)</f>
        <v>0</v>
      </c>
      <c r="T51" s="33" t="n">
        <f aca="false">T21*'Hiring plan'!$K$17*(1+Salary_Raise)^(T$5-1)</f>
        <v>0</v>
      </c>
      <c r="U51" s="33" t="n">
        <f aca="false">U21*'Hiring plan'!$K$17*(1+Salary_Raise)^(U$5-1)</f>
        <v>0</v>
      </c>
      <c r="V51" s="33" t="n">
        <f aca="false">V21*'Hiring plan'!$K$17*(1+Salary_Raise)^(V$5-1)</f>
        <v>0</v>
      </c>
      <c r="W51" s="33" t="n">
        <f aca="false">W21*'Hiring plan'!$K$17*(1+Salary_Raise)^(W$5-1)</f>
        <v>0</v>
      </c>
      <c r="X51" s="33" t="n">
        <f aca="false">X21*'Hiring plan'!$K$17*(1+Salary_Raise)^(X$5-1)</f>
        <v>0</v>
      </c>
      <c r="Y51" s="33" t="n">
        <f aca="false">Y21*'Hiring plan'!$K$17*(1+Salary_Raise)^(Y$5-1)</f>
        <v>0</v>
      </c>
      <c r="Z51" s="33" t="n">
        <f aca="false">Z21*'Hiring plan'!$K$17*(1+Salary_Raise)^(Z$5-1)</f>
        <v>0</v>
      </c>
      <c r="AA51" s="33" t="n">
        <f aca="false">AA21*'Hiring plan'!$K$17*(1+Salary_Raise)^(AA$5-1)</f>
        <v>0</v>
      </c>
      <c r="AB51" s="33" t="n">
        <f aca="false">AB21*'Hiring plan'!$K$17*(1+Salary_Raise)^(AB$5-1)</f>
        <v>0</v>
      </c>
      <c r="AC51" s="33" t="n">
        <f aca="false">AC21*'Hiring plan'!$K$17*(1+Salary_Raise)^(AC$5-1)</f>
        <v>0</v>
      </c>
      <c r="AD51" s="33" t="n">
        <f aca="false">AD21*'Hiring plan'!$K$17*(1+Salary_Raise)^(AD$5-1)</f>
        <v>0</v>
      </c>
      <c r="AE51" s="33" t="n">
        <f aca="false">AE21*'Hiring plan'!$K$17*(1+Salary_Raise)^(AE$5-1)</f>
        <v>0</v>
      </c>
      <c r="AF51" s="33" t="n">
        <f aca="false">AF21*'Hiring plan'!$K$17*(1+Salary_Raise)^(AF$5-1)</f>
        <v>0</v>
      </c>
      <c r="AG51" s="33" t="n">
        <f aca="false">AG21*'Hiring plan'!$K$17*(1+Salary_Raise)^(AG$5-1)</f>
        <v>0</v>
      </c>
      <c r="AH51" s="33" t="n">
        <f aca="false">AH21*'Hiring plan'!$K$17*(1+Salary_Raise)^(AH$5-1)</f>
        <v>0</v>
      </c>
      <c r="AI51" s="33" t="n">
        <f aca="false">AI21*'Hiring plan'!$K$17*(1+Salary_Raise)^(AI$5-1)</f>
        <v>0</v>
      </c>
      <c r="AJ51" s="33" t="n">
        <f aca="false">AJ21*'Hiring plan'!$K$17*(1+Salary_Raise)^(AJ$5-1)</f>
        <v>0</v>
      </c>
      <c r="AK51" s="33" t="n">
        <f aca="false">AK21*'Hiring plan'!$K$17*(1+Salary_Raise)^(AK$5-1)</f>
        <v>0</v>
      </c>
      <c r="AL51" s="33" t="n">
        <f aca="false">AL21*'Hiring plan'!$K$17*(1+Salary_Raise)^(AL$5-1)</f>
        <v>0</v>
      </c>
      <c r="AM51" s="33" t="n">
        <f aca="false">AM21*'Hiring plan'!$K$17*(1+Salary_Raise)^(AM$5-1)</f>
        <v>0</v>
      </c>
      <c r="AN51" s="33" t="n">
        <f aca="false">AN21*'Hiring plan'!$K$17*(1+Salary_Raise)^(AN$5-1)</f>
        <v>0</v>
      </c>
      <c r="AO51" s="33" t="n">
        <f aca="false">AO21*'Hiring plan'!$K$17*(1+Salary_Raise)^(AO$5-1)</f>
        <v>0</v>
      </c>
      <c r="AP51" s="33" t="n">
        <f aca="false">AP21*'Hiring plan'!$K$17*(1+Salary_Raise)^(AP$5-1)</f>
        <v>0</v>
      </c>
      <c r="AQ51" s="33" t="n">
        <f aca="false">AQ21*'Hiring plan'!$K$17*(1+Salary_Raise)^(AQ$5-1)</f>
        <v>0</v>
      </c>
      <c r="AR51" s="33" t="n">
        <f aca="false">AR21*'Hiring plan'!$K$17*(1+Salary_Raise)^(AR$5-1)</f>
        <v>0</v>
      </c>
      <c r="AS51" s="33" t="n">
        <f aca="false">AS21*'Hiring plan'!$K$17*(1+Salary_Raise)^(AS$5-1)</f>
        <v>0</v>
      </c>
      <c r="AT51" s="33" t="n">
        <f aca="false">AT21*'Hiring plan'!$K$17*(1+Salary_Raise)^(AT$5-1)</f>
        <v>0</v>
      </c>
      <c r="AU51" s="33" t="n">
        <f aca="false">AU21*'Hiring plan'!$K$17*(1+Salary_Raise)^(AU$5-1)</f>
        <v>0</v>
      </c>
      <c r="AV51" s="33" t="n">
        <f aca="false">AV21*'Hiring plan'!$K$17*(1+Salary_Raise)^(AV$5-1)</f>
        <v>0</v>
      </c>
      <c r="AW51" s="33" t="n">
        <f aca="false">AW21*'Hiring plan'!$K$17*(1+Salary_Raise)^(AW$5-1)</f>
        <v>0</v>
      </c>
      <c r="AX51" s="33" t="n">
        <f aca="false">AX21*'Hiring plan'!$K$17*(1+Salary_Raise)^(AX$5-1)</f>
        <v>0</v>
      </c>
      <c r="AY51" s="33" t="n">
        <f aca="false">AY21*'Hiring plan'!$K$17*(1+Salary_Raise)^(AY$5-1)</f>
        <v>0</v>
      </c>
      <c r="AZ51" s="33" t="n">
        <f aca="false">AZ21*'Hiring plan'!$K$17*(1+Salary_Raise)^(AZ$5-1)</f>
        <v>0</v>
      </c>
      <c r="BA51" s="33" t="n">
        <f aca="false">BA21*'Hiring plan'!$K$17*(1+Salary_Raise)^(BA$5-1)</f>
        <v>0</v>
      </c>
      <c r="BB51" s="33" t="n">
        <f aca="false">BB21*'Hiring plan'!$K$17*(1+Salary_Raise)^(BB$5-1)</f>
        <v>0</v>
      </c>
      <c r="BC51" s="33" t="n">
        <f aca="false">BC21*'Hiring plan'!$K$17*(1+Salary_Raise)^(BC$5-1)</f>
        <v>0</v>
      </c>
      <c r="BD51" s="33" t="n">
        <f aca="false">BD21*'Hiring plan'!$K$17*(1+Salary_Raise)^(BD$5-1)</f>
        <v>0</v>
      </c>
      <c r="BE51" s="33" t="n">
        <f aca="false">BE21*'Hiring plan'!$K$17*(1+Salary_Raise)^(BE$5-1)</f>
        <v>0</v>
      </c>
      <c r="BF51" s="33" t="n">
        <f aca="false">BF21*'Hiring plan'!$K$17*(1+Salary_Raise)^(BF$5-1)</f>
        <v>0</v>
      </c>
      <c r="BG51" s="33" t="n">
        <f aca="false">BG21*'Hiring plan'!$K$17*(1+Salary_Raise)^(BG$5-1)</f>
        <v>0</v>
      </c>
      <c r="BH51" s="33" t="n">
        <f aca="false">BH21*'Hiring plan'!$K$17*(1+Salary_Raise)^(BH$5-1)</f>
        <v>0</v>
      </c>
      <c r="BI51" s="33" t="n">
        <f aca="false">BI21*'Hiring plan'!$K$17*(1+Salary_Raise)^(BI$5-1)</f>
        <v>0</v>
      </c>
      <c r="BJ51" s="33" t="n">
        <f aca="false">BJ21*'Hiring plan'!$K$17*(1+Salary_Raise)^(BJ$5-1)</f>
        <v>0</v>
      </c>
      <c r="BK51" s="33" t="n">
        <f aca="false">BK21*'Hiring plan'!$K$17*(1+Salary_Raise)^(BK$5-1)</f>
        <v>0</v>
      </c>
      <c r="BL51" s="33" t="n">
        <f aca="false">BL21*'Hiring plan'!$K$17*(1+Salary_Raise)^(BL$5-1)</f>
        <v>0</v>
      </c>
    </row>
    <row r="52" customFormat="false" ht="15" hidden="false" customHeight="true" outlineLevel="0" collapsed="false">
      <c r="A52" s="13" t="str">
        <f aca="false">A22</f>
        <v>(spare line 14)</v>
      </c>
      <c r="B52" s="15" t="s">
        <v>77</v>
      </c>
      <c r="D52" s="56" t="n">
        <f aca="false">SUM(E52:BL52)</f>
        <v>0</v>
      </c>
      <c r="E52" s="33" t="n">
        <f aca="false">E22*'Hiring plan'!$K$18*(1+Salary_Raise)^(E$5-1)</f>
        <v>0</v>
      </c>
      <c r="F52" s="33" t="n">
        <f aca="false">F22*'Hiring plan'!$K$18*(1+Salary_Raise)^(F$5-1)</f>
        <v>0</v>
      </c>
      <c r="G52" s="33" t="n">
        <f aca="false">G22*'Hiring plan'!$K$18*(1+Salary_Raise)^(G$5-1)</f>
        <v>0</v>
      </c>
      <c r="H52" s="33" t="n">
        <f aca="false">H22*'Hiring plan'!$K$18*(1+Salary_Raise)^(H$5-1)</f>
        <v>0</v>
      </c>
      <c r="I52" s="33" t="n">
        <f aca="false">I22*'Hiring plan'!$K$18*(1+Salary_Raise)^(I$5-1)</f>
        <v>0</v>
      </c>
      <c r="J52" s="33" t="n">
        <f aca="false">J22*'Hiring plan'!$K$18*(1+Salary_Raise)^(J$5-1)</f>
        <v>0</v>
      </c>
      <c r="K52" s="33" t="n">
        <f aca="false">K22*'Hiring plan'!$K$18*(1+Salary_Raise)^(K$5-1)</f>
        <v>0</v>
      </c>
      <c r="L52" s="33" t="n">
        <f aca="false">L22*'Hiring plan'!$K$18*(1+Salary_Raise)^(L$5-1)</f>
        <v>0</v>
      </c>
      <c r="M52" s="33" t="n">
        <f aca="false">M22*'Hiring plan'!$K$18*(1+Salary_Raise)^(M$5-1)</f>
        <v>0</v>
      </c>
      <c r="N52" s="33" t="n">
        <f aca="false">N22*'Hiring plan'!$K$18*(1+Salary_Raise)^(N$5-1)</f>
        <v>0</v>
      </c>
      <c r="O52" s="33" t="n">
        <f aca="false">O22*'Hiring plan'!$K$18*(1+Salary_Raise)^(O$5-1)</f>
        <v>0</v>
      </c>
      <c r="P52" s="33" t="n">
        <f aca="false">P22*'Hiring plan'!$K$18*(1+Salary_Raise)^(P$5-1)</f>
        <v>0</v>
      </c>
      <c r="Q52" s="33" t="n">
        <f aca="false">Q22*'Hiring plan'!$K$18*(1+Salary_Raise)^(Q$5-1)</f>
        <v>0</v>
      </c>
      <c r="R52" s="33" t="n">
        <f aca="false">R22*'Hiring plan'!$K$18*(1+Salary_Raise)^(R$5-1)</f>
        <v>0</v>
      </c>
      <c r="S52" s="33" t="n">
        <f aca="false">S22*'Hiring plan'!$K$18*(1+Salary_Raise)^(S$5-1)</f>
        <v>0</v>
      </c>
      <c r="T52" s="33" t="n">
        <f aca="false">T22*'Hiring plan'!$K$18*(1+Salary_Raise)^(T$5-1)</f>
        <v>0</v>
      </c>
      <c r="U52" s="33" t="n">
        <f aca="false">U22*'Hiring plan'!$K$18*(1+Salary_Raise)^(U$5-1)</f>
        <v>0</v>
      </c>
      <c r="V52" s="33" t="n">
        <f aca="false">V22*'Hiring plan'!$K$18*(1+Salary_Raise)^(V$5-1)</f>
        <v>0</v>
      </c>
      <c r="W52" s="33" t="n">
        <f aca="false">W22*'Hiring plan'!$K$18*(1+Salary_Raise)^(W$5-1)</f>
        <v>0</v>
      </c>
      <c r="X52" s="33" t="n">
        <f aca="false">X22*'Hiring plan'!$K$18*(1+Salary_Raise)^(X$5-1)</f>
        <v>0</v>
      </c>
      <c r="Y52" s="33" t="n">
        <f aca="false">Y22*'Hiring plan'!$K$18*(1+Salary_Raise)^(Y$5-1)</f>
        <v>0</v>
      </c>
      <c r="Z52" s="33" t="n">
        <f aca="false">Z22*'Hiring plan'!$K$18*(1+Salary_Raise)^(Z$5-1)</f>
        <v>0</v>
      </c>
      <c r="AA52" s="33" t="n">
        <f aca="false">AA22*'Hiring plan'!$K$18*(1+Salary_Raise)^(AA$5-1)</f>
        <v>0</v>
      </c>
      <c r="AB52" s="33" t="n">
        <f aca="false">AB22*'Hiring plan'!$K$18*(1+Salary_Raise)^(AB$5-1)</f>
        <v>0</v>
      </c>
      <c r="AC52" s="33" t="n">
        <f aca="false">AC22*'Hiring plan'!$K$18*(1+Salary_Raise)^(AC$5-1)</f>
        <v>0</v>
      </c>
      <c r="AD52" s="33" t="n">
        <f aca="false">AD22*'Hiring plan'!$K$18*(1+Salary_Raise)^(AD$5-1)</f>
        <v>0</v>
      </c>
      <c r="AE52" s="33" t="n">
        <f aca="false">AE22*'Hiring plan'!$K$18*(1+Salary_Raise)^(AE$5-1)</f>
        <v>0</v>
      </c>
      <c r="AF52" s="33" t="n">
        <f aca="false">AF22*'Hiring plan'!$K$18*(1+Salary_Raise)^(AF$5-1)</f>
        <v>0</v>
      </c>
      <c r="AG52" s="33" t="n">
        <f aca="false">AG22*'Hiring plan'!$K$18*(1+Salary_Raise)^(AG$5-1)</f>
        <v>0</v>
      </c>
      <c r="AH52" s="33" t="n">
        <f aca="false">AH22*'Hiring plan'!$K$18*(1+Salary_Raise)^(AH$5-1)</f>
        <v>0</v>
      </c>
      <c r="AI52" s="33" t="n">
        <f aca="false">AI22*'Hiring plan'!$K$18*(1+Salary_Raise)^(AI$5-1)</f>
        <v>0</v>
      </c>
      <c r="AJ52" s="33" t="n">
        <f aca="false">AJ22*'Hiring plan'!$K$18*(1+Salary_Raise)^(AJ$5-1)</f>
        <v>0</v>
      </c>
      <c r="AK52" s="33" t="n">
        <f aca="false">AK22*'Hiring plan'!$K$18*(1+Salary_Raise)^(AK$5-1)</f>
        <v>0</v>
      </c>
      <c r="AL52" s="33" t="n">
        <f aca="false">AL22*'Hiring plan'!$K$18*(1+Salary_Raise)^(AL$5-1)</f>
        <v>0</v>
      </c>
      <c r="AM52" s="33" t="n">
        <f aca="false">AM22*'Hiring plan'!$K$18*(1+Salary_Raise)^(AM$5-1)</f>
        <v>0</v>
      </c>
      <c r="AN52" s="33" t="n">
        <f aca="false">AN22*'Hiring plan'!$K$18*(1+Salary_Raise)^(AN$5-1)</f>
        <v>0</v>
      </c>
      <c r="AO52" s="33" t="n">
        <f aca="false">AO22*'Hiring plan'!$K$18*(1+Salary_Raise)^(AO$5-1)</f>
        <v>0</v>
      </c>
      <c r="AP52" s="33" t="n">
        <f aca="false">AP22*'Hiring plan'!$K$18*(1+Salary_Raise)^(AP$5-1)</f>
        <v>0</v>
      </c>
      <c r="AQ52" s="33" t="n">
        <f aca="false">AQ22*'Hiring plan'!$K$18*(1+Salary_Raise)^(AQ$5-1)</f>
        <v>0</v>
      </c>
      <c r="AR52" s="33" t="n">
        <f aca="false">AR22*'Hiring plan'!$K$18*(1+Salary_Raise)^(AR$5-1)</f>
        <v>0</v>
      </c>
      <c r="AS52" s="33" t="n">
        <f aca="false">AS22*'Hiring plan'!$K$18*(1+Salary_Raise)^(AS$5-1)</f>
        <v>0</v>
      </c>
      <c r="AT52" s="33" t="n">
        <f aca="false">AT22*'Hiring plan'!$K$18*(1+Salary_Raise)^(AT$5-1)</f>
        <v>0</v>
      </c>
      <c r="AU52" s="33" t="n">
        <f aca="false">AU22*'Hiring plan'!$K$18*(1+Salary_Raise)^(AU$5-1)</f>
        <v>0</v>
      </c>
      <c r="AV52" s="33" t="n">
        <f aca="false">AV22*'Hiring plan'!$K$18*(1+Salary_Raise)^(AV$5-1)</f>
        <v>0</v>
      </c>
      <c r="AW52" s="33" t="n">
        <f aca="false">AW22*'Hiring plan'!$K$18*(1+Salary_Raise)^(AW$5-1)</f>
        <v>0</v>
      </c>
      <c r="AX52" s="33" t="n">
        <f aca="false">AX22*'Hiring plan'!$K$18*(1+Salary_Raise)^(AX$5-1)</f>
        <v>0</v>
      </c>
      <c r="AY52" s="33" t="n">
        <f aca="false">AY22*'Hiring plan'!$K$18*(1+Salary_Raise)^(AY$5-1)</f>
        <v>0</v>
      </c>
      <c r="AZ52" s="33" t="n">
        <f aca="false">AZ22*'Hiring plan'!$K$18*(1+Salary_Raise)^(AZ$5-1)</f>
        <v>0</v>
      </c>
      <c r="BA52" s="33" t="n">
        <f aca="false">BA22*'Hiring plan'!$K$18*(1+Salary_Raise)^(BA$5-1)</f>
        <v>0</v>
      </c>
      <c r="BB52" s="33" t="n">
        <f aca="false">BB22*'Hiring plan'!$K$18*(1+Salary_Raise)^(BB$5-1)</f>
        <v>0</v>
      </c>
      <c r="BC52" s="33" t="n">
        <f aca="false">BC22*'Hiring plan'!$K$18*(1+Salary_Raise)^(BC$5-1)</f>
        <v>0</v>
      </c>
      <c r="BD52" s="33" t="n">
        <f aca="false">BD22*'Hiring plan'!$K$18*(1+Salary_Raise)^(BD$5-1)</f>
        <v>0</v>
      </c>
      <c r="BE52" s="33" t="n">
        <f aca="false">BE22*'Hiring plan'!$K$18*(1+Salary_Raise)^(BE$5-1)</f>
        <v>0</v>
      </c>
      <c r="BF52" s="33" t="n">
        <f aca="false">BF22*'Hiring plan'!$K$18*(1+Salary_Raise)^(BF$5-1)</f>
        <v>0</v>
      </c>
      <c r="BG52" s="33" t="n">
        <f aca="false">BG22*'Hiring plan'!$K$18*(1+Salary_Raise)^(BG$5-1)</f>
        <v>0</v>
      </c>
      <c r="BH52" s="33" t="n">
        <f aca="false">BH22*'Hiring plan'!$K$18*(1+Salary_Raise)^(BH$5-1)</f>
        <v>0</v>
      </c>
      <c r="BI52" s="33" t="n">
        <f aca="false">BI22*'Hiring plan'!$K$18*(1+Salary_Raise)^(BI$5-1)</f>
        <v>0</v>
      </c>
      <c r="BJ52" s="33" t="n">
        <f aca="false">BJ22*'Hiring plan'!$K$18*(1+Salary_Raise)^(BJ$5-1)</f>
        <v>0</v>
      </c>
      <c r="BK52" s="33" t="n">
        <f aca="false">BK22*'Hiring plan'!$K$18*(1+Salary_Raise)^(BK$5-1)</f>
        <v>0</v>
      </c>
      <c r="BL52" s="33" t="n">
        <f aca="false">BL22*'Hiring plan'!$K$18*(1+Salary_Raise)^(BL$5-1)</f>
        <v>0</v>
      </c>
    </row>
    <row r="53" customFormat="false" ht="15" hidden="false" customHeight="true" outlineLevel="0" collapsed="false">
      <c r="A53" s="13" t="str">
        <f aca="false">A23</f>
        <v>(spare line 15)</v>
      </c>
      <c r="B53" s="15" t="s">
        <v>77</v>
      </c>
      <c r="D53" s="56" t="n">
        <f aca="false">SUM(E53:BL53)</f>
        <v>0</v>
      </c>
      <c r="E53" s="33" t="n">
        <f aca="false">E23*'Hiring plan'!$K$19*(1+Salary_Raise)^(E$5-1)</f>
        <v>0</v>
      </c>
      <c r="F53" s="33" t="n">
        <f aca="false">F23*'Hiring plan'!$K$19*(1+Salary_Raise)^(F$5-1)</f>
        <v>0</v>
      </c>
      <c r="G53" s="33" t="n">
        <f aca="false">G23*'Hiring plan'!$K$19*(1+Salary_Raise)^(G$5-1)</f>
        <v>0</v>
      </c>
      <c r="H53" s="33" t="n">
        <f aca="false">H23*'Hiring plan'!$K$19*(1+Salary_Raise)^(H$5-1)</f>
        <v>0</v>
      </c>
      <c r="I53" s="33" t="n">
        <f aca="false">I23*'Hiring plan'!$K$19*(1+Salary_Raise)^(I$5-1)</f>
        <v>0</v>
      </c>
      <c r="J53" s="33" t="n">
        <f aca="false">J23*'Hiring plan'!$K$19*(1+Salary_Raise)^(J$5-1)</f>
        <v>0</v>
      </c>
      <c r="K53" s="33" t="n">
        <f aca="false">K23*'Hiring plan'!$K$19*(1+Salary_Raise)^(K$5-1)</f>
        <v>0</v>
      </c>
      <c r="L53" s="33" t="n">
        <f aca="false">L23*'Hiring plan'!$K$19*(1+Salary_Raise)^(L$5-1)</f>
        <v>0</v>
      </c>
      <c r="M53" s="33" t="n">
        <f aca="false">M23*'Hiring plan'!$K$19*(1+Salary_Raise)^(M$5-1)</f>
        <v>0</v>
      </c>
      <c r="N53" s="33" t="n">
        <f aca="false">N23*'Hiring plan'!$K$19*(1+Salary_Raise)^(N$5-1)</f>
        <v>0</v>
      </c>
      <c r="O53" s="33" t="n">
        <f aca="false">O23*'Hiring plan'!$K$19*(1+Salary_Raise)^(O$5-1)</f>
        <v>0</v>
      </c>
      <c r="P53" s="33" t="n">
        <f aca="false">P23*'Hiring plan'!$K$19*(1+Salary_Raise)^(P$5-1)</f>
        <v>0</v>
      </c>
      <c r="Q53" s="33" t="n">
        <f aca="false">Q23*'Hiring plan'!$K$19*(1+Salary_Raise)^(Q$5-1)</f>
        <v>0</v>
      </c>
      <c r="R53" s="33" t="n">
        <f aca="false">R23*'Hiring plan'!$K$19*(1+Salary_Raise)^(R$5-1)</f>
        <v>0</v>
      </c>
      <c r="S53" s="33" t="n">
        <f aca="false">S23*'Hiring plan'!$K$19*(1+Salary_Raise)^(S$5-1)</f>
        <v>0</v>
      </c>
      <c r="T53" s="33" t="n">
        <f aca="false">T23*'Hiring plan'!$K$19*(1+Salary_Raise)^(T$5-1)</f>
        <v>0</v>
      </c>
      <c r="U53" s="33" t="n">
        <f aca="false">U23*'Hiring plan'!$K$19*(1+Salary_Raise)^(U$5-1)</f>
        <v>0</v>
      </c>
      <c r="V53" s="33" t="n">
        <f aca="false">V23*'Hiring plan'!$K$19*(1+Salary_Raise)^(V$5-1)</f>
        <v>0</v>
      </c>
      <c r="W53" s="33" t="n">
        <f aca="false">W23*'Hiring plan'!$K$19*(1+Salary_Raise)^(W$5-1)</f>
        <v>0</v>
      </c>
      <c r="X53" s="33" t="n">
        <f aca="false">X23*'Hiring plan'!$K$19*(1+Salary_Raise)^(X$5-1)</f>
        <v>0</v>
      </c>
      <c r="Y53" s="33" t="n">
        <f aca="false">Y23*'Hiring plan'!$K$19*(1+Salary_Raise)^(Y$5-1)</f>
        <v>0</v>
      </c>
      <c r="Z53" s="33" t="n">
        <f aca="false">Z23*'Hiring plan'!$K$19*(1+Salary_Raise)^(Z$5-1)</f>
        <v>0</v>
      </c>
      <c r="AA53" s="33" t="n">
        <f aca="false">AA23*'Hiring plan'!$K$19*(1+Salary_Raise)^(AA$5-1)</f>
        <v>0</v>
      </c>
      <c r="AB53" s="33" t="n">
        <f aca="false">AB23*'Hiring plan'!$K$19*(1+Salary_Raise)^(AB$5-1)</f>
        <v>0</v>
      </c>
      <c r="AC53" s="33" t="n">
        <f aca="false">AC23*'Hiring plan'!$K$19*(1+Salary_Raise)^(AC$5-1)</f>
        <v>0</v>
      </c>
      <c r="AD53" s="33" t="n">
        <f aca="false">AD23*'Hiring plan'!$K$19*(1+Salary_Raise)^(AD$5-1)</f>
        <v>0</v>
      </c>
      <c r="AE53" s="33" t="n">
        <f aca="false">AE23*'Hiring plan'!$K$19*(1+Salary_Raise)^(AE$5-1)</f>
        <v>0</v>
      </c>
      <c r="AF53" s="33" t="n">
        <f aca="false">AF23*'Hiring plan'!$K$19*(1+Salary_Raise)^(AF$5-1)</f>
        <v>0</v>
      </c>
      <c r="AG53" s="33" t="n">
        <f aca="false">AG23*'Hiring plan'!$K$19*(1+Salary_Raise)^(AG$5-1)</f>
        <v>0</v>
      </c>
      <c r="AH53" s="33" t="n">
        <f aca="false">AH23*'Hiring plan'!$K$19*(1+Salary_Raise)^(AH$5-1)</f>
        <v>0</v>
      </c>
      <c r="AI53" s="33" t="n">
        <f aca="false">AI23*'Hiring plan'!$K$19*(1+Salary_Raise)^(AI$5-1)</f>
        <v>0</v>
      </c>
      <c r="AJ53" s="33" t="n">
        <f aca="false">AJ23*'Hiring plan'!$K$19*(1+Salary_Raise)^(AJ$5-1)</f>
        <v>0</v>
      </c>
      <c r="AK53" s="33" t="n">
        <f aca="false">AK23*'Hiring plan'!$K$19*(1+Salary_Raise)^(AK$5-1)</f>
        <v>0</v>
      </c>
      <c r="AL53" s="33" t="n">
        <f aca="false">AL23*'Hiring plan'!$K$19*(1+Salary_Raise)^(AL$5-1)</f>
        <v>0</v>
      </c>
      <c r="AM53" s="33" t="n">
        <f aca="false">AM23*'Hiring plan'!$K$19*(1+Salary_Raise)^(AM$5-1)</f>
        <v>0</v>
      </c>
      <c r="AN53" s="33" t="n">
        <f aca="false">AN23*'Hiring plan'!$K$19*(1+Salary_Raise)^(AN$5-1)</f>
        <v>0</v>
      </c>
      <c r="AO53" s="33" t="n">
        <f aca="false">AO23*'Hiring plan'!$K$19*(1+Salary_Raise)^(AO$5-1)</f>
        <v>0</v>
      </c>
      <c r="AP53" s="33" t="n">
        <f aca="false">AP23*'Hiring plan'!$K$19*(1+Salary_Raise)^(AP$5-1)</f>
        <v>0</v>
      </c>
      <c r="AQ53" s="33" t="n">
        <f aca="false">AQ23*'Hiring plan'!$K$19*(1+Salary_Raise)^(AQ$5-1)</f>
        <v>0</v>
      </c>
      <c r="AR53" s="33" t="n">
        <f aca="false">AR23*'Hiring plan'!$K$19*(1+Salary_Raise)^(AR$5-1)</f>
        <v>0</v>
      </c>
      <c r="AS53" s="33" t="n">
        <f aca="false">AS23*'Hiring plan'!$K$19*(1+Salary_Raise)^(AS$5-1)</f>
        <v>0</v>
      </c>
      <c r="AT53" s="33" t="n">
        <f aca="false">AT23*'Hiring plan'!$K$19*(1+Salary_Raise)^(AT$5-1)</f>
        <v>0</v>
      </c>
      <c r="AU53" s="33" t="n">
        <f aca="false">AU23*'Hiring plan'!$K$19*(1+Salary_Raise)^(AU$5-1)</f>
        <v>0</v>
      </c>
      <c r="AV53" s="33" t="n">
        <f aca="false">AV23*'Hiring plan'!$K$19*(1+Salary_Raise)^(AV$5-1)</f>
        <v>0</v>
      </c>
      <c r="AW53" s="33" t="n">
        <f aca="false">AW23*'Hiring plan'!$K$19*(1+Salary_Raise)^(AW$5-1)</f>
        <v>0</v>
      </c>
      <c r="AX53" s="33" t="n">
        <f aca="false">AX23*'Hiring plan'!$K$19*(1+Salary_Raise)^(AX$5-1)</f>
        <v>0</v>
      </c>
      <c r="AY53" s="33" t="n">
        <f aca="false">AY23*'Hiring plan'!$K$19*(1+Salary_Raise)^(AY$5-1)</f>
        <v>0</v>
      </c>
      <c r="AZ53" s="33" t="n">
        <f aca="false">AZ23*'Hiring plan'!$K$19*(1+Salary_Raise)^(AZ$5-1)</f>
        <v>0</v>
      </c>
      <c r="BA53" s="33" t="n">
        <f aca="false">BA23*'Hiring plan'!$K$19*(1+Salary_Raise)^(BA$5-1)</f>
        <v>0</v>
      </c>
      <c r="BB53" s="33" t="n">
        <f aca="false">BB23*'Hiring plan'!$K$19*(1+Salary_Raise)^(BB$5-1)</f>
        <v>0</v>
      </c>
      <c r="BC53" s="33" t="n">
        <f aca="false">BC23*'Hiring plan'!$K$19*(1+Salary_Raise)^(BC$5-1)</f>
        <v>0</v>
      </c>
      <c r="BD53" s="33" t="n">
        <f aca="false">BD23*'Hiring plan'!$K$19*(1+Salary_Raise)^(BD$5-1)</f>
        <v>0</v>
      </c>
      <c r="BE53" s="33" t="n">
        <f aca="false">BE23*'Hiring plan'!$K$19*(1+Salary_Raise)^(BE$5-1)</f>
        <v>0</v>
      </c>
      <c r="BF53" s="33" t="n">
        <f aca="false">BF23*'Hiring plan'!$K$19*(1+Salary_Raise)^(BF$5-1)</f>
        <v>0</v>
      </c>
      <c r="BG53" s="33" t="n">
        <f aca="false">BG23*'Hiring plan'!$K$19*(1+Salary_Raise)^(BG$5-1)</f>
        <v>0</v>
      </c>
      <c r="BH53" s="33" t="n">
        <f aca="false">BH23*'Hiring plan'!$K$19*(1+Salary_Raise)^(BH$5-1)</f>
        <v>0</v>
      </c>
      <c r="BI53" s="33" t="n">
        <f aca="false">BI23*'Hiring plan'!$K$19*(1+Salary_Raise)^(BI$5-1)</f>
        <v>0</v>
      </c>
      <c r="BJ53" s="33" t="n">
        <f aca="false">BJ23*'Hiring plan'!$K$19*(1+Salary_Raise)^(BJ$5-1)</f>
        <v>0</v>
      </c>
      <c r="BK53" s="33" t="n">
        <f aca="false">BK23*'Hiring plan'!$K$19*(1+Salary_Raise)^(BK$5-1)</f>
        <v>0</v>
      </c>
      <c r="BL53" s="33" t="n">
        <f aca="false">BL23*'Hiring plan'!$K$19*(1+Salary_Raise)^(BL$5-1)</f>
        <v>0</v>
      </c>
    </row>
    <row r="54" customFormat="false" ht="15" hidden="false" customHeight="true" outlineLevel="0" collapsed="false">
      <c r="A54" s="13" t="str">
        <f aca="false">A24</f>
        <v>(spare line 16)</v>
      </c>
      <c r="B54" s="15" t="s">
        <v>77</v>
      </c>
      <c r="D54" s="56" t="n">
        <f aca="false">SUM(E54:BL54)</f>
        <v>0</v>
      </c>
      <c r="E54" s="33" t="n">
        <f aca="false">E24*'Hiring plan'!$K$20*(1+Salary_Raise)^(E$5-1)</f>
        <v>0</v>
      </c>
      <c r="F54" s="33" t="n">
        <f aca="false">F24*'Hiring plan'!$K$20*(1+Salary_Raise)^(F$5-1)</f>
        <v>0</v>
      </c>
      <c r="G54" s="33" t="n">
        <f aca="false">G24*'Hiring plan'!$K$20*(1+Salary_Raise)^(G$5-1)</f>
        <v>0</v>
      </c>
      <c r="H54" s="33" t="n">
        <f aca="false">H24*'Hiring plan'!$K$20*(1+Salary_Raise)^(H$5-1)</f>
        <v>0</v>
      </c>
      <c r="I54" s="33" t="n">
        <f aca="false">I24*'Hiring plan'!$K$20*(1+Salary_Raise)^(I$5-1)</f>
        <v>0</v>
      </c>
      <c r="J54" s="33" t="n">
        <f aca="false">J24*'Hiring plan'!$K$20*(1+Salary_Raise)^(J$5-1)</f>
        <v>0</v>
      </c>
      <c r="K54" s="33" t="n">
        <f aca="false">K24*'Hiring plan'!$K$20*(1+Salary_Raise)^(K$5-1)</f>
        <v>0</v>
      </c>
      <c r="L54" s="33" t="n">
        <f aca="false">L24*'Hiring plan'!$K$20*(1+Salary_Raise)^(L$5-1)</f>
        <v>0</v>
      </c>
      <c r="M54" s="33" t="n">
        <f aca="false">M24*'Hiring plan'!$K$20*(1+Salary_Raise)^(M$5-1)</f>
        <v>0</v>
      </c>
      <c r="N54" s="33" t="n">
        <f aca="false">N24*'Hiring plan'!$K$20*(1+Salary_Raise)^(N$5-1)</f>
        <v>0</v>
      </c>
      <c r="O54" s="33" t="n">
        <f aca="false">O24*'Hiring plan'!$K$20*(1+Salary_Raise)^(O$5-1)</f>
        <v>0</v>
      </c>
      <c r="P54" s="33" t="n">
        <f aca="false">P24*'Hiring plan'!$K$20*(1+Salary_Raise)^(P$5-1)</f>
        <v>0</v>
      </c>
      <c r="Q54" s="33" t="n">
        <f aca="false">Q24*'Hiring plan'!$K$20*(1+Salary_Raise)^(Q$5-1)</f>
        <v>0</v>
      </c>
      <c r="R54" s="33" t="n">
        <f aca="false">R24*'Hiring plan'!$K$20*(1+Salary_Raise)^(R$5-1)</f>
        <v>0</v>
      </c>
      <c r="S54" s="33" t="n">
        <f aca="false">S24*'Hiring plan'!$K$20*(1+Salary_Raise)^(S$5-1)</f>
        <v>0</v>
      </c>
      <c r="T54" s="33" t="n">
        <f aca="false">T24*'Hiring plan'!$K$20*(1+Salary_Raise)^(T$5-1)</f>
        <v>0</v>
      </c>
      <c r="U54" s="33" t="n">
        <f aca="false">U24*'Hiring plan'!$K$20*(1+Salary_Raise)^(U$5-1)</f>
        <v>0</v>
      </c>
      <c r="V54" s="33" t="n">
        <f aca="false">V24*'Hiring plan'!$K$20*(1+Salary_Raise)^(V$5-1)</f>
        <v>0</v>
      </c>
      <c r="W54" s="33" t="n">
        <f aca="false">W24*'Hiring plan'!$K$20*(1+Salary_Raise)^(W$5-1)</f>
        <v>0</v>
      </c>
      <c r="X54" s="33" t="n">
        <f aca="false">X24*'Hiring plan'!$K$20*(1+Salary_Raise)^(X$5-1)</f>
        <v>0</v>
      </c>
      <c r="Y54" s="33" t="n">
        <f aca="false">Y24*'Hiring plan'!$K$20*(1+Salary_Raise)^(Y$5-1)</f>
        <v>0</v>
      </c>
      <c r="Z54" s="33" t="n">
        <f aca="false">Z24*'Hiring plan'!$K$20*(1+Salary_Raise)^(Z$5-1)</f>
        <v>0</v>
      </c>
      <c r="AA54" s="33" t="n">
        <f aca="false">AA24*'Hiring plan'!$K$20*(1+Salary_Raise)^(AA$5-1)</f>
        <v>0</v>
      </c>
      <c r="AB54" s="33" t="n">
        <f aca="false">AB24*'Hiring plan'!$K$20*(1+Salary_Raise)^(AB$5-1)</f>
        <v>0</v>
      </c>
      <c r="AC54" s="33" t="n">
        <f aca="false">AC24*'Hiring plan'!$K$20*(1+Salary_Raise)^(AC$5-1)</f>
        <v>0</v>
      </c>
      <c r="AD54" s="33" t="n">
        <f aca="false">AD24*'Hiring plan'!$K$20*(1+Salary_Raise)^(AD$5-1)</f>
        <v>0</v>
      </c>
      <c r="AE54" s="33" t="n">
        <f aca="false">AE24*'Hiring plan'!$K$20*(1+Salary_Raise)^(AE$5-1)</f>
        <v>0</v>
      </c>
      <c r="AF54" s="33" t="n">
        <f aca="false">AF24*'Hiring plan'!$K$20*(1+Salary_Raise)^(AF$5-1)</f>
        <v>0</v>
      </c>
      <c r="AG54" s="33" t="n">
        <f aca="false">AG24*'Hiring plan'!$K$20*(1+Salary_Raise)^(AG$5-1)</f>
        <v>0</v>
      </c>
      <c r="AH54" s="33" t="n">
        <f aca="false">AH24*'Hiring plan'!$K$20*(1+Salary_Raise)^(AH$5-1)</f>
        <v>0</v>
      </c>
      <c r="AI54" s="33" t="n">
        <f aca="false">AI24*'Hiring plan'!$K$20*(1+Salary_Raise)^(AI$5-1)</f>
        <v>0</v>
      </c>
      <c r="AJ54" s="33" t="n">
        <f aca="false">AJ24*'Hiring plan'!$K$20*(1+Salary_Raise)^(AJ$5-1)</f>
        <v>0</v>
      </c>
      <c r="AK54" s="33" t="n">
        <f aca="false">AK24*'Hiring plan'!$K$20*(1+Salary_Raise)^(AK$5-1)</f>
        <v>0</v>
      </c>
      <c r="AL54" s="33" t="n">
        <f aca="false">AL24*'Hiring plan'!$K$20*(1+Salary_Raise)^(AL$5-1)</f>
        <v>0</v>
      </c>
      <c r="AM54" s="33" t="n">
        <f aca="false">AM24*'Hiring plan'!$K$20*(1+Salary_Raise)^(AM$5-1)</f>
        <v>0</v>
      </c>
      <c r="AN54" s="33" t="n">
        <f aca="false">AN24*'Hiring plan'!$K$20*(1+Salary_Raise)^(AN$5-1)</f>
        <v>0</v>
      </c>
      <c r="AO54" s="33" t="n">
        <f aca="false">AO24*'Hiring plan'!$K$20*(1+Salary_Raise)^(AO$5-1)</f>
        <v>0</v>
      </c>
      <c r="AP54" s="33" t="n">
        <f aca="false">AP24*'Hiring plan'!$K$20*(1+Salary_Raise)^(AP$5-1)</f>
        <v>0</v>
      </c>
      <c r="AQ54" s="33" t="n">
        <f aca="false">AQ24*'Hiring plan'!$K$20*(1+Salary_Raise)^(AQ$5-1)</f>
        <v>0</v>
      </c>
      <c r="AR54" s="33" t="n">
        <f aca="false">AR24*'Hiring plan'!$K$20*(1+Salary_Raise)^(AR$5-1)</f>
        <v>0</v>
      </c>
      <c r="AS54" s="33" t="n">
        <f aca="false">AS24*'Hiring plan'!$K$20*(1+Salary_Raise)^(AS$5-1)</f>
        <v>0</v>
      </c>
      <c r="AT54" s="33" t="n">
        <f aca="false">AT24*'Hiring plan'!$K$20*(1+Salary_Raise)^(AT$5-1)</f>
        <v>0</v>
      </c>
      <c r="AU54" s="33" t="n">
        <f aca="false">AU24*'Hiring plan'!$K$20*(1+Salary_Raise)^(AU$5-1)</f>
        <v>0</v>
      </c>
      <c r="AV54" s="33" t="n">
        <f aca="false">AV24*'Hiring plan'!$K$20*(1+Salary_Raise)^(AV$5-1)</f>
        <v>0</v>
      </c>
      <c r="AW54" s="33" t="n">
        <f aca="false">AW24*'Hiring plan'!$K$20*(1+Salary_Raise)^(AW$5-1)</f>
        <v>0</v>
      </c>
      <c r="AX54" s="33" t="n">
        <f aca="false">AX24*'Hiring plan'!$K$20*(1+Salary_Raise)^(AX$5-1)</f>
        <v>0</v>
      </c>
      <c r="AY54" s="33" t="n">
        <f aca="false">AY24*'Hiring plan'!$K$20*(1+Salary_Raise)^(AY$5-1)</f>
        <v>0</v>
      </c>
      <c r="AZ54" s="33" t="n">
        <f aca="false">AZ24*'Hiring plan'!$K$20*(1+Salary_Raise)^(AZ$5-1)</f>
        <v>0</v>
      </c>
      <c r="BA54" s="33" t="n">
        <f aca="false">BA24*'Hiring plan'!$K$20*(1+Salary_Raise)^(BA$5-1)</f>
        <v>0</v>
      </c>
      <c r="BB54" s="33" t="n">
        <f aca="false">BB24*'Hiring plan'!$K$20*(1+Salary_Raise)^(BB$5-1)</f>
        <v>0</v>
      </c>
      <c r="BC54" s="33" t="n">
        <f aca="false">BC24*'Hiring plan'!$K$20*(1+Salary_Raise)^(BC$5-1)</f>
        <v>0</v>
      </c>
      <c r="BD54" s="33" t="n">
        <f aca="false">BD24*'Hiring plan'!$K$20*(1+Salary_Raise)^(BD$5-1)</f>
        <v>0</v>
      </c>
      <c r="BE54" s="33" t="n">
        <f aca="false">BE24*'Hiring plan'!$K$20*(1+Salary_Raise)^(BE$5-1)</f>
        <v>0</v>
      </c>
      <c r="BF54" s="33" t="n">
        <f aca="false">BF24*'Hiring plan'!$K$20*(1+Salary_Raise)^(BF$5-1)</f>
        <v>0</v>
      </c>
      <c r="BG54" s="33" t="n">
        <f aca="false">BG24*'Hiring plan'!$K$20*(1+Salary_Raise)^(BG$5-1)</f>
        <v>0</v>
      </c>
      <c r="BH54" s="33" t="n">
        <f aca="false">BH24*'Hiring plan'!$K$20*(1+Salary_Raise)^(BH$5-1)</f>
        <v>0</v>
      </c>
      <c r="BI54" s="33" t="n">
        <f aca="false">BI24*'Hiring plan'!$K$20*(1+Salary_Raise)^(BI$5-1)</f>
        <v>0</v>
      </c>
      <c r="BJ54" s="33" t="n">
        <f aca="false">BJ24*'Hiring plan'!$K$20*(1+Salary_Raise)^(BJ$5-1)</f>
        <v>0</v>
      </c>
      <c r="BK54" s="33" t="n">
        <f aca="false">BK24*'Hiring plan'!$K$20*(1+Salary_Raise)^(BK$5-1)</f>
        <v>0</v>
      </c>
      <c r="BL54" s="33" t="n">
        <f aca="false">BL24*'Hiring plan'!$K$20*(1+Salary_Raise)^(BL$5-1)</f>
        <v>0</v>
      </c>
    </row>
    <row r="55" customFormat="false" ht="15" hidden="false" customHeight="true" outlineLevel="0" collapsed="false">
      <c r="A55" s="13" t="str">
        <f aca="false">A25</f>
        <v>(spare line 17)</v>
      </c>
      <c r="B55" s="15" t="s">
        <v>77</v>
      </c>
      <c r="D55" s="56" t="n">
        <f aca="false">SUM(E55:BL55)</f>
        <v>0</v>
      </c>
      <c r="E55" s="33" t="n">
        <f aca="false">E25*'Hiring plan'!$K$21*(1+Salary_Raise)^(E$5-1)</f>
        <v>0</v>
      </c>
      <c r="F55" s="33" t="n">
        <f aca="false">F25*'Hiring plan'!$K$21*(1+Salary_Raise)^(F$5-1)</f>
        <v>0</v>
      </c>
      <c r="G55" s="33" t="n">
        <f aca="false">G25*'Hiring plan'!$K$21*(1+Salary_Raise)^(G$5-1)</f>
        <v>0</v>
      </c>
      <c r="H55" s="33" t="n">
        <f aca="false">H25*'Hiring plan'!$K$21*(1+Salary_Raise)^(H$5-1)</f>
        <v>0</v>
      </c>
      <c r="I55" s="33" t="n">
        <f aca="false">I25*'Hiring plan'!$K$21*(1+Salary_Raise)^(I$5-1)</f>
        <v>0</v>
      </c>
      <c r="J55" s="33" t="n">
        <f aca="false">J25*'Hiring plan'!$K$21*(1+Salary_Raise)^(J$5-1)</f>
        <v>0</v>
      </c>
      <c r="K55" s="33" t="n">
        <f aca="false">K25*'Hiring plan'!$K$21*(1+Salary_Raise)^(K$5-1)</f>
        <v>0</v>
      </c>
      <c r="L55" s="33" t="n">
        <f aca="false">L25*'Hiring plan'!$K$21*(1+Salary_Raise)^(L$5-1)</f>
        <v>0</v>
      </c>
      <c r="M55" s="33" t="n">
        <f aca="false">M25*'Hiring plan'!$K$21*(1+Salary_Raise)^(M$5-1)</f>
        <v>0</v>
      </c>
      <c r="N55" s="33" t="n">
        <f aca="false">N25*'Hiring plan'!$K$21*(1+Salary_Raise)^(N$5-1)</f>
        <v>0</v>
      </c>
      <c r="O55" s="33" t="n">
        <f aca="false">O25*'Hiring plan'!$K$21*(1+Salary_Raise)^(O$5-1)</f>
        <v>0</v>
      </c>
      <c r="P55" s="33" t="n">
        <f aca="false">P25*'Hiring plan'!$K$21*(1+Salary_Raise)^(P$5-1)</f>
        <v>0</v>
      </c>
      <c r="Q55" s="33" t="n">
        <f aca="false">Q25*'Hiring plan'!$K$21*(1+Salary_Raise)^(Q$5-1)</f>
        <v>0</v>
      </c>
      <c r="R55" s="33" t="n">
        <f aca="false">R25*'Hiring plan'!$K$21*(1+Salary_Raise)^(R$5-1)</f>
        <v>0</v>
      </c>
      <c r="S55" s="33" t="n">
        <f aca="false">S25*'Hiring plan'!$K$21*(1+Salary_Raise)^(S$5-1)</f>
        <v>0</v>
      </c>
      <c r="T55" s="33" t="n">
        <f aca="false">T25*'Hiring plan'!$K$21*(1+Salary_Raise)^(T$5-1)</f>
        <v>0</v>
      </c>
      <c r="U55" s="33" t="n">
        <f aca="false">U25*'Hiring plan'!$K$21*(1+Salary_Raise)^(U$5-1)</f>
        <v>0</v>
      </c>
      <c r="V55" s="33" t="n">
        <f aca="false">V25*'Hiring plan'!$K$21*(1+Salary_Raise)^(V$5-1)</f>
        <v>0</v>
      </c>
      <c r="W55" s="33" t="n">
        <f aca="false">W25*'Hiring plan'!$K$21*(1+Salary_Raise)^(W$5-1)</f>
        <v>0</v>
      </c>
      <c r="X55" s="33" t="n">
        <f aca="false">X25*'Hiring plan'!$K$21*(1+Salary_Raise)^(X$5-1)</f>
        <v>0</v>
      </c>
      <c r="Y55" s="33" t="n">
        <f aca="false">Y25*'Hiring plan'!$K$21*(1+Salary_Raise)^(Y$5-1)</f>
        <v>0</v>
      </c>
      <c r="Z55" s="33" t="n">
        <f aca="false">Z25*'Hiring plan'!$K$21*(1+Salary_Raise)^(Z$5-1)</f>
        <v>0</v>
      </c>
      <c r="AA55" s="33" t="n">
        <f aca="false">AA25*'Hiring plan'!$K$21*(1+Salary_Raise)^(AA$5-1)</f>
        <v>0</v>
      </c>
      <c r="AB55" s="33" t="n">
        <f aca="false">AB25*'Hiring plan'!$K$21*(1+Salary_Raise)^(AB$5-1)</f>
        <v>0</v>
      </c>
      <c r="AC55" s="33" t="n">
        <f aca="false">AC25*'Hiring plan'!$K$21*(1+Salary_Raise)^(AC$5-1)</f>
        <v>0</v>
      </c>
      <c r="AD55" s="33" t="n">
        <f aca="false">AD25*'Hiring plan'!$K$21*(1+Salary_Raise)^(AD$5-1)</f>
        <v>0</v>
      </c>
      <c r="AE55" s="33" t="n">
        <f aca="false">AE25*'Hiring plan'!$K$21*(1+Salary_Raise)^(AE$5-1)</f>
        <v>0</v>
      </c>
      <c r="AF55" s="33" t="n">
        <f aca="false">AF25*'Hiring plan'!$K$21*(1+Salary_Raise)^(AF$5-1)</f>
        <v>0</v>
      </c>
      <c r="AG55" s="33" t="n">
        <f aca="false">AG25*'Hiring plan'!$K$21*(1+Salary_Raise)^(AG$5-1)</f>
        <v>0</v>
      </c>
      <c r="AH55" s="33" t="n">
        <f aca="false">AH25*'Hiring plan'!$K$21*(1+Salary_Raise)^(AH$5-1)</f>
        <v>0</v>
      </c>
      <c r="AI55" s="33" t="n">
        <f aca="false">AI25*'Hiring plan'!$K$21*(1+Salary_Raise)^(AI$5-1)</f>
        <v>0</v>
      </c>
      <c r="AJ55" s="33" t="n">
        <f aca="false">AJ25*'Hiring plan'!$K$21*(1+Salary_Raise)^(AJ$5-1)</f>
        <v>0</v>
      </c>
      <c r="AK55" s="33" t="n">
        <f aca="false">AK25*'Hiring plan'!$K$21*(1+Salary_Raise)^(AK$5-1)</f>
        <v>0</v>
      </c>
      <c r="AL55" s="33" t="n">
        <f aca="false">AL25*'Hiring plan'!$K$21*(1+Salary_Raise)^(AL$5-1)</f>
        <v>0</v>
      </c>
      <c r="AM55" s="33" t="n">
        <f aca="false">AM25*'Hiring plan'!$K$21*(1+Salary_Raise)^(AM$5-1)</f>
        <v>0</v>
      </c>
      <c r="AN55" s="33" t="n">
        <f aca="false">AN25*'Hiring plan'!$K$21*(1+Salary_Raise)^(AN$5-1)</f>
        <v>0</v>
      </c>
      <c r="AO55" s="33" t="n">
        <f aca="false">AO25*'Hiring plan'!$K$21*(1+Salary_Raise)^(AO$5-1)</f>
        <v>0</v>
      </c>
      <c r="AP55" s="33" t="n">
        <f aca="false">AP25*'Hiring plan'!$K$21*(1+Salary_Raise)^(AP$5-1)</f>
        <v>0</v>
      </c>
      <c r="AQ55" s="33" t="n">
        <f aca="false">AQ25*'Hiring plan'!$K$21*(1+Salary_Raise)^(AQ$5-1)</f>
        <v>0</v>
      </c>
      <c r="AR55" s="33" t="n">
        <f aca="false">AR25*'Hiring plan'!$K$21*(1+Salary_Raise)^(AR$5-1)</f>
        <v>0</v>
      </c>
      <c r="AS55" s="33" t="n">
        <f aca="false">AS25*'Hiring plan'!$K$21*(1+Salary_Raise)^(AS$5-1)</f>
        <v>0</v>
      </c>
      <c r="AT55" s="33" t="n">
        <f aca="false">AT25*'Hiring plan'!$K$21*(1+Salary_Raise)^(AT$5-1)</f>
        <v>0</v>
      </c>
      <c r="AU55" s="33" t="n">
        <f aca="false">AU25*'Hiring plan'!$K$21*(1+Salary_Raise)^(AU$5-1)</f>
        <v>0</v>
      </c>
      <c r="AV55" s="33" t="n">
        <f aca="false">AV25*'Hiring plan'!$K$21*(1+Salary_Raise)^(AV$5-1)</f>
        <v>0</v>
      </c>
      <c r="AW55" s="33" t="n">
        <f aca="false">AW25*'Hiring plan'!$K$21*(1+Salary_Raise)^(AW$5-1)</f>
        <v>0</v>
      </c>
      <c r="AX55" s="33" t="n">
        <f aca="false">AX25*'Hiring plan'!$K$21*(1+Salary_Raise)^(AX$5-1)</f>
        <v>0</v>
      </c>
      <c r="AY55" s="33" t="n">
        <f aca="false">AY25*'Hiring plan'!$K$21*(1+Salary_Raise)^(AY$5-1)</f>
        <v>0</v>
      </c>
      <c r="AZ55" s="33" t="n">
        <f aca="false">AZ25*'Hiring plan'!$K$21*(1+Salary_Raise)^(AZ$5-1)</f>
        <v>0</v>
      </c>
      <c r="BA55" s="33" t="n">
        <f aca="false">BA25*'Hiring plan'!$K$21*(1+Salary_Raise)^(BA$5-1)</f>
        <v>0</v>
      </c>
      <c r="BB55" s="33" t="n">
        <f aca="false">BB25*'Hiring plan'!$K$21*(1+Salary_Raise)^(BB$5-1)</f>
        <v>0</v>
      </c>
      <c r="BC55" s="33" t="n">
        <f aca="false">BC25*'Hiring plan'!$K$21*(1+Salary_Raise)^(BC$5-1)</f>
        <v>0</v>
      </c>
      <c r="BD55" s="33" t="n">
        <f aca="false">BD25*'Hiring plan'!$K$21*(1+Salary_Raise)^(BD$5-1)</f>
        <v>0</v>
      </c>
      <c r="BE55" s="33" t="n">
        <f aca="false">BE25*'Hiring plan'!$K$21*(1+Salary_Raise)^(BE$5-1)</f>
        <v>0</v>
      </c>
      <c r="BF55" s="33" t="n">
        <f aca="false">BF25*'Hiring plan'!$K$21*(1+Salary_Raise)^(BF$5-1)</f>
        <v>0</v>
      </c>
      <c r="BG55" s="33" t="n">
        <f aca="false">BG25*'Hiring plan'!$K$21*(1+Salary_Raise)^(BG$5-1)</f>
        <v>0</v>
      </c>
      <c r="BH55" s="33" t="n">
        <f aca="false">BH25*'Hiring plan'!$K$21*(1+Salary_Raise)^(BH$5-1)</f>
        <v>0</v>
      </c>
      <c r="BI55" s="33" t="n">
        <f aca="false">BI25*'Hiring plan'!$K$21*(1+Salary_Raise)^(BI$5-1)</f>
        <v>0</v>
      </c>
      <c r="BJ55" s="33" t="n">
        <f aca="false">BJ25*'Hiring plan'!$K$21*(1+Salary_Raise)^(BJ$5-1)</f>
        <v>0</v>
      </c>
      <c r="BK55" s="33" t="n">
        <f aca="false">BK25*'Hiring plan'!$K$21*(1+Salary_Raise)^(BK$5-1)</f>
        <v>0</v>
      </c>
      <c r="BL55" s="33" t="n">
        <f aca="false">BL25*'Hiring plan'!$K$21*(1+Salary_Raise)^(BL$5-1)</f>
        <v>0</v>
      </c>
    </row>
    <row r="56" customFormat="false" ht="15" hidden="false" customHeight="true" outlineLevel="0" collapsed="false">
      <c r="A56" s="13" t="str">
        <f aca="false">A26</f>
        <v>(spare line 18)</v>
      </c>
      <c r="B56" s="15" t="s">
        <v>77</v>
      </c>
      <c r="D56" s="56" t="n">
        <f aca="false">SUM(E56:BL56)</f>
        <v>0</v>
      </c>
      <c r="E56" s="33" t="n">
        <f aca="false">E26*'Hiring plan'!$K$22*(1+Salary_Raise)^(E$5-1)</f>
        <v>0</v>
      </c>
      <c r="F56" s="33" t="n">
        <f aca="false">F26*'Hiring plan'!$K$22*(1+Salary_Raise)^(F$5-1)</f>
        <v>0</v>
      </c>
      <c r="G56" s="33" t="n">
        <f aca="false">G26*'Hiring plan'!$K$22*(1+Salary_Raise)^(G$5-1)</f>
        <v>0</v>
      </c>
      <c r="H56" s="33" t="n">
        <f aca="false">H26*'Hiring plan'!$K$22*(1+Salary_Raise)^(H$5-1)</f>
        <v>0</v>
      </c>
      <c r="I56" s="33" t="n">
        <f aca="false">I26*'Hiring plan'!$K$22*(1+Salary_Raise)^(I$5-1)</f>
        <v>0</v>
      </c>
      <c r="J56" s="33" t="n">
        <f aca="false">J26*'Hiring plan'!$K$22*(1+Salary_Raise)^(J$5-1)</f>
        <v>0</v>
      </c>
      <c r="K56" s="33" t="n">
        <f aca="false">K26*'Hiring plan'!$K$22*(1+Salary_Raise)^(K$5-1)</f>
        <v>0</v>
      </c>
      <c r="L56" s="33" t="n">
        <f aca="false">L26*'Hiring plan'!$K$22*(1+Salary_Raise)^(L$5-1)</f>
        <v>0</v>
      </c>
      <c r="M56" s="33" t="n">
        <f aca="false">M26*'Hiring plan'!$K$22*(1+Salary_Raise)^(M$5-1)</f>
        <v>0</v>
      </c>
      <c r="N56" s="33" t="n">
        <f aca="false">N26*'Hiring plan'!$K$22*(1+Salary_Raise)^(N$5-1)</f>
        <v>0</v>
      </c>
      <c r="O56" s="33" t="n">
        <f aca="false">O26*'Hiring plan'!$K$22*(1+Salary_Raise)^(O$5-1)</f>
        <v>0</v>
      </c>
      <c r="P56" s="33" t="n">
        <f aca="false">P26*'Hiring plan'!$K$22*(1+Salary_Raise)^(P$5-1)</f>
        <v>0</v>
      </c>
      <c r="Q56" s="33" t="n">
        <f aca="false">Q26*'Hiring plan'!$K$22*(1+Salary_Raise)^(Q$5-1)</f>
        <v>0</v>
      </c>
      <c r="R56" s="33" t="n">
        <f aca="false">R26*'Hiring plan'!$K$22*(1+Salary_Raise)^(R$5-1)</f>
        <v>0</v>
      </c>
      <c r="S56" s="33" t="n">
        <f aca="false">S26*'Hiring plan'!$K$22*(1+Salary_Raise)^(S$5-1)</f>
        <v>0</v>
      </c>
      <c r="T56" s="33" t="n">
        <f aca="false">T26*'Hiring plan'!$K$22*(1+Salary_Raise)^(T$5-1)</f>
        <v>0</v>
      </c>
      <c r="U56" s="33" t="n">
        <f aca="false">U26*'Hiring plan'!$K$22*(1+Salary_Raise)^(U$5-1)</f>
        <v>0</v>
      </c>
      <c r="V56" s="33" t="n">
        <f aca="false">V26*'Hiring plan'!$K$22*(1+Salary_Raise)^(V$5-1)</f>
        <v>0</v>
      </c>
      <c r="W56" s="33" t="n">
        <f aca="false">W26*'Hiring plan'!$K$22*(1+Salary_Raise)^(W$5-1)</f>
        <v>0</v>
      </c>
      <c r="X56" s="33" t="n">
        <f aca="false">X26*'Hiring plan'!$K$22*(1+Salary_Raise)^(X$5-1)</f>
        <v>0</v>
      </c>
      <c r="Y56" s="33" t="n">
        <f aca="false">Y26*'Hiring plan'!$K$22*(1+Salary_Raise)^(Y$5-1)</f>
        <v>0</v>
      </c>
      <c r="Z56" s="33" t="n">
        <f aca="false">Z26*'Hiring plan'!$K$22*(1+Salary_Raise)^(Z$5-1)</f>
        <v>0</v>
      </c>
      <c r="AA56" s="33" t="n">
        <f aca="false">AA26*'Hiring plan'!$K$22*(1+Salary_Raise)^(AA$5-1)</f>
        <v>0</v>
      </c>
      <c r="AB56" s="33" t="n">
        <f aca="false">AB26*'Hiring plan'!$K$22*(1+Salary_Raise)^(AB$5-1)</f>
        <v>0</v>
      </c>
      <c r="AC56" s="33" t="n">
        <f aca="false">AC26*'Hiring plan'!$K$22*(1+Salary_Raise)^(AC$5-1)</f>
        <v>0</v>
      </c>
      <c r="AD56" s="33" t="n">
        <f aca="false">AD26*'Hiring plan'!$K$22*(1+Salary_Raise)^(AD$5-1)</f>
        <v>0</v>
      </c>
      <c r="AE56" s="33" t="n">
        <f aca="false">AE26*'Hiring plan'!$K$22*(1+Salary_Raise)^(AE$5-1)</f>
        <v>0</v>
      </c>
      <c r="AF56" s="33" t="n">
        <f aca="false">AF26*'Hiring plan'!$K$22*(1+Salary_Raise)^(AF$5-1)</f>
        <v>0</v>
      </c>
      <c r="AG56" s="33" t="n">
        <f aca="false">AG26*'Hiring plan'!$K$22*(1+Salary_Raise)^(AG$5-1)</f>
        <v>0</v>
      </c>
      <c r="AH56" s="33" t="n">
        <f aca="false">AH26*'Hiring plan'!$K$22*(1+Salary_Raise)^(AH$5-1)</f>
        <v>0</v>
      </c>
      <c r="AI56" s="33" t="n">
        <f aca="false">AI26*'Hiring plan'!$K$22*(1+Salary_Raise)^(AI$5-1)</f>
        <v>0</v>
      </c>
      <c r="AJ56" s="33" t="n">
        <f aca="false">AJ26*'Hiring plan'!$K$22*(1+Salary_Raise)^(AJ$5-1)</f>
        <v>0</v>
      </c>
      <c r="AK56" s="33" t="n">
        <f aca="false">AK26*'Hiring plan'!$K$22*(1+Salary_Raise)^(AK$5-1)</f>
        <v>0</v>
      </c>
      <c r="AL56" s="33" t="n">
        <f aca="false">AL26*'Hiring plan'!$K$22*(1+Salary_Raise)^(AL$5-1)</f>
        <v>0</v>
      </c>
      <c r="AM56" s="33" t="n">
        <f aca="false">AM26*'Hiring plan'!$K$22*(1+Salary_Raise)^(AM$5-1)</f>
        <v>0</v>
      </c>
      <c r="AN56" s="33" t="n">
        <f aca="false">AN26*'Hiring plan'!$K$22*(1+Salary_Raise)^(AN$5-1)</f>
        <v>0</v>
      </c>
      <c r="AO56" s="33" t="n">
        <f aca="false">AO26*'Hiring plan'!$K$22*(1+Salary_Raise)^(AO$5-1)</f>
        <v>0</v>
      </c>
      <c r="AP56" s="33" t="n">
        <f aca="false">AP26*'Hiring plan'!$K$22*(1+Salary_Raise)^(AP$5-1)</f>
        <v>0</v>
      </c>
      <c r="AQ56" s="33" t="n">
        <f aca="false">AQ26*'Hiring plan'!$K$22*(1+Salary_Raise)^(AQ$5-1)</f>
        <v>0</v>
      </c>
      <c r="AR56" s="33" t="n">
        <f aca="false">AR26*'Hiring plan'!$K$22*(1+Salary_Raise)^(AR$5-1)</f>
        <v>0</v>
      </c>
      <c r="AS56" s="33" t="n">
        <f aca="false">AS26*'Hiring plan'!$K$22*(1+Salary_Raise)^(AS$5-1)</f>
        <v>0</v>
      </c>
      <c r="AT56" s="33" t="n">
        <f aca="false">AT26*'Hiring plan'!$K$22*(1+Salary_Raise)^(AT$5-1)</f>
        <v>0</v>
      </c>
      <c r="AU56" s="33" t="n">
        <f aca="false">AU26*'Hiring plan'!$K$22*(1+Salary_Raise)^(AU$5-1)</f>
        <v>0</v>
      </c>
      <c r="AV56" s="33" t="n">
        <f aca="false">AV26*'Hiring plan'!$K$22*(1+Salary_Raise)^(AV$5-1)</f>
        <v>0</v>
      </c>
      <c r="AW56" s="33" t="n">
        <f aca="false">AW26*'Hiring plan'!$K$22*(1+Salary_Raise)^(AW$5-1)</f>
        <v>0</v>
      </c>
      <c r="AX56" s="33" t="n">
        <f aca="false">AX26*'Hiring plan'!$K$22*(1+Salary_Raise)^(AX$5-1)</f>
        <v>0</v>
      </c>
      <c r="AY56" s="33" t="n">
        <f aca="false">AY26*'Hiring plan'!$K$22*(1+Salary_Raise)^(AY$5-1)</f>
        <v>0</v>
      </c>
      <c r="AZ56" s="33" t="n">
        <f aca="false">AZ26*'Hiring plan'!$K$22*(1+Salary_Raise)^(AZ$5-1)</f>
        <v>0</v>
      </c>
      <c r="BA56" s="33" t="n">
        <f aca="false">BA26*'Hiring plan'!$K$22*(1+Salary_Raise)^(BA$5-1)</f>
        <v>0</v>
      </c>
      <c r="BB56" s="33" t="n">
        <f aca="false">BB26*'Hiring plan'!$K$22*(1+Salary_Raise)^(BB$5-1)</f>
        <v>0</v>
      </c>
      <c r="BC56" s="33" t="n">
        <f aca="false">BC26*'Hiring plan'!$K$22*(1+Salary_Raise)^(BC$5-1)</f>
        <v>0</v>
      </c>
      <c r="BD56" s="33" t="n">
        <f aca="false">BD26*'Hiring plan'!$K$22*(1+Salary_Raise)^(BD$5-1)</f>
        <v>0</v>
      </c>
      <c r="BE56" s="33" t="n">
        <f aca="false">BE26*'Hiring plan'!$K$22*(1+Salary_Raise)^(BE$5-1)</f>
        <v>0</v>
      </c>
      <c r="BF56" s="33" t="n">
        <f aca="false">BF26*'Hiring plan'!$K$22*(1+Salary_Raise)^(BF$5-1)</f>
        <v>0</v>
      </c>
      <c r="BG56" s="33" t="n">
        <f aca="false">BG26*'Hiring plan'!$K$22*(1+Salary_Raise)^(BG$5-1)</f>
        <v>0</v>
      </c>
      <c r="BH56" s="33" t="n">
        <f aca="false">BH26*'Hiring plan'!$K$22*(1+Salary_Raise)^(BH$5-1)</f>
        <v>0</v>
      </c>
      <c r="BI56" s="33" t="n">
        <f aca="false">BI26*'Hiring plan'!$K$22*(1+Salary_Raise)^(BI$5-1)</f>
        <v>0</v>
      </c>
      <c r="BJ56" s="33" t="n">
        <f aca="false">BJ26*'Hiring plan'!$K$22*(1+Salary_Raise)^(BJ$5-1)</f>
        <v>0</v>
      </c>
      <c r="BK56" s="33" t="n">
        <f aca="false">BK26*'Hiring plan'!$K$22*(1+Salary_Raise)^(BK$5-1)</f>
        <v>0</v>
      </c>
      <c r="BL56" s="33" t="n">
        <f aca="false">BL26*'Hiring plan'!$K$22*(1+Salary_Raise)^(BL$5-1)</f>
        <v>0</v>
      </c>
    </row>
    <row r="57" customFormat="false" ht="15" hidden="false" customHeight="true" outlineLevel="0" collapsed="false">
      <c r="A57" s="13" t="str">
        <f aca="false">A27</f>
        <v>(spare line 19)</v>
      </c>
      <c r="B57" s="15" t="s">
        <v>77</v>
      </c>
      <c r="D57" s="56" t="n">
        <f aca="false">SUM(E57:BL57)</f>
        <v>0</v>
      </c>
      <c r="E57" s="33" t="n">
        <f aca="false">E27*'Hiring plan'!$K$23*(1+Salary_Raise)^(E$5-1)</f>
        <v>0</v>
      </c>
      <c r="F57" s="33" t="n">
        <f aca="false">F27*'Hiring plan'!$K$23*(1+Salary_Raise)^(F$5-1)</f>
        <v>0</v>
      </c>
      <c r="G57" s="33" t="n">
        <f aca="false">G27*'Hiring plan'!$K$23*(1+Salary_Raise)^(G$5-1)</f>
        <v>0</v>
      </c>
      <c r="H57" s="33" t="n">
        <f aca="false">H27*'Hiring plan'!$K$23*(1+Salary_Raise)^(H$5-1)</f>
        <v>0</v>
      </c>
      <c r="I57" s="33" t="n">
        <f aca="false">I27*'Hiring plan'!$K$23*(1+Salary_Raise)^(I$5-1)</f>
        <v>0</v>
      </c>
      <c r="J57" s="33" t="n">
        <f aca="false">J27*'Hiring plan'!$K$23*(1+Salary_Raise)^(J$5-1)</f>
        <v>0</v>
      </c>
      <c r="K57" s="33" t="n">
        <f aca="false">K27*'Hiring plan'!$K$23*(1+Salary_Raise)^(K$5-1)</f>
        <v>0</v>
      </c>
      <c r="L57" s="33" t="n">
        <f aca="false">L27*'Hiring plan'!$K$23*(1+Salary_Raise)^(L$5-1)</f>
        <v>0</v>
      </c>
      <c r="M57" s="33" t="n">
        <f aca="false">M27*'Hiring plan'!$K$23*(1+Salary_Raise)^(M$5-1)</f>
        <v>0</v>
      </c>
      <c r="N57" s="33" t="n">
        <f aca="false">N27*'Hiring plan'!$K$23*(1+Salary_Raise)^(N$5-1)</f>
        <v>0</v>
      </c>
      <c r="O57" s="33" t="n">
        <f aca="false">O27*'Hiring plan'!$K$23*(1+Salary_Raise)^(O$5-1)</f>
        <v>0</v>
      </c>
      <c r="P57" s="33" t="n">
        <f aca="false">P27*'Hiring plan'!$K$23*(1+Salary_Raise)^(P$5-1)</f>
        <v>0</v>
      </c>
      <c r="Q57" s="33" t="n">
        <f aca="false">Q27*'Hiring plan'!$K$23*(1+Salary_Raise)^(Q$5-1)</f>
        <v>0</v>
      </c>
      <c r="R57" s="33" t="n">
        <f aca="false">R27*'Hiring plan'!$K$23*(1+Salary_Raise)^(R$5-1)</f>
        <v>0</v>
      </c>
      <c r="S57" s="33" t="n">
        <f aca="false">S27*'Hiring plan'!$K$23*(1+Salary_Raise)^(S$5-1)</f>
        <v>0</v>
      </c>
      <c r="T57" s="33" t="n">
        <f aca="false">T27*'Hiring plan'!$K$23*(1+Salary_Raise)^(T$5-1)</f>
        <v>0</v>
      </c>
      <c r="U57" s="33" t="n">
        <f aca="false">U27*'Hiring plan'!$K$23*(1+Salary_Raise)^(U$5-1)</f>
        <v>0</v>
      </c>
      <c r="V57" s="33" t="n">
        <f aca="false">V27*'Hiring plan'!$K$23*(1+Salary_Raise)^(V$5-1)</f>
        <v>0</v>
      </c>
      <c r="W57" s="33" t="n">
        <f aca="false">W27*'Hiring plan'!$K$23*(1+Salary_Raise)^(W$5-1)</f>
        <v>0</v>
      </c>
      <c r="X57" s="33" t="n">
        <f aca="false">X27*'Hiring plan'!$K$23*(1+Salary_Raise)^(X$5-1)</f>
        <v>0</v>
      </c>
      <c r="Y57" s="33" t="n">
        <f aca="false">Y27*'Hiring plan'!$K$23*(1+Salary_Raise)^(Y$5-1)</f>
        <v>0</v>
      </c>
      <c r="Z57" s="33" t="n">
        <f aca="false">Z27*'Hiring plan'!$K$23*(1+Salary_Raise)^(Z$5-1)</f>
        <v>0</v>
      </c>
      <c r="AA57" s="33" t="n">
        <f aca="false">AA27*'Hiring plan'!$K$23*(1+Salary_Raise)^(AA$5-1)</f>
        <v>0</v>
      </c>
      <c r="AB57" s="33" t="n">
        <f aca="false">AB27*'Hiring plan'!$K$23*(1+Salary_Raise)^(AB$5-1)</f>
        <v>0</v>
      </c>
      <c r="AC57" s="33" t="n">
        <f aca="false">AC27*'Hiring plan'!$K$23*(1+Salary_Raise)^(AC$5-1)</f>
        <v>0</v>
      </c>
      <c r="AD57" s="33" t="n">
        <f aca="false">AD27*'Hiring plan'!$K$23*(1+Salary_Raise)^(AD$5-1)</f>
        <v>0</v>
      </c>
      <c r="AE57" s="33" t="n">
        <f aca="false">AE27*'Hiring plan'!$K$23*(1+Salary_Raise)^(AE$5-1)</f>
        <v>0</v>
      </c>
      <c r="AF57" s="33" t="n">
        <f aca="false">AF27*'Hiring plan'!$K$23*(1+Salary_Raise)^(AF$5-1)</f>
        <v>0</v>
      </c>
      <c r="AG57" s="33" t="n">
        <f aca="false">AG27*'Hiring plan'!$K$23*(1+Salary_Raise)^(AG$5-1)</f>
        <v>0</v>
      </c>
      <c r="AH57" s="33" t="n">
        <f aca="false">AH27*'Hiring plan'!$K$23*(1+Salary_Raise)^(AH$5-1)</f>
        <v>0</v>
      </c>
      <c r="AI57" s="33" t="n">
        <f aca="false">AI27*'Hiring plan'!$K$23*(1+Salary_Raise)^(AI$5-1)</f>
        <v>0</v>
      </c>
      <c r="AJ57" s="33" t="n">
        <f aca="false">AJ27*'Hiring plan'!$K$23*(1+Salary_Raise)^(AJ$5-1)</f>
        <v>0</v>
      </c>
      <c r="AK57" s="33" t="n">
        <f aca="false">AK27*'Hiring plan'!$K$23*(1+Salary_Raise)^(AK$5-1)</f>
        <v>0</v>
      </c>
      <c r="AL57" s="33" t="n">
        <f aca="false">AL27*'Hiring plan'!$K$23*(1+Salary_Raise)^(AL$5-1)</f>
        <v>0</v>
      </c>
      <c r="AM57" s="33" t="n">
        <f aca="false">AM27*'Hiring plan'!$K$23*(1+Salary_Raise)^(AM$5-1)</f>
        <v>0</v>
      </c>
      <c r="AN57" s="33" t="n">
        <f aca="false">AN27*'Hiring plan'!$K$23*(1+Salary_Raise)^(AN$5-1)</f>
        <v>0</v>
      </c>
      <c r="AO57" s="33" t="n">
        <f aca="false">AO27*'Hiring plan'!$K$23*(1+Salary_Raise)^(AO$5-1)</f>
        <v>0</v>
      </c>
      <c r="AP57" s="33" t="n">
        <f aca="false">AP27*'Hiring plan'!$K$23*(1+Salary_Raise)^(AP$5-1)</f>
        <v>0</v>
      </c>
      <c r="AQ57" s="33" t="n">
        <f aca="false">AQ27*'Hiring plan'!$K$23*(1+Salary_Raise)^(AQ$5-1)</f>
        <v>0</v>
      </c>
      <c r="AR57" s="33" t="n">
        <f aca="false">AR27*'Hiring plan'!$K$23*(1+Salary_Raise)^(AR$5-1)</f>
        <v>0</v>
      </c>
      <c r="AS57" s="33" t="n">
        <f aca="false">AS27*'Hiring plan'!$K$23*(1+Salary_Raise)^(AS$5-1)</f>
        <v>0</v>
      </c>
      <c r="AT57" s="33" t="n">
        <f aca="false">AT27*'Hiring plan'!$K$23*(1+Salary_Raise)^(AT$5-1)</f>
        <v>0</v>
      </c>
      <c r="AU57" s="33" t="n">
        <f aca="false">AU27*'Hiring plan'!$K$23*(1+Salary_Raise)^(AU$5-1)</f>
        <v>0</v>
      </c>
      <c r="AV57" s="33" t="n">
        <f aca="false">AV27*'Hiring plan'!$K$23*(1+Salary_Raise)^(AV$5-1)</f>
        <v>0</v>
      </c>
      <c r="AW57" s="33" t="n">
        <f aca="false">AW27*'Hiring plan'!$K$23*(1+Salary_Raise)^(AW$5-1)</f>
        <v>0</v>
      </c>
      <c r="AX57" s="33" t="n">
        <f aca="false">AX27*'Hiring plan'!$K$23*(1+Salary_Raise)^(AX$5-1)</f>
        <v>0</v>
      </c>
      <c r="AY57" s="33" t="n">
        <f aca="false">AY27*'Hiring plan'!$K$23*(1+Salary_Raise)^(AY$5-1)</f>
        <v>0</v>
      </c>
      <c r="AZ57" s="33" t="n">
        <f aca="false">AZ27*'Hiring plan'!$K$23*(1+Salary_Raise)^(AZ$5-1)</f>
        <v>0</v>
      </c>
      <c r="BA57" s="33" t="n">
        <f aca="false">BA27*'Hiring plan'!$K$23*(1+Salary_Raise)^(BA$5-1)</f>
        <v>0</v>
      </c>
      <c r="BB57" s="33" t="n">
        <f aca="false">BB27*'Hiring plan'!$K$23*(1+Salary_Raise)^(BB$5-1)</f>
        <v>0</v>
      </c>
      <c r="BC57" s="33" t="n">
        <f aca="false">BC27*'Hiring plan'!$K$23*(1+Salary_Raise)^(BC$5-1)</f>
        <v>0</v>
      </c>
      <c r="BD57" s="33" t="n">
        <f aca="false">BD27*'Hiring plan'!$K$23*(1+Salary_Raise)^(BD$5-1)</f>
        <v>0</v>
      </c>
      <c r="BE57" s="33" t="n">
        <f aca="false">BE27*'Hiring plan'!$K$23*(1+Salary_Raise)^(BE$5-1)</f>
        <v>0</v>
      </c>
      <c r="BF57" s="33" t="n">
        <f aca="false">BF27*'Hiring plan'!$K$23*(1+Salary_Raise)^(BF$5-1)</f>
        <v>0</v>
      </c>
      <c r="BG57" s="33" t="n">
        <f aca="false">BG27*'Hiring plan'!$K$23*(1+Salary_Raise)^(BG$5-1)</f>
        <v>0</v>
      </c>
      <c r="BH57" s="33" t="n">
        <f aca="false">BH27*'Hiring plan'!$K$23*(1+Salary_Raise)^(BH$5-1)</f>
        <v>0</v>
      </c>
      <c r="BI57" s="33" t="n">
        <f aca="false">BI27*'Hiring plan'!$K$23*(1+Salary_Raise)^(BI$5-1)</f>
        <v>0</v>
      </c>
      <c r="BJ57" s="33" t="n">
        <f aca="false">BJ27*'Hiring plan'!$K$23*(1+Salary_Raise)^(BJ$5-1)</f>
        <v>0</v>
      </c>
      <c r="BK57" s="33" t="n">
        <f aca="false">BK27*'Hiring plan'!$K$23*(1+Salary_Raise)^(BK$5-1)</f>
        <v>0</v>
      </c>
      <c r="BL57" s="33" t="n">
        <f aca="false">BL27*'Hiring plan'!$K$23*(1+Salary_Raise)^(BL$5-1)</f>
        <v>0</v>
      </c>
    </row>
    <row r="58" customFormat="false" ht="15" hidden="false" customHeight="true" outlineLevel="0" collapsed="false">
      <c r="A58" s="13" t="str">
        <f aca="false">A28</f>
        <v>(spare line 20)</v>
      </c>
      <c r="B58" s="15" t="s">
        <v>77</v>
      </c>
      <c r="D58" s="56" t="n">
        <f aca="false">SUM(E58:BL58)</f>
        <v>0</v>
      </c>
      <c r="E58" s="33" t="n">
        <f aca="false">E28*'Hiring plan'!$K$24*(1+Salary_Raise)^(E$5-1)</f>
        <v>0</v>
      </c>
      <c r="F58" s="33" t="n">
        <f aca="false">F28*'Hiring plan'!$K$24*(1+Salary_Raise)^(F$5-1)</f>
        <v>0</v>
      </c>
      <c r="G58" s="33" t="n">
        <f aca="false">G28*'Hiring plan'!$K$24*(1+Salary_Raise)^(G$5-1)</f>
        <v>0</v>
      </c>
      <c r="H58" s="33" t="n">
        <f aca="false">H28*'Hiring plan'!$K$24*(1+Salary_Raise)^(H$5-1)</f>
        <v>0</v>
      </c>
      <c r="I58" s="33" t="n">
        <f aca="false">I28*'Hiring plan'!$K$24*(1+Salary_Raise)^(I$5-1)</f>
        <v>0</v>
      </c>
      <c r="J58" s="33" t="n">
        <f aca="false">J28*'Hiring plan'!$K$24*(1+Salary_Raise)^(J$5-1)</f>
        <v>0</v>
      </c>
      <c r="K58" s="33" t="n">
        <f aca="false">K28*'Hiring plan'!$K$24*(1+Salary_Raise)^(K$5-1)</f>
        <v>0</v>
      </c>
      <c r="L58" s="33" t="n">
        <f aca="false">L28*'Hiring plan'!$K$24*(1+Salary_Raise)^(L$5-1)</f>
        <v>0</v>
      </c>
      <c r="M58" s="33" t="n">
        <f aca="false">M28*'Hiring plan'!$K$24*(1+Salary_Raise)^(M$5-1)</f>
        <v>0</v>
      </c>
      <c r="N58" s="33" t="n">
        <f aca="false">N28*'Hiring plan'!$K$24*(1+Salary_Raise)^(N$5-1)</f>
        <v>0</v>
      </c>
      <c r="O58" s="33" t="n">
        <f aca="false">O28*'Hiring plan'!$K$24*(1+Salary_Raise)^(O$5-1)</f>
        <v>0</v>
      </c>
      <c r="P58" s="33" t="n">
        <f aca="false">P28*'Hiring plan'!$K$24*(1+Salary_Raise)^(P$5-1)</f>
        <v>0</v>
      </c>
      <c r="Q58" s="33" t="n">
        <f aca="false">Q28*'Hiring plan'!$K$24*(1+Salary_Raise)^(Q$5-1)</f>
        <v>0</v>
      </c>
      <c r="R58" s="33" t="n">
        <f aca="false">R28*'Hiring plan'!$K$24*(1+Salary_Raise)^(R$5-1)</f>
        <v>0</v>
      </c>
      <c r="S58" s="33" t="n">
        <f aca="false">S28*'Hiring plan'!$K$24*(1+Salary_Raise)^(S$5-1)</f>
        <v>0</v>
      </c>
      <c r="T58" s="33" t="n">
        <f aca="false">T28*'Hiring plan'!$K$24*(1+Salary_Raise)^(T$5-1)</f>
        <v>0</v>
      </c>
      <c r="U58" s="33" t="n">
        <f aca="false">U28*'Hiring plan'!$K$24*(1+Salary_Raise)^(U$5-1)</f>
        <v>0</v>
      </c>
      <c r="V58" s="33" t="n">
        <f aca="false">V28*'Hiring plan'!$K$24*(1+Salary_Raise)^(V$5-1)</f>
        <v>0</v>
      </c>
      <c r="W58" s="33" t="n">
        <f aca="false">W28*'Hiring plan'!$K$24*(1+Salary_Raise)^(W$5-1)</f>
        <v>0</v>
      </c>
      <c r="X58" s="33" t="n">
        <f aca="false">X28*'Hiring plan'!$K$24*(1+Salary_Raise)^(X$5-1)</f>
        <v>0</v>
      </c>
      <c r="Y58" s="33" t="n">
        <f aca="false">Y28*'Hiring plan'!$K$24*(1+Salary_Raise)^(Y$5-1)</f>
        <v>0</v>
      </c>
      <c r="Z58" s="33" t="n">
        <f aca="false">Z28*'Hiring plan'!$K$24*(1+Salary_Raise)^(Z$5-1)</f>
        <v>0</v>
      </c>
      <c r="AA58" s="33" t="n">
        <f aca="false">AA28*'Hiring plan'!$K$24*(1+Salary_Raise)^(AA$5-1)</f>
        <v>0</v>
      </c>
      <c r="AB58" s="33" t="n">
        <f aca="false">AB28*'Hiring plan'!$K$24*(1+Salary_Raise)^(AB$5-1)</f>
        <v>0</v>
      </c>
      <c r="AC58" s="33" t="n">
        <f aca="false">AC28*'Hiring plan'!$K$24*(1+Salary_Raise)^(AC$5-1)</f>
        <v>0</v>
      </c>
      <c r="AD58" s="33" t="n">
        <f aca="false">AD28*'Hiring plan'!$K$24*(1+Salary_Raise)^(AD$5-1)</f>
        <v>0</v>
      </c>
      <c r="AE58" s="33" t="n">
        <f aca="false">AE28*'Hiring plan'!$K$24*(1+Salary_Raise)^(AE$5-1)</f>
        <v>0</v>
      </c>
      <c r="AF58" s="33" t="n">
        <f aca="false">AF28*'Hiring plan'!$K$24*(1+Salary_Raise)^(AF$5-1)</f>
        <v>0</v>
      </c>
      <c r="AG58" s="33" t="n">
        <f aca="false">AG28*'Hiring plan'!$K$24*(1+Salary_Raise)^(AG$5-1)</f>
        <v>0</v>
      </c>
      <c r="AH58" s="33" t="n">
        <f aca="false">AH28*'Hiring plan'!$K$24*(1+Salary_Raise)^(AH$5-1)</f>
        <v>0</v>
      </c>
      <c r="AI58" s="33" t="n">
        <f aca="false">AI28*'Hiring plan'!$K$24*(1+Salary_Raise)^(AI$5-1)</f>
        <v>0</v>
      </c>
      <c r="AJ58" s="33" t="n">
        <f aca="false">AJ28*'Hiring plan'!$K$24*(1+Salary_Raise)^(AJ$5-1)</f>
        <v>0</v>
      </c>
      <c r="AK58" s="33" t="n">
        <f aca="false">AK28*'Hiring plan'!$K$24*(1+Salary_Raise)^(AK$5-1)</f>
        <v>0</v>
      </c>
      <c r="AL58" s="33" t="n">
        <f aca="false">AL28*'Hiring plan'!$K$24*(1+Salary_Raise)^(AL$5-1)</f>
        <v>0</v>
      </c>
      <c r="AM58" s="33" t="n">
        <f aca="false">AM28*'Hiring plan'!$K$24*(1+Salary_Raise)^(AM$5-1)</f>
        <v>0</v>
      </c>
      <c r="AN58" s="33" t="n">
        <f aca="false">AN28*'Hiring plan'!$K$24*(1+Salary_Raise)^(AN$5-1)</f>
        <v>0</v>
      </c>
      <c r="AO58" s="33" t="n">
        <f aca="false">AO28*'Hiring plan'!$K$24*(1+Salary_Raise)^(AO$5-1)</f>
        <v>0</v>
      </c>
      <c r="AP58" s="33" t="n">
        <f aca="false">AP28*'Hiring plan'!$K$24*(1+Salary_Raise)^(AP$5-1)</f>
        <v>0</v>
      </c>
      <c r="AQ58" s="33" t="n">
        <f aca="false">AQ28*'Hiring plan'!$K$24*(1+Salary_Raise)^(AQ$5-1)</f>
        <v>0</v>
      </c>
      <c r="AR58" s="33" t="n">
        <f aca="false">AR28*'Hiring plan'!$K$24*(1+Salary_Raise)^(AR$5-1)</f>
        <v>0</v>
      </c>
      <c r="AS58" s="33" t="n">
        <f aca="false">AS28*'Hiring plan'!$K$24*(1+Salary_Raise)^(AS$5-1)</f>
        <v>0</v>
      </c>
      <c r="AT58" s="33" t="n">
        <f aca="false">AT28*'Hiring plan'!$K$24*(1+Salary_Raise)^(AT$5-1)</f>
        <v>0</v>
      </c>
      <c r="AU58" s="33" t="n">
        <f aca="false">AU28*'Hiring plan'!$K$24*(1+Salary_Raise)^(AU$5-1)</f>
        <v>0</v>
      </c>
      <c r="AV58" s="33" t="n">
        <f aca="false">AV28*'Hiring plan'!$K$24*(1+Salary_Raise)^(AV$5-1)</f>
        <v>0</v>
      </c>
      <c r="AW58" s="33" t="n">
        <f aca="false">AW28*'Hiring plan'!$K$24*(1+Salary_Raise)^(AW$5-1)</f>
        <v>0</v>
      </c>
      <c r="AX58" s="33" t="n">
        <f aca="false">AX28*'Hiring plan'!$K$24*(1+Salary_Raise)^(AX$5-1)</f>
        <v>0</v>
      </c>
      <c r="AY58" s="33" t="n">
        <f aca="false">AY28*'Hiring plan'!$K$24*(1+Salary_Raise)^(AY$5-1)</f>
        <v>0</v>
      </c>
      <c r="AZ58" s="33" t="n">
        <f aca="false">AZ28*'Hiring plan'!$K$24*(1+Salary_Raise)^(AZ$5-1)</f>
        <v>0</v>
      </c>
      <c r="BA58" s="33" t="n">
        <f aca="false">BA28*'Hiring plan'!$K$24*(1+Salary_Raise)^(BA$5-1)</f>
        <v>0</v>
      </c>
      <c r="BB58" s="33" t="n">
        <f aca="false">BB28*'Hiring plan'!$K$24*(1+Salary_Raise)^(BB$5-1)</f>
        <v>0</v>
      </c>
      <c r="BC58" s="33" t="n">
        <f aca="false">BC28*'Hiring plan'!$K$24*(1+Salary_Raise)^(BC$5-1)</f>
        <v>0</v>
      </c>
      <c r="BD58" s="33" t="n">
        <f aca="false">BD28*'Hiring plan'!$K$24*(1+Salary_Raise)^(BD$5-1)</f>
        <v>0</v>
      </c>
      <c r="BE58" s="33" t="n">
        <f aca="false">BE28*'Hiring plan'!$K$24*(1+Salary_Raise)^(BE$5-1)</f>
        <v>0</v>
      </c>
      <c r="BF58" s="33" t="n">
        <f aca="false">BF28*'Hiring plan'!$K$24*(1+Salary_Raise)^(BF$5-1)</f>
        <v>0</v>
      </c>
      <c r="BG58" s="33" t="n">
        <f aca="false">BG28*'Hiring plan'!$K$24*(1+Salary_Raise)^(BG$5-1)</f>
        <v>0</v>
      </c>
      <c r="BH58" s="33" t="n">
        <f aca="false">BH28*'Hiring plan'!$K$24*(1+Salary_Raise)^(BH$5-1)</f>
        <v>0</v>
      </c>
      <c r="BI58" s="33" t="n">
        <f aca="false">BI28*'Hiring plan'!$K$24*(1+Salary_Raise)^(BI$5-1)</f>
        <v>0</v>
      </c>
      <c r="BJ58" s="33" t="n">
        <f aca="false">BJ28*'Hiring plan'!$K$24*(1+Salary_Raise)^(BJ$5-1)</f>
        <v>0</v>
      </c>
      <c r="BK58" s="33" t="n">
        <f aca="false">BK28*'Hiring plan'!$K$24*(1+Salary_Raise)^(BK$5-1)</f>
        <v>0</v>
      </c>
      <c r="BL58" s="33" t="n">
        <f aca="false">BL28*'Hiring plan'!$K$24*(1+Salary_Raise)^(BL$5-1)</f>
        <v>0</v>
      </c>
    </row>
    <row r="59" customFormat="false" ht="15" hidden="false" customHeight="true" outlineLevel="0" collapsed="false">
      <c r="A59" s="13" t="str">
        <f aca="false">A29</f>
        <v>(spare line 21)</v>
      </c>
      <c r="B59" s="15" t="s">
        <v>77</v>
      </c>
      <c r="D59" s="56" t="n">
        <f aca="false">SUM(E59:BL59)</f>
        <v>0</v>
      </c>
      <c r="E59" s="33" t="n">
        <f aca="false">E29*'Hiring plan'!$K$25*(1+Salary_Raise)^(E$5-1)</f>
        <v>0</v>
      </c>
      <c r="F59" s="33" t="n">
        <f aca="false">F29*'Hiring plan'!$K$25*(1+Salary_Raise)^(F$5-1)</f>
        <v>0</v>
      </c>
      <c r="G59" s="33" t="n">
        <f aca="false">G29*'Hiring plan'!$K$25*(1+Salary_Raise)^(G$5-1)</f>
        <v>0</v>
      </c>
      <c r="H59" s="33" t="n">
        <f aca="false">H29*'Hiring plan'!$K$25*(1+Salary_Raise)^(H$5-1)</f>
        <v>0</v>
      </c>
      <c r="I59" s="33" t="n">
        <f aca="false">I29*'Hiring plan'!$K$25*(1+Salary_Raise)^(I$5-1)</f>
        <v>0</v>
      </c>
      <c r="J59" s="33" t="n">
        <f aca="false">J29*'Hiring plan'!$K$25*(1+Salary_Raise)^(J$5-1)</f>
        <v>0</v>
      </c>
      <c r="K59" s="33" t="n">
        <f aca="false">K29*'Hiring plan'!$K$25*(1+Salary_Raise)^(K$5-1)</f>
        <v>0</v>
      </c>
      <c r="L59" s="33" t="n">
        <f aca="false">L29*'Hiring plan'!$K$25*(1+Salary_Raise)^(L$5-1)</f>
        <v>0</v>
      </c>
      <c r="M59" s="33" t="n">
        <f aca="false">M29*'Hiring plan'!$K$25*(1+Salary_Raise)^(M$5-1)</f>
        <v>0</v>
      </c>
      <c r="N59" s="33" t="n">
        <f aca="false">N29*'Hiring plan'!$K$25*(1+Salary_Raise)^(N$5-1)</f>
        <v>0</v>
      </c>
      <c r="O59" s="33" t="n">
        <f aca="false">O29*'Hiring plan'!$K$25*(1+Salary_Raise)^(O$5-1)</f>
        <v>0</v>
      </c>
      <c r="P59" s="33" t="n">
        <f aca="false">P29*'Hiring plan'!$K$25*(1+Salary_Raise)^(P$5-1)</f>
        <v>0</v>
      </c>
      <c r="Q59" s="33" t="n">
        <f aca="false">Q29*'Hiring plan'!$K$25*(1+Salary_Raise)^(Q$5-1)</f>
        <v>0</v>
      </c>
      <c r="R59" s="33" t="n">
        <f aca="false">R29*'Hiring plan'!$K$25*(1+Salary_Raise)^(R$5-1)</f>
        <v>0</v>
      </c>
      <c r="S59" s="33" t="n">
        <f aca="false">S29*'Hiring plan'!$K$25*(1+Salary_Raise)^(S$5-1)</f>
        <v>0</v>
      </c>
      <c r="T59" s="33" t="n">
        <f aca="false">T29*'Hiring plan'!$K$25*(1+Salary_Raise)^(T$5-1)</f>
        <v>0</v>
      </c>
      <c r="U59" s="33" t="n">
        <f aca="false">U29*'Hiring plan'!$K$25*(1+Salary_Raise)^(U$5-1)</f>
        <v>0</v>
      </c>
      <c r="V59" s="33" t="n">
        <f aca="false">V29*'Hiring plan'!$K$25*(1+Salary_Raise)^(V$5-1)</f>
        <v>0</v>
      </c>
      <c r="W59" s="33" t="n">
        <f aca="false">W29*'Hiring plan'!$K$25*(1+Salary_Raise)^(W$5-1)</f>
        <v>0</v>
      </c>
      <c r="X59" s="33" t="n">
        <f aca="false">X29*'Hiring plan'!$K$25*(1+Salary_Raise)^(X$5-1)</f>
        <v>0</v>
      </c>
      <c r="Y59" s="33" t="n">
        <f aca="false">Y29*'Hiring plan'!$K$25*(1+Salary_Raise)^(Y$5-1)</f>
        <v>0</v>
      </c>
      <c r="Z59" s="33" t="n">
        <f aca="false">Z29*'Hiring plan'!$K$25*(1+Salary_Raise)^(Z$5-1)</f>
        <v>0</v>
      </c>
      <c r="AA59" s="33" t="n">
        <f aca="false">AA29*'Hiring plan'!$K$25*(1+Salary_Raise)^(AA$5-1)</f>
        <v>0</v>
      </c>
      <c r="AB59" s="33" t="n">
        <f aca="false">AB29*'Hiring plan'!$K$25*(1+Salary_Raise)^(AB$5-1)</f>
        <v>0</v>
      </c>
      <c r="AC59" s="33" t="n">
        <f aca="false">AC29*'Hiring plan'!$K$25*(1+Salary_Raise)^(AC$5-1)</f>
        <v>0</v>
      </c>
      <c r="AD59" s="33" t="n">
        <f aca="false">AD29*'Hiring plan'!$K$25*(1+Salary_Raise)^(AD$5-1)</f>
        <v>0</v>
      </c>
      <c r="AE59" s="33" t="n">
        <f aca="false">AE29*'Hiring plan'!$K$25*(1+Salary_Raise)^(AE$5-1)</f>
        <v>0</v>
      </c>
      <c r="AF59" s="33" t="n">
        <f aca="false">AF29*'Hiring plan'!$K$25*(1+Salary_Raise)^(AF$5-1)</f>
        <v>0</v>
      </c>
      <c r="AG59" s="33" t="n">
        <f aca="false">AG29*'Hiring plan'!$K$25*(1+Salary_Raise)^(AG$5-1)</f>
        <v>0</v>
      </c>
      <c r="AH59" s="33" t="n">
        <f aca="false">AH29*'Hiring plan'!$K$25*(1+Salary_Raise)^(AH$5-1)</f>
        <v>0</v>
      </c>
      <c r="AI59" s="33" t="n">
        <f aca="false">AI29*'Hiring plan'!$K$25*(1+Salary_Raise)^(AI$5-1)</f>
        <v>0</v>
      </c>
      <c r="AJ59" s="33" t="n">
        <f aca="false">AJ29*'Hiring plan'!$K$25*(1+Salary_Raise)^(AJ$5-1)</f>
        <v>0</v>
      </c>
      <c r="AK59" s="33" t="n">
        <f aca="false">AK29*'Hiring plan'!$K$25*(1+Salary_Raise)^(AK$5-1)</f>
        <v>0</v>
      </c>
      <c r="AL59" s="33" t="n">
        <f aca="false">AL29*'Hiring plan'!$K$25*(1+Salary_Raise)^(AL$5-1)</f>
        <v>0</v>
      </c>
      <c r="AM59" s="33" t="n">
        <f aca="false">AM29*'Hiring plan'!$K$25*(1+Salary_Raise)^(AM$5-1)</f>
        <v>0</v>
      </c>
      <c r="AN59" s="33" t="n">
        <f aca="false">AN29*'Hiring plan'!$K$25*(1+Salary_Raise)^(AN$5-1)</f>
        <v>0</v>
      </c>
      <c r="AO59" s="33" t="n">
        <f aca="false">AO29*'Hiring plan'!$K$25*(1+Salary_Raise)^(AO$5-1)</f>
        <v>0</v>
      </c>
      <c r="AP59" s="33" t="n">
        <f aca="false">AP29*'Hiring plan'!$K$25*(1+Salary_Raise)^(AP$5-1)</f>
        <v>0</v>
      </c>
      <c r="AQ59" s="33" t="n">
        <f aca="false">AQ29*'Hiring plan'!$K$25*(1+Salary_Raise)^(AQ$5-1)</f>
        <v>0</v>
      </c>
      <c r="AR59" s="33" t="n">
        <f aca="false">AR29*'Hiring plan'!$K$25*(1+Salary_Raise)^(AR$5-1)</f>
        <v>0</v>
      </c>
      <c r="AS59" s="33" t="n">
        <f aca="false">AS29*'Hiring plan'!$K$25*(1+Salary_Raise)^(AS$5-1)</f>
        <v>0</v>
      </c>
      <c r="AT59" s="33" t="n">
        <f aca="false">AT29*'Hiring plan'!$K$25*(1+Salary_Raise)^(AT$5-1)</f>
        <v>0</v>
      </c>
      <c r="AU59" s="33" t="n">
        <f aca="false">AU29*'Hiring plan'!$K$25*(1+Salary_Raise)^(AU$5-1)</f>
        <v>0</v>
      </c>
      <c r="AV59" s="33" t="n">
        <f aca="false">AV29*'Hiring plan'!$K$25*(1+Salary_Raise)^(AV$5-1)</f>
        <v>0</v>
      </c>
      <c r="AW59" s="33" t="n">
        <f aca="false">AW29*'Hiring plan'!$K$25*(1+Salary_Raise)^(AW$5-1)</f>
        <v>0</v>
      </c>
      <c r="AX59" s="33" t="n">
        <f aca="false">AX29*'Hiring plan'!$K$25*(1+Salary_Raise)^(AX$5-1)</f>
        <v>0</v>
      </c>
      <c r="AY59" s="33" t="n">
        <f aca="false">AY29*'Hiring plan'!$K$25*(1+Salary_Raise)^(AY$5-1)</f>
        <v>0</v>
      </c>
      <c r="AZ59" s="33" t="n">
        <f aca="false">AZ29*'Hiring plan'!$K$25*(1+Salary_Raise)^(AZ$5-1)</f>
        <v>0</v>
      </c>
      <c r="BA59" s="33" t="n">
        <f aca="false">BA29*'Hiring plan'!$K$25*(1+Salary_Raise)^(BA$5-1)</f>
        <v>0</v>
      </c>
      <c r="BB59" s="33" t="n">
        <f aca="false">BB29*'Hiring plan'!$K$25*(1+Salary_Raise)^(BB$5-1)</f>
        <v>0</v>
      </c>
      <c r="BC59" s="33" t="n">
        <f aca="false">BC29*'Hiring plan'!$K$25*(1+Salary_Raise)^(BC$5-1)</f>
        <v>0</v>
      </c>
      <c r="BD59" s="33" t="n">
        <f aca="false">BD29*'Hiring plan'!$K$25*(1+Salary_Raise)^(BD$5-1)</f>
        <v>0</v>
      </c>
      <c r="BE59" s="33" t="n">
        <f aca="false">BE29*'Hiring plan'!$K$25*(1+Salary_Raise)^(BE$5-1)</f>
        <v>0</v>
      </c>
      <c r="BF59" s="33" t="n">
        <f aca="false">BF29*'Hiring plan'!$K$25*(1+Salary_Raise)^(BF$5-1)</f>
        <v>0</v>
      </c>
      <c r="BG59" s="33" t="n">
        <f aca="false">BG29*'Hiring plan'!$K$25*(1+Salary_Raise)^(BG$5-1)</f>
        <v>0</v>
      </c>
      <c r="BH59" s="33" t="n">
        <f aca="false">BH29*'Hiring plan'!$K$25*(1+Salary_Raise)^(BH$5-1)</f>
        <v>0</v>
      </c>
      <c r="BI59" s="33" t="n">
        <f aca="false">BI29*'Hiring plan'!$K$25*(1+Salary_Raise)^(BI$5-1)</f>
        <v>0</v>
      </c>
      <c r="BJ59" s="33" t="n">
        <f aca="false">BJ29*'Hiring plan'!$K$25*(1+Salary_Raise)^(BJ$5-1)</f>
        <v>0</v>
      </c>
      <c r="BK59" s="33" t="n">
        <f aca="false">BK29*'Hiring plan'!$K$25*(1+Salary_Raise)^(BK$5-1)</f>
        <v>0</v>
      </c>
      <c r="BL59" s="33" t="n">
        <f aca="false">BL29*'Hiring plan'!$K$25*(1+Salary_Raise)^(BL$5-1)</f>
        <v>0</v>
      </c>
    </row>
    <row r="60" customFormat="false" ht="15" hidden="false" customHeight="true" outlineLevel="0" collapsed="false">
      <c r="A60" s="13" t="str">
        <f aca="false">A30</f>
        <v>(spare line 22)</v>
      </c>
      <c r="B60" s="15" t="s">
        <v>77</v>
      </c>
      <c r="D60" s="56" t="n">
        <f aca="false">SUM(E60:BL60)</f>
        <v>0</v>
      </c>
      <c r="E60" s="33" t="n">
        <f aca="false">E30*'Hiring plan'!$K$26*(1+Salary_Raise)^(E$5-1)</f>
        <v>0</v>
      </c>
      <c r="F60" s="33" t="n">
        <f aca="false">F30*'Hiring plan'!$K$26*(1+Salary_Raise)^(F$5-1)</f>
        <v>0</v>
      </c>
      <c r="G60" s="33" t="n">
        <f aca="false">G30*'Hiring plan'!$K$26*(1+Salary_Raise)^(G$5-1)</f>
        <v>0</v>
      </c>
      <c r="H60" s="33" t="n">
        <f aca="false">H30*'Hiring plan'!$K$26*(1+Salary_Raise)^(H$5-1)</f>
        <v>0</v>
      </c>
      <c r="I60" s="33" t="n">
        <f aca="false">I30*'Hiring plan'!$K$26*(1+Salary_Raise)^(I$5-1)</f>
        <v>0</v>
      </c>
      <c r="J60" s="33" t="n">
        <f aca="false">J30*'Hiring plan'!$K$26*(1+Salary_Raise)^(J$5-1)</f>
        <v>0</v>
      </c>
      <c r="K60" s="33" t="n">
        <f aca="false">K30*'Hiring plan'!$K$26*(1+Salary_Raise)^(K$5-1)</f>
        <v>0</v>
      </c>
      <c r="L60" s="33" t="n">
        <f aca="false">L30*'Hiring plan'!$K$26*(1+Salary_Raise)^(L$5-1)</f>
        <v>0</v>
      </c>
      <c r="M60" s="33" t="n">
        <f aca="false">M30*'Hiring plan'!$K$26*(1+Salary_Raise)^(M$5-1)</f>
        <v>0</v>
      </c>
      <c r="N60" s="33" t="n">
        <f aca="false">N30*'Hiring plan'!$K$26*(1+Salary_Raise)^(N$5-1)</f>
        <v>0</v>
      </c>
      <c r="O60" s="33" t="n">
        <f aca="false">O30*'Hiring plan'!$K$26*(1+Salary_Raise)^(O$5-1)</f>
        <v>0</v>
      </c>
      <c r="P60" s="33" t="n">
        <f aca="false">P30*'Hiring plan'!$K$26*(1+Salary_Raise)^(P$5-1)</f>
        <v>0</v>
      </c>
      <c r="Q60" s="33" t="n">
        <f aca="false">Q30*'Hiring plan'!$K$26*(1+Salary_Raise)^(Q$5-1)</f>
        <v>0</v>
      </c>
      <c r="R60" s="33" t="n">
        <f aca="false">R30*'Hiring plan'!$K$26*(1+Salary_Raise)^(R$5-1)</f>
        <v>0</v>
      </c>
      <c r="S60" s="33" t="n">
        <f aca="false">S30*'Hiring plan'!$K$26*(1+Salary_Raise)^(S$5-1)</f>
        <v>0</v>
      </c>
      <c r="T60" s="33" t="n">
        <f aca="false">T30*'Hiring plan'!$K$26*(1+Salary_Raise)^(T$5-1)</f>
        <v>0</v>
      </c>
      <c r="U60" s="33" t="n">
        <f aca="false">U30*'Hiring plan'!$K$26*(1+Salary_Raise)^(U$5-1)</f>
        <v>0</v>
      </c>
      <c r="V60" s="33" t="n">
        <f aca="false">V30*'Hiring plan'!$K$26*(1+Salary_Raise)^(V$5-1)</f>
        <v>0</v>
      </c>
      <c r="W60" s="33" t="n">
        <f aca="false">W30*'Hiring plan'!$K$26*(1+Salary_Raise)^(W$5-1)</f>
        <v>0</v>
      </c>
      <c r="X60" s="33" t="n">
        <f aca="false">X30*'Hiring plan'!$K$26*(1+Salary_Raise)^(X$5-1)</f>
        <v>0</v>
      </c>
      <c r="Y60" s="33" t="n">
        <f aca="false">Y30*'Hiring plan'!$K$26*(1+Salary_Raise)^(Y$5-1)</f>
        <v>0</v>
      </c>
      <c r="Z60" s="33" t="n">
        <f aca="false">Z30*'Hiring plan'!$K$26*(1+Salary_Raise)^(Z$5-1)</f>
        <v>0</v>
      </c>
      <c r="AA60" s="33" t="n">
        <f aca="false">AA30*'Hiring plan'!$K$26*(1+Salary_Raise)^(AA$5-1)</f>
        <v>0</v>
      </c>
      <c r="AB60" s="33" t="n">
        <f aca="false">AB30*'Hiring plan'!$K$26*(1+Salary_Raise)^(AB$5-1)</f>
        <v>0</v>
      </c>
      <c r="AC60" s="33" t="n">
        <f aca="false">AC30*'Hiring plan'!$K$26*(1+Salary_Raise)^(AC$5-1)</f>
        <v>0</v>
      </c>
      <c r="AD60" s="33" t="n">
        <f aca="false">AD30*'Hiring plan'!$K$26*(1+Salary_Raise)^(AD$5-1)</f>
        <v>0</v>
      </c>
      <c r="AE60" s="33" t="n">
        <f aca="false">AE30*'Hiring plan'!$K$26*(1+Salary_Raise)^(AE$5-1)</f>
        <v>0</v>
      </c>
      <c r="AF60" s="33" t="n">
        <f aca="false">AF30*'Hiring plan'!$K$26*(1+Salary_Raise)^(AF$5-1)</f>
        <v>0</v>
      </c>
      <c r="AG60" s="33" t="n">
        <f aca="false">AG30*'Hiring plan'!$K$26*(1+Salary_Raise)^(AG$5-1)</f>
        <v>0</v>
      </c>
      <c r="AH60" s="33" t="n">
        <f aca="false">AH30*'Hiring plan'!$K$26*(1+Salary_Raise)^(AH$5-1)</f>
        <v>0</v>
      </c>
      <c r="AI60" s="33" t="n">
        <f aca="false">AI30*'Hiring plan'!$K$26*(1+Salary_Raise)^(AI$5-1)</f>
        <v>0</v>
      </c>
      <c r="AJ60" s="33" t="n">
        <f aca="false">AJ30*'Hiring plan'!$K$26*(1+Salary_Raise)^(AJ$5-1)</f>
        <v>0</v>
      </c>
      <c r="AK60" s="33" t="n">
        <f aca="false">AK30*'Hiring plan'!$K$26*(1+Salary_Raise)^(AK$5-1)</f>
        <v>0</v>
      </c>
      <c r="AL60" s="33" t="n">
        <f aca="false">AL30*'Hiring plan'!$K$26*(1+Salary_Raise)^(AL$5-1)</f>
        <v>0</v>
      </c>
      <c r="AM60" s="33" t="n">
        <f aca="false">AM30*'Hiring plan'!$K$26*(1+Salary_Raise)^(AM$5-1)</f>
        <v>0</v>
      </c>
      <c r="AN60" s="33" t="n">
        <f aca="false">AN30*'Hiring plan'!$K$26*(1+Salary_Raise)^(AN$5-1)</f>
        <v>0</v>
      </c>
      <c r="AO60" s="33" t="n">
        <f aca="false">AO30*'Hiring plan'!$K$26*(1+Salary_Raise)^(AO$5-1)</f>
        <v>0</v>
      </c>
      <c r="AP60" s="33" t="n">
        <f aca="false">AP30*'Hiring plan'!$K$26*(1+Salary_Raise)^(AP$5-1)</f>
        <v>0</v>
      </c>
      <c r="AQ60" s="33" t="n">
        <f aca="false">AQ30*'Hiring plan'!$K$26*(1+Salary_Raise)^(AQ$5-1)</f>
        <v>0</v>
      </c>
      <c r="AR60" s="33" t="n">
        <f aca="false">AR30*'Hiring plan'!$K$26*(1+Salary_Raise)^(AR$5-1)</f>
        <v>0</v>
      </c>
      <c r="AS60" s="33" t="n">
        <f aca="false">AS30*'Hiring plan'!$K$26*(1+Salary_Raise)^(AS$5-1)</f>
        <v>0</v>
      </c>
      <c r="AT60" s="33" t="n">
        <f aca="false">AT30*'Hiring plan'!$K$26*(1+Salary_Raise)^(AT$5-1)</f>
        <v>0</v>
      </c>
      <c r="AU60" s="33" t="n">
        <f aca="false">AU30*'Hiring plan'!$K$26*(1+Salary_Raise)^(AU$5-1)</f>
        <v>0</v>
      </c>
      <c r="AV60" s="33" t="n">
        <f aca="false">AV30*'Hiring plan'!$K$26*(1+Salary_Raise)^(AV$5-1)</f>
        <v>0</v>
      </c>
      <c r="AW60" s="33" t="n">
        <f aca="false">AW30*'Hiring plan'!$K$26*(1+Salary_Raise)^(AW$5-1)</f>
        <v>0</v>
      </c>
      <c r="AX60" s="33" t="n">
        <f aca="false">AX30*'Hiring plan'!$K$26*(1+Salary_Raise)^(AX$5-1)</f>
        <v>0</v>
      </c>
      <c r="AY60" s="33" t="n">
        <f aca="false">AY30*'Hiring plan'!$K$26*(1+Salary_Raise)^(AY$5-1)</f>
        <v>0</v>
      </c>
      <c r="AZ60" s="33" t="n">
        <f aca="false">AZ30*'Hiring plan'!$K$26*(1+Salary_Raise)^(AZ$5-1)</f>
        <v>0</v>
      </c>
      <c r="BA60" s="33" t="n">
        <f aca="false">BA30*'Hiring plan'!$K$26*(1+Salary_Raise)^(BA$5-1)</f>
        <v>0</v>
      </c>
      <c r="BB60" s="33" t="n">
        <f aca="false">BB30*'Hiring plan'!$K$26*(1+Salary_Raise)^(BB$5-1)</f>
        <v>0</v>
      </c>
      <c r="BC60" s="33" t="n">
        <f aca="false">BC30*'Hiring plan'!$K$26*(1+Salary_Raise)^(BC$5-1)</f>
        <v>0</v>
      </c>
      <c r="BD60" s="33" t="n">
        <f aca="false">BD30*'Hiring plan'!$K$26*(1+Salary_Raise)^(BD$5-1)</f>
        <v>0</v>
      </c>
      <c r="BE60" s="33" t="n">
        <f aca="false">BE30*'Hiring plan'!$K$26*(1+Salary_Raise)^(BE$5-1)</f>
        <v>0</v>
      </c>
      <c r="BF60" s="33" t="n">
        <f aca="false">BF30*'Hiring plan'!$K$26*(1+Salary_Raise)^(BF$5-1)</f>
        <v>0</v>
      </c>
      <c r="BG60" s="33" t="n">
        <f aca="false">BG30*'Hiring plan'!$K$26*(1+Salary_Raise)^(BG$5-1)</f>
        <v>0</v>
      </c>
      <c r="BH60" s="33" t="n">
        <f aca="false">BH30*'Hiring plan'!$K$26*(1+Salary_Raise)^(BH$5-1)</f>
        <v>0</v>
      </c>
      <c r="BI60" s="33" t="n">
        <f aca="false">BI30*'Hiring plan'!$K$26*(1+Salary_Raise)^(BI$5-1)</f>
        <v>0</v>
      </c>
      <c r="BJ60" s="33" t="n">
        <f aca="false">BJ30*'Hiring plan'!$K$26*(1+Salary_Raise)^(BJ$5-1)</f>
        <v>0</v>
      </c>
      <c r="BK60" s="33" t="n">
        <f aca="false">BK30*'Hiring plan'!$K$26*(1+Salary_Raise)^(BK$5-1)</f>
        <v>0</v>
      </c>
      <c r="BL60" s="33" t="n">
        <f aca="false">BL30*'Hiring plan'!$K$26*(1+Salary_Raise)^(BL$5-1)</f>
        <v>0</v>
      </c>
    </row>
    <row r="61" customFormat="false" ht="15" hidden="false" customHeight="true" outlineLevel="0" collapsed="false">
      <c r="A61" s="13" t="str">
        <f aca="false">A31</f>
        <v>(spare line 23)</v>
      </c>
      <c r="B61" s="15" t="s">
        <v>77</v>
      </c>
      <c r="D61" s="56" t="n">
        <f aca="false">SUM(E61:BL61)</f>
        <v>0</v>
      </c>
      <c r="E61" s="33" t="n">
        <f aca="false">E31*'Hiring plan'!$K$27*(1+Salary_Raise)^(E$5-1)</f>
        <v>0</v>
      </c>
      <c r="F61" s="33" t="n">
        <f aca="false">F31*'Hiring plan'!$K$27*(1+Salary_Raise)^(F$5-1)</f>
        <v>0</v>
      </c>
      <c r="G61" s="33" t="n">
        <f aca="false">G31*'Hiring plan'!$K$27*(1+Salary_Raise)^(G$5-1)</f>
        <v>0</v>
      </c>
      <c r="H61" s="33" t="n">
        <f aca="false">H31*'Hiring plan'!$K$27*(1+Salary_Raise)^(H$5-1)</f>
        <v>0</v>
      </c>
      <c r="I61" s="33" t="n">
        <f aca="false">I31*'Hiring plan'!$K$27*(1+Salary_Raise)^(I$5-1)</f>
        <v>0</v>
      </c>
      <c r="J61" s="33" t="n">
        <f aca="false">J31*'Hiring plan'!$K$27*(1+Salary_Raise)^(J$5-1)</f>
        <v>0</v>
      </c>
      <c r="K61" s="33" t="n">
        <f aca="false">K31*'Hiring plan'!$K$27*(1+Salary_Raise)^(K$5-1)</f>
        <v>0</v>
      </c>
      <c r="L61" s="33" t="n">
        <f aca="false">L31*'Hiring plan'!$K$27*(1+Salary_Raise)^(L$5-1)</f>
        <v>0</v>
      </c>
      <c r="M61" s="33" t="n">
        <f aca="false">M31*'Hiring plan'!$K$27*(1+Salary_Raise)^(M$5-1)</f>
        <v>0</v>
      </c>
      <c r="N61" s="33" t="n">
        <f aca="false">N31*'Hiring plan'!$K$27*(1+Salary_Raise)^(N$5-1)</f>
        <v>0</v>
      </c>
      <c r="O61" s="33" t="n">
        <f aca="false">O31*'Hiring plan'!$K$27*(1+Salary_Raise)^(O$5-1)</f>
        <v>0</v>
      </c>
      <c r="P61" s="33" t="n">
        <f aca="false">P31*'Hiring plan'!$K$27*(1+Salary_Raise)^(P$5-1)</f>
        <v>0</v>
      </c>
      <c r="Q61" s="33" t="n">
        <f aca="false">Q31*'Hiring plan'!$K$27*(1+Salary_Raise)^(Q$5-1)</f>
        <v>0</v>
      </c>
      <c r="R61" s="33" t="n">
        <f aca="false">R31*'Hiring plan'!$K$27*(1+Salary_Raise)^(R$5-1)</f>
        <v>0</v>
      </c>
      <c r="S61" s="33" t="n">
        <f aca="false">S31*'Hiring plan'!$K$27*(1+Salary_Raise)^(S$5-1)</f>
        <v>0</v>
      </c>
      <c r="T61" s="33" t="n">
        <f aca="false">T31*'Hiring plan'!$K$27*(1+Salary_Raise)^(T$5-1)</f>
        <v>0</v>
      </c>
      <c r="U61" s="33" t="n">
        <f aca="false">U31*'Hiring plan'!$K$27*(1+Salary_Raise)^(U$5-1)</f>
        <v>0</v>
      </c>
      <c r="V61" s="33" t="n">
        <f aca="false">V31*'Hiring plan'!$K$27*(1+Salary_Raise)^(V$5-1)</f>
        <v>0</v>
      </c>
      <c r="W61" s="33" t="n">
        <f aca="false">W31*'Hiring plan'!$K$27*(1+Salary_Raise)^(W$5-1)</f>
        <v>0</v>
      </c>
      <c r="X61" s="33" t="n">
        <f aca="false">X31*'Hiring plan'!$K$27*(1+Salary_Raise)^(X$5-1)</f>
        <v>0</v>
      </c>
      <c r="Y61" s="33" t="n">
        <f aca="false">Y31*'Hiring plan'!$K$27*(1+Salary_Raise)^(Y$5-1)</f>
        <v>0</v>
      </c>
      <c r="Z61" s="33" t="n">
        <f aca="false">Z31*'Hiring plan'!$K$27*(1+Salary_Raise)^(Z$5-1)</f>
        <v>0</v>
      </c>
      <c r="AA61" s="33" t="n">
        <f aca="false">AA31*'Hiring plan'!$K$27*(1+Salary_Raise)^(AA$5-1)</f>
        <v>0</v>
      </c>
      <c r="AB61" s="33" t="n">
        <f aca="false">AB31*'Hiring plan'!$K$27*(1+Salary_Raise)^(AB$5-1)</f>
        <v>0</v>
      </c>
      <c r="AC61" s="33" t="n">
        <f aca="false">AC31*'Hiring plan'!$K$27*(1+Salary_Raise)^(AC$5-1)</f>
        <v>0</v>
      </c>
      <c r="AD61" s="33" t="n">
        <f aca="false">AD31*'Hiring plan'!$K$27*(1+Salary_Raise)^(AD$5-1)</f>
        <v>0</v>
      </c>
      <c r="AE61" s="33" t="n">
        <f aca="false">AE31*'Hiring plan'!$K$27*(1+Salary_Raise)^(AE$5-1)</f>
        <v>0</v>
      </c>
      <c r="AF61" s="33" t="n">
        <f aca="false">AF31*'Hiring plan'!$K$27*(1+Salary_Raise)^(AF$5-1)</f>
        <v>0</v>
      </c>
      <c r="AG61" s="33" t="n">
        <f aca="false">AG31*'Hiring plan'!$K$27*(1+Salary_Raise)^(AG$5-1)</f>
        <v>0</v>
      </c>
      <c r="AH61" s="33" t="n">
        <f aca="false">AH31*'Hiring plan'!$K$27*(1+Salary_Raise)^(AH$5-1)</f>
        <v>0</v>
      </c>
      <c r="AI61" s="33" t="n">
        <f aca="false">AI31*'Hiring plan'!$K$27*(1+Salary_Raise)^(AI$5-1)</f>
        <v>0</v>
      </c>
      <c r="AJ61" s="33" t="n">
        <f aca="false">AJ31*'Hiring plan'!$K$27*(1+Salary_Raise)^(AJ$5-1)</f>
        <v>0</v>
      </c>
      <c r="AK61" s="33" t="n">
        <f aca="false">AK31*'Hiring plan'!$K$27*(1+Salary_Raise)^(AK$5-1)</f>
        <v>0</v>
      </c>
      <c r="AL61" s="33" t="n">
        <f aca="false">AL31*'Hiring plan'!$K$27*(1+Salary_Raise)^(AL$5-1)</f>
        <v>0</v>
      </c>
      <c r="AM61" s="33" t="n">
        <f aca="false">AM31*'Hiring plan'!$K$27*(1+Salary_Raise)^(AM$5-1)</f>
        <v>0</v>
      </c>
      <c r="AN61" s="33" t="n">
        <f aca="false">AN31*'Hiring plan'!$K$27*(1+Salary_Raise)^(AN$5-1)</f>
        <v>0</v>
      </c>
      <c r="AO61" s="33" t="n">
        <f aca="false">AO31*'Hiring plan'!$K$27*(1+Salary_Raise)^(AO$5-1)</f>
        <v>0</v>
      </c>
      <c r="AP61" s="33" t="n">
        <f aca="false">AP31*'Hiring plan'!$K$27*(1+Salary_Raise)^(AP$5-1)</f>
        <v>0</v>
      </c>
      <c r="AQ61" s="33" t="n">
        <f aca="false">AQ31*'Hiring plan'!$K$27*(1+Salary_Raise)^(AQ$5-1)</f>
        <v>0</v>
      </c>
      <c r="AR61" s="33" t="n">
        <f aca="false">AR31*'Hiring plan'!$K$27*(1+Salary_Raise)^(AR$5-1)</f>
        <v>0</v>
      </c>
      <c r="AS61" s="33" t="n">
        <f aca="false">AS31*'Hiring plan'!$K$27*(1+Salary_Raise)^(AS$5-1)</f>
        <v>0</v>
      </c>
      <c r="AT61" s="33" t="n">
        <f aca="false">AT31*'Hiring plan'!$K$27*(1+Salary_Raise)^(AT$5-1)</f>
        <v>0</v>
      </c>
      <c r="AU61" s="33" t="n">
        <f aca="false">AU31*'Hiring plan'!$K$27*(1+Salary_Raise)^(AU$5-1)</f>
        <v>0</v>
      </c>
      <c r="AV61" s="33" t="n">
        <f aca="false">AV31*'Hiring plan'!$K$27*(1+Salary_Raise)^(AV$5-1)</f>
        <v>0</v>
      </c>
      <c r="AW61" s="33" t="n">
        <f aca="false">AW31*'Hiring plan'!$K$27*(1+Salary_Raise)^(AW$5-1)</f>
        <v>0</v>
      </c>
      <c r="AX61" s="33" t="n">
        <f aca="false">AX31*'Hiring plan'!$K$27*(1+Salary_Raise)^(AX$5-1)</f>
        <v>0</v>
      </c>
      <c r="AY61" s="33" t="n">
        <f aca="false">AY31*'Hiring plan'!$K$27*(1+Salary_Raise)^(AY$5-1)</f>
        <v>0</v>
      </c>
      <c r="AZ61" s="33" t="n">
        <f aca="false">AZ31*'Hiring plan'!$K$27*(1+Salary_Raise)^(AZ$5-1)</f>
        <v>0</v>
      </c>
      <c r="BA61" s="33" t="n">
        <f aca="false">BA31*'Hiring plan'!$K$27*(1+Salary_Raise)^(BA$5-1)</f>
        <v>0</v>
      </c>
      <c r="BB61" s="33" t="n">
        <f aca="false">BB31*'Hiring plan'!$K$27*(1+Salary_Raise)^(BB$5-1)</f>
        <v>0</v>
      </c>
      <c r="BC61" s="33" t="n">
        <f aca="false">BC31*'Hiring plan'!$K$27*(1+Salary_Raise)^(BC$5-1)</f>
        <v>0</v>
      </c>
      <c r="BD61" s="33" t="n">
        <f aca="false">BD31*'Hiring plan'!$K$27*(1+Salary_Raise)^(BD$5-1)</f>
        <v>0</v>
      </c>
      <c r="BE61" s="33" t="n">
        <f aca="false">BE31*'Hiring plan'!$K$27*(1+Salary_Raise)^(BE$5-1)</f>
        <v>0</v>
      </c>
      <c r="BF61" s="33" t="n">
        <f aca="false">BF31*'Hiring plan'!$K$27*(1+Salary_Raise)^(BF$5-1)</f>
        <v>0</v>
      </c>
      <c r="BG61" s="33" t="n">
        <f aca="false">BG31*'Hiring plan'!$K$27*(1+Salary_Raise)^(BG$5-1)</f>
        <v>0</v>
      </c>
      <c r="BH61" s="33" t="n">
        <f aca="false">BH31*'Hiring plan'!$K$27*(1+Salary_Raise)^(BH$5-1)</f>
        <v>0</v>
      </c>
      <c r="BI61" s="33" t="n">
        <f aca="false">BI31*'Hiring plan'!$K$27*(1+Salary_Raise)^(BI$5-1)</f>
        <v>0</v>
      </c>
      <c r="BJ61" s="33" t="n">
        <f aca="false">BJ31*'Hiring plan'!$K$27*(1+Salary_Raise)^(BJ$5-1)</f>
        <v>0</v>
      </c>
      <c r="BK61" s="33" t="n">
        <f aca="false">BK31*'Hiring plan'!$K$27*(1+Salary_Raise)^(BK$5-1)</f>
        <v>0</v>
      </c>
      <c r="BL61" s="33" t="n">
        <f aca="false">BL31*'Hiring plan'!$K$27*(1+Salary_Raise)^(BL$5-1)</f>
        <v>0</v>
      </c>
    </row>
    <row r="62" customFormat="false" ht="15" hidden="false" customHeight="true" outlineLevel="0" collapsed="false">
      <c r="A62" s="13" t="str">
        <f aca="false">A32</f>
        <v>(spare line 24)</v>
      </c>
      <c r="B62" s="15" t="s">
        <v>77</v>
      </c>
      <c r="D62" s="56" t="n">
        <f aca="false">SUM(E62:BL62)</f>
        <v>0</v>
      </c>
      <c r="E62" s="33" t="n">
        <f aca="false">E32*'Hiring plan'!$K$28*(1+Salary_Raise)^(E$5-1)</f>
        <v>0</v>
      </c>
      <c r="F62" s="33" t="n">
        <f aca="false">F32*'Hiring plan'!$K$28*(1+Salary_Raise)^(F$5-1)</f>
        <v>0</v>
      </c>
      <c r="G62" s="33" t="n">
        <f aca="false">G32*'Hiring plan'!$K$28*(1+Salary_Raise)^(G$5-1)</f>
        <v>0</v>
      </c>
      <c r="H62" s="33" t="n">
        <f aca="false">H32*'Hiring plan'!$K$28*(1+Salary_Raise)^(H$5-1)</f>
        <v>0</v>
      </c>
      <c r="I62" s="33" t="n">
        <f aca="false">I32*'Hiring plan'!$K$28*(1+Salary_Raise)^(I$5-1)</f>
        <v>0</v>
      </c>
      <c r="J62" s="33" t="n">
        <f aca="false">J32*'Hiring plan'!$K$28*(1+Salary_Raise)^(J$5-1)</f>
        <v>0</v>
      </c>
      <c r="K62" s="33" t="n">
        <f aca="false">K32*'Hiring plan'!$K$28*(1+Salary_Raise)^(K$5-1)</f>
        <v>0</v>
      </c>
      <c r="L62" s="33" t="n">
        <f aca="false">L32*'Hiring plan'!$K$28*(1+Salary_Raise)^(L$5-1)</f>
        <v>0</v>
      </c>
      <c r="M62" s="33" t="n">
        <f aca="false">M32*'Hiring plan'!$K$28*(1+Salary_Raise)^(M$5-1)</f>
        <v>0</v>
      </c>
      <c r="N62" s="33" t="n">
        <f aca="false">N32*'Hiring plan'!$K$28*(1+Salary_Raise)^(N$5-1)</f>
        <v>0</v>
      </c>
      <c r="O62" s="33" t="n">
        <f aca="false">O32*'Hiring plan'!$K$28*(1+Salary_Raise)^(O$5-1)</f>
        <v>0</v>
      </c>
      <c r="P62" s="33" t="n">
        <f aca="false">P32*'Hiring plan'!$K$28*(1+Salary_Raise)^(P$5-1)</f>
        <v>0</v>
      </c>
      <c r="Q62" s="33" t="n">
        <f aca="false">Q32*'Hiring plan'!$K$28*(1+Salary_Raise)^(Q$5-1)</f>
        <v>0</v>
      </c>
      <c r="R62" s="33" t="n">
        <f aca="false">R32*'Hiring plan'!$K$28*(1+Salary_Raise)^(R$5-1)</f>
        <v>0</v>
      </c>
      <c r="S62" s="33" t="n">
        <f aca="false">S32*'Hiring plan'!$K$28*(1+Salary_Raise)^(S$5-1)</f>
        <v>0</v>
      </c>
      <c r="T62" s="33" t="n">
        <f aca="false">T32*'Hiring plan'!$K$28*(1+Salary_Raise)^(T$5-1)</f>
        <v>0</v>
      </c>
      <c r="U62" s="33" t="n">
        <f aca="false">U32*'Hiring plan'!$K$28*(1+Salary_Raise)^(U$5-1)</f>
        <v>0</v>
      </c>
      <c r="V62" s="33" t="n">
        <f aca="false">V32*'Hiring plan'!$K$28*(1+Salary_Raise)^(V$5-1)</f>
        <v>0</v>
      </c>
      <c r="W62" s="33" t="n">
        <f aca="false">W32*'Hiring plan'!$K$28*(1+Salary_Raise)^(W$5-1)</f>
        <v>0</v>
      </c>
      <c r="X62" s="33" t="n">
        <f aca="false">X32*'Hiring plan'!$K$28*(1+Salary_Raise)^(X$5-1)</f>
        <v>0</v>
      </c>
      <c r="Y62" s="33" t="n">
        <f aca="false">Y32*'Hiring plan'!$K$28*(1+Salary_Raise)^(Y$5-1)</f>
        <v>0</v>
      </c>
      <c r="Z62" s="33" t="n">
        <f aca="false">Z32*'Hiring plan'!$K$28*(1+Salary_Raise)^(Z$5-1)</f>
        <v>0</v>
      </c>
      <c r="AA62" s="33" t="n">
        <f aca="false">AA32*'Hiring plan'!$K$28*(1+Salary_Raise)^(AA$5-1)</f>
        <v>0</v>
      </c>
      <c r="AB62" s="33" t="n">
        <f aca="false">AB32*'Hiring plan'!$K$28*(1+Salary_Raise)^(AB$5-1)</f>
        <v>0</v>
      </c>
      <c r="AC62" s="33" t="n">
        <f aca="false">AC32*'Hiring plan'!$K$28*(1+Salary_Raise)^(AC$5-1)</f>
        <v>0</v>
      </c>
      <c r="AD62" s="33" t="n">
        <f aca="false">AD32*'Hiring plan'!$K$28*(1+Salary_Raise)^(AD$5-1)</f>
        <v>0</v>
      </c>
      <c r="AE62" s="33" t="n">
        <f aca="false">AE32*'Hiring plan'!$K$28*(1+Salary_Raise)^(AE$5-1)</f>
        <v>0</v>
      </c>
      <c r="AF62" s="33" t="n">
        <f aca="false">AF32*'Hiring plan'!$K$28*(1+Salary_Raise)^(AF$5-1)</f>
        <v>0</v>
      </c>
      <c r="AG62" s="33" t="n">
        <f aca="false">AG32*'Hiring plan'!$K$28*(1+Salary_Raise)^(AG$5-1)</f>
        <v>0</v>
      </c>
      <c r="AH62" s="33" t="n">
        <f aca="false">AH32*'Hiring plan'!$K$28*(1+Salary_Raise)^(AH$5-1)</f>
        <v>0</v>
      </c>
      <c r="AI62" s="33" t="n">
        <f aca="false">AI32*'Hiring plan'!$K$28*(1+Salary_Raise)^(AI$5-1)</f>
        <v>0</v>
      </c>
      <c r="AJ62" s="33" t="n">
        <f aca="false">AJ32*'Hiring plan'!$K$28*(1+Salary_Raise)^(AJ$5-1)</f>
        <v>0</v>
      </c>
      <c r="AK62" s="33" t="n">
        <f aca="false">AK32*'Hiring plan'!$K$28*(1+Salary_Raise)^(AK$5-1)</f>
        <v>0</v>
      </c>
      <c r="AL62" s="33" t="n">
        <f aca="false">AL32*'Hiring plan'!$K$28*(1+Salary_Raise)^(AL$5-1)</f>
        <v>0</v>
      </c>
      <c r="AM62" s="33" t="n">
        <f aca="false">AM32*'Hiring plan'!$K$28*(1+Salary_Raise)^(AM$5-1)</f>
        <v>0</v>
      </c>
      <c r="AN62" s="33" t="n">
        <f aca="false">AN32*'Hiring plan'!$K$28*(1+Salary_Raise)^(AN$5-1)</f>
        <v>0</v>
      </c>
      <c r="AO62" s="33" t="n">
        <f aca="false">AO32*'Hiring plan'!$K$28*(1+Salary_Raise)^(AO$5-1)</f>
        <v>0</v>
      </c>
      <c r="AP62" s="33" t="n">
        <f aca="false">AP32*'Hiring plan'!$K$28*(1+Salary_Raise)^(AP$5-1)</f>
        <v>0</v>
      </c>
      <c r="AQ62" s="33" t="n">
        <f aca="false">AQ32*'Hiring plan'!$K$28*(1+Salary_Raise)^(AQ$5-1)</f>
        <v>0</v>
      </c>
      <c r="AR62" s="33" t="n">
        <f aca="false">AR32*'Hiring plan'!$K$28*(1+Salary_Raise)^(AR$5-1)</f>
        <v>0</v>
      </c>
      <c r="AS62" s="33" t="n">
        <f aca="false">AS32*'Hiring plan'!$K$28*(1+Salary_Raise)^(AS$5-1)</f>
        <v>0</v>
      </c>
      <c r="AT62" s="33" t="n">
        <f aca="false">AT32*'Hiring plan'!$K$28*(1+Salary_Raise)^(AT$5-1)</f>
        <v>0</v>
      </c>
      <c r="AU62" s="33" t="n">
        <f aca="false">AU32*'Hiring plan'!$K$28*(1+Salary_Raise)^(AU$5-1)</f>
        <v>0</v>
      </c>
      <c r="AV62" s="33" t="n">
        <f aca="false">AV32*'Hiring plan'!$K$28*(1+Salary_Raise)^(AV$5-1)</f>
        <v>0</v>
      </c>
      <c r="AW62" s="33" t="n">
        <f aca="false">AW32*'Hiring plan'!$K$28*(1+Salary_Raise)^(AW$5-1)</f>
        <v>0</v>
      </c>
      <c r="AX62" s="33" t="n">
        <f aca="false">AX32*'Hiring plan'!$K$28*(1+Salary_Raise)^(AX$5-1)</f>
        <v>0</v>
      </c>
      <c r="AY62" s="33" t="n">
        <f aca="false">AY32*'Hiring plan'!$K$28*(1+Salary_Raise)^(AY$5-1)</f>
        <v>0</v>
      </c>
      <c r="AZ62" s="33" t="n">
        <f aca="false">AZ32*'Hiring plan'!$K$28*(1+Salary_Raise)^(AZ$5-1)</f>
        <v>0</v>
      </c>
      <c r="BA62" s="33" t="n">
        <f aca="false">BA32*'Hiring plan'!$K$28*(1+Salary_Raise)^(BA$5-1)</f>
        <v>0</v>
      </c>
      <c r="BB62" s="33" t="n">
        <f aca="false">BB32*'Hiring plan'!$K$28*(1+Salary_Raise)^(BB$5-1)</f>
        <v>0</v>
      </c>
      <c r="BC62" s="33" t="n">
        <f aca="false">BC32*'Hiring plan'!$K$28*(1+Salary_Raise)^(BC$5-1)</f>
        <v>0</v>
      </c>
      <c r="BD62" s="33" t="n">
        <f aca="false">BD32*'Hiring plan'!$K$28*(1+Salary_Raise)^(BD$5-1)</f>
        <v>0</v>
      </c>
      <c r="BE62" s="33" t="n">
        <f aca="false">BE32*'Hiring plan'!$K$28*(1+Salary_Raise)^(BE$5-1)</f>
        <v>0</v>
      </c>
      <c r="BF62" s="33" t="n">
        <f aca="false">BF32*'Hiring plan'!$K$28*(1+Salary_Raise)^(BF$5-1)</f>
        <v>0</v>
      </c>
      <c r="BG62" s="33" t="n">
        <f aca="false">BG32*'Hiring plan'!$K$28*(1+Salary_Raise)^(BG$5-1)</f>
        <v>0</v>
      </c>
      <c r="BH62" s="33" t="n">
        <f aca="false">BH32*'Hiring plan'!$K$28*(1+Salary_Raise)^(BH$5-1)</f>
        <v>0</v>
      </c>
      <c r="BI62" s="33" t="n">
        <f aca="false">BI32*'Hiring plan'!$K$28*(1+Salary_Raise)^(BI$5-1)</f>
        <v>0</v>
      </c>
      <c r="BJ62" s="33" t="n">
        <f aca="false">BJ32*'Hiring plan'!$K$28*(1+Salary_Raise)^(BJ$5-1)</f>
        <v>0</v>
      </c>
      <c r="BK62" s="33" t="n">
        <f aca="false">BK32*'Hiring plan'!$K$28*(1+Salary_Raise)^(BK$5-1)</f>
        <v>0</v>
      </c>
      <c r="BL62" s="33" t="n">
        <f aca="false">BL32*'Hiring plan'!$K$28*(1+Salary_Raise)^(BL$5-1)</f>
        <v>0</v>
      </c>
    </row>
    <row r="63" customFormat="false" ht="15" hidden="false" customHeight="true" outlineLevel="0" collapsed="false">
      <c r="A63" s="13" t="str">
        <f aca="false">A33</f>
        <v>(spare line 25)</v>
      </c>
      <c r="B63" s="15" t="s">
        <v>77</v>
      </c>
      <c r="D63" s="56" t="n">
        <f aca="false">SUM(E63:BL63)</f>
        <v>0</v>
      </c>
      <c r="E63" s="33" t="n">
        <f aca="false">E33*'Hiring plan'!$K$29*(1+Salary_Raise)^(E$5-1)</f>
        <v>0</v>
      </c>
      <c r="F63" s="33" t="n">
        <f aca="false">F33*'Hiring plan'!$K$29*(1+Salary_Raise)^(F$5-1)</f>
        <v>0</v>
      </c>
      <c r="G63" s="33" t="n">
        <f aca="false">G33*'Hiring plan'!$K$29*(1+Salary_Raise)^(G$5-1)</f>
        <v>0</v>
      </c>
      <c r="H63" s="33" t="n">
        <f aca="false">H33*'Hiring plan'!$K$29*(1+Salary_Raise)^(H$5-1)</f>
        <v>0</v>
      </c>
      <c r="I63" s="33" t="n">
        <f aca="false">I33*'Hiring plan'!$K$29*(1+Salary_Raise)^(I$5-1)</f>
        <v>0</v>
      </c>
      <c r="J63" s="33" t="n">
        <f aca="false">J33*'Hiring plan'!$K$29*(1+Salary_Raise)^(J$5-1)</f>
        <v>0</v>
      </c>
      <c r="K63" s="33" t="n">
        <f aca="false">K33*'Hiring plan'!$K$29*(1+Salary_Raise)^(K$5-1)</f>
        <v>0</v>
      </c>
      <c r="L63" s="33" t="n">
        <f aca="false">L33*'Hiring plan'!$K$29*(1+Salary_Raise)^(L$5-1)</f>
        <v>0</v>
      </c>
      <c r="M63" s="33" t="n">
        <f aca="false">M33*'Hiring plan'!$K$29*(1+Salary_Raise)^(M$5-1)</f>
        <v>0</v>
      </c>
      <c r="N63" s="33" t="n">
        <f aca="false">N33*'Hiring plan'!$K$29*(1+Salary_Raise)^(N$5-1)</f>
        <v>0</v>
      </c>
      <c r="O63" s="33" t="n">
        <f aca="false">O33*'Hiring plan'!$K$29*(1+Salary_Raise)^(O$5-1)</f>
        <v>0</v>
      </c>
      <c r="P63" s="33" t="n">
        <f aca="false">P33*'Hiring plan'!$K$29*(1+Salary_Raise)^(P$5-1)</f>
        <v>0</v>
      </c>
      <c r="Q63" s="33" t="n">
        <f aca="false">Q33*'Hiring plan'!$K$29*(1+Salary_Raise)^(Q$5-1)</f>
        <v>0</v>
      </c>
      <c r="R63" s="33" t="n">
        <f aca="false">R33*'Hiring plan'!$K$29*(1+Salary_Raise)^(R$5-1)</f>
        <v>0</v>
      </c>
      <c r="S63" s="33" t="n">
        <f aca="false">S33*'Hiring plan'!$K$29*(1+Salary_Raise)^(S$5-1)</f>
        <v>0</v>
      </c>
      <c r="T63" s="33" t="n">
        <f aca="false">T33*'Hiring plan'!$K$29*(1+Salary_Raise)^(T$5-1)</f>
        <v>0</v>
      </c>
      <c r="U63" s="33" t="n">
        <f aca="false">U33*'Hiring plan'!$K$29*(1+Salary_Raise)^(U$5-1)</f>
        <v>0</v>
      </c>
      <c r="V63" s="33" t="n">
        <f aca="false">V33*'Hiring plan'!$K$29*(1+Salary_Raise)^(V$5-1)</f>
        <v>0</v>
      </c>
      <c r="W63" s="33" t="n">
        <f aca="false">W33*'Hiring plan'!$K$29*(1+Salary_Raise)^(W$5-1)</f>
        <v>0</v>
      </c>
      <c r="X63" s="33" t="n">
        <f aca="false">X33*'Hiring plan'!$K$29*(1+Salary_Raise)^(X$5-1)</f>
        <v>0</v>
      </c>
      <c r="Y63" s="33" t="n">
        <f aca="false">Y33*'Hiring plan'!$K$29*(1+Salary_Raise)^(Y$5-1)</f>
        <v>0</v>
      </c>
      <c r="Z63" s="33" t="n">
        <f aca="false">Z33*'Hiring plan'!$K$29*(1+Salary_Raise)^(Z$5-1)</f>
        <v>0</v>
      </c>
      <c r="AA63" s="33" t="n">
        <f aca="false">AA33*'Hiring plan'!$K$29*(1+Salary_Raise)^(AA$5-1)</f>
        <v>0</v>
      </c>
      <c r="AB63" s="33" t="n">
        <f aca="false">AB33*'Hiring plan'!$K$29*(1+Salary_Raise)^(AB$5-1)</f>
        <v>0</v>
      </c>
      <c r="AC63" s="33" t="n">
        <f aca="false">AC33*'Hiring plan'!$K$29*(1+Salary_Raise)^(AC$5-1)</f>
        <v>0</v>
      </c>
      <c r="AD63" s="33" t="n">
        <f aca="false">AD33*'Hiring plan'!$K$29*(1+Salary_Raise)^(AD$5-1)</f>
        <v>0</v>
      </c>
      <c r="AE63" s="33" t="n">
        <f aca="false">AE33*'Hiring plan'!$K$29*(1+Salary_Raise)^(AE$5-1)</f>
        <v>0</v>
      </c>
      <c r="AF63" s="33" t="n">
        <f aca="false">AF33*'Hiring plan'!$K$29*(1+Salary_Raise)^(AF$5-1)</f>
        <v>0</v>
      </c>
      <c r="AG63" s="33" t="n">
        <f aca="false">AG33*'Hiring plan'!$K$29*(1+Salary_Raise)^(AG$5-1)</f>
        <v>0</v>
      </c>
      <c r="AH63" s="33" t="n">
        <f aca="false">AH33*'Hiring plan'!$K$29*(1+Salary_Raise)^(AH$5-1)</f>
        <v>0</v>
      </c>
      <c r="AI63" s="33" t="n">
        <f aca="false">AI33*'Hiring plan'!$K$29*(1+Salary_Raise)^(AI$5-1)</f>
        <v>0</v>
      </c>
      <c r="AJ63" s="33" t="n">
        <f aca="false">AJ33*'Hiring plan'!$K$29*(1+Salary_Raise)^(AJ$5-1)</f>
        <v>0</v>
      </c>
      <c r="AK63" s="33" t="n">
        <f aca="false">AK33*'Hiring plan'!$K$29*(1+Salary_Raise)^(AK$5-1)</f>
        <v>0</v>
      </c>
      <c r="AL63" s="33" t="n">
        <f aca="false">AL33*'Hiring plan'!$K$29*(1+Salary_Raise)^(AL$5-1)</f>
        <v>0</v>
      </c>
      <c r="AM63" s="33" t="n">
        <f aca="false">AM33*'Hiring plan'!$K$29*(1+Salary_Raise)^(AM$5-1)</f>
        <v>0</v>
      </c>
      <c r="AN63" s="33" t="n">
        <f aca="false">AN33*'Hiring plan'!$K$29*(1+Salary_Raise)^(AN$5-1)</f>
        <v>0</v>
      </c>
      <c r="AO63" s="33" t="n">
        <f aca="false">AO33*'Hiring plan'!$K$29*(1+Salary_Raise)^(AO$5-1)</f>
        <v>0</v>
      </c>
      <c r="AP63" s="33" t="n">
        <f aca="false">AP33*'Hiring plan'!$K$29*(1+Salary_Raise)^(AP$5-1)</f>
        <v>0</v>
      </c>
      <c r="AQ63" s="33" t="n">
        <f aca="false">AQ33*'Hiring plan'!$K$29*(1+Salary_Raise)^(AQ$5-1)</f>
        <v>0</v>
      </c>
      <c r="AR63" s="33" t="n">
        <f aca="false">AR33*'Hiring plan'!$K$29*(1+Salary_Raise)^(AR$5-1)</f>
        <v>0</v>
      </c>
      <c r="AS63" s="33" t="n">
        <f aca="false">AS33*'Hiring plan'!$K$29*(1+Salary_Raise)^(AS$5-1)</f>
        <v>0</v>
      </c>
      <c r="AT63" s="33" t="n">
        <f aca="false">AT33*'Hiring plan'!$K$29*(1+Salary_Raise)^(AT$5-1)</f>
        <v>0</v>
      </c>
      <c r="AU63" s="33" t="n">
        <f aca="false">AU33*'Hiring plan'!$K$29*(1+Salary_Raise)^(AU$5-1)</f>
        <v>0</v>
      </c>
      <c r="AV63" s="33" t="n">
        <f aca="false">AV33*'Hiring plan'!$K$29*(1+Salary_Raise)^(AV$5-1)</f>
        <v>0</v>
      </c>
      <c r="AW63" s="33" t="n">
        <f aca="false">AW33*'Hiring plan'!$K$29*(1+Salary_Raise)^(AW$5-1)</f>
        <v>0</v>
      </c>
      <c r="AX63" s="33" t="n">
        <f aca="false">AX33*'Hiring plan'!$K$29*(1+Salary_Raise)^(AX$5-1)</f>
        <v>0</v>
      </c>
      <c r="AY63" s="33" t="n">
        <f aca="false">AY33*'Hiring plan'!$K$29*(1+Salary_Raise)^(AY$5-1)</f>
        <v>0</v>
      </c>
      <c r="AZ63" s="33" t="n">
        <f aca="false">AZ33*'Hiring plan'!$K$29*(1+Salary_Raise)^(AZ$5-1)</f>
        <v>0</v>
      </c>
      <c r="BA63" s="33" t="n">
        <f aca="false">BA33*'Hiring plan'!$K$29*(1+Salary_Raise)^(BA$5-1)</f>
        <v>0</v>
      </c>
      <c r="BB63" s="33" t="n">
        <f aca="false">BB33*'Hiring plan'!$K$29*(1+Salary_Raise)^(BB$5-1)</f>
        <v>0</v>
      </c>
      <c r="BC63" s="33" t="n">
        <f aca="false">BC33*'Hiring plan'!$K$29*(1+Salary_Raise)^(BC$5-1)</f>
        <v>0</v>
      </c>
      <c r="BD63" s="33" t="n">
        <f aca="false">BD33*'Hiring plan'!$K$29*(1+Salary_Raise)^(BD$5-1)</f>
        <v>0</v>
      </c>
      <c r="BE63" s="33" t="n">
        <f aca="false">BE33*'Hiring plan'!$K$29*(1+Salary_Raise)^(BE$5-1)</f>
        <v>0</v>
      </c>
      <c r="BF63" s="33" t="n">
        <f aca="false">BF33*'Hiring plan'!$K$29*(1+Salary_Raise)^(BF$5-1)</f>
        <v>0</v>
      </c>
      <c r="BG63" s="33" t="n">
        <f aca="false">BG33*'Hiring plan'!$K$29*(1+Salary_Raise)^(BG$5-1)</f>
        <v>0</v>
      </c>
      <c r="BH63" s="33" t="n">
        <f aca="false">BH33*'Hiring plan'!$K$29*(1+Salary_Raise)^(BH$5-1)</f>
        <v>0</v>
      </c>
      <c r="BI63" s="33" t="n">
        <f aca="false">BI33*'Hiring plan'!$K$29*(1+Salary_Raise)^(BI$5-1)</f>
        <v>0</v>
      </c>
      <c r="BJ63" s="33" t="n">
        <f aca="false">BJ33*'Hiring plan'!$K$29*(1+Salary_Raise)^(BJ$5-1)</f>
        <v>0</v>
      </c>
      <c r="BK63" s="33" t="n">
        <f aca="false">BK33*'Hiring plan'!$K$29*(1+Salary_Raise)^(BK$5-1)</f>
        <v>0</v>
      </c>
      <c r="BL63" s="33" t="n">
        <f aca="false">BL33*'Hiring plan'!$K$29*(1+Salary_Raise)^(BL$5-1)</f>
        <v>0</v>
      </c>
    </row>
    <row r="64" customFormat="false" ht="15" hidden="false" customHeight="true" outlineLevel="0" collapsed="false">
      <c r="A64" s="13" t="str">
        <f aca="false">A34</f>
        <v>(spare line 26)</v>
      </c>
      <c r="B64" s="15" t="s">
        <v>77</v>
      </c>
      <c r="D64" s="56" t="n">
        <f aca="false">SUM(E64:BL64)</f>
        <v>0</v>
      </c>
      <c r="E64" s="33" t="n">
        <f aca="false">E34*'Hiring plan'!$K$30*(1+Salary_Raise)^(E$5-1)</f>
        <v>0</v>
      </c>
      <c r="F64" s="33" t="n">
        <f aca="false">F34*'Hiring plan'!$K$30*(1+Salary_Raise)^(F$5-1)</f>
        <v>0</v>
      </c>
      <c r="G64" s="33" t="n">
        <f aca="false">G34*'Hiring plan'!$K$30*(1+Salary_Raise)^(G$5-1)</f>
        <v>0</v>
      </c>
      <c r="H64" s="33" t="n">
        <f aca="false">H34*'Hiring plan'!$K$30*(1+Salary_Raise)^(H$5-1)</f>
        <v>0</v>
      </c>
      <c r="I64" s="33" t="n">
        <f aca="false">I34*'Hiring plan'!$K$30*(1+Salary_Raise)^(I$5-1)</f>
        <v>0</v>
      </c>
      <c r="J64" s="33" t="n">
        <f aca="false">J34*'Hiring plan'!$K$30*(1+Salary_Raise)^(J$5-1)</f>
        <v>0</v>
      </c>
      <c r="K64" s="33" t="n">
        <f aca="false">K34*'Hiring plan'!$K$30*(1+Salary_Raise)^(K$5-1)</f>
        <v>0</v>
      </c>
      <c r="L64" s="33" t="n">
        <f aca="false">L34*'Hiring plan'!$K$30*(1+Salary_Raise)^(L$5-1)</f>
        <v>0</v>
      </c>
      <c r="M64" s="33" t="n">
        <f aca="false">M34*'Hiring plan'!$K$30*(1+Salary_Raise)^(M$5-1)</f>
        <v>0</v>
      </c>
      <c r="N64" s="33" t="n">
        <f aca="false">N34*'Hiring plan'!$K$30*(1+Salary_Raise)^(N$5-1)</f>
        <v>0</v>
      </c>
      <c r="O64" s="33" t="n">
        <f aca="false">O34*'Hiring plan'!$K$30*(1+Salary_Raise)^(O$5-1)</f>
        <v>0</v>
      </c>
      <c r="P64" s="33" t="n">
        <f aca="false">P34*'Hiring plan'!$K$30*(1+Salary_Raise)^(P$5-1)</f>
        <v>0</v>
      </c>
      <c r="Q64" s="33" t="n">
        <f aca="false">Q34*'Hiring plan'!$K$30*(1+Salary_Raise)^(Q$5-1)</f>
        <v>0</v>
      </c>
      <c r="R64" s="33" t="n">
        <f aca="false">R34*'Hiring plan'!$K$30*(1+Salary_Raise)^(R$5-1)</f>
        <v>0</v>
      </c>
      <c r="S64" s="33" t="n">
        <f aca="false">S34*'Hiring plan'!$K$30*(1+Salary_Raise)^(S$5-1)</f>
        <v>0</v>
      </c>
      <c r="T64" s="33" t="n">
        <f aca="false">T34*'Hiring plan'!$K$30*(1+Salary_Raise)^(T$5-1)</f>
        <v>0</v>
      </c>
      <c r="U64" s="33" t="n">
        <f aca="false">U34*'Hiring plan'!$K$30*(1+Salary_Raise)^(U$5-1)</f>
        <v>0</v>
      </c>
      <c r="V64" s="33" t="n">
        <f aca="false">V34*'Hiring plan'!$K$30*(1+Salary_Raise)^(V$5-1)</f>
        <v>0</v>
      </c>
      <c r="W64" s="33" t="n">
        <f aca="false">W34*'Hiring plan'!$K$30*(1+Salary_Raise)^(W$5-1)</f>
        <v>0</v>
      </c>
      <c r="X64" s="33" t="n">
        <f aca="false">X34*'Hiring plan'!$K$30*(1+Salary_Raise)^(X$5-1)</f>
        <v>0</v>
      </c>
      <c r="Y64" s="33" t="n">
        <f aca="false">Y34*'Hiring plan'!$K$30*(1+Salary_Raise)^(Y$5-1)</f>
        <v>0</v>
      </c>
      <c r="Z64" s="33" t="n">
        <f aca="false">Z34*'Hiring plan'!$K$30*(1+Salary_Raise)^(Z$5-1)</f>
        <v>0</v>
      </c>
      <c r="AA64" s="33" t="n">
        <f aca="false">AA34*'Hiring plan'!$K$30*(1+Salary_Raise)^(AA$5-1)</f>
        <v>0</v>
      </c>
      <c r="AB64" s="33" t="n">
        <f aca="false">AB34*'Hiring plan'!$K$30*(1+Salary_Raise)^(AB$5-1)</f>
        <v>0</v>
      </c>
      <c r="AC64" s="33" t="n">
        <f aca="false">AC34*'Hiring plan'!$K$30*(1+Salary_Raise)^(AC$5-1)</f>
        <v>0</v>
      </c>
      <c r="AD64" s="33" t="n">
        <f aca="false">AD34*'Hiring plan'!$K$30*(1+Salary_Raise)^(AD$5-1)</f>
        <v>0</v>
      </c>
      <c r="AE64" s="33" t="n">
        <f aca="false">AE34*'Hiring plan'!$K$30*(1+Salary_Raise)^(AE$5-1)</f>
        <v>0</v>
      </c>
      <c r="AF64" s="33" t="n">
        <f aca="false">AF34*'Hiring plan'!$K$30*(1+Salary_Raise)^(AF$5-1)</f>
        <v>0</v>
      </c>
      <c r="AG64" s="33" t="n">
        <f aca="false">AG34*'Hiring plan'!$K$30*(1+Salary_Raise)^(AG$5-1)</f>
        <v>0</v>
      </c>
      <c r="AH64" s="33" t="n">
        <f aca="false">AH34*'Hiring plan'!$K$30*(1+Salary_Raise)^(AH$5-1)</f>
        <v>0</v>
      </c>
      <c r="AI64" s="33" t="n">
        <f aca="false">AI34*'Hiring plan'!$K$30*(1+Salary_Raise)^(AI$5-1)</f>
        <v>0</v>
      </c>
      <c r="AJ64" s="33" t="n">
        <f aca="false">AJ34*'Hiring plan'!$K$30*(1+Salary_Raise)^(AJ$5-1)</f>
        <v>0</v>
      </c>
      <c r="AK64" s="33" t="n">
        <f aca="false">AK34*'Hiring plan'!$K$30*(1+Salary_Raise)^(AK$5-1)</f>
        <v>0</v>
      </c>
      <c r="AL64" s="33" t="n">
        <f aca="false">AL34*'Hiring plan'!$K$30*(1+Salary_Raise)^(AL$5-1)</f>
        <v>0</v>
      </c>
      <c r="AM64" s="33" t="n">
        <f aca="false">AM34*'Hiring plan'!$K$30*(1+Salary_Raise)^(AM$5-1)</f>
        <v>0</v>
      </c>
      <c r="AN64" s="33" t="n">
        <f aca="false">AN34*'Hiring plan'!$K$30*(1+Salary_Raise)^(AN$5-1)</f>
        <v>0</v>
      </c>
      <c r="AO64" s="33" t="n">
        <f aca="false">AO34*'Hiring plan'!$K$30*(1+Salary_Raise)^(AO$5-1)</f>
        <v>0</v>
      </c>
      <c r="AP64" s="33" t="n">
        <f aca="false">AP34*'Hiring plan'!$K$30*(1+Salary_Raise)^(AP$5-1)</f>
        <v>0</v>
      </c>
      <c r="AQ64" s="33" t="n">
        <f aca="false">AQ34*'Hiring plan'!$K$30*(1+Salary_Raise)^(AQ$5-1)</f>
        <v>0</v>
      </c>
      <c r="AR64" s="33" t="n">
        <f aca="false">AR34*'Hiring plan'!$K$30*(1+Salary_Raise)^(AR$5-1)</f>
        <v>0</v>
      </c>
      <c r="AS64" s="33" t="n">
        <f aca="false">AS34*'Hiring plan'!$K$30*(1+Salary_Raise)^(AS$5-1)</f>
        <v>0</v>
      </c>
      <c r="AT64" s="33" t="n">
        <f aca="false">AT34*'Hiring plan'!$K$30*(1+Salary_Raise)^(AT$5-1)</f>
        <v>0</v>
      </c>
      <c r="AU64" s="33" t="n">
        <f aca="false">AU34*'Hiring plan'!$K$30*(1+Salary_Raise)^(AU$5-1)</f>
        <v>0</v>
      </c>
      <c r="AV64" s="33" t="n">
        <f aca="false">AV34*'Hiring plan'!$K$30*(1+Salary_Raise)^(AV$5-1)</f>
        <v>0</v>
      </c>
      <c r="AW64" s="33" t="n">
        <f aca="false">AW34*'Hiring plan'!$K$30*(1+Salary_Raise)^(AW$5-1)</f>
        <v>0</v>
      </c>
      <c r="AX64" s="33" t="n">
        <f aca="false">AX34*'Hiring plan'!$K$30*(1+Salary_Raise)^(AX$5-1)</f>
        <v>0</v>
      </c>
      <c r="AY64" s="33" t="n">
        <f aca="false">AY34*'Hiring plan'!$K$30*(1+Salary_Raise)^(AY$5-1)</f>
        <v>0</v>
      </c>
      <c r="AZ64" s="33" t="n">
        <f aca="false">AZ34*'Hiring plan'!$K$30*(1+Salary_Raise)^(AZ$5-1)</f>
        <v>0</v>
      </c>
      <c r="BA64" s="33" t="n">
        <f aca="false">BA34*'Hiring plan'!$K$30*(1+Salary_Raise)^(BA$5-1)</f>
        <v>0</v>
      </c>
      <c r="BB64" s="33" t="n">
        <f aca="false">BB34*'Hiring plan'!$K$30*(1+Salary_Raise)^(BB$5-1)</f>
        <v>0</v>
      </c>
      <c r="BC64" s="33" t="n">
        <f aca="false">BC34*'Hiring plan'!$K$30*(1+Salary_Raise)^(BC$5-1)</f>
        <v>0</v>
      </c>
      <c r="BD64" s="33" t="n">
        <f aca="false">BD34*'Hiring plan'!$K$30*(1+Salary_Raise)^(BD$5-1)</f>
        <v>0</v>
      </c>
      <c r="BE64" s="33" t="n">
        <f aca="false">BE34*'Hiring plan'!$K$30*(1+Salary_Raise)^(BE$5-1)</f>
        <v>0</v>
      </c>
      <c r="BF64" s="33" t="n">
        <f aca="false">BF34*'Hiring plan'!$K$30*(1+Salary_Raise)^(BF$5-1)</f>
        <v>0</v>
      </c>
      <c r="BG64" s="33" t="n">
        <f aca="false">BG34*'Hiring plan'!$K$30*(1+Salary_Raise)^(BG$5-1)</f>
        <v>0</v>
      </c>
      <c r="BH64" s="33" t="n">
        <f aca="false">BH34*'Hiring plan'!$K$30*(1+Salary_Raise)^(BH$5-1)</f>
        <v>0</v>
      </c>
      <c r="BI64" s="33" t="n">
        <f aca="false">BI34*'Hiring plan'!$K$30*(1+Salary_Raise)^(BI$5-1)</f>
        <v>0</v>
      </c>
      <c r="BJ64" s="33" t="n">
        <f aca="false">BJ34*'Hiring plan'!$K$30*(1+Salary_Raise)^(BJ$5-1)</f>
        <v>0</v>
      </c>
      <c r="BK64" s="33" t="n">
        <f aca="false">BK34*'Hiring plan'!$K$30*(1+Salary_Raise)^(BK$5-1)</f>
        <v>0</v>
      </c>
      <c r="BL64" s="33" t="n">
        <f aca="false">BL34*'Hiring plan'!$K$30*(1+Salary_Raise)^(BL$5-1)</f>
        <v>0</v>
      </c>
    </row>
    <row r="65" customFormat="false" ht="15" hidden="false" customHeight="true" outlineLevel="0" collapsed="false">
      <c r="A65" s="13" t="str">
        <f aca="false">A35</f>
        <v>(spare line 27)</v>
      </c>
      <c r="B65" s="15" t="s">
        <v>77</v>
      </c>
      <c r="D65" s="56" t="n">
        <f aca="false">SUM(E65:BL65)</f>
        <v>0</v>
      </c>
      <c r="E65" s="33" t="n">
        <f aca="false">E35*'Hiring plan'!$K$31*(1+Salary_Raise)^(E$5-1)</f>
        <v>0</v>
      </c>
      <c r="F65" s="33" t="n">
        <f aca="false">F35*'Hiring plan'!$K$31*(1+Salary_Raise)^(F$5-1)</f>
        <v>0</v>
      </c>
      <c r="G65" s="33" t="n">
        <f aca="false">G35*'Hiring plan'!$K$31*(1+Salary_Raise)^(G$5-1)</f>
        <v>0</v>
      </c>
      <c r="H65" s="33" t="n">
        <f aca="false">H35*'Hiring plan'!$K$31*(1+Salary_Raise)^(H$5-1)</f>
        <v>0</v>
      </c>
      <c r="I65" s="33" t="n">
        <f aca="false">I35*'Hiring plan'!$K$31*(1+Salary_Raise)^(I$5-1)</f>
        <v>0</v>
      </c>
      <c r="J65" s="33" t="n">
        <f aca="false">J35*'Hiring plan'!$K$31*(1+Salary_Raise)^(J$5-1)</f>
        <v>0</v>
      </c>
      <c r="K65" s="33" t="n">
        <f aca="false">K35*'Hiring plan'!$K$31*(1+Salary_Raise)^(K$5-1)</f>
        <v>0</v>
      </c>
      <c r="L65" s="33" t="n">
        <f aca="false">L35*'Hiring plan'!$K$31*(1+Salary_Raise)^(L$5-1)</f>
        <v>0</v>
      </c>
      <c r="M65" s="33" t="n">
        <f aca="false">M35*'Hiring plan'!$K$31*(1+Salary_Raise)^(M$5-1)</f>
        <v>0</v>
      </c>
      <c r="N65" s="33" t="n">
        <f aca="false">N35*'Hiring plan'!$K$31*(1+Salary_Raise)^(N$5-1)</f>
        <v>0</v>
      </c>
      <c r="O65" s="33" t="n">
        <f aca="false">O35*'Hiring plan'!$K$31*(1+Salary_Raise)^(O$5-1)</f>
        <v>0</v>
      </c>
      <c r="P65" s="33" t="n">
        <f aca="false">P35*'Hiring plan'!$K$31*(1+Salary_Raise)^(P$5-1)</f>
        <v>0</v>
      </c>
      <c r="Q65" s="33" t="n">
        <f aca="false">Q35*'Hiring plan'!$K$31*(1+Salary_Raise)^(Q$5-1)</f>
        <v>0</v>
      </c>
      <c r="R65" s="33" t="n">
        <f aca="false">R35*'Hiring plan'!$K$31*(1+Salary_Raise)^(R$5-1)</f>
        <v>0</v>
      </c>
      <c r="S65" s="33" t="n">
        <f aca="false">S35*'Hiring plan'!$K$31*(1+Salary_Raise)^(S$5-1)</f>
        <v>0</v>
      </c>
      <c r="T65" s="33" t="n">
        <f aca="false">T35*'Hiring plan'!$K$31*(1+Salary_Raise)^(T$5-1)</f>
        <v>0</v>
      </c>
      <c r="U65" s="33" t="n">
        <f aca="false">U35*'Hiring plan'!$K$31*(1+Salary_Raise)^(U$5-1)</f>
        <v>0</v>
      </c>
      <c r="V65" s="33" t="n">
        <f aca="false">V35*'Hiring plan'!$K$31*(1+Salary_Raise)^(V$5-1)</f>
        <v>0</v>
      </c>
      <c r="W65" s="33" t="n">
        <f aca="false">W35*'Hiring plan'!$K$31*(1+Salary_Raise)^(W$5-1)</f>
        <v>0</v>
      </c>
      <c r="X65" s="33" t="n">
        <f aca="false">X35*'Hiring plan'!$K$31*(1+Salary_Raise)^(X$5-1)</f>
        <v>0</v>
      </c>
      <c r="Y65" s="33" t="n">
        <f aca="false">Y35*'Hiring plan'!$K$31*(1+Salary_Raise)^(Y$5-1)</f>
        <v>0</v>
      </c>
      <c r="Z65" s="33" t="n">
        <f aca="false">Z35*'Hiring plan'!$K$31*(1+Salary_Raise)^(Z$5-1)</f>
        <v>0</v>
      </c>
      <c r="AA65" s="33" t="n">
        <f aca="false">AA35*'Hiring plan'!$K$31*(1+Salary_Raise)^(AA$5-1)</f>
        <v>0</v>
      </c>
      <c r="AB65" s="33" t="n">
        <f aca="false">AB35*'Hiring plan'!$K$31*(1+Salary_Raise)^(AB$5-1)</f>
        <v>0</v>
      </c>
      <c r="AC65" s="33" t="n">
        <f aca="false">AC35*'Hiring plan'!$K$31*(1+Salary_Raise)^(AC$5-1)</f>
        <v>0</v>
      </c>
      <c r="AD65" s="33" t="n">
        <f aca="false">AD35*'Hiring plan'!$K$31*(1+Salary_Raise)^(AD$5-1)</f>
        <v>0</v>
      </c>
      <c r="AE65" s="33" t="n">
        <f aca="false">AE35*'Hiring plan'!$K$31*(1+Salary_Raise)^(AE$5-1)</f>
        <v>0</v>
      </c>
      <c r="AF65" s="33" t="n">
        <f aca="false">AF35*'Hiring plan'!$K$31*(1+Salary_Raise)^(AF$5-1)</f>
        <v>0</v>
      </c>
      <c r="AG65" s="33" t="n">
        <f aca="false">AG35*'Hiring plan'!$K$31*(1+Salary_Raise)^(AG$5-1)</f>
        <v>0</v>
      </c>
      <c r="AH65" s="33" t="n">
        <f aca="false">AH35*'Hiring plan'!$K$31*(1+Salary_Raise)^(AH$5-1)</f>
        <v>0</v>
      </c>
      <c r="AI65" s="33" t="n">
        <f aca="false">AI35*'Hiring plan'!$K$31*(1+Salary_Raise)^(AI$5-1)</f>
        <v>0</v>
      </c>
      <c r="AJ65" s="33" t="n">
        <f aca="false">AJ35*'Hiring plan'!$K$31*(1+Salary_Raise)^(AJ$5-1)</f>
        <v>0</v>
      </c>
      <c r="AK65" s="33" t="n">
        <f aca="false">AK35*'Hiring plan'!$K$31*(1+Salary_Raise)^(AK$5-1)</f>
        <v>0</v>
      </c>
      <c r="AL65" s="33" t="n">
        <f aca="false">AL35*'Hiring plan'!$K$31*(1+Salary_Raise)^(AL$5-1)</f>
        <v>0</v>
      </c>
      <c r="AM65" s="33" t="n">
        <f aca="false">AM35*'Hiring plan'!$K$31*(1+Salary_Raise)^(AM$5-1)</f>
        <v>0</v>
      </c>
      <c r="AN65" s="33" t="n">
        <f aca="false">AN35*'Hiring plan'!$K$31*(1+Salary_Raise)^(AN$5-1)</f>
        <v>0</v>
      </c>
      <c r="AO65" s="33" t="n">
        <f aca="false">AO35*'Hiring plan'!$K$31*(1+Salary_Raise)^(AO$5-1)</f>
        <v>0</v>
      </c>
      <c r="AP65" s="33" t="n">
        <f aca="false">AP35*'Hiring plan'!$K$31*(1+Salary_Raise)^(AP$5-1)</f>
        <v>0</v>
      </c>
      <c r="AQ65" s="33" t="n">
        <f aca="false">AQ35*'Hiring plan'!$K$31*(1+Salary_Raise)^(AQ$5-1)</f>
        <v>0</v>
      </c>
      <c r="AR65" s="33" t="n">
        <f aca="false">AR35*'Hiring plan'!$K$31*(1+Salary_Raise)^(AR$5-1)</f>
        <v>0</v>
      </c>
      <c r="AS65" s="33" t="n">
        <f aca="false">AS35*'Hiring plan'!$K$31*(1+Salary_Raise)^(AS$5-1)</f>
        <v>0</v>
      </c>
      <c r="AT65" s="33" t="n">
        <f aca="false">AT35*'Hiring plan'!$K$31*(1+Salary_Raise)^(AT$5-1)</f>
        <v>0</v>
      </c>
      <c r="AU65" s="33" t="n">
        <f aca="false">AU35*'Hiring plan'!$K$31*(1+Salary_Raise)^(AU$5-1)</f>
        <v>0</v>
      </c>
      <c r="AV65" s="33" t="n">
        <f aca="false">AV35*'Hiring plan'!$K$31*(1+Salary_Raise)^(AV$5-1)</f>
        <v>0</v>
      </c>
      <c r="AW65" s="33" t="n">
        <f aca="false">AW35*'Hiring plan'!$K$31*(1+Salary_Raise)^(AW$5-1)</f>
        <v>0</v>
      </c>
      <c r="AX65" s="33" t="n">
        <f aca="false">AX35*'Hiring plan'!$K$31*(1+Salary_Raise)^(AX$5-1)</f>
        <v>0</v>
      </c>
      <c r="AY65" s="33" t="n">
        <f aca="false">AY35*'Hiring plan'!$K$31*(1+Salary_Raise)^(AY$5-1)</f>
        <v>0</v>
      </c>
      <c r="AZ65" s="33" t="n">
        <f aca="false">AZ35*'Hiring plan'!$K$31*(1+Salary_Raise)^(AZ$5-1)</f>
        <v>0</v>
      </c>
      <c r="BA65" s="33" t="n">
        <f aca="false">BA35*'Hiring plan'!$K$31*(1+Salary_Raise)^(BA$5-1)</f>
        <v>0</v>
      </c>
      <c r="BB65" s="33" t="n">
        <f aca="false">BB35*'Hiring plan'!$K$31*(1+Salary_Raise)^(BB$5-1)</f>
        <v>0</v>
      </c>
      <c r="BC65" s="33" t="n">
        <f aca="false">BC35*'Hiring plan'!$K$31*(1+Salary_Raise)^(BC$5-1)</f>
        <v>0</v>
      </c>
      <c r="BD65" s="33" t="n">
        <f aca="false">BD35*'Hiring plan'!$K$31*(1+Salary_Raise)^(BD$5-1)</f>
        <v>0</v>
      </c>
      <c r="BE65" s="33" t="n">
        <f aca="false">BE35*'Hiring plan'!$K$31*(1+Salary_Raise)^(BE$5-1)</f>
        <v>0</v>
      </c>
      <c r="BF65" s="33" t="n">
        <f aca="false">BF35*'Hiring plan'!$K$31*(1+Salary_Raise)^(BF$5-1)</f>
        <v>0</v>
      </c>
      <c r="BG65" s="33" t="n">
        <f aca="false">BG35*'Hiring plan'!$K$31*(1+Salary_Raise)^(BG$5-1)</f>
        <v>0</v>
      </c>
      <c r="BH65" s="33" t="n">
        <f aca="false">BH35*'Hiring plan'!$K$31*(1+Salary_Raise)^(BH$5-1)</f>
        <v>0</v>
      </c>
      <c r="BI65" s="33" t="n">
        <f aca="false">BI35*'Hiring plan'!$K$31*(1+Salary_Raise)^(BI$5-1)</f>
        <v>0</v>
      </c>
      <c r="BJ65" s="33" t="n">
        <f aca="false">BJ35*'Hiring plan'!$K$31*(1+Salary_Raise)^(BJ$5-1)</f>
        <v>0</v>
      </c>
      <c r="BK65" s="33" t="n">
        <f aca="false">BK35*'Hiring plan'!$K$31*(1+Salary_Raise)^(BK$5-1)</f>
        <v>0</v>
      </c>
      <c r="BL65" s="33" t="n">
        <f aca="false">BL35*'Hiring plan'!$K$31*(1+Salary_Raise)^(BL$5-1)</f>
        <v>0</v>
      </c>
    </row>
    <row r="66" customFormat="false" ht="15" hidden="false" customHeight="true" outlineLevel="0" collapsed="false">
      <c r="A66" s="13" t="str">
        <f aca="false">A36</f>
        <v>(spare line 28)</v>
      </c>
      <c r="B66" s="15" t="s">
        <v>77</v>
      </c>
      <c r="D66" s="56" t="n">
        <f aca="false">SUM(E66:BL66)</f>
        <v>0</v>
      </c>
      <c r="E66" s="33" t="n">
        <f aca="false">E36*'Hiring plan'!$K$32*(1+Salary_Raise)^(E$5-1)</f>
        <v>0</v>
      </c>
      <c r="F66" s="33" t="n">
        <f aca="false">F36*'Hiring plan'!$K$32*(1+Salary_Raise)^(F$5-1)</f>
        <v>0</v>
      </c>
      <c r="G66" s="33" t="n">
        <f aca="false">G36*'Hiring plan'!$K$32*(1+Salary_Raise)^(G$5-1)</f>
        <v>0</v>
      </c>
      <c r="H66" s="33" t="n">
        <f aca="false">H36*'Hiring plan'!$K$32*(1+Salary_Raise)^(H$5-1)</f>
        <v>0</v>
      </c>
      <c r="I66" s="33" t="n">
        <f aca="false">I36*'Hiring plan'!$K$32*(1+Salary_Raise)^(I$5-1)</f>
        <v>0</v>
      </c>
      <c r="J66" s="33" t="n">
        <f aca="false">J36*'Hiring plan'!$K$32*(1+Salary_Raise)^(J$5-1)</f>
        <v>0</v>
      </c>
      <c r="K66" s="33" t="n">
        <f aca="false">K36*'Hiring plan'!$K$32*(1+Salary_Raise)^(K$5-1)</f>
        <v>0</v>
      </c>
      <c r="L66" s="33" t="n">
        <f aca="false">L36*'Hiring plan'!$K$32*(1+Salary_Raise)^(L$5-1)</f>
        <v>0</v>
      </c>
      <c r="M66" s="33" t="n">
        <f aca="false">M36*'Hiring plan'!$K$32*(1+Salary_Raise)^(M$5-1)</f>
        <v>0</v>
      </c>
      <c r="N66" s="33" t="n">
        <f aca="false">N36*'Hiring plan'!$K$32*(1+Salary_Raise)^(N$5-1)</f>
        <v>0</v>
      </c>
      <c r="O66" s="33" t="n">
        <f aca="false">O36*'Hiring plan'!$K$32*(1+Salary_Raise)^(O$5-1)</f>
        <v>0</v>
      </c>
      <c r="P66" s="33" t="n">
        <f aca="false">P36*'Hiring plan'!$K$32*(1+Salary_Raise)^(P$5-1)</f>
        <v>0</v>
      </c>
      <c r="Q66" s="33" t="n">
        <f aca="false">Q36*'Hiring plan'!$K$32*(1+Salary_Raise)^(Q$5-1)</f>
        <v>0</v>
      </c>
      <c r="R66" s="33" t="n">
        <f aca="false">R36*'Hiring plan'!$K$32*(1+Salary_Raise)^(R$5-1)</f>
        <v>0</v>
      </c>
      <c r="S66" s="33" t="n">
        <f aca="false">S36*'Hiring plan'!$K$32*(1+Salary_Raise)^(S$5-1)</f>
        <v>0</v>
      </c>
      <c r="T66" s="33" t="n">
        <f aca="false">T36*'Hiring plan'!$K$32*(1+Salary_Raise)^(T$5-1)</f>
        <v>0</v>
      </c>
      <c r="U66" s="33" t="n">
        <f aca="false">U36*'Hiring plan'!$K$32*(1+Salary_Raise)^(U$5-1)</f>
        <v>0</v>
      </c>
      <c r="V66" s="33" t="n">
        <f aca="false">V36*'Hiring plan'!$K$32*(1+Salary_Raise)^(V$5-1)</f>
        <v>0</v>
      </c>
      <c r="W66" s="33" t="n">
        <f aca="false">W36*'Hiring plan'!$K$32*(1+Salary_Raise)^(W$5-1)</f>
        <v>0</v>
      </c>
      <c r="X66" s="33" t="n">
        <f aca="false">X36*'Hiring plan'!$K$32*(1+Salary_Raise)^(X$5-1)</f>
        <v>0</v>
      </c>
      <c r="Y66" s="33" t="n">
        <f aca="false">Y36*'Hiring plan'!$K$32*(1+Salary_Raise)^(Y$5-1)</f>
        <v>0</v>
      </c>
      <c r="Z66" s="33" t="n">
        <f aca="false">Z36*'Hiring plan'!$K$32*(1+Salary_Raise)^(Z$5-1)</f>
        <v>0</v>
      </c>
      <c r="AA66" s="33" t="n">
        <f aca="false">AA36*'Hiring plan'!$K$32*(1+Salary_Raise)^(AA$5-1)</f>
        <v>0</v>
      </c>
      <c r="AB66" s="33" t="n">
        <f aca="false">AB36*'Hiring plan'!$K$32*(1+Salary_Raise)^(AB$5-1)</f>
        <v>0</v>
      </c>
      <c r="AC66" s="33" t="n">
        <f aca="false">AC36*'Hiring plan'!$K$32*(1+Salary_Raise)^(AC$5-1)</f>
        <v>0</v>
      </c>
      <c r="AD66" s="33" t="n">
        <f aca="false">AD36*'Hiring plan'!$K$32*(1+Salary_Raise)^(AD$5-1)</f>
        <v>0</v>
      </c>
      <c r="AE66" s="33" t="n">
        <f aca="false">AE36*'Hiring plan'!$K$32*(1+Salary_Raise)^(AE$5-1)</f>
        <v>0</v>
      </c>
      <c r="AF66" s="33" t="n">
        <f aca="false">AF36*'Hiring plan'!$K$32*(1+Salary_Raise)^(AF$5-1)</f>
        <v>0</v>
      </c>
      <c r="AG66" s="33" t="n">
        <f aca="false">AG36*'Hiring plan'!$K$32*(1+Salary_Raise)^(AG$5-1)</f>
        <v>0</v>
      </c>
      <c r="AH66" s="33" t="n">
        <f aca="false">AH36*'Hiring plan'!$K$32*(1+Salary_Raise)^(AH$5-1)</f>
        <v>0</v>
      </c>
      <c r="AI66" s="33" t="n">
        <f aca="false">AI36*'Hiring plan'!$K$32*(1+Salary_Raise)^(AI$5-1)</f>
        <v>0</v>
      </c>
      <c r="AJ66" s="33" t="n">
        <f aca="false">AJ36*'Hiring plan'!$K$32*(1+Salary_Raise)^(AJ$5-1)</f>
        <v>0</v>
      </c>
      <c r="AK66" s="33" t="n">
        <f aca="false">AK36*'Hiring plan'!$K$32*(1+Salary_Raise)^(AK$5-1)</f>
        <v>0</v>
      </c>
      <c r="AL66" s="33" t="n">
        <f aca="false">AL36*'Hiring plan'!$K$32*(1+Salary_Raise)^(AL$5-1)</f>
        <v>0</v>
      </c>
      <c r="AM66" s="33" t="n">
        <f aca="false">AM36*'Hiring plan'!$K$32*(1+Salary_Raise)^(AM$5-1)</f>
        <v>0</v>
      </c>
      <c r="AN66" s="33" t="n">
        <f aca="false">AN36*'Hiring plan'!$K$32*(1+Salary_Raise)^(AN$5-1)</f>
        <v>0</v>
      </c>
      <c r="AO66" s="33" t="n">
        <f aca="false">AO36*'Hiring plan'!$K$32*(1+Salary_Raise)^(AO$5-1)</f>
        <v>0</v>
      </c>
      <c r="AP66" s="33" t="n">
        <f aca="false">AP36*'Hiring plan'!$K$32*(1+Salary_Raise)^(AP$5-1)</f>
        <v>0</v>
      </c>
      <c r="AQ66" s="33" t="n">
        <f aca="false">AQ36*'Hiring plan'!$K$32*(1+Salary_Raise)^(AQ$5-1)</f>
        <v>0</v>
      </c>
      <c r="AR66" s="33" t="n">
        <f aca="false">AR36*'Hiring plan'!$K$32*(1+Salary_Raise)^(AR$5-1)</f>
        <v>0</v>
      </c>
      <c r="AS66" s="33" t="n">
        <f aca="false">AS36*'Hiring plan'!$K$32*(1+Salary_Raise)^(AS$5-1)</f>
        <v>0</v>
      </c>
      <c r="AT66" s="33" t="n">
        <f aca="false">AT36*'Hiring plan'!$K$32*(1+Salary_Raise)^(AT$5-1)</f>
        <v>0</v>
      </c>
      <c r="AU66" s="33" t="n">
        <f aca="false">AU36*'Hiring plan'!$K$32*(1+Salary_Raise)^(AU$5-1)</f>
        <v>0</v>
      </c>
      <c r="AV66" s="33" t="n">
        <f aca="false">AV36*'Hiring plan'!$K$32*(1+Salary_Raise)^(AV$5-1)</f>
        <v>0</v>
      </c>
      <c r="AW66" s="33" t="n">
        <f aca="false">AW36*'Hiring plan'!$K$32*(1+Salary_Raise)^(AW$5-1)</f>
        <v>0</v>
      </c>
      <c r="AX66" s="33" t="n">
        <f aca="false">AX36*'Hiring plan'!$K$32*(1+Salary_Raise)^(AX$5-1)</f>
        <v>0</v>
      </c>
      <c r="AY66" s="33" t="n">
        <f aca="false">AY36*'Hiring plan'!$K$32*(1+Salary_Raise)^(AY$5-1)</f>
        <v>0</v>
      </c>
      <c r="AZ66" s="33" t="n">
        <f aca="false">AZ36*'Hiring plan'!$K$32*(1+Salary_Raise)^(AZ$5-1)</f>
        <v>0</v>
      </c>
      <c r="BA66" s="33" t="n">
        <f aca="false">BA36*'Hiring plan'!$K$32*(1+Salary_Raise)^(BA$5-1)</f>
        <v>0</v>
      </c>
      <c r="BB66" s="33" t="n">
        <f aca="false">BB36*'Hiring plan'!$K$32*(1+Salary_Raise)^(BB$5-1)</f>
        <v>0</v>
      </c>
      <c r="BC66" s="33" t="n">
        <f aca="false">BC36*'Hiring plan'!$K$32*(1+Salary_Raise)^(BC$5-1)</f>
        <v>0</v>
      </c>
      <c r="BD66" s="33" t="n">
        <f aca="false">BD36*'Hiring plan'!$K$32*(1+Salary_Raise)^(BD$5-1)</f>
        <v>0</v>
      </c>
      <c r="BE66" s="33" t="n">
        <f aca="false">BE36*'Hiring plan'!$K$32*(1+Salary_Raise)^(BE$5-1)</f>
        <v>0</v>
      </c>
      <c r="BF66" s="33" t="n">
        <f aca="false">BF36*'Hiring plan'!$K$32*(1+Salary_Raise)^(BF$5-1)</f>
        <v>0</v>
      </c>
      <c r="BG66" s="33" t="n">
        <f aca="false">BG36*'Hiring plan'!$K$32*(1+Salary_Raise)^(BG$5-1)</f>
        <v>0</v>
      </c>
      <c r="BH66" s="33" t="n">
        <f aca="false">BH36*'Hiring plan'!$K$32*(1+Salary_Raise)^(BH$5-1)</f>
        <v>0</v>
      </c>
      <c r="BI66" s="33" t="n">
        <f aca="false">BI36*'Hiring plan'!$K$32*(1+Salary_Raise)^(BI$5-1)</f>
        <v>0</v>
      </c>
      <c r="BJ66" s="33" t="n">
        <f aca="false">BJ36*'Hiring plan'!$K$32*(1+Salary_Raise)^(BJ$5-1)</f>
        <v>0</v>
      </c>
      <c r="BK66" s="33" t="n">
        <f aca="false">BK36*'Hiring plan'!$K$32*(1+Salary_Raise)^(BK$5-1)</f>
        <v>0</v>
      </c>
      <c r="BL66" s="33" t="n">
        <f aca="false">BL36*'Hiring plan'!$K$32*(1+Salary_Raise)^(BL$5-1)</f>
        <v>0</v>
      </c>
    </row>
    <row r="68" customFormat="false" ht="15" hidden="false" customHeight="true" outlineLevel="0" collapsed="false">
      <c r="A68" s="11" t="s">
        <v>1136</v>
      </c>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row>
    <row r="69" customFormat="false" ht="15" hidden="false" customHeight="true" outlineLevel="0" collapsed="false">
      <c r="A69" s="13" t="s">
        <v>1137</v>
      </c>
      <c r="B69" s="15" t="s">
        <v>92</v>
      </c>
      <c r="D69" s="56" t="n">
        <f aca="false">MAX(E69:BL69)</f>
        <v>29</v>
      </c>
      <c r="E69" s="33" t="n">
        <f aca="false">IF(E$3&gt;=Support_Start,MAX(Support_Min,ROUNDUP('Clients &amp; revenue'!E17/Clients_per_Support+'Clients &amp; revenue'!E32/EmpAcc_per_Support,0)),0)</f>
        <v>0</v>
      </c>
      <c r="F69" s="33" t="n">
        <f aca="false">IF(F$3&gt;=Support_Start,MAX(Support_Min,ROUNDUP('Clients &amp; revenue'!F17/Clients_per_Support+'Clients &amp; revenue'!F32/EmpAcc_per_Support,0)),0)</f>
        <v>0</v>
      </c>
      <c r="G69" s="33" t="n">
        <f aca="false">IF(G$3&gt;=Support_Start,MAX(Support_Min,ROUNDUP('Clients &amp; revenue'!G17/Clients_per_Support+'Clients &amp; revenue'!G32/EmpAcc_per_Support,0)),0)</f>
        <v>0</v>
      </c>
      <c r="H69" s="33" t="n">
        <f aca="false">IF(H$3&gt;=Support_Start,MAX(Support_Min,ROUNDUP('Clients &amp; revenue'!H17/Clients_per_Support+'Clients &amp; revenue'!H32/EmpAcc_per_Support,0)),0)</f>
        <v>2</v>
      </c>
      <c r="I69" s="33" t="n">
        <f aca="false">IF(I$3&gt;=Support_Start,MAX(Support_Min,ROUNDUP('Clients &amp; revenue'!I17/Clients_per_Support+'Clients &amp; revenue'!I32/EmpAcc_per_Support,0)),0)</f>
        <v>2</v>
      </c>
      <c r="J69" s="33" t="n">
        <f aca="false">IF(J$3&gt;=Support_Start,MAX(Support_Min,ROUNDUP('Clients &amp; revenue'!J17/Clients_per_Support+'Clients &amp; revenue'!J32/EmpAcc_per_Support,0)),0)</f>
        <v>2</v>
      </c>
      <c r="K69" s="33" t="n">
        <f aca="false">IF(K$3&gt;=Support_Start,MAX(Support_Min,ROUNDUP('Clients &amp; revenue'!K17/Clients_per_Support+'Clients &amp; revenue'!K32/EmpAcc_per_Support,0)),0)</f>
        <v>2</v>
      </c>
      <c r="L69" s="33" t="n">
        <f aca="false">IF(L$3&gt;=Support_Start,MAX(Support_Min,ROUNDUP('Clients &amp; revenue'!L17/Clients_per_Support+'Clients &amp; revenue'!L32/EmpAcc_per_Support,0)),0)</f>
        <v>2</v>
      </c>
      <c r="M69" s="33" t="n">
        <f aca="false">IF(M$3&gt;=Support_Start,MAX(Support_Min,ROUNDUP('Clients &amp; revenue'!M17/Clients_per_Support+'Clients &amp; revenue'!M32/EmpAcc_per_Support,0)),0)</f>
        <v>2</v>
      </c>
      <c r="N69" s="33" t="n">
        <f aca="false">IF(N$3&gt;=Support_Start,MAX(Support_Min,ROUNDUP('Clients &amp; revenue'!N17/Clients_per_Support+'Clients &amp; revenue'!N32/EmpAcc_per_Support,0)),0)</f>
        <v>2</v>
      </c>
      <c r="O69" s="33" t="n">
        <f aca="false">IF(O$3&gt;=Support_Start,MAX(Support_Min,ROUNDUP('Clients &amp; revenue'!O17/Clients_per_Support+'Clients &amp; revenue'!O32/EmpAcc_per_Support,0)),0)</f>
        <v>2</v>
      </c>
      <c r="P69" s="33" t="n">
        <f aca="false">IF(P$3&gt;=Support_Start,MAX(Support_Min,ROUNDUP('Clients &amp; revenue'!P17/Clients_per_Support+'Clients &amp; revenue'!P32/EmpAcc_per_Support,0)),0)</f>
        <v>2</v>
      </c>
      <c r="Q69" s="33" t="n">
        <f aca="false">IF(Q$3&gt;=Support_Start,MAX(Support_Min,ROUNDUP('Clients &amp; revenue'!Q17/Clients_per_Support+'Clients &amp; revenue'!Q32/EmpAcc_per_Support,0)),0)</f>
        <v>2</v>
      </c>
      <c r="R69" s="33" t="n">
        <f aca="false">IF(R$3&gt;=Support_Start,MAX(Support_Min,ROUNDUP('Clients &amp; revenue'!R17/Clients_per_Support+'Clients &amp; revenue'!R32/EmpAcc_per_Support,0)),0)</f>
        <v>2</v>
      </c>
      <c r="S69" s="33" t="n">
        <f aca="false">IF(S$3&gt;=Support_Start,MAX(Support_Min,ROUNDUP('Clients &amp; revenue'!S17/Clients_per_Support+'Clients &amp; revenue'!S32/EmpAcc_per_Support,0)),0)</f>
        <v>2</v>
      </c>
      <c r="T69" s="33" t="n">
        <f aca="false">IF(T$3&gt;=Support_Start,MAX(Support_Min,ROUNDUP('Clients &amp; revenue'!T17/Clients_per_Support+'Clients &amp; revenue'!T32/EmpAcc_per_Support,0)),0)</f>
        <v>2</v>
      </c>
      <c r="U69" s="33" t="n">
        <f aca="false">IF(U$3&gt;=Support_Start,MAX(Support_Min,ROUNDUP('Clients &amp; revenue'!U17/Clients_per_Support+'Clients &amp; revenue'!U32/EmpAcc_per_Support,0)),0)</f>
        <v>2</v>
      </c>
      <c r="V69" s="33" t="n">
        <f aca="false">IF(V$3&gt;=Support_Start,MAX(Support_Min,ROUNDUP('Clients &amp; revenue'!V17/Clients_per_Support+'Clients &amp; revenue'!V32/EmpAcc_per_Support,0)),0)</f>
        <v>2</v>
      </c>
      <c r="W69" s="33" t="n">
        <f aca="false">IF(W$3&gt;=Support_Start,MAX(Support_Min,ROUNDUP('Clients &amp; revenue'!W17/Clients_per_Support+'Clients &amp; revenue'!W32/EmpAcc_per_Support,0)),0)</f>
        <v>2</v>
      </c>
      <c r="X69" s="33" t="n">
        <f aca="false">IF(X$3&gt;=Support_Start,MAX(Support_Min,ROUNDUP('Clients &amp; revenue'!X17/Clients_per_Support+'Clients &amp; revenue'!X32/EmpAcc_per_Support,0)),0)</f>
        <v>2</v>
      </c>
      <c r="Y69" s="33" t="n">
        <f aca="false">IF(Y$3&gt;=Support_Start,MAX(Support_Min,ROUNDUP('Clients &amp; revenue'!Y17/Clients_per_Support+'Clients &amp; revenue'!Y32/EmpAcc_per_Support,0)),0)</f>
        <v>3</v>
      </c>
      <c r="Z69" s="33" t="n">
        <f aca="false">IF(Z$3&gt;=Support_Start,MAX(Support_Min,ROUNDUP('Clients &amp; revenue'!Z17/Clients_per_Support+'Clients &amp; revenue'!Z32/EmpAcc_per_Support,0)),0)</f>
        <v>3</v>
      </c>
      <c r="AA69" s="33" t="n">
        <f aca="false">IF(AA$3&gt;=Support_Start,MAX(Support_Min,ROUNDUP('Clients &amp; revenue'!AA17/Clients_per_Support+'Clients &amp; revenue'!AA32/EmpAcc_per_Support,0)),0)</f>
        <v>3</v>
      </c>
      <c r="AB69" s="33" t="n">
        <f aca="false">IF(AB$3&gt;=Support_Start,MAX(Support_Min,ROUNDUP('Clients &amp; revenue'!AB17/Clients_per_Support+'Clients &amp; revenue'!AB32/EmpAcc_per_Support,0)),0)</f>
        <v>3</v>
      </c>
      <c r="AC69" s="33" t="n">
        <f aca="false">IF(AC$3&gt;=Support_Start,MAX(Support_Min,ROUNDUP('Clients &amp; revenue'!AC17/Clients_per_Support+'Clients &amp; revenue'!AC32/EmpAcc_per_Support,0)),0)</f>
        <v>4</v>
      </c>
      <c r="AD69" s="33" t="n">
        <f aca="false">IF(AD$3&gt;=Support_Start,MAX(Support_Min,ROUNDUP('Clients &amp; revenue'!AD17/Clients_per_Support+'Clients &amp; revenue'!AD32/EmpAcc_per_Support,0)),0)</f>
        <v>4</v>
      </c>
      <c r="AE69" s="33" t="n">
        <f aca="false">IF(AE$3&gt;=Support_Start,MAX(Support_Min,ROUNDUP('Clients &amp; revenue'!AE17/Clients_per_Support+'Clients &amp; revenue'!AE32/EmpAcc_per_Support,0)),0)</f>
        <v>4</v>
      </c>
      <c r="AF69" s="33" t="n">
        <f aca="false">IF(AF$3&gt;=Support_Start,MAX(Support_Min,ROUNDUP('Clients &amp; revenue'!AF17/Clients_per_Support+'Clients &amp; revenue'!AF32/EmpAcc_per_Support,0)),0)</f>
        <v>5</v>
      </c>
      <c r="AG69" s="33" t="n">
        <f aca="false">IF(AG$3&gt;=Support_Start,MAX(Support_Min,ROUNDUP('Clients &amp; revenue'!AG17/Clients_per_Support+'Clients &amp; revenue'!AG32/EmpAcc_per_Support,0)),0)</f>
        <v>7</v>
      </c>
      <c r="AH69" s="33" t="n">
        <f aca="false">IF(AH$3&gt;=Support_Start,MAX(Support_Min,ROUNDUP('Clients &amp; revenue'!AH17/Clients_per_Support+'Clients &amp; revenue'!AH32/EmpAcc_per_Support,0)),0)</f>
        <v>7</v>
      </c>
      <c r="AI69" s="33" t="n">
        <f aca="false">IF(AI$3&gt;=Support_Start,MAX(Support_Min,ROUNDUP('Clients &amp; revenue'!AI17/Clients_per_Support+'Clients &amp; revenue'!AI32/EmpAcc_per_Support,0)),0)</f>
        <v>8</v>
      </c>
      <c r="AJ69" s="33" t="n">
        <f aca="false">IF(AJ$3&gt;=Support_Start,MAX(Support_Min,ROUNDUP('Clients &amp; revenue'!AJ17/Clients_per_Support+'Clients &amp; revenue'!AJ32/EmpAcc_per_Support,0)),0)</f>
        <v>8</v>
      </c>
      <c r="AK69" s="33" t="n">
        <f aca="false">IF(AK$3&gt;=Support_Start,MAX(Support_Min,ROUNDUP('Clients &amp; revenue'!AK17/Clients_per_Support+'Clients &amp; revenue'!AK32/EmpAcc_per_Support,0)),0)</f>
        <v>9</v>
      </c>
      <c r="AL69" s="33" t="n">
        <f aca="false">IF(AL$3&gt;=Support_Start,MAX(Support_Min,ROUNDUP('Clients &amp; revenue'!AL17/Clients_per_Support+'Clients &amp; revenue'!AL32/EmpAcc_per_Support,0)),0)</f>
        <v>9</v>
      </c>
      <c r="AM69" s="33" t="n">
        <f aca="false">IF(AM$3&gt;=Support_Start,MAX(Support_Min,ROUNDUP('Clients &amp; revenue'!AM17/Clients_per_Support+'Clients &amp; revenue'!AM32/EmpAcc_per_Support,0)),0)</f>
        <v>10</v>
      </c>
      <c r="AN69" s="33" t="n">
        <f aca="false">IF(AN$3&gt;=Support_Start,MAX(Support_Min,ROUNDUP('Clients &amp; revenue'!AN17/Clients_per_Support+'Clients &amp; revenue'!AN32/EmpAcc_per_Support,0)),0)</f>
        <v>10</v>
      </c>
      <c r="AO69" s="33" t="n">
        <f aca="false">IF(AO$3&gt;=Support_Start,MAX(Support_Min,ROUNDUP('Clients &amp; revenue'!AO17/Clients_per_Support+'Clients &amp; revenue'!AO32/EmpAcc_per_Support,0)),0)</f>
        <v>11</v>
      </c>
      <c r="AP69" s="33" t="n">
        <f aca="false">IF(AP$3&gt;=Support_Start,MAX(Support_Min,ROUNDUP('Clients &amp; revenue'!AP17/Clients_per_Support+'Clients &amp; revenue'!AP32/EmpAcc_per_Support,0)),0)</f>
        <v>11</v>
      </c>
      <c r="AQ69" s="33" t="n">
        <f aca="false">IF(AQ$3&gt;=Support_Start,MAX(Support_Min,ROUNDUP('Clients &amp; revenue'!AQ17/Clients_per_Support+'Clients &amp; revenue'!AQ32/EmpAcc_per_Support,0)),0)</f>
        <v>12</v>
      </c>
      <c r="AR69" s="33" t="n">
        <f aca="false">IF(AR$3&gt;=Support_Start,MAX(Support_Min,ROUNDUP('Clients &amp; revenue'!AR17/Clients_per_Support+'Clients &amp; revenue'!AR32/EmpAcc_per_Support,0)),0)</f>
        <v>13</v>
      </c>
      <c r="AS69" s="33" t="n">
        <f aca="false">IF(AS$3&gt;=Support_Start,MAX(Support_Min,ROUNDUP('Clients &amp; revenue'!AS17/Clients_per_Support+'Clients &amp; revenue'!AS32/EmpAcc_per_Support,0)),0)</f>
        <v>13</v>
      </c>
      <c r="AT69" s="33" t="n">
        <f aca="false">IF(AT$3&gt;=Support_Start,MAX(Support_Min,ROUNDUP('Clients &amp; revenue'!AT17/Clients_per_Support+'Clients &amp; revenue'!AT32/EmpAcc_per_Support,0)),0)</f>
        <v>14</v>
      </c>
      <c r="AU69" s="33" t="n">
        <f aca="false">IF(AU$3&gt;=Support_Start,MAX(Support_Min,ROUNDUP('Clients &amp; revenue'!AU17/Clients_per_Support+'Clients &amp; revenue'!AU32/EmpAcc_per_Support,0)),0)</f>
        <v>15</v>
      </c>
      <c r="AV69" s="33" t="n">
        <f aca="false">IF(AV$3&gt;=Support_Start,MAX(Support_Min,ROUNDUP('Clients &amp; revenue'!AV17/Clients_per_Support+'Clients &amp; revenue'!AV32/EmpAcc_per_Support,0)),0)</f>
        <v>15</v>
      </c>
      <c r="AW69" s="33" t="n">
        <f aca="false">IF(AW$3&gt;=Support_Start,MAX(Support_Min,ROUNDUP('Clients &amp; revenue'!AW17/Clients_per_Support+'Clients &amp; revenue'!AW32/EmpAcc_per_Support,0)),0)</f>
        <v>16</v>
      </c>
      <c r="AX69" s="33" t="n">
        <f aca="false">IF(AX$3&gt;=Support_Start,MAX(Support_Min,ROUNDUP('Clients &amp; revenue'!AX17/Clients_per_Support+'Clients &amp; revenue'!AX32/EmpAcc_per_Support,0)),0)</f>
        <v>17</v>
      </c>
      <c r="AY69" s="33" t="n">
        <f aca="false">IF(AY$3&gt;=Support_Start,MAX(Support_Min,ROUNDUP('Clients &amp; revenue'!AY17/Clients_per_Support+'Clients &amp; revenue'!AY32/EmpAcc_per_Support,0)),0)</f>
        <v>18</v>
      </c>
      <c r="AZ69" s="33" t="n">
        <f aca="false">IF(AZ$3&gt;=Support_Start,MAX(Support_Min,ROUNDUP('Clients &amp; revenue'!AZ17/Clients_per_Support+'Clients &amp; revenue'!AZ32/EmpAcc_per_Support,0)),0)</f>
        <v>18</v>
      </c>
      <c r="BA69" s="33" t="n">
        <f aca="false">IF(BA$3&gt;=Support_Start,MAX(Support_Min,ROUNDUP('Clients &amp; revenue'!BA17/Clients_per_Support+'Clients &amp; revenue'!BA32/EmpAcc_per_Support,0)),0)</f>
        <v>19</v>
      </c>
      <c r="BB69" s="33" t="n">
        <f aca="false">IF(BB$3&gt;=Support_Start,MAX(Support_Min,ROUNDUP('Clients &amp; revenue'!BB17/Clients_per_Support+'Clients &amp; revenue'!BB32/EmpAcc_per_Support,0)),0)</f>
        <v>20</v>
      </c>
      <c r="BC69" s="33" t="n">
        <f aca="false">IF(BC$3&gt;=Support_Start,MAX(Support_Min,ROUNDUP('Clients &amp; revenue'!BC17/Clients_per_Support+'Clients &amp; revenue'!BC32/EmpAcc_per_Support,0)),0)</f>
        <v>21</v>
      </c>
      <c r="BD69" s="33" t="n">
        <f aca="false">IF(BD$3&gt;=Support_Start,MAX(Support_Min,ROUNDUP('Clients &amp; revenue'!BD17/Clients_per_Support+'Clients &amp; revenue'!BD32/EmpAcc_per_Support,0)),0)</f>
        <v>22</v>
      </c>
      <c r="BE69" s="33" t="n">
        <f aca="false">IF(BE$3&gt;=Support_Start,MAX(Support_Min,ROUNDUP('Clients &amp; revenue'!BE17/Clients_per_Support+'Clients &amp; revenue'!BE32/EmpAcc_per_Support,0)),0)</f>
        <v>22</v>
      </c>
      <c r="BF69" s="33" t="n">
        <f aca="false">IF(BF$3&gt;=Support_Start,MAX(Support_Min,ROUNDUP('Clients &amp; revenue'!BF17/Clients_per_Support+'Clients &amp; revenue'!BF32/EmpAcc_per_Support,0)),0)</f>
        <v>23</v>
      </c>
      <c r="BG69" s="33" t="n">
        <f aca="false">IF(BG$3&gt;=Support_Start,MAX(Support_Min,ROUNDUP('Clients &amp; revenue'!BG17/Clients_per_Support+'Clients &amp; revenue'!BG32/EmpAcc_per_Support,0)),0)</f>
        <v>24</v>
      </c>
      <c r="BH69" s="33" t="n">
        <f aca="false">IF(BH$3&gt;=Support_Start,MAX(Support_Min,ROUNDUP('Clients &amp; revenue'!BH17/Clients_per_Support+'Clients &amp; revenue'!BH32/EmpAcc_per_Support,0)),0)</f>
        <v>25</v>
      </c>
      <c r="BI69" s="33" t="n">
        <f aca="false">IF(BI$3&gt;=Support_Start,MAX(Support_Min,ROUNDUP('Clients &amp; revenue'!BI17/Clients_per_Support+'Clients &amp; revenue'!BI32/EmpAcc_per_Support,0)),0)</f>
        <v>26</v>
      </c>
      <c r="BJ69" s="33" t="n">
        <f aca="false">IF(BJ$3&gt;=Support_Start,MAX(Support_Min,ROUNDUP('Clients &amp; revenue'!BJ17/Clients_per_Support+'Clients &amp; revenue'!BJ32/EmpAcc_per_Support,0)),0)</f>
        <v>27</v>
      </c>
      <c r="BK69" s="33" t="n">
        <f aca="false">IF(BK$3&gt;=Support_Start,MAX(Support_Min,ROUNDUP('Clients &amp; revenue'!BK17/Clients_per_Support+'Clients &amp; revenue'!BK32/EmpAcc_per_Support,0)),0)</f>
        <v>28</v>
      </c>
      <c r="BL69" s="33" t="n">
        <f aca="false">IF(BL$3&gt;=Support_Start,MAX(Support_Min,ROUNDUP('Clients &amp; revenue'!BL17/Clients_per_Support+'Clients &amp; revenue'!BL32/EmpAcc_per_Support,0)),0)</f>
        <v>29</v>
      </c>
    </row>
    <row r="70" customFormat="false" ht="15" hidden="false" customHeight="true" outlineLevel="0" collapsed="false">
      <c r="A70" s="13" t="s">
        <v>1138</v>
      </c>
      <c r="B70" s="15" t="s">
        <v>92</v>
      </c>
      <c r="D70" s="56" t="n">
        <f aca="false">MAX(E70:BL70)</f>
        <v>6</v>
      </c>
      <c r="E70" s="33" t="n">
        <f aca="false">Devs_Min+ROUNDDOWN('Clients &amp; revenue'!E17/Clients_per_Dev,0)</f>
        <v>2</v>
      </c>
      <c r="F70" s="33" t="n">
        <f aca="false">Devs_Min+ROUNDDOWN('Clients &amp; revenue'!F17/Clients_per_Dev,0)</f>
        <v>2</v>
      </c>
      <c r="G70" s="33" t="n">
        <f aca="false">Devs_Min+ROUNDDOWN('Clients &amp; revenue'!G17/Clients_per_Dev,0)</f>
        <v>2</v>
      </c>
      <c r="H70" s="33" t="n">
        <f aca="false">Devs_Min+ROUNDDOWN('Clients &amp; revenue'!H17/Clients_per_Dev,0)</f>
        <v>2</v>
      </c>
      <c r="I70" s="33" t="n">
        <f aca="false">Devs_Min+ROUNDDOWN('Clients &amp; revenue'!I17/Clients_per_Dev,0)</f>
        <v>2</v>
      </c>
      <c r="J70" s="33" t="n">
        <f aca="false">Devs_Min+ROUNDDOWN('Clients &amp; revenue'!J17/Clients_per_Dev,0)</f>
        <v>2</v>
      </c>
      <c r="K70" s="33" t="n">
        <f aca="false">Devs_Min+ROUNDDOWN('Clients &amp; revenue'!K17/Clients_per_Dev,0)</f>
        <v>2</v>
      </c>
      <c r="L70" s="33" t="n">
        <f aca="false">Devs_Min+ROUNDDOWN('Clients &amp; revenue'!L17/Clients_per_Dev,0)</f>
        <v>2</v>
      </c>
      <c r="M70" s="33" t="n">
        <f aca="false">Devs_Min+ROUNDDOWN('Clients &amp; revenue'!M17/Clients_per_Dev,0)</f>
        <v>2</v>
      </c>
      <c r="N70" s="33" t="n">
        <f aca="false">Devs_Min+ROUNDDOWN('Clients &amp; revenue'!N17/Clients_per_Dev,0)</f>
        <v>2</v>
      </c>
      <c r="O70" s="33" t="n">
        <f aca="false">Devs_Min+ROUNDDOWN('Clients &amp; revenue'!O17/Clients_per_Dev,0)</f>
        <v>2</v>
      </c>
      <c r="P70" s="33" t="n">
        <f aca="false">Devs_Min+ROUNDDOWN('Clients &amp; revenue'!P17/Clients_per_Dev,0)</f>
        <v>2</v>
      </c>
      <c r="Q70" s="33" t="n">
        <f aca="false">Devs_Min+ROUNDDOWN('Clients &amp; revenue'!Q17/Clients_per_Dev,0)</f>
        <v>2</v>
      </c>
      <c r="R70" s="33" t="n">
        <f aca="false">Devs_Min+ROUNDDOWN('Clients &amp; revenue'!R17/Clients_per_Dev,0)</f>
        <v>2</v>
      </c>
      <c r="S70" s="33" t="n">
        <f aca="false">Devs_Min+ROUNDDOWN('Clients &amp; revenue'!S17/Clients_per_Dev,0)</f>
        <v>2</v>
      </c>
      <c r="T70" s="33" t="n">
        <f aca="false">Devs_Min+ROUNDDOWN('Clients &amp; revenue'!T17/Clients_per_Dev,0)</f>
        <v>2</v>
      </c>
      <c r="U70" s="33" t="n">
        <f aca="false">Devs_Min+ROUNDDOWN('Clients &amp; revenue'!U17/Clients_per_Dev,0)</f>
        <v>2</v>
      </c>
      <c r="V70" s="33" t="n">
        <f aca="false">Devs_Min+ROUNDDOWN('Clients &amp; revenue'!V17/Clients_per_Dev,0)</f>
        <v>2</v>
      </c>
      <c r="W70" s="33" t="n">
        <f aca="false">Devs_Min+ROUNDDOWN('Clients &amp; revenue'!W17/Clients_per_Dev,0)</f>
        <v>2</v>
      </c>
      <c r="X70" s="33" t="n">
        <f aca="false">Devs_Min+ROUNDDOWN('Clients &amp; revenue'!X17/Clients_per_Dev,0)</f>
        <v>2</v>
      </c>
      <c r="Y70" s="33" t="n">
        <f aca="false">Devs_Min+ROUNDDOWN('Clients &amp; revenue'!Y17/Clients_per_Dev,0)</f>
        <v>2</v>
      </c>
      <c r="Z70" s="33" t="n">
        <f aca="false">Devs_Min+ROUNDDOWN('Clients &amp; revenue'!Z17/Clients_per_Dev,0)</f>
        <v>2</v>
      </c>
      <c r="AA70" s="33" t="n">
        <f aca="false">Devs_Min+ROUNDDOWN('Clients &amp; revenue'!AA17/Clients_per_Dev,0)</f>
        <v>2</v>
      </c>
      <c r="AB70" s="33" t="n">
        <f aca="false">Devs_Min+ROUNDDOWN('Clients &amp; revenue'!AB17/Clients_per_Dev,0)</f>
        <v>2</v>
      </c>
      <c r="AC70" s="33" t="n">
        <f aca="false">Devs_Min+ROUNDDOWN('Clients &amp; revenue'!AC17/Clients_per_Dev,0)</f>
        <v>2</v>
      </c>
      <c r="AD70" s="33" t="n">
        <f aca="false">Devs_Min+ROUNDDOWN('Clients &amp; revenue'!AD17/Clients_per_Dev,0)</f>
        <v>2</v>
      </c>
      <c r="AE70" s="33" t="n">
        <f aca="false">Devs_Min+ROUNDDOWN('Clients &amp; revenue'!AE17/Clients_per_Dev,0)</f>
        <v>2</v>
      </c>
      <c r="AF70" s="33" t="n">
        <f aca="false">Devs_Min+ROUNDDOWN('Clients &amp; revenue'!AF17/Clients_per_Dev,0)</f>
        <v>3</v>
      </c>
      <c r="AG70" s="33" t="n">
        <f aca="false">Devs_Min+ROUNDDOWN('Clients &amp; revenue'!AG17/Clients_per_Dev,0)</f>
        <v>3</v>
      </c>
      <c r="AH70" s="33" t="n">
        <f aca="false">Devs_Min+ROUNDDOWN('Clients &amp; revenue'!AH17/Clients_per_Dev,0)</f>
        <v>3</v>
      </c>
      <c r="AI70" s="33" t="n">
        <f aca="false">Devs_Min+ROUNDDOWN('Clients &amp; revenue'!AI17/Clients_per_Dev,0)</f>
        <v>3</v>
      </c>
      <c r="AJ70" s="33" t="n">
        <f aca="false">Devs_Min+ROUNDDOWN('Clients &amp; revenue'!AJ17/Clients_per_Dev,0)</f>
        <v>3</v>
      </c>
      <c r="AK70" s="33" t="n">
        <f aca="false">Devs_Min+ROUNDDOWN('Clients &amp; revenue'!AK17/Clients_per_Dev,0)</f>
        <v>3</v>
      </c>
      <c r="AL70" s="33" t="n">
        <f aca="false">Devs_Min+ROUNDDOWN('Clients &amp; revenue'!AL17/Clients_per_Dev,0)</f>
        <v>3</v>
      </c>
      <c r="AM70" s="33" t="n">
        <f aca="false">Devs_Min+ROUNDDOWN('Clients &amp; revenue'!AM17/Clients_per_Dev,0)</f>
        <v>3</v>
      </c>
      <c r="AN70" s="33" t="n">
        <f aca="false">Devs_Min+ROUNDDOWN('Clients &amp; revenue'!AN17/Clients_per_Dev,0)</f>
        <v>3</v>
      </c>
      <c r="AO70" s="33" t="n">
        <f aca="false">Devs_Min+ROUNDDOWN('Clients &amp; revenue'!AO17/Clients_per_Dev,0)</f>
        <v>3</v>
      </c>
      <c r="AP70" s="33" t="n">
        <f aca="false">Devs_Min+ROUNDDOWN('Clients &amp; revenue'!AP17/Clients_per_Dev,0)</f>
        <v>3</v>
      </c>
      <c r="AQ70" s="33" t="n">
        <f aca="false">Devs_Min+ROUNDDOWN('Clients &amp; revenue'!AQ17/Clients_per_Dev,0)</f>
        <v>3</v>
      </c>
      <c r="AR70" s="33" t="n">
        <f aca="false">Devs_Min+ROUNDDOWN('Clients &amp; revenue'!AR17/Clients_per_Dev,0)</f>
        <v>4</v>
      </c>
      <c r="AS70" s="33" t="n">
        <f aca="false">Devs_Min+ROUNDDOWN('Clients &amp; revenue'!AS17/Clients_per_Dev,0)</f>
        <v>4</v>
      </c>
      <c r="AT70" s="33" t="n">
        <f aca="false">Devs_Min+ROUNDDOWN('Clients &amp; revenue'!AT17/Clients_per_Dev,0)</f>
        <v>4</v>
      </c>
      <c r="AU70" s="33" t="n">
        <f aca="false">Devs_Min+ROUNDDOWN('Clients &amp; revenue'!AU17/Clients_per_Dev,0)</f>
        <v>4</v>
      </c>
      <c r="AV70" s="33" t="n">
        <f aca="false">Devs_Min+ROUNDDOWN('Clients &amp; revenue'!AV17/Clients_per_Dev,0)</f>
        <v>4</v>
      </c>
      <c r="AW70" s="33" t="n">
        <f aca="false">Devs_Min+ROUNDDOWN('Clients &amp; revenue'!AW17/Clients_per_Dev,0)</f>
        <v>4</v>
      </c>
      <c r="AX70" s="33" t="n">
        <f aca="false">Devs_Min+ROUNDDOWN('Clients &amp; revenue'!AX17/Clients_per_Dev,0)</f>
        <v>4</v>
      </c>
      <c r="AY70" s="33" t="n">
        <f aca="false">Devs_Min+ROUNDDOWN('Clients &amp; revenue'!AY17/Clients_per_Dev,0)</f>
        <v>4</v>
      </c>
      <c r="AZ70" s="33" t="n">
        <f aca="false">Devs_Min+ROUNDDOWN('Clients &amp; revenue'!AZ17/Clients_per_Dev,0)</f>
        <v>4</v>
      </c>
      <c r="BA70" s="33" t="n">
        <f aca="false">Devs_Min+ROUNDDOWN('Clients &amp; revenue'!BA17/Clients_per_Dev,0)</f>
        <v>5</v>
      </c>
      <c r="BB70" s="33" t="n">
        <f aca="false">Devs_Min+ROUNDDOWN('Clients &amp; revenue'!BB17/Clients_per_Dev,0)</f>
        <v>5</v>
      </c>
      <c r="BC70" s="33" t="n">
        <f aca="false">Devs_Min+ROUNDDOWN('Clients &amp; revenue'!BC17/Clients_per_Dev,0)</f>
        <v>5</v>
      </c>
      <c r="BD70" s="33" t="n">
        <f aca="false">Devs_Min+ROUNDDOWN('Clients &amp; revenue'!BD17/Clients_per_Dev,0)</f>
        <v>5</v>
      </c>
      <c r="BE70" s="33" t="n">
        <f aca="false">Devs_Min+ROUNDDOWN('Clients &amp; revenue'!BE17/Clients_per_Dev,0)</f>
        <v>5</v>
      </c>
      <c r="BF70" s="33" t="n">
        <f aca="false">Devs_Min+ROUNDDOWN('Clients &amp; revenue'!BF17/Clients_per_Dev,0)</f>
        <v>5</v>
      </c>
      <c r="BG70" s="33" t="n">
        <f aca="false">Devs_Min+ROUNDDOWN('Clients &amp; revenue'!BG17/Clients_per_Dev,0)</f>
        <v>5</v>
      </c>
      <c r="BH70" s="33" t="n">
        <f aca="false">Devs_Min+ROUNDDOWN('Clients &amp; revenue'!BH17/Clients_per_Dev,0)</f>
        <v>6</v>
      </c>
      <c r="BI70" s="33" t="n">
        <f aca="false">Devs_Min+ROUNDDOWN('Clients &amp; revenue'!BI17/Clients_per_Dev,0)</f>
        <v>6</v>
      </c>
      <c r="BJ70" s="33" t="n">
        <f aca="false">Devs_Min+ROUNDDOWN('Clients &amp; revenue'!BJ17/Clients_per_Dev,0)</f>
        <v>6</v>
      </c>
      <c r="BK70" s="33" t="n">
        <f aca="false">Devs_Min+ROUNDDOWN('Clients &amp; revenue'!BK17/Clients_per_Dev,0)</f>
        <v>6</v>
      </c>
      <c r="BL70" s="33" t="n">
        <f aca="false">Devs_Min+ROUNDDOWN('Clients &amp; revenue'!BL17/Clients_per_Dev,0)</f>
        <v>6</v>
      </c>
    </row>
    <row r="71" customFormat="false" ht="15" hidden="false" customHeight="true" outlineLevel="0" collapsed="false">
      <c r="A71" s="13" t="s">
        <v>1139</v>
      </c>
      <c r="B71" s="15" t="s">
        <v>92</v>
      </c>
      <c r="D71" s="56" t="n">
        <f aca="false">MAX(E71:BL71)</f>
        <v>16</v>
      </c>
      <c r="E71" s="33" t="n">
        <f aca="false">IF(E$3&gt;=Reps_Start,MAX(Reps_Min_SN,ROUNDUP(0/Clients_per_Rep,0)),0)</f>
        <v>0</v>
      </c>
      <c r="F71" s="33" t="n">
        <f aca="false">IF(F$3&gt;=Reps_Start,MAX(Reps_Min_SN,ROUNDUP('Clients &amp; revenue'!E19/Clients_per_Rep,0)),0)</f>
        <v>0</v>
      </c>
      <c r="G71" s="33" t="n">
        <f aca="false">IF(G$3&gt;=Reps_Start,MAX(Reps_Min_SN,ROUNDUP('Clients &amp; revenue'!F19/Clients_per_Rep,0)),0)</f>
        <v>0</v>
      </c>
      <c r="H71" s="33" t="n">
        <f aca="false">IF(H$3&gt;=Reps_Start,MAX(Reps_Min_SN,ROUNDUP('Clients &amp; revenue'!G19/Clients_per_Rep,0)),0)</f>
        <v>2</v>
      </c>
      <c r="I71" s="33" t="n">
        <f aca="false">IF(I$3&gt;=Reps_Start,MAX(Reps_Min_SN,ROUNDUP('Clients &amp; revenue'!H19/Clients_per_Rep,0)),0)</f>
        <v>2</v>
      </c>
      <c r="J71" s="33" t="n">
        <f aca="false">IF(J$3&gt;=Reps_Start,MAX(Reps_Min_SN,ROUNDUP('Clients &amp; revenue'!I19/Clients_per_Rep,0)),0)</f>
        <v>2</v>
      </c>
      <c r="K71" s="33" t="n">
        <f aca="false">IF(K$3&gt;=Reps_Start,MAX(Reps_Min_SN,ROUNDUP('Clients &amp; revenue'!J19/Clients_per_Rep,0)),0)</f>
        <v>2</v>
      </c>
      <c r="L71" s="33" t="n">
        <f aca="false">IF(L$3&gt;=Reps_Start,MAX(Reps_Min_SN,ROUNDUP('Clients &amp; revenue'!K19/Clients_per_Rep,0)),0)</f>
        <v>2</v>
      </c>
      <c r="M71" s="33" t="n">
        <f aca="false">IF(M$3&gt;=Reps_Start,MAX(Reps_Min_SN,ROUNDUP('Clients &amp; revenue'!L19/Clients_per_Rep,0)),0)</f>
        <v>2</v>
      </c>
      <c r="N71" s="33" t="n">
        <f aca="false">IF(N$3&gt;=Reps_Start,MAX(Reps_Min_SN,ROUNDUP('Clients &amp; revenue'!M19/Clients_per_Rep,0)),0)</f>
        <v>2</v>
      </c>
      <c r="O71" s="33" t="n">
        <f aca="false">IF(O$3&gt;=Reps_Start,MAX(Reps_Min_SN,ROUNDUP('Clients &amp; revenue'!N19/Clients_per_Rep,0)),0)</f>
        <v>2</v>
      </c>
      <c r="P71" s="33" t="n">
        <f aca="false">IF(P$3&gt;=Reps_Start,MAX(Reps_Min_SN,ROUNDUP('Clients &amp; revenue'!O19/Clients_per_Rep,0)),0)</f>
        <v>2</v>
      </c>
      <c r="Q71" s="33" t="n">
        <f aca="false">IF(Q$3&gt;=Reps_Start,MAX(Reps_Min_SN,ROUNDUP('Clients &amp; revenue'!P19/Clients_per_Rep,0)),0)</f>
        <v>2</v>
      </c>
      <c r="R71" s="33" t="n">
        <f aca="false">IF(R$3&gt;=Reps_Start,MAX(Reps_Min_SN,ROUNDUP('Clients &amp; revenue'!Q19/Clients_per_Rep,0)),0)</f>
        <v>2</v>
      </c>
      <c r="S71" s="33" t="n">
        <f aca="false">IF(S$3&gt;=Reps_Start,MAX(Reps_Min_SN,ROUNDUP('Clients &amp; revenue'!R19/Clients_per_Rep,0)),0)</f>
        <v>2</v>
      </c>
      <c r="T71" s="33" t="n">
        <f aca="false">IF(T$3&gt;=Reps_Start,MAX(Reps_Min_SN,ROUNDUP('Clients &amp; revenue'!S19/Clients_per_Rep,0)),0)</f>
        <v>2</v>
      </c>
      <c r="U71" s="33" t="n">
        <f aca="false">IF(U$3&gt;=Reps_Start,MAX(Reps_Min_SN,ROUNDUP('Clients &amp; revenue'!T19/Clients_per_Rep,0)),0)</f>
        <v>2</v>
      </c>
      <c r="V71" s="33" t="n">
        <f aca="false">IF(V$3&gt;=Reps_Start,MAX(Reps_Min_SN,ROUNDUP('Clients &amp; revenue'!U19/Clients_per_Rep,0)),0)</f>
        <v>2</v>
      </c>
      <c r="W71" s="33" t="n">
        <f aca="false">IF(W$3&gt;=Reps_Start,MAX(Reps_Min_SN,ROUNDUP('Clients &amp; revenue'!V19/Clients_per_Rep,0)),0)</f>
        <v>2</v>
      </c>
      <c r="X71" s="33" t="n">
        <f aca="false">IF(X$3&gt;=Reps_Start,MAX(Reps_Min_SN,ROUNDUP('Clients &amp; revenue'!W19/Clients_per_Rep,0)),0)</f>
        <v>3</v>
      </c>
      <c r="Y71" s="33" t="n">
        <f aca="false">IF(Y$3&gt;=Reps_Start,MAX(Reps_Min_SN,ROUNDUP('Clients &amp; revenue'!X19/Clients_per_Rep,0)),0)</f>
        <v>3</v>
      </c>
      <c r="Z71" s="33" t="n">
        <f aca="false">IF(Z$3&gt;=Reps_Start,MAX(Reps_Min_SN,ROUNDUP('Clients &amp; revenue'!Y19/Clients_per_Rep,0)),0)</f>
        <v>3</v>
      </c>
      <c r="AA71" s="33" t="n">
        <f aca="false">IF(AA$3&gt;=Reps_Start,MAX(Reps_Min_SN,ROUNDUP('Clients &amp; revenue'!Z19/Clients_per_Rep,0)),0)</f>
        <v>3</v>
      </c>
      <c r="AB71" s="33" t="n">
        <f aca="false">IF(AB$3&gt;=Reps_Start,MAX(Reps_Min_SN,ROUNDUP('Clients &amp; revenue'!AA19/Clients_per_Rep,0)),0)</f>
        <v>3</v>
      </c>
      <c r="AC71" s="33" t="n">
        <f aca="false">IF(AC$3&gt;=Reps_Start,MAX(Reps_Min_SN,ROUNDUP('Clients &amp; revenue'!AB19/Clients_per_Rep,0)),0)</f>
        <v>3</v>
      </c>
      <c r="AD71" s="33" t="n">
        <f aca="false">IF(AD$3&gt;=Reps_Start,MAX(Reps_Min_SN,ROUNDUP('Clients &amp; revenue'!AC19/Clients_per_Rep,0)),0)</f>
        <v>4</v>
      </c>
      <c r="AE71" s="33" t="n">
        <f aca="false">IF(AE$3&gt;=Reps_Start,MAX(Reps_Min_SN,ROUNDUP('Clients &amp; revenue'!AD19/Clients_per_Rep,0)),0)</f>
        <v>4</v>
      </c>
      <c r="AF71" s="33" t="n">
        <f aca="false">IF(AF$3&gt;=Reps_Start,MAX(Reps_Min_SN,ROUNDUP('Clients &amp; revenue'!AE19/Clients_per_Rep,0)),0)</f>
        <v>4</v>
      </c>
      <c r="AG71" s="33" t="n">
        <f aca="false">IF(AG$3&gt;=Reps_Start,MAX(Reps_Min_SN,ROUNDUP('Clients &amp; revenue'!AF19/Clients_per_Rep,0)),0)</f>
        <v>4</v>
      </c>
      <c r="AH71" s="33" t="n">
        <f aca="false">IF(AH$3&gt;=Reps_Start,MAX(Reps_Min_SN,ROUNDUP('Clients &amp; revenue'!AG19/Clients_per_Rep,0)),0)</f>
        <v>5</v>
      </c>
      <c r="AI71" s="33" t="n">
        <f aca="false">IF(AI$3&gt;=Reps_Start,MAX(Reps_Min_SN,ROUNDUP('Clients &amp; revenue'!AH19/Clients_per_Rep,0)),0)</f>
        <v>5</v>
      </c>
      <c r="AJ71" s="33" t="n">
        <f aca="false">IF(AJ$3&gt;=Reps_Start,MAX(Reps_Min_SN,ROUNDUP('Clients &amp; revenue'!AI19/Clients_per_Rep,0)),0)</f>
        <v>5</v>
      </c>
      <c r="AK71" s="33" t="n">
        <f aca="false">IF(AK$3&gt;=Reps_Start,MAX(Reps_Min_SN,ROUNDUP('Clients &amp; revenue'!AJ19/Clients_per_Rep,0)),0)</f>
        <v>5</v>
      </c>
      <c r="AL71" s="33" t="n">
        <f aca="false">IF(AL$3&gt;=Reps_Start,MAX(Reps_Min_SN,ROUNDUP('Clients &amp; revenue'!AK19/Clients_per_Rep,0)),0)</f>
        <v>6</v>
      </c>
      <c r="AM71" s="33" t="n">
        <f aca="false">IF(AM$3&gt;=Reps_Start,MAX(Reps_Min_SN,ROUNDUP('Clients &amp; revenue'!AL19/Clients_per_Rep,0)),0)</f>
        <v>6</v>
      </c>
      <c r="AN71" s="33" t="n">
        <f aca="false">IF(AN$3&gt;=Reps_Start,MAX(Reps_Min_SN,ROUNDUP('Clients &amp; revenue'!AM19/Clients_per_Rep,0)),0)</f>
        <v>6</v>
      </c>
      <c r="AO71" s="33" t="n">
        <f aca="false">IF(AO$3&gt;=Reps_Start,MAX(Reps_Min_SN,ROUNDUP('Clients &amp; revenue'!AN19/Clients_per_Rep,0)),0)</f>
        <v>7</v>
      </c>
      <c r="AP71" s="33" t="n">
        <f aca="false">IF(AP$3&gt;=Reps_Start,MAX(Reps_Min_SN,ROUNDUP('Clients &amp; revenue'!AO19/Clients_per_Rep,0)),0)</f>
        <v>7</v>
      </c>
      <c r="AQ71" s="33" t="n">
        <f aca="false">IF(AQ$3&gt;=Reps_Start,MAX(Reps_Min_SN,ROUNDUP('Clients &amp; revenue'!AP19/Clients_per_Rep,0)),0)</f>
        <v>7</v>
      </c>
      <c r="AR71" s="33" t="n">
        <f aca="false">IF(AR$3&gt;=Reps_Start,MAX(Reps_Min_SN,ROUNDUP('Clients &amp; revenue'!AQ19/Clients_per_Rep,0)),0)</f>
        <v>8</v>
      </c>
      <c r="AS71" s="33" t="n">
        <f aca="false">IF(AS$3&gt;=Reps_Start,MAX(Reps_Min_SN,ROUNDUP('Clients &amp; revenue'!AR19/Clients_per_Rep,0)),0)</f>
        <v>8</v>
      </c>
      <c r="AT71" s="33" t="n">
        <f aca="false">IF(AT$3&gt;=Reps_Start,MAX(Reps_Min_SN,ROUNDUP('Clients &amp; revenue'!AS19/Clients_per_Rep,0)),0)</f>
        <v>8</v>
      </c>
      <c r="AU71" s="33" t="n">
        <f aca="false">IF(AU$3&gt;=Reps_Start,MAX(Reps_Min_SN,ROUNDUP('Clients &amp; revenue'!AT19/Clients_per_Rep,0)),0)</f>
        <v>9</v>
      </c>
      <c r="AV71" s="33" t="n">
        <f aca="false">IF(AV$3&gt;=Reps_Start,MAX(Reps_Min_SN,ROUNDUP('Clients &amp; revenue'!AU19/Clients_per_Rep,0)),0)</f>
        <v>9</v>
      </c>
      <c r="AW71" s="33" t="n">
        <f aca="false">IF(AW$3&gt;=Reps_Start,MAX(Reps_Min_SN,ROUNDUP('Clients &amp; revenue'!AV19/Clients_per_Rep,0)),0)</f>
        <v>10</v>
      </c>
      <c r="AX71" s="33" t="n">
        <f aca="false">IF(AX$3&gt;=Reps_Start,MAX(Reps_Min_SN,ROUNDUP('Clients &amp; revenue'!AW19/Clients_per_Rep,0)),0)</f>
        <v>10</v>
      </c>
      <c r="AY71" s="33" t="n">
        <f aca="false">IF(AY$3&gt;=Reps_Start,MAX(Reps_Min_SN,ROUNDUP('Clients &amp; revenue'!AX19/Clients_per_Rep,0)),0)</f>
        <v>10</v>
      </c>
      <c r="AZ71" s="33" t="n">
        <f aca="false">IF(AZ$3&gt;=Reps_Start,MAX(Reps_Min_SN,ROUNDUP('Clients &amp; revenue'!AY19/Clients_per_Rep,0)),0)</f>
        <v>11</v>
      </c>
      <c r="BA71" s="33" t="n">
        <f aca="false">IF(BA$3&gt;=Reps_Start,MAX(Reps_Min_SN,ROUNDUP('Clients &amp; revenue'!AZ19/Clients_per_Rep,0)),0)</f>
        <v>11</v>
      </c>
      <c r="BB71" s="33" t="n">
        <f aca="false">IF(BB$3&gt;=Reps_Start,MAX(Reps_Min_SN,ROUNDUP('Clients &amp; revenue'!BA19/Clients_per_Rep,0)),0)</f>
        <v>12</v>
      </c>
      <c r="BC71" s="33" t="n">
        <f aca="false">IF(BC$3&gt;=Reps_Start,MAX(Reps_Min_SN,ROUNDUP('Clients &amp; revenue'!BB19/Clients_per_Rep,0)),0)</f>
        <v>12</v>
      </c>
      <c r="BD71" s="33" t="n">
        <f aca="false">IF(BD$3&gt;=Reps_Start,MAX(Reps_Min_SN,ROUNDUP('Clients &amp; revenue'!BC19/Clients_per_Rep,0)),0)</f>
        <v>12</v>
      </c>
      <c r="BE71" s="33" t="n">
        <f aca="false">IF(BE$3&gt;=Reps_Start,MAX(Reps_Min_SN,ROUNDUP('Clients &amp; revenue'!BD19/Clients_per_Rep,0)),0)</f>
        <v>13</v>
      </c>
      <c r="BF71" s="33" t="n">
        <f aca="false">IF(BF$3&gt;=Reps_Start,MAX(Reps_Min_SN,ROUNDUP('Clients &amp; revenue'!BE19/Clients_per_Rep,0)),0)</f>
        <v>13</v>
      </c>
      <c r="BG71" s="33" t="n">
        <f aca="false">IF(BG$3&gt;=Reps_Start,MAX(Reps_Min_SN,ROUNDUP('Clients &amp; revenue'!BF19/Clients_per_Rep,0)),0)</f>
        <v>14</v>
      </c>
      <c r="BH71" s="33" t="n">
        <f aca="false">IF(BH$3&gt;=Reps_Start,MAX(Reps_Min_SN,ROUNDUP('Clients &amp; revenue'!BG19/Clients_per_Rep,0)),0)</f>
        <v>14</v>
      </c>
      <c r="BI71" s="33" t="n">
        <f aca="false">IF(BI$3&gt;=Reps_Start,MAX(Reps_Min_SN,ROUNDUP('Clients &amp; revenue'!BH19/Clients_per_Rep,0)),0)</f>
        <v>15</v>
      </c>
      <c r="BJ71" s="33" t="n">
        <f aca="false">IF(BJ$3&gt;=Reps_Start,MAX(Reps_Min_SN,ROUNDUP('Clients &amp; revenue'!BI19/Clients_per_Rep,0)),0)</f>
        <v>15</v>
      </c>
      <c r="BK71" s="33" t="n">
        <f aca="false">IF(BK$3&gt;=Reps_Start,MAX(Reps_Min_SN,ROUNDUP('Clients &amp; revenue'!BJ19/Clients_per_Rep,0)),0)</f>
        <v>16</v>
      </c>
      <c r="BL71" s="33" t="n">
        <f aca="false">IF(BL$3&gt;=Reps_Start,MAX(Reps_Min_SN,ROUNDUP('Clients &amp; revenue'!BK19/Clients_per_Rep,0)),0)</f>
        <v>16</v>
      </c>
    </row>
    <row r="72" customFormat="false" ht="15" hidden="false" customHeight="true" outlineLevel="0" collapsed="false">
      <c r="A72" s="13" t="s">
        <v>1140</v>
      </c>
      <c r="B72" s="15" t="s">
        <v>92</v>
      </c>
      <c r="D72" s="56" t="n">
        <f aca="false">MAX(E72:BL72)</f>
        <v>8</v>
      </c>
      <c r="E72" s="33" t="n">
        <f aca="false">IF(E$3&gt;=CI_Office_Start,MAX(Reps_Min_CI,ROUNDUP(0/Clients_per_Rep,0)),0)</f>
        <v>0</v>
      </c>
      <c r="F72" s="33" t="n">
        <f aca="false">IF(F$3&gt;=CI_Office_Start,MAX(Reps_Min_CI,ROUNDUP('Clients &amp; revenue'!E20/Clients_per_Rep,0)),0)</f>
        <v>0</v>
      </c>
      <c r="G72" s="33" t="n">
        <f aca="false">IF(G$3&gt;=CI_Office_Start,MAX(Reps_Min_CI,ROUNDUP('Clients &amp; revenue'!F20/Clients_per_Rep,0)),0)</f>
        <v>0</v>
      </c>
      <c r="H72" s="33" t="n">
        <f aca="false">IF(H$3&gt;=CI_Office_Start,MAX(Reps_Min_CI,ROUNDUP('Clients &amp; revenue'!G20/Clients_per_Rep,0)),0)</f>
        <v>0</v>
      </c>
      <c r="I72" s="33" t="n">
        <f aca="false">IF(I$3&gt;=CI_Office_Start,MAX(Reps_Min_CI,ROUNDUP('Clients &amp; revenue'!H20/Clients_per_Rep,0)),0)</f>
        <v>0</v>
      </c>
      <c r="J72" s="33" t="n">
        <f aca="false">IF(J$3&gt;=CI_Office_Start,MAX(Reps_Min_CI,ROUNDUP('Clients &amp; revenue'!I20/Clients_per_Rep,0)),0)</f>
        <v>0</v>
      </c>
      <c r="K72" s="33" t="n">
        <f aca="false">IF(K$3&gt;=CI_Office_Start,MAX(Reps_Min_CI,ROUNDUP('Clients &amp; revenue'!J20/Clients_per_Rep,0)),0)</f>
        <v>0</v>
      </c>
      <c r="L72" s="33" t="n">
        <f aca="false">IF(L$3&gt;=CI_Office_Start,MAX(Reps_Min_CI,ROUNDUP('Clients &amp; revenue'!K20/Clients_per_Rep,0)),0)</f>
        <v>0</v>
      </c>
      <c r="M72" s="33" t="n">
        <f aca="false">IF(M$3&gt;=CI_Office_Start,MAX(Reps_Min_CI,ROUNDUP('Clients &amp; revenue'!L20/Clients_per_Rep,0)),0)</f>
        <v>0</v>
      </c>
      <c r="N72" s="33" t="n">
        <f aca="false">IF(N$3&gt;=CI_Office_Start,MAX(Reps_Min_CI,ROUNDUP('Clients &amp; revenue'!M20/Clients_per_Rep,0)),0)</f>
        <v>0</v>
      </c>
      <c r="O72" s="33" t="n">
        <f aca="false">IF(O$3&gt;=CI_Office_Start,MAX(Reps_Min_CI,ROUNDUP('Clients &amp; revenue'!N20/Clients_per_Rep,0)),0)</f>
        <v>0</v>
      </c>
      <c r="P72" s="33" t="n">
        <f aca="false">IF(P$3&gt;=CI_Office_Start,MAX(Reps_Min_CI,ROUNDUP('Clients &amp; revenue'!O20/Clients_per_Rep,0)),0)</f>
        <v>0</v>
      </c>
      <c r="Q72" s="33" t="n">
        <f aca="false">IF(Q$3&gt;=CI_Office_Start,MAX(Reps_Min_CI,ROUNDUP('Clients &amp; revenue'!P20/Clients_per_Rep,0)),0)</f>
        <v>0</v>
      </c>
      <c r="R72" s="33" t="n">
        <f aca="false">IF(R$3&gt;=CI_Office_Start,MAX(Reps_Min_CI,ROUNDUP('Clients &amp; revenue'!Q20/Clients_per_Rep,0)),0)</f>
        <v>0</v>
      </c>
      <c r="S72" s="33" t="n">
        <f aca="false">IF(S$3&gt;=CI_Office_Start,MAX(Reps_Min_CI,ROUNDUP('Clients &amp; revenue'!R20/Clients_per_Rep,0)),0)</f>
        <v>0</v>
      </c>
      <c r="T72" s="33" t="n">
        <f aca="false">IF(T$3&gt;=CI_Office_Start,MAX(Reps_Min_CI,ROUNDUP('Clients &amp; revenue'!S20/Clients_per_Rep,0)),0)</f>
        <v>0</v>
      </c>
      <c r="U72" s="33" t="n">
        <f aca="false">IF(U$3&gt;=CI_Office_Start,MAX(Reps_Min_CI,ROUNDUP('Clients &amp; revenue'!T20/Clients_per_Rep,0)),0)</f>
        <v>0</v>
      </c>
      <c r="V72" s="33" t="n">
        <f aca="false">IF(V$3&gt;=CI_Office_Start,MAX(Reps_Min_CI,ROUNDUP('Clients &amp; revenue'!U20/Clients_per_Rep,0)),0)</f>
        <v>2</v>
      </c>
      <c r="W72" s="33" t="n">
        <f aca="false">IF(W$3&gt;=CI_Office_Start,MAX(Reps_Min_CI,ROUNDUP('Clients &amp; revenue'!V20/Clients_per_Rep,0)),0)</f>
        <v>2</v>
      </c>
      <c r="X72" s="33" t="n">
        <f aca="false">IF(X$3&gt;=CI_Office_Start,MAX(Reps_Min_CI,ROUNDUP('Clients &amp; revenue'!W20/Clients_per_Rep,0)),0)</f>
        <v>2</v>
      </c>
      <c r="Y72" s="33" t="n">
        <f aca="false">IF(Y$3&gt;=CI_Office_Start,MAX(Reps_Min_CI,ROUNDUP('Clients &amp; revenue'!X20/Clients_per_Rep,0)),0)</f>
        <v>2</v>
      </c>
      <c r="Z72" s="33" t="n">
        <f aca="false">IF(Z$3&gt;=CI_Office_Start,MAX(Reps_Min_CI,ROUNDUP('Clients &amp; revenue'!Y20/Clients_per_Rep,0)),0)</f>
        <v>2</v>
      </c>
      <c r="AA72" s="33" t="n">
        <f aca="false">IF(AA$3&gt;=CI_Office_Start,MAX(Reps_Min_CI,ROUNDUP('Clients &amp; revenue'!Z20/Clients_per_Rep,0)),0)</f>
        <v>2</v>
      </c>
      <c r="AB72" s="33" t="n">
        <f aca="false">IF(AB$3&gt;=CI_Office_Start,MAX(Reps_Min_CI,ROUNDUP('Clients &amp; revenue'!AA20/Clients_per_Rep,0)),0)</f>
        <v>2</v>
      </c>
      <c r="AC72" s="33" t="n">
        <f aca="false">IF(AC$3&gt;=CI_Office_Start,MAX(Reps_Min_CI,ROUNDUP('Clients &amp; revenue'!AB20/Clients_per_Rep,0)),0)</f>
        <v>2</v>
      </c>
      <c r="AD72" s="33" t="n">
        <f aca="false">IF(AD$3&gt;=CI_Office_Start,MAX(Reps_Min_CI,ROUNDUP('Clients &amp; revenue'!AC20/Clients_per_Rep,0)),0)</f>
        <v>2</v>
      </c>
      <c r="AE72" s="33" t="n">
        <f aca="false">IF(AE$3&gt;=CI_Office_Start,MAX(Reps_Min_CI,ROUNDUP('Clients &amp; revenue'!AD20/Clients_per_Rep,0)),0)</f>
        <v>2</v>
      </c>
      <c r="AF72" s="33" t="n">
        <f aca="false">IF(AF$3&gt;=CI_Office_Start,MAX(Reps_Min_CI,ROUNDUP('Clients &amp; revenue'!AE20/Clients_per_Rep,0)),0)</f>
        <v>2</v>
      </c>
      <c r="AG72" s="33" t="n">
        <f aca="false">IF(AG$3&gt;=CI_Office_Start,MAX(Reps_Min_CI,ROUNDUP('Clients &amp; revenue'!AF20/Clients_per_Rep,0)),0)</f>
        <v>2</v>
      </c>
      <c r="AH72" s="33" t="n">
        <f aca="false">IF(AH$3&gt;=CI_Office_Start,MAX(Reps_Min_CI,ROUNDUP('Clients &amp; revenue'!AG20/Clients_per_Rep,0)),0)</f>
        <v>2</v>
      </c>
      <c r="AI72" s="33" t="n">
        <f aca="false">IF(AI$3&gt;=CI_Office_Start,MAX(Reps_Min_CI,ROUNDUP('Clients &amp; revenue'!AH20/Clients_per_Rep,0)),0)</f>
        <v>2</v>
      </c>
      <c r="AJ72" s="33" t="n">
        <f aca="false">IF(AJ$3&gt;=CI_Office_Start,MAX(Reps_Min_CI,ROUNDUP('Clients &amp; revenue'!AI20/Clients_per_Rep,0)),0)</f>
        <v>2</v>
      </c>
      <c r="AK72" s="33" t="n">
        <f aca="false">IF(AK$3&gt;=CI_Office_Start,MAX(Reps_Min_CI,ROUNDUP('Clients &amp; revenue'!AJ20/Clients_per_Rep,0)),0)</f>
        <v>2</v>
      </c>
      <c r="AL72" s="33" t="n">
        <f aca="false">IF(AL$3&gt;=CI_Office_Start,MAX(Reps_Min_CI,ROUNDUP('Clients &amp; revenue'!AK20/Clients_per_Rep,0)),0)</f>
        <v>2</v>
      </c>
      <c r="AM72" s="33" t="n">
        <f aca="false">IF(AM$3&gt;=CI_Office_Start,MAX(Reps_Min_CI,ROUNDUP('Clients &amp; revenue'!AL20/Clients_per_Rep,0)),0)</f>
        <v>2</v>
      </c>
      <c r="AN72" s="33" t="n">
        <f aca="false">IF(AN$3&gt;=CI_Office_Start,MAX(Reps_Min_CI,ROUNDUP('Clients &amp; revenue'!AM20/Clients_per_Rep,0)),0)</f>
        <v>3</v>
      </c>
      <c r="AO72" s="33" t="n">
        <f aca="false">IF(AO$3&gt;=CI_Office_Start,MAX(Reps_Min_CI,ROUNDUP('Clients &amp; revenue'!AN20/Clients_per_Rep,0)),0)</f>
        <v>3</v>
      </c>
      <c r="AP72" s="33" t="n">
        <f aca="false">IF(AP$3&gt;=CI_Office_Start,MAX(Reps_Min_CI,ROUNDUP('Clients &amp; revenue'!AO20/Clients_per_Rep,0)),0)</f>
        <v>3</v>
      </c>
      <c r="AQ72" s="33" t="n">
        <f aca="false">IF(AQ$3&gt;=CI_Office_Start,MAX(Reps_Min_CI,ROUNDUP('Clients &amp; revenue'!AP20/Clients_per_Rep,0)),0)</f>
        <v>3</v>
      </c>
      <c r="AR72" s="33" t="n">
        <f aca="false">IF(AR$3&gt;=CI_Office_Start,MAX(Reps_Min_CI,ROUNDUP('Clients &amp; revenue'!AQ20/Clients_per_Rep,0)),0)</f>
        <v>3</v>
      </c>
      <c r="AS72" s="33" t="n">
        <f aca="false">IF(AS$3&gt;=CI_Office_Start,MAX(Reps_Min_CI,ROUNDUP('Clients &amp; revenue'!AR20/Clients_per_Rep,0)),0)</f>
        <v>3</v>
      </c>
      <c r="AT72" s="33" t="n">
        <f aca="false">IF(AT$3&gt;=CI_Office_Start,MAX(Reps_Min_CI,ROUNDUP('Clients &amp; revenue'!AS20/Clients_per_Rep,0)),0)</f>
        <v>3</v>
      </c>
      <c r="AU72" s="33" t="n">
        <f aca="false">IF(AU$3&gt;=CI_Office_Start,MAX(Reps_Min_CI,ROUNDUP('Clients &amp; revenue'!AT20/Clients_per_Rep,0)),0)</f>
        <v>4</v>
      </c>
      <c r="AV72" s="33" t="n">
        <f aca="false">IF(AV$3&gt;=CI_Office_Start,MAX(Reps_Min_CI,ROUNDUP('Clients &amp; revenue'!AU20/Clients_per_Rep,0)),0)</f>
        <v>4</v>
      </c>
      <c r="AW72" s="33" t="n">
        <f aca="false">IF(AW$3&gt;=CI_Office_Start,MAX(Reps_Min_CI,ROUNDUP('Clients &amp; revenue'!AV20/Clients_per_Rep,0)),0)</f>
        <v>4</v>
      </c>
      <c r="AX72" s="33" t="n">
        <f aca="false">IF(AX$3&gt;=CI_Office_Start,MAX(Reps_Min_CI,ROUNDUP('Clients &amp; revenue'!AW20/Clients_per_Rep,0)),0)</f>
        <v>4</v>
      </c>
      <c r="AY72" s="33" t="n">
        <f aca="false">IF(AY$3&gt;=CI_Office_Start,MAX(Reps_Min_CI,ROUNDUP('Clients &amp; revenue'!AX20/Clients_per_Rep,0)),0)</f>
        <v>4</v>
      </c>
      <c r="AZ72" s="33" t="n">
        <f aca="false">IF(AZ$3&gt;=CI_Office_Start,MAX(Reps_Min_CI,ROUNDUP('Clients &amp; revenue'!AY20/Clients_per_Rep,0)),0)</f>
        <v>5</v>
      </c>
      <c r="BA72" s="33" t="n">
        <f aca="false">IF(BA$3&gt;=CI_Office_Start,MAX(Reps_Min_CI,ROUNDUP('Clients &amp; revenue'!AZ20/Clients_per_Rep,0)),0)</f>
        <v>5</v>
      </c>
      <c r="BB72" s="33" t="n">
        <f aca="false">IF(BB$3&gt;=CI_Office_Start,MAX(Reps_Min_CI,ROUNDUP('Clients &amp; revenue'!BA20/Clients_per_Rep,0)),0)</f>
        <v>5</v>
      </c>
      <c r="BC72" s="33" t="n">
        <f aca="false">IF(BC$3&gt;=CI_Office_Start,MAX(Reps_Min_CI,ROUNDUP('Clients &amp; revenue'!BB20/Clients_per_Rep,0)),0)</f>
        <v>5</v>
      </c>
      <c r="BD72" s="33" t="n">
        <f aca="false">IF(BD$3&gt;=CI_Office_Start,MAX(Reps_Min_CI,ROUNDUP('Clients &amp; revenue'!BC20/Clients_per_Rep,0)),0)</f>
        <v>6</v>
      </c>
      <c r="BE72" s="33" t="n">
        <f aca="false">IF(BE$3&gt;=CI_Office_Start,MAX(Reps_Min_CI,ROUNDUP('Clients &amp; revenue'!BD20/Clients_per_Rep,0)),0)</f>
        <v>6</v>
      </c>
      <c r="BF72" s="33" t="n">
        <f aca="false">IF(BF$3&gt;=CI_Office_Start,MAX(Reps_Min_CI,ROUNDUP('Clients &amp; revenue'!BE20/Clients_per_Rep,0)),0)</f>
        <v>6</v>
      </c>
      <c r="BG72" s="33" t="n">
        <f aca="false">IF(BG$3&gt;=CI_Office_Start,MAX(Reps_Min_CI,ROUNDUP('Clients &amp; revenue'!BF20/Clients_per_Rep,0)),0)</f>
        <v>6</v>
      </c>
      <c r="BH72" s="33" t="n">
        <f aca="false">IF(BH$3&gt;=CI_Office_Start,MAX(Reps_Min_CI,ROUNDUP('Clients &amp; revenue'!BG20/Clients_per_Rep,0)),0)</f>
        <v>7</v>
      </c>
      <c r="BI72" s="33" t="n">
        <f aca="false">IF(BI$3&gt;=CI_Office_Start,MAX(Reps_Min_CI,ROUNDUP('Clients &amp; revenue'!BH20/Clients_per_Rep,0)),0)</f>
        <v>7</v>
      </c>
      <c r="BJ72" s="33" t="n">
        <f aca="false">IF(BJ$3&gt;=CI_Office_Start,MAX(Reps_Min_CI,ROUNDUP('Clients &amp; revenue'!BI20/Clients_per_Rep,0)),0)</f>
        <v>7</v>
      </c>
      <c r="BK72" s="33" t="n">
        <f aca="false">IF(BK$3&gt;=CI_Office_Start,MAX(Reps_Min_CI,ROUNDUP('Clients &amp; revenue'!BJ20/Clients_per_Rep,0)),0)</f>
        <v>7</v>
      </c>
      <c r="BL72" s="33" t="n">
        <f aca="false">IF(BL$3&gt;=CI_Office_Start,MAX(Reps_Min_CI,ROUNDUP('Clients &amp; revenue'!BK20/Clients_per_Rep,0)),0)</f>
        <v>8</v>
      </c>
    </row>
    <row r="73" customFormat="false" ht="15" hidden="false" customHeight="true" outlineLevel="0" collapsed="false">
      <c r="A73" s="13" t="s">
        <v>1141</v>
      </c>
      <c r="B73" s="15" t="s">
        <v>92</v>
      </c>
      <c r="D73" s="56" t="n">
        <f aca="false">MAX(E73:BL73)</f>
        <v>8</v>
      </c>
      <c r="E73" s="33" t="n">
        <f aca="false">IF(E$3&gt;=MIN(Start_Factoring,Start_Bridge,Start_Line,Start_Term)-Credit_Lead_Months,MAX(1,ROUNDUP(0/Book_per_Credit,0)),0)</f>
        <v>0</v>
      </c>
      <c r="F73" s="33" t="n">
        <f aca="false">IF(F$3&gt;=MIN(Start_Factoring,Start_Bridge,Start_Line,Start_Term)-Credit_Lead_Months,MAX(1,ROUNDUP(Credit!E25/Book_per_Credit,0)),0)</f>
        <v>0</v>
      </c>
      <c r="G73" s="33" t="n">
        <f aca="false">IF(G$3&gt;=MIN(Start_Factoring,Start_Bridge,Start_Line,Start_Term)-Credit_Lead_Months,MAX(1,ROUNDUP(Credit!F25/Book_per_Credit,0)),0)</f>
        <v>0</v>
      </c>
      <c r="H73" s="33" t="n">
        <f aca="false">IF(H$3&gt;=MIN(Start_Factoring,Start_Bridge,Start_Line,Start_Term)-Credit_Lead_Months,MAX(1,ROUNDUP(Credit!G25/Book_per_Credit,0)),0)</f>
        <v>0</v>
      </c>
      <c r="I73" s="33" t="n">
        <f aca="false">IF(I$3&gt;=MIN(Start_Factoring,Start_Bridge,Start_Line,Start_Term)-Credit_Lead_Months,MAX(1,ROUNDUP(Credit!H25/Book_per_Credit,0)),0)</f>
        <v>0</v>
      </c>
      <c r="J73" s="33" t="n">
        <f aca="false">IF(J$3&gt;=MIN(Start_Factoring,Start_Bridge,Start_Line,Start_Term)-Credit_Lead_Months,MAX(1,ROUNDUP(Credit!I25/Book_per_Credit,0)),0)</f>
        <v>0</v>
      </c>
      <c r="K73" s="33" t="n">
        <f aca="false">IF(K$3&gt;=MIN(Start_Factoring,Start_Bridge,Start_Line,Start_Term)-Credit_Lead_Months,MAX(1,ROUNDUP(Credit!J25/Book_per_Credit,0)),0)</f>
        <v>0</v>
      </c>
      <c r="L73" s="33" t="n">
        <f aca="false">IF(L$3&gt;=MIN(Start_Factoring,Start_Bridge,Start_Line,Start_Term)-Credit_Lead_Months,MAX(1,ROUNDUP(Credit!K25/Book_per_Credit,0)),0)</f>
        <v>0</v>
      </c>
      <c r="M73" s="33" t="n">
        <f aca="false">IF(M$3&gt;=MIN(Start_Factoring,Start_Bridge,Start_Line,Start_Term)-Credit_Lead_Months,MAX(1,ROUNDUP(Credit!L25/Book_per_Credit,0)),0)</f>
        <v>0</v>
      </c>
      <c r="N73" s="33" t="n">
        <f aca="false">IF(N$3&gt;=MIN(Start_Factoring,Start_Bridge,Start_Line,Start_Term)-Credit_Lead_Months,MAX(1,ROUNDUP(Credit!M25/Book_per_Credit,0)),0)</f>
        <v>0</v>
      </c>
      <c r="O73" s="33" t="n">
        <f aca="false">IF(O$3&gt;=MIN(Start_Factoring,Start_Bridge,Start_Line,Start_Term)-Credit_Lead_Months,MAX(1,ROUNDUP(Credit!N25/Book_per_Credit,0)),0)</f>
        <v>0</v>
      </c>
      <c r="P73" s="33" t="n">
        <f aca="false">IF(P$3&gt;=MIN(Start_Factoring,Start_Bridge,Start_Line,Start_Term)-Credit_Lead_Months,MAX(1,ROUNDUP(Credit!O25/Book_per_Credit,0)),0)</f>
        <v>0</v>
      </c>
      <c r="Q73" s="33" t="n">
        <f aca="false">IF(Q$3&gt;=MIN(Start_Factoring,Start_Bridge,Start_Line,Start_Term)-Credit_Lead_Months,MAX(1,ROUNDUP(Credit!P25/Book_per_Credit,0)),0)</f>
        <v>0</v>
      </c>
      <c r="R73" s="33" t="n">
        <f aca="false">IF(R$3&gt;=MIN(Start_Factoring,Start_Bridge,Start_Line,Start_Term)-Credit_Lead_Months,MAX(1,ROUNDUP(Credit!Q25/Book_per_Credit,0)),0)</f>
        <v>0</v>
      </c>
      <c r="S73" s="33" t="n">
        <f aca="false">IF(S$3&gt;=MIN(Start_Factoring,Start_Bridge,Start_Line,Start_Term)-Credit_Lead_Months,MAX(1,ROUNDUP(Credit!R25/Book_per_Credit,0)),0)</f>
        <v>0</v>
      </c>
      <c r="T73" s="33" t="n">
        <f aca="false">IF(T$3&gt;=MIN(Start_Factoring,Start_Bridge,Start_Line,Start_Term)-Credit_Lead_Months,MAX(1,ROUNDUP(Credit!S25/Book_per_Credit,0)),0)</f>
        <v>1</v>
      </c>
      <c r="U73" s="33" t="n">
        <f aca="false">IF(U$3&gt;=MIN(Start_Factoring,Start_Bridge,Start_Line,Start_Term)-Credit_Lead_Months,MAX(1,ROUNDUP(Credit!T25/Book_per_Credit,0)),0)</f>
        <v>1</v>
      </c>
      <c r="V73" s="33" t="n">
        <f aca="false">IF(V$3&gt;=MIN(Start_Factoring,Start_Bridge,Start_Line,Start_Term)-Credit_Lead_Months,MAX(1,ROUNDUP(Credit!U25/Book_per_Credit,0)),0)</f>
        <v>1</v>
      </c>
      <c r="W73" s="33" t="n">
        <f aca="false">IF(W$3&gt;=MIN(Start_Factoring,Start_Bridge,Start_Line,Start_Term)-Credit_Lead_Months,MAX(1,ROUNDUP(Credit!V25/Book_per_Credit,0)),0)</f>
        <v>1</v>
      </c>
      <c r="X73" s="33" t="n">
        <f aca="false">IF(X$3&gt;=MIN(Start_Factoring,Start_Bridge,Start_Line,Start_Term)-Credit_Lead_Months,MAX(1,ROUNDUP(Credit!W25/Book_per_Credit,0)),0)</f>
        <v>1</v>
      </c>
      <c r="Y73" s="33" t="n">
        <f aca="false">IF(Y$3&gt;=MIN(Start_Factoring,Start_Bridge,Start_Line,Start_Term)-Credit_Lead_Months,MAX(1,ROUNDUP(Credit!X25/Book_per_Credit,0)),0)</f>
        <v>1</v>
      </c>
      <c r="Z73" s="33" t="n">
        <f aca="false">IF(Z$3&gt;=MIN(Start_Factoring,Start_Bridge,Start_Line,Start_Term)-Credit_Lead_Months,MAX(1,ROUNDUP(Credit!Y25/Book_per_Credit,0)),0)</f>
        <v>1</v>
      </c>
      <c r="AA73" s="33" t="n">
        <f aca="false">IF(AA$3&gt;=MIN(Start_Factoring,Start_Bridge,Start_Line,Start_Term)-Credit_Lead_Months,MAX(1,ROUNDUP(Credit!Z25/Book_per_Credit,0)),0)</f>
        <v>1</v>
      </c>
      <c r="AB73" s="33" t="n">
        <f aca="false">IF(AB$3&gt;=MIN(Start_Factoring,Start_Bridge,Start_Line,Start_Term)-Credit_Lead_Months,MAX(1,ROUNDUP(Credit!AA25/Book_per_Credit,0)),0)</f>
        <v>1</v>
      </c>
      <c r="AC73" s="33" t="n">
        <f aca="false">IF(AC$3&gt;=MIN(Start_Factoring,Start_Bridge,Start_Line,Start_Term)-Credit_Lead_Months,MAX(1,ROUNDUP(Credit!AB25/Book_per_Credit,0)),0)</f>
        <v>1</v>
      </c>
      <c r="AD73" s="33" t="n">
        <f aca="false">IF(AD$3&gt;=MIN(Start_Factoring,Start_Bridge,Start_Line,Start_Term)-Credit_Lead_Months,MAX(1,ROUNDUP(Credit!AC25/Book_per_Credit,0)),0)</f>
        <v>1</v>
      </c>
      <c r="AE73" s="33" t="n">
        <f aca="false">IF(AE$3&gt;=MIN(Start_Factoring,Start_Bridge,Start_Line,Start_Term)-Credit_Lead_Months,MAX(1,ROUNDUP(Credit!AD25/Book_per_Credit,0)),0)</f>
        <v>1</v>
      </c>
      <c r="AF73" s="33" t="n">
        <f aca="false">IF(AF$3&gt;=MIN(Start_Factoring,Start_Bridge,Start_Line,Start_Term)-Credit_Lead_Months,MAX(1,ROUNDUP(Credit!AE25/Book_per_Credit,0)),0)</f>
        <v>1</v>
      </c>
      <c r="AG73" s="33" t="n">
        <f aca="false">IF(AG$3&gt;=MIN(Start_Factoring,Start_Bridge,Start_Line,Start_Term)-Credit_Lead_Months,MAX(1,ROUNDUP(Credit!AF25/Book_per_Credit,0)),0)</f>
        <v>2</v>
      </c>
      <c r="AH73" s="33" t="n">
        <f aca="false">IF(AH$3&gt;=MIN(Start_Factoring,Start_Bridge,Start_Line,Start_Term)-Credit_Lead_Months,MAX(1,ROUNDUP(Credit!AG25/Book_per_Credit,0)),0)</f>
        <v>2</v>
      </c>
      <c r="AI73" s="33" t="n">
        <f aca="false">IF(AI$3&gt;=MIN(Start_Factoring,Start_Bridge,Start_Line,Start_Term)-Credit_Lead_Months,MAX(1,ROUNDUP(Credit!AH25/Book_per_Credit,0)),0)</f>
        <v>2</v>
      </c>
      <c r="AJ73" s="33" t="n">
        <f aca="false">IF(AJ$3&gt;=MIN(Start_Factoring,Start_Bridge,Start_Line,Start_Term)-Credit_Lead_Months,MAX(1,ROUNDUP(Credit!AI25/Book_per_Credit,0)),0)</f>
        <v>2</v>
      </c>
      <c r="AK73" s="33" t="n">
        <f aca="false">IF(AK$3&gt;=MIN(Start_Factoring,Start_Bridge,Start_Line,Start_Term)-Credit_Lead_Months,MAX(1,ROUNDUP(Credit!AJ25/Book_per_Credit,0)),0)</f>
        <v>2</v>
      </c>
      <c r="AL73" s="33" t="n">
        <f aca="false">IF(AL$3&gt;=MIN(Start_Factoring,Start_Bridge,Start_Line,Start_Term)-Credit_Lead_Months,MAX(1,ROUNDUP(Credit!AK25/Book_per_Credit,0)),0)</f>
        <v>3</v>
      </c>
      <c r="AM73" s="33" t="n">
        <f aca="false">IF(AM$3&gt;=MIN(Start_Factoring,Start_Bridge,Start_Line,Start_Term)-Credit_Lead_Months,MAX(1,ROUNDUP(Credit!AL25/Book_per_Credit,0)),0)</f>
        <v>3</v>
      </c>
      <c r="AN73" s="33" t="n">
        <f aca="false">IF(AN$3&gt;=MIN(Start_Factoring,Start_Bridge,Start_Line,Start_Term)-Credit_Lead_Months,MAX(1,ROUNDUP(Credit!AM25/Book_per_Credit,0)),0)</f>
        <v>3</v>
      </c>
      <c r="AO73" s="33" t="n">
        <f aca="false">IF(AO$3&gt;=MIN(Start_Factoring,Start_Bridge,Start_Line,Start_Term)-Credit_Lead_Months,MAX(1,ROUNDUP(Credit!AN25/Book_per_Credit,0)),0)</f>
        <v>3</v>
      </c>
      <c r="AP73" s="33" t="n">
        <f aca="false">IF(AP$3&gt;=MIN(Start_Factoring,Start_Bridge,Start_Line,Start_Term)-Credit_Lead_Months,MAX(1,ROUNDUP(Credit!AO25/Book_per_Credit,0)),0)</f>
        <v>3</v>
      </c>
      <c r="AQ73" s="33" t="n">
        <f aca="false">IF(AQ$3&gt;=MIN(Start_Factoring,Start_Bridge,Start_Line,Start_Term)-Credit_Lead_Months,MAX(1,ROUNDUP(Credit!AP25/Book_per_Credit,0)),0)</f>
        <v>4</v>
      </c>
      <c r="AR73" s="33" t="n">
        <f aca="false">IF(AR$3&gt;=MIN(Start_Factoring,Start_Bridge,Start_Line,Start_Term)-Credit_Lead_Months,MAX(1,ROUNDUP(Credit!AQ25/Book_per_Credit,0)),0)</f>
        <v>4</v>
      </c>
      <c r="AS73" s="33" t="n">
        <f aca="false">IF(AS$3&gt;=MIN(Start_Factoring,Start_Bridge,Start_Line,Start_Term)-Credit_Lead_Months,MAX(1,ROUNDUP(Credit!AR25/Book_per_Credit,0)),0)</f>
        <v>4</v>
      </c>
      <c r="AT73" s="33" t="n">
        <f aca="false">IF(AT$3&gt;=MIN(Start_Factoring,Start_Bridge,Start_Line,Start_Term)-Credit_Lead_Months,MAX(1,ROUNDUP(Credit!AS25/Book_per_Credit,0)),0)</f>
        <v>4</v>
      </c>
      <c r="AU73" s="33" t="n">
        <f aca="false">IF(AU$3&gt;=MIN(Start_Factoring,Start_Bridge,Start_Line,Start_Term)-Credit_Lead_Months,MAX(1,ROUNDUP(Credit!AT25/Book_per_Credit,0)),0)</f>
        <v>4</v>
      </c>
      <c r="AV73" s="33" t="n">
        <f aca="false">IF(AV$3&gt;=MIN(Start_Factoring,Start_Bridge,Start_Line,Start_Term)-Credit_Lead_Months,MAX(1,ROUNDUP(Credit!AU25/Book_per_Credit,0)),0)</f>
        <v>4</v>
      </c>
      <c r="AW73" s="33" t="n">
        <f aca="false">IF(AW$3&gt;=MIN(Start_Factoring,Start_Bridge,Start_Line,Start_Term)-Credit_Lead_Months,MAX(1,ROUNDUP(Credit!AV25/Book_per_Credit,0)),0)</f>
        <v>5</v>
      </c>
      <c r="AX73" s="33" t="n">
        <f aca="false">IF(AX$3&gt;=MIN(Start_Factoring,Start_Bridge,Start_Line,Start_Term)-Credit_Lead_Months,MAX(1,ROUNDUP(Credit!AW25/Book_per_Credit,0)),0)</f>
        <v>5</v>
      </c>
      <c r="AY73" s="33" t="n">
        <f aca="false">IF(AY$3&gt;=MIN(Start_Factoring,Start_Bridge,Start_Line,Start_Term)-Credit_Lead_Months,MAX(1,ROUNDUP(Credit!AX25/Book_per_Credit,0)),0)</f>
        <v>5</v>
      </c>
      <c r="AZ73" s="33" t="n">
        <f aca="false">IF(AZ$3&gt;=MIN(Start_Factoring,Start_Bridge,Start_Line,Start_Term)-Credit_Lead_Months,MAX(1,ROUNDUP(Credit!AY25/Book_per_Credit,0)),0)</f>
        <v>5</v>
      </c>
      <c r="BA73" s="33" t="n">
        <f aca="false">IF(BA$3&gt;=MIN(Start_Factoring,Start_Bridge,Start_Line,Start_Term)-Credit_Lead_Months,MAX(1,ROUNDUP(Credit!AZ25/Book_per_Credit,0)),0)</f>
        <v>5</v>
      </c>
      <c r="BB73" s="33" t="n">
        <f aca="false">IF(BB$3&gt;=MIN(Start_Factoring,Start_Bridge,Start_Line,Start_Term)-Credit_Lead_Months,MAX(1,ROUNDUP(Credit!BA25/Book_per_Credit,0)),0)</f>
        <v>6</v>
      </c>
      <c r="BC73" s="33" t="n">
        <f aca="false">IF(BC$3&gt;=MIN(Start_Factoring,Start_Bridge,Start_Line,Start_Term)-Credit_Lead_Months,MAX(1,ROUNDUP(Credit!BB25/Book_per_Credit,0)),0)</f>
        <v>6</v>
      </c>
      <c r="BD73" s="33" t="n">
        <f aca="false">IF(BD$3&gt;=MIN(Start_Factoring,Start_Bridge,Start_Line,Start_Term)-Credit_Lead_Months,MAX(1,ROUNDUP(Credit!BC25/Book_per_Credit,0)),0)</f>
        <v>6</v>
      </c>
      <c r="BE73" s="33" t="n">
        <f aca="false">IF(BE$3&gt;=MIN(Start_Factoring,Start_Bridge,Start_Line,Start_Term)-Credit_Lead_Months,MAX(1,ROUNDUP(Credit!BD25/Book_per_Credit,0)),0)</f>
        <v>6</v>
      </c>
      <c r="BF73" s="33" t="n">
        <f aca="false">IF(BF$3&gt;=MIN(Start_Factoring,Start_Bridge,Start_Line,Start_Term)-Credit_Lead_Months,MAX(1,ROUNDUP(Credit!BE25/Book_per_Credit,0)),0)</f>
        <v>7</v>
      </c>
      <c r="BG73" s="33" t="n">
        <f aca="false">IF(BG$3&gt;=MIN(Start_Factoring,Start_Bridge,Start_Line,Start_Term)-Credit_Lead_Months,MAX(1,ROUNDUP(Credit!BF25/Book_per_Credit,0)),0)</f>
        <v>7</v>
      </c>
      <c r="BH73" s="33" t="n">
        <f aca="false">IF(BH$3&gt;=MIN(Start_Factoring,Start_Bridge,Start_Line,Start_Term)-Credit_Lead_Months,MAX(1,ROUNDUP(Credit!BG25/Book_per_Credit,0)),0)</f>
        <v>7</v>
      </c>
      <c r="BI73" s="33" t="n">
        <f aca="false">IF(BI$3&gt;=MIN(Start_Factoring,Start_Bridge,Start_Line,Start_Term)-Credit_Lead_Months,MAX(1,ROUNDUP(Credit!BH25/Book_per_Credit,0)),0)</f>
        <v>7</v>
      </c>
      <c r="BJ73" s="33" t="n">
        <f aca="false">IF(BJ$3&gt;=MIN(Start_Factoring,Start_Bridge,Start_Line,Start_Term)-Credit_Lead_Months,MAX(1,ROUNDUP(Credit!BI25/Book_per_Credit,0)),0)</f>
        <v>8</v>
      </c>
      <c r="BK73" s="33" t="n">
        <f aca="false">IF(BK$3&gt;=MIN(Start_Factoring,Start_Bridge,Start_Line,Start_Term)-Credit_Lead_Months,MAX(1,ROUNDUP(Credit!BJ25/Book_per_Credit,0)),0)</f>
        <v>8</v>
      </c>
      <c r="BL73" s="33" t="n">
        <f aca="false">IF(BL$3&gt;=MIN(Start_Factoring,Start_Bridge,Start_Line,Start_Term)-Credit_Lead_Months,MAX(1,ROUNDUP(Credit!BK25/Book_per_Credit,0)),0)</f>
        <v>8</v>
      </c>
    </row>
    <row r="74" customFormat="false" ht="15" hidden="false" customHeight="true" outlineLevel="0" collapsed="false">
      <c r="A74" s="13" t="s">
        <v>1142</v>
      </c>
      <c r="B74" s="15" t="s">
        <v>77</v>
      </c>
      <c r="D74" s="56" t="n">
        <f aca="false">SUM(E74:BL74)</f>
        <v>250801974.15</v>
      </c>
      <c r="E74" s="33" t="n">
        <f aca="false">E69*Salary_Support*(1+Employer_Charges)*(1+Salary_Raise)^(E$5-1)</f>
        <v>0</v>
      </c>
      <c r="F74" s="33" t="n">
        <f aca="false">F69*Salary_Support*(1+Employer_Charges)*(1+Salary_Raise)^(F$5-1)</f>
        <v>0</v>
      </c>
      <c r="G74" s="33" t="n">
        <f aca="false">G69*Salary_Support*(1+Employer_Charges)*(1+Salary_Raise)^(G$5-1)</f>
        <v>0</v>
      </c>
      <c r="H74" s="33" t="n">
        <f aca="false">H69*Salary_Support*(1+Employer_Charges)*(1+Salary_Raise)^(H$5-1)</f>
        <v>728000</v>
      </c>
      <c r="I74" s="33" t="n">
        <f aca="false">I69*Salary_Support*(1+Employer_Charges)*(1+Salary_Raise)^(I$5-1)</f>
        <v>728000</v>
      </c>
      <c r="J74" s="33" t="n">
        <f aca="false">J69*Salary_Support*(1+Employer_Charges)*(1+Salary_Raise)^(J$5-1)</f>
        <v>728000</v>
      </c>
      <c r="K74" s="33" t="n">
        <f aca="false">K69*Salary_Support*(1+Employer_Charges)*(1+Salary_Raise)^(K$5-1)</f>
        <v>728000</v>
      </c>
      <c r="L74" s="33" t="n">
        <f aca="false">L69*Salary_Support*(1+Employer_Charges)*(1+Salary_Raise)^(L$5-1)</f>
        <v>728000</v>
      </c>
      <c r="M74" s="33" t="n">
        <f aca="false">M69*Salary_Support*(1+Employer_Charges)*(1+Salary_Raise)^(M$5-1)</f>
        <v>728000</v>
      </c>
      <c r="N74" s="33" t="n">
        <f aca="false">N69*Salary_Support*(1+Employer_Charges)*(1+Salary_Raise)^(N$5-1)</f>
        <v>728000</v>
      </c>
      <c r="O74" s="33" t="n">
        <f aca="false">O69*Salary_Support*(1+Employer_Charges)*(1+Salary_Raise)^(O$5-1)</f>
        <v>728000</v>
      </c>
      <c r="P74" s="33" t="n">
        <f aca="false">P69*Salary_Support*(1+Employer_Charges)*(1+Salary_Raise)^(P$5-1)</f>
        <v>728000</v>
      </c>
      <c r="Q74" s="33" t="n">
        <f aca="false">Q69*Salary_Support*(1+Employer_Charges)*(1+Salary_Raise)^(Q$5-1)</f>
        <v>764400</v>
      </c>
      <c r="R74" s="33" t="n">
        <f aca="false">R69*Salary_Support*(1+Employer_Charges)*(1+Salary_Raise)^(R$5-1)</f>
        <v>764400</v>
      </c>
      <c r="S74" s="33" t="n">
        <f aca="false">S69*Salary_Support*(1+Employer_Charges)*(1+Salary_Raise)^(S$5-1)</f>
        <v>764400</v>
      </c>
      <c r="T74" s="33" t="n">
        <f aca="false">T69*Salary_Support*(1+Employer_Charges)*(1+Salary_Raise)^(T$5-1)</f>
        <v>764400</v>
      </c>
      <c r="U74" s="33" t="n">
        <f aca="false">U69*Salary_Support*(1+Employer_Charges)*(1+Salary_Raise)^(U$5-1)</f>
        <v>764400</v>
      </c>
      <c r="V74" s="33" t="n">
        <f aca="false">V69*Salary_Support*(1+Employer_Charges)*(1+Salary_Raise)^(V$5-1)</f>
        <v>764400</v>
      </c>
      <c r="W74" s="33" t="n">
        <f aca="false">W69*Salary_Support*(1+Employer_Charges)*(1+Salary_Raise)^(W$5-1)</f>
        <v>764400</v>
      </c>
      <c r="X74" s="33" t="n">
        <f aca="false">X69*Salary_Support*(1+Employer_Charges)*(1+Salary_Raise)^(X$5-1)</f>
        <v>764400</v>
      </c>
      <c r="Y74" s="33" t="n">
        <f aca="false">Y69*Salary_Support*(1+Employer_Charges)*(1+Salary_Raise)^(Y$5-1)</f>
        <v>1146600</v>
      </c>
      <c r="Z74" s="33" t="n">
        <f aca="false">Z69*Salary_Support*(1+Employer_Charges)*(1+Salary_Raise)^(Z$5-1)</f>
        <v>1146600</v>
      </c>
      <c r="AA74" s="33" t="n">
        <f aca="false">AA69*Salary_Support*(1+Employer_Charges)*(1+Salary_Raise)^(AA$5-1)</f>
        <v>1146600</v>
      </c>
      <c r="AB74" s="33" t="n">
        <f aca="false">AB69*Salary_Support*(1+Employer_Charges)*(1+Salary_Raise)^(AB$5-1)</f>
        <v>1146600</v>
      </c>
      <c r="AC74" s="33" t="n">
        <f aca="false">AC69*Salary_Support*(1+Employer_Charges)*(1+Salary_Raise)^(AC$5-1)</f>
        <v>1605240</v>
      </c>
      <c r="AD74" s="33" t="n">
        <f aca="false">AD69*Salary_Support*(1+Employer_Charges)*(1+Salary_Raise)^(AD$5-1)</f>
        <v>1605240</v>
      </c>
      <c r="AE74" s="33" t="n">
        <f aca="false">AE69*Salary_Support*(1+Employer_Charges)*(1+Salary_Raise)^(AE$5-1)</f>
        <v>1605240</v>
      </c>
      <c r="AF74" s="33" t="n">
        <f aca="false">AF69*Salary_Support*(1+Employer_Charges)*(1+Salary_Raise)^(AF$5-1)</f>
        <v>2006550</v>
      </c>
      <c r="AG74" s="33" t="n">
        <f aca="false">AG69*Salary_Support*(1+Employer_Charges)*(1+Salary_Raise)^(AG$5-1)</f>
        <v>2809170</v>
      </c>
      <c r="AH74" s="33" t="n">
        <f aca="false">AH69*Salary_Support*(1+Employer_Charges)*(1+Salary_Raise)^(AH$5-1)</f>
        <v>2809170</v>
      </c>
      <c r="AI74" s="33" t="n">
        <f aca="false">AI69*Salary_Support*(1+Employer_Charges)*(1+Salary_Raise)^(AI$5-1)</f>
        <v>3210480</v>
      </c>
      <c r="AJ74" s="33" t="n">
        <f aca="false">AJ69*Salary_Support*(1+Employer_Charges)*(1+Salary_Raise)^(AJ$5-1)</f>
        <v>3210480</v>
      </c>
      <c r="AK74" s="33" t="n">
        <f aca="false">AK69*Salary_Support*(1+Employer_Charges)*(1+Salary_Raise)^(AK$5-1)</f>
        <v>3611790</v>
      </c>
      <c r="AL74" s="33" t="n">
        <f aca="false">AL69*Salary_Support*(1+Employer_Charges)*(1+Salary_Raise)^(AL$5-1)</f>
        <v>3611790</v>
      </c>
      <c r="AM74" s="33" t="n">
        <f aca="false">AM69*Salary_Support*(1+Employer_Charges)*(1+Salary_Raise)^(AM$5-1)</f>
        <v>4013100</v>
      </c>
      <c r="AN74" s="33" t="n">
        <f aca="false">AN69*Salary_Support*(1+Employer_Charges)*(1+Salary_Raise)^(AN$5-1)</f>
        <v>4013100</v>
      </c>
      <c r="AO74" s="33" t="n">
        <f aca="false">AO69*Salary_Support*(1+Employer_Charges)*(1+Salary_Raise)^(AO$5-1)</f>
        <v>4635130.5</v>
      </c>
      <c r="AP74" s="33" t="n">
        <f aca="false">AP69*Salary_Support*(1+Employer_Charges)*(1+Salary_Raise)^(AP$5-1)</f>
        <v>4635130.5</v>
      </c>
      <c r="AQ74" s="33" t="n">
        <f aca="false">AQ69*Salary_Support*(1+Employer_Charges)*(1+Salary_Raise)^(AQ$5-1)</f>
        <v>5056506</v>
      </c>
      <c r="AR74" s="33" t="n">
        <f aca="false">AR69*Salary_Support*(1+Employer_Charges)*(1+Salary_Raise)^(AR$5-1)</f>
        <v>5477881.5</v>
      </c>
      <c r="AS74" s="33" t="n">
        <f aca="false">AS69*Salary_Support*(1+Employer_Charges)*(1+Salary_Raise)^(AS$5-1)</f>
        <v>5477881.5</v>
      </c>
      <c r="AT74" s="33" t="n">
        <f aca="false">AT69*Salary_Support*(1+Employer_Charges)*(1+Salary_Raise)^(AT$5-1)</f>
        <v>5899257</v>
      </c>
      <c r="AU74" s="33" t="n">
        <f aca="false">AU69*Salary_Support*(1+Employer_Charges)*(1+Salary_Raise)^(AU$5-1)</f>
        <v>6320632.5</v>
      </c>
      <c r="AV74" s="33" t="n">
        <f aca="false">AV69*Salary_Support*(1+Employer_Charges)*(1+Salary_Raise)^(AV$5-1)</f>
        <v>6320632.5</v>
      </c>
      <c r="AW74" s="33" t="n">
        <f aca="false">AW69*Salary_Support*(1+Employer_Charges)*(1+Salary_Raise)^(AW$5-1)</f>
        <v>6742008</v>
      </c>
      <c r="AX74" s="33" t="n">
        <f aca="false">AX69*Salary_Support*(1+Employer_Charges)*(1+Salary_Raise)^(AX$5-1)</f>
        <v>7163383.5</v>
      </c>
      <c r="AY74" s="33" t="n">
        <f aca="false">AY69*Salary_Support*(1+Employer_Charges)*(1+Salary_Raise)^(AY$5-1)</f>
        <v>7584759</v>
      </c>
      <c r="AZ74" s="33" t="n">
        <f aca="false">AZ69*Salary_Support*(1+Employer_Charges)*(1+Salary_Raise)^(AZ$5-1)</f>
        <v>7584759</v>
      </c>
      <c r="BA74" s="33" t="n">
        <f aca="false">BA69*Salary_Support*(1+Employer_Charges)*(1+Salary_Raise)^(BA$5-1)</f>
        <v>8406441.225</v>
      </c>
      <c r="BB74" s="33" t="n">
        <f aca="false">BB69*Salary_Support*(1+Employer_Charges)*(1+Salary_Raise)^(BB$5-1)</f>
        <v>8848885.5</v>
      </c>
      <c r="BC74" s="33" t="n">
        <f aca="false">BC69*Salary_Support*(1+Employer_Charges)*(1+Salary_Raise)^(BC$5-1)</f>
        <v>9291329.775</v>
      </c>
      <c r="BD74" s="33" t="n">
        <f aca="false">BD69*Salary_Support*(1+Employer_Charges)*(1+Salary_Raise)^(BD$5-1)</f>
        <v>9733774.05</v>
      </c>
      <c r="BE74" s="33" t="n">
        <f aca="false">BE69*Salary_Support*(1+Employer_Charges)*(1+Salary_Raise)^(BE$5-1)</f>
        <v>9733774.05</v>
      </c>
      <c r="BF74" s="33" t="n">
        <f aca="false">BF69*Salary_Support*(1+Employer_Charges)*(1+Salary_Raise)^(BF$5-1)</f>
        <v>10176218.325</v>
      </c>
      <c r="BG74" s="33" t="n">
        <f aca="false">BG69*Salary_Support*(1+Employer_Charges)*(1+Salary_Raise)^(BG$5-1)</f>
        <v>10618662.6</v>
      </c>
      <c r="BH74" s="33" t="n">
        <f aca="false">BH69*Salary_Support*(1+Employer_Charges)*(1+Salary_Raise)^(BH$5-1)</f>
        <v>11061106.875</v>
      </c>
      <c r="BI74" s="33" t="n">
        <f aca="false">BI69*Salary_Support*(1+Employer_Charges)*(1+Salary_Raise)^(BI$5-1)</f>
        <v>11503551.15</v>
      </c>
      <c r="BJ74" s="33" t="n">
        <f aca="false">BJ69*Salary_Support*(1+Employer_Charges)*(1+Salary_Raise)^(BJ$5-1)</f>
        <v>11945995.425</v>
      </c>
      <c r="BK74" s="33" t="n">
        <f aca="false">BK69*Salary_Support*(1+Employer_Charges)*(1+Salary_Raise)^(BK$5-1)</f>
        <v>12388439.7</v>
      </c>
      <c r="BL74" s="33" t="n">
        <f aca="false">BL69*Salary_Support*(1+Employer_Charges)*(1+Salary_Raise)^(BL$5-1)</f>
        <v>12830883.975</v>
      </c>
    </row>
    <row r="75" customFormat="false" ht="15" hidden="false" customHeight="true" outlineLevel="0" collapsed="false">
      <c r="A75" s="13" t="s">
        <v>1143</v>
      </c>
      <c r="B75" s="15" t="s">
        <v>77</v>
      </c>
      <c r="D75" s="56" t="n">
        <f aca="false">SUM(E75:BL75)</f>
        <v>338026308.75</v>
      </c>
      <c r="E75" s="33" t="n">
        <f aca="false">E70*Salary_Dev*(1+Employer_Charges)*(1+Salary_Raise)^(E$5-1)</f>
        <v>3120000</v>
      </c>
      <c r="F75" s="33" t="n">
        <f aca="false">F70*Salary_Dev*(1+Employer_Charges)*(1+Salary_Raise)^(F$5-1)</f>
        <v>3120000</v>
      </c>
      <c r="G75" s="33" t="n">
        <f aca="false">G70*Salary_Dev*(1+Employer_Charges)*(1+Salary_Raise)^(G$5-1)</f>
        <v>3120000</v>
      </c>
      <c r="H75" s="33" t="n">
        <f aca="false">H70*Salary_Dev*(1+Employer_Charges)*(1+Salary_Raise)^(H$5-1)</f>
        <v>3120000</v>
      </c>
      <c r="I75" s="33" t="n">
        <f aca="false">I70*Salary_Dev*(1+Employer_Charges)*(1+Salary_Raise)^(I$5-1)</f>
        <v>3120000</v>
      </c>
      <c r="J75" s="33" t="n">
        <f aca="false">J70*Salary_Dev*(1+Employer_Charges)*(1+Salary_Raise)^(J$5-1)</f>
        <v>3120000</v>
      </c>
      <c r="K75" s="33" t="n">
        <f aca="false">K70*Salary_Dev*(1+Employer_Charges)*(1+Salary_Raise)^(K$5-1)</f>
        <v>3120000</v>
      </c>
      <c r="L75" s="33" t="n">
        <f aca="false">L70*Salary_Dev*(1+Employer_Charges)*(1+Salary_Raise)^(L$5-1)</f>
        <v>3120000</v>
      </c>
      <c r="M75" s="33" t="n">
        <f aca="false">M70*Salary_Dev*(1+Employer_Charges)*(1+Salary_Raise)^(M$5-1)</f>
        <v>3120000</v>
      </c>
      <c r="N75" s="33" t="n">
        <f aca="false">N70*Salary_Dev*(1+Employer_Charges)*(1+Salary_Raise)^(N$5-1)</f>
        <v>3120000</v>
      </c>
      <c r="O75" s="33" t="n">
        <f aca="false">O70*Salary_Dev*(1+Employer_Charges)*(1+Salary_Raise)^(O$5-1)</f>
        <v>3120000</v>
      </c>
      <c r="P75" s="33" t="n">
        <f aca="false">P70*Salary_Dev*(1+Employer_Charges)*(1+Salary_Raise)^(P$5-1)</f>
        <v>3120000</v>
      </c>
      <c r="Q75" s="33" t="n">
        <f aca="false">Q70*Salary_Dev*(1+Employer_Charges)*(1+Salary_Raise)^(Q$5-1)</f>
        <v>3276000</v>
      </c>
      <c r="R75" s="33" t="n">
        <f aca="false">R70*Salary_Dev*(1+Employer_Charges)*(1+Salary_Raise)^(R$5-1)</f>
        <v>3276000</v>
      </c>
      <c r="S75" s="33" t="n">
        <f aca="false">S70*Salary_Dev*(1+Employer_Charges)*(1+Salary_Raise)^(S$5-1)</f>
        <v>3276000</v>
      </c>
      <c r="T75" s="33" t="n">
        <f aca="false">T70*Salary_Dev*(1+Employer_Charges)*(1+Salary_Raise)^(T$5-1)</f>
        <v>3276000</v>
      </c>
      <c r="U75" s="33" t="n">
        <f aca="false">U70*Salary_Dev*(1+Employer_Charges)*(1+Salary_Raise)^(U$5-1)</f>
        <v>3276000</v>
      </c>
      <c r="V75" s="33" t="n">
        <f aca="false">V70*Salary_Dev*(1+Employer_Charges)*(1+Salary_Raise)^(V$5-1)</f>
        <v>3276000</v>
      </c>
      <c r="W75" s="33" t="n">
        <f aca="false">W70*Salary_Dev*(1+Employer_Charges)*(1+Salary_Raise)^(W$5-1)</f>
        <v>3276000</v>
      </c>
      <c r="X75" s="33" t="n">
        <f aca="false">X70*Salary_Dev*(1+Employer_Charges)*(1+Salary_Raise)^(X$5-1)</f>
        <v>3276000</v>
      </c>
      <c r="Y75" s="33" t="n">
        <f aca="false">Y70*Salary_Dev*(1+Employer_Charges)*(1+Salary_Raise)^(Y$5-1)</f>
        <v>3276000</v>
      </c>
      <c r="Z75" s="33" t="n">
        <f aca="false">Z70*Salary_Dev*(1+Employer_Charges)*(1+Salary_Raise)^(Z$5-1)</f>
        <v>3276000</v>
      </c>
      <c r="AA75" s="33" t="n">
        <f aca="false">AA70*Salary_Dev*(1+Employer_Charges)*(1+Salary_Raise)^(AA$5-1)</f>
        <v>3276000</v>
      </c>
      <c r="AB75" s="33" t="n">
        <f aca="false">AB70*Salary_Dev*(1+Employer_Charges)*(1+Salary_Raise)^(AB$5-1)</f>
        <v>3276000</v>
      </c>
      <c r="AC75" s="33" t="n">
        <f aca="false">AC70*Salary_Dev*(1+Employer_Charges)*(1+Salary_Raise)^(AC$5-1)</f>
        <v>3439800</v>
      </c>
      <c r="AD75" s="33" t="n">
        <f aca="false">AD70*Salary_Dev*(1+Employer_Charges)*(1+Salary_Raise)^(AD$5-1)</f>
        <v>3439800</v>
      </c>
      <c r="AE75" s="33" t="n">
        <f aca="false">AE70*Salary_Dev*(1+Employer_Charges)*(1+Salary_Raise)^(AE$5-1)</f>
        <v>3439800</v>
      </c>
      <c r="AF75" s="33" t="n">
        <f aca="false">AF70*Salary_Dev*(1+Employer_Charges)*(1+Salary_Raise)^(AF$5-1)</f>
        <v>5159700</v>
      </c>
      <c r="AG75" s="33" t="n">
        <f aca="false">AG70*Salary_Dev*(1+Employer_Charges)*(1+Salary_Raise)^(AG$5-1)</f>
        <v>5159700</v>
      </c>
      <c r="AH75" s="33" t="n">
        <f aca="false">AH70*Salary_Dev*(1+Employer_Charges)*(1+Salary_Raise)^(AH$5-1)</f>
        <v>5159700</v>
      </c>
      <c r="AI75" s="33" t="n">
        <f aca="false">AI70*Salary_Dev*(1+Employer_Charges)*(1+Salary_Raise)^(AI$5-1)</f>
        <v>5159700</v>
      </c>
      <c r="AJ75" s="33" t="n">
        <f aca="false">AJ70*Salary_Dev*(1+Employer_Charges)*(1+Salary_Raise)^(AJ$5-1)</f>
        <v>5159700</v>
      </c>
      <c r="AK75" s="33" t="n">
        <f aca="false">AK70*Salary_Dev*(1+Employer_Charges)*(1+Salary_Raise)^(AK$5-1)</f>
        <v>5159700</v>
      </c>
      <c r="AL75" s="33" t="n">
        <f aca="false">AL70*Salary_Dev*(1+Employer_Charges)*(1+Salary_Raise)^(AL$5-1)</f>
        <v>5159700</v>
      </c>
      <c r="AM75" s="33" t="n">
        <f aca="false">AM70*Salary_Dev*(1+Employer_Charges)*(1+Salary_Raise)^(AM$5-1)</f>
        <v>5159700</v>
      </c>
      <c r="AN75" s="33" t="n">
        <f aca="false">AN70*Salary_Dev*(1+Employer_Charges)*(1+Salary_Raise)^(AN$5-1)</f>
        <v>5159700</v>
      </c>
      <c r="AO75" s="33" t="n">
        <f aca="false">AO70*Salary_Dev*(1+Employer_Charges)*(1+Salary_Raise)^(AO$5-1)</f>
        <v>5417685</v>
      </c>
      <c r="AP75" s="33" t="n">
        <f aca="false">AP70*Salary_Dev*(1+Employer_Charges)*(1+Salary_Raise)^(AP$5-1)</f>
        <v>5417685</v>
      </c>
      <c r="AQ75" s="33" t="n">
        <f aca="false">AQ70*Salary_Dev*(1+Employer_Charges)*(1+Salary_Raise)^(AQ$5-1)</f>
        <v>5417685</v>
      </c>
      <c r="AR75" s="33" t="n">
        <f aca="false">AR70*Salary_Dev*(1+Employer_Charges)*(1+Salary_Raise)^(AR$5-1)</f>
        <v>7223580</v>
      </c>
      <c r="AS75" s="33" t="n">
        <f aca="false">AS70*Salary_Dev*(1+Employer_Charges)*(1+Salary_Raise)^(AS$5-1)</f>
        <v>7223580</v>
      </c>
      <c r="AT75" s="33" t="n">
        <f aca="false">AT70*Salary_Dev*(1+Employer_Charges)*(1+Salary_Raise)^(AT$5-1)</f>
        <v>7223580</v>
      </c>
      <c r="AU75" s="33" t="n">
        <f aca="false">AU70*Salary_Dev*(1+Employer_Charges)*(1+Salary_Raise)^(AU$5-1)</f>
        <v>7223580</v>
      </c>
      <c r="AV75" s="33" t="n">
        <f aca="false">AV70*Salary_Dev*(1+Employer_Charges)*(1+Salary_Raise)^(AV$5-1)</f>
        <v>7223580</v>
      </c>
      <c r="AW75" s="33" t="n">
        <f aca="false">AW70*Salary_Dev*(1+Employer_Charges)*(1+Salary_Raise)^(AW$5-1)</f>
        <v>7223580</v>
      </c>
      <c r="AX75" s="33" t="n">
        <f aca="false">AX70*Salary_Dev*(1+Employer_Charges)*(1+Salary_Raise)^(AX$5-1)</f>
        <v>7223580</v>
      </c>
      <c r="AY75" s="33" t="n">
        <f aca="false">AY70*Salary_Dev*(1+Employer_Charges)*(1+Salary_Raise)^(AY$5-1)</f>
        <v>7223580</v>
      </c>
      <c r="AZ75" s="33" t="n">
        <f aca="false">AZ70*Salary_Dev*(1+Employer_Charges)*(1+Salary_Raise)^(AZ$5-1)</f>
        <v>7223580</v>
      </c>
      <c r="BA75" s="33" t="n">
        <f aca="false">BA70*Salary_Dev*(1+Employer_Charges)*(1+Salary_Raise)^(BA$5-1)</f>
        <v>9480948.75</v>
      </c>
      <c r="BB75" s="33" t="n">
        <f aca="false">BB70*Salary_Dev*(1+Employer_Charges)*(1+Salary_Raise)^(BB$5-1)</f>
        <v>9480948.75</v>
      </c>
      <c r="BC75" s="33" t="n">
        <f aca="false">BC70*Salary_Dev*(1+Employer_Charges)*(1+Salary_Raise)^(BC$5-1)</f>
        <v>9480948.75</v>
      </c>
      <c r="BD75" s="33" t="n">
        <f aca="false">BD70*Salary_Dev*(1+Employer_Charges)*(1+Salary_Raise)^(BD$5-1)</f>
        <v>9480948.75</v>
      </c>
      <c r="BE75" s="33" t="n">
        <f aca="false">BE70*Salary_Dev*(1+Employer_Charges)*(1+Salary_Raise)^(BE$5-1)</f>
        <v>9480948.75</v>
      </c>
      <c r="BF75" s="33" t="n">
        <f aca="false">BF70*Salary_Dev*(1+Employer_Charges)*(1+Salary_Raise)^(BF$5-1)</f>
        <v>9480948.75</v>
      </c>
      <c r="BG75" s="33" t="n">
        <f aca="false">BG70*Salary_Dev*(1+Employer_Charges)*(1+Salary_Raise)^(BG$5-1)</f>
        <v>9480948.75</v>
      </c>
      <c r="BH75" s="33" t="n">
        <f aca="false">BH70*Salary_Dev*(1+Employer_Charges)*(1+Salary_Raise)^(BH$5-1)</f>
        <v>11377138.5</v>
      </c>
      <c r="BI75" s="33" t="n">
        <f aca="false">BI70*Salary_Dev*(1+Employer_Charges)*(1+Salary_Raise)^(BI$5-1)</f>
        <v>11377138.5</v>
      </c>
      <c r="BJ75" s="33" t="n">
        <f aca="false">BJ70*Salary_Dev*(1+Employer_Charges)*(1+Salary_Raise)^(BJ$5-1)</f>
        <v>11377138.5</v>
      </c>
      <c r="BK75" s="33" t="n">
        <f aca="false">BK70*Salary_Dev*(1+Employer_Charges)*(1+Salary_Raise)^(BK$5-1)</f>
        <v>11377138.5</v>
      </c>
      <c r="BL75" s="33" t="n">
        <f aca="false">BL70*Salary_Dev*(1+Employer_Charges)*(1+Salary_Raise)^(BL$5-1)</f>
        <v>11377138.5</v>
      </c>
    </row>
    <row r="76" customFormat="false" ht="15" hidden="false" customHeight="true" outlineLevel="0" collapsed="false">
      <c r="A76" s="13" t="s">
        <v>1144</v>
      </c>
      <c r="B76" s="15" t="s">
        <v>77</v>
      </c>
      <c r="D76" s="56" t="n">
        <f aca="false">SUM(E76:BL76)</f>
        <v>223502769.75</v>
      </c>
      <c r="E76" s="33" t="n">
        <f aca="false">E71*Salary_Rep_SN*(1+Employer_Charges)*(1+Salary_Raise)^(E$5-1)</f>
        <v>0</v>
      </c>
      <c r="F76" s="33" t="n">
        <f aca="false">F71*Salary_Rep_SN*(1+Employer_Charges)*(1+Salary_Raise)^(F$5-1)</f>
        <v>0</v>
      </c>
      <c r="G76" s="33" t="n">
        <f aca="false">G71*Salary_Rep_SN*(1+Employer_Charges)*(1+Salary_Raise)^(G$5-1)</f>
        <v>0</v>
      </c>
      <c r="H76" s="33" t="n">
        <f aca="false">H71*Salary_Rep_SN*(1+Employer_Charges)*(1+Salary_Raise)^(H$5-1)</f>
        <v>1040000</v>
      </c>
      <c r="I76" s="33" t="n">
        <f aca="false">I71*Salary_Rep_SN*(1+Employer_Charges)*(1+Salary_Raise)^(I$5-1)</f>
        <v>1040000</v>
      </c>
      <c r="J76" s="33" t="n">
        <f aca="false">J71*Salary_Rep_SN*(1+Employer_Charges)*(1+Salary_Raise)^(J$5-1)</f>
        <v>1040000</v>
      </c>
      <c r="K76" s="33" t="n">
        <f aca="false">K71*Salary_Rep_SN*(1+Employer_Charges)*(1+Salary_Raise)^(K$5-1)</f>
        <v>1040000</v>
      </c>
      <c r="L76" s="33" t="n">
        <f aca="false">L71*Salary_Rep_SN*(1+Employer_Charges)*(1+Salary_Raise)^(L$5-1)</f>
        <v>1040000</v>
      </c>
      <c r="M76" s="33" t="n">
        <f aca="false">M71*Salary_Rep_SN*(1+Employer_Charges)*(1+Salary_Raise)^(M$5-1)</f>
        <v>1040000</v>
      </c>
      <c r="N76" s="33" t="n">
        <f aca="false">N71*Salary_Rep_SN*(1+Employer_Charges)*(1+Salary_Raise)^(N$5-1)</f>
        <v>1040000</v>
      </c>
      <c r="O76" s="33" t="n">
        <f aca="false">O71*Salary_Rep_SN*(1+Employer_Charges)*(1+Salary_Raise)^(O$5-1)</f>
        <v>1040000</v>
      </c>
      <c r="P76" s="33" t="n">
        <f aca="false">P71*Salary_Rep_SN*(1+Employer_Charges)*(1+Salary_Raise)^(P$5-1)</f>
        <v>1040000</v>
      </c>
      <c r="Q76" s="33" t="n">
        <f aca="false">Q71*Salary_Rep_SN*(1+Employer_Charges)*(1+Salary_Raise)^(Q$5-1)</f>
        <v>1092000</v>
      </c>
      <c r="R76" s="33" t="n">
        <f aca="false">R71*Salary_Rep_SN*(1+Employer_Charges)*(1+Salary_Raise)^(R$5-1)</f>
        <v>1092000</v>
      </c>
      <c r="S76" s="33" t="n">
        <f aca="false">S71*Salary_Rep_SN*(1+Employer_Charges)*(1+Salary_Raise)^(S$5-1)</f>
        <v>1092000</v>
      </c>
      <c r="T76" s="33" t="n">
        <f aca="false">T71*Salary_Rep_SN*(1+Employer_Charges)*(1+Salary_Raise)^(T$5-1)</f>
        <v>1092000</v>
      </c>
      <c r="U76" s="33" t="n">
        <f aca="false">U71*Salary_Rep_SN*(1+Employer_Charges)*(1+Salary_Raise)^(U$5-1)</f>
        <v>1092000</v>
      </c>
      <c r="V76" s="33" t="n">
        <f aca="false">V71*Salary_Rep_SN*(1+Employer_Charges)*(1+Salary_Raise)^(V$5-1)</f>
        <v>1092000</v>
      </c>
      <c r="W76" s="33" t="n">
        <f aca="false">W71*Salary_Rep_SN*(1+Employer_Charges)*(1+Salary_Raise)^(W$5-1)</f>
        <v>1092000</v>
      </c>
      <c r="X76" s="33" t="n">
        <f aca="false">X71*Salary_Rep_SN*(1+Employer_Charges)*(1+Salary_Raise)^(X$5-1)</f>
        <v>1638000</v>
      </c>
      <c r="Y76" s="33" t="n">
        <f aca="false">Y71*Salary_Rep_SN*(1+Employer_Charges)*(1+Salary_Raise)^(Y$5-1)</f>
        <v>1638000</v>
      </c>
      <c r="Z76" s="33" t="n">
        <f aca="false">Z71*Salary_Rep_SN*(1+Employer_Charges)*(1+Salary_Raise)^(Z$5-1)</f>
        <v>1638000</v>
      </c>
      <c r="AA76" s="33" t="n">
        <f aca="false">AA71*Salary_Rep_SN*(1+Employer_Charges)*(1+Salary_Raise)^(AA$5-1)</f>
        <v>1638000</v>
      </c>
      <c r="AB76" s="33" t="n">
        <f aca="false">AB71*Salary_Rep_SN*(1+Employer_Charges)*(1+Salary_Raise)^(AB$5-1)</f>
        <v>1638000</v>
      </c>
      <c r="AC76" s="33" t="n">
        <f aca="false">AC71*Salary_Rep_SN*(1+Employer_Charges)*(1+Salary_Raise)^(AC$5-1)</f>
        <v>1719900</v>
      </c>
      <c r="AD76" s="33" t="n">
        <f aca="false">AD71*Salary_Rep_SN*(1+Employer_Charges)*(1+Salary_Raise)^(AD$5-1)</f>
        <v>2293200</v>
      </c>
      <c r="AE76" s="33" t="n">
        <f aca="false">AE71*Salary_Rep_SN*(1+Employer_Charges)*(1+Salary_Raise)^(AE$5-1)</f>
        <v>2293200</v>
      </c>
      <c r="AF76" s="33" t="n">
        <f aca="false">AF71*Salary_Rep_SN*(1+Employer_Charges)*(1+Salary_Raise)^(AF$5-1)</f>
        <v>2293200</v>
      </c>
      <c r="AG76" s="33" t="n">
        <f aca="false">AG71*Salary_Rep_SN*(1+Employer_Charges)*(1+Salary_Raise)^(AG$5-1)</f>
        <v>2293200</v>
      </c>
      <c r="AH76" s="33" t="n">
        <f aca="false">AH71*Salary_Rep_SN*(1+Employer_Charges)*(1+Salary_Raise)^(AH$5-1)</f>
        <v>2866500</v>
      </c>
      <c r="AI76" s="33" t="n">
        <f aca="false">AI71*Salary_Rep_SN*(1+Employer_Charges)*(1+Salary_Raise)^(AI$5-1)</f>
        <v>2866500</v>
      </c>
      <c r="AJ76" s="33" t="n">
        <f aca="false">AJ71*Salary_Rep_SN*(1+Employer_Charges)*(1+Salary_Raise)^(AJ$5-1)</f>
        <v>2866500</v>
      </c>
      <c r="AK76" s="33" t="n">
        <f aca="false">AK71*Salary_Rep_SN*(1+Employer_Charges)*(1+Salary_Raise)^(AK$5-1)</f>
        <v>2866500</v>
      </c>
      <c r="AL76" s="33" t="n">
        <f aca="false">AL71*Salary_Rep_SN*(1+Employer_Charges)*(1+Salary_Raise)^(AL$5-1)</f>
        <v>3439800</v>
      </c>
      <c r="AM76" s="33" t="n">
        <f aca="false">AM71*Salary_Rep_SN*(1+Employer_Charges)*(1+Salary_Raise)^(AM$5-1)</f>
        <v>3439800</v>
      </c>
      <c r="AN76" s="33" t="n">
        <f aca="false">AN71*Salary_Rep_SN*(1+Employer_Charges)*(1+Salary_Raise)^(AN$5-1)</f>
        <v>3439800</v>
      </c>
      <c r="AO76" s="33" t="n">
        <f aca="false">AO71*Salary_Rep_SN*(1+Employer_Charges)*(1+Salary_Raise)^(AO$5-1)</f>
        <v>4213755</v>
      </c>
      <c r="AP76" s="33" t="n">
        <f aca="false">AP71*Salary_Rep_SN*(1+Employer_Charges)*(1+Salary_Raise)^(AP$5-1)</f>
        <v>4213755</v>
      </c>
      <c r="AQ76" s="33" t="n">
        <f aca="false">AQ71*Salary_Rep_SN*(1+Employer_Charges)*(1+Salary_Raise)^(AQ$5-1)</f>
        <v>4213755</v>
      </c>
      <c r="AR76" s="33" t="n">
        <f aca="false">AR71*Salary_Rep_SN*(1+Employer_Charges)*(1+Salary_Raise)^(AR$5-1)</f>
        <v>4815720</v>
      </c>
      <c r="AS76" s="33" t="n">
        <f aca="false">AS71*Salary_Rep_SN*(1+Employer_Charges)*(1+Salary_Raise)^(AS$5-1)</f>
        <v>4815720</v>
      </c>
      <c r="AT76" s="33" t="n">
        <f aca="false">AT71*Salary_Rep_SN*(1+Employer_Charges)*(1+Salary_Raise)^(AT$5-1)</f>
        <v>4815720</v>
      </c>
      <c r="AU76" s="33" t="n">
        <f aca="false">AU71*Salary_Rep_SN*(1+Employer_Charges)*(1+Salary_Raise)^(AU$5-1)</f>
        <v>5417685</v>
      </c>
      <c r="AV76" s="33" t="n">
        <f aca="false">AV71*Salary_Rep_SN*(1+Employer_Charges)*(1+Salary_Raise)^(AV$5-1)</f>
        <v>5417685</v>
      </c>
      <c r="AW76" s="33" t="n">
        <f aca="false">AW71*Salary_Rep_SN*(1+Employer_Charges)*(1+Salary_Raise)^(AW$5-1)</f>
        <v>6019650</v>
      </c>
      <c r="AX76" s="33" t="n">
        <f aca="false">AX71*Salary_Rep_SN*(1+Employer_Charges)*(1+Salary_Raise)^(AX$5-1)</f>
        <v>6019650</v>
      </c>
      <c r="AY76" s="33" t="n">
        <f aca="false">AY71*Salary_Rep_SN*(1+Employer_Charges)*(1+Salary_Raise)^(AY$5-1)</f>
        <v>6019650</v>
      </c>
      <c r="AZ76" s="33" t="n">
        <f aca="false">AZ71*Salary_Rep_SN*(1+Employer_Charges)*(1+Salary_Raise)^(AZ$5-1)</f>
        <v>6621615</v>
      </c>
      <c r="BA76" s="33" t="n">
        <f aca="false">BA71*Salary_Rep_SN*(1+Employer_Charges)*(1+Salary_Raise)^(BA$5-1)</f>
        <v>6952695.75</v>
      </c>
      <c r="BB76" s="33" t="n">
        <f aca="false">BB71*Salary_Rep_SN*(1+Employer_Charges)*(1+Salary_Raise)^(BB$5-1)</f>
        <v>7584759</v>
      </c>
      <c r="BC76" s="33" t="n">
        <f aca="false">BC71*Salary_Rep_SN*(1+Employer_Charges)*(1+Salary_Raise)^(BC$5-1)</f>
        <v>7584759</v>
      </c>
      <c r="BD76" s="33" t="n">
        <f aca="false">BD71*Salary_Rep_SN*(1+Employer_Charges)*(1+Salary_Raise)^(BD$5-1)</f>
        <v>7584759</v>
      </c>
      <c r="BE76" s="33" t="n">
        <f aca="false">BE71*Salary_Rep_SN*(1+Employer_Charges)*(1+Salary_Raise)^(BE$5-1)</f>
        <v>8216822.25</v>
      </c>
      <c r="BF76" s="33" t="n">
        <f aca="false">BF71*Salary_Rep_SN*(1+Employer_Charges)*(1+Salary_Raise)^(BF$5-1)</f>
        <v>8216822.25</v>
      </c>
      <c r="BG76" s="33" t="n">
        <f aca="false">BG71*Salary_Rep_SN*(1+Employer_Charges)*(1+Salary_Raise)^(BG$5-1)</f>
        <v>8848885.5</v>
      </c>
      <c r="BH76" s="33" t="n">
        <f aca="false">BH71*Salary_Rep_SN*(1+Employer_Charges)*(1+Salary_Raise)^(BH$5-1)</f>
        <v>8848885.5</v>
      </c>
      <c r="BI76" s="33" t="n">
        <f aca="false">BI71*Salary_Rep_SN*(1+Employer_Charges)*(1+Salary_Raise)^(BI$5-1)</f>
        <v>9480948.75</v>
      </c>
      <c r="BJ76" s="33" t="n">
        <f aca="false">BJ71*Salary_Rep_SN*(1+Employer_Charges)*(1+Salary_Raise)^(BJ$5-1)</f>
        <v>9480948.75</v>
      </c>
      <c r="BK76" s="33" t="n">
        <f aca="false">BK71*Salary_Rep_SN*(1+Employer_Charges)*(1+Salary_Raise)^(BK$5-1)</f>
        <v>10113012</v>
      </c>
      <c r="BL76" s="33" t="n">
        <f aca="false">BL71*Salary_Rep_SN*(1+Employer_Charges)*(1+Salary_Raise)^(BL$5-1)</f>
        <v>10113012</v>
      </c>
    </row>
    <row r="77" customFormat="false" ht="15" hidden="false" customHeight="true" outlineLevel="0" collapsed="false">
      <c r="A77" s="13" t="s">
        <v>1145</v>
      </c>
      <c r="B77" s="15" t="s">
        <v>77</v>
      </c>
      <c r="D77" s="56" t="n">
        <f aca="false">SUM(E77:BL77)</f>
        <v>107173956.09375</v>
      </c>
      <c r="E77" s="33" t="n">
        <f aca="false">E72*Salary_Rep_CI*(1+Employer_Charges)*(1+Salary_Raise)^(E$5-1)</f>
        <v>0</v>
      </c>
      <c r="F77" s="33" t="n">
        <f aca="false">F72*Salary_Rep_CI*(1+Employer_Charges)*(1+Salary_Raise)^(F$5-1)</f>
        <v>0</v>
      </c>
      <c r="G77" s="33" t="n">
        <f aca="false">G72*Salary_Rep_CI*(1+Employer_Charges)*(1+Salary_Raise)^(G$5-1)</f>
        <v>0</v>
      </c>
      <c r="H77" s="33" t="n">
        <f aca="false">H72*Salary_Rep_CI*(1+Employer_Charges)*(1+Salary_Raise)^(H$5-1)</f>
        <v>0</v>
      </c>
      <c r="I77" s="33" t="n">
        <f aca="false">I72*Salary_Rep_CI*(1+Employer_Charges)*(1+Salary_Raise)^(I$5-1)</f>
        <v>0</v>
      </c>
      <c r="J77" s="33" t="n">
        <f aca="false">J72*Salary_Rep_CI*(1+Employer_Charges)*(1+Salary_Raise)^(J$5-1)</f>
        <v>0</v>
      </c>
      <c r="K77" s="33" t="n">
        <f aca="false">K72*Salary_Rep_CI*(1+Employer_Charges)*(1+Salary_Raise)^(K$5-1)</f>
        <v>0</v>
      </c>
      <c r="L77" s="33" t="n">
        <f aca="false">L72*Salary_Rep_CI*(1+Employer_Charges)*(1+Salary_Raise)^(L$5-1)</f>
        <v>0</v>
      </c>
      <c r="M77" s="33" t="n">
        <f aca="false">M72*Salary_Rep_CI*(1+Employer_Charges)*(1+Salary_Raise)^(M$5-1)</f>
        <v>0</v>
      </c>
      <c r="N77" s="33" t="n">
        <f aca="false">N72*Salary_Rep_CI*(1+Employer_Charges)*(1+Salary_Raise)^(N$5-1)</f>
        <v>0</v>
      </c>
      <c r="O77" s="33" t="n">
        <f aca="false">O72*Salary_Rep_CI*(1+Employer_Charges)*(1+Salary_Raise)^(O$5-1)</f>
        <v>0</v>
      </c>
      <c r="P77" s="33" t="n">
        <f aca="false">P72*Salary_Rep_CI*(1+Employer_Charges)*(1+Salary_Raise)^(P$5-1)</f>
        <v>0</v>
      </c>
      <c r="Q77" s="33" t="n">
        <f aca="false">Q72*Salary_Rep_CI*(1+Employer_Charges)*(1+Salary_Raise)^(Q$5-1)</f>
        <v>0</v>
      </c>
      <c r="R77" s="33" t="n">
        <f aca="false">R72*Salary_Rep_CI*(1+Employer_Charges)*(1+Salary_Raise)^(R$5-1)</f>
        <v>0</v>
      </c>
      <c r="S77" s="33" t="n">
        <f aca="false">S72*Salary_Rep_CI*(1+Employer_Charges)*(1+Salary_Raise)^(S$5-1)</f>
        <v>0</v>
      </c>
      <c r="T77" s="33" t="n">
        <f aca="false">T72*Salary_Rep_CI*(1+Employer_Charges)*(1+Salary_Raise)^(T$5-1)</f>
        <v>0</v>
      </c>
      <c r="U77" s="33" t="n">
        <f aca="false">U72*Salary_Rep_CI*(1+Employer_Charges)*(1+Salary_Raise)^(U$5-1)</f>
        <v>0</v>
      </c>
      <c r="V77" s="33" t="n">
        <f aca="false">V72*Salary_Rep_CI*(1+Employer_Charges)*(1+Salary_Raise)^(V$5-1)</f>
        <v>1228500</v>
      </c>
      <c r="W77" s="33" t="n">
        <f aca="false">W72*Salary_Rep_CI*(1+Employer_Charges)*(1+Salary_Raise)^(W$5-1)</f>
        <v>1228500</v>
      </c>
      <c r="X77" s="33" t="n">
        <f aca="false">X72*Salary_Rep_CI*(1+Employer_Charges)*(1+Salary_Raise)^(X$5-1)</f>
        <v>1228500</v>
      </c>
      <c r="Y77" s="33" t="n">
        <f aca="false">Y72*Salary_Rep_CI*(1+Employer_Charges)*(1+Salary_Raise)^(Y$5-1)</f>
        <v>1228500</v>
      </c>
      <c r="Z77" s="33" t="n">
        <f aca="false">Z72*Salary_Rep_CI*(1+Employer_Charges)*(1+Salary_Raise)^(Z$5-1)</f>
        <v>1228500</v>
      </c>
      <c r="AA77" s="33" t="n">
        <f aca="false">AA72*Salary_Rep_CI*(1+Employer_Charges)*(1+Salary_Raise)^(AA$5-1)</f>
        <v>1228500</v>
      </c>
      <c r="AB77" s="33" t="n">
        <f aca="false">AB72*Salary_Rep_CI*(1+Employer_Charges)*(1+Salary_Raise)^(AB$5-1)</f>
        <v>1228500</v>
      </c>
      <c r="AC77" s="33" t="n">
        <f aca="false">AC72*Salary_Rep_CI*(1+Employer_Charges)*(1+Salary_Raise)^(AC$5-1)</f>
        <v>1289925</v>
      </c>
      <c r="AD77" s="33" t="n">
        <f aca="false">AD72*Salary_Rep_CI*(1+Employer_Charges)*(1+Salary_Raise)^(AD$5-1)</f>
        <v>1289925</v>
      </c>
      <c r="AE77" s="33" t="n">
        <f aca="false">AE72*Salary_Rep_CI*(1+Employer_Charges)*(1+Salary_Raise)^(AE$5-1)</f>
        <v>1289925</v>
      </c>
      <c r="AF77" s="33" t="n">
        <f aca="false">AF72*Salary_Rep_CI*(1+Employer_Charges)*(1+Salary_Raise)^(AF$5-1)</f>
        <v>1289925</v>
      </c>
      <c r="AG77" s="33" t="n">
        <f aca="false">AG72*Salary_Rep_CI*(1+Employer_Charges)*(1+Salary_Raise)^(AG$5-1)</f>
        <v>1289925</v>
      </c>
      <c r="AH77" s="33" t="n">
        <f aca="false">AH72*Salary_Rep_CI*(1+Employer_Charges)*(1+Salary_Raise)^(AH$5-1)</f>
        <v>1289925</v>
      </c>
      <c r="AI77" s="33" t="n">
        <f aca="false">AI72*Salary_Rep_CI*(1+Employer_Charges)*(1+Salary_Raise)^(AI$5-1)</f>
        <v>1289925</v>
      </c>
      <c r="AJ77" s="33" t="n">
        <f aca="false">AJ72*Salary_Rep_CI*(1+Employer_Charges)*(1+Salary_Raise)^(AJ$5-1)</f>
        <v>1289925</v>
      </c>
      <c r="AK77" s="33" t="n">
        <f aca="false">AK72*Salary_Rep_CI*(1+Employer_Charges)*(1+Salary_Raise)^(AK$5-1)</f>
        <v>1289925</v>
      </c>
      <c r="AL77" s="33" t="n">
        <f aca="false">AL72*Salary_Rep_CI*(1+Employer_Charges)*(1+Salary_Raise)^(AL$5-1)</f>
        <v>1289925</v>
      </c>
      <c r="AM77" s="33" t="n">
        <f aca="false">AM72*Salary_Rep_CI*(1+Employer_Charges)*(1+Salary_Raise)^(AM$5-1)</f>
        <v>1289925</v>
      </c>
      <c r="AN77" s="33" t="n">
        <f aca="false">AN72*Salary_Rep_CI*(1+Employer_Charges)*(1+Salary_Raise)^(AN$5-1)</f>
        <v>1934887.5</v>
      </c>
      <c r="AO77" s="33" t="n">
        <f aca="false">AO72*Salary_Rep_CI*(1+Employer_Charges)*(1+Salary_Raise)^(AO$5-1)</f>
        <v>2031631.875</v>
      </c>
      <c r="AP77" s="33" t="n">
        <f aca="false">AP72*Salary_Rep_CI*(1+Employer_Charges)*(1+Salary_Raise)^(AP$5-1)</f>
        <v>2031631.875</v>
      </c>
      <c r="AQ77" s="33" t="n">
        <f aca="false">AQ72*Salary_Rep_CI*(1+Employer_Charges)*(1+Salary_Raise)^(AQ$5-1)</f>
        <v>2031631.875</v>
      </c>
      <c r="AR77" s="33" t="n">
        <f aca="false">AR72*Salary_Rep_CI*(1+Employer_Charges)*(1+Salary_Raise)^(AR$5-1)</f>
        <v>2031631.875</v>
      </c>
      <c r="AS77" s="33" t="n">
        <f aca="false">AS72*Salary_Rep_CI*(1+Employer_Charges)*(1+Salary_Raise)^(AS$5-1)</f>
        <v>2031631.875</v>
      </c>
      <c r="AT77" s="33" t="n">
        <f aca="false">AT72*Salary_Rep_CI*(1+Employer_Charges)*(1+Salary_Raise)^(AT$5-1)</f>
        <v>2031631.875</v>
      </c>
      <c r="AU77" s="33" t="n">
        <f aca="false">AU72*Salary_Rep_CI*(1+Employer_Charges)*(1+Salary_Raise)^(AU$5-1)</f>
        <v>2708842.5</v>
      </c>
      <c r="AV77" s="33" t="n">
        <f aca="false">AV72*Salary_Rep_CI*(1+Employer_Charges)*(1+Salary_Raise)^(AV$5-1)</f>
        <v>2708842.5</v>
      </c>
      <c r="AW77" s="33" t="n">
        <f aca="false">AW72*Salary_Rep_CI*(1+Employer_Charges)*(1+Salary_Raise)^(AW$5-1)</f>
        <v>2708842.5</v>
      </c>
      <c r="AX77" s="33" t="n">
        <f aca="false">AX72*Salary_Rep_CI*(1+Employer_Charges)*(1+Salary_Raise)^(AX$5-1)</f>
        <v>2708842.5</v>
      </c>
      <c r="AY77" s="33" t="n">
        <f aca="false">AY72*Salary_Rep_CI*(1+Employer_Charges)*(1+Salary_Raise)^(AY$5-1)</f>
        <v>2708842.5</v>
      </c>
      <c r="AZ77" s="33" t="n">
        <f aca="false">AZ72*Salary_Rep_CI*(1+Employer_Charges)*(1+Salary_Raise)^(AZ$5-1)</f>
        <v>3386053.125</v>
      </c>
      <c r="BA77" s="33" t="n">
        <f aca="false">BA72*Salary_Rep_CI*(1+Employer_Charges)*(1+Salary_Raise)^(BA$5-1)</f>
        <v>3555355.78125</v>
      </c>
      <c r="BB77" s="33" t="n">
        <f aca="false">BB72*Salary_Rep_CI*(1+Employer_Charges)*(1+Salary_Raise)^(BB$5-1)</f>
        <v>3555355.78125</v>
      </c>
      <c r="BC77" s="33" t="n">
        <f aca="false">BC72*Salary_Rep_CI*(1+Employer_Charges)*(1+Salary_Raise)^(BC$5-1)</f>
        <v>3555355.78125</v>
      </c>
      <c r="BD77" s="33" t="n">
        <f aca="false">BD72*Salary_Rep_CI*(1+Employer_Charges)*(1+Salary_Raise)^(BD$5-1)</f>
        <v>4266426.9375</v>
      </c>
      <c r="BE77" s="33" t="n">
        <f aca="false">BE72*Salary_Rep_CI*(1+Employer_Charges)*(1+Salary_Raise)^(BE$5-1)</f>
        <v>4266426.9375</v>
      </c>
      <c r="BF77" s="33" t="n">
        <f aca="false">BF72*Salary_Rep_CI*(1+Employer_Charges)*(1+Salary_Raise)^(BF$5-1)</f>
        <v>4266426.9375</v>
      </c>
      <c r="BG77" s="33" t="n">
        <f aca="false">BG72*Salary_Rep_CI*(1+Employer_Charges)*(1+Salary_Raise)^(BG$5-1)</f>
        <v>4266426.9375</v>
      </c>
      <c r="BH77" s="33" t="n">
        <f aca="false">BH72*Salary_Rep_CI*(1+Employer_Charges)*(1+Salary_Raise)^(BH$5-1)</f>
        <v>4977498.09375</v>
      </c>
      <c r="BI77" s="33" t="n">
        <f aca="false">BI72*Salary_Rep_CI*(1+Employer_Charges)*(1+Salary_Raise)^(BI$5-1)</f>
        <v>4977498.09375</v>
      </c>
      <c r="BJ77" s="33" t="n">
        <f aca="false">BJ72*Salary_Rep_CI*(1+Employer_Charges)*(1+Salary_Raise)^(BJ$5-1)</f>
        <v>4977498.09375</v>
      </c>
      <c r="BK77" s="33" t="n">
        <f aca="false">BK72*Salary_Rep_CI*(1+Employer_Charges)*(1+Salary_Raise)^(BK$5-1)</f>
        <v>4977498.09375</v>
      </c>
      <c r="BL77" s="33" t="n">
        <f aca="false">BL72*Salary_Rep_CI*(1+Employer_Charges)*(1+Salary_Raise)^(BL$5-1)</f>
        <v>5688569.25</v>
      </c>
    </row>
    <row r="78" customFormat="false" ht="15" hidden="false" customHeight="true" outlineLevel="0" collapsed="false">
      <c r="A78" s="13" t="s">
        <v>1146</v>
      </c>
      <c r="B78" s="15" t="s">
        <v>77</v>
      </c>
      <c r="D78" s="56" t="n">
        <f aca="false">SUM(E78:BL78)</f>
        <v>149092909.875</v>
      </c>
      <c r="E78" s="33" t="n">
        <f aca="false">E73*Salary_Credit*(1+Employer_Charges)*(1+Salary_Raise)^(E$5-1)</f>
        <v>0</v>
      </c>
      <c r="F78" s="33" t="n">
        <f aca="false">F73*Salary_Credit*(1+Employer_Charges)*(1+Salary_Raise)^(F$5-1)</f>
        <v>0</v>
      </c>
      <c r="G78" s="33" t="n">
        <f aca="false">G73*Salary_Credit*(1+Employer_Charges)*(1+Salary_Raise)^(G$5-1)</f>
        <v>0</v>
      </c>
      <c r="H78" s="33" t="n">
        <f aca="false">H73*Salary_Credit*(1+Employer_Charges)*(1+Salary_Raise)^(H$5-1)</f>
        <v>0</v>
      </c>
      <c r="I78" s="33" t="n">
        <f aca="false">I73*Salary_Credit*(1+Employer_Charges)*(1+Salary_Raise)^(I$5-1)</f>
        <v>0</v>
      </c>
      <c r="J78" s="33" t="n">
        <f aca="false">J73*Salary_Credit*(1+Employer_Charges)*(1+Salary_Raise)^(J$5-1)</f>
        <v>0</v>
      </c>
      <c r="K78" s="33" t="n">
        <f aca="false">K73*Salary_Credit*(1+Employer_Charges)*(1+Salary_Raise)^(K$5-1)</f>
        <v>0</v>
      </c>
      <c r="L78" s="33" t="n">
        <f aca="false">L73*Salary_Credit*(1+Employer_Charges)*(1+Salary_Raise)^(L$5-1)</f>
        <v>0</v>
      </c>
      <c r="M78" s="33" t="n">
        <f aca="false">M73*Salary_Credit*(1+Employer_Charges)*(1+Salary_Raise)^(M$5-1)</f>
        <v>0</v>
      </c>
      <c r="N78" s="33" t="n">
        <f aca="false">N73*Salary_Credit*(1+Employer_Charges)*(1+Salary_Raise)^(N$5-1)</f>
        <v>0</v>
      </c>
      <c r="O78" s="33" t="n">
        <f aca="false">O73*Salary_Credit*(1+Employer_Charges)*(1+Salary_Raise)^(O$5-1)</f>
        <v>0</v>
      </c>
      <c r="P78" s="33" t="n">
        <f aca="false">P73*Salary_Credit*(1+Employer_Charges)*(1+Salary_Raise)^(P$5-1)</f>
        <v>0</v>
      </c>
      <c r="Q78" s="33" t="n">
        <f aca="false">Q73*Salary_Credit*(1+Employer_Charges)*(1+Salary_Raise)^(Q$5-1)</f>
        <v>0</v>
      </c>
      <c r="R78" s="33" t="n">
        <f aca="false">R73*Salary_Credit*(1+Employer_Charges)*(1+Salary_Raise)^(R$5-1)</f>
        <v>0</v>
      </c>
      <c r="S78" s="33" t="n">
        <f aca="false">S73*Salary_Credit*(1+Employer_Charges)*(1+Salary_Raise)^(S$5-1)</f>
        <v>0</v>
      </c>
      <c r="T78" s="33" t="n">
        <f aca="false">T73*Salary_Credit*(1+Employer_Charges)*(1+Salary_Raise)^(T$5-1)</f>
        <v>819000</v>
      </c>
      <c r="U78" s="33" t="n">
        <f aca="false">U73*Salary_Credit*(1+Employer_Charges)*(1+Salary_Raise)^(U$5-1)</f>
        <v>819000</v>
      </c>
      <c r="V78" s="33" t="n">
        <f aca="false">V73*Salary_Credit*(1+Employer_Charges)*(1+Salary_Raise)^(V$5-1)</f>
        <v>819000</v>
      </c>
      <c r="W78" s="33" t="n">
        <f aca="false">W73*Salary_Credit*(1+Employer_Charges)*(1+Salary_Raise)^(W$5-1)</f>
        <v>819000</v>
      </c>
      <c r="X78" s="33" t="n">
        <f aca="false">X73*Salary_Credit*(1+Employer_Charges)*(1+Salary_Raise)^(X$5-1)</f>
        <v>819000</v>
      </c>
      <c r="Y78" s="33" t="n">
        <f aca="false">Y73*Salary_Credit*(1+Employer_Charges)*(1+Salary_Raise)^(Y$5-1)</f>
        <v>819000</v>
      </c>
      <c r="Z78" s="33" t="n">
        <f aca="false">Z73*Salary_Credit*(1+Employer_Charges)*(1+Salary_Raise)^(Z$5-1)</f>
        <v>819000</v>
      </c>
      <c r="AA78" s="33" t="n">
        <f aca="false">AA73*Salary_Credit*(1+Employer_Charges)*(1+Salary_Raise)^(AA$5-1)</f>
        <v>819000</v>
      </c>
      <c r="AB78" s="33" t="n">
        <f aca="false">AB73*Salary_Credit*(1+Employer_Charges)*(1+Salary_Raise)^(AB$5-1)</f>
        <v>819000</v>
      </c>
      <c r="AC78" s="33" t="n">
        <f aca="false">AC73*Salary_Credit*(1+Employer_Charges)*(1+Salary_Raise)^(AC$5-1)</f>
        <v>859950</v>
      </c>
      <c r="AD78" s="33" t="n">
        <f aca="false">AD73*Salary_Credit*(1+Employer_Charges)*(1+Salary_Raise)^(AD$5-1)</f>
        <v>859950</v>
      </c>
      <c r="AE78" s="33" t="n">
        <f aca="false">AE73*Salary_Credit*(1+Employer_Charges)*(1+Salary_Raise)^(AE$5-1)</f>
        <v>859950</v>
      </c>
      <c r="AF78" s="33" t="n">
        <f aca="false">AF73*Salary_Credit*(1+Employer_Charges)*(1+Salary_Raise)^(AF$5-1)</f>
        <v>859950</v>
      </c>
      <c r="AG78" s="33" t="n">
        <f aca="false">AG73*Salary_Credit*(1+Employer_Charges)*(1+Salary_Raise)^(AG$5-1)</f>
        <v>1719900</v>
      </c>
      <c r="AH78" s="33" t="n">
        <f aca="false">AH73*Salary_Credit*(1+Employer_Charges)*(1+Salary_Raise)^(AH$5-1)</f>
        <v>1719900</v>
      </c>
      <c r="AI78" s="33" t="n">
        <f aca="false">AI73*Salary_Credit*(1+Employer_Charges)*(1+Salary_Raise)^(AI$5-1)</f>
        <v>1719900</v>
      </c>
      <c r="AJ78" s="33" t="n">
        <f aca="false">AJ73*Salary_Credit*(1+Employer_Charges)*(1+Salary_Raise)^(AJ$5-1)</f>
        <v>1719900</v>
      </c>
      <c r="AK78" s="33" t="n">
        <f aca="false">AK73*Salary_Credit*(1+Employer_Charges)*(1+Salary_Raise)^(AK$5-1)</f>
        <v>1719900</v>
      </c>
      <c r="AL78" s="33" t="n">
        <f aca="false">AL73*Salary_Credit*(1+Employer_Charges)*(1+Salary_Raise)^(AL$5-1)</f>
        <v>2579850</v>
      </c>
      <c r="AM78" s="33" t="n">
        <f aca="false">AM73*Salary_Credit*(1+Employer_Charges)*(1+Salary_Raise)^(AM$5-1)</f>
        <v>2579850</v>
      </c>
      <c r="AN78" s="33" t="n">
        <f aca="false">AN73*Salary_Credit*(1+Employer_Charges)*(1+Salary_Raise)^(AN$5-1)</f>
        <v>2579850</v>
      </c>
      <c r="AO78" s="33" t="n">
        <f aca="false">AO73*Salary_Credit*(1+Employer_Charges)*(1+Salary_Raise)^(AO$5-1)</f>
        <v>2708842.5</v>
      </c>
      <c r="AP78" s="33" t="n">
        <f aca="false">AP73*Salary_Credit*(1+Employer_Charges)*(1+Salary_Raise)^(AP$5-1)</f>
        <v>2708842.5</v>
      </c>
      <c r="AQ78" s="33" t="n">
        <f aca="false">AQ73*Salary_Credit*(1+Employer_Charges)*(1+Salary_Raise)^(AQ$5-1)</f>
        <v>3611790</v>
      </c>
      <c r="AR78" s="33" t="n">
        <f aca="false">AR73*Salary_Credit*(1+Employer_Charges)*(1+Salary_Raise)^(AR$5-1)</f>
        <v>3611790</v>
      </c>
      <c r="AS78" s="33" t="n">
        <f aca="false">AS73*Salary_Credit*(1+Employer_Charges)*(1+Salary_Raise)^(AS$5-1)</f>
        <v>3611790</v>
      </c>
      <c r="AT78" s="33" t="n">
        <f aca="false">AT73*Salary_Credit*(1+Employer_Charges)*(1+Salary_Raise)^(AT$5-1)</f>
        <v>3611790</v>
      </c>
      <c r="AU78" s="33" t="n">
        <f aca="false">AU73*Salary_Credit*(1+Employer_Charges)*(1+Salary_Raise)^(AU$5-1)</f>
        <v>3611790</v>
      </c>
      <c r="AV78" s="33" t="n">
        <f aca="false">AV73*Salary_Credit*(1+Employer_Charges)*(1+Salary_Raise)^(AV$5-1)</f>
        <v>3611790</v>
      </c>
      <c r="AW78" s="33" t="n">
        <f aca="false">AW73*Salary_Credit*(1+Employer_Charges)*(1+Salary_Raise)^(AW$5-1)</f>
        <v>4514737.5</v>
      </c>
      <c r="AX78" s="33" t="n">
        <f aca="false">AX73*Salary_Credit*(1+Employer_Charges)*(1+Salary_Raise)^(AX$5-1)</f>
        <v>4514737.5</v>
      </c>
      <c r="AY78" s="33" t="n">
        <f aca="false">AY73*Salary_Credit*(1+Employer_Charges)*(1+Salary_Raise)^(AY$5-1)</f>
        <v>4514737.5</v>
      </c>
      <c r="AZ78" s="33" t="n">
        <f aca="false">AZ73*Salary_Credit*(1+Employer_Charges)*(1+Salary_Raise)^(AZ$5-1)</f>
        <v>4514737.5</v>
      </c>
      <c r="BA78" s="33" t="n">
        <f aca="false">BA73*Salary_Credit*(1+Employer_Charges)*(1+Salary_Raise)^(BA$5-1)</f>
        <v>4740474.375</v>
      </c>
      <c r="BB78" s="33" t="n">
        <f aca="false">BB73*Salary_Credit*(1+Employer_Charges)*(1+Salary_Raise)^(BB$5-1)</f>
        <v>5688569.25</v>
      </c>
      <c r="BC78" s="33" t="n">
        <f aca="false">BC73*Salary_Credit*(1+Employer_Charges)*(1+Salary_Raise)^(BC$5-1)</f>
        <v>5688569.25</v>
      </c>
      <c r="BD78" s="33" t="n">
        <f aca="false">BD73*Salary_Credit*(1+Employer_Charges)*(1+Salary_Raise)^(BD$5-1)</f>
        <v>5688569.25</v>
      </c>
      <c r="BE78" s="33" t="n">
        <f aca="false">BE73*Salary_Credit*(1+Employer_Charges)*(1+Salary_Raise)^(BE$5-1)</f>
        <v>5688569.25</v>
      </c>
      <c r="BF78" s="33" t="n">
        <f aca="false">BF73*Salary_Credit*(1+Employer_Charges)*(1+Salary_Raise)^(BF$5-1)</f>
        <v>6636664.125</v>
      </c>
      <c r="BG78" s="33" t="n">
        <f aca="false">BG73*Salary_Credit*(1+Employer_Charges)*(1+Salary_Raise)^(BG$5-1)</f>
        <v>6636664.125</v>
      </c>
      <c r="BH78" s="33" t="n">
        <f aca="false">BH73*Salary_Credit*(1+Employer_Charges)*(1+Salary_Raise)^(BH$5-1)</f>
        <v>6636664.125</v>
      </c>
      <c r="BI78" s="33" t="n">
        <f aca="false">BI73*Salary_Credit*(1+Employer_Charges)*(1+Salary_Raise)^(BI$5-1)</f>
        <v>6636664.125</v>
      </c>
      <c r="BJ78" s="33" t="n">
        <f aca="false">BJ73*Salary_Credit*(1+Employer_Charges)*(1+Salary_Raise)^(BJ$5-1)</f>
        <v>7584759</v>
      </c>
      <c r="BK78" s="33" t="n">
        <f aca="false">BK73*Salary_Credit*(1+Employer_Charges)*(1+Salary_Raise)^(BK$5-1)</f>
        <v>7584759</v>
      </c>
      <c r="BL78" s="33" t="n">
        <f aca="false">BL73*Salary_Credit*(1+Employer_Charges)*(1+Salary_Raise)^(BL$5-1)</f>
        <v>7584759</v>
      </c>
    </row>
    <row r="79" customFormat="false" ht="15" hidden="false" customHeight="true" outlineLevel="0" collapsed="false">
      <c r="A79" s="13" t="s">
        <v>1147</v>
      </c>
      <c r="B79" s="15" t="s">
        <v>92</v>
      </c>
      <c r="D79" s="56" t="n">
        <f aca="false">SUM(E79:BL79)</f>
        <v>67</v>
      </c>
      <c r="E79" s="33" t="n">
        <f aca="false">E69+E70+E71+E72+E73</f>
        <v>2</v>
      </c>
      <c r="F79" s="33" t="n">
        <f aca="false">MAX(0,F69-E69)+MAX(0,F70-E70)+MAX(0,F71-E71)+MAX(0,F72-E72)+MAX(0,F73-E73)</f>
        <v>0</v>
      </c>
      <c r="G79" s="33" t="n">
        <f aca="false">MAX(0,G69-F69)+MAX(0,G70-F70)+MAX(0,G71-F71)+MAX(0,G72-F72)+MAX(0,G73-F73)</f>
        <v>0</v>
      </c>
      <c r="H79" s="33" t="n">
        <f aca="false">MAX(0,H69-G69)+MAX(0,H70-G70)+MAX(0,H71-G71)+MAX(0,H72-G72)+MAX(0,H73-G73)</f>
        <v>4</v>
      </c>
      <c r="I79" s="33" t="n">
        <f aca="false">MAX(0,I69-H69)+MAX(0,I70-H70)+MAX(0,I71-H71)+MAX(0,I72-H72)+MAX(0,I73-H73)</f>
        <v>0</v>
      </c>
      <c r="J79" s="33" t="n">
        <f aca="false">MAX(0,J69-I69)+MAX(0,J70-I70)+MAX(0,J71-I71)+MAX(0,J72-I72)+MAX(0,J73-I73)</f>
        <v>0</v>
      </c>
      <c r="K79" s="33" t="n">
        <f aca="false">MAX(0,K69-J69)+MAX(0,K70-J70)+MAX(0,K71-J71)+MAX(0,K72-J72)+MAX(0,K73-J73)</f>
        <v>0</v>
      </c>
      <c r="L79" s="33" t="n">
        <f aca="false">MAX(0,L69-K69)+MAX(0,L70-K70)+MAX(0,L71-K71)+MAX(0,L72-K72)+MAX(0,L73-K73)</f>
        <v>0</v>
      </c>
      <c r="M79" s="33" t="n">
        <f aca="false">MAX(0,M69-L69)+MAX(0,M70-L70)+MAX(0,M71-L71)+MAX(0,M72-L72)+MAX(0,M73-L73)</f>
        <v>0</v>
      </c>
      <c r="N79" s="33" t="n">
        <f aca="false">MAX(0,N69-M69)+MAX(0,N70-M70)+MAX(0,N71-M71)+MAX(0,N72-M72)+MAX(0,N73-M73)</f>
        <v>0</v>
      </c>
      <c r="O79" s="33" t="n">
        <f aca="false">MAX(0,O69-N69)+MAX(0,O70-N70)+MAX(0,O71-N71)+MAX(0,O72-N72)+MAX(0,O73-N73)</f>
        <v>0</v>
      </c>
      <c r="P79" s="33" t="n">
        <f aca="false">MAX(0,P69-O69)+MAX(0,P70-O70)+MAX(0,P71-O71)+MAX(0,P72-O72)+MAX(0,P73-O73)</f>
        <v>0</v>
      </c>
      <c r="Q79" s="33" t="n">
        <f aca="false">MAX(0,Q69-P69)+MAX(0,Q70-P70)+MAX(0,Q71-P71)+MAX(0,Q72-P72)+MAX(0,Q73-P73)</f>
        <v>0</v>
      </c>
      <c r="R79" s="33" t="n">
        <f aca="false">MAX(0,R69-Q69)+MAX(0,R70-Q70)+MAX(0,R71-Q71)+MAX(0,R72-Q72)+MAX(0,R73-Q73)</f>
        <v>0</v>
      </c>
      <c r="S79" s="33" t="n">
        <f aca="false">MAX(0,S69-R69)+MAX(0,S70-R70)+MAX(0,S71-R71)+MAX(0,S72-R72)+MAX(0,S73-R73)</f>
        <v>0</v>
      </c>
      <c r="T79" s="33" t="n">
        <f aca="false">MAX(0,T69-S69)+MAX(0,T70-S70)+MAX(0,T71-S71)+MAX(0,T72-S72)+MAX(0,T73-S73)</f>
        <v>1</v>
      </c>
      <c r="U79" s="33" t="n">
        <f aca="false">MAX(0,U69-T69)+MAX(0,U70-T70)+MAX(0,U71-T71)+MAX(0,U72-T72)+MAX(0,U73-T73)</f>
        <v>0</v>
      </c>
      <c r="V79" s="33" t="n">
        <f aca="false">MAX(0,V69-U69)+MAX(0,V70-U70)+MAX(0,V71-U71)+MAX(0,V72-U72)+MAX(0,V73-U73)</f>
        <v>2</v>
      </c>
      <c r="W79" s="33" t="n">
        <f aca="false">MAX(0,W69-V69)+MAX(0,W70-V70)+MAX(0,W71-V71)+MAX(0,W72-V72)+MAX(0,W73-V73)</f>
        <v>0</v>
      </c>
      <c r="X79" s="33" t="n">
        <f aca="false">MAX(0,X69-W69)+MAX(0,X70-W70)+MAX(0,X71-W71)+MAX(0,X72-W72)+MAX(0,X73-W73)</f>
        <v>1</v>
      </c>
      <c r="Y79" s="33" t="n">
        <f aca="false">MAX(0,Y69-X69)+MAX(0,Y70-X70)+MAX(0,Y71-X71)+MAX(0,Y72-X72)+MAX(0,Y73-X73)</f>
        <v>1</v>
      </c>
      <c r="Z79" s="33" t="n">
        <f aca="false">MAX(0,Z69-Y69)+MAX(0,Z70-Y70)+MAX(0,Z71-Y71)+MAX(0,Z72-Y72)+MAX(0,Z73-Y73)</f>
        <v>0</v>
      </c>
      <c r="AA79" s="33" t="n">
        <f aca="false">MAX(0,AA69-Z69)+MAX(0,AA70-Z70)+MAX(0,AA71-Z71)+MAX(0,AA72-Z72)+MAX(0,AA73-Z73)</f>
        <v>0</v>
      </c>
      <c r="AB79" s="33" t="n">
        <f aca="false">MAX(0,AB69-AA69)+MAX(0,AB70-AA70)+MAX(0,AB71-AA71)+MAX(0,AB72-AA72)+MAX(0,AB73-AA73)</f>
        <v>0</v>
      </c>
      <c r="AC79" s="33" t="n">
        <f aca="false">MAX(0,AC69-AB69)+MAX(0,AC70-AB70)+MAX(0,AC71-AB71)+MAX(0,AC72-AB72)+MAX(0,AC73-AB73)</f>
        <v>1</v>
      </c>
      <c r="AD79" s="33" t="n">
        <f aca="false">MAX(0,AD69-AC69)+MAX(0,AD70-AC70)+MAX(0,AD71-AC71)+MAX(0,AD72-AC72)+MAX(0,AD73-AC73)</f>
        <v>1</v>
      </c>
      <c r="AE79" s="33" t="n">
        <f aca="false">MAX(0,AE69-AD69)+MAX(0,AE70-AD70)+MAX(0,AE71-AD71)+MAX(0,AE72-AD72)+MAX(0,AE73-AD73)</f>
        <v>0</v>
      </c>
      <c r="AF79" s="33" t="n">
        <f aca="false">MAX(0,AF69-AE69)+MAX(0,AF70-AE70)+MAX(0,AF71-AE71)+MAX(0,AF72-AE72)+MAX(0,AF73-AE73)</f>
        <v>2</v>
      </c>
      <c r="AG79" s="33" t="n">
        <f aca="false">MAX(0,AG69-AF69)+MAX(0,AG70-AF70)+MAX(0,AG71-AF71)+MAX(0,AG72-AF72)+MAX(0,AG73-AF73)</f>
        <v>3</v>
      </c>
      <c r="AH79" s="33" t="n">
        <f aca="false">MAX(0,AH69-AG69)+MAX(0,AH70-AG70)+MAX(0,AH71-AG71)+MAX(0,AH72-AG72)+MAX(0,AH73-AG73)</f>
        <v>1</v>
      </c>
      <c r="AI79" s="33" t="n">
        <f aca="false">MAX(0,AI69-AH69)+MAX(0,AI70-AH70)+MAX(0,AI71-AH71)+MAX(0,AI72-AH72)+MAX(0,AI73-AH73)</f>
        <v>1</v>
      </c>
      <c r="AJ79" s="33" t="n">
        <f aca="false">MAX(0,AJ69-AI69)+MAX(0,AJ70-AI70)+MAX(0,AJ71-AI71)+MAX(0,AJ72-AI72)+MAX(0,AJ73-AI73)</f>
        <v>0</v>
      </c>
      <c r="AK79" s="33" t="n">
        <f aca="false">MAX(0,AK69-AJ69)+MAX(0,AK70-AJ70)+MAX(0,AK71-AJ71)+MAX(0,AK72-AJ72)+MAX(0,AK73-AJ73)</f>
        <v>1</v>
      </c>
      <c r="AL79" s="33" t="n">
        <f aca="false">MAX(0,AL69-AK69)+MAX(0,AL70-AK70)+MAX(0,AL71-AK71)+MAX(0,AL72-AK72)+MAX(0,AL73-AK73)</f>
        <v>2</v>
      </c>
      <c r="AM79" s="33" t="n">
        <f aca="false">MAX(0,AM69-AL69)+MAX(0,AM70-AL70)+MAX(0,AM71-AL71)+MAX(0,AM72-AL72)+MAX(0,AM73-AL73)</f>
        <v>1</v>
      </c>
      <c r="AN79" s="33" t="n">
        <f aca="false">MAX(0,AN69-AM69)+MAX(0,AN70-AM70)+MAX(0,AN71-AM71)+MAX(0,AN72-AM72)+MAX(0,AN73-AM73)</f>
        <v>1</v>
      </c>
      <c r="AO79" s="33" t="n">
        <f aca="false">MAX(0,AO69-AN69)+MAX(0,AO70-AN70)+MAX(0,AO71-AN71)+MAX(0,AO72-AN72)+MAX(0,AO73-AN73)</f>
        <v>2</v>
      </c>
      <c r="AP79" s="33" t="n">
        <f aca="false">MAX(0,AP69-AO69)+MAX(0,AP70-AO70)+MAX(0,AP71-AO71)+MAX(0,AP72-AO72)+MAX(0,AP73-AO73)</f>
        <v>0</v>
      </c>
      <c r="AQ79" s="33" t="n">
        <f aca="false">MAX(0,AQ69-AP69)+MAX(0,AQ70-AP70)+MAX(0,AQ71-AP71)+MAX(0,AQ72-AP72)+MAX(0,AQ73-AP73)</f>
        <v>2</v>
      </c>
      <c r="AR79" s="33" t="n">
        <f aca="false">MAX(0,AR69-AQ69)+MAX(0,AR70-AQ70)+MAX(0,AR71-AQ71)+MAX(0,AR72-AQ72)+MAX(0,AR73-AQ73)</f>
        <v>3</v>
      </c>
      <c r="AS79" s="33" t="n">
        <f aca="false">MAX(0,AS69-AR69)+MAX(0,AS70-AR70)+MAX(0,AS71-AR71)+MAX(0,AS72-AR72)+MAX(0,AS73-AR73)</f>
        <v>0</v>
      </c>
      <c r="AT79" s="33" t="n">
        <f aca="false">MAX(0,AT69-AS69)+MAX(0,AT70-AS70)+MAX(0,AT71-AS71)+MAX(0,AT72-AS72)+MAX(0,AT73-AS73)</f>
        <v>1</v>
      </c>
      <c r="AU79" s="33" t="n">
        <f aca="false">MAX(0,AU69-AT69)+MAX(0,AU70-AT70)+MAX(0,AU71-AT71)+MAX(0,AU72-AT72)+MAX(0,AU73-AT73)</f>
        <v>3</v>
      </c>
      <c r="AV79" s="33" t="n">
        <f aca="false">MAX(0,AV69-AU69)+MAX(0,AV70-AU70)+MAX(0,AV71-AU71)+MAX(0,AV72-AU72)+MAX(0,AV73-AU73)</f>
        <v>0</v>
      </c>
      <c r="AW79" s="33" t="n">
        <f aca="false">MAX(0,AW69-AV69)+MAX(0,AW70-AV70)+MAX(0,AW71-AV71)+MAX(0,AW72-AV72)+MAX(0,AW73-AV73)</f>
        <v>3</v>
      </c>
      <c r="AX79" s="33" t="n">
        <f aca="false">MAX(0,AX69-AW69)+MAX(0,AX70-AW70)+MAX(0,AX71-AW71)+MAX(0,AX72-AW72)+MAX(0,AX73-AW73)</f>
        <v>1</v>
      </c>
      <c r="AY79" s="33" t="n">
        <f aca="false">MAX(0,AY69-AX69)+MAX(0,AY70-AX70)+MAX(0,AY71-AX71)+MAX(0,AY72-AX72)+MAX(0,AY73-AX73)</f>
        <v>1</v>
      </c>
      <c r="AZ79" s="33" t="n">
        <f aca="false">MAX(0,AZ69-AY69)+MAX(0,AZ70-AY70)+MAX(0,AZ71-AY71)+MAX(0,AZ72-AY72)+MAX(0,AZ73-AY73)</f>
        <v>2</v>
      </c>
      <c r="BA79" s="33" t="n">
        <f aca="false">MAX(0,BA69-AZ69)+MAX(0,BA70-AZ70)+MAX(0,BA71-AZ71)+MAX(0,BA72-AZ72)+MAX(0,BA73-AZ73)</f>
        <v>2</v>
      </c>
      <c r="BB79" s="33" t="n">
        <f aca="false">MAX(0,BB69-BA69)+MAX(0,BB70-BA70)+MAX(0,BB71-BA71)+MAX(0,BB72-BA72)+MAX(0,BB73-BA73)</f>
        <v>3</v>
      </c>
      <c r="BC79" s="33" t="n">
        <f aca="false">MAX(0,BC69-BB69)+MAX(0,BC70-BB70)+MAX(0,BC71-BB71)+MAX(0,BC72-BB72)+MAX(0,BC73-BB73)</f>
        <v>1</v>
      </c>
      <c r="BD79" s="33" t="n">
        <f aca="false">MAX(0,BD69-BC69)+MAX(0,BD70-BC70)+MAX(0,BD71-BC71)+MAX(0,BD72-BC72)+MAX(0,BD73-BC73)</f>
        <v>2</v>
      </c>
      <c r="BE79" s="33" t="n">
        <f aca="false">MAX(0,BE69-BD69)+MAX(0,BE70-BD70)+MAX(0,BE71-BD71)+MAX(0,BE72-BD72)+MAX(0,BE73-BD73)</f>
        <v>1</v>
      </c>
      <c r="BF79" s="33" t="n">
        <f aca="false">MAX(0,BF69-BE69)+MAX(0,BF70-BE70)+MAX(0,BF71-BE71)+MAX(0,BF72-BE72)+MAX(0,BF73-BE73)</f>
        <v>2</v>
      </c>
      <c r="BG79" s="33" t="n">
        <f aca="false">MAX(0,BG69-BF69)+MAX(0,BG70-BF70)+MAX(0,BG71-BF71)+MAX(0,BG72-BF72)+MAX(0,BG73-BF73)</f>
        <v>2</v>
      </c>
      <c r="BH79" s="33" t="n">
        <f aca="false">MAX(0,BH69-BG69)+MAX(0,BH70-BG70)+MAX(0,BH71-BG71)+MAX(0,BH72-BG72)+MAX(0,BH73-BG73)</f>
        <v>3</v>
      </c>
      <c r="BI79" s="33" t="n">
        <f aca="false">MAX(0,BI69-BH69)+MAX(0,BI70-BH70)+MAX(0,BI71-BH71)+MAX(0,BI72-BH72)+MAX(0,BI73-BH73)</f>
        <v>2</v>
      </c>
      <c r="BJ79" s="33" t="n">
        <f aca="false">MAX(0,BJ69-BI69)+MAX(0,BJ70-BI70)+MAX(0,BJ71-BI71)+MAX(0,BJ72-BI72)+MAX(0,BJ73-BI73)</f>
        <v>2</v>
      </c>
      <c r="BK79" s="33" t="n">
        <f aca="false">MAX(0,BK69-BJ69)+MAX(0,BK70-BJ70)+MAX(0,BK71-BJ71)+MAX(0,BK72-BJ72)+MAX(0,BK73-BJ73)</f>
        <v>2</v>
      </c>
      <c r="BL79" s="33" t="n">
        <f aca="false">MAX(0,BL69-BK69)+MAX(0,BL70-BK70)+MAX(0,BL71-BK71)+MAX(0,BL72-BK72)+MAX(0,BL73-BK73)</f>
        <v>2</v>
      </c>
    </row>
    <row r="81" customFormat="false" ht="15" hidden="false" customHeight="true" outlineLevel="0" collapsed="false">
      <c r="A81" s="11" t="s">
        <v>1148</v>
      </c>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row>
    <row r="82" customFormat="false" ht="15" hidden="false" customHeight="true" outlineLevel="0" collapsed="false">
      <c r="A82" s="9" t="s">
        <v>1149</v>
      </c>
      <c r="B82" s="15" t="s">
        <v>92</v>
      </c>
      <c r="D82" s="56" t="n">
        <f aca="false">BL82</f>
        <v>75</v>
      </c>
      <c r="E82" s="17" t="n">
        <f aca="false">SUM(E9:E36)+E69+E70+E71+E72+E73</f>
        <v>5</v>
      </c>
      <c r="F82" s="17" t="n">
        <f aca="false">SUM(F9:F36)+F69+F70+F71+F72+F73</f>
        <v>5</v>
      </c>
      <c r="G82" s="17" t="n">
        <f aca="false">SUM(G9:G36)+G69+G70+G71+G72+G73</f>
        <v>5</v>
      </c>
      <c r="H82" s="17" t="n">
        <f aca="false">SUM(H9:H36)+H69+H70+H71+H72+H73</f>
        <v>10</v>
      </c>
      <c r="I82" s="17" t="n">
        <f aca="false">SUM(I9:I36)+I69+I70+I71+I72+I73</f>
        <v>11</v>
      </c>
      <c r="J82" s="17" t="n">
        <f aca="false">SUM(J9:J36)+J69+J70+J71+J72+J73</f>
        <v>11</v>
      </c>
      <c r="K82" s="17" t="n">
        <f aca="false">SUM(K9:K36)+K69+K70+K71+K72+K73</f>
        <v>11</v>
      </c>
      <c r="L82" s="17" t="n">
        <f aca="false">SUM(L9:L36)+L69+L70+L71+L72+L73</f>
        <v>11</v>
      </c>
      <c r="M82" s="17" t="n">
        <f aca="false">SUM(M9:M36)+M69+M70+M71+M72+M73</f>
        <v>11</v>
      </c>
      <c r="N82" s="17" t="n">
        <f aca="false">SUM(N9:N36)+N69+N70+N71+N72+N73</f>
        <v>11</v>
      </c>
      <c r="O82" s="17" t="n">
        <f aca="false">SUM(O9:O36)+O69+O70+O71+O72+O73</f>
        <v>11</v>
      </c>
      <c r="P82" s="17" t="n">
        <f aca="false">SUM(P9:P36)+P69+P70+P71+P72+P73</f>
        <v>11</v>
      </c>
      <c r="Q82" s="17" t="n">
        <f aca="false">SUM(Q9:Q36)+Q69+Q70+Q71+Q72+Q73</f>
        <v>12</v>
      </c>
      <c r="R82" s="17" t="n">
        <f aca="false">SUM(R9:R36)+R69+R70+R71+R72+R73</f>
        <v>12</v>
      </c>
      <c r="S82" s="17" t="n">
        <f aca="false">SUM(S9:S36)+S69+S70+S71+S72+S73</f>
        <v>12</v>
      </c>
      <c r="T82" s="17" t="n">
        <f aca="false">SUM(T9:T36)+T69+T70+T71+T72+T73</f>
        <v>13</v>
      </c>
      <c r="U82" s="17" t="n">
        <f aca="false">SUM(U9:U36)+U69+U70+U71+U72+U73</f>
        <v>13</v>
      </c>
      <c r="V82" s="17" t="n">
        <f aca="false">SUM(V9:V36)+V69+V70+V71+V72+V73</f>
        <v>16</v>
      </c>
      <c r="W82" s="17" t="n">
        <f aca="false">SUM(W9:W36)+W69+W70+W71+W72+W73</f>
        <v>16</v>
      </c>
      <c r="X82" s="17" t="n">
        <f aca="false">SUM(X9:X36)+X69+X70+X71+X72+X73</f>
        <v>17</v>
      </c>
      <c r="Y82" s="17" t="n">
        <f aca="false">SUM(Y9:Y36)+Y69+Y70+Y71+Y72+Y73</f>
        <v>18</v>
      </c>
      <c r="Z82" s="17" t="n">
        <f aca="false">SUM(Z9:Z36)+Z69+Z70+Z71+Z72+Z73</f>
        <v>18</v>
      </c>
      <c r="AA82" s="17" t="n">
        <f aca="false">SUM(AA9:AA36)+AA69+AA70+AA71+AA72+AA73</f>
        <v>18</v>
      </c>
      <c r="AB82" s="17" t="n">
        <f aca="false">SUM(AB9:AB36)+AB69+AB70+AB71+AB72+AB73</f>
        <v>19</v>
      </c>
      <c r="AC82" s="17" t="n">
        <f aca="false">SUM(AC9:AC36)+AC69+AC70+AC71+AC72+AC73</f>
        <v>20</v>
      </c>
      <c r="AD82" s="17" t="n">
        <f aca="false">SUM(AD9:AD36)+AD69+AD70+AD71+AD72+AD73</f>
        <v>21</v>
      </c>
      <c r="AE82" s="17" t="n">
        <f aca="false">SUM(AE9:AE36)+AE69+AE70+AE71+AE72+AE73</f>
        <v>21</v>
      </c>
      <c r="AF82" s="17" t="n">
        <f aca="false">SUM(AF9:AF36)+AF69+AF70+AF71+AF72+AF73</f>
        <v>23</v>
      </c>
      <c r="AG82" s="17" t="n">
        <f aca="false">SUM(AG9:AG36)+AG69+AG70+AG71+AG72+AG73</f>
        <v>26</v>
      </c>
      <c r="AH82" s="17" t="n">
        <f aca="false">SUM(AH9:AH36)+AH69+AH70+AH71+AH72+AH73</f>
        <v>27</v>
      </c>
      <c r="AI82" s="17" t="n">
        <f aca="false">SUM(AI9:AI36)+AI69+AI70+AI71+AI72+AI73</f>
        <v>28</v>
      </c>
      <c r="AJ82" s="17" t="n">
        <f aca="false">SUM(AJ9:AJ36)+AJ69+AJ70+AJ71+AJ72+AJ73</f>
        <v>28</v>
      </c>
      <c r="AK82" s="17" t="n">
        <f aca="false">SUM(AK9:AK36)+AK69+AK70+AK71+AK72+AK73</f>
        <v>29</v>
      </c>
      <c r="AL82" s="17" t="n">
        <f aca="false">SUM(AL9:AL36)+AL69+AL70+AL71+AL72+AL73</f>
        <v>31</v>
      </c>
      <c r="AM82" s="17" t="n">
        <f aca="false">SUM(AM9:AM36)+AM69+AM70+AM71+AM72+AM73</f>
        <v>32</v>
      </c>
      <c r="AN82" s="17" t="n">
        <f aca="false">SUM(AN9:AN36)+AN69+AN70+AN71+AN72+AN73</f>
        <v>33</v>
      </c>
      <c r="AO82" s="17" t="n">
        <f aca="false">SUM(AO9:AO36)+AO69+AO70+AO71+AO72+AO73</f>
        <v>35</v>
      </c>
      <c r="AP82" s="17" t="n">
        <f aca="false">SUM(AP9:AP36)+AP69+AP70+AP71+AP72+AP73</f>
        <v>35</v>
      </c>
      <c r="AQ82" s="17" t="n">
        <f aca="false">SUM(AQ9:AQ36)+AQ69+AQ70+AQ71+AQ72+AQ73</f>
        <v>37</v>
      </c>
      <c r="AR82" s="17" t="n">
        <f aca="false">SUM(AR9:AR36)+AR69+AR70+AR71+AR72+AR73</f>
        <v>40</v>
      </c>
      <c r="AS82" s="17" t="n">
        <f aca="false">SUM(AS9:AS36)+AS69+AS70+AS71+AS72+AS73</f>
        <v>40</v>
      </c>
      <c r="AT82" s="17" t="n">
        <f aca="false">SUM(AT9:AT36)+AT69+AT70+AT71+AT72+AT73</f>
        <v>41</v>
      </c>
      <c r="AU82" s="17" t="n">
        <f aca="false">SUM(AU9:AU36)+AU69+AU70+AU71+AU72+AU73</f>
        <v>44</v>
      </c>
      <c r="AV82" s="17" t="n">
        <f aca="false">SUM(AV9:AV36)+AV69+AV70+AV71+AV72+AV73</f>
        <v>44</v>
      </c>
      <c r="AW82" s="17" t="n">
        <f aca="false">SUM(AW9:AW36)+AW69+AW70+AW71+AW72+AW73</f>
        <v>47</v>
      </c>
      <c r="AX82" s="17" t="n">
        <f aca="false">SUM(AX9:AX36)+AX69+AX70+AX71+AX72+AX73</f>
        <v>48</v>
      </c>
      <c r="AY82" s="17" t="n">
        <f aca="false">SUM(AY9:AY36)+AY69+AY70+AY71+AY72+AY73</f>
        <v>49</v>
      </c>
      <c r="AZ82" s="17" t="n">
        <f aca="false">SUM(AZ9:AZ36)+AZ69+AZ70+AZ71+AZ72+AZ73</f>
        <v>51</v>
      </c>
      <c r="BA82" s="17" t="n">
        <f aca="false">SUM(BA9:BA36)+BA69+BA70+BA71+BA72+BA73</f>
        <v>53</v>
      </c>
      <c r="BB82" s="17" t="n">
        <f aca="false">SUM(BB9:BB36)+BB69+BB70+BB71+BB72+BB73</f>
        <v>56</v>
      </c>
      <c r="BC82" s="17" t="n">
        <f aca="false">SUM(BC9:BC36)+BC69+BC70+BC71+BC72+BC73</f>
        <v>57</v>
      </c>
      <c r="BD82" s="17" t="n">
        <f aca="false">SUM(BD9:BD36)+BD69+BD70+BD71+BD72+BD73</f>
        <v>59</v>
      </c>
      <c r="BE82" s="17" t="n">
        <f aca="false">SUM(BE9:BE36)+BE69+BE70+BE71+BE72+BE73</f>
        <v>60</v>
      </c>
      <c r="BF82" s="17" t="n">
        <f aca="false">SUM(BF9:BF36)+BF69+BF70+BF71+BF72+BF73</f>
        <v>62</v>
      </c>
      <c r="BG82" s="17" t="n">
        <f aca="false">SUM(BG9:BG36)+BG69+BG70+BG71+BG72+BG73</f>
        <v>64</v>
      </c>
      <c r="BH82" s="17" t="n">
        <f aca="false">SUM(BH9:BH36)+BH69+BH70+BH71+BH72+BH73</f>
        <v>67</v>
      </c>
      <c r="BI82" s="17" t="n">
        <f aca="false">SUM(BI9:BI36)+BI69+BI70+BI71+BI72+BI73</f>
        <v>69</v>
      </c>
      <c r="BJ82" s="17" t="n">
        <f aca="false">SUM(BJ9:BJ36)+BJ69+BJ70+BJ71+BJ72+BJ73</f>
        <v>71</v>
      </c>
      <c r="BK82" s="17" t="n">
        <f aca="false">SUM(BK9:BK36)+BK69+BK70+BK71+BK72+BK73</f>
        <v>73</v>
      </c>
      <c r="BL82" s="17" t="n">
        <f aca="false">SUM(BL9:BL36)+BL69+BL70+BL71+BL72+BL73</f>
        <v>75</v>
      </c>
    </row>
    <row r="83" customFormat="false" ht="15" hidden="false" customHeight="true" outlineLevel="0" collapsed="false">
      <c r="A83" s="13" t="s">
        <v>1150</v>
      </c>
      <c r="B83" s="15" t="s">
        <v>92</v>
      </c>
      <c r="D83" s="56" t="n">
        <f aca="false">BL83</f>
        <v>66</v>
      </c>
      <c r="E83" s="33" t="n">
        <f aca="false">SUMIF('Hiring plan'!$D$5:$D$32,"SN",E9:E36)+E69+E70+E71+E73</f>
        <v>5</v>
      </c>
      <c r="F83" s="33" t="n">
        <f aca="false">SUMIF('Hiring plan'!$D$5:$D$32,"SN",F9:F36)+F69+F70+F71+F73</f>
        <v>5</v>
      </c>
      <c r="G83" s="33" t="n">
        <f aca="false">SUMIF('Hiring plan'!$D$5:$D$32,"SN",G9:G36)+G69+G70+G71+G73</f>
        <v>5</v>
      </c>
      <c r="H83" s="33" t="n">
        <f aca="false">SUMIF('Hiring plan'!$D$5:$D$32,"SN",H9:H36)+H69+H70+H71+H73</f>
        <v>10</v>
      </c>
      <c r="I83" s="33" t="n">
        <f aca="false">SUMIF('Hiring plan'!$D$5:$D$32,"SN",I9:I36)+I69+I70+I71+I73</f>
        <v>11</v>
      </c>
      <c r="J83" s="33" t="n">
        <f aca="false">SUMIF('Hiring plan'!$D$5:$D$32,"SN",J9:J36)+J69+J70+J71+J73</f>
        <v>11</v>
      </c>
      <c r="K83" s="33" t="n">
        <f aca="false">SUMIF('Hiring plan'!$D$5:$D$32,"SN",K9:K36)+K69+K70+K71+K73</f>
        <v>11</v>
      </c>
      <c r="L83" s="33" t="n">
        <f aca="false">SUMIF('Hiring plan'!$D$5:$D$32,"SN",L9:L36)+L69+L70+L71+L73</f>
        <v>11</v>
      </c>
      <c r="M83" s="33" t="n">
        <f aca="false">SUMIF('Hiring plan'!$D$5:$D$32,"SN",M9:M36)+M69+M70+M71+M73</f>
        <v>11</v>
      </c>
      <c r="N83" s="33" t="n">
        <f aca="false">SUMIF('Hiring plan'!$D$5:$D$32,"SN",N9:N36)+N69+N70+N71+N73</f>
        <v>11</v>
      </c>
      <c r="O83" s="33" t="n">
        <f aca="false">SUMIF('Hiring plan'!$D$5:$D$32,"SN",O9:O36)+O69+O70+O71+O73</f>
        <v>11</v>
      </c>
      <c r="P83" s="33" t="n">
        <f aca="false">SUMIF('Hiring plan'!$D$5:$D$32,"SN",P9:P36)+P69+P70+P71+P73</f>
        <v>11</v>
      </c>
      <c r="Q83" s="33" t="n">
        <f aca="false">SUMIF('Hiring plan'!$D$5:$D$32,"SN",Q9:Q36)+Q69+Q70+Q71+Q73</f>
        <v>12</v>
      </c>
      <c r="R83" s="33" t="n">
        <f aca="false">SUMIF('Hiring plan'!$D$5:$D$32,"SN",R9:R36)+R69+R70+R71+R73</f>
        <v>12</v>
      </c>
      <c r="S83" s="33" t="n">
        <f aca="false">SUMIF('Hiring plan'!$D$5:$D$32,"SN",S9:S36)+S69+S70+S71+S73</f>
        <v>12</v>
      </c>
      <c r="T83" s="33" t="n">
        <f aca="false">SUMIF('Hiring plan'!$D$5:$D$32,"SN",T9:T36)+T69+T70+T71+T73</f>
        <v>13</v>
      </c>
      <c r="U83" s="33" t="n">
        <f aca="false">SUMIF('Hiring plan'!$D$5:$D$32,"SN",U9:U36)+U69+U70+U71+U73</f>
        <v>13</v>
      </c>
      <c r="V83" s="33" t="n">
        <f aca="false">SUMIF('Hiring plan'!$D$5:$D$32,"SN",V9:V36)+V69+V70+V71+V73</f>
        <v>13</v>
      </c>
      <c r="W83" s="33" t="n">
        <f aca="false">SUMIF('Hiring plan'!$D$5:$D$32,"SN",W9:W36)+W69+W70+W71+W73</f>
        <v>13</v>
      </c>
      <c r="X83" s="33" t="n">
        <f aca="false">SUMIF('Hiring plan'!$D$5:$D$32,"SN",X9:X36)+X69+X70+X71+X73</f>
        <v>14</v>
      </c>
      <c r="Y83" s="33" t="n">
        <f aca="false">SUMIF('Hiring plan'!$D$5:$D$32,"SN",Y9:Y36)+Y69+Y70+Y71+Y73</f>
        <v>15</v>
      </c>
      <c r="Z83" s="33" t="n">
        <f aca="false">SUMIF('Hiring plan'!$D$5:$D$32,"SN",Z9:Z36)+Z69+Z70+Z71+Z73</f>
        <v>15</v>
      </c>
      <c r="AA83" s="33" t="n">
        <f aca="false">SUMIF('Hiring plan'!$D$5:$D$32,"SN",AA9:AA36)+AA69+AA70+AA71+AA73</f>
        <v>15</v>
      </c>
      <c r="AB83" s="33" t="n">
        <f aca="false">SUMIF('Hiring plan'!$D$5:$D$32,"SN",AB9:AB36)+AB69+AB70+AB71+AB73</f>
        <v>16</v>
      </c>
      <c r="AC83" s="33" t="n">
        <f aca="false">SUMIF('Hiring plan'!$D$5:$D$32,"SN",AC9:AC36)+AC69+AC70+AC71+AC73</f>
        <v>17</v>
      </c>
      <c r="AD83" s="33" t="n">
        <f aca="false">SUMIF('Hiring plan'!$D$5:$D$32,"SN",AD9:AD36)+AD69+AD70+AD71+AD73</f>
        <v>18</v>
      </c>
      <c r="AE83" s="33" t="n">
        <f aca="false">SUMIF('Hiring plan'!$D$5:$D$32,"SN",AE9:AE36)+AE69+AE70+AE71+AE73</f>
        <v>18</v>
      </c>
      <c r="AF83" s="33" t="n">
        <f aca="false">SUMIF('Hiring plan'!$D$5:$D$32,"SN",AF9:AF36)+AF69+AF70+AF71+AF73</f>
        <v>20</v>
      </c>
      <c r="AG83" s="33" t="n">
        <f aca="false">SUMIF('Hiring plan'!$D$5:$D$32,"SN",AG9:AG36)+AG69+AG70+AG71+AG73</f>
        <v>23</v>
      </c>
      <c r="AH83" s="33" t="n">
        <f aca="false">SUMIF('Hiring plan'!$D$5:$D$32,"SN",AH9:AH36)+AH69+AH70+AH71+AH73</f>
        <v>24</v>
      </c>
      <c r="AI83" s="33" t="n">
        <f aca="false">SUMIF('Hiring plan'!$D$5:$D$32,"SN",AI9:AI36)+AI69+AI70+AI71+AI73</f>
        <v>25</v>
      </c>
      <c r="AJ83" s="33" t="n">
        <f aca="false">SUMIF('Hiring plan'!$D$5:$D$32,"SN",AJ9:AJ36)+AJ69+AJ70+AJ71+AJ73</f>
        <v>25</v>
      </c>
      <c r="AK83" s="33" t="n">
        <f aca="false">SUMIF('Hiring plan'!$D$5:$D$32,"SN",AK9:AK36)+AK69+AK70+AK71+AK73</f>
        <v>26</v>
      </c>
      <c r="AL83" s="33" t="n">
        <f aca="false">SUMIF('Hiring plan'!$D$5:$D$32,"SN",AL9:AL36)+AL69+AL70+AL71+AL73</f>
        <v>28</v>
      </c>
      <c r="AM83" s="33" t="n">
        <f aca="false">SUMIF('Hiring plan'!$D$5:$D$32,"SN",AM9:AM36)+AM69+AM70+AM71+AM73</f>
        <v>29</v>
      </c>
      <c r="AN83" s="33" t="n">
        <f aca="false">SUMIF('Hiring plan'!$D$5:$D$32,"SN",AN9:AN36)+AN69+AN70+AN71+AN73</f>
        <v>29</v>
      </c>
      <c r="AO83" s="33" t="n">
        <f aca="false">SUMIF('Hiring plan'!$D$5:$D$32,"SN",AO9:AO36)+AO69+AO70+AO71+AO73</f>
        <v>31</v>
      </c>
      <c r="AP83" s="33" t="n">
        <f aca="false">SUMIF('Hiring plan'!$D$5:$D$32,"SN",AP9:AP36)+AP69+AP70+AP71+AP73</f>
        <v>31</v>
      </c>
      <c r="AQ83" s="33" t="n">
        <f aca="false">SUMIF('Hiring plan'!$D$5:$D$32,"SN",AQ9:AQ36)+AQ69+AQ70+AQ71+AQ73</f>
        <v>33</v>
      </c>
      <c r="AR83" s="33" t="n">
        <f aca="false">SUMIF('Hiring plan'!$D$5:$D$32,"SN",AR9:AR36)+AR69+AR70+AR71+AR73</f>
        <v>36</v>
      </c>
      <c r="AS83" s="33" t="n">
        <f aca="false">SUMIF('Hiring plan'!$D$5:$D$32,"SN",AS9:AS36)+AS69+AS70+AS71+AS73</f>
        <v>36</v>
      </c>
      <c r="AT83" s="33" t="n">
        <f aca="false">SUMIF('Hiring plan'!$D$5:$D$32,"SN",AT9:AT36)+AT69+AT70+AT71+AT73</f>
        <v>37</v>
      </c>
      <c r="AU83" s="33" t="n">
        <f aca="false">SUMIF('Hiring plan'!$D$5:$D$32,"SN",AU9:AU36)+AU69+AU70+AU71+AU73</f>
        <v>39</v>
      </c>
      <c r="AV83" s="33" t="n">
        <f aca="false">SUMIF('Hiring plan'!$D$5:$D$32,"SN",AV9:AV36)+AV69+AV70+AV71+AV73</f>
        <v>39</v>
      </c>
      <c r="AW83" s="33" t="n">
        <f aca="false">SUMIF('Hiring plan'!$D$5:$D$32,"SN",AW9:AW36)+AW69+AW70+AW71+AW73</f>
        <v>42</v>
      </c>
      <c r="AX83" s="33" t="n">
        <f aca="false">SUMIF('Hiring plan'!$D$5:$D$32,"SN",AX9:AX36)+AX69+AX70+AX71+AX73</f>
        <v>43</v>
      </c>
      <c r="AY83" s="33" t="n">
        <f aca="false">SUMIF('Hiring plan'!$D$5:$D$32,"SN",AY9:AY36)+AY69+AY70+AY71+AY73</f>
        <v>44</v>
      </c>
      <c r="AZ83" s="33" t="n">
        <f aca="false">SUMIF('Hiring plan'!$D$5:$D$32,"SN",AZ9:AZ36)+AZ69+AZ70+AZ71+AZ73</f>
        <v>45</v>
      </c>
      <c r="BA83" s="33" t="n">
        <f aca="false">SUMIF('Hiring plan'!$D$5:$D$32,"SN",BA9:BA36)+BA69+BA70+BA71+BA73</f>
        <v>47</v>
      </c>
      <c r="BB83" s="33" t="n">
        <f aca="false">SUMIF('Hiring plan'!$D$5:$D$32,"SN",BB9:BB36)+BB69+BB70+BB71+BB73</f>
        <v>50</v>
      </c>
      <c r="BC83" s="33" t="n">
        <f aca="false">SUMIF('Hiring plan'!$D$5:$D$32,"SN",BC9:BC36)+BC69+BC70+BC71+BC73</f>
        <v>51</v>
      </c>
      <c r="BD83" s="33" t="n">
        <f aca="false">SUMIF('Hiring plan'!$D$5:$D$32,"SN",BD9:BD36)+BD69+BD70+BD71+BD73</f>
        <v>52</v>
      </c>
      <c r="BE83" s="33" t="n">
        <f aca="false">SUMIF('Hiring plan'!$D$5:$D$32,"SN",BE9:BE36)+BE69+BE70+BE71+BE73</f>
        <v>53</v>
      </c>
      <c r="BF83" s="33" t="n">
        <f aca="false">SUMIF('Hiring plan'!$D$5:$D$32,"SN",BF9:BF36)+BF69+BF70+BF71+BF73</f>
        <v>55</v>
      </c>
      <c r="BG83" s="33" t="n">
        <f aca="false">SUMIF('Hiring plan'!$D$5:$D$32,"SN",BG9:BG36)+BG69+BG70+BG71+BG73</f>
        <v>57</v>
      </c>
      <c r="BH83" s="33" t="n">
        <f aca="false">SUMIF('Hiring plan'!$D$5:$D$32,"SN",BH9:BH36)+BH69+BH70+BH71+BH73</f>
        <v>59</v>
      </c>
      <c r="BI83" s="33" t="n">
        <f aca="false">SUMIF('Hiring plan'!$D$5:$D$32,"SN",BI9:BI36)+BI69+BI70+BI71+BI73</f>
        <v>61</v>
      </c>
      <c r="BJ83" s="33" t="n">
        <f aca="false">SUMIF('Hiring plan'!$D$5:$D$32,"SN",BJ9:BJ36)+BJ69+BJ70+BJ71+BJ73</f>
        <v>63</v>
      </c>
      <c r="BK83" s="33" t="n">
        <f aca="false">SUMIF('Hiring plan'!$D$5:$D$32,"SN",BK9:BK36)+BK69+BK70+BK71+BK73</f>
        <v>65</v>
      </c>
      <c r="BL83" s="33" t="n">
        <f aca="false">SUMIF('Hiring plan'!$D$5:$D$32,"SN",BL9:BL36)+BL69+BL70+BL71+BL73</f>
        <v>66</v>
      </c>
    </row>
    <row r="84" customFormat="false" ht="15" hidden="false" customHeight="true" outlineLevel="0" collapsed="false">
      <c r="A84" s="13" t="s">
        <v>1151</v>
      </c>
      <c r="B84" s="15" t="s">
        <v>92</v>
      </c>
      <c r="D84" s="56" t="n">
        <f aca="false">BL84</f>
        <v>9</v>
      </c>
      <c r="E84" s="33" t="n">
        <f aca="false">SUMIF('Hiring plan'!$D$5:$D$32,"CI",E9:E36)+E72</f>
        <v>0</v>
      </c>
      <c r="F84" s="33" t="n">
        <f aca="false">SUMIF('Hiring plan'!$D$5:$D$32,"CI",F9:F36)+F72</f>
        <v>0</v>
      </c>
      <c r="G84" s="33" t="n">
        <f aca="false">SUMIF('Hiring plan'!$D$5:$D$32,"CI",G9:G36)+G72</f>
        <v>0</v>
      </c>
      <c r="H84" s="33" t="n">
        <f aca="false">SUMIF('Hiring plan'!$D$5:$D$32,"CI",H9:H36)+H72</f>
        <v>0</v>
      </c>
      <c r="I84" s="33" t="n">
        <f aca="false">SUMIF('Hiring plan'!$D$5:$D$32,"CI",I9:I36)+I72</f>
        <v>0</v>
      </c>
      <c r="J84" s="33" t="n">
        <f aca="false">SUMIF('Hiring plan'!$D$5:$D$32,"CI",J9:J36)+J72</f>
        <v>0</v>
      </c>
      <c r="K84" s="33" t="n">
        <f aca="false">SUMIF('Hiring plan'!$D$5:$D$32,"CI",K9:K36)+K72</f>
        <v>0</v>
      </c>
      <c r="L84" s="33" t="n">
        <f aca="false">SUMIF('Hiring plan'!$D$5:$D$32,"CI",L9:L36)+L72</f>
        <v>0</v>
      </c>
      <c r="M84" s="33" t="n">
        <f aca="false">SUMIF('Hiring plan'!$D$5:$D$32,"CI",M9:M36)+M72</f>
        <v>0</v>
      </c>
      <c r="N84" s="33" t="n">
        <f aca="false">SUMIF('Hiring plan'!$D$5:$D$32,"CI",N9:N36)+N72</f>
        <v>0</v>
      </c>
      <c r="O84" s="33" t="n">
        <f aca="false">SUMIF('Hiring plan'!$D$5:$D$32,"CI",O9:O36)+O72</f>
        <v>0</v>
      </c>
      <c r="P84" s="33" t="n">
        <f aca="false">SUMIF('Hiring plan'!$D$5:$D$32,"CI",P9:P36)+P72</f>
        <v>0</v>
      </c>
      <c r="Q84" s="33" t="n">
        <f aca="false">SUMIF('Hiring plan'!$D$5:$D$32,"CI",Q9:Q36)+Q72</f>
        <v>0</v>
      </c>
      <c r="R84" s="33" t="n">
        <f aca="false">SUMIF('Hiring plan'!$D$5:$D$32,"CI",R9:R36)+R72</f>
        <v>0</v>
      </c>
      <c r="S84" s="33" t="n">
        <f aca="false">SUMIF('Hiring plan'!$D$5:$D$32,"CI",S9:S36)+S72</f>
        <v>0</v>
      </c>
      <c r="T84" s="33" t="n">
        <f aca="false">SUMIF('Hiring plan'!$D$5:$D$32,"CI",T9:T36)+T72</f>
        <v>0</v>
      </c>
      <c r="U84" s="33" t="n">
        <f aca="false">SUMIF('Hiring plan'!$D$5:$D$32,"CI",U9:U36)+U72</f>
        <v>0</v>
      </c>
      <c r="V84" s="33" t="n">
        <f aca="false">SUMIF('Hiring plan'!$D$5:$D$32,"CI",V9:V36)+V72</f>
        <v>3</v>
      </c>
      <c r="W84" s="33" t="n">
        <f aca="false">SUMIF('Hiring plan'!$D$5:$D$32,"CI",W9:W36)+W72</f>
        <v>3</v>
      </c>
      <c r="X84" s="33" t="n">
        <f aca="false">SUMIF('Hiring plan'!$D$5:$D$32,"CI",X9:X36)+X72</f>
        <v>3</v>
      </c>
      <c r="Y84" s="33" t="n">
        <f aca="false">SUMIF('Hiring plan'!$D$5:$D$32,"CI",Y9:Y36)+Y72</f>
        <v>3</v>
      </c>
      <c r="Z84" s="33" t="n">
        <f aca="false">SUMIF('Hiring plan'!$D$5:$D$32,"CI",Z9:Z36)+Z72</f>
        <v>3</v>
      </c>
      <c r="AA84" s="33" t="n">
        <f aca="false">SUMIF('Hiring plan'!$D$5:$D$32,"CI",AA9:AA36)+AA72</f>
        <v>3</v>
      </c>
      <c r="AB84" s="33" t="n">
        <f aca="false">SUMIF('Hiring plan'!$D$5:$D$32,"CI",AB9:AB36)+AB72</f>
        <v>3</v>
      </c>
      <c r="AC84" s="33" t="n">
        <f aca="false">SUMIF('Hiring plan'!$D$5:$D$32,"CI",AC9:AC36)+AC72</f>
        <v>3</v>
      </c>
      <c r="AD84" s="33" t="n">
        <f aca="false">SUMIF('Hiring plan'!$D$5:$D$32,"CI",AD9:AD36)+AD72</f>
        <v>3</v>
      </c>
      <c r="AE84" s="33" t="n">
        <f aca="false">SUMIF('Hiring plan'!$D$5:$D$32,"CI",AE9:AE36)+AE72</f>
        <v>3</v>
      </c>
      <c r="AF84" s="33" t="n">
        <f aca="false">SUMIF('Hiring plan'!$D$5:$D$32,"CI",AF9:AF36)+AF72</f>
        <v>3</v>
      </c>
      <c r="AG84" s="33" t="n">
        <f aca="false">SUMIF('Hiring plan'!$D$5:$D$32,"CI",AG9:AG36)+AG72</f>
        <v>3</v>
      </c>
      <c r="AH84" s="33" t="n">
        <f aca="false">SUMIF('Hiring plan'!$D$5:$D$32,"CI",AH9:AH36)+AH72</f>
        <v>3</v>
      </c>
      <c r="AI84" s="33" t="n">
        <f aca="false">SUMIF('Hiring plan'!$D$5:$D$32,"CI",AI9:AI36)+AI72</f>
        <v>3</v>
      </c>
      <c r="AJ84" s="33" t="n">
        <f aca="false">SUMIF('Hiring plan'!$D$5:$D$32,"CI",AJ9:AJ36)+AJ72</f>
        <v>3</v>
      </c>
      <c r="AK84" s="33" t="n">
        <f aca="false">SUMIF('Hiring plan'!$D$5:$D$32,"CI",AK9:AK36)+AK72</f>
        <v>3</v>
      </c>
      <c r="AL84" s="33" t="n">
        <f aca="false">SUMIF('Hiring plan'!$D$5:$D$32,"CI",AL9:AL36)+AL72</f>
        <v>3</v>
      </c>
      <c r="AM84" s="33" t="n">
        <f aca="false">SUMIF('Hiring plan'!$D$5:$D$32,"CI",AM9:AM36)+AM72</f>
        <v>3</v>
      </c>
      <c r="AN84" s="33" t="n">
        <f aca="false">SUMIF('Hiring plan'!$D$5:$D$32,"CI",AN9:AN36)+AN72</f>
        <v>4</v>
      </c>
      <c r="AO84" s="33" t="n">
        <f aca="false">SUMIF('Hiring plan'!$D$5:$D$32,"CI",AO9:AO36)+AO72</f>
        <v>4</v>
      </c>
      <c r="AP84" s="33" t="n">
        <f aca="false">SUMIF('Hiring plan'!$D$5:$D$32,"CI",AP9:AP36)+AP72</f>
        <v>4</v>
      </c>
      <c r="AQ84" s="33" t="n">
        <f aca="false">SUMIF('Hiring plan'!$D$5:$D$32,"CI",AQ9:AQ36)+AQ72</f>
        <v>4</v>
      </c>
      <c r="AR84" s="33" t="n">
        <f aca="false">SUMIF('Hiring plan'!$D$5:$D$32,"CI",AR9:AR36)+AR72</f>
        <v>4</v>
      </c>
      <c r="AS84" s="33" t="n">
        <f aca="false">SUMIF('Hiring plan'!$D$5:$D$32,"CI",AS9:AS36)+AS72</f>
        <v>4</v>
      </c>
      <c r="AT84" s="33" t="n">
        <f aca="false">SUMIF('Hiring plan'!$D$5:$D$32,"CI",AT9:AT36)+AT72</f>
        <v>4</v>
      </c>
      <c r="AU84" s="33" t="n">
        <f aca="false">SUMIF('Hiring plan'!$D$5:$D$32,"CI",AU9:AU36)+AU72</f>
        <v>5</v>
      </c>
      <c r="AV84" s="33" t="n">
        <f aca="false">SUMIF('Hiring plan'!$D$5:$D$32,"CI",AV9:AV36)+AV72</f>
        <v>5</v>
      </c>
      <c r="AW84" s="33" t="n">
        <f aca="false">SUMIF('Hiring plan'!$D$5:$D$32,"CI",AW9:AW36)+AW72</f>
        <v>5</v>
      </c>
      <c r="AX84" s="33" t="n">
        <f aca="false">SUMIF('Hiring plan'!$D$5:$D$32,"CI",AX9:AX36)+AX72</f>
        <v>5</v>
      </c>
      <c r="AY84" s="33" t="n">
        <f aca="false">SUMIF('Hiring plan'!$D$5:$D$32,"CI",AY9:AY36)+AY72</f>
        <v>5</v>
      </c>
      <c r="AZ84" s="33" t="n">
        <f aca="false">SUMIF('Hiring plan'!$D$5:$D$32,"CI",AZ9:AZ36)+AZ72</f>
        <v>6</v>
      </c>
      <c r="BA84" s="33" t="n">
        <f aca="false">SUMIF('Hiring plan'!$D$5:$D$32,"CI",BA9:BA36)+BA72</f>
        <v>6</v>
      </c>
      <c r="BB84" s="33" t="n">
        <f aca="false">SUMIF('Hiring plan'!$D$5:$D$32,"CI",BB9:BB36)+BB72</f>
        <v>6</v>
      </c>
      <c r="BC84" s="33" t="n">
        <f aca="false">SUMIF('Hiring plan'!$D$5:$D$32,"CI",BC9:BC36)+BC72</f>
        <v>6</v>
      </c>
      <c r="BD84" s="33" t="n">
        <f aca="false">SUMIF('Hiring plan'!$D$5:$D$32,"CI",BD9:BD36)+BD72</f>
        <v>7</v>
      </c>
      <c r="BE84" s="33" t="n">
        <f aca="false">SUMIF('Hiring plan'!$D$5:$D$32,"CI",BE9:BE36)+BE72</f>
        <v>7</v>
      </c>
      <c r="BF84" s="33" t="n">
        <f aca="false">SUMIF('Hiring plan'!$D$5:$D$32,"CI",BF9:BF36)+BF72</f>
        <v>7</v>
      </c>
      <c r="BG84" s="33" t="n">
        <f aca="false">SUMIF('Hiring plan'!$D$5:$D$32,"CI",BG9:BG36)+BG72</f>
        <v>7</v>
      </c>
      <c r="BH84" s="33" t="n">
        <f aca="false">SUMIF('Hiring plan'!$D$5:$D$32,"CI",BH9:BH36)+BH72</f>
        <v>8</v>
      </c>
      <c r="BI84" s="33" t="n">
        <f aca="false">SUMIF('Hiring plan'!$D$5:$D$32,"CI",BI9:BI36)+BI72</f>
        <v>8</v>
      </c>
      <c r="BJ84" s="33" t="n">
        <f aca="false">SUMIF('Hiring plan'!$D$5:$D$32,"CI",BJ9:BJ36)+BJ72</f>
        <v>8</v>
      </c>
      <c r="BK84" s="33" t="n">
        <f aca="false">SUMIF('Hiring plan'!$D$5:$D$32,"CI",BK9:BK36)+BK72</f>
        <v>8</v>
      </c>
      <c r="BL84" s="33" t="n">
        <f aca="false">SUMIF('Hiring plan'!$D$5:$D$32,"CI",BL9:BL36)+BL72</f>
        <v>9</v>
      </c>
    </row>
    <row r="85" customFormat="false" ht="15" hidden="false" customHeight="true" outlineLevel="0" collapsed="false">
      <c r="A85" s="13" t="s">
        <v>1152</v>
      </c>
      <c r="B85" s="15" t="s">
        <v>92</v>
      </c>
      <c r="D85" s="56" t="n">
        <f aca="false">BL85</f>
        <v>7</v>
      </c>
      <c r="E85" s="33" t="n">
        <f aca="false">SUMIF('Hiring plan'!$B$5:$B$32,"Engineering &amp; product",E9:E36)+E70</f>
        <v>3</v>
      </c>
      <c r="F85" s="33" t="n">
        <f aca="false">SUMIF('Hiring plan'!$B$5:$B$32,"Engineering &amp; product",F9:F36)+F70</f>
        <v>3</v>
      </c>
      <c r="G85" s="33" t="n">
        <f aca="false">SUMIF('Hiring plan'!$B$5:$B$32,"Engineering &amp; product",G9:G36)+G70</f>
        <v>3</v>
      </c>
      <c r="H85" s="33" t="n">
        <f aca="false">SUMIF('Hiring plan'!$B$5:$B$32,"Engineering &amp; product",H9:H36)+H70</f>
        <v>3</v>
      </c>
      <c r="I85" s="33" t="n">
        <f aca="false">SUMIF('Hiring plan'!$B$5:$B$32,"Engineering &amp; product",I9:I36)+I70</f>
        <v>3</v>
      </c>
      <c r="J85" s="33" t="n">
        <f aca="false">SUMIF('Hiring plan'!$B$5:$B$32,"Engineering &amp; product",J9:J36)+J70</f>
        <v>3</v>
      </c>
      <c r="K85" s="33" t="n">
        <f aca="false">SUMIF('Hiring plan'!$B$5:$B$32,"Engineering &amp; product",K9:K36)+K70</f>
        <v>3</v>
      </c>
      <c r="L85" s="33" t="n">
        <f aca="false">SUMIF('Hiring plan'!$B$5:$B$32,"Engineering &amp; product",L9:L36)+L70</f>
        <v>3</v>
      </c>
      <c r="M85" s="33" t="n">
        <f aca="false">SUMIF('Hiring plan'!$B$5:$B$32,"Engineering &amp; product",M9:M36)+M70</f>
        <v>3</v>
      </c>
      <c r="N85" s="33" t="n">
        <f aca="false">SUMIF('Hiring plan'!$B$5:$B$32,"Engineering &amp; product",N9:N36)+N70</f>
        <v>3</v>
      </c>
      <c r="O85" s="33" t="n">
        <f aca="false">SUMIF('Hiring plan'!$B$5:$B$32,"Engineering &amp; product",O9:O36)+O70</f>
        <v>3</v>
      </c>
      <c r="P85" s="33" t="n">
        <f aca="false">SUMIF('Hiring plan'!$B$5:$B$32,"Engineering &amp; product",P9:P36)+P70</f>
        <v>3</v>
      </c>
      <c r="Q85" s="33" t="n">
        <f aca="false">SUMIF('Hiring plan'!$B$5:$B$32,"Engineering &amp; product",Q9:Q36)+Q70</f>
        <v>3</v>
      </c>
      <c r="R85" s="33" t="n">
        <f aca="false">SUMIF('Hiring plan'!$B$5:$B$32,"Engineering &amp; product",R9:R36)+R70</f>
        <v>3</v>
      </c>
      <c r="S85" s="33" t="n">
        <f aca="false">SUMIF('Hiring plan'!$B$5:$B$32,"Engineering &amp; product",S9:S36)+S70</f>
        <v>3</v>
      </c>
      <c r="T85" s="33" t="n">
        <f aca="false">SUMIF('Hiring plan'!$B$5:$B$32,"Engineering &amp; product",T9:T36)+T70</f>
        <v>3</v>
      </c>
      <c r="U85" s="33" t="n">
        <f aca="false">SUMIF('Hiring plan'!$B$5:$B$32,"Engineering &amp; product",U9:U36)+U70</f>
        <v>3</v>
      </c>
      <c r="V85" s="33" t="n">
        <f aca="false">SUMIF('Hiring plan'!$B$5:$B$32,"Engineering &amp; product",V9:V36)+V70</f>
        <v>3</v>
      </c>
      <c r="W85" s="33" t="n">
        <f aca="false">SUMIF('Hiring plan'!$B$5:$B$32,"Engineering &amp; product",W9:W36)+W70</f>
        <v>3</v>
      </c>
      <c r="X85" s="33" t="n">
        <f aca="false">SUMIF('Hiring plan'!$B$5:$B$32,"Engineering &amp; product",X9:X36)+X70</f>
        <v>3</v>
      </c>
      <c r="Y85" s="33" t="n">
        <f aca="false">SUMIF('Hiring plan'!$B$5:$B$32,"Engineering &amp; product",Y9:Y36)+Y70</f>
        <v>3</v>
      </c>
      <c r="Z85" s="33" t="n">
        <f aca="false">SUMIF('Hiring plan'!$B$5:$B$32,"Engineering &amp; product",Z9:Z36)+Z70</f>
        <v>3</v>
      </c>
      <c r="AA85" s="33" t="n">
        <f aca="false">SUMIF('Hiring plan'!$B$5:$B$32,"Engineering &amp; product",AA9:AA36)+AA70</f>
        <v>3</v>
      </c>
      <c r="AB85" s="33" t="n">
        <f aca="false">SUMIF('Hiring plan'!$B$5:$B$32,"Engineering &amp; product",AB9:AB36)+AB70</f>
        <v>3</v>
      </c>
      <c r="AC85" s="33" t="n">
        <f aca="false">SUMIF('Hiring plan'!$B$5:$B$32,"Engineering &amp; product",AC9:AC36)+AC70</f>
        <v>3</v>
      </c>
      <c r="AD85" s="33" t="n">
        <f aca="false">SUMIF('Hiring plan'!$B$5:$B$32,"Engineering &amp; product",AD9:AD36)+AD70</f>
        <v>3</v>
      </c>
      <c r="AE85" s="33" t="n">
        <f aca="false">SUMIF('Hiring plan'!$B$5:$B$32,"Engineering &amp; product",AE9:AE36)+AE70</f>
        <v>3</v>
      </c>
      <c r="AF85" s="33" t="n">
        <f aca="false">SUMIF('Hiring plan'!$B$5:$B$32,"Engineering &amp; product",AF9:AF36)+AF70</f>
        <v>4</v>
      </c>
      <c r="AG85" s="33" t="n">
        <f aca="false">SUMIF('Hiring plan'!$B$5:$B$32,"Engineering &amp; product",AG9:AG36)+AG70</f>
        <v>4</v>
      </c>
      <c r="AH85" s="33" t="n">
        <f aca="false">SUMIF('Hiring plan'!$B$5:$B$32,"Engineering &amp; product",AH9:AH36)+AH70</f>
        <v>4</v>
      </c>
      <c r="AI85" s="33" t="n">
        <f aca="false">SUMIF('Hiring plan'!$B$5:$B$32,"Engineering &amp; product",AI9:AI36)+AI70</f>
        <v>4</v>
      </c>
      <c r="AJ85" s="33" t="n">
        <f aca="false">SUMIF('Hiring plan'!$B$5:$B$32,"Engineering &amp; product",AJ9:AJ36)+AJ70</f>
        <v>4</v>
      </c>
      <c r="AK85" s="33" t="n">
        <f aca="false">SUMIF('Hiring plan'!$B$5:$B$32,"Engineering &amp; product",AK9:AK36)+AK70</f>
        <v>4</v>
      </c>
      <c r="AL85" s="33" t="n">
        <f aca="false">SUMIF('Hiring plan'!$B$5:$B$32,"Engineering &amp; product",AL9:AL36)+AL70</f>
        <v>4</v>
      </c>
      <c r="AM85" s="33" t="n">
        <f aca="false">SUMIF('Hiring plan'!$B$5:$B$32,"Engineering &amp; product",AM9:AM36)+AM70</f>
        <v>4</v>
      </c>
      <c r="AN85" s="33" t="n">
        <f aca="false">SUMIF('Hiring plan'!$B$5:$B$32,"Engineering &amp; product",AN9:AN36)+AN70</f>
        <v>4</v>
      </c>
      <c r="AO85" s="33" t="n">
        <f aca="false">SUMIF('Hiring plan'!$B$5:$B$32,"Engineering &amp; product",AO9:AO36)+AO70</f>
        <v>4</v>
      </c>
      <c r="AP85" s="33" t="n">
        <f aca="false">SUMIF('Hiring plan'!$B$5:$B$32,"Engineering &amp; product",AP9:AP36)+AP70</f>
        <v>4</v>
      </c>
      <c r="AQ85" s="33" t="n">
        <f aca="false">SUMIF('Hiring plan'!$B$5:$B$32,"Engineering &amp; product",AQ9:AQ36)+AQ70</f>
        <v>4</v>
      </c>
      <c r="AR85" s="33" t="n">
        <f aca="false">SUMIF('Hiring plan'!$B$5:$B$32,"Engineering &amp; product",AR9:AR36)+AR70</f>
        <v>5</v>
      </c>
      <c r="AS85" s="33" t="n">
        <f aca="false">SUMIF('Hiring plan'!$B$5:$B$32,"Engineering &amp; product",AS9:AS36)+AS70</f>
        <v>5</v>
      </c>
      <c r="AT85" s="33" t="n">
        <f aca="false">SUMIF('Hiring plan'!$B$5:$B$32,"Engineering &amp; product",AT9:AT36)+AT70</f>
        <v>5</v>
      </c>
      <c r="AU85" s="33" t="n">
        <f aca="false">SUMIF('Hiring plan'!$B$5:$B$32,"Engineering &amp; product",AU9:AU36)+AU70</f>
        <v>5</v>
      </c>
      <c r="AV85" s="33" t="n">
        <f aca="false">SUMIF('Hiring plan'!$B$5:$B$32,"Engineering &amp; product",AV9:AV36)+AV70</f>
        <v>5</v>
      </c>
      <c r="AW85" s="33" t="n">
        <f aca="false">SUMIF('Hiring plan'!$B$5:$B$32,"Engineering &amp; product",AW9:AW36)+AW70</f>
        <v>5</v>
      </c>
      <c r="AX85" s="33" t="n">
        <f aca="false">SUMIF('Hiring plan'!$B$5:$B$32,"Engineering &amp; product",AX9:AX36)+AX70</f>
        <v>5</v>
      </c>
      <c r="AY85" s="33" t="n">
        <f aca="false">SUMIF('Hiring plan'!$B$5:$B$32,"Engineering &amp; product",AY9:AY36)+AY70</f>
        <v>5</v>
      </c>
      <c r="AZ85" s="33" t="n">
        <f aca="false">SUMIF('Hiring plan'!$B$5:$B$32,"Engineering &amp; product",AZ9:AZ36)+AZ70</f>
        <v>5</v>
      </c>
      <c r="BA85" s="33" t="n">
        <f aca="false">SUMIF('Hiring plan'!$B$5:$B$32,"Engineering &amp; product",BA9:BA36)+BA70</f>
        <v>6</v>
      </c>
      <c r="BB85" s="33" t="n">
        <f aca="false">SUMIF('Hiring plan'!$B$5:$B$32,"Engineering &amp; product",BB9:BB36)+BB70</f>
        <v>6</v>
      </c>
      <c r="BC85" s="33" t="n">
        <f aca="false">SUMIF('Hiring plan'!$B$5:$B$32,"Engineering &amp; product",BC9:BC36)+BC70</f>
        <v>6</v>
      </c>
      <c r="BD85" s="33" t="n">
        <f aca="false">SUMIF('Hiring plan'!$B$5:$B$32,"Engineering &amp; product",BD9:BD36)+BD70</f>
        <v>6</v>
      </c>
      <c r="BE85" s="33" t="n">
        <f aca="false">SUMIF('Hiring plan'!$B$5:$B$32,"Engineering &amp; product",BE9:BE36)+BE70</f>
        <v>6</v>
      </c>
      <c r="BF85" s="33" t="n">
        <f aca="false">SUMIF('Hiring plan'!$B$5:$B$32,"Engineering &amp; product",BF9:BF36)+BF70</f>
        <v>6</v>
      </c>
      <c r="BG85" s="33" t="n">
        <f aca="false">SUMIF('Hiring plan'!$B$5:$B$32,"Engineering &amp; product",BG9:BG36)+BG70</f>
        <v>6</v>
      </c>
      <c r="BH85" s="33" t="n">
        <f aca="false">SUMIF('Hiring plan'!$B$5:$B$32,"Engineering &amp; product",BH9:BH36)+BH70</f>
        <v>7</v>
      </c>
      <c r="BI85" s="33" t="n">
        <f aca="false">SUMIF('Hiring plan'!$B$5:$B$32,"Engineering &amp; product",BI9:BI36)+BI70</f>
        <v>7</v>
      </c>
      <c r="BJ85" s="33" t="n">
        <f aca="false">SUMIF('Hiring plan'!$B$5:$B$32,"Engineering &amp; product",BJ9:BJ36)+BJ70</f>
        <v>7</v>
      </c>
      <c r="BK85" s="33" t="n">
        <f aca="false">SUMIF('Hiring plan'!$B$5:$B$32,"Engineering &amp; product",BK9:BK36)+BK70</f>
        <v>7</v>
      </c>
      <c r="BL85" s="33" t="n">
        <f aca="false">SUMIF('Hiring plan'!$B$5:$B$32,"Engineering &amp; product",BL9:BL36)+BL70</f>
        <v>7</v>
      </c>
    </row>
    <row r="86" customFormat="false" ht="15" hidden="false" customHeight="true" outlineLevel="0" collapsed="false">
      <c r="A86" s="13" t="s">
        <v>1153</v>
      </c>
      <c r="B86" s="15" t="s">
        <v>92</v>
      </c>
      <c r="D86" s="56" t="n">
        <f aca="false">BL86</f>
        <v>17</v>
      </c>
      <c r="E86" s="33" t="n">
        <f aca="false">SUMIFS(E9:E36,'Hiring plan'!$E$5:$E$32,"Sales rep",'Hiring plan'!$D$5:$D$32,"SN")+E71</f>
        <v>1</v>
      </c>
      <c r="F86" s="33" t="n">
        <f aca="false">SUMIFS(F9:F36,'Hiring plan'!$E$5:$E$32,"Sales rep",'Hiring plan'!$D$5:$D$32,"SN")+F71</f>
        <v>1</v>
      </c>
      <c r="G86" s="33" t="n">
        <f aca="false">SUMIFS(G9:G36,'Hiring plan'!$E$5:$E$32,"Sales rep",'Hiring plan'!$D$5:$D$32,"SN")+G71</f>
        <v>1</v>
      </c>
      <c r="H86" s="33" t="n">
        <f aca="false">SUMIFS(H9:H36,'Hiring plan'!$E$5:$E$32,"Sales rep",'Hiring plan'!$D$5:$D$32,"SN")+H71</f>
        <v>3</v>
      </c>
      <c r="I86" s="33" t="n">
        <f aca="false">SUMIFS(I9:I36,'Hiring plan'!$E$5:$E$32,"Sales rep",'Hiring plan'!$D$5:$D$32,"SN")+I71</f>
        <v>3</v>
      </c>
      <c r="J86" s="33" t="n">
        <f aca="false">SUMIFS(J9:J36,'Hiring plan'!$E$5:$E$32,"Sales rep",'Hiring plan'!$D$5:$D$32,"SN")+J71</f>
        <v>3</v>
      </c>
      <c r="K86" s="33" t="n">
        <f aca="false">SUMIFS(K9:K36,'Hiring plan'!$E$5:$E$32,"Sales rep",'Hiring plan'!$D$5:$D$32,"SN")+K71</f>
        <v>3</v>
      </c>
      <c r="L86" s="33" t="n">
        <f aca="false">SUMIFS(L9:L36,'Hiring plan'!$E$5:$E$32,"Sales rep",'Hiring plan'!$D$5:$D$32,"SN")+L71</f>
        <v>3</v>
      </c>
      <c r="M86" s="33" t="n">
        <f aca="false">SUMIFS(M9:M36,'Hiring plan'!$E$5:$E$32,"Sales rep",'Hiring plan'!$D$5:$D$32,"SN")+M71</f>
        <v>3</v>
      </c>
      <c r="N86" s="33" t="n">
        <f aca="false">SUMIFS(N9:N36,'Hiring plan'!$E$5:$E$32,"Sales rep",'Hiring plan'!$D$5:$D$32,"SN")+N71</f>
        <v>3</v>
      </c>
      <c r="O86" s="33" t="n">
        <f aca="false">SUMIFS(O9:O36,'Hiring plan'!$E$5:$E$32,"Sales rep",'Hiring plan'!$D$5:$D$32,"SN")+O71</f>
        <v>3</v>
      </c>
      <c r="P86" s="33" t="n">
        <f aca="false">SUMIFS(P9:P36,'Hiring plan'!$E$5:$E$32,"Sales rep",'Hiring plan'!$D$5:$D$32,"SN")+P71</f>
        <v>3</v>
      </c>
      <c r="Q86" s="33" t="n">
        <f aca="false">SUMIFS(Q9:Q36,'Hiring plan'!$E$5:$E$32,"Sales rep",'Hiring plan'!$D$5:$D$32,"SN")+Q71</f>
        <v>3</v>
      </c>
      <c r="R86" s="33" t="n">
        <f aca="false">SUMIFS(R9:R36,'Hiring plan'!$E$5:$E$32,"Sales rep",'Hiring plan'!$D$5:$D$32,"SN")+R71</f>
        <v>3</v>
      </c>
      <c r="S86" s="33" t="n">
        <f aca="false">SUMIFS(S9:S36,'Hiring plan'!$E$5:$E$32,"Sales rep",'Hiring plan'!$D$5:$D$32,"SN")+S71</f>
        <v>3</v>
      </c>
      <c r="T86" s="33" t="n">
        <f aca="false">SUMIFS(T9:T36,'Hiring plan'!$E$5:$E$32,"Sales rep",'Hiring plan'!$D$5:$D$32,"SN")+T71</f>
        <v>3</v>
      </c>
      <c r="U86" s="33" t="n">
        <f aca="false">SUMIFS(U9:U36,'Hiring plan'!$E$5:$E$32,"Sales rep",'Hiring plan'!$D$5:$D$32,"SN")+U71</f>
        <v>3</v>
      </c>
      <c r="V86" s="33" t="n">
        <f aca="false">SUMIFS(V9:V36,'Hiring plan'!$E$5:$E$32,"Sales rep",'Hiring plan'!$D$5:$D$32,"SN")+V71</f>
        <v>3</v>
      </c>
      <c r="W86" s="33" t="n">
        <f aca="false">SUMIFS(W9:W36,'Hiring plan'!$E$5:$E$32,"Sales rep",'Hiring plan'!$D$5:$D$32,"SN")+W71</f>
        <v>3</v>
      </c>
      <c r="X86" s="33" t="n">
        <f aca="false">SUMIFS(X9:X36,'Hiring plan'!$E$5:$E$32,"Sales rep",'Hiring plan'!$D$5:$D$32,"SN")+X71</f>
        <v>4</v>
      </c>
      <c r="Y86" s="33" t="n">
        <f aca="false">SUMIFS(Y9:Y36,'Hiring plan'!$E$5:$E$32,"Sales rep",'Hiring plan'!$D$5:$D$32,"SN")+Y71</f>
        <v>4</v>
      </c>
      <c r="Z86" s="33" t="n">
        <f aca="false">SUMIFS(Z9:Z36,'Hiring plan'!$E$5:$E$32,"Sales rep",'Hiring plan'!$D$5:$D$32,"SN")+Z71</f>
        <v>4</v>
      </c>
      <c r="AA86" s="33" t="n">
        <f aca="false">SUMIFS(AA9:AA36,'Hiring plan'!$E$5:$E$32,"Sales rep",'Hiring plan'!$D$5:$D$32,"SN")+AA71</f>
        <v>4</v>
      </c>
      <c r="AB86" s="33" t="n">
        <f aca="false">SUMIFS(AB9:AB36,'Hiring plan'!$E$5:$E$32,"Sales rep",'Hiring plan'!$D$5:$D$32,"SN")+AB71</f>
        <v>4</v>
      </c>
      <c r="AC86" s="33" t="n">
        <f aca="false">SUMIFS(AC9:AC36,'Hiring plan'!$E$5:$E$32,"Sales rep",'Hiring plan'!$D$5:$D$32,"SN")+AC71</f>
        <v>4</v>
      </c>
      <c r="AD86" s="33" t="n">
        <f aca="false">SUMIFS(AD9:AD36,'Hiring plan'!$E$5:$E$32,"Sales rep",'Hiring plan'!$D$5:$D$32,"SN")+AD71</f>
        <v>5</v>
      </c>
      <c r="AE86" s="33" t="n">
        <f aca="false">SUMIFS(AE9:AE36,'Hiring plan'!$E$5:$E$32,"Sales rep",'Hiring plan'!$D$5:$D$32,"SN")+AE71</f>
        <v>5</v>
      </c>
      <c r="AF86" s="33" t="n">
        <f aca="false">SUMIFS(AF9:AF36,'Hiring plan'!$E$5:$E$32,"Sales rep",'Hiring plan'!$D$5:$D$32,"SN")+AF71</f>
        <v>5</v>
      </c>
      <c r="AG86" s="33" t="n">
        <f aca="false">SUMIFS(AG9:AG36,'Hiring plan'!$E$5:$E$32,"Sales rep",'Hiring plan'!$D$5:$D$32,"SN")+AG71</f>
        <v>5</v>
      </c>
      <c r="AH86" s="33" t="n">
        <f aca="false">SUMIFS(AH9:AH36,'Hiring plan'!$E$5:$E$32,"Sales rep",'Hiring plan'!$D$5:$D$32,"SN")+AH71</f>
        <v>6</v>
      </c>
      <c r="AI86" s="33" t="n">
        <f aca="false">SUMIFS(AI9:AI36,'Hiring plan'!$E$5:$E$32,"Sales rep",'Hiring plan'!$D$5:$D$32,"SN")+AI71</f>
        <v>6</v>
      </c>
      <c r="AJ86" s="33" t="n">
        <f aca="false">SUMIFS(AJ9:AJ36,'Hiring plan'!$E$5:$E$32,"Sales rep",'Hiring plan'!$D$5:$D$32,"SN")+AJ71</f>
        <v>6</v>
      </c>
      <c r="AK86" s="33" t="n">
        <f aca="false">SUMIFS(AK9:AK36,'Hiring plan'!$E$5:$E$32,"Sales rep",'Hiring plan'!$D$5:$D$32,"SN")+AK71</f>
        <v>6</v>
      </c>
      <c r="AL86" s="33" t="n">
        <f aca="false">SUMIFS(AL9:AL36,'Hiring plan'!$E$5:$E$32,"Sales rep",'Hiring plan'!$D$5:$D$32,"SN")+AL71</f>
        <v>7</v>
      </c>
      <c r="AM86" s="33" t="n">
        <f aca="false">SUMIFS(AM9:AM36,'Hiring plan'!$E$5:$E$32,"Sales rep",'Hiring plan'!$D$5:$D$32,"SN")+AM71</f>
        <v>7</v>
      </c>
      <c r="AN86" s="33" t="n">
        <f aca="false">SUMIFS(AN9:AN36,'Hiring plan'!$E$5:$E$32,"Sales rep",'Hiring plan'!$D$5:$D$32,"SN")+AN71</f>
        <v>7</v>
      </c>
      <c r="AO86" s="33" t="n">
        <f aca="false">SUMIFS(AO9:AO36,'Hiring plan'!$E$5:$E$32,"Sales rep",'Hiring plan'!$D$5:$D$32,"SN")+AO71</f>
        <v>8</v>
      </c>
      <c r="AP86" s="33" t="n">
        <f aca="false">SUMIFS(AP9:AP36,'Hiring plan'!$E$5:$E$32,"Sales rep",'Hiring plan'!$D$5:$D$32,"SN")+AP71</f>
        <v>8</v>
      </c>
      <c r="AQ86" s="33" t="n">
        <f aca="false">SUMIFS(AQ9:AQ36,'Hiring plan'!$E$5:$E$32,"Sales rep",'Hiring plan'!$D$5:$D$32,"SN")+AQ71</f>
        <v>8</v>
      </c>
      <c r="AR86" s="33" t="n">
        <f aca="false">SUMIFS(AR9:AR36,'Hiring plan'!$E$5:$E$32,"Sales rep",'Hiring plan'!$D$5:$D$32,"SN")+AR71</f>
        <v>9</v>
      </c>
      <c r="AS86" s="33" t="n">
        <f aca="false">SUMIFS(AS9:AS36,'Hiring plan'!$E$5:$E$32,"Sales rep",'Hiring plan'!$D$5:$D$32,"SN")+AS71</f>
        <v>9</v>
      </c>
      <c r="AT86" s="33" t="n">
        <f aca="false">SUMIFS(AT9:AT36,'Hiring plan'!$E$5:$E$32,"Sales rep",'Hiring plan'!$D$5:$D$32,"SN")+AT71</f>
        <v>9</v>
      </c>
      <c r="AU86" s="33" t="n">
        <f aca="false">SUMIFS(AU9:AU36,'Hiring plan'!$E$5:$E$32,"Sales rep",'Hiring plan'!$D$5:$D$32,"SN")+AU71</f>
        <v>10</v>
      </c>
      <c r="AV86" s="33" t="n">
        <f aca="false">SUMIFS(AV9:AV36,'Hiring plan'!$E$5:$E$32,"Sales rep",'Hiring plan'!$D$5:$D$32,"SN")+AV71</f>
        <v>10</v>
      </c>
      <c r="AW86" s="33" t="n">
        <f aca="false">SUMIFS(AW9:AW36,'Hiring plan'!$E$5:$E$32,"Sales rep",'Hiring plan'!$D$5:$D$32,"SN")+AW71</f>
        <v>11</v>
      </c>
      <c r="AX86" s="33" t="n">
        <f aca="false">SUMIFS(AX9:AX36,'Hiring plan'!$E$5:$E$32,"Sales rep",'Hiring plan'!$D$5:$D$32,"SN")+AX71</f>
        <v>11</v>
      </c>
      <c r="AY86" s="33" t="n">
        <f aca="false">SUMIFS(AY9:AY36,'Hiring plan'!$E$5:$E$32,"Sales rep",'Hiring plan'!$D$5:$D$32,"SN")+AY71</f>
        <v>11</v>
      </c>
      <c r="AZ86" s="33" t="n">
        <f aca="false">SUMIFS(AZ9:AZ36,'Hiring plan'!$E$5:$E$32,"Sales rep",'Hiring plan'!$D$5:$D$32,"SN")+AZ71</f>
        <v>12</v>
      </c>
      <c r="BA86" s="33" t="n">
        <f aca="false">SUMIFS(BA9:BA36,'Hiring plan'!$E$5:$E$32,"Sales rep",'Hiring plan'!$D$5:$D$32,"SN")+BA71</f>
        <v>12</v>
      </c>
      <c r="BB86" s="33" t="n">
        <f aca="false">SUMIFS(BB9:BB36,'Hiring plan'!$E$5:$E$32,"Sales rep",'Hiring plan'!$D$5:$D$32,"SN")+BB71</f>
        <v>13</v>
      </c>
      <c r="BC86" s="33" t="n">
        <f aca="false">SUMIFS(BC9:BC36,'Hiring plan'!$E$5:$E$32,"Sales rep",'Hiring plan'!$D$5:$D$32,"SN")+BC71</f>
        <v>13</v>
      </c>
      <c r="BD86" s="33" t="n">
        <f aca="false">SUMIFS(BD9:BD36,'Hiring plan'!$E$5:$E$32,"Sales rep",'Hiring plan'!$D$5:$D$32,"SN")+BD71</f>
        <v>13</v>
      </c>
      <c r="BE86" s="33" t="n">
        <f aca="false">SUMIFS(BE9:BE36,'Hiring plan'!$E$5:$E$32,"Sales rep",'Hiring plan'!$D$5:$D$32,"SN")+BE71</f>
        <v>14</v>
      </c>
      <c r="BF86" s="33" t="n">
        <f aca="false">SUMIFS(BF9:BF36,'Hiring plan'!$E$5:$E$32,"Sales rep",'Hiring plan'!$D$5:$D$32,"SN")+BF71</f>
        <v>14</v>
      </c>
      <c r="BG86" s="33" t="n">
        <f aca="false">SUMIFS(BG9:BG36,'Hiring plan'!$E$5:$E$32,"Sales rep",'Hiring plan'!$D$5:$D$32,"SN")+BG71</f>
        <v>15</v>
      </c>
      <c r="BH86" s="33" t="n">
        <f aca="false">SUMIFS(BH9:BH36,'Hiring plan'!$E$5:$E$32,"Sales rep",'Hiring plan'!$D$5:$D$32,"SN")+BH71</f>
        <v>15</v>
      </c>
      <c r="BI86" s="33" t="n">
        <f aca="false">SUMIFS(BI9:BI36,'Hiring plan'!$E$5:$E$32,"Sales rep",'Hiring plan'!$D$5:$D$32,"SN")+BI71</f>
        <v>16</v>
      </c>
      <c r="BJ86" s="33" t="n">
        <f aca="false">SUMIFS(BJ9:BJ36,'Hiring plan'!$E$5:$E$32,"Sales rep",'Hiring plan'!$D$5:$D$32,"SN")+BJ71</f>
        <v>16</v>
      </c>
      <c r="BK86" s="33" t="n">
        <f aca="false">SUMIFS(BK9:BK36,'Hiring plan'!$E$5:$E$32,"Sales rep",'Hiring plan'!$D$5:$D$32,"SN")+BK71</f>
        <v>17</v>
      </c>
      <c r="BL86" s="33" t="n">
        <f aca="false">SUMIFS(BL9:BL36,'Hiring plan'!$E$5:$E$32,"Sales rep",'Hiring plan'!$D$5:$D$32,"SN")+BL71</f>
        <v>17</v>
      </c>
    </row>
    <row r="87" customFormat="false" ht="15" hidden="false" customHeight="true" outlineLevel="0" collapsed="false">
      <c r="A87" s="13" t="s">
        <v>1154</v>
      </c>
      <c r="B87" s="15" t="s">
        <v>92</v>
      </c>
      <c r="D87" s="56" t="n">
        <f aca="false">BL87</f>
        <v>8</v>
      </c>
      <c r="E87" s="33" t="n">
        <f aca="false">SUMIFS(E9:E36,'Hiring plan'!$E$5:$E$32,"Sales rep",'Hiring plan'!$D$5:$D$32,"CI")+E72</f>
        <v>0</v>
      </c>
      <c r="F87" s="33" t="n">
        <f aca="false">SUMIFS(F9:F36,'Hiring plan'!$E$5:$E$32,"Sales rep",'Hiring plan'!$D$5:$D$32,"CI")+F72</f>
        <v>0</v>
      </c>
      <c r="G87" s="33" t="n">
        <f aca="false">SUMIFS(G9:G36,'Hiring plan'!$E$5:$E$32,"Sales rep",'Hiring plan'!$D$5:$D$32,"CI")+G72</f>
        <v>0</v>
      </c>
      <c r="H87" s="33" t="n">
        <f aca="false">SUMIFS(H9:H36,'Hiring plan'!$E$5:$E$32,"Sales rep",'Hiring plan'!$D$5:$D$32,"CI")+H72</f>
        <v>0</v>
      </c>
      <c r="I87" s="33" t="n">
        <f aca="false">SUMIFS(I9:I36,'Hiring plan'!$E$5:$E$32,"Sales rep",'Hiring plan'!$D$5:$D$32,"CI")+I72</f>
        <v>0</v>
      </c>
      <c r="J87" s="33" t="n">
        <f aca="false">SUMIFS(J9:J36,'Hiring plan'!$E$5:$E$32,"Sales rep",'Hiring plan'!$D$5:$D$32,"CI")+J72</f>
        <v>0</v>
      </c>
      <c r="K87" s="33" t="n">
        <f aca="false">SUMIFS(K9:K36,'Hiring plan'!$E$5:$E$32,"Sales rep",'Hiring plan'!$D$5:$D$32,"CI")+K72</f>
        <v>0</v>
      </c>
      <c r="L87" s="33" t="n">
        <f aca="false">SUMIFS(L9:L36,'Hiring plan'!$E$5:$E$32,"Sales rep",'Hiring plan'!$D$5:$D$32,"CI")+L72</f>
        <v>0</v>
      </c>
      <c r="M87" s="33" t="n">
        <f aca="false">SUMIFS(M9:M36,'Hiring plan'!$E$5:$E$32,"Sales rep",'Hiring plan'!$D$5:$D$32,"CI")+M72</f>
        <v>0</v>
      </c>
      <c r="N87" s="33" t="n">
        <f aca="false">SUMIFS(N9:N36,'Hiring plan'!$E$5:$E$32,"Sales rep",'Hiring plan'!$D$5:$D$32,"CI")+N72</f>
        <v>0</v>
      </c>
      <c r="O87" s="33" t="n">
        <f aca="false">SUMIFS(O9:O36,'Hiring plan'!$E$5:$E$32,"Sales rep",'Hiring plan'!$D$5:$D$32,"CI")+O72</f>
        <v>0</v>
      </c>
      <c r="P87" s="33" t="n">
        <f aca="false">SUMIFS(P9:P36,'Hiring plan'!$E$5:$E$32,"Sales rep",'Hiring plan'!$D$5:$D$32,"CI")+P72</f>
        <v>0</v>
      </c>
      <c r="Q87" s="33" t="n">
        <f aca="false">SUMIFS(Q9:Q36,'Hiring plan'!$E$5:$E$32,"Sales rep",'Hiring plan'!$D$5:$D$32,"CI")+Q72</f>
        <v>0</v>
      </c>
      <c r="R87" s="33" t="n">
        <f aca="false">SUMIFS(R9:R36,'Hiring plan'!$E$5:$E$32,"Sales rep",'Hiring plan'!$D$5:$D$32,"CI")+R72</f>
        <v>0</v>
      </c>
      <c r="S87" s="33" t="n">
        <f aca="false">SUMIFS(S9:S36,'Hiring plan'!$E$5:$E$32,"Sales rep",'Hiring plan'!$D$5:$D$32,"CI")+S72</f>
        <v>0</v>
      </c>
      <c r="T87" s="33" t="n">
        <f aca="false">SUMIFS(T9:T36,'Hiring plan'!$E$5:$E$32,"Sales rep",'Hiring plan'!$D$5:$D$32,"CI")+T72</f>
        <v>0</v>
      </c>
      <c r="U87" s="33" t="n">
        <f aca="false">SUMIFS(U9:U36,'Hiring plan'!$E$5:$E$32,"Sales rep",'Hiring plan'!$D$5:$D$32,"CI")+U72</f>
        <v>0</v>
      </c>
      <c r="V87" s="33" t="n">
        <f aca="false">SUMIFS(V9:V36,'Hiring plan'!$E$5:$E$32,"Sales rep",'Hiring plan'!$D$5:$D$32,"CI")+V72</f>
        <v>2</v>
      </c>
      <c r="W87" s="33" t="n">
        <f aca="false">SUMIFS(W9:W36,'Hiring plan'!$E$5:$E$32,"Sales rep",'Hiring plan'!$D$5:$D$32,"CI")+W72</f>
        <v>2</v>
      </c>
      <c r="X87" s="33" t="n">
        <f aca="false">SUMIFS(X9:X36,'Hiring plan'!$E$5:$E$32,"Sales rep",'Hiring plan'!$D$5:$D$32,"CI")+X72</f>
        <v>2</v>
      </c>
      <c r="Y87" s="33" t="n">
        <f aca="false">SUMIFS(Y9:Y36,'Hiring plan'!$E$5:$E$32,"Sales rep",'Hiring plan'!$D$5:$D$32,"CI")+Y72</f>
        <v>2</v>
      </c>
      <c r="Z87" s="33" t="n">
        <f aca="false">SUMIFS(Z9:Z36,'Hiring plan'!$E$5:$E$32,"Sales rep",'Hiring plan'!$D$5:$D$32,"CI")+Z72</f>
        <v>2</v>
      </c>
      <c r="AA87" s="33" t="n">
        <f aca="false">SUMIFS(AA9:AA36,'Hiring plan'!$E$5:$E$32,"Sales rep",'Hiring plan'!$D$5:$D$32,"CI")+AA72</f>
        <v>2</v>
      </c>
      <c r="AB87" s="33" t="n">
        <f aca="false">SUMIFS(AB9:AB36,'Hiring plan'!$E$5:$E$32,"Sales rep",'Hiring plan'!$D$5:$D$32,"CI")+AB72</f>
        <v>2</v>
      </c>
      <c r="AC87" s="33" t="n">
        <f aca="false">SUMIFS(AC9:AC36,'Hiring plan'!$E$5:$E$32,"Sales rep",'Hiring plan'!$D$5:$D$32,"CI")+AC72</f>
        <v>2</v>
      </c>
      <c r="AD87" s="33" t="n">
        <f aca="false">SUMIFS(AD9:AD36,'Hiring plan'!$E$5:$E$32,"Sales rep",'Hiring plan'!$D$5:$D$32,"CI")+AD72</f>
        <v>2</v>
      </c>
      <c r="AE87" s="33" t="n">
        <f aca="false">SUMIFS(AE9:AE36,'Hiring plan'!$E$5:$E$32,"Sales rep",'Hiring plan'!$D$5:$D$32,"CI")+AE72</f>
        <v>2</v>
      </c>
      <c r="AF87" s="33" t="n">
        <f aca="false">SUMIFS(AF9:AF36,'Hiring plan'!$E$5:$E$32,"Sales rep",'Hiring plan'!$D$5:$D$32,"CI")+AF72</f>
        <v>2</v>
      </c>
      <c r="AG87" s="33" t="n">
        <f aca="false">SUMIFS(AG9:AG36,'Hiring plan'!$E$5:$E$32,"Sales rep",'Hiring plan'!$D$5:$D$32,"CI")+AG72</f>
        <v>2</v>
      </c>
      <c r="AH87" s="33" t="n">
        <f aca="false">SUMIFS(AH9:AH36,'Hiring plan'!$E$5:$E$32,"Sales rep",'Hiring plan'!$D$5:$D$32,"CI")+AH72</f>
        <v>2</v>
      </c>
      <c r="AI87" s="33" t="n">
        <f aca="false">SUMIFS(AI9:AI36,'Hiring plan'!$E$5:$E$32,"Sales rep",'Hiring plan'!$D$5:$D$32,"CI")+AI72</f>
        <v>2</v>
      </c>
      <c r="AJ87" s="33" t="n">
        <f aca="false">SUMIFS(AJ9:AJ36,'Hiring plan'!$E$5:$E$32,"Sales rep",'Hiring plan'!$D$5:$D$32,"CI")+AJ72</f>
        <v>2</v>
      </c>
      <c r="AK87" s="33" t="n">
        <f aca="false">SUMIFS(AK9:AK36,'Hiring plan'!$E$5:$E$32,"Sales rep",'Hiring plan'!$D$5:$D$32,"CI")+AK72</f>
        <v>2</v>
      </c>
      <c r="AL87" s="33" t="n">
        <f aca="false">SUMIFS(AL9:AL36,'Hiring plan'!$E$5:$E$32,"Sales rep",'Hiring plan'!$D$5:$D$32,"CI")+AL72</f>
        <v>2</v>
      </c>
      <c r="AM87" s="33" t="n">
        <f aca="false">SUMIFS(AM9:AM36,'Hiring plan'!$E$5:$E$32,"Sales rep",'Hiring plan'!$D$5:$D$32,"CI")+AM72</f>
        <v>2</v>
      </c>
      <c r="AN87" s="33" t="n">
        <f aca="false">SUMIFS(AN9:AN36,'Hiring plan'!$E$5:$E$32,"Sales rep",'Hiring plan'!$D$5:$D$32,"CI")+AN72</f>
        <v>3</v>
      </c>
      <c r="AO87" s="33" t="n">
        <f aca="false">SUMIFS(AO9:AO36,'Hiring plan'!$E$5:$E$32,"Sales rep",'Hiring plan'!$D$5:$D$32,"CI")+AO72</f>
        <v>3</v>
      </c>
      <c r="AP87" s="33" t="n">
        <f aca="false">SUMIFS(AP9:AP36,'Hiring plan'!$E$5:$E$32,"Sales rep",'Hiring plan'!$D$5:$D$32,"CI")+AP72</f>
        <v>3</v>
      </c>
      <c r="AQ87" s="33" t="n">
        <f aca="false">SUMIFS(AQ9:AQ36,'Hiring plan'!$E$5:$E$32,"Sales rep",'Hiring plan'!$D$5:$D$32,"CI")+AQ72</f>
        <v>3</v>
      </c>
      <c r="AR87" s="33" t="n">
        <f aca="false">SUMIFS(AR9:AR36,'Hiring plan'!$E$5:$E$32,"Sales rep",'Hiring plan'!$D$5:$D$32,"CI")+AR72</f>
        <v>3</v>
      </c>
      <c r="AS87" s="33" t="n">
        <f aca="false">SUMIFS(AS9:AS36,'Hiring plan'!$E$5:$E$32,"Sales rep",'Hiring plan'!$D$5:$D$32,"CI")+AS72</f>
        <v>3</v>
      </c>
      <c r="AT87" s="33" t="n">
        <f aca="false">SUMIFS(AT9:AT36,'Hiring plan'!$E$5:$E$32,"Sales rep",'Hiring plan'!$D$5:$D$32,"CI")+AT72</f>
        <v>3</v>
      </c>
      <c r="AU87" s="33" t="n">
        <f aca="false">SUMIFS(AU9:AU36,'Hiring plan'!$E$5:$E$32,"Sales rep",'Hiring plan'!$D$5:$D$32,"CI")+AU72</f>
        <v>4</v>
      </c>
      <c r="AV87" s="33" t="n">
        <f aca="false">SUMIFS(AV9:AV36,'Hiring plan'!$E$5:$E$32,"Sales rep",'Hiring plan'!$D$5:$D$32,"CI")+AV72</f>
        <v>4</v>
      </c>
      <c r="AW87" s="33" t="n">
        <f aca="false">SUMIFS(AW9:AW36,'Hiring plan'!$E$5:$E$32,"Sales rep",'Hiring plan'!$D$5:$D$32,"CI")+AW72</f>
        <v>4</v>
      </c>
      <c r="AX87" s="33" t="n">
        <f aca="false">SUMIFS(AX9:AX36,'Hiring plan'!$E$5:$E$32,"Sales rep",'Hiring plan'!$D$5:$D$32,"CI")+AX72</f>
        <v>4</v>
      </c>
      <c r="AY87" s="33" t="n">
        <f aca="false">SUMIFS(AY9:AY36,'Hiring plan'!$E$5:$E$32,"Sales rep",'Hiring plan'!$D$5:$D$32,"CI")+AY72</f>
        <v>4</v>
      </c>
      <c r="AZ87" s="33" t="n">
        <f aca="false">SUMIFS(AZ9:AZ36,'Hiring plan'!$E$5:$E$32,"Sales rep",'Hiring plan'!$D$5:$D$32,"CI")+AZ72</f>
        <v>5</v>
      </c>
      <c r="BA87" s="33" t="n">
        <f aca="false">SUMIFS(BA9:BA36,'Hiring plan'!$E$5:$E$32,"Sales rep",'Hiring plan'!$D$5:$D$32,"CI")+BA72</f>
        <v>5</v>
      </c>
      <c r="BB87" s="33" t="n">
        <f aca="false">SUMIFS(BB9:BB36,'Hiring plan'!$E$5:$E$32,"Sales rep",'Hiring plan'!$D$5:$D$32,"CI")+BB72</f>
        <v>5</v>
      </c>
      <c r="BC87" s="33" t="n">
        <f aca="false">SUMIFS(BC9:BC36,'Hiring plan'!$E$5:$E$32,"Sales rep",'Hiring plan'!$D$5:$D$32,"CI")+BC72</f>
        <v>5</v>
      </c>
      <c r="BD87" s="33" t="n">
        <f aca="false">SUMIFS(BD9:BD36,'Hiring plan'!$E$5:$E$32,"Sales rep",'Hiring plan'!$D$5:$D$32,"CI")+BD72</f>
        <v>6</v>
      </c>
      <c r="BE87" s="33" t="n">
        <f aca="false">SUMIFS(BE9:BE36,'Hiring plan'!$E$5:$E$32,"Sales rep",'Hiring plan'!$D$5:$D$32,"CI")+BE72</f>
        <v>6</v>
      </c>
      <c r="BF87" s="33" t="n">
        <f aca="false">SUMIFS(BF9:BF36,'Hiring plan'!$E$5:$E$32,"Sales rep",'Hiring plan'!$D$5:$D$32,"CI")+BF72</f>
        <v>6</v>
      </c>
      <c r="BG87" s="33" t="n">
        <f aca="false">SUMIFS(BG9:BG36,'Hiring plan'!$E$5:$E$32,"Sales rep",'Hiring plan'!$D$5:$D$32,"CI")+BG72</f>
        <v>6</v>
      </c>
      <c r="BH87" s="33" t="n">
        <f aca="false">SUMIFS(BH9:BH36,'Hiring plan'!$E$5:$E$32,"Sales rep",'Hiring plan'!$D$5:$D$32,"CI")+BH72</f>
        <v>7</v>
      </c>
      <c r="BI87" s="33" t="n">
        <f aca="false">SUMIFS(BI9:BI36,'Hiring plan'!$E$5:$E$32,"Sales rep",'Hiring plan'!$D$5:$D$32,"CI")+BI72</f>
        <v>7</v>
      </c>
      <c r="BJ87" s="33" t="n">
        <f aca="false">SUMIFS(BJ9:BJ36,'Hiring plan'!$E$5:$E$32,"Sales rep",'Hiring plan'!$D$5:$D$32,"CI")+BJ72</f>
        <v>7</v>
      </c>
      <c r="BK87" s="33" t="n">
        <f aca="false">SUMIFS(BK9:BK36,'Hiring plan'!$E$5:$E$32,"Sales rep",'Hiring plan'!$D$5:$D$32,"CI")+BK72</f>
        <v>7</v>
      </c>
      <c r="BL87" s="33" t="n">
        <f aca="false">SUMIFS(BL9:BL36,'Hiring plan'!$E$5:$E$32,"Sales rep",'Hiring plan'!$D$5:$D$32,"CI")+BL72</f>
        <v>8</v>
      </c>
    </row>
    <row r="88" customFormat="false" ht="15" hidden="false" customHeight="true" outlineLevel="0" collapsed="false">
      <c r="A88" s="13" t="s">
        <v>1155</v>
      </c>
      <c r="B88" s="15" t="s">
        <v>92</v>
      </c>
      <c r="D88" s="56" t="n">
        <f aca="false">SUM(E88:BL88)</f>
        <v>75</v>
      </c>
      <c r="E88" s="33" t="n">
        <f aca="false">SUMPRODUCT(--('Hiring plan'!$G$5:$G$32=E$3),'Hiring plan'!$F$5:$F$32)+E79</f>
        <v>5</v>
      </c>
      <c r="F88" s="33" t="n">
        <f aca="false">SUMPRODUCT(--('Hiring plan'!$G$5:$G$32=F$3),'Hiring plan'!$F$5:$F$32)+F79</f>
        <v>0</v>
      </c>
      <c r="G88" s="33" t="n">
        <f aca="false">SUMPRODUCT(--('Hiring plan'!$G$5:$G$32=G$3),'Hiring plan'!$F$5:$F$32)+G79</f>
        <v>0</v>
      </c>
      <c r="H88" s="33" t="n">
        <f aca="false">SUMPRODUCT(--('Hiring plan'!$G$5:$G$32=H$3),'Hiring plan'!$F$5:$F$32)+H79</f>
        <v>5</v>
      </c>
      <c r="I88" s="33" t="n">
        <f aca="false">SUMPRODUCT(--('Hiring plan'!$G$5:$G$32=I$3),'Hiring plan'!$F$5:$F$32)+I79</f>
        <v>1</v>
      </c>
      <c r="J88" s="33" t="n">
        <f aca="false">SUMPRODUCT(--('Hiring plan'!$G$5:$G$32=J$3),'Hiring plan'!$F$5:$F$32)+J79</f>
        <v>0</v>
      </c>
      <c r="K88" s="33" t="n">
        <f aca="false">SUMPRODUCT(--('Hiring plan'!$G$5:$G$32=K$3),'Hiring plan'!$F$5:$F$32)+K79</f>
        <v>0</v>
      </c>
      <c r="L88" s="33" t="n">
        <f aca="false">SUMPRODUCT(--('Hiring plan'!$G$5:$G$32=L$3),'Hiring plan'!$F$5:$F$32)+L79</f>
        <v>0</v>
      </c>
      <c r="M88" s="33" t="n">
        <f aca="false">SUMPRODUCT(--('Hiring plan'!$G$5:$G$32=M$3),'Hiring plan'!$F$5:$F$32)+M79</f>
        <v>0</v>
      </c>
      <c r="N88" s="33" t="n">
        <f aca="false">SUMPRODUCT(--('Hiring plan'!$G$5:$G$32=N$3),'Hiring plan'!$F$5:$F$32)+N79</f>
        <v>0</v>
      </c>
      <c r="O88" s="33" t="n">
        <f aca="false">SUMPRODUCT(--('Hiring plan'!$G$5:$G$32=O$3),'Hiring plan'!$F$5:$F$32)+O79</f>
        <v>0</v>
      </c>
      <c r="P88" s="33" t="n">
        <f aca="false">SUMPRODUCT(--('Hiring plan'!$G$5:$G$32=P$3),'Hiring plan'!$F$5:$F$32)+P79</f>
        <v>0</v>
      </c>
      <c r="Q88" s="33" t="n">
        <f aca="false">SUMPRODUCT(--('Hiring plan'!$G$5:$G$32=Q$3),'Hiring plan'!$F$5:$F$32)+Q79</f>
        <v>1</v>
      </c>
      <c r="R88" s="33" t="n">
        <f aca="false">SUMPRODUCT(--('Hiring plan'!$G$5:$G$32=R$3),'Hiring plan'!$F$5:$F$32)+R79</f>
        <v>0</v>
      </c>
      <c r="S88" s="33" t="n">
        <f aca="false">SUMPRODUCT(--('Hiring plan'!$G$5:$G$32=S$3),'Hiring plan'!$F$5:$F$32)+S79</f>
        <v>0</v>
      </c>
      <c r="T88" s="33" t="n">
        <f aca="false">SUMPRODUCT(--('Hiring plan'!$G$5:$G$32=T$3),'Hiring plan'!$F$5:$F$32)+T79</f>
        <v>1</v>
      </c>
      <c r="U88" s="33" t="n">
        <f aca="false">SUMPRODUCT(--('Hiring plan'!$G$5:$G$32=U$3),'Hiring plan'!$F$5:$F$32)+U79</f>
        <v>0</v>
      </c>
      <c r="V88" s="33" t="n">
        <f aca="false">SUMPRODUCT(--('Hiring plan'!$G$5:$G$32=V$3),'Hiring plan'!$F$5:$F$32)+V79</f>
        <v>3</v>
      </c>
      <c r="W88" s="33" t="n">
        <f aca="false">SUMPRODUCT(--('Hiring plan'!$G$5:$G$32=W$3),'Hiring plan'!$F$5:$F$32)+W79</f>
        <v>0</v>
      </c>
      <c r="X88" s="33" t="n">
        <f aca="false">SUMPRODUCT(--('Hiring plan'!$G$5:$G$32=X$3),'Hiring plan'!$F$5:$F$32)+X79</f>
        <v>1</v>
      </c>
      <c r="Y88" s="33" t="n">
        <f aca="false">SUMPRODUCT(--('Hiring plan'!$G$5:$G$32=Y$3),'Hiring plan'!$F$5:$F$32)+Y79</f>
        <v>1</v>
      </c>
      <c r="Z88" s="33" t="n">
        <f aca="false">SUMPRODUCT(--('Hiring plan'!$G$5:$G$32=Z$3),'Hiring plan'!$F$5:$F$32)+Z79</f>
        <v>0</v>
      </c>
      <c r="AA88" s="33" t="n">
        <f aca="false">SUMPRODUCT(--('Hiring plan'!$G$5:$G$32=AA$3),'Hiring plan'!$F$5:$F$32)+AA79</f>
        <v>0</v>
      </c>
      <c r="AB88" s="33" t="n">
        <f aca="false">SUMPRODUCT(--('Hiring plan'!$G$5:$G$32=AB$3),'Hiring plan'!$F$5:$F$32)+AB79</f>
        <v>1</v>
      </c>
      <c r="AC88" s="33" t="n">
        <f aca="false">SUMPRODUCT(--('Hiring plan'!$G$5:$G$32=AC$3),'Hiring plan'!$F$5:$F$32)+AC79</f>
        <v>1</v>
      </c>
      <c r="AD88" s="33" t="n">
        <f aca="false">SUMPRODUCT(--('Hiring plan'!$G$5:$G$32=AD$3),'Hiring plan'!$F$5:$F$32)+AD79</f>
        <v>1</v>
      </c>
      <c r="AE88" s="33" t="n">
        <f aca="false">SUMPRODUCT(--('Hiring plan'!$G$5:$G$32=AE$3),'Hiring plan'!$F$5:$F$32)+AE79</f>
        <v>0</v>
      </c>
      <c r="AF88" s="33" t="n">
        <f aca="false">SUMPRODUCT(--('Hiring plan'!$G$5:$G$32=AF$3),'Hiring plan'!$F$5:$F$32)+AF79</f>
        <v>2</v>
      </c>
      <c r="AG88" s="33" t="n">
        <f aca="false">SUMPRODUCT(--('Hiring plan'!$G$5:$G$32=AG$3),'Hiring plan'!$F$5:$F$32)+AG79</f>
        <v>3</v>
      </c>
      <c r="AH88" s="33" t="n">
        <f aca="false">SUMPRODUCT(--('Hiring plan'!$G$5:$G$32=AH$3),'Hiring plan'!$F$5:$F$32)+AH79</f>
        <v>1</v>
      </c>
      <c r="AI88" s="33" t="n">
        <f aca="false">SUMPRODUCT(--('Hiring plan'!$G$5:$G$32=AI$3),'Hiring plan'!$F$5:$F$32)+AI79</f>
        <v>1</v>
      </c>
      <c r="AJ88" s="33" t="n">
        <f aca="false">SUMPRODUCT(--('Hiring plan'!$G$5:$G$32=AJ$3),'Hiring plan'!$F$5:$F$32)+AJ79</f>
        <v>0</v>
      </c>
      <c r="AK88" s="33" t="n">
        <f aca="false">SUMPRODUCT(--('Hiring plan'!$G$5:$G$32=AK$3),'Hiring plan'!$F$5:$F$32)+AK79</f>
        <v>1</v>
      </c>
      <c r="AL88" s="33" t="n">
        <f aca="false">SUMPRODUCT(--('Hiring plan'!$G$5:$G$32=AL$3),'Hiring plan'!$F$5:$F$32)+AL79</f>
        <v>2</v>
      </c>
      <c r="AM88" s="33" t="n">
        <f aca="false">SUMPRODUCT(--('Hiring plan'!$G$5:$G$32=AM$3),'Hiring plan'!$F$5:$F$32)+AM79</f>
        <v>1</v>
      </c>
      <c r="AN88" s="33" t="n">
        <f aca="false">SUMPRODUCT(--('Hiring plan'!$G$5:$G$32=AN$3),'Hiring plan'!$F$5:$F$32)+AN79</f>
        <v>1</v>
      </c>
      <c r="AO88" s="33" t="n">
        <f aca="false">SUMPRODUCT(--('Hiring plan'!$G$5:$G$32=AO$3),'Hiring plan'!$F$5:$F$32)+AO79</f>
        <v>2</v>
      </c>
      <c r="AP88" s="33" t="n">
        <f aca="false">SUMPRODUCT(--('Hiring plan'!$G$5:$G$32=AP$3),'Hiring plan'!$F$5:$F$32)+AP79</f>
        <v>0</v>
      </c>
      <c r="AQ88" s="33" t="n">
        <f aca="false">SUMPRODUCT(--('Hiring plan'!$G$5:$G$32=AQ$3),'Hiring plan'!$F$5:$F$32)+AQ79</f>
        <v>2</v>
      </c>
      <c r="AR88" s="33" t="n">
        <f aca="false">SUMPRODUCT(--('Hiring plan'!$G$5:$G$32=AR$3),'Hiring plan'!$F$5:$F$32)+AR79</f>
        <v>3</v>
      </c>
      <c r="AS88" s="33" t="n">
        <f aca="false">SUMPRODUCT(--('Hiring plan'!$G$5:$G$32=AS$3),'Hiring plan'!$F$5:$F$32)+AS79</f>
        <v>0</v>
      </c>
      <c r="AT88" s="33" t="n">
        <f aca="false">SUMPRODUCT(--('Hiring plan'!$G$5:$G$32=AT$3),'Hiring plan'!$F$5:$F$32)+AT79</f>
        <v>1</v>
      </c>
      <c r="AU88" s="33" t="n">
        <f aca="false">SUMPRODUCT(--('Hiring plan'!$G$5:$G$32=AU$3),'Hiring plan'!$F$5:$F$32)+AU79</f>
        <v>3</v>
      </c>
      <c r="AV88" s="33" t="n">
        <f aca="false">SUMPRODUCT(--('Hiring plan'!$G$5:$G$32=AV$3),'Hiring plan'!$F$5:$F$32)+AV79</f>
        <v>0</v>
      </c>
      <c r="AW88" s="33" t="n">
        <f aca="false">SUMPRODUCT(--('Hiring plan'!$G$5:$G$32=AW$3),'Hiring plan'!$F$5:$F$32)+AW79</f>
        <v>3</v>
      </c>
      <c r="AX88" s="33" t="n">
        <f aca="false">SUMPRODUCT(--('Hiring plan'!$G$5:$G$32=AX$3),'Hiring plan'!$F$5:$F$32)+AX79</f>
        <v>1</v>
      </c>
      <c r="AY88" s="33" t="n">
        <f aca="false">SUMPRODUCT(--('Hiring plan'!$G$5:$G$32=AY$3),'Hiring plan'!$F$5:$F$32)+AY79</f>
        <v>1</v>
      </c>
      <c r="AZ88" s="33" t="n">
        <f aca="false">SUMPRODUCT(--('Hiring plan'!$G$5:$G$32=AZ$3),'Hiring plan'!$F$5:$F$32)+AZ79</f>
        <v>2</v>
      </c>
      <c r="BA88" s="33" t="n">
        <f aca="false">SUMPRODUCT(--('Hiring plan'!$G$5:$G$32=BA$3),'Hiring plan'!$F$5:$F$32)+BA79</f>
        <v>2</v>
      </c>
      <c r="BB88" s="33" t="n">
        <f aca="false">SUMPRODUCT(--('Hiring plan'!$G$5:$G$32=BB$3),'Hiring plan'!$F$5:$F$32)+BB79</f>
        <v>3</v>
      </c>
      <c r="BC88" s="33" t="n">
        <f aca="false">SUMPRODUCT(--('Hiring plan'!$G$5:$G$32=BC$3),'Hiring plan'!$F$5:$F$32)+BC79</f>
        <v>1</v>
      </c>
      <c r="BD88" s="33" t="n">
        <f aca="false">SUMPRODUCT(--('Hiring plan'!$G$5:$G$32=BD$3),'Hiring plan'!$F$5:$F$32)+BD79</f>
        <v>2</v>
      </c>
      <c r="BE88" s="33" t="n">
        <f aca="false">SUMPRODUCT(--('Hiring plan'!$G$5:$G$32=BE$3),'Hiring plan'!$F$5:$F$32)+BE79</f>
        <v>1</v>
      </c>
      <c r="BF88" s="33" t="n">
        <f aca="false">SUMPRODUCT(--('Hiring plan'!$G$5:$G$32=BF$3),'Hiring plan'!$F$5:$F$32)+BF79</f>
        <v>2</v>
      </c>
      <c r="BG88" s="33" t="n">
        <f aca="false">SUMPRODUCT(--('Hiring plan'!$G$5:$G$32=BG$3),'Hiring plan'!$F$5:$F$32)+BG79</f>
        <v>2</v>
      </c>
      <c r="BH88" s="33" t="n">
        <f aca="false">SUMPRODUCT(--('Hiring plan'!$G$5:$G$32=BH$3),'Hiring plan'!$F$5:$F$32)+BH79</f>
        <v>3</v>
      </c>
      <c r="BI88" s="33" t="n">
        <f aca="false">SUMPRODUCT(--('Hiring plan'!$G$5:$G$32=BI$3),'Hiring plan'!$F$5:$F$32)+BI79</f>
        <v>2</v>
      </c>
      <c r="BJ88" s="33" t="n">
        <f aca="false">SUMPRODUCT(--('Hiring plan'!$G$5:$G$32=BJ$3),'Hiring plan'!$F$5:$F$32)+BJ79</f>
        <v>2</v>
      </c>
      <c r="BK88" s="33" t="n">
        <f aca="false">SUMPRODUCT(--('Hiring plan'!$G$5:$G$32=BK$3),'Hiring plan'!$F$5:$F$32)+BK79</f>
        <v>2</v>
      </c>
      <c r="BL88" s="33" t="n">
        <f aca="false">SUMPRODUCT(--('Hiring plan'!$G$5:$G$32=BL$3),'Hiring plan'!$F$5:$F$32)+BL79</f>
        <v>2</v>
      </c>
    </row>
    <row r="89" customFormat="false" ht="15" hidden="false" customHeight="true" outlineLevel="0" collapsed="false">
      <c r="A89" s="13" t="s">
        <v>1156</v>
      </c>
      <c r="B89" s="15" t="s">
        <v>92</v>
      </c>
      <c r="D89" s="56" t="n">
        <f aca="false">SUM(E89:BL89)</f>
        <v>7</v>
      </c>
      <c r="E89" s="33" t="n">
        <f aca="false">SUMPRODUCT(--('Hiring plan'!$G$5:$G$32=E$3),--('Hiring plan'!$B$5:$B$32="Engineering &amp; product"),'Hiring plan'!$F$5:$F$32)+E70</f>
        <v>3</v>
      </c>
      <c r="F89" s="33" t="n">
        <f aca="false">SUMPRODUCT(--('Hiring plan'!$G$5:$G$32=F$3),--('Hiring plan'!$B$5:$B$32="Engineering &amp; product"),'Hiring plan'!$F$5:$F$32)+MAX(0,F70-E70)</f>
        <v>0</v>
      </c>
      <c r="G89" s="33" t="n">
        <f aca="false">SUMPRODUCT(--('Hiring plan'!$G$5:$G$32=G$3),--('Hiring plan'!$B$5:$B$32="Engineering &amp; product"),'Hiring plan'!$F$5:$F$32)+MAX(0,G70-F70)</f>
        <v>0</v>
      </c>
      <c r="H89" s="33" t="n">
        <f aca="false">SUMPRODUCT(--('Hiring plan'!$G$5:$G$32=H$3),--('Hiring plan'!$B$5:$B$32="Engineering &amp; product"),'Hiring plan'!$F$5:$F$32)+MAX(0,H70-G70)</f>
        <v>0</v>
      </c>
      <c r="I89" s="33" t="n">
        <f aca="false">SUMPRODUCT(--('Hiring plan'!$G$5:$G$32=I$3),--('Hiring plan'!$B$5:$B$32="Engineering &amp; product"),'Hiring plan'!$F$5:$F$32)+MAX(0,I70-H70)</f>
        <v>0</v>
      </c>
      <c r="J89" s="33" t="n">
        <f aca="false">SUMPRODUCT(--('Hiring plan'!$G$5:$G$32=J$3),--('Hiring plan'!$B$5:$B$32="Engineering &amp; product"),'Hiring plan'!$F$5:$F$32)+MAX(0,J70-I70)</f>
        <v>0</v>
      </c>
      <c r="K89" s="33" t="n">
        <f aca="false">SUMPRODUCT(--('Hiring plan'!$G$5:$G$32=K$3),--('Hiring plan'!$B$5:$B$32="Engineering &amp; product"),'Hiring plan'!$F$5:$F$32)+MAX(0,K70-J70)</f>
        <v>0</v>
      </c>
      <c r="L89" s="33" t="n">
        <f aca="false">SUMPRODUCT(--('Hiring plan'!$G$5:$G$32=L$3),--('Hiring plan'!$B$5:$B$32="Engineering &amp; product"),'Hiring plan'!$F$5:$F$32)+MAX(0,L70-K70)</f>
        <v>0</v>
      </c>
      <c r="M89" s="33" t="n">
        <f aca="false">SUMPRODUCT(--('Hiring plan'!$G$5:$G$32=M$3),--('Hiring plan'!$B$5:$B$32="Engineering &amp; product"),'Hiring plan'!$F$5:$F$32)+MAX(0,M70-L70)</f>
        <v>0</v>
      </c>
      <c r="N89" s="33" t="n">
        <f aca="false">SUMPRODUCT(--('Hiring plan'!$G$5:$G$32=N$3),--('Hiring plan'!$B$5:$B$32="Engineering &amp; product"),'Hiring plan'!$F$5:$F$32)+MAX(0,N70-M70)</f>
        <v>0</v>
      </c>
      <c r="O89" s="33" t="n">
        <f aca="false">SUMPRODUCT(--('Hiring plan'!$G$5:$G$32=O$3),--('Hiring plan'!$B$5:$B$32="Engineering &amp; product"),'Hiring plan'!$F$5:$F$32)+MAX(0,O70-N70)</f>
        <v>0</v>
      </c>
      <c r="P89" s="33" t="n">
        <f aca="false">SUMPRODUCT(--('Hiring plan'!$G$5:$G$32=P$3),--('Hiring plan'!$B$5:$B$32="Engineering &amp; product"),'Hiring plan'!$F$5:$F$32)+MAX(0,P70-O70)</f>
        <v>0</v>
      </c>
      <c r="Q89" s="33" t="n">
        <f aca="false">SUMPRODUCT(--('Hiring plan'!$G$5:$G$32=Q$3),--('Hiring plan'!$B$5:$B$32="Engineering &amp; product"),'Hiring plan'!$F$5:$F$32)+MAX(0,Q70-P70)</f>
        <v>0</v>
      </c>
      <c r="R89" s="33" t="n">
        <f aca="false">SUMPRODUCT(--('Hiring plan'!$G$5:$G$32=R$3),--('Hiring plan'!$B$5:$B$32="Engineering &amp; product"),'Hiring plan'!$F$5:$F$32)+MAX(0,R70-Q70)</f>
        <v>0</v>
      </c>
      <c r="S89" s="33" t="n">
        <f aca="false">SUMPRODUCT(--('Hiring plan'!$G$5:$G$32=S$3),--('Hiring plan'!$B$5:$B$32="Engineering &amp; product"),'Hiring plan'!$F$5:$F$32)+MAX(0,S70-R70)</f>
        <v>0</v>
      </c>
      <c r="T89" s="33" t="n">
        <f aca="false">SUMPRODUCT(--('Hiring plan'!$G$5:$G$32=T$3),--('Hiring plan'!$B$5:$B$32="Engineering &amp; product"),'Hiring plan'!$F$5:$F$32)+MAX(0,T70-S70)</f>
        <v>0</v>
      </c>
      <c r="U89" s="33" t="n">
        <f aca="false">SUMPRODUCT(--('Hiring plan'!$G$5:$G$32=U$3),--('Hiring plan'!$B$5:$B$32="Engineering &amp; product"),'Hiring plan'!$F$5:$F$32)+MAX(0,U70-T70)</f>
        <v>0</v>
      </c>
      <c r="V89" s="33" t="n">
        <f aca="false">SUMPRODUCT(--('Hiring plan'!$G$5:$G$32=V$3),--('Hiring plan'!$B$5:$B$32="Engineering &amp; product"),'Hiring plan'!$F$5:$F$32)+MAX(0,V70-U70)</f>
        <v>0</v>
      </c>
      <c r="W89" s="33" t="n">
        <f aca="false">SUMPRODUCT(--('Hiring plan'!$G$5:$G$32=W$3),--('Hiring plan'!$B$5:$B$32="Engineering &amp; product"),'Hiring plan'!$F$5:$F$32)+MAX(0,W70-V70)</f>
        <v>0</v>
      </c>
      <c r="X89" s="33" t="n">
        <f aca="false">SUMPRODUCT(--('Hiring plan'!$G$5:$G$32=X$3),--('Hiring plan'!$B$5:$B$32="Engineering &amp; product"),'Hiring plan'!$F$5:$F$32)+MAX(0,X70-W70)</f>
        <v>0</v>
      </c>
      <c r="Y89" s="33" t="n">
        <f aca="false">SUMPRODUCT(--('Hiring plan'!$G$5:$G$32=Y$3),--('Hiring plan'!$B$5:$B$32="Engineering &amp; product"),'Hiring plan'!$F$5:$F$32)+MAX(0,Y70-X70)</f>
        <v>0</v>
      </c>
      <c r="Z89" s="33" t="n">
        <f aca="false">SUMPRODUCT(--('Hiring plan'!$G$5:$G$32=Z$3),--('Hiring plan'!$B$5:$B$32="Engineering &amp; product"),'Hiring plan'!$F$5:$F$32)+MAX(0,Z70-Y70)</f>
        <v>0</v>
      </c>
      <c r="AA89" s="33" t="n">
        <f aca="false">SUMPRODUCT(--('Hiring plan'!$G$5:$G$32=AA$3),--('Hiring plan'!$B$5:$B$32="Engineering &amp; product"),'Hiring plan'!$F$5:$F$32)+MAX(0,AA70-Z70)</f>
        <v>0</v>
      </c>
      <c r="AB89" s="33" t="n">
        <f aca="false">SUMPRODUCT(--('Hiring plan'!$G$5:$G$32=AB$3),--('Hiring plan'!$B$5:$B$32="Engineering &amp; product"),'Hiring plan'!$F$5:$F$32)+MAX(0,AB70-AA70)</f>
        <v>0</v>
      </c>
      <c r="AC89" s="33" t="n">
        <f aca="false">SUMPRODUCT(--('Hiring plan'!$G$5:$G$32=AC$3),--('Hiring plan'!$B$5:$B$32="Engineering &amp; product"),'Hiring plan'!$F$5:$F$32)+MAX(0,AC70-AB70)</f>
        <v>0</v>
      </c>
      <c r="AD89" s="33" t="n">
        <f aca="false">SUMPRODUCT(--('Hiring plan'!$G$5:$G$32=AD$3),--('Hiring plan'!$B$5:$B$32="Engineering &amp; product"),'Hiring plan'!$F$5:$F$32)+MAX(0,AD70-AC70)</f>
        <v>0</v>
      </c>
      <c r="AE89" s="33" t="n">
        <f aca="false">SUMPRODUCT(--('Hiring plan'!$G$5:$G$32=AE$3),--('Hiring plan'!$B$5:$B$32="Engineering &amp; product"),'Hiring plan'!$F$5:$F$32)+MAX(0,AE70-AD70)</f>
        <v>0</v>
      </c>
      <c r="AF89" s="33" t="n">
        <f aca="false">SUMPRODUCT(--('Hiring plan'!$G$5:$G$32=AF$3),--('Hiring plan'!$B$5:$B$32="Engineering &amp; product"),'Hiring plan'!$F$5:$F$32)+MAX(0,AF70-AE70)</f>
        <v>1</v>
      </c>
      <c r="AG89" s="33" t="n">
        <f aca="false">SUMPRODUCT(--('Hiring plan'!$G$5:$G$32=AG$3),--('Hiring plan'!$B$5:$B$32="Engineering &amp; product"),'Hiring plan'!$F$5:$F$32)+MAX(0,AG70-AF70)</f>
        <v>0</v>
      </c>
      <c r="AH89" s="33" t="n">
        <f aca="false">SUMPRODUCT(--('Hiring plan'!$G$5:$G$32=AH$3),--('Hiring plan'!$B$5:$B$32="Engineering &amp; product"),'Hiring plan'!$F$5:$F$32)+MAX(0,AH70-AG70)</f>
        <v>0</v>
      </c>
      <c r="AI89" s="33" t="n">
        <f aca="false">SUMPRODUCT(--('Hiring plan'!$G$5:$G$32=AI$3),--('Hiring plan'!$B$5:$B$32="Engineering &amp; product"),'Hiring plan'!$F$5:$F$32)+MAX(0,AI70-AH70)</f>
        <v>0</v>
      </c>
      <c r="AJ89" s="33" t="n">
        <f aca="false">SUMPRODUCT(--('Hiring plan'!$G$5:$G$32=AJ$3),--('Hiring plan'!$B$5:$B$32="Engineering &amp; product"),'Hiring plan'!$F$5:$F$32)+MAX(0,AJ70-AI70)</f>
        <v>0</v>
      </c>
      <c r="AK89" s="33" t="n">
        <f aca="false">SUMPRODUCT(--('Hiring plan'!$G$5:$G$32=AK$3),--('Hiring plan'!$B$5:$B$32="Engineering &amp; product"),'Hiring plan'!$F$5:$F$32)+MAX(0,AK70-AJ70)</f>
        <v>0</v>
      </c>
      <c r="AL89" s="33" t="n">
        <f aca="false">SUMPRODUCT(--('Hiring plan'!$G$5:$G$32=AL$3),--('Hiring plan'!$B$5:$B$32="Engineering &amp; product"),'Hiring plan'!$F$5:$F$32)+MAX(0,AL70-AK70)</f>
        <v>0</v>
      </c>
      <c r="AM89" s="33" t="n">
        <f aca="false">SUMPRODUCT(--('Hiring plan'!$G$5:$G$32=AM$3),--('Hiring plan'!$B$5:$B$32="Engineering &amp; product"),'Hiring plan'!$F$5:$F$32)+MAX(0,AM70-AL70)</f>
        <v>0</v>
      </c>
      <c r="AN89" s="33" t="n">
        <f aca="false">SUMPRODUCT(--('Hiring plan'!$G$5:$G$32=AN$3),--('Hiring plan'!$B$5:$B$32="Engineering &amp; product"),'Hiring plan'!$F$5:$F$32)+MAX(0,AN70-AM70)</f>
        <v>0</v>
      </c>
      <c r="AO89" s="33" t="n">
        <f aca="false">SUMPRODUCT(--('Hiring plan'!$G$5:$G$32=AO$3),--('Hiring plan'!$B$5:$B$32="Engineering &amp; product"),'Hiring plan'!$F$5:$F$32)+MAX(0,AO70-AN70)</f>
        <v>0</v>
      </c>
      <c r="AP89" s="33" t="n">
        <f aca="false">SUMPRODUCT(--('Hiring plan'!$G$5:$G$32=AP$3),--('Hiring plan'!$B$5:$B$32="Engineering &amp; product"),'Hiring plan'!$F$5:$F$32)+MAX(0,AP70-AO70)</f>
        <v>0</v>
      </c>
      <c r="AQ89" s="33" t="n">
        <f aca="false">SUMPRODUCT(--('Hiring plan'!$G$5:$G$32=AQ$3),--('Hiring plan'!$B$5:$B$32="Engineering &amp; product"),'Hiring plan'!$F$5:$F$32)+MAX(0,AQ70-AP70)</f>
        <v>0</v>
      </c>
      <c r="AR89" s="33" t="n">
        <f aca="false">SUMPRODUCT(--('Hiring plan'!$G$5:$G$32=AR$3),--('Hiring plan'!$B$5:$B$32="Engineering &amp; product"),'Hiring plan'!$F$5:$F$32)+MAX(0,AR70-AQ70)</f>
        <v>1</v>
      </c>
      <c r="AS89" s="33" t="n">
        <f aca="false">SUMPRODUCT(--('Hiring plan'!$G$5:$G$32=AS$3),--('Hiring plan'!$B$5:$B$32="Engineering &amp; product"),'Hiring plan'!$F$5:$F$32)+MAX(0,AS70-AR70)</f>
        <v>0</v>
      </c>
      <c r="AT89" s="33" t="n">
        <f aca="false">SUMPRODUCT(--('Hiring plan'!$G$5:$G$32=AT$3),--('Hiring plan'!$B$5:$B$32="Engineering &amp; product"),'Hiring plan'!$F$5:$F$32)+MAX(0,AT70-AS70)</f>
        <v>0</v>
      </c>
      <c r="AU89" s="33" t="n">
        <f aca="false">SUMPRODUCT(--('Hiring plan'!$G$5:$G$32=AU$3),--('Hiring plan'!$B$5:$B$32="Engineering &amp; product"),'Hiring plan'!$F$5:$F$32)+MAX(0,AU70-AT70)</f>
        <v>0</v>
      </c>
      <c r="AV89" s="33" t="n">
        <f aca="false">SUMPRODUCT(--('Hiring plan'!$G$5:$G$32=AV$3),--('Hiring plan'!$B$5:$B$32="Engineering &amp; product"),'Hiring plan'!$F$5:$F$32)+MAX(0,AV70-AU70)</f>
        <v>0</v>
      </c>
      <c r="AW89" s="33" t="n">
        <f aca="false">SUMPRODUCT(--('Hiring plan'!$G$5:$G$32=AW$3),--('Hiring plan'!$B$5:$B$32="Engineering &amp; product"),'Hiring plan'!$F$5:$F$32)+MAX(0,AW70-AV70)</f>
        <v>0</v>
      </c>
      <c r="AX89" s="33" t="n">
        <f aca="false">SUMPRODUCT(--('Hiring plan'!$G$5:$G$32=AX$3),--('Hiring plan'!$B$5:$B$32="Engineering &amp; product"),'Hiring plan'!$F$5:$F$32)+MAX(0,AX70-AW70)</f>
        <v>0</v>
      </c>
      <c r="AY89" s="33" t="n">
        <f aca="false">SUMPRODUCT(--('Hiring plan'!$G$5:$G$32=AY$3),--('Hiring plan'!$B$5:$B$32="Engineering &amp; product"),'Hiring plan'!$F$5:$F$32)+MAX(0,AY70-AX70)</f>
        <v>0</v>
      </c>
      <c r="AZ89" s="33" t="n">
        <f aca="false">SUMPRODUCT(--('Hiring plan'!$G$5:$G$32=AZ$3),--('Hiring plan'!$B$5:$B$32="Engineering &amp; product"),'Hiring plan'!$F$5:$F$32)+MAX(0,AZ70-AY70)</f>
        <v>0</v>
      </c>
      <c r="BA89" s="33" t="n">
        <f aca="false">SUMPRODUCT(--('Hiring plan'!$G$5:$G$32=BA$3),--('Hiring plan'!$B$5:$B$32="Engineering &amp; product"),'Hiring plan'!$F$5:$F$32)+MAX(0,BA70-AZ70)</f>
        <v>1</v>
      </c>
      <c r="BB89" s="33" t="n">
        <f aca="false">SUMPRODUCT(--('Hiring plan'!$G$5:$G$32=BB$3),--('Hiring plan'!$B$5:$B$32="Engineering &amp; product"),'Hiring plan'!$F$5:$F$32)+MAX(0,BB70-BA70)</f>
        <v>0</v>
      </c>
      <c r="BC89" s="33" t="n">
        <f aca="false">SUMPRODUCT(--('Hiring plan'!$G$5:$G$32=BC$3),--('Hiring plan'!$B$5:$B$32="Engineering &amp; product"),'Hiring plan'!$F$5:$F$32)+MAX(0,BC70-BB70)</f>
        <v>0</v>
      </c>
      <c r="BD89" s="33" t="n">
        <f aca="false">SUMPRODUCT(--('Hiring plan'!$G$5:$G$32=BD$3),--('Hiring plan'!$B$5:$B$32="Engineering &amp; product"),'Hiring plan'!$F$5:$F$32)+MAX(0,BD70-BC70)</f>
        <v>0</v>
      </c>
      <c r="BE89" s="33" t="n">
        <f aca="false">SUMPRODUCT(--('Hiring plan'!$G$5:$G$32=BE$3),--('Hiring plan'!$B$5:$B$32="Engineering &amp; product"),'Hiring plan'!$F$5:$F$32)+MAX(0,BE70-BD70)</f>
        <v>0</v>
      </c>
      <c r="BF89" s="33" t="n">
        <f aca="false">SUMPRODUCT(--('Hiring plan'!$G$5:$G$32=BF$3),--('Hiring plan'!$B$5:$B$32="Engineering &amp; product"),'Hiring plan'!$F$5:$F$32)+MAX(0,BF70-BE70)</f>
        <v>0</v>
      </c>
      <c r="BG89" s="33" t="n">
        <f aca="false">SUMPRODUCT(--('Hiring plan'!$G$5:$G$32=BG$3),--('Hiring plan'!$B$5:$B$32="Engineering &amp; product"),'Hiring plan'!$F$5:$F$32)+MAX(0,BG70-BF70)</f>
        <v>0</v>
      </c>
      <c r="BH89" s="33" t="n">
        <f aca="false">SUMPRODUCT(--('Hiring plan'!$G$5:$G$32=BH$3),--('Hiring plan'!$B$5:$B$32="Engineering &amp; product"),'Hiring plan'!$F$5:$F$32)+MAX(0,BH70-BG70)</f>
        <v>1</v>
      </c>
      <c r="BI89" s="33" t="n">
        <f aca="false">SUMPRODUCT(--('Hiring plan'!$G$5:$G$32=BI$3),--('Hiring plan'!$B$5:$B$32="Engineering &amp; product"),'Hiring plan'!$F$5:$F$32)+MAX(0,BI70-BH70)</f>
        <v>0</v>
      </c>
      <c r="BJ89" s="33" t="n">
        <f aca="false">SUMPRODUCT(--('Hiring plan'!$G$5:$G$32=BJ$3),--('Hiring plan'!$B$5:$B$32="Engineering &amp; product"),'Hiring plan'!$F$5:$F$32)+MAX(0,BJ70-BI70)</f>
        <v>0</v>
      </c>
      <c r="BK89" s="33" t="n">
        <f aca="false">SUMPRODUCT(--('Hiring plan'!$G$5:$G$32=BK$3),--('Hiring plan'!$B$5:$B$32="Engineering &amp; product"),'Hiring plan'!$F$5:$F$32)+MAX(0,BK70-BJ70)</f>
        <v>0</v>
      </c>
      <c r="BL89" s="33" t="n">
        <f aca="false">SUMPRODUCT(--('Hiring plan'!$G$5:$G$32=BL$3),--('Hiring plan'!$B$5:$B$32="Engineering &amp; product"),'Hiring plan'!$F$5:$F$32)+MAX(0,BL70-BK70)</f>
        <v>0</v>
      </c>
    </row>
    <row r="90" customFormat="false" ht="15" hidden="false" customHeight="true" outlineLevel="0" collapsed="false">
      <c r="A90" s="13" t="s">
        <v>1157</v>
      </c>
      <c r="B90" s="15" t="s">
        <v>92</v>
      </c>
      <c r="D90" s="56" t="n">
        <f aca="false">BL90</f>
        <v>2</v>
      </c>
      <c r="E90" s="33" t="n">
        <f aca="false">SUMIF('Hiring plan'!$B$5:$B$32,"Leadership",E9:E36)+0</f>
        <v>0</v>
      </c>
      <c r="F90" s="33" t="n">
        <f aca="false">SUMIF('Hiring plan'!$B$5:$B$32,"Leadership",F9:F36)+0</f>
        <v>0</v>
      </c>
      <c r="G90" s="33" t="n">
        <f aca="false">SUMIF('Hiring plan'!$B$5:$B$32,"Leadership",G9:G36)+0</f>
        <v>0</v>
      </c>
      <c r="H90" s="33" t="n">
        <f aca="false">SUMIF('Hiring plan'!$B$5:$B$32,"Leadership",H9:H36)+0</f>
        <v>0</v>
      </c>
      <c r="I90" s="33" t="n">
        <f aca="false">SUMIF('Hiring plan'!$B$5:$B$32,"Leadership",I9:I36)+0</f>
        <v>0</v>
      </c>
      <c r="J90" s="33" t="n">
        <f aca="false">SUMIF('Hiring plan'!$B$5:$B$32,"Leadership",J9:J36)+0</f>
        <v>0</v>
      </c>
      <c r="K90" s="33" t="n">
        <f aca="false">SUMIF('Hiring plan'!$B$5:$B$32,"Leadership",K9:K36)+0</f>
        <v>0</v>
      </c>
      <c r="L90" s="33" t="n">
        <f aca="false">SUMIF('Hiring plan'!$B$5:$B$32,"Leadership",L9:L36)+0</f>
        <v>0</v>
      </c>
      <c r="M90" s="33" t="n">
        <f aca="false">SUMIF('Hiring plan'!$B$5:$B$32,"Leadership",M9:M36)+0</f>
        <v>0</v>
      </c>
      <c r="N90" s="33" t="n">
        <f aca="false">SUMIF('Hiring plan'!$B$5:$B$32,"Leadership",N9:N36)+0</f>
        <v>0</v>
      </c>
      <c r="O90" s="33" t="n">
        <f aca="false">SUMIF('Hiring plan'!$B$5:$B$32,"Leadership",O9:O36)+0</f>
        <v>0</v>
      </c>
      <c r="P90" s="33" t="n">
        <f aca="false">SUMIF('Hiring plan'!$B$5:$B$32,"Leadership",P9:P36)+0</f>
        <v>0</v>
      </c>
      <c r="Q90" s="33" t="n">
        <f aca="false">SUMIF('Hiring plan'!$B$5:$B$32,"Leadership",Q9:Q36)+0</f>
        <v>1</v>
      </c>
      <c r="R90" s="33" t="n">
        <f aca="false">SUMIF('Hiring plan'!$B$5:$B$32,"Leadership",R9:R36)+0</f>
        <v>1</v>
      </c>
      <c r="S90" s="33" t="n">
        <f aca="false">SUMIF('Hiring plan'!$B$5:$B$32,"Leadership",S9:S36)+0</f>
        <v>1</v>
      </c>
      <c r="T90" s="33" t="n">
        <f aca="false">SUMIF('Hiring plan'!$B$5:$B$32,"Leadership",T9:T36)+0</f>
        <v>1</v>
      </c>
      <c r="U90" s="33" t="n">
        <f aca="false">SUMIF('Hiring plan'!$B$5:$B$32,"Leadership",U9:U36)+0</f>
        <v>1</v>
      </c>
      <c r="V90" s="33" t="n">
        <f aca="false">SUMIF('Hiring plan'!$B$5:$B$32,"Leadership",V9:V36)+0</f>
        <v>2</v>
      </c>
      <c r="W90" s="33" t="n">
        <f aca="false">SUMIF('Hiring plan'!$B$5:$B$32,"Leadership",W9:W36)+0</f>
        <v>2</v>
      </c>
      <c r="X90" s="33" t="n">
        <f aca="false">SUMIF('Hiring plan'!$B$5:$B$32,"Leadership",X9:X36)+0</f>
        <v>2</v>
      </c>
      <c r="Y90" s="33" t="n">
        <f aca="false">SUMIF('Hiring plan'!$B$5:$B$32,"Leadership",Y9:Y36)+0</f>
        <v>2</v>
      </c>
      <c r="Z90" s="33" t="n">
        <f aca="false">SUMIF('Hiring plan'!$B$5:$B$32,"Leadership",Z9:Z36)+0</f>
        <v>2</v>
      </c>
      <c r="AA90" s="33" t="n">
        <f aca="false">SUMIF('Hiring plan'!$B$5:$B$32,"Leadership",AA9:AA36)+0</f>
        <v>2</v>
      </c>
      <c r="AB90" s="33" t="n">
        <f aca="false">SUMIF('Hiring plan'!$B$5:$B$32,"Leadership",AB9:AB36)+0</f>
        <v>2</v>
      </c>
      <c r="AC90" s="33" t="n">
        <f aca="false">SUMIF('Hiring plan'!$B$5:$B$32,"Leadership",AC9:AC36)+0</f>
        <v>2</v>
      </c>
      <c r="AD90" s="33" t="n">
        <f aca="false">SUMIF('Hiring plan'!$B$5:$B$32,"Leadership",AD9:AD36)+0</f>
        <v>2</v>
      </c>
      <c r="AE90" s="33" t="n">
        <f aca="false">SUMIF('Hiring plan'!$B$5:$B$32,"Leadership",AE9:AE36)+0</f>
        <v>2</v>
      </c>
      <c r="AF90" s="33" t="n">
        <f aca="false">SUMIF('Hiring plan'!$B$5:$B$32,"Leadership",AF9:AF36)+0</f>
        <v>2</v>
      </c>
      <c r="AG90" s="33" t="n">
        <f aca="false">SUMIF('Hiring plan'!$B$5:$B$32,"Leadership",AG9:AG36)+0</f>
        <v>2</v>
      </c>
      <c r="AH90" s="33" t="n">
        <f aca="false">SUMIF('Hiring plan'!$B$5:$B$32,"Leadership",AH9:AH36)+0</f>
        <v>2</v>
      </c>
      <c r="AI90" s="33" t="n">
        <f aca="false">SUMIF('Hiring plan'!$B$5:$B$32,"Leadership",AI9:AI36)+0</f>
        <v>2</v>
      </c>
      <c r="AJ90" s="33" t="n">
        <f aca="false">SUMIF('Hiring plan'!$B$5:$B$32,"Leadership",AJ9:AJ36)+0</f>
        <v>2</v>
      </c>
      <c r="AK90" s="33" t="n">
        <f aca="false">SUMIF('Hiring plan'!$B$5:$B$32,"Leadership",AK9:AK36)+0</f>
        <v>2</v>
      </c>
      <c r="AL90" s="33" t="n">
        <f aca="false">SUMIF('Hiring plan'!$B$5:$B$32,"Leadership",AL9:AL36)+0</f>
        <v>2</v>
      </c>
      <c r="AM90" s="33" t="n">
        <f aca="false">SUMIF('Hiring plan'!$B$5:$B$32,"Leadership",AM9:AM36)+0</f>
        <v>2</v>
      </c>
      <c r="AN90" s="33" t="n">
        <f aca="false">SUMIF('Hiring plan'!$B$5:$B$32,"Leadership",AN9:AN36)+0</f>
        <v>2</v>
      </c>
      <c r="AO90" s="33" t="n">
        <f aca="false">SUMIF('Hiring plan'!$B$5:$B$32,"Leadership",AO9:AO36)+0</f>
        <v>2</v>
      </c>
      <c r="AP90" s="33" t="n">
        <f aca="false">SUMIF('Hiring plan'!$B$5:$B$32,"Leadership",AP9:AP36)+0</f>
        <v>2</v>
      </c>
      <c r="AQ90" s="33" t="n">
        <f aca="false">SUMIF('Hiring plan'!$B$5:$B$32,"Leadership",AQ9:AQ36)+0</f>
        <v>2</v>
      </c>
      <c r="AR90" s="33" t="n">
        <f aca="false">SUMIF('Hiring plan'!$B$5:$B$32,"Leadership",AR9:AR36)+0</f>
        <v>2</v>
      </c>
      <c r="AS90" s="33" t="n">
        <f aca="false">SUMIF('Hiring plan'!$B$5:$B$32,"Leadership",AS9:AS36)+0</f>
        <v>2</v>
      </c>
      <c r="AT90" s="33" t="n">
        <f aca="false">SUMIF('Hiring plan'!$B$5:$B$32,"Leadership",AT9:AT36)+0</f>
        <v>2</v>
      </c>
      <c r="AU90" s="33" t="n">
        <f aca="false">SUMIF('Hiring plan'!$B$5:$B$32,"Leadership",AU9:AU36)+0</f>
        <v>2</v>
      </c>
      <c r="AV90" s="33" t="n">
        <f aca="false">SUMIF('Hiring plan'!$B$5:$B$32,"Leadership",AV9:AV36)+0</f>
        <v>2</v>
      </c>
      <c r="AW90" s="33" t="n">
        <f aca="false">SUMIF('Hiring plan'!$B$5:$B$32,"Leadership",AW9:AW36)+0</f>
        <v>2</v>
      </c>
      <c r="AX90" s="33" t="n">
        <f aca="false">SUMIF('Hiring plan'!$B$5:$B$32,"Leadership",AX9:AX36)+0</f>
        <v>2</v>
      </c>
      <c r="AY90" s="33" t="n">
        <f aca="false">SUMIF('Hiring plan'!$B$5:$B$32,"Leadership",AY9:AY36)+0</f>
        <v>2</v>
      </c>
      <c r="AZ90" s="33" t="n">
        <f aca="false">SUMIF('Hiring plan'!$B$5:$B$32,"Leadership",AZ9:AZ36)+0</f>
        <v>2</v>
      </c>
      <c r="BA90" s="33" t="n">
        <f aca="false">SUMIF('Hiring plan'!$B$5:$B$32,"Leadership",BA9:BA36)+0</f>
        <v>2</v>
      </c>
      <c r="BB90" s="33" t="n">
        <f aca="false">SUMIF('Hiring plan'!$B$5:$B$32,"Leadership",BB9:BB36)+0</f>
        <v>2</v>
      </c>
      <c r="BC90" s="33" t="n">
        <f aca="false">SUMIF('Hiring plan'!$B$5:$B$32,"Leadership",BC9:BC36)+0</f>
        <v>2</v>
      </c>
      <c r="BD90" s="33" t="n">
        <f aca="false">SUMIF('Hiring plan'!$B$5:$B$32,"Leadership",BD9:BD36)+0</f>
        <v>2</v>
      </c>
      <c r="BE90" s="33" t="n">
        <f aca="false">SUMIF('Hiring plan'!$B$5:$B$32,"Leadership",BE9:BE36)+0</f>
        <v>2</v>
      </c>
      <c r="BF90" s="33" t="n">
        <f aca="false">SUMIF('Hiring plan'!$B$5:$B$32,"Leadership",BF9:BF36)+0</f>
        <v>2</v>
      </c>
      <c r="BG90" s="33" t="n">
        <f aca="false">SUMIF('Hiring plan'!$B$5:$B$32,"Leadership",BG9:BG36)+0</f>
        <v>2</v>
      </c>
      <c r="BH90" s="33" t="n">
        <f aca="false">SUMIF('Hiring plan'!$B$5:$B$32,"Leadership",BH9:BH36)+0</f>
        <v>2</v>
      </c>
      <c r="BI90" s="33" t="n">
        <f aca="false">SUMIF('Hiring plan'!$B$5:$B$32,"Leadership",BI9:BI36)+0</f>
        <v>2</v>
      </c>
      <c r="BJ90" s="33" t="n">
        <f aca="false">SUMIF('Hiring plan'!$B$5:$B$32,"Leadership",BJ9:BJ36)+0</f>
        <v>2</v>
      </c>
      <c r="BK90" s="33" t="n">
        <f aca="false">SUMIF('Hiring plan'!$B$5:$B$32,"Leadership",BK9:BK36)+0</f>
        <v>2</v>
      </c>
      <c r="BL90" s="33" t="n">
        <f aca="false">SUMIF('Hiring plan'!$B$5:$B$32,"Leadership",BL9:BL36)+0</f>
        <v>2</v>
      </c>
    </row>
    <row r="91" customFormat="false" ht="15" hidden="false" customHeight="true" outlineLevel="0" collapsed="false">
      <c r="A91" s="13" t="s">
        <v>1158</v>
      </c>
      <c r="B91" s="15" t="s">
        <v>92</v>
      </c>
      <c r="D91" s="56" t="n">
        <f aca="false">BL91</f>
        <v>7</v>
      </c>
      <c r="E91" s="33" t="n">
        <f aca="false">SUMIF('Hiring plan'!$B$5:$B$32,"Engineering &amp; product",E9:E36)+E70</f>
        <v>3</v>
      </c>
      <c r="F91" s="33" t="n">
        <f aca="false">SUMIF('Hiring plan'!$B$5:$B$32,"Engineering &amp; product",F9:F36)+F70</f>
        <v>3</v>
      </c>
      <c r="G91" s="33" t="n">
        <f aca="false">SUMIF('Hiring plan'!$B$5:$B$32,"Engineering &amp; product",G9:G36)+G70</f>
        <v>3</v>
      </c>
      <c r="H91" s="33" t="n">
        <f aca="false">SUMIF('Hiring plan'!$B$5:$B$32,"Engineering &amp; product",H9:H36)+H70</f>
        <v>3</v>
      </c>
      <c r="I91" s="33" t="n">
        <f aca="false">SUMIF('Hiring plan'!$B$5:$B$32,"Engineering &amp; product",I9:I36)+I70</f>
        <v>3</v>
      </c>
      <c r="J91" s="33" t="n">
        <f aca="false">SUMIF('Hiring plan'!$B$5:$B$32,"Engineering &amp; product",J9:J36)+J70</f>
        <v>3</v>
      </c>
      <c r="K91" s="33" t="n">
        <f aca="false">SUMIF('Hiring plan'!$B$5:$B$32,"Engineering &amp; product",K9:K36)+K70</f>
        <v>3</v>
      </c>
      <c r="L91" s="33" t="n">
        <f aca="false">SUMIF('Hiring plan'!$B$5:$B$32,"Engineering &amp; product",L9:L36)+L70</f>
        <v>3</v>
      </c>
      <c r="M91" s="33" t="n">
        <f aca="false">SUMIF('Hiring plan'!$B$5:$B$32,"Engineering &amp; product",M9:M36)+M70</f>
        <v>3</v>
      </c>
      <c r="N91" s="33" t="n">
        <f aca="false">SUMIF('Hiring plan'!$B$5:$B$32,"Engineering &amp; product",N9:N36)+N70</f>
        <v>3</v>
      </c>
      <c r="O91" s="33" t="n">
        <f aca="false">SUMIF('Hiring plan'!$B$5:$B$32,"Engineering &amp; product",O9:O36)+O70</f>
        <v>3</v>
      </c>
      <c r="P91" s="33" t="n">
        <f aca="false">SUMIF('Hiring plan'!$B$5:$B$32,"Engineering &amp; product",P9:P36)+P70</f>
        <v>3</v>
      </c>
      <c r="Q91" s="33" t="n">
        <f aca="false">SUMIF('Hiring plan'!$B$5:$B$32,"Engineering &amp; product",Q9:Q36)+Q70</f>
        <v>3</v>
      </c>
      <c r="R91" s="33" t="n">
        <f aca="false">SUMIF('Hiring plan'!$B$5:$B$32,"Engineering &amp; product",R9:R36)+R70</f>
        <v>3</v>
      </c>
      <c r="S91" s="33" t="n">
        <f aca="false">SUMIF('Hiring plan'!$B$5:$B$32,"Engineering &amp; product",S9:S36)+S70</f>
        <v>3</v>
      </c>
      <c r="T91" s="33" t="n">
        <f aca="false">SUMIF('Hiring plan'!$B$5:$B$32,"Engineering &amp; product",T9:T36)+T70</f>
        <v>3</v>
      </c>
      <c r="U91" s="33" t="n">
        <f aca="false">SUMIF('Hiring plan'!$B$5:$B$32,"Engineering &amp; product",U9:U36)+U70</f>
        <v>3</v>
      </c>
      <c r="V91" s="33" t="n">
        <f aca="false">SUMIF('Hiring plan'!$B$5:$B$32,"Engineering &amp; product",V9:V36)+V70</f>
        <v>3</v>
      </c>
      <c r="W91" s="33" t="n">
        <f aca="false">SUMIF('Hiring plan'!$B$5:$B$32,"Engineering &amp; product",W9:W36)+W70</f>
        <v>3</v>
      </c>
      <c r="X91" s="33" t="n">
        <f aca="false">SUMIF('Hiring plan'!$B$5:$B$32,"Engineering &amp; product",X9:X36)+X70</f>
        <v>3</v>
      </c>
      <c r="Y91" s="33" t="n">
        <f aca="false">SUMIF('Hiring plan'!$B$5:$B$32,"Engineering &amp; product",Y9:Y36)+Y70</f>
        <v>3</v>
      </c>
      <c r="Z91" s="33" t="n">
        <f aca="false">SUMIF('Hiring plan'!$B$5:$B$32,"Engineering &amp; product",Z9:Z36)+Z70</f>
        <v>3</v>
      </c>
      <c r="AA91" s="33" t="n">
        <f aca="false">SUMIF('Hiring plan'!$B$5:$B$32,"Engineering &amp; product",AA9:AA36)+AA70</f>
        <v>3</v>
      </c>
      <c r="AB91" s="33" t="n">
        <f aca="false">SUMIF('Hiring plan'!$B$5:$B$32,"Engineering &amp; product",AB9:AB36)+AB70</f>
        <v>3</v>
      </c>
      <c r="AC91" s="33" t="n">
        <f aca="false">SUMIF('Hiring plan'!$B$5:$B$32,"Engineering &amp; product",AC9:AC36)+AC70</f>
        <v>3</v>
      </c>
      <c r="AD91" s="33" t="n">
        <f aca="false">SUMIF('Hiring plan'!$B$5:$B$32,"Engineering &amp; product",AD9:AD36)+AD70</f>
        <v>3</v>
      </c>
      <c r="AE91" s="33" t="n">
        <f aca="false">SUMIF('Hiring plan'!$B$5:$B$32,"Engineering &amp; product",AE9:AE36)+AE70</f>
        <v>3</v>
      </c>
      <c r="AF91" s="33" t="n">
        <f aca="false">SUMIF('Hiring plan'!$B$5:$B$32,"Engineering &amp; product",AF9:AF36)+AF70</f>
        <v>4</v>
      </c>
      <c r="AG91" s="33" t="n">
        <f aca="false">SUMIF('Hiring plan'!$B$5:$B$32,"Engineering &amp; product",AG9:AG36)+AG70</f>
        <v>4</v>
      </c>
      <c r="AH91" s="33" t="n">
        <f aca="false">SUMIF('Hiring plan'!$B$5:$B$32,"Engineering &amp; product",AH9:AH36)+AH70</f>
        <v>4</v>
      </c>
      <c r="AI91" s="33" t="n">
        <f aca="false">SUMIF('Hiring plan'!$B$5:$B$32,"Engineering &amp; product",AI9:AI36)+AI70</f>
        <v>4</v>
      </c>
      <c r="AJ91" s="33" t="n">
        <f aca="false">SUMIF('Hiring plan'!$B$5:$B$32,"Engineering &amp; product",AJ9:AJ36)+AJ70</f>
        <v>4</v>
      </c>
      <c r="AK91" s="33" t="n">
        <f aca="false">SUMIF('Hiring plan'!$B$5:$B$32,"Engineering &amp; product",AK9:AK36)+AK70</f>
        <v>4</v>
      </c>
      <c r="AL91" s="33" t="n">
        <f aca="false">SUMIF('Hiring plan'!$B$5:$B$32,"Engineering &amp; product",AL9:AL36)+AL70</f>
        <v>4</v>
      </c>
      <c r="AM91" s="33" t="n">
        <f aca="false">SUMIF('Hiring plan'!$B$5:$B$32,"Engineering &amp; product",AM9:AM36)+AM70</f>
        <v>4</v>
      </c>
      <c r="AN91" s="33" t="n">
        <f aca="false">SUMIF('Hiring plan'!$B$5:$B$32,"Engineering &amp; product",AN9:AN36)+AN70</f>
        <v>4</v>
      </c>
      <c r="AO91" s="33" t="n">
        <f aca="false">SUMIF('Hiring plan'!$B$5:$B$32,"Engineering &amp; product",AO9:AO36)+AO70</f>
        <v>4</v>
      </c>
      <c r="AP91" s="33" t="n">
        <f aca="false">SUMIF('Hiring plan'!$B$5:$B$32,"Engineering &amp; product",AP9:AP36)+AP70</f>
        <v>4</v>
      </c>
      <c r="AQ91" s="33" t="n">
        <f aca="false">SUMIF('Hiring plan'!$B$5:$B$32,"Engineering &amp; product",AQ9:AQ36)+AQ70</f>
        <v>4</v>
      </c>
      <c r="AR91" s="33" t="n">
        <f aca="false">SUMIF('Hiring plan'!$B$5:$B$32,"Engineering &amp; product",AR9:AR36)+AR70</f>
        <v>5</v>
      </c>
      <c r="AS91" s="33" t="n">
        <f aca="false">SUMIF('Hiring plan'!$B$5:$B$32,"Engineering &amp; product",AS9:AS36)+AS70</f>
        <v>5</v>
      </c>
      <c r="AT91" s="33" t="n">
        <f aca="false">SUMIF('Hiring plan'!$B$5:$B$32,"Engineering &amp; product",AT9:AT36)+AT70</f>
        <v>5</v>
      </c>
      <c r="AU91" s="33" t="n">
        <f aca="false">SUMIF('Hiring plan'!$B$5:$B$32,"Engineering &amp; product",AU9:AU36)+AU70</f>
        <v>5</v>
      </c>
      <c r="AV91" s="33" t="n">
        <f aca="false">SUMIF('Hiring plan'!$B$5:$B$32,"Engineering &amp; product",AV9:AV36)+AV70</f>
        <v>5</v>
      </c>
      <c r="AW91" s="33" t="n">
        <f aca="false">SUMIF('Hiring plan'!$B$5:$B$32,"Engineering &amp; product",AW9:AW36)+AW70</f>
        <v>5</v>
      </c>
      <c r="AX91" s="33" t="n">
        <f aca="false">SUMIF('Hiring plan'!$B$5:$B$32,"Engineering &amp; product",AX9:AX36)+AX70</f>
        <v>5</v>
      </c>
      <c r="AY91" s="33" t="n">
        <f aca="false">SUMIF('Hiring plan'!$B$5:$B$32,"Engineering &amp; product",AY9:AY36)+AY70</f>
        <v>5</v>
      </c>
      <c r="AZ91" s="33" t="n">
        <f aca="false">SUMIF('Hiring plan'!$B$5:$B$32,"Engineering &amp; product",AZ9:AZ36)+AZ70</f>
        <v>5</v>
      </c>
      <c r="BA91" s="33" t="n">
        <f aca="false">SUMIF('Hiring plan'!$B$5:$B$32,"Engineering &amp; product",BA9:BA36)+BA70</f>
        <v>6</v>
      </c>
      <c r="BB91" s="33" t="n">
        <f aca="false">SUMIF('Hiring plan'!$B$5:$B$32,"Engineering &amp; product",BB9:BB36)+BB70</f>
        <v>6</v>
      </c>
      <c r="BC91" s="33" t="n">
        <f aca="false">SUMIF('Hiring plan'!$B$5:$B$32,"Engineering &amp; product",BC9:BC36)+BC70</f>
        <v>6</v>
      </c>
      <c r="BD91" s="33" t="n">
        <f aca="false">SUMIF('Hiring plan'!$B$5:$B$32,"Engineering &amp; product",BD9:BD36)+BD70</f>
        <v>6</v>
      </c>
      <c r="BE91" s="33" t="n">
        <f aca="false">SUMIF('Hiring plan'!$B$5:$B$32,"Engineering &amp; product",BE9:BE36)+BE70</f>
        <v>6</v>
      </c>
      <c r="BF91" s="33" t="n">
        <f aca="false">SUMIF('Hiring plan'!$B$5:$B$32,"Engineering &amp; product",BF9:BF36)+BF70</f>
        <v>6</v>
      </c>
      <c r="BG91" s="33" t="n">
        <f aca="false">SUMIF('Hiring plan'!$B$5:$B$32,"Engineering &amp; product",BG9:BG36)+BG70</f>
        <v>6</v>
      </c>
      <c r="BH91" s="33" t="n">
        <f aca="false">SUMIF('Hiring plan'!$B$5:$B$32,"Engineering &amp; product",BH9:BH36)+BH70</f>
        <v>7</v>
      </c>
      <c r="BI91" s="33" t="n">
        <f aca="false">SUMIF('Hiring plan'!$B$5:$B$32,"Engineering &amp; product",BI9:BI36)+BI70</f>
        <v>7</v>
      </c>
      <c r="BJ91" s="33" t="n">
        <f aca="false">SUMIF('Hiring plan'!$B$5:$B$32,"Engineering &amp; product",BJ9:BJ36)+BJ70</f>
        <v>7</v>
      </c>
      <c r="BK91" s="33" t="n">
        <f aca="false">SUMIF('Hiring plan'!$B$5:$B$32,"Engineering &amp; product",BK9:BK36)+BK70</f>
        <v>7</v>
      </c>
      <c r="BL91" s="33" t="n">
        <f aca="false">SUMIF('Hiring plan'!$B$5:$B$32,"Engineering &amp; product",BL9:BL36)+BL70</f>
        <v>7</v>
      </c>
    </row>
    <row r="92" customFormat="false" ht="15" hidden="false" customHeight="true" outlineLevel="0" collapsed="false">
      <c r="A92" s="13" t="s">
        <v>1159</v>
      </c>
      <c r="B92" s="15" t="s">
        <v>92</v>
      </c>
      <c r="D92" s="56" t="n">
        <f aca="false">BL92</f>
        <v>1</v>
      </c>
      <c r="E92" s="33" t="n">
        <f aca="false">SUMIF('Hiring plan'!$B$5:$B$32,"Compliance &amp; risk",E9:E36)+0</f>
        <v>0</v>
      </c>
      <c r="F92" s="33" t="n">
        <f aca="false">SUMIF('Hiring plan'!$B$5:$B$32,"Compliance &amp; risk",F9:F36)+0</f>
        <v>0</v>
      </c>
      <c r="G92" s="33" t="n">
        <f aca="false">SUMIF('Hiring plan'!$B$5:$B$32,"Compliance &amp; risk",G9:G36)+0</f>
        <v>0</v>
      </c>
      <c r="H92" s="33" t="n">
        <f aca="false">SUMIF('Hiring plan'!$B$5:$B$32,"Compliance &amp; risk",H9:H36)+0</f>
        <v>0</v>
      </c>
      <c r="I92" s="33" t="n">
        <f aca="false">SUMIF('Hiring plan'!$B$5:$B$32,"Compliance &amp; risk",I9:I36)+0</f>
        <v>0</v>
      </c>
      <c r="J92" s="33" t="n">
        <f aca="false">SUMIF('Hiring plan'!$B$5:$B$32,"Compliance &amp; risk",J9:J36)+0</f>
        <v>0</v>
      </c>
      <c r="K92" s="33" t="n">
        <f aca="false">SUMIF('Hiring plan'!$B$5:$B$32,"Compliance &amp; risk",K9:K36)+0</f>
        <v>0</v>
      </c>
      <c r="L92" s="33" t="n">
        <f aca="false">SUMIF('Hiring plan'!$B$5:$B$32,"Compliance &amp; risk",L9:L36)+0</f>
        <v>0</v>
      </c>
      <c r="M92" s="33" t="n">
        <f aca="false">SUMIF('Hiring plan'!$B$5:$B$32,"Compliance &amp; risk",M9:M36)+0</f>
        <v>0</v>
      </c>
      <c r="N92" s="33" t="n">
        <f aca="false">SUMIF('Hiring plan'!$B$5:$B$32,"Compliance &amp; risk",N9:N36)+0</f>
        <v>0</v>
      </c>
      <c r="O92" s="33" t="n">
        <f aca="false">SUMIF('Hiring plan'!$B$5:$B$32,"Compliance &amp; risk",O9:O36)+0</f>
        <v>0</v>
      </c>
      <c r="P92" s="33" t="n">
        <f aca="false">SUMIF('Hiring plan'!$B$5:$B$32,"Compliance &amp; risk",P9:P36)+0</f>
        <v>0</v>
      </c>
      <c r="Q92" s="33" t="n">
        <f aca="false">SUMIF('Hiring plan'!$B$5:$B$32,"Compliance &amp; risk",Q9:Q36)+0</f>
        <v>0</v>
      </c>
      <c r="R92" s="33" t="n">
        <f aca="false">SUMIF('Hiring plan'!$B$5:$B$32,"Compliance &amp; risk",R9:R36)+0</f>
        <v>0</v>
      </c>
      <c r="S92" s="33" t="n">
        <f aca="false">SUMIF('Hiring plan'!$B$5:$B$32,"Compliance &amp; risk",S9:S36)+0</f>
        <v>0</v>
      </c>
      <c r="T92" s="33" t="n">
        <f aca="false">SUMIF('Hiring plan'!$B$5:$B$32,"Compliance &amp; risk",T9:T36)+0</f>
        <v>0</v>
      </c>
      <c r="U92" s="33" t="n">
        <f aca="false">SUMIF('Hiring plan'!$B$5:$B$32,"Compliance &amp; risk",U9:U36)+0</f>
        <v>0</v>
      </c>
      <c r="V92" s="33" t="n">
        <f aca="false">SUMIF('Hiring plan'!$B$5:$B$32,"Compliance &amp; risk",V9:V36)+0</f>
        <v>0</v>
      </c>
      <c r="W92" s="33" t="n">
        <f aca="false">SUMIF('Hiring plan'!$B$5:$B$32,"Compliance &amp; risk",W9:W36)+0</f>
        <v>0</v>
      </c>
      <c r="X92" s="33" t="n">
        <f aca="false">SUMIF('Hiring plan'!$B$5:$B$32,"Compliance &amp; risk",X9:X36)+0</f>
        <v>0</v>
      </c>
      <c r="Y92" s="33" t="n">
        <f aca="false">SUMIF('Hiring plan'!$B$5:$B$32,"Compliance &amp; risk",Y9:Y36)+0</f>
        <v>0</v>
      </c>
      <c r="Z92" s="33" t="n">
        <f aca="false">SUMIF('Hiring plan'!$B$5:$B$32,"Compliance &amp; risk",Z9:Z36)+0</f>
        <v>0</v>
      </c>
      <c r="AA92" s="33" t="n">
        <f aca="false">SUMIF('Hiring plan'!$B$5:$B$32,"Compliance &amp; risk",AA9:AA36)+0</f>
        <v>0</v>
      </c>
      <c r="AB92" s="33" t="n">
        <f aca="false">SUMIF('Hiring plan'!$B$5:$B$32,"Compliance &amp; risk",AB9:AB36)+0</f>
        <v>1</v>
      </c>
      <c r="AC92" s="33" t="n">
        <f aca="false">SUMIF('Hiring plan'!$B$5:$B$32,"Compliance &amp; risk",AC9:AC36)+0</f>
        <v>1</v>
      </c>
      <c r="AD92" s="33" t="n">
        <f aca="false">SUMIF('Hiring plan'!$B$5:$B$32,"Compliance &amp; risk",AD9:AD36)+0</f>
        <v>1</v>
      </c>
      <c r="AE92" s="33" t="n">
        <f aca="false">SUMIF('Hiring plan'!$B$5:$B$32,"Compliance &amp; risk",AE9:AE36)+0</f>
        <v>1</v>
      </c>
      <c r="AF92" s="33" t="n">
        <f aca="false">SUMIF('Hiring plan'!$B$5:$B$32,"Compliance &amp; risk",AF9:AF36)+0</f>
        <v>1</v>
      </c>
      <c r="AG92" s="33" t="n">
        <f aca="false">SUMIF('Hiring plan'!$B$5:$B$32,"Compliance &amp; risk",AG9:AG36)+0</f>
        <v>1</v>
      </c>
      <c r="AH92" s="33" t="n">
        <f aca="false">SUMIF('Hiring plan'!$B$5:$B$32,"Compliance &amp; risk",AH9:AH36)+0</f>
        <v>1</v>
      </c>
      <c r="AI92" s="33" t="n">
        <f aca="false">SUMIF('Hiring plan'!$B$5:$B$32,"Compliance &amp; risk",AI9:AI36)+0</f>
        <v>1</v>
      </c>
      <c r="AJ92" s="33" t="n">
        <f aca="false">SUMIF('Hiring plan'!$B$5:$B$32,"Compliance &amp; risk",AJ9:AJ36)+0</f>
        <v>1</v>
      </c>
      <c r="AK92" s="33" t="n">
        <f aca="false">SUMIF('Hiring plan'!$B$5:$B$32,"Compliance &amp; risk",AK9:AK36)+0</f>
        <v>1</v>
      </c>
      <c r="AL92" s="33" t="n">
        <f aca="false">SUMIF('Hiring plan'!$B$5:$B$32,"Compliance &amp; risk",AL9:AL36)+0</f>
        <v>1</v>
      </c>
      <c r="AM92" s="33" t="n">
        <f aca="false">SUMIF('Hiring plan'!$B$5:$B$32,"Compliance &amp; risk",AM9:AM36)+0</f>
        <v>1</v>
      </c>
      <c r="AN92" s="33" t="n">
        <f aca="false">SUMIF('Hiring plan'!$B$5:$B$32,"Compliance &amp; risk",AN9:AN36)+0</f>
        <v>1</v>
      </c>
      <c r="AO92" s="33" t="n">
        <f aca="false">SUMIF('Hiring plan'!$B$5:$B$32,"Compliance &amp; risk",AO9:AO36)+0</f>
        <v>1</v>
      </c>
      <c r="AP92" s="33" t="n">
        <f aca="false">SUMIF('Hiring plan'!$B$5:$B$32,"Compliance &amp; risk",AP9:AP36)+0</f>
        <v>1</v>
      </c>
      <c r="AQ92" s="33" t="n">
        <f aca="false">SUMIF('Hiring plan'!$B$5:$B$32,"Compliance &amp; risk",AQ9:AQ36)+0</f>
        <v>1</v>
      </c>
      <c r="AR92" s="33" t="n">
        <f aca="false">SUMIF('Hiring plan'!$B$5:$B$32,"Compliance &amp; risk",AR9:AR36)+0</f>
        <v>1</v>
      </c>
      <c r="AS92" s="33" t="n">
        <f aca="false">SUMIF('Hiring plan'!$B$5:$B$32,"Compliance &amp; risk",AS9:AS36)+0</f>
        <v>1</v>
      </c>
      <c r="AT92" s="33" t="n">
        <f aca="false">SUMIF('Hiring plan'!$B$5:$B$32,"Compliance &amp; risk",AT9:AT36)+0</f>
        <v>1</v>
      </c>
      <c r="AU92" s="33" t="n">
        <f aca="false">SUMIF('Hiring plan'!$B$5:$B$32,"Compliance &amp; risk",AU9:AU36)+0</f>
        <v>1</v>
      </c>
      <c r="AV92" s="33" t="n">
        <f aca="false">SUMIF('Hiring plan'!$B$5:$B$32,"Compliance &amp; risk",AV9:AV36)+0</f>
        <v>1</v>
      </c>
      <c r="AW92" s="33" t="n">
        <f aca="false">SUMIF('Hiring plan'!$B$5:$B$32,"Compliance &amp; risk",AW9:AW36)+0</f>
        <v>1</v>
      </c>
      <c r="AX92" s="33" t="n">
        <f aca="false">SUMIF('Hiring plan'!$B$5:$B$32,"Compliance &amp; risk",AX9:AX36)+0</f>
        <v>1</v>
      </c>
      <c r="AY92" s="33" t="n">
        <f aca="false">SUMIF('Hiring plan'!$B$5:$B$32,"Compliance &amp; risk",AY9:AY36)+0</f>
        <v>1</v>
      </c>
      <c r="AZ92" s="33" t="n">
        <f aca="false">SUMIF('Hiring plan'!$B$5:$B$32,"Compliance &amp; risk",AZ9:AZ36)+0</f>
        <v>1</v>
      </c>
      <c r="BA92" s="33" t="n">
        <f aca="false">SUMIF('Hiring plan'!$B$5:$B$32,"Compliance &amp; risk",BA9:BA36)+0</f>
        <v>1</v>
      </c>
      <c r="BB92" s="33" t="n">
        <f aca="false">SUMIF('Hiring plan'!$B$5:$B$32,"Compliance &amp; risk",BB9:BB36)+0</f>
        <v>1</v>
      </c>
      <c r="BC92" s="33" t="n">
        <f aca="false">SUMIF('Hiring plan'!$B$5:$B$32,"Compliance &amp; risk",BC9:BC36)+0</f>
        <v>1</v>
      </c>
      <c r="BD92" s="33" t="n">
        <f aca="false">SUMIF('Hiring plan'!$B$5:$B$32,"Compliance &amp; risk",BD9:BD36)+0</f>
        <v>1</v>
      </c>
      <c r="BE92" s="33" t="n">
        <f aca="false">SUMIF('Hiring plan'!$B$5:$B$32,"Compliance &amp; risk",BE9:BE36)+0</f>
        <v>1</v>
      </c>
      <c r="BF92" s="33" t="n">
        <f aca="false">SUMIF('Hiring plan'!$B$5:$B$32,"Compliance &amp; risk",BF9:BF36)+0</f>
        <v>1</v>
      </c>
      <c r="BG92" s="33" t="n">
        <f aca="false">SUMIF('Hiring plan'!$B$5:$B$32,"Compliance &amp; risk",BG9:BG36)+0</f>
        <v>1</v>
      </c>
      <c r="BH92" s="33" t="n">
        <f aca="false">SUMIF('Hiring plan'!$B$5:$B$32,"Compliance &amp; risk",BH9:BH36)+0</f>
        <v>1</v>
      </c>
      <c r="BI92" s="33" t="n">
        <f aca="false">SUMIF('Hiring plan'!$B$5:$B$32,"Compliance &amp; risk",BI9:BI36)+0</f>
        <v>1</v>
      </c>
      <c r="BJ92" s="33" t="n">
        <f aca="false">SUMIF('Hiring plan'!$B$5:$B$32,"Compliance &amp; risk",BJ9:BJ36)+0</f>
        <v>1</v>
      </c>
      <c r="BK92" s="33" t="n">
        <f aca="false">SUMIF('Hiring plan'!$B$5:$B$32,"Compliance &amp; risk",BK9:BK36)+0</f>
        <v>1</v>
      </c>
      <c r="BL92" s="33" t="n">
        <f aca="false">SUMIF('Hiring plan'!$B$5:$B$32,"Compliance &amp; risk",BL9:BL36)+0</f>
        <v>1</v>
      </c>
    </row>
    <row r="93" customFormat="false" ht="15" hidden="false" customHeight="true" outlineLevel="0" collapsed="false">
      <c r="A93" s="13" t="s">
        <v>1160</v>
      </c>
      <c r="B93" s="15" t="s">
        <v>92</v>
      </c>
      <c r="D93" s="56" t="n">
        <f aca="false">BL93</f>
        <v>8</v>
      </c>
      <c r="E93" s="33" t="n">
        <f aca="false">SUMIF('Hiring plan'!$B$5:$B$32,"Credit",E9:E36)+E73</f>
        <v>0</v>
      </c>
      <c r="F93" s="33" t="n">
        <f aca="false">SUMIF('Hiring plan'!$B$5:$B$32,"Credit",F9:F36)+F73</f>
        <v>0</v>
      </c>
      <c r="G93" s="33" t="n">
        <f aca="false">SUMIF('Hiring plan'!$B$5:$B$32,"Credit",G9:G36)+G73</f>
        <v>0</v>
      </c>
      <c r="H93" s="33" t="n">
        <f aca="false">SUMIF('Hiring plan'!$B$5:$B$32,"Credit",H9:H36)+H73</f>
        <v>0</v>
      </c>
      <c r="I93" s="33" t="n">
        <f aca="false">SUMIF('Hiring plan'!$B$5:$B$32,"Credit",I9:I36)+I73</f>
        <v>0</v>
      </c>
      <c r="J93" s="33" t="n">
        <f aca="false">SUMIF('Hiring plan'!$B$5:$B$32,"Credit",J9:J36)+J73</f>
        <v>0</v>
      </c>
      <c r="K93" s="33" t="n">
        <f aca="false">SUMIF('Hiring plan'!$B$5:$B$32,"Credit",K9:K36)+K73</f>
        <v>0</v>
      </c>
      <c r="L93" s="33" t="n">
        <f aca="false">SUMIF('Hiring plan'!$B$5:$B$32,"Credit",L9:L36)+L73</f>
        <v>0</v>
      </c>
      <c r="M93" s="33" t="n">
        <f aca="false">SUMIF('Hiring plan'!$B$5:$B$32,"Credit",M9:M36)+M73</f>
        <v>0</v>
      </c>
      <c r="N93" s="33" t="n">
        <f aca="false">SUMIF('Hiring plan'!$B$5:$B$32,"Credit",N9:N36)+N73</f>
        <v>0</v>
      </c>
      <c r="O93" s="33" t="n">
        <f aca="false">SUMIF('Hiring plan'!$B$5:$B$32,"Credit",O9:O36)+O73</f>
        <v>0</v>
      </c>
      <c r="P93" s="33" t="n">
        <f aca="false">SUMIF('Hiring plan'!$B$5:$B$32,"Credit",P9:P36)+P73</f>
        <v>0</v>
      </c>
      <c r="Q93" s="33" t="n">
        <f aca="false">SUMIF('Hiring plan'!$B$5:$B$32,"Credit",Q9:Q36)+Q73</f>
        <v>0</v>
      </c>
      <c r="R93" s="33" t="n">
        <f aca="false">SUMIF('Hiring plan'!$B$5:$B$32,"Credit",R9:R36)+R73</f>
        <v>0</v>
      </c>
      <c r="S93" s="33" t="n">
        <f aca="false">SUMIF('Hiring plan'!$B$5:$B$32,"Credit",S9:S36)+S73</f>
        <v>0</v>
      </c>
      <c r="T93" s="33" t="n">
        <f aca="false">SUMIF('Hiring plan'!$B$5:$B$32,"Credit",T9:T36)+T73</f>
        <v>1</v>
      </c>
      <c r="U93" s="33" t="n">
        <f aca="false">SUMIF('Hiring plan'!$B$5:$B$32,"Credit",U9:U36)+U73</f>
        <v>1</v>
      </c>
      <c r="V93" s="33" t="n">
        <f aca="false">SUMIF('Hiring plan'!$B$5:$B$32,"Credit",V9:V36)+V73</f>
        <v>1</v>
      </c>
      <c r="W93" s="33" t="n">
        <f aca="false">SUMIF('Hiring plan'!$B$5:$B$32,"Credit",W9:W36)+W73</f>
        <v>1</v>
      </c>
      <c r="X93" s="33" t="n">
        <f aca="false">SUMIF('Hiring plan'!$B$5:$B$32,"Credit",X9:X36)+X73</f>
        <v>1</v>
      </c>
      <c r="Y93" s="33" t="n">
        <f aca="false">SUMIF('Hiring plan'!$B$5:$B$32,"Credit",Y9:Y36)+Y73</f>
        <v>1</v>
      </c>
      <c r="Z93" s="33" t="n">
        <f aca="false">SUMIF('Hiring plan'!$B$5:$B$32,"Credit",Z9:Z36)+Z73</f>
        <v>1</v>
      </c>
      <c r="AA93" s="33" t="n">
        <f aca="false">SUMIF('Hiring plan'!$B$5:$B$32,"Credit",AA9:AA36)+AA73</f>
        <v>1</v>
      </c>
      <c r="AB93" s="33" t="n">
        <f aca="false">SUMIF('Hiring plan'!$B$5:$B$32,"Credit",AB9:AB36)+AB73</f>
        <v>1</v>
      </c>
      <c r="AC93" s="33" t="n">
        <f aca="false">SUMIF('Hiring plan'!$B$5:$B$32,"Credit",AC9:AC36)+AC73</f>
        <v>1</v>
      </c>
      <c r="AD93" s="33" t="n">
        <f aca="false">SUMIF('Hiring plan'!$B$5:$B$32,"Credit",AD9:AD36)+AD73</f>
        <v>1</v>
      </c>
      <c r="AE93" s="33" t="n">
        <f aca="false">SUMIF('Hiring plan'!$B$5:$B$32,"Credit",AE9:AE36)+AE73</f>
        <v>1</v>
      </c>
      <c r="AF93" s="33" t="n">
        <f aca="false">SUMIF('Hiring plan'!$B$5:$B$32,"Credit",AF9:AF36)+AF73</f>
        <v>1</v>
      </c>
      <c r="AG93" s="33" t="n">
        <f aca="false">SUMIF('Hiring plan'!$B$5:$B$32,"Credit",AG9:AG36)+AG73</f>
        <v>2</v>
      </c>
      <c r="AH93" s="33" t="n">
        <f aca="false">SUMIF('Hiring plan'!$B$5:$B$32,"Credit",AH9:AH36)+AH73</f>
        <v>2</v>
      </c>
      <c r="AI93" s="33" t="n">
        <f aca="false">SUMIF('Hiring plan'!$B$5:$B$32,"Credit",AI9:AI36)+AI73</f>
        <v>2</v>
      </c>
      <c r="AJ93" s="33" t="n">
        <f aca="false">SUMIF('Hiring plan'!$B$5:$B$32,"Credit",AJ9:AJ36)+AJ73</f>
        <v>2</v>
      </c>
      <c r="AK93" s="33" t="n">
        <f aca="false">SUMIF('Hiring plan'!$B$5:$B$32,"Credit",AK9:AK36)+AK73</f>
        <v>2</v>
      </c>
      <c r="AL93" s="33" t="n">
        <f aca="false">SUMIF('Hiring plan'!$B$5:$B$32,"Credit",AL9:AL36)+AL73</f>
        <v>3</v>
      </c>
      <c r="AM93" s="33" t="n">
        <f aca="false">SUMIF('Hiring plan'!$B$5:$B$32,"Credit",AM9:AM36)+AM73</f>
        <v>3</v>
      </c>
      <c r="AN93" s="33" t="n">
        <f aca="false">SUMIF('Hiring plan'!$B$5:$B$32,"Credit",AN9:AN36)+AN73</f>
        <v>3</v>
      </c>
      <c r="AO93" s="33" t="n">
        <f aca="false">SUMIF('Hiring plan'!$B$5:$B$32,"Credit",AO9:AO36)+AO73</f>
        <v>3</v>
      </c>
      <c r="AP93" s="33" t="n">
        <f aca="false">SUMIF('Hiring plan'!$B$5:$B$32,"Credit",AP9:AP36)+AP73</f>
        <v>3</v>
      </c>
      <c r="AQ93" s="33" t="n">
        <f aca="false">SUMIF('Hiring plan'!$B$5:$B$32,"Credit",AQ9:AQ36)+AQ73</f>
        <v>4</v>
      </c>
      <c r="AR93" s="33" t="n">
        <f aca="false">SUMIF('Hiring plan'!$B$5:$B$32,"Credit",AR9:AR36)+AR73</f>
        <v>4</v>
      </c>
      <c r="AS93" s="33" t="n">
        <f aca="false">SUMIF('Hiring plan'!$B$5:$B$32,"Credit",AS9:AS36)+AS73</f>
        <v>4</v>
      </c>
      <c r="AT93" s="33" t="n">
        <f aca="false">SUMIF('Hiring plan'!$B$5:$B$32,"Credit",AT9:AT36)+AT73</f>
        <v>4</v>
      </c>
      <c r="AU93" s="33" t="n">
        <f aca="false">SUMIF('Hiring plan'!$B$5:$B$32,"Credit",AU9:AU36)+AU73</f>
        <v>4</v>
      </c>
      <c r="AV93" s="33" t="n">
        <f aca="false">SUMIF('Hiring plan'!$B$5:$B$32,"Credit",AV9:AV36)+AV73</f>
        <v>4</v>
      </c>
      <c r="AW93" s="33" t="n">
        <f aca="false">SUMIF('Hiring plan'!$B$5:$B$32,"Credit",AW9:AW36)+AW73</f>
        <v>5</v>
      </c>
      <c r="AX93" s="33" t="n">
        <f aca="false">SUMIF('Hiring plan'!$B$5:$B$32,"Credit",AX9:AX36)+AX73</f>
        <v>5</v>
      </c>
      <c r="AY93" s="33" t="n">
        <f aca="false">SUMIF('Hiring plan'!$B$5:$B$32,"Credit",AY9:AY36)+AY73</f>
        <v>5</v>
      </c>
      <c r="AZ93" s="33" t="n">
        <f aca="false">SUMIF('Hiring plan'!$B$5:$B$32,"Credit",AZ9:AZ36)+AZ73</f>
        <v>5</v>
      </c>
      <c r="BA93" s="33" t="n">
        <f aca="false">SUMIF('Hiring plan'!$B$5:$B$32,"Credit",BA9:BA36)+BA73</f>
        <v>5</v>
      </c>
      <c r="BB93" s="33" t="n">
        <f aca="false">SUMIF('Hiring plan'!$B$5:$B$32,"Credit",BB9:BB36)+BB73</f>
        <v>6</v>
      </c>
      <c r="BC93" s="33" t="n">
        <f aca="false">SUMIF('Hiring plan'!$B$5:$B$32,"Credit",BC9:BC36)+BC73</f>
        <v>6</v>
      </c>
      <c r="BD93" s="33" t="n">
        <f aca="false">SUMIF('Hiring plan'!$B$5:$B$32,"Credit",BD9:BD36)+BD73</f>
        <v>6</v>
      </c>
      <c r="BE93" s="33" t="n">
        <f aca="false">SUMIF('Hiring plan'!$B$5:$B$32,"Credit",BE9:BE36)+BE73</f>
        <v>6</v>
      </c>
      <c r="BF93" s="33" t="n">
        <f aca="false">SUMIF('Hiring plan'!$B$5:$B$32,"Credit",BF9:BF36)+BF73</f>
        <v>7</v>
      </c>
      <c r="BG93" s="33" t="n">
        <f aca="false">SUMIF('Hiring plan'!$B$5:$B$32,"Credit",BG9:BG36)+BG73</f>
        <v>7</v>
      </c>
      <c r="BH93" s="33" t="n">
        <f aca="false">SUMIF('Hiring plan'!$B$5:$B$32,"Credit",BH9:BH36)+BH73</f>
        <v>7</v>
      </c>
      <c r="BI93" s="33" t="n">
        <f aca="false">SUMIF('Hiring plan'!$B$5:$B$32,"Credit",BI9:BI36)+BI73</f>
        <v>7</v>
      </c>
      <c r="BJ93" s="33" t="n">
        <f aca="false">SUMIF('Hiring plan'!$B$5:$B$32,"Credit",BJ9:BJ36)+BJ73</f>
        <v>8</v>
      </c>
      <c r="BK93" s="33" t="n">
        <f aca="false">SUMIF('Hiring plan'!$B$5:$B$32,"Credit",BK9:BK36)+BK73</f>
        <v>8</v>
      </c>
      <c r="BL93" s="33" t="n">
        <f aca="false">SUMIF('Hiring plan'!$B$5:$B$32,"Credit",BL9:BL36)+BL73</f>
        <v>8</v>
      </c>
    </row>
    <row r="94" customFormat="false" ht="15" hidden="false" customHeight="true" outlineLevel="0" collapsed="false">
      <c r="A94" s="13" t="s">
        <v>1161</v>
      </c>
      <c r="B94" s="15" t="s">
        <v>92</v>
      </c>
      <c r="D94" s="56" t="n">
        <f aca="false">BL94</f>
        <v>29</v>
      </c>
      <c r="E94" s="33" t="n">
        <f aca="false">SUMIF('Hiring plan'!$B$5:$B$32,"Operations &amp; support",E9:E36)+E69</f>
        <v>0</v>
      </c>
      <c r="F94" s="33" t="n">
        <f aca="false">SUMIF('Hiring plan'!$B$5:$B$32,"Operations &amp; support",F9:F36)+F69</f>
        <v>0</v>
      </c>
      <c r="G94" s="33" t="n">
        <f aca="false">SUMIF('Hiring plan'!$B$5:$B$32,"Operations &amp; support",G9:G36)+G69</f>
        <v>0</v>
      </c>
      <c r="H94" s="33" t="n">
        <f aca="false">SUMIF('Hiring plan'!$B$5:$B$32,"Operations &amp; support",H9:H36)+H69</f>
        <v>2</v>
      </c>
      <c r="I94" s="33" t="n">
        <f aca="false">SUMIF('Hiring plan'!$B$5:$B$32,"Operations &amp; support",I9:I36)+I69</f>
        <v>2</v>
      </c>
      <c r="J94" s="33" t="n">
        <f aca="false">SUMIF('Hiring plan'!$B$5:$B$32,"Operations &amp; support",J9:J36)+J69</f>
        <v>2</v>
      </c>
      <c r="K94" s="33" t="n">
        <f aca="false">SUMIF('Hiring plan'!$B$5:$B$32,"Operations &amp; support",K9:K36)+K69</f>
        <v>2</v>
      </c>
      <c r="L94" s="33" t="n">
        <f aca="false">SUMIF('Hiring plan'!$B$5:$B$32,"Operations &amp; support",L9:L36)+L69</f>
        <v>2</v>
      </c>
      <c r="M94" s="33" t="n">
        <f aca="false">SUMIF('Hiring plan'!$B$5:$B$32,"Operations &amp; support",M9:M36)+M69</f>
        <v>2</v>
      </c>
      <c r="N94" s="33" t="n">
        <f aca="false">SUMIF('Hiring plan'!$B$5:$B$32,"Operations &amp; support",N9:N36)+N69</f>
        <v>2</v>
      </c>
      <c r="O94" s="33" t="n">
        <f aca="false">SUMIF('Hiring plan'!$B$5:$B$32,"Operations &amp; support",O9:O36)+O69</f>
        <v>2</v>
      </c>
      <c r="P94" s="33" t="n">
        <f aca="false">SUMIF('Hiring plan'!$B$5:$B$32,"Operations &amp; support",P9:P36)+P69</f>
        <v>2</v>
      </c>
      <c r="Q94" s="33" t="n">
        <f aca="false">SUMIF('Hiring plan'!$B$5:$B$32,"Operations &amp; support",Q9:Q36)+Q69</f>
        <v>2</v>
      </c>
      <c r="R94" s="33" t="n">
        <f aca="false">SUMIF('Hiring plan'!$B$5:$B$32,"Operations &amp; support",R9:R36)+R69</f>
        <v>2</v>
      </c>
      <c r="S94" s="33" t="n">
        <f aca="false">SUMIF('Hiring plan'!$B$5:$B$32,"Operations &amp; support",S9:S36)+S69</f>
        <v>2</v>
      </c>
      <c r="T94" s="33" t="n">
        <f aca="false">SUMIF('Hiring plan'!$B$5:$B$32,"Operations &amp; support",T9:T36)+T69</f>
        <v>2</v>
      </c>
      <c r="U94" s="33" t="n">
        <f aca="false">SUMIF('Hiring plan'!$B$5:$B$32,"Operations &amp; support",U9:U36)+U69</f>
        <v>2</v>
      </c>
      <c r="V94" s="33" t="n">
        <f aca="false">SUMIF('Hiring plan'!$B$5:$B$32,"Operations &amp; support",V9:V36)+V69</f>
        <v>2</v>
      </c>
      <c r="W94" s="33" t="n">
        <f aca="false">SUMIF('Hiring plan'!$B$5:$B$32,"Operations &amp; support",W9:W36)+W69</f>
        <v>2</v>
      </c>
      <c r="X94" s="33" t="n">
        <f aca="false">SUMIF('Hiring plan'!$B$5:$B$32,"Operations &amp; support",X9:X36)+X69</f>
        <v>2</v>
      </c>
      <c r="Y94" s="33" t="n">
        <f aca="false">SUMIF('Hiring plan'!$B$5:$B$32,"Operations &amp; support",Y9:Y36)+Y69</f>
        <v>3</v>
      </c>
      <c r="Z94" s="33" t="n">
        <f aca="false">SUMIF('Hiring plan'!$B$5:$B$32,"Operations &amp; support",Z9:Z36)+Z69</f>
        <v>3</v>
      </c>
      <c r="AA94" s="33" t="n">
        <f aca="false">SUMIF('Hiring plan'!$B$5:$B$32,"Operations &amp; support",AA9:AA36)+AA69</f>
        <v>3</v>
      </c>
      <c r="AB94" s="33" t="n">
        <f aca="false">SUMIF('Hiring plan'!$B$5:$B$32,"Operations &amp; support",AB9:AB36)+AB69</f>
        <v>3</v>
      </c>
      <c r="AC94" s="33" t="n">
        <f aca="false">SUMIF('Hiring plan'!$B$5:$B$32,"Operations &amp; support",AC9:AC36)+AC69</f>
        <v>4</v>
      </c>
      <c r="AD94" s="33" t="n">
        <f aca="false">SUMIF('Hiring plan'!$B$5:$B$32,"Operations &amp; support",AD9:AD36)+AD69</f>
        <v>4</v>
      </c>
      <c r="AE94" s="33" t="n">
        <f aca="false">SUMIF('Hiring plan'!$B$5:$B$32,"Operations &amp; support",AE9:AE36)+AE69</f>
        <v>4</v>
      </c>
      <c r="AF94" s="33" t="n">
        <f aca="false">SUMIF('Hiring plan'!$B$5:$B$32,"Operations &amp; support",AF9:AF36)+AF69</f>
        <v>5</v>
      </c>
      <c r="AG94" s="33" t="n">
        <f aca="false">SUMIF('Hiring plan'!$B$5:$B$32,"Operations &amp; support",AG9:AG36)+AG69</f>
        <v>7</v>
      </c>
      <c r="AH94" s="33" t="n">
        <f aca="false">SUMIF('Hiring plan'!$B$5:$B$32,"Operations &amp; support",AH9:AH36)+AH69</f>
        <v>7</v>
      </c>
      <c r="AI94" s="33" t="n">
        <f aca="false">SUMIF('Hiring plan'!$B$5:$B$32,"Operations &amp; support",AI9:AI36)+AI69</f>
        <v>8</v>
      </c>
      <c r="AJ94" s="33" t="n">
        <f aca="false">SUMIF('Hiring plan'!$B$5:$B$32,"Operations &amp; support",AJ9:AJ36)+AJ69</f>
        <v>8</v>
      </c>
      <c r="AK94" s="33" t="n">
        <f aca="false">SUMIF('Hiring plan'!$B$5:$B$32,"Operations &amp; support",AK9:AK36)+AK69</f>
        <v>9</v>
      </c>
      <c r="AL94" s="33" t="n">
        <f aca="false">SUMIF('Hiring plan'!$B$5:$B$32,"Operations &amp; support",AL9:AL36)+AL69</f>
        <v>9</v>
      </c>
      <c r="AM94" s="33" t="n">
        <f aca="false">SUMIF('Hiring plan'!$B$5:$B$32,"Operations &amp; support",AM9:AM36)+AM69</f>
        <v>10</v>
      </c>
      <c r="AN94" s="33" t="n">
        <f aca="false">SUMIF('Hiring plan'!$B$5:$B$32,"Operations &amp; support",AN9:AN36)+AN69</f>
        <v>10</v>
      </c>
      <c r="AO94" s="33" t="n">
        <f aca="false">SUMIF('Hiring plan'!$B$5:$B$32,"Operations &amp; support",AO9:AO36)+AO69</f>
        <v>11</v>
      </c>
      <c r="AP94" s="33" t="n">
        <f aca="false">SUMIF('Hiring plan'!$B$5:$B$32,"Operations &amp; support",AP9:AP36)+AP69</f>
        <v>11</v>
      </c>
      <c r="AQ94" s="33" t="n">
        <f aca="false">SUMIF('Hiring plan'!$B$5:$B$32,"Operations &amp; support",AQ9:AQ36)+AQ69</f>
        <v>12</v>
      </c>
      <c r="AR94" s="33" t="n">
        <f aca="false">SUMIF('Hiring plan'!$B$5:$B$32,"Operations &amp; support",AR9:AR36)+AR69</f>
        <v>13</v>
      </c>
      <c r="AS94" s="33" t="n">
        <f aca="false">SUMIF('Hiring plan'!$B$5:$B$32,"Operations &amp; support",AS9:AS36)+AS69</f>
        <v>13</v>
      </c>
      <c r="AT94" s="33" t="n">
        <f aca="false">SUMIF('Hiring plan'!$B$5:$B$32,"Operations &amp; support",AT9:AT36)+AT69</f>
        <v>14</v>
      </c>
      <c r="AU94" s="33" t="n">
        <f aca="false">SUMIF('Hiring plan'!$B$5:$B$32,"Operations &amp; support",AU9:AU36)+AU69</f>
        <v>15</v>
      </c>
      <c r="AV94" s="33" t="n">
        <f aca="false">SUMIF('Hiring plan'!$B$5:$B$32,"Operations &amp; support",AV9:AV36)+AV69</f>
        <v>15</v>
      </c>
      <c r="AW94" s="33" t="n">
        <f aca="false">SUMIF('Hiring plan'!$B$5:$B$32,"Operations &amp; support",AW9:AW36)+AW69</f>
        <v>16</v>
      </c>
      <c r="AX94" s="33" t="n">
        <f aca="false">SUMIF('Hiring plan'!$B$5:$B$32,"Operations &amp; support",AX9:AX36)+AX69</f>
        <v>17</v>
      </c>
      <c r="AY94" s="33" t="n">
        <f aca="false">SUMIF('Hiring plan'!$B$5:$B$32,"Operations &amp; support",AY9:AY36)+AY69</f>
        <v>18</v>
      </c>
      <c r="AZ94" s="33" t="n">
        <f aca="false">SUMIF('Hiring plan'!$B$5:$B$32,"Operations &amp; support",AZ9:AZ36)+AZ69</f>
        <v>18</v>
      </c>
      <c r="BA94" s="33" t="n">
        <f aca="false">SUMIF('Hiring plan'!$B$5:$B$32,"Operations &amp; support",BA9:BA36)+BA69</f>
        <v>19</v>
      </c>
      <c r="BB94" s="33" t="n">
        <f aca="false">SUMIF('Hiring plan'!$B$5:$B$32,"Operations &amp; support",BB9:BB36)+BB69</f>
        <v>20</v>
      </c>
      <c r="BC94" s="33" t="n">
        <f aca="false">SUMIF('Hiring plan'!$B$5:$B$32,"Operations &amp; support",BC9:BC36)+BC69</f>
        <v>21</v>
      </c>
      <c r="BD94" s="33" t="n">
        <f aca="false">SUMIF('Hiring plan'!$B$5:$B$32,"Operations &amp; support",BD9:BD36)+BD69</f>
        <v>22</v>
      </c>
      <c r="BE94" s="33" t="n">
        <f aca="false">SUMIF('Hiring plan'!$B$5:$B$32,"Operations &amp; support",BE9:BE36)+BE69</f>
        <v>22</v>
      </c>
      <c r="BF94" s="33" t="n">
        <f aca="false">SUMIF('Hiring plan'!$B$5:$B$32,"Operations &amp; support",BF9:BF36)+BF69</f>
        <v>23</v>
      </c>
      <c r="BG94" s="33" t="n">
        <f aca="false">SUMIF('Hiring plan'!$B$5:$B$32,"Operations &amp; support",BG9:BG36)+BG69</f>
        <v>24</v>
      </c>
      <c r="BH94" s="33" t="n">
        <f aca="false">SUMIF('Hiring plan'!$B$5:$B$32,"Operations &amp; support",BH9:BH36)+BH69</f>
        <v>25</v>
      </c>
      <c r="BI94" s="33" t="n">
        <f aca="false">SUMIF('Hiring plan'!$B$5:$B$32,"Operations &amp; support",BI9:BI36)+BI69</f>
        <v>26</v>
      </c>
      <c r="BJ94" s="33" t="n">
        <f aca="false">SUMIF('Hiring plan'!$B$5:$B$32,"Operations &amp; support",BJ9:BJ36)+BJ69</f>
        <v>27</v>
      </c>
      <c r="BK94" s="33" t="n">
        <f aca="false">SUMIF('Hiring plan'!$B$5:$B$32,"Operations &amp; support",BK9:BK36)+BK69</f>
        <v>28</v>
      </c>
      <c r="BL94" s="33" t="n">
        <f aca="false">SUMIF('Hiring plan'!$B$5:$B$32,"Operations &amp; support",BL9:BL36)+BL69</f>
        <v>29</v>
      </c>
    </row>
    <row r="95" customFormat="false" ht="15" hidden="false" customHeight="true" outlineLevel="0" collapsed="false">
      <c r="A95" s="13" t="s">
        <v>1162</v>
      </c>
      <c r="B95" s="15" t="s">
        <v>92</v>
      </c>
      <c r="D95" s="56" t="n">
        <f aca="false">BL95</f>
        <v>25</v>
      </c>
      <c r="E95" s="33" t="n">
        <f aca="false">SUMIF('Hiring plan'!$B$5:$B$32,"Sales &amp; partnerships",E9:E36)+E71+E72</f>
        <v>1</v>
      </c>
      <c r="F95" s="33" t="n">
        <f aca="false">SUMIF('Hiring plan'!$B$5:$B$32,"Sales &amp; partnerships",F9:F36)+F71+F72</f>
        <v>1</v>
      </c>
      <c r="G95" s="33" t="n">
        <f aca="false">SUMIF('Hiring plan'!$B$5:$B$32,"Sales &amp; partnerships",G9:G36)+G71+G72</f>
        <v>1</v>
      </c>
      <c r="H95" s="33" t="n">
        <f aca="false">SUMIF('Hiring plan'!$B$5:$B$32,"Sales &amp; partnerships",H9:H36)+H71+H72</f>
        <v>3</v>
      </c>
      <c r="I95" s="33" t="n">
        <f aca="false">SUMIF('Hiring plan'!$B$5:$B$32,"Sales &amp; partnerships",I9:I36)+I71+I72</f>
        <v>3</v>
      </c>
      <c r="J95" s="33" t="n">
        <f aca="false">SUMIF('Hiring plan'!$B$5:$B$32,"Sales &amp; partnerships",J9:J36)+J71+J72</f>
        <v>3</v>
      </c>
      <c r="K95" s="33" t="n">
        <f aca="false">SUMIF('Hiring plan'!$B$5:$B$32,"Sales &amp; partnerships",K9:K36)+K71+K72</f>
        <v>3</v>
      </c>
      <c r="L95" s="33" t="n">
        <f aca="false">SUMIF('Hiring plan'!$B$5:$B$32,"Sales &amp; partnerships",L9:L36)+L71+L72</f>
        <v>3</v>
      </c>
      <c r="M95" s="33" t="n">
        <f aca="false">SUMIF('Hiring plan'!$B$5:$B$32,"Sales &amp; partnerships",M9:M36)+M71+M72</f>
        <v>3</v>
      </c>
      <c r="N95" s="33" t="n">
        <f aca="false">SUMIF('Hiring plan'!$B$5:$B$32,"Sales &amp; partnerships",N9:N36)+N71+N72</f>
        <v>3</v>
      </c>
      <c r="O95" s="33" t="n">
        <f aca="false">SUMIF('Hiring plan'!$B$5:$B$32,"Sales &amp; partnerships",O9:O36)+O71+O72</f>
        <v>3</v>
      </c>
      <c r="P95" s="33" t="n">
        <f aca="false">SUMIF('Hiring plan'!$B$5:$B$32,"Sales &amp; partnerships",P9:P36)+P71+P72</f>
        <v>3</v>
      </c>
      <c r="Q95" s="33" t="n">
        <f aca="false">SUMIF('Hiring plan'!$B$5:$B$32,"Sales &amp; partnerships",Q9:Q36)+Q71+Q72</f>
        <v>3</v>
      </c>
      <c r="R95" s="33" t="n">
        <f aca="false">SUMIF('Hiring plan'!$B$5:$B$32,"Sales &amp; partnerships",R9:R36)+R71+R72</f>
        <v>3</v>
      </c>
      <c r="S95" s="33" t="n">
        <f aca="false">SUMIF('Hiring plan'!$B$5:$B$32,"Sales &amp; partnerships",S9:S36)+S71+S72</f>
        <v>3</v>
      </c>
      <c r="T95" s="33" t="n">
        <f aca="false">SUMIF('Hiring plan'!$B$5:$B$32,"Sales &amp; partnerships",T9:T36)+T71+T72</f>
        <v>3</v>
      </c>
      <c r="U95" s="33" t="n">
        <f aca="false">SUMIF('Hiring plan'!$B$5:$B$32,"Sales &amp; partnerships",U9:U36)+U71+U72</f>
        <v>3</v>
      </c>
      <c r="V95" s="33" t="n">
        <f aca="false">SUMIF('Hiring plan'!$B$5:$B$32,"Sales &amp; partnerships",V9:V36)+V71+V72</f>
        <v>5</v>
      </c>
      <c r="W95" s="33" t="n">
        <f aca="false">SUMIF('Hiring plan'!$B$5:$B$32,"Sales &amp; partnerships",W9:W36)+W71+W72</f>
        <v>5</v>
      </c>
      <c r="X95" s="33" t="n">
        <f aca="false">SUMIF('Hiring plan'!$B$5:$B$32,"Sales &amp; partnerships",X9:X36)+X71+X72</f>
        <v>6</v>
      </c>
      <c r="Y95" s="33" t="n">
        <f aca="false">SUMIF('Hiring plan'!$B$5:$B$32,"Sales &amp; partnerships",Y9:Y36)+Y71+Y72</f>
        <v>6</v>
      </c>
      <c r="Z95" s="33" t="n">
        <f aca="false">SUMIF('Hiring plan'!$B$5:$B$32,"Sales &amp; partnerships",Z9:Z36)+Z71+Z72</f>
        <v>6</v>
      </c>
      <c r="AA95" s="33" t="n">
        <f aca="false">SUMIF('Hiring plan'!$B$5:$B$32,"Sales &amp; partnerships",AA9:AA36)+AA71+AA72</f>
        <v>6</v>
      </c>
      <c r="AB95" s="33" t="n">
        <f aca="false">SUMIF('Hiring plan'!$B$5:$B$32,"Sales &amp; partnerships",AB9:AB36)+AB71+AB72</f>
        <v>6</v>
      </c>
      <c r="AC95" s="33" t="n">
        <f aca="false">SUMIF('Hiring plan'!$B$5:$B$32,"Sales &amp; partnerships",AC9:AC36)+AC71+AC72</f>
        <v>6</v>
      </c>
      <c r="AD95" s="33" t="n">
        <f aca="false">SUMIF('Hiring plan'!$B$5:$B$32,"Sales &amp; partnerships",AD9:AD36)+AD71+AD72</f>
        <v>7</v>
      </c>
      <c r="AE95" s="33" t="n">
        <f aca="false">SUMIF('Hiring plan'!$B$5:$B$32,"Sales &amp; partnerships",AE9:AE36)+AE71+AE72</f>
        <v>7</v>
      </c>
      <c r="AF95" s="33" t="n">
        <f aca="false">SUMIF('Hiring plan'!$B$5:$B$32,"Sales &amp; partnerships",AF9:AF36)+AF71+AF72</f>
        <v>7</v>
      </c>
      <c r="AG95" s="33" t="n">
        <f aca="false">SUMIF('Hiring plan'!$B$5:$B$32,"Sales &amp; partnerships",AG9:AG36)+AG71+AG72</f>
        <v>7</v>
      </c>
      <c r="AH95" s="33" t="n">
        <f aca="false">SUMIF('Hiring plan'!$B$5:$B$32,"Sales &amp; partnerships",AH9:AH36)+AH71+AH72</f>
        <v>8</v>
      </c>
      <c r="AI95" s="33" t="n">
        <f aca="false">SUMIF('Hiring plan'!$B$5:$B$32,"Sales &amp; partnerships",AI9:AI36)+AI71+AI72</f>
        <v>8</v>
      </c>
      <c r="AJ95" s="33" t="n">
        <f aca="false">SUMIF('Hiring plan'!$B$5:$B$32,"Sales &amp; partnerships",AJ9:AJ36)+AJ71+AJ72</f>
        <v>8</v>
      </c>
      <c r="AK95" s="33" t="n">
        <f aca="false">SUMIF('Hiring plan'!$B$5:$B$32,"Sales &amp; partnerships",AK9:AK36)+AK71+AK72</f>
        <v>8</v>
      </c>
      <c r="AL95" s="33" t="n">
        <f aca="false">SUMIF('Hiring plan'!$B$5:$B$32,"Sales &amp; partnerships",AL9:AL36)+AL71+AL72</f>
        <v>9</v>
      </c>
      <c r="AM95" s="33" t="n">
        <f aca="false">SUMIF('Hiring plan'!$B$5:$B$32,"Sales &amp; partnerships",AM9:AM36)+AM71+AM72</f>
        <v>9</v>
      </c>
      <c r="AN95" s="33" t="n">
        <f aca="false">SUMIF('Hiring plan'!$B$5:$B$32,"Sales &amp; partnerships",AN9:AN36)+AN71+AN72</f>
        <v>10</v>
      </c>
      <c r="AO95" s="33" t="n">
        <f aca="false">SUMIF('Hiring plan'!$B$5:$B$32,"Sales &amp; partnerships",AO9:AO36)+AO71+AO72</f>
        <v>11</v>
      </c>
      <c r="AP95" s="33" t="n">
        <f aca="false">SUMIF('Hiring plan'!$B$5:$B$32,"Sales &amp; partnerships",AP9:AP36)+AP71+AP72</f>
        <v>11</v>
      </c>
      <c r="AQ95" s="33" t="n">
        <f aca="false">SUMIF('Hiring plan'!$B$5:$B$32,"Sales &amp; partnerships",AQ9:AQ36)+AQ71+AQ72</f>
        <v>11</v>
      </c>
      <c r="AR95" s="33" t="n">
        <f aca="false">SUMIF('Hiring plan'!$B$5:$B$32,"Sales &amp; partnerships",AR9:AR36)+AR71+AR72</f>
        <v>12</v>
      </c>
      <c r="AS95" s="33" t="n">
        <f aca="false">SUMIF('Hiring plan'!$B$5:$B$32,"Sales &amp; partnerships",AS9:AS36)+AS71+AS72</f>
        <v>12</v>
      </c>
      <c r="AT95" s="33" t="n">
        <f aca="false">SUMIF('Hiring plan'!$B$5:$B$32,"Sales &amp; partnerships",AT9:AT36)+AT71+AT72</f>
        <v>12</v>
      </c>
      <c r="AU95" s="33" t="n">
        <f aca="false">SUMIF('Hiring plan'!$B$5:$B$32,"Sales &amp; partnerships",AU9:AU36)+AU71+AU72</f>
        <v>14</v>
      </c>
      <c r="AV95" s="33" t="n">
        <f aca="false">SUMIF('Hiring plan'!$B$5:$B$32,"Sales &amp; partnerships",AV9:AV36)+AV71+AV72</f>
        <v>14</v>
      </c>
      <c r="AW95" s="33" t="n">
        <f aca="false">SUMIF('Hiring plan'!$B$5:$B$32,"Sales &amp; partnerships",AW9:AW36)+AW71+AW72</f>
        <v>15</v>
      </c>
      <c r="AX95" s="33" t="n">
        <f aca="false">SUMIF('Hiring plan'!$B$5:$B$32,"Sales &amp; partnerships",AX9:AX36)+AX71+AX72</f>
        <v>15</v>
      </c>
      <c r="AY95" s="33" t="n">
        <f aca="false">SUMIF('Hiring plan'!$B$5:$B$32,"Sales &amp; partnerships",AY9:AY36)+AY71+AY72</f>
        <v>15</v>
      </c>
      <c r="AZ95" s="33" t="n">
        <f aca="false">SUMIF('Hiring plan'!$B$5:$B$32,"Sales &amp; partnerships",AZ9:AZ36)+AZ71+AZ72</f>
        <v>17</v>
      </c>
      <c r="BA95" s="33" t="n">
        <f aca="false">SUMIF('Hiring plan'!$B$5:$B$32,"Sales &amp; partnerships",BA9:BA36)+BA71+BA72</f>
        <v>17</v>
      </c>
      <c r="BB95" s="33" t="n">
        <f aca="false">SUMIF('Hiring plan'!$B$5:$B$32,"Sales &amp; partnerships",BB9:BB36)+BB71+BB72</f>
        <v>18</v>
      </c>
      <c r="BC95" s="33" t="n">
        <f aca="false">SUMIF('Hiring plan'!$B$5:$B$32,"Sales &amp; partnerships",BC9:BC36)+BC71+BC72</f>
        <v>18</v>
      </c>
      <c r="BD95" s="33" t="n">
        <f aca="false">SUMIF('Hiring plan'!$B$5:$B$32,"Sales &amp; partnerships",BD9:BD36)+BD71+BD72</f>
        <v>19</v>
      </c>
      <c r="BE95" s="33" t="n">
        <f aca="false">SUMIF('Hiring plan'!$B$5:$B$32,"Sales &amp; partnerships",BE9:BE36)+BE71+BE72</f>
        <v>20</v>
      </c>
      <c r="BF95" s="33" t="n">
        <f aca="false">SUMIF('Hiring plan'!$B$5:$B$32,"Sales &amp; partnerships",BF9:BF36)+BF71+BF72</f>
        <v>20</v>
      </c>
      <c r="BG95" s="33" t="n">
        <f aca="false">SUMIF('Hiring plan'!$B$5:$B$32,"Sales &amp; partnerships",BG9:BG36)+BG71+BG72</f>
        <v>21</v>
      </c>
      <c r="BH95" s="33" t="n">
        <f aca="false">SUMIF('Hiring plan'!$B$5:$B$32,"Sales &amp; partnerships",BH9:BH36)+BH71+BH72</f>
        <v>22</v>
      </c>
      <c r="BI95" s="33" t="n">
        <f aca="false">SUMIF('Hiring plan'!$B$5:$B$32,"Sales &amp; partnerships",BI9:BI36)+BI71+BI72</f>
        <v>23</v>
      </c>
      <c r="BJ95" s="33" t="n">
        <f aca="false">SUMIF('Hiring plan'!$B$5:$B$32,"Sales &amp; partnerships",BJ9:BJ36)+BJ71+BJ72</f>
        <v>23</v>
      </c>
      <c r="BK95" s="33" t="n">
        <f aca="false">SUMIF('Hiring plan'!$B$5:$B$32,"Sales &amp; partnerships",BK9:BK36)+BK71+BK72</f>
        <v>24</v>
      </c>
      <c r="BL95" s="33" t="n">
        <f aca="false">SUMIF('Hiring plan'!$B$5:$B$32,"Sales &amp; partnerships",BL9:BL36)+BL71+BL72</f>
        <v>25</v>
      </c>
    </row>
    <row r="96" customFormat="false" ht="15" hidden="false" customHeight="true" outlineLevel="0" collapsed="false">
      <c r="A96" s="13" t="s">
        <v>1163</v>
      </c>
      <c r="B96" s="15" t="s">
        <v>92</v>
      </c>
      <c r="D96" s="56" t="n">
        <f aca="false">BL96</f>
        <v>2</v>
      </c>
      <c r="E96" s="33" t="n">
        <f aca="false">SUMIF('Hiring plan'!$B$5:$B$32,"Marketing",E9:E36)+0</f>
        <v>0</v>
      </c>
      <c r="F96" s="33" t="n">
        <f aca="false">SUMIF('Hiring plan'!$B$5:$B$32,"Marketing",F9:F36)+0</f>
        <v>0</v>
      </c>
      <c r="G96" s="33" t="n">
        <f aca="false">SUMIF('Hiring plan'!$B$5:$B$32,"Marketing",G9:G36)+0</f>
        <v>0</v>
      </c>
      <c r="H96" s="33" t="n">
        <f aca="false">SUMIF('Hiring plan'!$B$5:$B$32,"Marketing",H9:H36)+0</f>
        <v>1</v>
      </c>
      <c r="I96" s="33" t="n">
        <f aca="false">SUMIF('Hiring plan'!$B$5:$B$32,"Marketing",I9:I36)+0</f>
        <v>2</v>
      </c>
      <c r="J96" s="33" t="n">
        <f aca="false">SUMIF('Hiring plan'!$B$5:$B$32,"Marketing",J9:J36)+0</f>
        <v>2</v>
      </c>
      <c r="K96" s="33" t="n">
        <f aca="false">SUMIF('Hiring plan'!$B$5:$B$32,"Marketing",K9:K36)+0</f>
        <v>2</v>
      </c>
      <c r="L96" s="33" t="n">
        <f aca="false">SUMIF('Hiring plan'!$B$5:$B$32,"Marketing",L9:L36)+0</f>
        <v>2</v>
      </c>
      <c r="M96" s="33" t="n">
        <f aca="false">SUMIF('Hiring plan'!$B$5:$B$32,"Marketing",M9:M36)+0</f>
        <v>2</v>
      </c>
      <c r="N96" s="33" t="n">
        <f aca="false">SUMIF('Hiring plan'!$B$5:$B$32,"Marketing",N9:N36)+0</f>
        <v>2</v>
      </c>
      <c r="O96" s="33" t="n">
        <f aca="false">SUMIF('Hiring plan'!$B$5:$B$32,"Marketing",O9:O36)+0</f>
        <v>2</v>
      </c>
      <c r="P96" s="33" t="n">
        <f aca="false">SUMIF('Hiring plan'!$B$5:$B$32,"Marketing",P9:P36)+0</f>
        <v>2</v>
      </c>
      <c r="Q96" s="33" t="n">
        <f aca="false">SUMIF('Hiring plan'!$B$5:$B$32,"Marketing",Q9:Q36)+0</f>
        <v>2</v>
      </c>
      <c r="R96" s="33" t="n">
        <f aca="false">SUMIF('Hiring plan'!$B$5:$B$32,"Marketing",R9:R36)+0</f>
        <v>2</v>
      </c>
      <c r="S96" s="33" t="n">
        <f aca="false">SUMIF('Hiring plan'!$B$5:$B$32,"Marketing",S9:S36)+0</f>
        <v>2</v>
      </c>
      <c r="T96" s="33" t="n">
        <f aca="false">SUMIF('Hiring plan'!$B$5:$B$32,"Marketing",T9:T36)+0</f>
        <v>2</v>
      </c>
      <c r="U96" s="33" t="n">
        <f aca="false">SUMIF('Hiring plan'!$B$5:$B$32,"Marketing",U9:U36)+0</f>
        <v>2</v>
      </c>
      <c r="V96" s="33" t="n">
        <f aca="false">SUMIF('Hiring plan'!$B$5:$B$32,"Marketing",V9:V36)+0</f>
        <v>2</v>
      </c>
      <c r="W96" s="33" t="n">
        <f aca="false">SUMIF('Hiring plan'!$B$5:$B$32,"Marketing",W9:W36)+0</f>
        <v>2</v>
      </c>
      <c r="X96" s="33" t="n">
        <f aca="false">SUMIF('Hiring plan'!$B$5:$B$32,"Marketing",X9:X36)+0</f>
        <v>2</v>
      </c>
      <c r="Y96" s="33" t="n">
        <f aca="false">SUMIF('Hiring plan'!$B$5:$B$32,"Marketing",Y9:Y36)+0</f>
        <v>2</v>
      </c>
      <c r="Z96" s="33" t="n">
        <f aca="false">SUMIF('Hiring plan'!$B$5:$B$32,"Marketing",Z9:Z36)+0</f>
        <v>2</v>
      </c>
      <c r="AA96" s="33" t="n">
        <f aca="false">SUMIF('Hiring plan'!$B$5:$B$32,"Marketing",AA9:AA36)+0</f>
        <v>2</v>
      </c>
      <c r="AB96" s="33" t="n">
        <f aca="false">SUMIF('Hiring plan'!$B$5:$B$32,"Marketing",AB9:AB36)+0</f>
        <v>2</v>
      </c>
      <c r="AC96" s="33" t="n">
        <f aca="false">SUMIF('Hiring plan'!$B$5:$B$32,"Marketing",AC9:AC36)+0</f>
        <v>2</v>
      </c>
      <c r="AD96" s="33" t="n">
        <f aca="false">SUMIF('Hiring plan'!$B$5:$B$32,"Marketing",AD9:AD36)+0</f>
        <v>2</v>
      </c>
      <c r="AE96" s="33" t="n">
        <f aca="false">SUMIF('Hiring plan'!$B$5:$B$32,"Marketing",AE9:AE36)+0</f>
        <v>2</v>
      </c>
      <c r="AF96" s="33" t="n">
        <f aca="false">SUMIF('Hiring plan'!$B$5:$B$32,"Marketing",AF9:AF36)+0</f>
        <v>2</v>
      </c>
      <c r="AG96" s="33" t="n">
        <f aca="false">SUMIF('Hiring plan'!$B$5:$B$32,"Marketing",AG9:AG36)+0</f>
        <v>2</v>
      </c>
      <c r="AH96" s="33" t="n">
        <f aca="false">SUMIF('Hiring plan'!$B$5:$B$32,"Marketing",AH9:AH36)+0</f>
        <v>2</v>
      </c>
      <c r="AI96" s="33" t="n">
        <f aca="false">SUMIF('Hiring plan'!$B$5:$B$32,"Marketing",AI9:AI36)+0</f>
        <v>2</v>
      </c>
      <c r="AJ96" s="33" t="n">
        <f aca="false">SUMIF('Hiring plan'!$B$5:$B$32,"Marketing",AJ9:AJ36)+0</f>
        <v>2</v>
      </c>
      <c r="AK96" s="33" t="n">
        <f aca="false">SUMIF('Hiring plan'!$B$5:$B$32,"Marketing",AK9:AK36)+0</f>
        <v>2</v>
      </c>
      <c r="AL96" s="33" t="n">
        <f aca="false">SUMIF('Hiring plan'!$B$5:$B$32,"Marketing",AL9:AL36)+0</f>
        <v>2</v>
      </c>
      <c r="AM96" s="33" t="n">
        <f aca="false">SUMIF('Hiring plan'!$B$5:$B$32,"Marketing",AM9:AM36)+0</f>
        <v>2</v>
      </c>
      <c r="AN96" s="33" t="n">
        <f aca="false">SUMIF('Hiring plan'!$B$5:$B$32,"Marketing",AN9:AN36)+0</f>
        <v>2</v>
      </c>
      <c r="AO96" s="33" t="n">
        <f aca="false">SUMIF('Hiring plan'!$B$5:$B$32,"Marketing",AO9:AO36)+0</f>
        <v>2</v>
      </c>
      <c r="AP96" s="33" t="n">
        <f aca="false">SUMIF('Hiring plan'!$B$5:$B$32,"Marketing",AP9:AP36)+0</f>
        <v>2</v>
      </c>
      <c r="AQ96" s="33" t="n">
        <f aca="false">SUMIF('Hiring plan'!$B$5:$B$32,"Marketing",AQ9:AQ36)+0</f>
        <v>2</v>
      </c>
      <c r="AR96" s="33" t="n">
        <f aca="false">SUMIF('Hiring plan'!$B$5:$B$32,"Marketing",AR9:AR36)+0</f>
        <v>2</v>
      </c>
      <c r="AS96" s="33" t="n">
        <f aca="false">SUMIF('Hiring plan'!$B$5:$B$32,"Marketing",AS9:AS36)+0</f>
        <v>2</v>
      </c>
      <c r="AT96" s="33" t="n">
        <f aca="false">SUMIF('Hiring plan'!$B$5:$B$32,"Marketing",AT9:AT36)+0</f>
        <v>2</v>
      </c>
      <c r="AU96" s="33" t="n">
        <f aca="false">SUMIF('Hiring plan'!$B$5:$B$32,"Marketing",AU9:AU36)+0</f>
        <v>2</v>
      </c>
      <c r="AV96" s="33" t="n">
        <f aca="false">SUMIF('Hiring plan'!$B$5:$B$32,"Marketing",AV9:AV36)+0</f>
        <v>2</v>
      </c>
      <c r="AW96" s="33" t="n">
        <f aca="false">SUMIF('Hiring plan'!$B$5:$B$32,"Marketing",AW9:AW36)+0</f>
        <v>2</v>
      </c>
      <c r="AX96" s="33" t="n">
        <f aca="false">SUMIF('Hiring plan'!$B$5:$B$32,"Marketing",AX9:AX36)+0</f>
        <v>2</v>
      </c>
      <c r="AY96" s="33" t="n">
        <f aca="false">SUMIF('Hiring plan'!$B$5:$B$32,"Marketing",AY9:AY36)+0</f>
        <v>2</v>
      </c>
      <c r="AZ96" s="33" t="n">
        <f aca="false">SUMIF('Hiring plan'!$B$5:$B$32,"Marketing",AZ9:AZ36)+0</f>
        <v>2</v>
      </c>
      <c r="BA96" s="33" t="n">
        <f aca="false">SUMIF('Hiring plan'!$B$5:$B$32,"Marketing",BA9:BA36)+0</f>
        <v>2</v>
      </c>
      <c r="BB96" s="33" t="n">
        <f aca="false">SUMIF('Hiring plan'!$B$5:$B$32,"Marketing",BB9:BB36)+0</f>
        <v>2</v>
      </c>
      <c r="BC96" s="33" t="n">
        <f aca="false">SUMIF('Hiring plan'!$B$5:$B$32,"Marketing",BC9:BC36)+0</f>
        <v>2</v>
      </c>
      <c r="BD96" s="33" t="n">
        <f aca="false">SUMIF('Hiring plan'!$B$5:$B$32,"Marketing",BD9:BD36)+0</f>
        <v>2</v>
      </c>
      <c r="BE96" s="33" t="n">
        <f aca="false">SUMIF('Hiring plan'!$B$5:$B$32,"Marketing",BE9:BE36)+0</f>
        <v>2</v>
      </c>
      <c r="BF96" s="33" t="n">
        <f aca="false">SUMIF('Hiring plan'!$B$5:$B$32,"Marketing",BF9:BF36)+0</f>
        <v>2</v>
      </c>
      <c r="BG96" s="33" t="n">
        <f aca="false">SUMIF('Hiring plan'!$B$5:$B$32,"Marketing",BG9:BG36)+0</f>
        <v>2</v>
      </c>
      <c r="BH96" s="33" t="n">
        <f aca="false">SUMIF('Hiring plan'!$B$5:$B$32,"Marketing",BH9:BH36)+0</f>
        <v>2</v>
      </c>
      <c r="BI96" s="33" t="n">
        <f aca="false">SUMIF('Hiring plan'!$B$5:$B$32,"Marketing",BI9:BI36)+0</f>
        <v>2</v>
      </c>
      <c r="BJ96" s="33" t="n">
        <f aca="false">SUMIF('Hiring plan'!$B$5:$B$32,"Marketing",BJ9:BJ36)+0</f>
        <v>2</v>
      </c>
      <c r="BK96" s="33" t="n">
        <f aca="false">SUMIF('Hiring plan'!$B$5:$B$32,"Marketing",BK9:BK36)+0</f>
        <v>2</v>
      </c>
      <c r="BL96" s="33" t="n">
        <f aca="false">SUMIF('Hiring plan'!$B$5:$B$32,"Marketing",BL9:BL36)+0</f>
        <v>2</v>
      </c>
    </row>
    <row r="97" customFormat="false" ht="15" hidden="false" customHeight="true" outlineLevel="0" collapsed="false">
      <c r="A97" s="13" t="s">
        <v>1164</v>
      </c>
      <c r="B97" s="15" t="s">
        <v>92</v>
      </c>
      <c r="D97" s="56" t="n">
        <f aca="false">BL97</f>
        <v>1</v>
      </c>
      <c r="E97" s="33" t="n">
        <f aca="false">SUMIF('Hiring plan'!$B$5:$B$32,"Finance &amp; admin",E9:E36)+0</f>
        <v>1</v>
      </c>
      <c r="F97" s="33" t="n">
        <f aca="false">SUMIF('Hiring plan'!$B$5:$B$32,"Finance &amp; admin",F9:F36)+0</f>
        <v>1</v>
      </c>
      <c r="G97" s="33" t="n">
        <f aca="false">SUMIF('Hiring plan'!$B$5:$B$32,"Finance &amp; admin",G9:G36)+0</f>
        <v>1</v>
      </c>
      <c r="H97" s="33" t="n">
        <f aca="false">SUMIF('Hiring plan'!$B$5:$B$32,"Finance &amp; admin",H9:H36)+0</f>
        <v>1</v>
      </c>
      <c r="I97" s="33" t="n">
        <f aca="false">SUMIF('Hiring plan'!$B$5:$B$32,"Finance &amp; admin",I9:I36)+0</f>
        <v>1</v>
      </c>
      <c r="J97" s="33" t="n">
        <f aca="false">SUMIF('Hiring plan'!$B$5:$B$32,"Finance &amp; admin",J9:J36)+0</f>
        <v>1</v>
      </c>
      <c r="K97" s="33" t="n">
        <f aca="false">SUMIF('Hiring plan'!$B$5:$B$32,"Finance &amp; admin",K9:K36)+0</f>
        <v>1</v>
      </c>
      <c r="L97" s="33" t="n">
        <f aca="false">SUMIF('Hiring plan'!$B$5:$B$32,"Finance &amp; admin",L9:L36)+0</f>
        <v>1</v>
      </c>
      <c r="M97" s="33" t="n">
        <f aca="false">SUMIF('Hiring plan'!$B$5:$B$32,"Finance &amp; admin",M9:M36)+0</f>
        <v>1</v>
      </c>
      <c r="N97" s="33" t="n">
        <f aca="false">SUMIF('Hiring plan'!$B$5:$B$32,"Finance &amp; admin",N9:N36)+0</f>
        <v>1</v>
      </c>
      <c r="O97" s="33" t="n">
        <f aca="false">SUMIF('Hiring plan'!$B$5:$B$32,"Finance &amp; admin",O9:O36)+0</f>
        <v>1</v>
      </c>
      <c r="P97" s="33" t="n">
        <f aca="false">SUMIF('Hiring plan'!$B$5:$B$32,"Finance &amp; admin",P9:P36)+0</f>
        <v>1</v>
      </c>
      <c r="Q97" s="33" t="n">
        <f aca="false">SUMIF('Hiring plan'!$B$5:$B$32,"Finance &amp; admin",Q9:Q36)+0</f>
        <v>1</v>
      </c>
      <c r="R97" s="33" t="n">
        <f aca="false">SUMIF('Hiring plan'!$B$5:$B$32,"Finance &amp; admin",R9:R36)+0</f>
        <v>1</v>
      </c>
      <c r="S97" s="33" t="n">
        <f aca="false">SUMIF('Hiring plan'!$B$5:$B$32,"Finance &amp; admin",S9:S36)+0</f>
        <v>1</v>
      </c>
      <c r="T97" s="33" t="n">
        <f aca="false">SUMIF('Hiring plan'!$B$5:$B$32,"Finance &amp; admin",T9:T36)+0</f>
        <v>1</v>
      </c>
      <c r="U97" s="33" t="n">
        <f aca="false">SUMIF('Hiring plan'!$B$5:$B$32,"Finance &amp; admin",U9:U36)+0</f>
        <v>1</v>
      </c>
      <c r="V97" s="33" t="n">
        <f aca="false">SUMIF('Hiring plan'!$B$5:$B$32,"Finance &amp; admin",V9:V36)+0</f>
        <v>1</v>
      </c>
      <c r="W97" s="33" t="n">
        <f aca="false">SUMIF('Hiring plan'!$B$5:$B$32,"Finance &amp; admin",W9:W36)+0</f>
        <v>1</v>
      </c>
      <c r="X97" s="33" t="n">
        <f aca="false">SUMIF('Hiring plan'!$B$5:$B$32,"Finance &amp; admin",X9:X36)+0</f>
        <v>1</v>
      </c>
      <c r="Y97" s="33" t="n">
        <f aca="false">SUMIF('Hiring plan'!$B$5:$B$32,"Finance &amp; admin",Y9:Y36)+0</f>
        <v>1</v>
      </c>
      <c r="Z97" s="33" t="n">
        <f aca="false">SUMIF('Hiring plan'!$B$5:$B$32,"Finance &amp; admin",Z9:Z36)+0</f>
        <v>1</v>
      </c>
      <c r="AA97" s="33" t="n">
        <f aca="false">SUMIF('Hiring plan'!$B$5:$B$32,"Finance &amp; admin",AA9:AA36)+0</f>
        <v>1</v>
      </c>
      <c r="AB97" s="33" t="n">
        <f aca="false">SUMIF('Hiring plan'!$B$5:$B$32,"Finance &amp; admin",AB9:AB36)+0</f>
        <v>1</v>
      </c>
      <c r="AC97" s="33" t="n">
        <f aca="false">SUMIF('Hiring plan'!$B$5:$B$32,"Finance &amp; admin",AC9:AC36)+0</f>
        <v>1</v>
      </c>
      <c r="AD97" s="33" t="n">
        <f aca="false">SUMIF('Hiring plan'!$B$5:$B$32,"Finance &amp; admin",AD9:AD36)+0</f>
        <v>1</v>
      </c>
      <c r="AE97" s="33" t="n">
        <f aca="false">SUMIF('Hiring plan'!$B$5:$B$32,"Finance &amp; admin",AE9:AE36)+0</f>
        <v>1</v>
      </c>
      <c r="AF97" s="33" t="n">
        <f aca="false">SUMIF('Hiring plan'!$B$5:$B$32,"Finance &amp; admin",AF9:AF36)+0</f>
        <v>1</v>
      </c>
      <c r="AG97" s="33" t="n">
        <f aca="false">SUMIF('Hiring plan'!$B$5:$B$32,"Finance &amp; admin",AG9:AG36)+0</f>
        <v>1</v>
      </c>
      <c r="AH97" s="33" t="n">
        <f aca="false">SUMIF('Hiring plan'!$B$5:$B$32,"Finance &amp; admin",AH9:AH36)+0</f>
        <v>1</v>
      </c>
      <c r="AI97" s="33" t="n">
        <f aca="false">SUMIF('Hiring plan'!$B$5:$B$32,"Finance &amp; admin",AI9:AI36)+0</f>
        <v>1</v>
      </c>
      <c r="AJ97" s="33" t="n">
        <f aca="false">SUMIF('Hiring plan'!$B$5:$B$32,"Finance &amp; admin",AJ9:AJ36)+0</f>
        <v>1</v>
      </c>
      <c r="AK97" s="33" t="n">
        <f aca="false">SUMIF('Hiring plan'!$B$5:$B$32,"Finance &amp; admin",AK9:AK36)+0</f>
        <v>1</v>
      </c>
      <c r="AL97" s="33" t="n">
        <f aca="false">SUMIF('Hiring plan'!$B$5:$B$32,"Finance &amp; admin",AL9:AL36)+0</f>
        <v>1</v>
      </c>
      <c r="AM97" s="33" t="n">
        <f aca="false">SUMIF('Hiring plan'!$B$5:$B$32,"Finance &amp; admin",AM9:AM36)+0</f>
        <v>1</v>
      </c>
      <c r="AN97" s="33" t="n">
        <f aca="false">SUMIF('Hiring plan'!$B$5:$B$32,"Finance &amp; admin",AN9:AN36)+0</f>
        <v>1</v>
      </c>
      <c r="AO97" s="33" t="n">
        <f aca="false">SUMIF('Hiring plan'!$B$5:$B$32,"Finance &amp; admin",AO9:AO36)+0</f>
        <v>1</v>
      </c>
      <c r="AP97" s="33" t="n">
        <f aca="false">SUMIF('Hiring plan'!$B$5:$B$32,"Finance &amp; admin",AP9:AP36)+0</f>
        <v>1</v>
      </c>
      <c r="AQ97" s="33" t="n">
        <f aca="false">SUMIF('Hiring plan'!$B$5:$B$32,"Finance &amp; admin",AQ9:AQ36)+0</f>
        <v>1</v>
      </c>
      <c r="AR97" s="33" t="n">
        <f aca="false">SUMIF('Hiring plan'!$B$5:$B$32,"Finance &amp; admin",AR9:AR36)+0</f>
        <v>1</v>
      </c>
      <c r="AS97" s="33" t="n">
        <f aca="false">SUMIF('Hiring plan'!$B$5:$B$32,"Finance &amp; admin",AS9:AS36)+0</f>
        <v>1</v>
      </c>
      <c r="AT97" s="33" t="n">
        <f aca="false">SUMIF('Hiring plan'!$B$5:$B$32,"Finance &amp; admin",AT9:AT36)+0</f>
        <v>1</v>
      </c>
      <c r="AU97" s="33" t="n">
        <f aca="false">SUMIF('Hiring plan'!$B$5:$B$32,"Finance &amp; admin",AU9:AU36)+0</f>
        <v>1</v>
      </c>
      <c r="AV97" s="33" t="n">
        <f aca="false">SUMIF('Hiring plan'!$B$5:$B$32,"Finance &amp; admin",AV9:AV36)+0</f>
        <v>1</v>
      </c>
      <c r="AW97" s="33" t="n">
        <f aca="false">SUMIF('Hiring plan'!$B$5:$B$32,"Finance &amp; admin",AW9:AW36)+0</f>
        <v>1</v>
      </c>
      <c r="AX97" s="33" t="n">
        <f aca="false">SUMIF('Hiring plan'!$B$5:$B$32,"Finance &amp; admin",AX9:AX36)+0</f>
        <v>1</v>
      </c>
      <c r="AY97" s="33" t="n">
        <f aca="false">SUMIF('Hiring plan'!$B$5:$B$32,"Finance &amp; admin",AY9:AY36)+0</f>
        <v>1</v>
      </c>
      <c r="AZ97" s="33" t="n">
        <f aca="false">SUMIF('Hiring plan'!$B$5:$B$32,"Finance &amp; admin",AZ9:AZ36)+0</f>
        <v>1</v>
      </c>
      <c r="BA97" s="33" t="n">
        <f aca="false">SUMIF('Hiring plan'!$B$5:$B$32,"Finance &amp; admin",BA9:BA36)+0</f>
        <v>1</v>
      </c>
      <c r="BB97" s="33" t="n">
        <f aca="false">SUMIF('Hiring plan'!$B$5:$B$32,"Finance &amp; admin",BB9:BB36)+0</f>
        <v>1</v>
      </c>
      <c r="BC97" s="33" t="n">
        <f aca="false">SUMIF('Hiring plan'!$B$5:$B$32,"Finance &amp; admin",BC9:BC36)+0</f>
        <v>1</v>
      </c>
      <c r="BD97" s="33" t="n">
        <f aca="false">SUMIF('Hiring plan'!$B$5:$B$32,"Finance &amp; admin",BD9:BD36)+0</f>
        <v>1</v>
      </c>
      <c r="BE97" s="33" t="n">
        <f aca="false">SUMIF('Hiring plan'!$B$5:$B$32,"Finance &amp; admin",BE9:BE36)+0</f>
        <v>1</v>
      </c>
      <c r="BF97" s="33" t="n">
        <f aca="false">SUMIF('Hiring plan'!$B$5:$B$32,"Finance &amp; admin",BF9:BF36)+0</f>
        <v>1</v>
      </c>
      <c r="BG97" s="33" t="n">
        <f aca="false">SUMIF('Hiring plan'!$B$5:$B$32,"Finance &amp; admin",BG9:BG36)+0</f>
        <v>1</v>
      </c>
      <c r="BH97" s="33" t="n">
        <f aca="false">SUMIF('Hiring plan'!$B$5:$B$32,"Finance &amp; admin",BH9:BH36)+0</f>
        <v>1</v>
      </c>
      <c r="BI97" s="33" t="n">
        <f aca="false">SUMIF('Hiring plan'!$B$5:$B$32,"Finance &amp; admin",BI9:BI36)+0</f>
        <v>1</v>
      </c>
      <c r="BJ97" s="33" t="n">
        <f aca="false">SUMIF('Hiring plan'!$B$5:$B$32,"Finance &amp; admin",BJ9:BJ36)+0</f>
        <v>1</v>
      </c>
      <c r="BK97" s="33" t="n">
        <f aca="false">SUMIF('Hiring plan'!$B$5:$B$32,"Finance &amp; admin",BK9:BK36)+0</f>
        <v>1</v>
      </c>
      <c r="BL97" s="33" t="n">
        <f aca="false">SUMIF('Hiring plan'!$B$5:$B$32,"Finance &amp; admin",BL9:BL36)+0</f>
        <v>1</v>
      </c>
    </row>
    <row r="98" customFormat="false" ht="15" hidden="false" customHeight="true" outlineLevel="0" collapsed="false">
      <c r="A98" s="13" t="s">
        <v>1165</v>
      </c>
      <c r="B98" s="15" t="s">
        <v>77</v>
      </c>
      <c r="D98" s="56" t="n">
        <f aca="false">SUM(E98:BL98)</f>
        <v>355069191.75</v>
      </c>
      <c r="E98" s="33" t="n">
        <f aca="false">SUMIF('Hiring plan'!$B$5:$B$32,"Leadership",E39:E66)+0</f>
        <v>0</v>
      </c>
      <c r="F98" s="33" t="n">
        <f aca="false">SUMIF('Hiring plan'!$B$5:$B$32,"Leadership",F39:F66)+0</f>
        <v>0</v>
      </c>
      <c r="G98" s="33" t="n">
        <f aca="false">SUMIF('Hiring plan'!$B$5:$B$32,"Leadership",G39:G66)+0</f>
        <v>0</v>
      </c>
      <c r="H98" s="33" t="n">
        <f aca="false">SUMIF('Hiring plan'!$B$5:$B$32,"Leadership",H39:H66)+0</f>
        <v>0</v>
      </c>
      <c r="I98" s="33" t="n">
        <f aca="false">SUMIF('Hiring plan'!$B$5:$B$32,"Leadership",I39:I66)+0</f>
        <v>0</v>
      </c>
      <c r="J98" s="33" t="n">
        <f aca="false">SUMIF('Hiring plan'!$B$5:$B$32,"Leadership",J39:J66)+0</f>
        <v>0</v>
      </c>
      <c r="K98" s="33" t="n">
        <f aca="false">SUMIF('Hiring plan'!$B$5:$B$32,"Leadership",K39:K66)+0</f>
        <v>0</v>
      </c>
      <c r="L98" s="33" t="n">
        <f aca="false">SUMIF('Hiring plan'!$B$5:$B$32,"Leadership",L39:L66)+0</f>
        <v>0</v>
      </c>
      <c r="M98" s="33" t="n">
        <f aca="false">SUMIF('Hiring plan'!$B$5:$B$32,"Leadership",M39:M66)+0</f>
        <v>0</v>
      </c>
      <c r="N98" s="33" t="n">
        <f aca="false">SUMIF('Hiring plan'!$B$5:$B$32,"Leadership",N39:N66)+0</f>
        <v>0</v>
      </c>
      <c r="O98" s="33" t="n">
        <f aca="false">SUMIF('Hiring plan'!$B$5:$B$32,"Leadership",O39:O66)+0</f>
        <v>0</v>
      </c>
      <c r="P98" s="33" t="n">
        <f aca="false">SUMIF('Hiring plan'!$B$5:$B$32,"Leadership",P39:P66)+0</f>
        <v>0</v>
      </c>
      <c r="Q98" s="33" t="n">
        <f aca="false">SUMIF('Hiring plan'!$B$5:$B$32,"Leadership",Q39:Q66)+0</f>
        <v>3412500</v>
      </c>
      <c r="R98" s="33" t="n">
        <f aca="false">SUMIF('Hiring plan'!$B$5:$B$32,"Leadership",R39:R66)+0</f>
        <v>3412500</v>
      </c>
      <c r="S98" s="33" t="n">
        <f aca="false">SUMIF('Hiring plan'!$B$5:$B$32,"Leadership",S39:S66)+0</f>
        <v>3412500</v>
      </c>
      <c r="T98" s="33" t="n">
        <f aca="false">SUMIF('Hiring plan'!$B$5:$B$32,"Leadership",T39:T66)+0</f>
        <v>3412500</v>
      </c>
      <c r="U98" s="33" t="n">
        <f aca="false">SUMIF('Hiring plan'!$B$5:$B$32,"Leadership",U39:U66)+0</f>
        <v>3412500</v>
      </c>
      <c r="V98" s="33" t="n">
        <f aca="false">SUMIF('Hiring plan'!$B$5:$B$32,"Leadership",V39:V66)+0</f>
        <v>7234500</v>
      </c>
      <c r="W98" s="33" t="n">
        <f aca="false">SUMIF('Hiring plan'!$B$5:$B$32,"Leadership",W39:W66)+0</f>
        <v>7234500</v>
      </c>
      <c r="X98" s="33" t="n">
        <f aca="false">SUMIF('Hiring plan'!$B$5:$B$32,"Leadership",X39:X66)+0</f>
        <v>7234500</v>
      </c>
      <c r="Y98" s="33" t="n">
        <f aca="false">SUMIF('Hiring plan'!$B$5:$B$32,"Leadership",Y39:Y66)+0</f>
        <v>7234500</v>
      </c>
      <c r="Z98" s="33" t="n">
        <f aca="false">SUMIF('Hiring plan'!$B$5:$B$32,"Leadership",Z39:Z66)+0</f>
        <v>7234500</v>
      </c>
      <c r="AA98" s="33" t="n">
        <f aca="false">SUMIF('Hiring plan'!$B$5:$B$32,"Leadership",AA39:AA66)+0</f>
        <v>7234500</v>
      </c>
      <c r="AB98" s="33" t="n">
        <f aca="false">SUMIF('Hiring plan'!$B$5:$B$32,"Leadership",AB39:AB66)+0</f>
        <v>7234500</v>
      </c>
      <c r="AC98" s="33" t="n">
        <f aca="false">SUMIF('Hiring plan'!$B$5:$B$32,"Leadership",AC39:AC66)+0</f>
        <v>7596225</v>
      </c>
      <c r="AD98" s="33" t="n">
        <f aca="false">SUMIF('Hiring plan'!$B$5:$B$32,"Leadership",AD39:AD66)+0</f>
        <v>7596225</v>
      </c>
      <c r="AE98" s="33" t="n">
        <f aca="false">SUMIF('Hiring plan'!$B$5:$B$32,"Leadership",AE39:AE66)+0</f>
        <v>7596225</v>
      </c>
      <c r="AF98" s="33" t="n">
        <f aca="false">SUMIF('Hiring plan'!$B$5:$B$32,"Leadership",AF39:AF66)+0</f>
        <v>7596225</v>
      </c>
      <c r="AG98" s="33" t="n">
        <f aca="false">SUMIF('Hiring plan'!$B$5:$B$32,"Leadership",AG39:AG66)+0</f>
        <v>7596225</v>
      </c>
      <c r="AH98" s="33" t="n">
        <f aca="false">SUMIF('Hiring plan'!$B$5:$B$32,"Leadership",AH39:AH66)+0</f>
        <v>7596225</v>
      </c>
      <c r="AI98" s="33" t="n">
        <f aca="false">SUMIF('Hiring plan'!$B$5:$B$32,"Leadership",AI39:AI66)+0</f>
        <v>7596225</v>
      </c>
      <c r="AJ98" s="33" t="n">
        <f aca="false">SUMIF('Hiring plan'!$B$5:$B$32,"Leadership",AJ39:AJ66)+0</f>
        <v>7596225</v>
      </c>
      <c r="AK98" s="33" t="n">
        <f aca="false">SUMIF('Hiring plan'!$B$5:$B$32,"Leadership",AK39:AK66)+0</f>
        <v>7596225</v>
      </c>
      <c r="AL98" s="33" t="n">
        <f aca="false">SUMIF('Hiring plan'!$B$5:$B$32,"Leadership",AL39:AL66)+0</f>
        <v>7596225</v>
      </c>
      <c r="AM98" s="33" t="n">
        <f aca="false">SUMIF('Hiring plan'!$B$5:$B$32,"Leadership",AM39:AM66)+0</f>
        <v>7596225</v>
      </c>
      <c r="AN98" s="33" t="n">
        <f aca="false">SUMIF('Hiring plan'!$B$5:$B$32,"Leadership",AN39:AN66)+0</f>
        <v>7596225</v>
      </c>
      <c r="AO98" s="33" t="n">
        <f aca="false">SUMIF('Hiring plan'!$B$5:$B$32,"Leadership",AO39:AO66)+0</f>
        <v>7976036.25</v>
      </c>
      <c r="AP98" s="33" t="n">
        <f aca="false">SUMIF('Hiring plan'!$B$5:$B$32,"Leadership",AP39:AP66)+0</f>
        <v>7976036.25</v>
      </c>
      <c r="AQ98" s="33" t="n">
        <f aca="false">SUMIF('Hiring plan'!$B$5:$B$32,"Leadership",AQ39:AQ66)+0</f>
        <v>7976036.25</v>
      </c>
      <c r="AR98" s="33" t="n">
        <f aca="false">SUMIF('Hiring plan'!$B$5:$B$32,"Leadership",AR39:AR66)+0</f>
        <v>7976036.25</v>
      </c>
      <c r="AS98" s="33" t="n">
        <f aca="false">SUMIF('Hiring plan'!$B$5:$B$32,"Leadership",AS39:AS66)+0</f>
        <v>7976036.25</v>
      </c>
      <c r="AT98" s="33" t="n">
        <f aca="false">SUMIF('Hiring plan'!$B$5:$B$32,"Leadership",AT39:AT66)+0</f>
        <v>7976036.25</v>
      </c>
      <c r="AU98" s="33" t="n">
        <f aca="false">SUMIF('Hiring plan'!$B$5:$B$32,"Leadership",AU39:AU66)+0</f>
        <v>7976036.25</v>
      </c>
      <c r="AV98" s="33" t="n">
        <f aca="false">SUMIF('Hiring plan'!$B$5:$B$32,"Leadership",AV39:AV66)+0</f>
        <v>7976036.25</v>
      </c>
      <c r="AW98" s="33" t="n">
        <f aca="false">SUMIF('Hiring plan'!$B$5:$B$32,"Leadership",AW39:AW66)+0</f>
        <v>7976036.25</v>
      </c>
      <c r="AX98" s="33" t="n">
        <f aca="false">SUMIF('Hiring plan'!$B$5:$B$32,"Leadership",AX39:AX66)+0</f>
        <v>7976036.25</v>
      </c>
      <c r="AY98" s="33" t="n">
        <f aca="false">SUMIF('Hiring plan'!$B$5:$B$32,"Leadership",AY39:AY66)+0</f>
        <v>7976036.25</v>
      </c>
      <c r="AZ98" s="33" t="n">
        <f aca="false">SUMIF('Hiring plan'!$B$5:$B$32,"Leadership",AZ39:AZ66)+0</f>
        <v>7976036.25</v>
      </c>
      <c r="BA98" s="33" t="n">
        <f aca="false">SUMIF('Hiring plan'!$B$5:$B$32,"Leadership",BA39:BA66)+0</f>
        <v>8374838.0625</v>
      </c>
      <c r="BB98" s="33" t="n">
        <f aca="false">SUMIF('Hiring plan'!$B$5:$B$32,"Leadership",BB39:BB66)+0</f>
        <v>8374838.0625</v>
      </c>
      <c r="BC98" s="33" t="n">
        <f aca="false">SUMIF('Hiring plan'!$B$5:$B$32,"Leadership",BC39:BC66)+0</f>
        <v>8374838.0625</v>
      </c>
      <c r="BD98" s="33" t="n">
        <f aca="false">SUMIF('Hiring plan'!$B$5:$B$32,"Leadership",BD39:BD66)+0</f>
        <v>8374838.0625</v>
      </c>
      <c r="BE98" s="33" t="n">
        <f aca="false">SUMIF('Hiring plan'!$B$5:$B$32,"Leadership",BE39:BE66)+0</f>
        <v>8374838.0625</v>
      </c>
      <c r="BF98" s="33" t="n">
        <f aca="false">SUMIF('Hiring plan'!$B$5:$B$32,"Leadership",BF39:BF66)+0</f>
        <v>8374838.0625</v>
      </c>
      <c r="BG98" s="33" t="n">
        <f aca="false">SUMIF('Hiring plan'!$B$5:$B$32,"Leadership",BG39:BG66)+0</f>
        <v>8374838.0625</v>
      </c>
      <c r="BH98" s="33" t="n">
        <f aca="false">SUMIF('Hiring plan'!$B$5:$B$32,"Leadership",BH39:BH66)+0</f>
        <v>8374838.0625</v>
      </c>
      <c r="BI98" s="33" t="n">
        <f aca="false">SUMIF('Hiring plan'!$B$5:$B$32,"Leadership",BI39:BI66)+0</f>
        <v>8374838.0625</v>
      </c>
      <c r="BJ98" s="33" t="n">
        <f aca="false">SUMIF('Hiring plan'!$B$5:$B$32,"Leadership",BJ39:BJ66)+0</f>
        <v>8374838.0625</v>
      </c>
      <c r="BK98" s="33" t="n">
        <f aca="false">SUMIF('Hiring plan'!$B$5:$B$32,"Leadership",BK39:BK66)+0</f>
        <v>8374838.0625</v>
      </c>
      <c r="BL98" s="33" t="n">
        <f aca="false">SUMIF('Hiring plan'!$B$5:$B$32,"Leadership",BL39:BL66)+0</f>
        <v>8374838.0625</v>
      </c>
    </row>
    <row r="99" customFormat="false" ht="15" hidden="false" customHeight="true" outlineLevel="0" collapsed="false">
      <c r="A99" s="13" t="s">
        <v>1166</v>
      </c>
      <c r="B99" s="15" t="s">
        <v>77</v>
      </c>
      <c r="D99" s="56" t="n">
        <f aca="false">SUM(E99:BL99)</f>
        <v>553525927.5</v>
      </c>
      <c r="E99" s="33" t="n">
        <f aca="false">SUMIF('Hiring plan'!$B$5:$B$32,"Engineering &amp; product",E39:E66)+E75</f>
        <v>6370000</v>
      </c>
      <c r="F99" s="33" t="n">
        <f aca="false">SUMIF('Hiring plan'!$B$5:$B$32,"Engineering &amp; product",F39:F66)+F75</f>
        <v>6370000</v>
      </c>
      <c r="G99" s="33" t="n">
        <f aca="false">SUMIF('Hiring plan'!$B$5:$B$32,"Engineering &amp; product",G39:G66)+G75</f>
        <v>6370000</v>
      </c>
      <c r="H99" s="33" t="n">
        <f aca="false">SUMIF('Hiring plan'!$B$5:$B$32,"Engineering &amp; product",H39:H66)+H75</f>
        <v>6370000</v>
      </c>
      <c r="I99" s="33" t="n">
        <f aca="false">SUMIF('Hiring plan'!$B$5:$B$32,"Engineering &amp; product",I39:I66)+I75</f>
        <v>6370000</v>
      </c>
      <c r="J99" s="33" t="n">
        <f aca="false">SUMIF('Hiring plan'!$B$5:$B$32,"Engineering &amp; product",J39:J66)+J75</f>
        <v>6370000</v>
      </c>
      <c r="K99" s="33" t="n">
        <f aca="false">SUMIF('Hiring plan'!$B$5:$B$32,"Engineering &amp; product",K39:K66)+K75</f>
        <v>6370000</v>
      </c>
      <c r="L99" s="33" t="n">
        <f aca="false">SUMIF('Hiring plan'!$B$5:$B$32,"Engineering &amp; product",L39:L66)+L75</f>
        <v>6370000</v>
      </c>
      <c r="M99" s="33" t="n">
        <f aca="false">SUMIF('Hiring plan'!$B$5:$B$32,"Engineering &amp; product",M39:M66)+M75</f>
        <v>6370000</v>
      </c>
      <c r="N99" s="33" t="n">
        <f aca="false">SUMIF('Hiring plan'!$B$5:$B$32,"Engineering &amp; product",N39:N66)+N75</f>
        <v>6370000</v>
      </c>
      <c r="O99" s="33" t="n">
        <f aca="false">SUMIF('Hiring plan'!$B$5:$B$32,"Engineering &amp; product",O39:O66)+O75</f>
        <v>6370000</v>
      </c>
      <c r="P99" s="33" t="n">
        <f aca="false">SUMIF('Hiring plan'!$B$5:$B$32,"Engineering &amp; product",P39:P66)+P75</f>
        <v>6370000</v>
      </c>
      <c r="Q99" s="33" t="n">
        <f aca="false">SUMIF('Hiring plan'!$B$5:$B$32,"Engineering &amp; product",Q39:Q66)+Q75</f>
        <v>6688500</v>
      </c>
      <c r="R99" s="33" t="n">
        <f aca="false">SUMIF('Hiring plan'!$B$5:$B$32,"Engineering &amp; product",R39:R66)+R75</f>
        <v>6688500</v>
      </c>
      <c r="S99" s="33" t="n">
        <f aca="false">SUMIF('Hiring plan'!$B$5:$B$32,"Engineering &amp; product",S39:S66)+S75</f>
        <v>6688500</v>
      </c>
      <c r="T99" s="33" t="n">
        <f aca="false">SUMIF('Hiring plan'!$B$5:$B$32,"Engineering &amp; product",T39:T66)+T75</f>
        <v>6688500</v>
      </c>
      <c r="U99" s="33" t="n">
        <f aca="false">SUMIF('Hiring plan'!$B$5:$B$32,"Engineering &amp; product",U39:U66)+U75</f>
        <v>6688500</v>
      </c>
      <c r="V99" s="33" t="n">
        <f aca="false">SUMIF('Hiring plan'!$B$5:$B$32,"Engineering &amp; product",V39:V66)+V75</f>
        <v>6688500</v>
      </c>
      <c r="W99" s="33" t="n">
        <f aca="false">SUMIF('Hiring plan'!$B$5:$B$32,"Engineering &amp; product",W39:W66)+W75</f>
        <v>6688500</v>
      </c>
      <c r="X99" s="33" t="n">
        <f aca="false">SUMIF('Hiring plan'!$B$5:$B$32,"Engineering &amp; product",X39:X66)+X75</f>
        <v>6688500</v>
      </c>
      <c r="Y99" s="33" t="n">
        <f aca="false">SUMIF('Hiring plan'!$B$5:$B$32,"Engineering &amp; product",Y39:Y66)+Y75</f>
        <v>6688500</v>
      </c>
      <c r="Z99" s="33" t="n">
        <f aca="false">SUMIF('Hiring plan'!$B$5:$B$32,"Engineering &amp; product",Z39:Z66)+Z75</f>
        <v>6688500</v>
      </c>
      <c r="AA99" s="33" t="n">
        <f aca="false">SUMIF('Hiring plan'!$B$5:$B$32,"Engineering &amp; product",AA39:AA66)+AA75</f>
        <v>6688500</v>
      </c>
      <c r="AB99" s="33" t="n">
        <f aca="false">SUMIF('Hiring plan'!$B$5:$B$32,"Engineering &amp; product",AB39:AB66)+AB75</f>
        <v>6688500</v>
      </c>
      <c r="AC99" s="33" t="n">
        <f aca="false">SUMIF('Hiring plan'!$B$5:$B$32,"Engineering &amp; product",AC39:AC66)+AC75</f>
        <v>7022925</v>
      </c>
      <c r="AD99" s="33" t="n">
        <f aca="false">SUMIF('Hiring plan'!$B$5:$B$32,"Engineering &amp; product",AD39:AD66)+AD75</f>
        <v>7022925</v>
      </c>
      <c r="AE99" s="33" t="n">
        <f aca="false">SUMIF('Hiring plan'!$B$5:$B$32,"Engineering &amp; product",AE39:AE66)+AE75</f>
        <v>7022925</v>
      </c>
      <c r="AF99" s="33" t="n">
        <f aca="false">SUMIF('Hiring plan'!$B$5:$B$32,"Engineering &amp; product",AF39:AF66)+AF75</f>
        <v>8742825</v>
      </c>
      <c r="AG99" s="33" t="n">
        <f aca="false">SUMIF('Hiring plan'!$B$5:$B$32,"Engineering &amp; product",AG39:AG66)+AG75</f>
        <v>8742825</v>
      </c>
      <c r="AH99" s="33" t="n">
        <f aca="false">SUMIF('Hiring plan'!$B$5:$B$32,"Engineering &amp; product",AH39:AH66)+AH75</f>
        <v>8742825</v>
      </c>
      <c r="AI99" s="33" t="n">
        <f aca="false">SUMIF('Hiring plan'!$B$5:$B$32,"Engineering &amp; product",AI39:AI66)+AI75</f>
        <v>8742825</v>
      </c>
      <c r="AJ99" s="33" t="n">
        <f aca="false">SUMIF('Hiring plan'!$B$5:$B$32,"Engineering &amp; product",AJ39:AJ66)+AJ75</f>
        <v>8742825</v>
      </c>
      <c r="AK99" s="33" t="n">
        <f aca="false">SUMIF('Hiring plan'!$B$5:$B$32,"Engineering &amp; product",AK39:AK66)+AK75</f>
        <v>8742825</v>
      </c>
      <c r="AL99" s="33" t="n">
        <f aca="false">SUMIF('Hiring plan'!$B$5:$B$32,"Engineering &amp; product",AL39:AL66)+AL75</f>
        <v>8742825</v>
      </c>
      <c r="AM99" s="33" t="n">
        <f aca="false">SUMIF('Hiring plan'!$B$5:$B$32,"Engineering &amp; product",AM39:AM66)+AM75</f>
        <v>8742825</v>
      </c>
      <c r="AN99" s="33" t="n">
        <f aca="false">SUMIF('Hiring plan'!$B$5:$B$32,"Engineering &amp; product",AN39:AN66)+AN75</f>
        <v>8742825</v>
      </c>
      <c r="AO99" s="33" t="n">
        <f aca="false">SUMIF('Hiring plan'!$B$5:$B$32,"Engineering &amp; product",AO39:AO66)+AO75</f>
        <v>9179966.25</v>
      </c>
      <c r="AP99" s="33" t="n">
        <f aca="false">SUMIF('Hiring plan'!$B$5:$B$32,"Engineering &amp; product",AP39:AP66)+AP75</f>
        <v>9179966.25</v>
      </c>
      <c r="AQ99" s="33" t="n">
        <f aca="false">SUMIF('Hiring plan'!$B$5:$B$32,"Engineering &amp; product",AQ39:AQ66)+AQ75</f>
        <v>9179966.25</v>
      </c>
      <c r="AR99" s="33" t="n">
        <f aca="false">SUMIF('Hiring plan'!$B$5:$B$32,"Engineering &amp; product",AR39:AR66)+AR75</f>
        <v>10985861.25</v>
      </c>
      <c r="AS99" s="33" t="n">
        <f aca="false">SUMIF('Hiring plan'!$B$5:$B$32,"Engineering &amp; product",AS39:AS66)+AS75</f>
        <v>10985861.25</v>
      </c>
      <c r="AT99" s="33" t="n">
        <f aca="false">SUMIF('Hiring plan'!$B$5:$B$32,"Engineering &amp; product",AT39:AT66)+AT75</f>
        <v>10985861.25</v>
      </c>
      <c r="AU99" s="33" t="n">
        <f aca="false">SUMIF('Hiring plan'!$B$5:$B$32,"Engineering &amp; product",AU39:AU66)+AU75</f>
        <v>10985861.25</v>
      </c>
      <c r="AV99" s="33" t="n">
        <f aca="false">SUMIF('Hiring plan'!$B$5:$B$32,"Engineering &amp; product",AV39:AV66)+AV75</f>
        <v>10985861.25</v>
      </c>
      <c r="AW99" s="33" t="n">
        <f aca="false">SUMIF('Hiring plan'!$B$5:$B$32,"Engineering &amp; product",AW39:AW66)+AW75</f>
        <v>10985861.25</v>
      </c>
      <c r="AX99" s="33" t="n">
        <f aca="false">SUMIF('Hiring plan'!$B$5:$B$32,"Engineering &amp; product",AX39:AX66)+AX75</f>
        <v>10985861.25</v>
      </c>
      <c r="AY99" s="33" t="n">
        <f aca="false">SUMIF('Hiring plan'!$B$5:$B$32,"Engineering &amp; product",AY39:AY66)+AY75</f>
        <v>10985861.25</v>
      </c>
      <c r="AZ99" s="33" t="n">
        <f aca="false">SUMIF('Hiring plan'!$B$5:$B$32,"Engineering &amp; product",AZ39:AZ66)+AZ75</f>
        <v>10985861.25</v>
      </c>
      <c r="BA99" s="33" t="n">
        <f aca="false">SUMIF('Hiring plan'!$B$5:$B$32,"Engineering &amp; product",BA39:BA66)+BA75</f>
        <v>13431344.0625</v>
      </c>
      <c r="BB99" s="33" t="n">
        <f aca="false">SUMIF('Hiring plan'!$B$5:$B$32,"Engineering &amp; product",BB39:BB66)+BB75</f>
        <v>13431344.0625</v>
      </c>
      <c r="BC99" s="33" t="n">
        <f aca="false">SUMIF('Hiring plan'!$B$5:$B$32,"Engineering &amp; product",BC39:BC66)+BC75</f>
        <v>13431344.0625</v>
      </c>
      <c r="BD99" s="33" t="n">
        <f aca="false">SUMIF('Hiring plan'!$B$5:$B$32,"Engineering &amp; product",BD39:BD66)+BD75</f>
        <v>13431344.0625</v>
      </c>
      <c r="BE99" s="33" t="n">
        <f aca="false">SUMIF('Hiring plan'!$B$5:$B$32,"Engineering &amp; product",BE39:BE66)+BE75</f>
        <v>13431344.0625</v>
      </c>
      <c r="BF99" s="33" t="n">
        <f aca="false">SUMIF('Hiring plan'!$B$5:$B$32,"Engineering &amp; product",BF39:BF66)+BF75</f>
        <v>13431344.0625</v>
      </c>
      <c r="BG99" s="33" t="n">
        <f aca="false">SUMIF('Hiring plan'!$B$5:$B$32,"Engineering &amp; product",BG39:BG66)+BG75</f>
        <v>13431344.0625</v>
      </c>
      <c r="BH99" s="33" t="n">
        <f aca="false">SUMIF('Hiring plan'!$B$5:$B$32,"Engineering &amp; product",BH39:BH66)+BH75</f>
        <v>15327533.8125</v>
      </c>
      <c r="BI99" s="33" t="n">
        <f aca="false">SUMIF('Hiring plan'!$B$5:$B$32,"Engineering &amp; product",BI39:BI66)+BI75</f>
        <v>15327533.8125</v>
      </c>
      <c r="BJ99" s="33" t="n">
        <f aca="false">SUMIF('Hiring plan'!$B$5:$B$32,"Engineering &amp; product",BJ39:BJ66)+BJ75</f>
        <v>15327533.8125</v>
      </c>
      <c r="BK99" s="33" t="n">
        <f aca="false">SUMIF('Hiring plan'!$B$5:$B$32,"Engineering &amp; product",BK39:BK66)+BK75</f>
        <v>15327533.8125</v>
      </c>
      <c r="BL99" s="33" t="n">
        <f aca="false">SUMIF('Hiring plan'!$B$5:$B$32,"Engineering &amp; product",BL39:BL66)+BL75</f>
        <v>15327533.8125</v>
      </c>
    </row>
    <row r="100" customFormat="false" ht="15" hidden="false" customHeight="true" outlineLevel="0" collapsed="false">
      <c r="A100" s="13" t="s">
        <v>1167</v>
      </c>
      <c r="B100" s="15" t="s">
        <v>77</v>
      </c>
      <c r="D100" s="56" t="n">
        <f aca="false">SUM(E100:BL100)</f>
        <v>83377271.25</v>
      </c>
      <c r="E100" s="33" t="n">
        <f aca="false">SUMIF('Hiring plan'!$B$5:$B$32,"Compliance &amp; risk",E39:E66)+0</f>
        <v>0</v>
      </c>
      <c r="F100" s="33" t="n">
        <f aca="false">SUMIF('Hiring plan'!$B$5:$B$32,"Compliance &amp; risk",F39:F66)+0</f>
        <v>0</v>
      </c>
      <c r="G100" s="33" t="n">
        <f aca="false">SUMIF('Hiring plan'!$B$5:$B$32,"Compliance &amp; risk",G39:G66)+0</f>
        <v>0</v>
      </c>
      <c r="H100" s="33" t="n">
        <f aca="false">SUMIF('Hiring plan'!$B$5:$B$32,"Compliance &amp; risk",H39:H66)+0</f>
        <v>0</v>
      </c>
      <c r="I100" s="33" t="n">
        <f aca="false">SUMIF('Hiring plan'!$B$5:$B$32,"Compliance &amp; risk",I39:I66)+0</f>
        <v>0</v>
      </c>
      <c r="J100" s="33" t="n">
        <f aca="false">SUMIF('Hiring plan'!$B$5:$B$32,"Compliance &amp; risk",J39:J66)+0</f>
        <v>0</v>
      </c>
      <c r="K100" s="33" t="n">
        <f aca="false">SUMIF('Hiring plan'!$B$5:$B$32,"Compliance &amp; risk",K39:K66)+0</f>
        <v>0</v>
      </c>
      <c r="L100" s="33" t="n">
        <f aca="false">SUMIF('Hiring plan'!$B$5:$B$32,"Compliance &amp; risk",L39:L66)+0</f>
        <v>0</v>
      </c>
      <c r="M100" s="33" t="n">
        <f aca="false">SUMIF('Hiring plan'!$B$5:$B$32,"Compliance &amp; risk",M39:M66)+0</f>
        <v>0</v>
      </c>
      <c r="N100" s="33" t="n">
        <f aca="false">SUMIF('Hiring plan'!$B$5:$B$32,"Compliance &amp; risk",N39:N66)+0</f>
        <v>0</v>
      </c>
      <c r="O100" s="33" t="n">
        <f aca="false">SUMIF('Hiring plan'!$B$5:$B$32,"Compliance &amp; risk",O39:O66)+0</f>
        <v>0</v>
      </c>
      <c r="P100" s="33" t="n">
        <f aca="false">SUMIF('Hiring plan'!$B$5:$B$32,"Compliance &amp; risk",P39:P66)+0</f>
        <v>0</v>
      </c>
      <c r="Q100" s="33" t="n">
        <f aca="false">SUMIF('Hiring plan'!$B$5:$B$32,"Compliance &amp; risk",Q39:Q66)+0</f>
        <v>0</v>
      </c>
      <c r="R100" s="33" t="n">
        <f aca="false">SUMIF('Hiring plan'!$B$5:$B$32,"Compliance &amp; risk",R39:R66)+0</f>
        <v>0</v>
      </c>
      <c r="S100" s="33" t="n">
        <f aca="false">SUMIF('Hiring plan'!$B$5:$B$32,"Compliance &amp; risk",S39:S66)+0</f>
        <v>0</v>
      </c>
      <c r="T100" s="33" t="n">
        <f aca="false">SUMIF('Hiring plan'!$B$5:$B$32,"Compliance &amp; risk",T39:T66)+0</f>
        <v>0</v>
      </c>
      <c r="U100" s="33" t="n">
        <f aca="false">SUMIF('Hiring plan'!$B$5:$B$32,"Compliance &amp; risk",U39:U66)+0</f>
        <v>0</v>
      </c>
      <c r="V100" s="33" t="n">
        <f aca="false">SUMIF('Hiring plan'!$B$5:$B$32,"Compliance &amp; risk",V39:V66)+0</f>
        <v>0</v>
      </c>
      <c r="W100" s="33" t="n">
        <f aca="false">SUMIF('Hiring plan'!$B$5:$B$32,"Compliance &amp; risk",W39:W66)+0</f>
        <v>0</v>
      </c>
      <c r="X100" s="33" t="n">
        <f aca="false">SUMIF('Hiring plan'!$B$5:$B$32,"Compliance &amp; risk",X39:X66)+0</f>
        <v>0</v>
      </c>
      <c r="Y100" s="33" t="n">
        <f aca="false">SUMIF('Hiring plan'!$B$5:$B$32,"Compliance &amp; risk",Y39:Y66)+0</f>
        <v>0</v>
      </c>
      <c r="Z100" s="33" t="n">
        <f aca="false">SUMIF('Hiring plan'!$B$5:$B$32,"Compliance &amp; risk",Z39:Z66)+0</f>
        <v>0</v>
      </c>
      <c r="AA100" s="33" t="n">
        <f aca="false">SUMIF('Hiring plan'!$B$5:$B$32,"Compliance &amp; risk",AA39:AA66)+0</f>
        <v>0</v>
      </c>
      <c r="AB100" s="33" t="n">
        <f aca="false">SUMIF('Hiring plan'!$B$5:$B$32,"Compliance &amp; risk",AB39:AB66)+0</f>
        <v>2047500</v>
      </c>
      <c r="AC100" s="33" t="n">
        <f aca="false">SUMIF('Hiring plan'!$B$5:$B$32,"Compliance &amp; risk",AC39:AC66)+0</f>
        <v>2149875</v>
      </c>
      <c r="AD100" s="33" t="n">
        <f aca="false">SUMIF('Hiring plan'!$B$5:$B$32,"Compliance &amp; risk",AD39:AD66)+0</f>
        <v>2149875</v>
      </c>
      <c r="AE100" s="33" t="n">
        <f aca="false">SUMIF('Hiring plan'!$B$5:$B$32,"Compliance &amp; risk",AE39:AE66)+0</f>
        <v>2149875</v>
      </c>
      <c r="AF100" s="33" t="n">
        <f aca="false">SUMIF('Hiring plan'!$B$5:$B$32,"Compliance &amp; risk",AF39:AF66)+0</f>
        <v>2149875</v>
      </c>
      <c r="AG100" s="33" t="n">
        <f aca="false">SUMIF('Hiring plan'!$B$5:$B$32,"Compliance &amp; risk",AG39:AG66)+0</f>
        <v>2149875</v>
      </c>
      <c r="AH100" s="33" t="n">
        <f aca="false">SUMIF('Hiring plan'!$B$5:$B$32,"Compliance &amp; risk",AH39:AH66)+0</f>
        <v>2149875</v>
      </c>
      <c r="AI100" s="33" t="n">
        <f aca="false">SUMIF('Hiring plan'!$B$5:$B$32,"Compliance &amp; risk",AI39:AI66)+0</f>
        <v>2149875</v>
      </c>
      <c r="AJ100" s="33" t="n">
        <f aca="false">SUMIF('Hiring plan'!$B$5:$B$32,"Compliance &amp; risk",AJ39:AJ66)+0</f>
        <v>2149875</v>
      </c>
      <c r="AK100" s="33" t="n">
        <f aca="false">SUMIF('Hiring plan'!$B$5:$B$32,"Compliance &amp; risk",AK39:AK66)+0</f>
        <v>2149875</v>
      </c>
      <c r="AL100" s="33" t="n">
        <f aca="false">SUMIF('Hiring plan'!$B$5:$B$32,"Compliance &amp; risk",AL39:AL66)+0</f>
        <v>2149875</v>
      </c>
      <c r="AM100" s="33" t="n">
        <f aca="false">SUMIF('Hiring plan'!$B$5:$B$32,"Compliance &amp; risk",AM39:AM66)+0</f>
        <v>2149875</v>
      </c>
      <c r="AN100" s="33" t="n">
        <f aca="false">SUMIF('Hiring plan'!$B$5:$B$32,"Compliance &amp; risk",AN39:AN66)+0</f>
        <v>2149875</v>
      </c>
      <c r="AO100" s="33" t="n">
        <f aca="false">SUMIF('Hiring plan'!$B$5:$B$32,"Compliance &amp; risk",AO39:AO66)+0</f>
        <v>2257368.75</v>
      </c>
      <c r="AP100" s="33" t="n">
        <f aca="false">SUMIF('Hiring plan'!$B$5:$B$32,"Compliance &amp; risk",AP39:AP66)+0</f>
        <v>2257368.75</v>
      </c>
      <c r="AQ100" s="33" t="n">
        <f aca="false">SUMIF('Hiring plan'!$B$5:$B$32,"Compliance &amp; risk",AQ39:AQ66)+0</f>
        <v>2257368.75</v>
      </c>
      <c r="AR100" s="33" t="n">
        <f aca="false">SUMIF('Hiring plan'!$B$5:$B$32,"Compliance &amp; risk",AR39:AR66)+0</f>
        <v>2257368.75</v>
      </c>
      <c r="AS100" s="33" t="n">
        <f aca="false">SUMIF('Hiring plan'!$B$5:$B$32,"Compliance &amp; risk",AS39:AS66)+0</f>
        <v>2257368.75</v>
      </c>
      <c r="AT100" s="33" t="n">
        <f aca="false">SUMIF('Hiring plan'!$B$5:$B$32,"Compliance &amp; risk",AT39:AT66)+0</f>
        <v>2257368.75</v>
      </c>
      <c r="AU100" s="33" t="n">
        <f aca="false">SUMIF('Hiring plan'!$B$5:$B$32,"Compliance &amp; risk",AU39:AU66)+0</f>
        <v>2257368.75</v>
      </c>
      <c r="AV100" s="33" t="n">
        <f aca="false">SUMIF('Hiring plan'!$B$5:$B$32,"Compliance &amp; risk",AV39:AV66)+0</f>
        <v>2257368.75</v>
      </c>
      <c r="AW100" s="33" t="n">
        <f aca="false">SUMIF('Hiring plan'!$B$5:$B$32,"Compliance &amp; risk",AW39:AW66)+0</f>
        <v>2257368.75</v>
      </c>
      <c r="AX100" s="33" t="n">
        <f aca="false">SUMIF('Hiring plan'!$B$5:$B$32,"Compliance &amp; risk",AX39:AX66)+0</f>
        <v>2257368.75</v>
      </c>
      <c r="AY100" s="33" t="n">
        <f aca="false">SUMIF('Hiring plan'!$B$5:$B$32,"Compliance &amp; risk",AY39:AY66)+0</f>
        <v>2257368.75</v>
      </c>
      <c r="AZ100" s="33" t="n">
        <f aca="false">SUMIF('Hiring plan'!$B$5:$B$32,"Compliance &amp; risk",AZ39:AZ66)+0</f>
        <v>2257368.75</v>
      </c>
      <c r="BA100" s="33" t="n">
        <f aca="false">SUMIF('Hiring plan'!$B$5:$B$32,"Compliance &amp; risk",BA39:BA66)+0</f>
        <v>2370237.1875</v>
      </c>
      <c r="BB100" s="33" t="n">
        <f aca="false">SUMIF('Hiring plan'!$B$5:$B$32,"Compliance &amp; risk",BB39:BB66)+0</f>
        <v>2370237.1875</v>
      </c>
      <c r="BC100" s="33" t="n">
        <f aca="false">SUMIF('Hiring plan'!$B$5:$B$32,"Compliance &amp; risk",BC39:BC66)+0</f>
        <v>2370237.1875</v>
      </c>
      <c r="BD100" s="33" t="n">
        <f aca="false">SUMIF('Hiring plan'!$B$5:$B$32,"Compliance &amp; risk",BD39:BD66)+0</f>
        <v>2370237.1875</v>
      </c>
      <c r="BE100" s="33" t="n">
        <f aca="false">SUMIF('Hiring plan'!$B$5:$B$32,"Compliance &amp; risk",BE39:BE66)+0</f>
        <v>2370237.1875</v>
      </c>
      <c r="BF100" s="33" t="n">
        <f aca="false">SUMIF('Hiring plan'!$B$5:$B$32,"Compliance &amp; risk",BF39:BF66)+0</f>
        <v>2370237.1875</v>
      </c>
      <c r="BG100" s="33" t="n">
        <f aca="false">SUMIF('Hiring plan'!$B$5:$B$32,"Compliance &amp; risk",BG39:BG66)+0</f>
        <v>2370237.1875</v>
      </c>
      <c r="BH100" s="33" t="n">
        <f aca="false">SUMIF('Hiring plan'!$B$5:$B$32,"Compliance &amp; risk",BH39:BH66)+0</f>
        <v>2370237.1875</v>
      </c>
      <c r="BI100" s="33" t="n">
        <f aca="false">SUMIF('Hiring plan'!$B$5:$B$32,"Compliance &amp; risk",BI39:BI66)+0</f>
        <v>2370237.1875</v>
      </c>
      <c r="BJ100" s="33" t="n">
        <f aca="false">SUMIF('Hiring plan'!$B$5:$B$32,"Compliance &amp; risk",BJ39:BJ66)+0</f>
        <v>2370237.1875</v>
      </c>
      <c r="BK100" s="33" t="n">
        <f aca="false">SUMIF('Hiring plan'!$B$5:$B$32,"Compliance &amp; risk",BK39:BK66)+0</f>
        <v>2370237.1875</v>
      </c>
      <c r="BL100" s="33" t="n">
        <f aca="false">SUMIF('Hiring plan'!$B$5:$B$32,"Compliance &amp; risk",BL39:BL66)+0</f>
        <v>2370237.1875</v>
      </c>
    </row>
    <row r="101" customFormat="false" ht="15" hidden="false" customHeight="true" outlineLevel="0" collapsed="false">
      <c r="A101" s="13" t="s">
        <v>1168</v>
      </c>
      <c r="B101" s="15" t="s">
        <v>77</v>
      </c>
      <c r="D101" s="56" t="n">
        <f aca="false">SUM(E101:BL101)</f>
        <v>149092909.875</v>
      </c>
      <c r="E101" s="33" t="n">
        <f aca="false">SUMIF('Hiring plan'!$B$5:$B$32,"Credit",E39:E66)+E78</f>
        <v>0</v>
      </c>
      <c r="F101" s="33" t="n">
        <f aca="false">SUMIF('Hiring plan'!$B$5:$B$32,"Credit",F39:F66)+F78</f>
        <v>0</v>
      </c>
      <c r="G101" s="33" t="n">
        <f aca="false">SUMIF('Hiring plan'!$B$5:$B$32,"Credit",G39:G66)+G78</f>
        <v>0</v>
      </c>
      <c r="H101" s="33" t="n">
        <f aca="false">SUMIF('Hiring plan'!$B$5:$B$32,"Credit",H39:H66)+H78</f>
        <v>0</v>
      </c>
      <c r="I101" s="33" t="n">
        <f aca="false">SUMIF('Hiring plan'!$B$5:$B$32,"Credit",I39:I66)+I78</f>
        <v>0</v>
      </c>
      <c r="J101" s="33" t="n">
        <f aca="false">SUMIF('Hiring plan'!$B$5:$B$32,"Credit",J39:J66)+J78</f>
        <v>0</v>
      </c>
      <c r="K101" s="33" t="n">
        <f aca="false">SUMIF('Hiring plan'!$B$5:$B$32,"Credit",K39:K66)+K78</f>
        <v>0</v>
      </c>
      <c r="L101" s="33" t="n">
        <f aca="false">SUMIF('Hiring plan'!$B$5:$B$32,"Credit",L39:L66)+L78</f>
        <v>0</v>
      </c>
      <c r="M101" s="33" t="n">
        <f aca="false">SUMIF('Hiring plan'!$B$5:$B$32,"Credit",M39:M66)+M78</f>
        <v>0</v>
      </c>
      <c r="N101" s="33" t="n">
        <f aca="false">SUMIF('Hiring plan'!$B$5:$B$32,"Credit",N39:N66)+N78</f>
        <v>0</v>
      </c>
      <c r="O101" s="33" t="n">
        <f aca="false">SUMIF('Hiring plan'!$B$5:$B$32,"Credit",O39:O66)+O78</f>
        <v>0</v>
      </c>
      <c r="P101" s="33" t="n">
        <f aca="false">SUMIF('Hiring plan'!$B$5:$B$32,"Credit",P39:P66)+P78</f>
        <v>0</v>
      </c>
      <c r="Q101" s="33" t="n">
        <f aca="false">SUMIF('Hiring plan'!$B$5:$B$32,"Credit",Q39:Q66)+Q78</f>
        <v>0</v>
      </c>
      <c r="R101" s="33" t="n">
        <f aca="false">SUMIF('Hiring plan'!$B$5:$B$32,"Credit",R39:R66)+R78</f>
        <v>0</v>
      </c>
      <c r="S101" s="33" t="n">
        <f aca="false">SUMIF('Hiring plan'!$B$5:$B$32,"Credit",S39:S66)+S78</f>
        <v>0</v>
      </c>
      <c r="T101" s="33" t="n">
        <f aca="false">SUMIF('Hiring plan'!$B$5:$B$32,"Credit",T39:T66)+T78</f>
        <v>819000</v>
      </c>
      <c r="U101" s="33" t="n">
        <f aca="false">SUMIF('Hiring plan'!$B$5:$B$32,"Credit",U39:U66)+U78</f>
        <v>819000</v>
      </c>
      <c r="V101" s="33" t="n">
        <f aca="false">SUMIF('Hiring plan'!$B$5:$B$32,"Credit",V39:V66)+V78</f>
        <v>819000</v>
      </c>
      <c r="W101" s="33" t="n">
        <f aca="false">SUMIF('Hiring plan'!$B$5:$B$32,"Credit",W39:W66)+W78</f>
        <v>819000</v>
      </c>
      <c r="X101" s="33" t="n">
        <f aca="false">SUMIF('Hiring plan'!$B$5:$B$32,"Credit",X39:X66)+X78</f>
        <v>819000</v>
      </c>
      <c r="Y101" s="33" t="n">
        <f aca="false">SUMIF('Hiring plan'!$B$5:$B$32,"Credit",Y39:Y66)+Y78</f>
        <v>819000</v>
      </c>
      <c r="Z101" s="33" t="n">
        <f aca="false">SUMIF('Hiring plan'!$B$5:$B$32,"Credit",Z39:Z66)+Z78</f>
        <v>819000</v>
      </c>
      <c r="AA101" s="33" t="n">
        <f aca="false">SUMIF('Hiring plan'!$B$5:$B$32,"Credit",AA39:AA66)+AA78</f>
        <v>819000</v>
      </c>
      <c r="AB101" s="33" t="n">
        <f aca="false">SUMIF('Hiring plan'!$B$5:$B$32,"Credit",AB39:AB66)+AB78</f>
        <v>819000</v>
      </c>
      <c r="AC101" s="33" t="n">
        <f aca="false">SUMIF('Hiring plan'!$B$5:$B$32,"Credit",AC39:AC66)+AC78</f>
        <v>859950</v>
      </c>
      <c r="AD101" s="33" t="n">
        <f aca="false">SUMIF('Hiring plan'!$B$5:$B$32,"Credit",AD39:AD66)+AD78</f>
        <v>859950</v>
      </c>
      <c r="AE101" s="33" t="n">
        <f aca="false">SUMIF('Hiring plan'!$B$5:$B$32,"Credit",AE39:AE66)+AE78</f>
        <v>859950</v>
      </c>
      <c r="AF101" s="33" t="n">
        <f aca="false">SUMIF('Hiring plan'!$B$5:$B$32,"Credit",AF39:AF66)+AF78</f>
        <v>859950</v>
      </c>
      <c r="AG101" s="33" t="n">
        <f aca="false">SUMIF('Hiring plan'!$B$5:$B$32,"Credit",AG39:AG66)+AG78</f>
        <v>1719900</v>
      </c>
      <c r="AH101" s="33" t="n">
        <f aca="false">SUMIF('Hiring plan'!$B$5:$B$32,"Credit",AH39:AH66)+AH78</f>
        <v>1719900</v>
      </c>
      <c r="AI101" s="33" t="n">
        <f aca="false">SUMIF('Hiring plan'!$B$5:$B$32,"Credit",AI39:AI66)+AI78</f>
        <v>1719900</v>
      </c>
      <c r="AJ101" s="33" t="n">
        <f aca="false">SUMIF('Hiring plan'!$B$5:$B$32,"Credit",AJ39:AJ66)+AJ78</f>
        <v>1719900</v>
      </c>
      <c r="AK101" s="33" t="n">
        <f aca="false">SUMIF('Hiring plan'!$B$5:$B$32,"Credit",AK39:AK66)+AK78</f>
        <v>1719900</v>
      </c>
      <c r="AL101" s="33" t="n">
        <f aca="false">SUMIF('Hiring plan'!$B$5:$B$32,"Credit",AL39:AL66)+AL78</f>
        <v>2579850</v>
      </c>
      <c r="AM101" s="33" t="n">
        <f aca="false">SUMIF('Hiring plan'!$B$5:$B$32,"Credit",AM39:AM66)+AM78</f>
        <v>2579850</v>
      </c>
      <c r="AN101" s="33" t="n">
        <f aca="false">SUMIF('Hiring plan'!$B$5:$B$32,"Credit",AN39:AN66)+AN78</f>
        <v>2579850</v>
      </c>
      <c r="AO101" s="33" t="n">
        <f aca="false">SUMIF('Hiring plan'!$B$5:$B$32,"Credit",AO39:AO66)+AO78</f>
        <v>2708842.5</v>
      </c>
      <c r="AP101" s="33" t="n">
        <f aca="false">SUMIF('Hiring plan'!$B$5:$B$32,"Credit",AP39:AP66)+AP78</f>
        <v>2708842.5</v>
      </c>
      <c r="AQ101" s="33" t="n">
        <f aca="false">SUMIF('Hiring plan'!$B$5:$B$32,"Credit",AQ39:AQ66)+AQ78</f>
        <v>3611790</v>
      </c>
      <c r="AR101" s="33" t="n">
        <f aca="false">SUMIF('Hiring plan'!$B$5:$B$32,"Credit",AR39:AR66)+AR78</f>
        <v>3611790</v>
      </c>
      <c r="AS101" s="33" t="n">
        <f aca="false">SUMIF('Hiring plan'!$B$5:$B$32,"Credit",AS39:AS66)+AS78</f>
        <v>3611790</v>
      </c>
      <c r="AT101" s="33" t="n">
        <f aca="false">SUMIF('Hiring plan'!$B$5:$B$32,"Credit",AT39:AT66)+AT78</f>
        <v>3611790</v>
      </c>
      <c r="AU101" s="33" t="n">
        <f aca="false">SUMIF('Hiring plan'!$B$5:$B$32,"Credit",AU39:AU66)+AU78</f>
        <v>3611790</v>
      </c>
      <c r="AV101" s="33" t="n">
        <f aca="false">SUMIF('Hiring plan'!$B$5:$B$32,"Credit",AV39:AV66)+AV78</f>
        <v>3611790</v>
      </c>
      <c r="AW101" s="33" t="n">
        <f aca="false">SUMIF('Hiring plan'!$B$5:$B$32,"Credit",AW39:AW66)+AW78</f>
        <v>4514737.5</v>
      </c>
      <c r="AX101" s="33" t="n">
        <f aca="false">SUMIF('Hiring plan'!$B$5:$B$32,"Credit",AX39:AX66)+AX78</f>
        <v>4514737.5</v>
      </c>
      <c r="AY101" s="33" t="n">
        <f aca="false">SUMIF('Hiring plan'!$B$5:$B$32,"Credit",AY39:AY66)+AY78</f>
        <v>4514737.5</v>
      </c>
      <c r="AZ101" s="33" t="n">
        <f aca="false">SUMIF('Hiring plan'!$B$5:$B$32,"Credit",AZ39:AZ66)+AZ78</f>
        <v>4514737.5</v>
      </c>
      <c r="BA101" s="33" t="n">
        <f aca="false">SUMIF('Hiring plan'!$B$5:$B$32,"Credit",BA39:BA66)+BA78</f>
        <v>4740474.375</v>
      </c>
      <c r="BB101" s="33" t="n">
        <f aca="false">SUMIF('Hiring plan'!$B$5:$B$32,"Credit",BB39:BB66)+BB78</f>
        <v>5688569.25</v>
      </c>
      <c r="BC101" s="33" t="n">
        <f aca="false">SUMIF('Hiring plan'!$B$5:$B$32,"Credit",BC39:BC66)+BC78</f>
        <v>5688569.25</v>
      </c>
      <c r="BD101" s="33" t="n">
        <f aca="false">SUMIF('Hiring plan'!$B$5:$B$32,"Credit",BD39:BD66)+BD78</f>
        <v>5688569.25</v>
      </c>
      <c r="BE101" s="33" t="n">
        <f aca="false">SUMIF('Hiring plan'!$B$5:$B$32,"Credit",BE39:BE66)+BE78</f>
        <v>5688569.25</v>
      </c>
      <c r="BF101" s="33" t="n">
        <f aca="false">SUMIF('Hiring plan'!$B$5:$B$32,"Credit",BF39:BF66)+BF78</f>
        <v>6636664.125</v>
      </c>
      <c r="BG101" s="33" t="n">
        <f aca="false">SUMIF('Hiring plan'!$B$5:$B$32,"Credit",BG39:BG66)+BG78</f>
        <v>6636664.125</v>
      </c>
      <c r="BH101" s="33" t="n">
        <f aca="false">SUMIF('Hiring plan'!$B$5:$B$32,"Credit",BH39:BH66)+BH78</f>
        <v>6636664.125</v>
      </c>
      <c r="BI101" s="33" t="n">
        <f aca="false">SUMIF('Hiring plan'!$B$5:$B$32,"Credit",BI39:BI66)+BI78</f>
        <v>6636664.125</v>
      </c>
      <c r="BJ101" s="33" t="n">
        <f aca="false">SUMIF('Hiring plan'!$B$5:$B$32,"Credit",BJ39:BJ66)+BJ78</f>
        <v>7584759</v>
      </c>
      <c r="BK101" s="33" t="n">
        <f aca="false">SUMIF('Hiring plan'!$B$5:$B$32,"Credit",BK39:BK66)+BK78</f>
        <v>7584759</v>
      </c>
      <c r="BL101" s="33" t="n">
        <f aca="false">SUMIF('Hiring plan'!$B$5:$B$32,"Credit",BL39:BL66)+BL78</f>
        <v>7584759</v>
      </c>
    </row>
    <row r="102" customFormat="false" ht="15" hidden="false" customHeight="true" outlineLevel="0" collapsed="false">
      <c r="A102" s="13" t="s">
        <v>1169</v>
      </c>
      <c r="B102" s="15" t="s">
        <v>77</v>
      </c>
      <c r="D102" s="56" t="n">
        <f aca="false">SUM(E102:BL102)</f>
        <v>250801974.15</v>
      </c>
      <c r="E102" s="33" t="n">
        <f aca="false">SUMIF('Hiring plan'!$B$5:$B$32,"Operations &amp; support",E39:E66)+E74</f>
        <v>0</v>
      </c>
      <c r="F102" s="33" t="n">
        <f aca="false">SUMIF('Hiring plan'!$B$5:$B$32,"Operations &amp; support",F39:F66)+F74</f>
        <v>0</v>
      </c>
      <c r="G102" s="33" t="n">
        <f aca="false">SUMIF('Hiring plan'!$B$5:$B$32,"Operations &amp; support",G39:G66)+G74</f>
        <v>0</v>
      </c>
      <c r="H102" s="33" t="n">
        <f aca="false">SUMIF('Hiring plan'!$B$5:$B$32,"Operations &amp; support",H39:H66)+H74</f>
        <v>728000</v>
      </c>
      <c r="I102" s="33" t="n">
        <f aca="false">SUMIF('Hiring plan'!$B$5:$B$32,"Operations &amp; support",I39:I66)+I74</f>
        <v>728000</v>
      </c>
      <c r="J102" s="33" t="n">
        <f aca="false">SUMIF('Hiring plan'!$B$5:$B$32,"Operations &amp; support",J39:J66)+J74</f>
        <v>728000</v>
      </c>
      <c r="K102" s="33" t="n">
        <f aca="false">SUMIF('Hiring plan'!$B$5:$B$32,"Operations &amp; support",K39:K66)+K74</f>
        <v>728000</v>
      </c>
      <c r="L102" s="33" t="n">
        <f aca="false">SUMIF('Hiring plan'!$B$5:$B$32,"Operations &amp; support",L39:L66)+L74</f>
        <v>728000</v>
      </c>
      <c r="M102" s="33" t="n">
        <f aca="false">SUMIF('Hiring plan'!$B$5:$B$32,"Operations &amp; support",M39:M66)+M74</f>
        <v>728000</v>
      </c>
      <c r="N102" s="33" t="n">
        <f aca="false">SUMIF('Hiring plan'!$B$5:$B$32,"Operations &amp; support",N39:N66)+N74</f>
        <v>728000</v>
      </c>
      <c r="O102" s="33" t="n">
        <f aca="false">SUMIF('Hiring plan'!$B$5:$B$32,"Operations &amp; support",O39:O66)+O74</f>
        <v>728000</v>
      </c>
      <c r="P102" s="33" t="n">
        <f aca="false">SUMIF('Hiring plan'!$B$5:$B$32,"Operations &amp; support",P39:P66)+P74</f>
        <v>728000</v>
      </c>
      <c r="Q102" s="33" t="n">
        <f aca="false">SUMIF('Hiring plan'!$B$5:$B$32,"Operations &amp; support",Q39:Q66)+Q74</f>
        <v>764400</v>
      </c>
      <c r="R102" s="33" t="n">
        <f aca="false">SUMIF('Hiring plan'!$B$5:$B$32,"Operations &amp; support",R39:R66)+R74</f>
        <v>764400</v>
      </c>
      <c r="S102" s="33" t="n">
        <f aca="false">SUMIF('Hiring plan'!$B$5:$B$32,"Operations &amp; support",S39:S66)+S74</f>
        <v>764400</v>
      </c>
      <c r="T102" s="33" t="n">
        <f aca="false">SUMIF('Hiring plan'!$B$5:$B$32,"Operations &amp; support",T39:T66)+T74</f>
        <v>764400</v>
      </c>
      <c r="U102" s="33" t="n">
        <f aca="false">SUMIF('Hiring plan'!$B$5:$B$32,"Operations &amp; support",U39:U66)+U74</f>
        <v>764400</v>
      </c>
      <c r="V102" s="33" t="n">
        <f aca="false">SUMIF('Hiring plan'!$B$5:$B$32,"Operations &amp; support",V39:V66)+V74</f>
        <v>764400</v>
      </c>
      <c r="W102" s="33" t="n">
        <f aca="false">SUMIF('Hiring plan'!$B$5:$B$32,"Operations &amp; support",W39:W66)+W74</f>
        <v>764400</v>
      </c>
      <c r="X102" s="33" t="n">
        <f aca="false">SUMIF('Hiring plan'!$B$5:$B$32,"Operations &amp; support",X39:X66)+X74</f>
        <v>764400</v>
      </c>
      <c r="Y102" s="33" t="n">
        <f aca="false">SUMIF('Hiring plan'!$B$5:$B$32,"Operations &amp; support",Y39:Y66)+Y74</f>
        <v>1146600</v>
      </c>
      <c r="Z102" s="33" t="n">
        <f aca="false">SUMIF('Hiring plan'!$B$5:$B$32,"Operations &amp; support",Z39:Z66)+Z74</f>
        <v>1146600</v>
      </c>
      <c r="AA102" s="33" t="n">
        <f aca="false">SUMIF('Hiring plan'!$B$5:$B$32,"Operations &amp; support",AA39:AA66)+AA74</f>
        <v>1146600</v>
      </c>
      <c r="AB102" s="33" t="n">
        <f aca="false">SUMIF('Hiring plan'!$B$5:$B$32,"Operations &amp; support",AB39:AB66)+AB74</f>
        <v>1146600</v>
      </c>
      <c r="AC102" s="33" t="n">
        <f aca="false">SUMIF('Hiring plan'!$B$5:$B$32,"Operations &amp; support",AC39:AC66)+AC74</f>
        <v>1605240</v>
      </c>
      <c r="AD102" s="33" t="n">
        <f aca="false">SUMIF('Hiring plan'!$B$5:$B$32,"Operations &amp; support",AD39:AD66)+AD74</f>
        <v>1605240</v>
      </c>
      <c r="AE102" s="33" t="n">
        <f aca="false">SUMIF('Hiring plan'!$B$5:$B$32,"Operations &amp; support",AE39:AE66)+AE74</f>
        <v>1605240</v>
      </c>
      <c r="AF102" s="33" t="n">
        <f aca="false">SUMIF('Hiring plan'!$B$5:$B$32,"Operations &amp; support",AF39:AF66)+AF74</f>
        <v>2006550</v>
      </c>
      <c r="AG102" s="33" t="n">
        <f aca="false">SUMIF('Hiring plan'!$B$5:$B$32,"Operations &amp; support",AG39:AG66)+AG74</f>
        <v>2809170</v>
      </c>
      <c r="AH102" s="33" t="n">
        <f aca="false">SUMIF('Hiring plan'!$B$5:$B$32,"Operations &amp; support",AH39:AH66)+AH74</f>
        <v>2809170</v>
      </c>
      <c r="AI102" s="33" t="n">
        <f aca="false">SUMIF('Hiring plan'!$B$5:$B$32,"Operations &amp; support",AI39:AI66)+AI74</f>
        <v>3210480</v>
      </c>
      <c r="AJ102" s="33" t="n">
        <f aca="false">SUMIF('Hiring plan'!$B$5:$B$32,"Operations &amp; support",AJ39:AJ66)+AJ74</f>
        <v>3210480</v>
      </c>
      <c r="AK102" s="33" t="n">
        <f aca="false">SUMIF('Hiring plan'!$B$5:$B$32,"Operations &amp; support",AK39:AK66)+AK74</f>
        <v>3611790</v>
      </c>
      <c r="AL102" s="33" t="n">
        <f aca="false">SUMIF('Hiring plan'!$B$5:$B$32,"Operations &amp; support",AL39:AL66)+AL74</f>
        <v>3611790</v>
      </c>
      <c r="AM102" s="33" t="n">
        <f aca="false">SUMIF('Hiring plan'!$B$5:$B$32,"Operations &amp; support",AM39:AM66)+AM74</f>
        <v>4013100</v>
      </c>
      <c r="AN102" s="33" t="n">
        <f aca="false">SUMIF('Hiring plan'!$B$5:$B$32,"Operations &amp; support",AN39:AN66)+AN74</f>
        <v>4013100</v>
      </c>
      <c r="AO102" s="33" t="n">
        <f aca="false">SUMIF('Hiring plan'!$B$5:$B$32,"Operations &amp; support",AO39:AO66)+AO74</f>
        <v>4635130.5</v>
      </c>
      <c r="AP102" s="33" t="n">
        <f aca="false">SUMIF('Hiring plan'!$B$5:$B$32,"Operations &amp; support",AP39:AP66)+AP74</f>
        <v>4635130.5</v>
      </c>
      <c r="AQ102" s="33" t="n">
        <f aca="false">SUMIF('Hiring plan'!$B$5:$B$32,"Operations &amp; support",AQ39:AQ66)+AQ74</f>
        <v>5056506</v>
      </c>
      <c r="AR102" s="33" t="n">
        <f aca="false">SUMIF('Hiring plan'!$B$5:$B$32,"Operations &amp; support",AR39:AR66)+AR74</f>
        <v>5477881.5</v>
      </c>
      <c r="AS102" s="33" t="n">
        <f aca="false">SUMIF('Hiring plan'!$B$5:$B$32,"Operations &amp; support",AS39:AS66)+AS74</f>
        <v>5477881.5</v>
      </c>
      <c r="AT102" s="33" t="n">
        <f aca="false">SUMIF('Hiring plan'!$B$5:$B$32,"Operations &amp; support",AT39:AT66)+AT74</f>
        <v>5899257</v>
      </c>
      <c r="AU102" s="33" t="n">
        <f aca="false">SUMIF('Hiring plan'!$B$5:$B$32,"Operations &amp; support",AU39:AU66)+AU74</f>
        <v>6320632.5</v>
      </c>
      <c r="AV102" s="33" t="n">
        <f aca="false">SUMIF('Hiring plan'!$B$5:$B$32,"Operations &amp; support",AV39:AV66)+AV74</f>
        <v>6320632.5</v>
      </c>
      <c r="AW102" s="33" t="n">
        <f aca="false">SUMIF('Hiring plan'!$B$5:$B$32,"Operations &amp; support",AW39:AW66)+AW74</f>
        <v>6742008</v>
      </c>
      <c r="AX102" s="33" t="n">
        <f aca="false">SUMIF('Hiring plan'!$B$5:$B$32,"Operations &amp; support",AX39:AX66)+AX74</f>
        <v>7163383.5</v>
      </c>
      <c r="AY102" s="33" t="n">
        <f aca="false">SUMIF('Hiring plan'!$B$5:$B$32,"Operations &amp; support",AY39:AY66)+AY74</f>
        <v>7584759</v>
      </c>
      <c r="AZ102" s="33" t="n">
        <f aca="false">SUMIF('Hiring plan'!$B$5:$B$32,"Operations &amp; support",AZ39:AZ66)+AZ74</f>
        <v>7584759</v>
      </c>
      <c r="BA102" s="33" t="n">
        <f aca="false">SUMIF('Hiring plan'!$B$5:$B$32,"Operations &amp; support",BA39:BA66)+BA74</f>
        <v>8406441.225</v>
      </c>
      <c r="BB102" s="33" t="n">
        <f aca="false">SUMIF('Hiring plan'!$B$5:$B$32,"Operations &amp; support",BB39:BB66)+BB74</f>
        <v>8848885.5</v>
      </c>
      <c r="BC102" s="33" t="n">
        <f aca="false">SUMIF('Hiring plan'!$B$5:$B$32,"Operations &amp; support",BC39:BC66)+BC74</f>
        <v>9291329.775</v>
      </c>
      <c r="BD102" s="33" t="n">
        <f aca="false">SUMIF('Hiring plan'!$B$5:$B$32,"Operations &amp; support",BD39:BD66)+BD74</f>
        <v>9733774.05</v>
      </c>
      <c r="BE102" s="33" t="n">
        <f aca="false">SUMIF('Hiring plan'!$B$5:$B$32,"Operations &amp; support",BE39:BE66)+BE74</f>
        <v>9733774.05</v>
      </c>
      <c r="BF102" s="33" t="n">
        <f aca="false">SUMIF('Hiring plan'!$B$5:$B$32,"Operations &amp; support",BF39:BF66)+BF74</f>
        <v>10176218.325</v>
      </c>
      <c r="BG102" s="33" t="n">
        <f aca="false">SUMIF('Hiring plan'!$B$5:$B$32,"Operations &amp; support",BG39:BG66)+BG74</f>
        <v>10618662.6</v>
      </c>
      <c r="BH102" s="33" t="n">
        <f aca="false">SUMIF('Hiring plan'!$B$5:$B$32,"Operations &amp; support",BH39:BH66)+BH74</f>
        <v>11061106.875</v>
      </c>
      <c r="BI102" s="33" t="n">
        <f aca="false">SUMIF('Hiring plan'!$B$5:$B$32,"Operations &amp; support",BI39:BI66)+BI74</f>
        <v>11503551.15</v>
      </c>
      <c r="BJ102" s="33" t="n">
        <f aca="false">SUMIF('Hiring plan'!$B$5:$B$32,"Operations &amp; support",BJ39:BJ66)+BJ74</f>
        <v>11945995.425</v>
      </c>
      <c r="BK102" s="33" t="n">
        <f aca="false">SUMIF('Hiring plan'!$B$5:$B$32,"Operations &amp; support",BK39:BK66)+BK74</f>
        <v>12388439.7</v>
      </c>
      <c r="BL102" s="33" t="n">
        <f aca="false">SUMIF('Hiring plan'!$B$5:$B$32,"Operations &amp; support",BL39:BL66)+BL74</f>
        <v>12830883.975</v>
      </c>
    </row>
    <row r="103" customFormat="false" ht="15" hidden="false" customHeight="true" outlineLevel="0" collapsed="false">
      <c r="A103" s="13" t="s">
        <v>1170</v>
      </c>
      <c r="B103" s="15" t="s">
        <v>77</v>
      </c>
      <c r="D103" s="56" t="n">
        <f aca="false">SUM(E103:BL103)</f>
        <v>434116542.84375</v>
      </c>
      <c r="E103" s="33" t="n">
        <f aca="false">SUMIF('Hiring plan'!$B$5:$B$32,"Sales &amp; partnerships",E39:E66)+E76+E77</f>
        <v>1560000</v>
      </c>
      <c r="F103" s="33" t="n">
        <f aca="false">SUMIF('Hiring plan'!$B$5:$B$32,"Sales &amp; partnerships",F39:F66)+F76+F77</f>
        <v>1560000</v>
      </c>
      <c r="G103" s="33" t="n">
        <f aca="false">SUMIF('Hiring plan'!$B$5:$B$32,"Sales &amp; partnerships",G39:G66)+G76+G77</f>
        <v>1560000</v>
      </c>
      <c r="H103" s="33" t="n">
        <f aca="false">SUMIF('Hiring plan'!$B$5:$B$32,"Sales &amp; partnerships",H39:H66)+H76+H77</f>
        <v>2600000</v>
      </c>
      <c r="I103" s="33" t="n">
        <f aca="false">SUMIF('Hiring plan'!$B$5:$B$32,"Sales &amp; partnerships",I39:I66)+I76+I77</f>
        <v>2600000</v>
      </c>
      <c r="J103" s="33" t="n">
        <f aca="false">SUMIF('Hiring plan'!$B$5:$B$32,"Sales &amp; partnerships",J39:J66)+J76+J77</f>
        <v>2600000</v>
      </c>
      <c r="K103" s="33" t="n">
        <f aca="false">SUMIF('Hiring plan'!$B$5:$B$32,"Sales &amp; partnerships",K39:K66)+K76+K77</f>
        <v>2600000</v>
      </c>
      <c r="L103" s="33" t="n">
        <f aca="false">SUMIF('Hiring plan'!$B$5:$B$32,"Sales &amp; partnerships",L39:L66)+L76+L77</f>
        <v>2600000</v>
      </c>
      <c r="M103" s="33" t="n">
        <f aca="false">SUMIF('Hiring plan'!$B$5:$B$32,"Sales &amp; partnerships",M39:M66)+M76+M77</f>
        <v>2600000</v>
      </c>
      <c r="N103" s="33" t="n">
        <f aca="false">SUMIF('Hiring plan'!$B$5:$B$32,"Sales &amp; partnerships",N39:N66)+N76+N77</f>
        <v>2600000</v>
      </c>
      <c r="O103" s="33" t="n">
        <f aca="false">SUMIF('Hiring plan'!$B$5:$B$32,"Sales &amp; partnerships",O39:O66)+O76+O77</f>
        <v>2600000</v>
      </c>
      <c r="P103" s="33" t="n">
        <f aca="false">SUMIF('Hiring plan'!$B$5:$B$32,"Sales &amp; partnerships",P39:P66)+P76+P77</f>
        <v>2600000</v>
      </c>
      <c r="Q103" s="33" t="n">
        <f aca="false">SUMIF('Hiring plan'!$B$5:$B$32,"Sales &amp; partnerships",Q39:Q66)+Q76+Q77</f>
        <v>2730000</v>
      </c>
      <c r="R103" s="33" t="n">
        <f aca="false">SUMIF('Hiring plan'!$B$5:$B$32,"Sales &amp; partnerships",R39:R66)+R76+R77</f>
        <v>2730000</v>
      </c>
      <c r="S103" s="33" t="n">
        <f aca="false">SUMIF('Hiring plan'!$B$5:$B$32,"Sales &amp; partnerships",S39:S66)+S76+S77</f>
        <v>2730000</v>
      </c>
      <c r="T103" s="33" t="n">
        <f aca="false">SUMIF('Hiring plan'!$B$5:$B$32,"Sales &amp; partnerships",T39:T66)+T76+T77</f>
        <v>2730000</v>
      </c>
      <c r="U103" s="33" t="n">
        <f aca="false">SUMIF('Hiring plan'!$B$5:$B$32,"Sales &amp; partnerships",U39:U66)+U76+U77</f>
        <v>2730000</v>
      </c>
      <c r="V103" s="33" t="n">
        <f aca="false">SUMIF('Hiring plan'!$B$5:$B$32,"Sales &amp; partnerships",V39:V66)+V76+V77</f>
        <v>3958500</v>
      </c>
      <c r="W103" s="33" t="n">
        <f aca="false">SUMIF('Hiring plan'!$B$5:$B$32,"Sales &amp; partnerships",W39:W66)+W76+W77</f>
        <v>3958500</v>
      </c>
      <c r="X103" s="33" t="n">
        <f aca="false">SUMIF('Hiring plan'!$B$5:$B$32,"Sales &amp; partnerships",X39:X66)+X76+X77</f>
        <v>4504500</v>
      </c>
      <c r="Y103" s="33" t="n">
        <f aca="false">SUMIF('Hiring plan'!$B$5:$B$32,"Sales &amp; partnerships",Y39:Y66)+Y76+Y77</f>
        <v>4504500</v>
      </c>
      <c r="Z103" s="33" t="n">
        <f aca="false">SUMIF('Hiring plan'!$B$5:$B$32,"Sales &amp; partnerships",Z39:Z66)+Z76+Z77</f>
        <v>4504500</v>
      </c>
      <c r="AA103" s="33" t="n">
        <f aca="false">SUMIF('Hiring plan'!$B$5:$B$32,"Sales &amp; partnerships",AA39:AA66)+AA76+AA77</f>
        <v>4504500</v>
      </c>
      <c r="AB103" s="33" t="n">
        <f aca="false">SUMIF('Hiring plan'!$B$5:$B$32,"Sales &amp; partnerships",AB39:AB66)+AB76+AB77</f>
        <v>4504500</v>
      </c>
      <c r="AC103" s="33" t="n">
        <f aca="false">SUMIF('Hiring plan'!$B$5:$B$32,"Sales &amp; partnerships",AC39:AC66)+AC76+AC77</f>
        <v>4729725</v>
      </c>
      <c r="AD103" s="33" t="n">
        <f aca="false">SUMIF('Hiring plan'!$B$5:$B$32,"Sales &amp; partnerships",AD39:AD66)+AD76+AD77</f>
        <v>5303025</v>
      </c>
      <c r="AE103" s="33" t="n">
        <f aca="false">SUMIF('Hiring plan'!$B$5:$B$32,"Sales &amp; partnerships",AE39:AE66)+AE76+AE77</f>
        <v>5303025</v>
      </c>
      <c r="AF103" s="33" t="n">
        <f aca="false">SUMIF('Hiring plan'!$B$5:$B$32,"Sales &amp; partnerships",AF39:AF66)+AF76+AF77</f>
        <v>5303025</v>
      </c>
      <c r="AG103" s="33" t="n">
        <f aca="false">SUMIF('Hiring plan'!$B$5:$B$32,"Sales &amp; partnerships",AG39:AG66)+AG76+AG77</f>
        <v>5303025</v>
      </c>
      <c r="AH103" s="33" t="n">
        <f aca="false">SUMIF('Hiring plan'!$B$5:$B$32,"Sales &amp; partnerships",AH39:AH66)+AH76+AH77</f>
        <v>5876325</v>
      </c>
      <c r="AI103" s="33" t="n">
        <f aca="false">SUMIF('Hiring plan'!$B$5:$B$32,"Sales &amp; partnerships",AI39:AI66)+AI76+AI77</f>
        <v>5876325</v>
      </c>
      <c r="AJ103" s="33" t="n">
        <f aca="false">SUMIF('Hiring plan'!$B$5:$B$32,"Sales &amp; partnerships",AJ39:AJ66)+AJ76+AJ77</f>
        <v>5876325</v>
      </c>
      <c r="AK103" s="33" t="n">
        <f aca="false">SUMIF('Hiring plan'!$B$5:$B$32,"Sales &amp; partnerships",AK39:AK66)+AK76+AK77</f>
        <v>5876325</v>
      </c>
      <c r="AL103" s="33" t="n">
        <f aca="false">SUMIF('Hiring plan'!$B$5:$B$32,"Sales &amp; partnerships",AL39:AL66)+AL76+AL77</f>
        <v>6449625</v>
      </c>
      <c r="AM103" s="33" t="n">
        <f aca="false">SUMIF('Hiring plan'!$B$5:$B$32,"Sales &amp; partnerships",AM39:AM66)+AM76+AM77</f>
        <v>6449625</v>
      </c>
      <c r="AN103" s="33" t="n">
        <f aca="false">SUMIF('Hiring plan'!$B$5:$B$32,"Sales &amp; partnerships",AN39:AN66)+AN76+AN77</f>
        <v>7094587.5</v>
      </c>
      <c r="AO103" s="33" t="n">
        <f aca="false">SUMIF('Hiring plan'!$B$5:$B$32,"Sales &amp; partnerships",AO39:AO66)+AO76+AO77</f>
        <v>8051281.875</v>
      </c>
      <c r="AP103" s="33" t="n">
        <f aca="false">SUMIF('Hiring plan'!$B$5:$B$32,"Sales &amp; partnerships",AP39:AP66)+AP76+AP77</f>
        <v>8051281.875</v>
      </c>
      <c r="AQ103" s="33" t="n">
        <f aca="false">SUMIF('Hiring plan'!$B$5:$B$32,"Sales &amp; partnerships",AQ39:AQ66)+AQ76+AQ77</f>
        <v>8051281.875</v>
      </c>
      <c r="AR103" s="33" t="n">
        <f aca="false">SUMIF('Hiring plan'!$B$5:$B$32,"Sales &amp; partnerships",AR39:AR66)+AR76+AR77</f>
        <v>8653246.875</v>
      </c>
      <c r="AS103" s="33" t="n">
        <f aca="false">SUMIF('Hiring plan'!$B$5:$B$32,"Sales &amp; partnerships",AS39:AS66)+AS76+AS77</f>
        <v>8653246.875</v>
      </c>
      <c r="AT103" s="33" t="n">
        <f aca="false">SUMIF('Hiring plan'!$B$5:$B$32,"Sales &amp; partnerships",AT39:AT66)+AT76+AT77</f>
        <v>8653246.875</v>
      </c>
      <c r="AU103" s="33" t="n">
        <f aca="false">SUMIF('Hiring plan'!$B$5:$B$32,"Sales &amp; partnerships",AU39:AU66)+AU76+AU77</f>
        <v>9932422.5</v>
      </c>
      <c r="AV103" s="33" t="n">
        <f aca="false">SUMIF('Hiring plan'!$B$5:$B$32,"Sales &amp; partnerships",AV39:AV66)+AV76+AV77</f>
        <v>9932422.5</v>
      </c>
      <c r="AW103" s="33" t="n">
        <f aca="false">SUMIF('Hiring plan'!$B$5:$B$32,"Sales &amp; partnerships",AW39:AW66)+AW76+AW77</f>
        <v>10534387.5</v>
      </c>
      <c r="AX103" s="33" t="n">
        <f aca="false">SUMIF('Hiring plan'!$B$5:$B$32,"Sales &amp; partnerships",AX39:AX66)+AX76+AX77</f>
        <v>10534387.5</v>
      </c>
      <c r="AY103" s="33" t="n">
        <f aca="false">SUMIF('Hiring plan'!$B$5:$B$32,"Sales &amp; partnerships",AY39:AY66)+AY76+AY77</f>
        <v>10534387.5</v>
      </c>
      <c r="AZ103" s="33" t="n">
        <f aca="false">SUMIF('Hiring plan'!$B$5:$B$32,"Sales &amp; partnerships",AZ39:AZ66)+AZ76+AZ77</f>
        <v>11813563.125</v>
      </c>
      <c r="BA103" s="33" t="n">
        <f aca="false">SUMIF('Hiring plan'!$B$5:$B$32,"Sales &amp; partnerships",BA39:BA66)+BA76+BA77</f>
        <v>12404241.28125</v>
      </c>
      <c r="BB103" s="33" t="n">
        <f aca="false">SUMIF('Hiring plan'!$B$5:$B$32,"Sales &amp; partnerships",BB39:BB66)+BB76+BB77</f>
        <v>13036304.53125</v>
      </c>
      <c r="BC103" s="33" t="n">
        <f aca="false">SUMIF('Hiring plan'!$B$5:$B$32,"Sales &amp; partnerships",BC39:BC66)+BC76+BC77</f>
        <v>13036304.53125</v>
      </c>
      <c r="BD103" s="33" t="n">
        <f aca="false">SUMIF('Hiring plan'!$B$5:$B$32,"Sales &amp; partnerships",BD39:BD66)+BD76+BD77</f>
        <v>13747375.6875</v>
      </c>
      <c r="BE103" s="33" t="n">
        <f aca="false">SUMIF('Hiring plan'!$B$5:$B$32,"Sales &amp; partnerships",BE39:BE66)+BE76+BE77</f>
        <v>14379438.9375</v>
      </c>
      <c r="BF103" s="33" t="n">
        <f aca="false">SUMIF('Hiring plan'!$B$5:$B$32,"Sales &amp; partnerships",BF39:BF66)+BF76+BF77</f>
        <v>14379438.9375</v>
      </c>
      <c r="BG103" s="33" t="n">
        <f aca="false">SUMIF('Hiring plan'!$B$5:$B$32,"Sales &amp; partnerships",BG39:BG66)+BG76+BG77</f>
        <v>15011502.1875</v>
      </c>
      <c r="BH103" s="33" t="n">
        <f aca="false">SUMIF('Hiring plan'!$B$5:$B$32,"Sales &amp; partnerships",BH39:BH66)+BH76+BH77</f>
        <v>15722573.34375</v>
      </c>
      <c r="BI103" s="33" t="n">
        <f aca="false">SUMIF('Hiring plan'!$B$5:$B$32,"Sales &amp; partnerships",BI39:BI66)+BI76+BI77</f>
        <v>16354636.59375</v>
      </c>
      <c r="BJ103" s="33" t="n">
        <f aca="false">SUMIF('Hiring plan'!$B$5:$B$32,"Sales &amp; partnerships",BJ39:BJ66)+BJ76+BJ77</f>
        <v>16354636.59375</v>
      </c>
      <c r="BK103" s="33" t="n">
        <f aca="false">SUMIF('Hiring plan'!$B$5:$B$32,"Sales &amp; partnerships",BK39:BK66)+BK76+BK77</f>
        <v>16986699.84375</v>
      </c>
      <c r="BL103" s="33" t="n">
        <f aca="false">SUMIF('Hiring plan'!$B$5:$B$32,"Sales &amp; partnerships",BL39:BL66)+BL76+BL77</f>
        <v>17697771</v>
      </c>
    </row>
    <row r="104" customFormat="false" ht="15" hidden="false" customHeight="true" outlineLevel="0" collapsed="false">
      <c r="A104" s="13" t="s">
        <v>1171</v>
      </c>
      <c r="B104" s="15" t="s">
        <v>77</v>
      </c>
      <c r="D104" s="56" t="n">
        <f aca="false">SUM(E104:BL104)</f>
        <v>106469801.75</v>
      </c>
      <c r="E104" s="33" t="n">
        <f aca="false">SUMIF('Hiring plan'!$B$5:$B$32,"Marketing",E39:E66)+0</f>
        <v>0</v>
      </c>
      <c r="F104" s="33" t="n">
        <f aca="false">SUMIF('Hiring plan'!$B$5:$B$32,"Marketing",F39:F66)+0</f>
        <v>0</v>
      </c>
      <c r="G104" s="33" t="n">
        <f aca="false">SUMIF('Hiring plan'!$B$5:$B$32,"Marketing",G39:G66)+0</f>
        <v>0</v>
      </c>
      <c r="H104" s="33" t="n">
        <f aca="false">SUMIF('Hiring plan'!$B$5:$B$32,"Marketing",H39:H66)+0</f>
        <v>1170000</v>
      </c>
      <c r="I104" s="33" t="n">
        <f aca="false">SUMIF('Hiring plan'!$B$5:$B$32,"Marketing",I39:I66)+0</f>
        <v>1690000</v>
      </c>
      <c r="J104" s="33" t="n">
        <f aca="false">SUMIF('Hiring plan'!$B$5:$B$32,"Marketing",J39:J66)+0</f>
        <v>1690000</v>
      </c>
      <c r="K104" s="33" t="n">
        <f aca="false">SUMIF('Hiring plan'!$B$5:$B$32,"Marketing",K39:K66)+0</f>
        <v>1690000</v>
      </c>
      <c r="L104" s="33" t="n">
        <f aca="false">SUMIF('Hiring plan'!$B$5:$B$32,"Marketing",L39:L66)+0</f>
        <v>1690000</v>
      </c>
      <c r="M104" s="33" t="n">
        <f aca="false">SUMIF('Hiring plan'!$B$5:$B$32,"Marketing",M39:M66)+0</f>
        <v>1690000</v>
      </c>
      <c r="N104" s="33" t="n">
        <f aca="false">SUMIF('Hiring plan'!$B$5:$B$32,"Marketing",N39:N66)+0</f>
        <v>1690000</v>
      </c>
      <c r="O104" s="33" t="n">
        <f aca="false">SUMIF('Hiring plan'!$B$5:$B$32,"Marketing",O39:O66)+0</f>
        <v>1690000</v>
      </c>
      <c r="P104" s="33" t="n">
        <f aca="false">SUMIF('Hiring plan'!$B$5:$B$32,"Marketing",P39:P66)+0</f>
        <v>1690000</v>
      </c>
      <c r="Q104" s="33" t="n">
        <f aca="false">SUMIF('Hiring plan'!$B$5:$B$32,"Marketing",Q39:Q66)+0</f>
        <v>1774500</v>
      </c>
      <c r="R104" s="33" t="n">
        <f aca="false">SUMIF('Hiring plan'!$B$5:$B$32,"Marketing",R39:R66)+0</f>
        <v>1774500</v>
      </c>
      <c r="S104" s="33" t="n">
        <f aca="false">SUMIF('Hiring plan'!$B$5:$B$32,"Marketing",S39:S66)+0</f>
        <v>1774500</v>
      </c>
      <c r="T104" s="33" t="n">
        <f aca="false">SUMIF('Hiring plan'!$B$5:$B$32,"Marketing",T39:T66)+0</f>
        <v>1774500</v>
      </c>
      <c r="U104" s="33" t="n">
        <f aca="false">SUMIF('Hiring plan'!$B$5:$B$32,"Marketing",U39:U66)+0</f>
        <v>1774500</v>
      </c>
      <c r="V104" s="33" t="n">
        <f aca="false">SUMIF('Hiring plan'!$B$5:$B$32,"Marketing",V39:V66)+0</f>
        <v>1774500</v>
      </c>
      <c r="W104" s="33" t="n">
        <f aca="false">SUMIF('Hiring plan'!$B$5:$B$32,"Marketing",W39:W66)+0</f>
        <v>1774500</v>
      </c>
      <c r="X104" s="33" t="n">
        <f aca="false">SUMIF('Hiring plan'!$B$5:$B$32,"Marketing",X39:X66)+0</f>
        <v>1774500</v>
      </c>
      <c r="Y104" s="33" t="n">
        <f aca="false">SUMIF('Hiring plan'!$B$5:$B$32,"Marketing",Y39:Y66)+0</f>
        <v>1774500</v>
      </c>
      <c r="Z104" s="33" t="n">
        <f aca="false">SUMIF('Hiring plan'!$B$5:$B$32,"Marketing",Z39:Z66)+0</f>
        <v>1774500</v>
      </c>
      <c r="AA104" s="33" t="n">
        <f aca="false">SUMIF('Hiring plan'!$B$5:$B$32,"Marketing",AA39:AA66)+0</f>
        <v>1774500</v>
      </c>
      <c r="AB104" s="33" t="n">
        <f aca="false">SUMIF('Hiring plan'!$B$5:$B$32,"Marketing",AB39:AB66)+0</f>
        <v>1774500</v>
      </c>
      <c r="AC104" s="33" t="n">
        <f aca="false">SUMIF('Hiring plan'!$B$5:$B$32,"Marketing",AC39:AC66)+0</f>
        <v>1863225</v>
      </c>
      <c r="AD104" s="33" t="n">
        <f aca="false">SUMIF('Hiring plan'!$B$5:$B$32,"Marketing",AD39:AD66)+0</f>
        <v>1863225</v>
      </c>
      <c r="AE104" s="33" t="n">
        <f aca="false">SUMIF('Hiring plan'!$B$5:$B$32,"Marketing",AE39:AE66)+0</f>
        <v>1863225</v>
      </c>
      <c r="AF104" s="33" t="n">
        <f aca="false">SUMIF('Hiring plan'!$B$5:$B$32,"Marketing",AF39:AF66)+0</f>
        <v>1863225</v>
      </c>
      <c r="AG104" s="33" t="n">
        <f aca="false">SUMIF('Hiring plan'!$B$5:$B$32,"Marketing",AG39:AG66)+0</f>
        <v>1863225</v>
      </c>
      <c r="AH104" s="33" t="n">
        <f aca="false">SUMIF('Hiring plan'!$B$5:$B$32,"Marketing",AH39:AH66)+0</f>
        <v>1863225</v>
      </c>
      <c r="AI104" s="33" t="n">
        <f aca="false">SUMIF('Hiring plan'!$B$5:$B$32,"Marketing",AI39:AI66)+0</f>
        <v>1863225</v>
      </c>
      <c r="AJ104" s="33" t="n">
        <f aca="false">SUMIF('Hiring plan'!$B$5:$B$32,"Marketing",AJ39:AJ66)+0</f>
        <v>1863225</v>
      </c>
      <c r="AK104" s="33" t="n">
        <f aca="false">SUMIF('Hiring plan'!$B$5:$B$32,"Marketing",AK39:AK66)+0</f>
        <v>1863225</v>
      </c>
      <c r="AL104" s="33" t="n">
        <f aca="false">SUMIF('Hiring plan'!$B$5:$B$32,"Marketing",AL39:AL66)+0</f>
        <v>1863225</v>
      </c>
      <c r="AM104" s="33" t="n">
        <f aca="false">SUMIF('Hiring plan'!$B$5:$B$32,"Marketing",AM39:AM66)+0</f>
        <v>1863225</v>
      </c>
      <c r="AN104" s="33" t="n">
        <f aca="false">SUMIF('Hiring plan'!$B$5:$B$32,"Marketing",AN39:AN66)+0</f>
        <v>1863225</v>
      </c>
      <c r="AO104" s="33" t="n">
        <f aca="false">SUMIF('Hiring plan'!$B$5:$B$32,"Marketing",AO39:AO66)+0</f>
        <v>1956386.25</v>
      </c>
      <c r="AP104" s="33" t="n">
        <f aca="false">SUMIF('Hiring plan'!$B$5:$B$32,"Marketing",AP39:AP66)+0</f>
        <v>1956386.25</v>
      </c>
      <c r="AQ104" s="33" t="n">
        <f aca="false">SUMIF('Hiring plan'!$B$5:$B$32,"Marketing",AQ39:AQ66)+0</f>
        <v>1956386.25</v>
      </c>
      <c r="AR104" s="33" t="n">
        <f aca="false">SUMIF('Hiring plan'!$B$5:$B$32,"Marketing",AR39:AR66)+0</f>
        <v>1956386.25</v>
      </c>
      <c r="AS104" s="33" t="n">
        <f aca="false">SUMIF('Hiring plan'!$B$5:$B$32,"Marketing",AS39:AS66)+0</f>
        <v>1956386.25</v>
      </c>
      <c r="AT104" s="33" t="n">
        <f aca="false">SUMIF('Hiring plan'!$B$5:$B$32,"Marketing",AT39:AT66)+0</f>
        <v>1956386.25</v>
      </c>
      <c r="AU104" s="33" t="n">
        <f aca="false">SUMIF('Hiring plan'!$B$5:$B$32,"Marketing",AU39:AU66)+0</f>
        <v>1956386.25</v>
      </c>
      <c r="AV104" s="33" t="n">
        <f aca="false">SUMIF('Hiring plan'!$B$5:$B$32,"Marketing",AV39:AV66)+0</f>
        <v>1956386.25</v>
      </c>
      <c r="AW104" s="33" t="n">
        <f aca="false">SUMIF('Hiring plan'!$B$5:$B$32,"Marketing",AW39:AW66)+0</f>
        <v>1956386.25</v>
      </c>
      <c r="AX104" s="33" t="n">
        <f aca="false">SUMIF('Hiring plan'!$B$5:$B$32,"Marketing",AX39:AX66)+0</f>
        <v>1956386.25</v>
      </c>
      <c r="AY104" s="33" t="n">
        <f aca="false">SUMIF('Hiring plan'!$B$5:$B$32,"Marketing",AY39:AY66)+0</f>
        <v>1956386.25</v>
      </c>
      <c r="AZ104" s="33" t="n">
        <f aca="false">SUMIF('Hiring plan'!$B$5:$B$32,"Marketing",AZ39:AZ66)+0</f>
        <v>1956386.25</v>
      </c>
      <c r="BA104" s="33" t="n">
        <f aca="false">SUMIF('Hiring plan'!$B$5:$B$32,"Marketing",BA39:BA66)+0</f>
        <v>2054205.5625</v>
      </c>
      <c r="BB104" s="33" t="n">
        <f aca="false">SUMIF('Hiring plan'!$B$5:$B$32,"Marketing",BB39:BB66)+0</f>
        <v>2054205.5625</v>
      </c>
      <c r="BC104" s="33" t="n">
        <f aca="false">SUMIF('Hiring plan'!$B$5:$B$32,"Marketing",BC39:BC66)+0</f>
        <v>2054205.5625</v>
      </c>
      <c r="BD104" s="33" t="n">
        <f aca="false">SUMIF('Hiring plan'!$B$5:$B$32,"Marketing",BD39:BD66)+0</f>
        <v>2054205.5625</v>
      </c>
      <c r="BE104" s="33" t="n">
        <f aca="false">SUMIF('Hiring plan'!$B$5:$B$32,"Marketing",BE39:BE66)+0</f>
        <v>2054205.5625</v>
      </c>
      <c r="BF104" s="33" t="n">
        <f aca="false">SUMIF('Hiring plan'!$B$5:$B$32,"Marketing",BF39:BF66)+0</f>
        <v>2054205.5625</v>
      </c>
      <c r="BG104" s="33" t="n">
        <f aca="false">SUMIF('Hiring plan'!$B$5:$B$32,"Marketing",BG39:BG66)+0</f>
        <v>2054205.5625</v>
      </c>
      <c r="BH104" s="33" t="n">
        <f aca="false">SUMIF('Hiring plan'!$B$5:$B$32,"Marketing",BH39:BH66)+0</f>
        <v>2054205.5625</v>
      </c>
      <c r="BI104" s="33" t="n">
        <f aca="false">SUMIF('Hiring plan'!$B$5:$B$32,"Marketing",BI39:BI66)+0</f>
        <v>2054205.5625</v>
      </c>
      <c r="BJ104" s="33" t="n">
        <f aca="false">SUMIF('Hiring plan'!$B$5:$B$32,"Marketing",BJ39:BJ66)+0</f>
        <v>2054205.5625</v>
      </c>
      <c r="BK104" s="33" t="n">
        <f aca="false">SUMIF('Hiring plan'!$B$5:$B$32,"Marketing",BK39:BK66)+0</f>
        <v>2054205.5625</v>
      </c>
      <c r="BL104" s="33" t="n">
        <f aca="false">SUMIF('Hiring plan'!$B$5:$B$32,"Marketing",BL39:BL66)+0</f>
        <v>2054205.5625</v>
      </c>
    </row>
    <row r="105" customFormat="false" ht="15" hidden="false" customHeight="true" outlineLevel="0" collapsed="false">
      <c r="A105" s="13" t="s">
        <v>1172</v>
      </c>
      <c r="B105" s="15" t="s">
        <v>77</v>
      </c>
      <c r="D105" s="56" t="n">
        <f aca="false">SUM(E105:BL105)</f>
        <v>129299771.25</v>
      </c>
      <c r="E105" s="33" t="n">
        <f aca="false">SUMIF('Hiring plan'!$B$5:$B$32,"Finance &amp; admin",E39:E66)+0</f>
        <v>1950000</v>
      </c>
      <c r="F105" s="33" t="n">
        <f aca="false">SUMIF('Hiring plan'!$B$5:$B$32,"Finance &amp; admin",F39:F66)+0</f>
        <v>1950000</v>
      </c>
      <c r="G105" s="33" t="n">
        <f aca="false">SUMIF('Hiring plan'!$B$5:$B$32,"Finance &amp; admin",G39:G66)+0</f>
        <v>1950000</v>
      </c>
      <c r="H105" s="33" t="n">
        <f aca="false">SUMIF('Hiring plan'!$B$5:$B$32,"Finance &amp; admin",H39:H66)+0</f>
        <v>1950000</v>
      </c>
      <c r="I105" s="33" t="n">
        <f aca="false">SUMIF('Hiring plan'!$B$5:$B$32,"Finance &amp; admin",I39:I66)+0</f>
        <v>1950000</v>
      </c>
      <c r="J105" s="33" t="n">
        <f aca="false">SUMIF('Hiring plan'!$B$5:$B$32,"Finance &amp; admin",J39:J66)+0</f>
        <v>1950000</v>
      </c>
      <c r="K105" s="33" t="n">
        <f aca="false">SUMIF('Hiring plan'!$B$5:$B$32,"Finance &amp; admin",K39:K66)+0</f>
        <v>1950000</v>
      </c>
      <c r="L105" s="33" t="n">
        <f aca="false">SUMIF('Hiring plan'!$B$5:$B$32,"Finance &amp; admin",L39:L66)+0</f>
        <v>1950000</v>
      </c>
      <c r="M105" s="33" t="n">
        <f aca="false">SUMIF('Hiring plan'!$B$5:$B$32,"Finance &amp; admin",M39:M66)+0</f>
        <v>1950000</v>
      </c>
      <c r="N105" s="33" t="n">
        <f aca="false">SUMIF('Hiring plan'!$B$5:$B$32,"Finance &amp; admin",N39:N66)+0</f>
        <v>1950000</v>
      </c>
      <c r="O105" s="33" t="n">
        <f aca="false">SUMIF('Hiring plan'!$B$5:$B$32,"Finance &amp; admin",O39:O66)+0</f>
        <v>1950000</v>
      </c>
      <c r="P105" s="33" t="n">
        <f aca="false">SUMIF('Hiring plan'!$B$5:$B$32,"Finance &amp; admin",P39:P66)+0</f>
        <v>1950000</v>
      </c>
      <c r="Q105" s="33" t="n">
        <f aca="false">SUMIF('Hiring plan'!$B$5:$B$32,"Finance &amp; admin",Q39:Q66)+0</f>
        <v>2047500</v>
      </c>
      <c r="R105" s="33" t="n">
        <f aca="false">SUMIF('Hiring plan'!$B$5:$B$32,"Finance &amp; admin",R39:R66)+0</f>
        <v>2047500</v>
      </c>
      <c r="S105" s="33" t="n">
        <f aca="false">SUMIF('Hiring plan'!$B$5:$B$32,"Finance &amp; admin",S39:S66)+0</f>
        <v>2047500</v>
      </c>
      <c r="T105" s="33" t="n">
        <f aca="false">SUMIF('Hiring plan'!$B$5:$B$32,"Finance &amp; admin",T39:T66)+0</f>
        <v>2047500</v>
      </c>
      <c r="U105" s="33" t="n">
        <f aca="false">SUMIF('Hiring plan'!$B$5:$B$32,"Finance &amp; admin",U39:U66)+0</f>
        <v>2047500</v>
      </c>
      <c r="V105" s="33" t="n">
        <f aca="false">SUMIF('Hiring plan'!$B$5:$B$32,"Finance &amp; admin",V39:V66)+0</f>
        <v>2047500</v>
      </c>
      <c r="W105" s="33" t="n">
        <f aca="false">SUMIF('Hiring plan'!$B$5:$B$32,"Finance &amp; admin",W39:W66)+0</f>
        <v>2047500</v>
      </c>
      <c r="X105" s="33" t="n">
        <f aca="false">SUMIF('Hiring plan'!$B$5:$B$32,"Finance &amp; admin",X39:X66)+0</f>
        <v>2047500</v>
      </c>
      <c r="Y105" s="33" t="n">
        <f aca="false">SUMIF('Hiring plan'!$B$5:$B$32,"Finance &amp; admin",Y39:Y66)+0</f>
        <v>2047500</v>
      </c>
      <c r="Z105" s="33" t="n">
        <f aca="false">SUMIF('Hiring plan'!$B$5:$B$32,"Finance &amp; admin",Z39:Z66)+0</f>
        <v>2047500</v>
      </c>
      <c r="AA105" s="33" t="n">
        <f aca="false">SUMIF('Hiring plan'!$B$5:$B$32,"Finance &amp; admin",AA39:AA66)+0</f>
        <v>2047500</v>
      </c>
      <c r="AB105" s="33" t="n">
        <f aca="false">SUMIF('Hiring plan'!$B$5:$B$32,"Finance &amp; admin",AB39:AB66)+0</f>
        <v>2047500</v>
      </c>
      <c r="AC105" s="33" t="n">
        <f aca="false">SUMIF('Hiring plan'!$B$5:$B$32,"Finance &amp; admin",AC39:AC66)+0</f>
        <v>2149875</v>
      </c>
      <c r="AD105" s="33" t="n">
        <f aca="false">SUMIF('Hiring plan'!$B$5:$B$32,"Finance &amp; admin",AD39:AD66)+0</f>
        <v>2149875</v>
      </c>
      <c r="AE105" s="33" t="n">
        <f aca="false">SUMIF('Hiring plan'!$B$5:$B$32,"Finance &amp; admin",AE39:AE66)+0</f>
        <v>2149875</v>
      </c>
      <c r="AF105" s="33" t="n">
        <f aca="false">SUMIF('Hiring plan'!$B$5:$B$32,"Finance &amp; admin",AF39:AF66)+0</f>
        <v>2149875</v>
      </c>
      <c r="AG105" s="33" t="n">
        <f aca="false">SUMIF('Hiring plan'!$B$5:$B$32,"Finance &amp; admin",AG39:AG66)+0</f>
        <v>2149875</v>
      </c>
      <c r="AH105" s="33" t="n">
        <f aca="false">SUMIF('Hiring plan'!$B$5:$B$32,"Finance &amp; admin",AH39:AH66)+0</f>
        <v>2149875</v>
      </c>
      <c r="AI105" s="33" t="n">
        <f aca="false">SUMIF('Hiring plan'!$B$5:$B$32,"Finance &amp; admin",AI39:AI66)+0</f>
        <v>2149875</v>
      </c>
      <c r="AJ105" s="33" t="n">
        <f aca="false">SUMIF('Hiring plan'!$B$5:$B$32,"Finance &amp; admin",AJ39:AJ66)+0</f>
        <v>2149875</v>
      </c>
      <c r="AK105" s="33" t="n">
        <f aca="false">SUMIF('Hiring plan'!$B$5:$B$32,"Finance &amp; admin",AK39:AK66)+0</f>
        <v>2149875</v>
      </c>
      <c r="AL105" s="33" t="n">
        <f aca="false">SUMIF('Hiring plan'!$B$5:$B$32,"Finance &amp; admin",AL39:AL66)+0</f>
        <v>2149875</v>
      </c>
      <c r="AM105" s="33" t="n">
        <f aca="false">SUMIF('Hiring plan'!$B$5:$B$32,"Finance &amp; admin",AM39:AM66)+0</f>
        <v>2149875</v>
      </c>
      <c r="AN105" s="33" t="n">
        <f aca="false">SUMIF('Hiring plan'!$B$5:$B$32,"Finance &amp; admin",AN39:AN66)+0</f>
        <v>2149875</v>
      </c>
      <c r="AO105" s="33" t="n">
        <f aca="false">SUMIF('Hiring plan'!$B$5:$B$32,"Finance &amp; admin",AO39:AO66)+0</f>
        <v>2257368.75</v>
      </c>
      <c r="AP105" s="33" t="n">
        <f aca="false">SUMIF('Hiring plan'!$B$5:$B$32,"Finance &amp; admin",AP39:AP66)+0</f>
        <v>2257368.75</v>
      </c>
      <c r="AQ105" s="33" t="n">
        <f aca="false">SUMIF('Hiring plan'!$B$5:$B$32,"Finance &amp; admin",AQ39:AQ66)+0</f>
        <v>2257368.75</v>
      </c>
      <c r="AR105" s="33" t="n">
        <f aca="false">SUMIF('Hiring plan'!$B$5:$B$32,"Finance &amp; admin",AR39:AR66)+0</f>
        <v>2257368.75</v>
      </c>
      <c r="AS105" s="33" t="n">
        <f aca="false">SUMIF('Hiring plan'!$B$5:$B$32,"Finance &amp; admin",AS39:AS66)+0</f>
        <v>2257368.75</v>
      </c>
      <c r="AT105" s="33" t="n">
        <f aca="false">SUMIF('Hiring plan'!$B$5:$B$32,"Finance &amp; admin",AT39:AT66)+0</f>
        <v>2257368.75</v>
      </c>
      <c r="AU105" s="33" t="n">
        <f aca="false">SUMIF('Hiring plan'!$B$5:$B$32,"Finance &amp; admin",AU39:AU66)+0</f>
        <v>2257368.75</v>
      </c>
      <c r="AV105" s="33" t="n">
        <f aca="false">SUMIF('Hiring plan'!$B$5:$B$32,"Finance &amp; admin",AV39:AV66)+0</f>
        <v>2257368.75</v>
      </c>
      <c r="AW105" s="33" t="n">
        <f aca="false">SUMIF('Hiring plan'!$B$5:$B$32,"Finance &amp; admin",AW39:AW66)+0</f>
        <v>2257368.75</v>
      </c>
      <c r="AX105" s="33" t="n">
        <f aca="false">SUMIF('Hiring plan'!$B$5:$B$32,"Finance &amp; admin",AX39:AX66)+0</f>
        <v>2257368.75</v>
      </c>
      <c r="AY105" s="33" t="n">
        <f aca="false">SUMIF('Hiring plan'!$B$5:$B$32,"Finance &amp; admin",AY39:AY66)+0</f>
        <v>2257368.75</v>
      </c>
      <c r="AZ105" s="33" t="n">
        <f aca="false">SUMIF('Hiring plan'!$B$5:$B$32,"Finance &amp; admin",AZ39:AZ66)+0</f>
        <v>2257368.75</v>
      </c>
      <c r="BA105" s="33" t="n">
        <f aca="false">SUMIF('Hiring plan'!$B$5:$B$32,"Finance &amp; admin",BA39:BA66)+0</f>
        <v>2370237.1875</v>
      </c>
      <c r="BB105" s="33" t="n">
        <f aca="false">SUMIF('Hiring plan'!$B$5:$B$32,"Finance &amp; admin",BB39:BB66)+0</f>
        <v>2370237.1875</v>
      </c>
      <c r="BC105" s="33" t="n">
        <f aca="false">SUMIF('Hiring plan'!$B$5:$B$32,"Finance &amp; admin",BC39:BC66)+0</f>
        <v>2370237.1875</v>
      </c>
      <c r="BD105" s="33" t="n">
        <f aca="false">SUMIF('Hiring plan'!$B$5:$B$32,"Finance &amp; admin",BD39:BD66)+0</f>
        <v>2370237.1875</v>
      </c>
      <c r="BE105" s="33" t="n">
        <f aca="false">SUMIF('Hiring plan'!$B$5:$B$32,"Finance &amp; admin",BE39:BE66)+0</f>
        <v>2370237.1875</v>
      </c>
      <c r="BF105" s="33" t="n">
        <f aca="false">SUMIF('Hiring plan'!$B$5:$B$32,"Finance &amp; admin",BF39:BF66)+0</f>
        <v>2370237.1875</v>
      </c>
      <c r="BG105" s="33" t="n">
        <f aca="false">SUMIF('Hiring plan'!$B$5:$B$32,"Finance &amp; admin",BG39:BG66)+0</f>
        <v>2370237.1875</v>
      </c>
      <c r="BH105" s="33" t="n">
        <f aca="false">SUMIF('Hiring plan'!$B$5:$B$32,"Finance &amp; admin",BH39:BH66)+0</f>
        <v>2370237.1875</v>
      </c>
      <c r="BI105" s="33" t="n">
        <f aca="false">SUMIF('Hiring plan'!$B$5:$B$32,"Finance &amp; admin",BI39:BI66)+0</f>
        <v>2370237.1875</v>
      </c>
      <c r="BJ105" s="33" t="n">
        <f aca="false">SUMIF('Hiring plan'!$B$5:$B$32,"Finance &amp; admin",BJ39:BJ66)+0</f>
        <v>2370237.1875</v>
      </c>
      <c r="BK105" s="33" t="n">
        <f aca="false">SUMIF('Hiring plan'!$B$5:$B$32,"Finance &amp; admin",BK39:BK66)+0</f>
        <v>2370237.1875</v>
      </c>
      <c r="BL105" s="33" t="n">
        <f aca="false">SUMIF('Hiring plan'!$B$5:$B$32,"Finance &amp; admin",BL39:BL66)+0</f>
        <v>2370237.1875</v>
      </c>
    </row>
    <row r="106" customFormat="false" ht="15" hidden="false" customHeight="true" outlineLevel="0" collapsed="false">
      <c r="A106" s="9" t="s">
        <v>1173</v>
      </c>
      <c r="B106" s="15" t="s">
        <v>77</v>
      </c>
      <c r="D106" s="56" t="n">
        <f aca="false">SUM(E106:BL106)</f>
        <v>2061753390.36875</v>
      </c>
      <c r="E106" s="17" t="n">
        <f aca="false">SUM(E39:E66)+E74+E75+E76+E77+E78</f>
        <v>9880000</v>
      </c>
      <c r="F106" s="17" t="n">
        <f aca="false">SUM(F39:F66)+F74+F75+F76+F77+F78</f>
        <v>9880000</v>
      </c>
      <c r="G106" s="17" t="n">
        <f aca="false">SUM(G39:G66)+G74+G75+G76+G77+G78</f>
        <v>9880000</v>
      </c>
      <c r="H106" s="17" t="n">
        <f aca="false">SUM(H39:H66)+H74+H75+H76+H77+H78</f>
        <v>12818000</v>
      </c>
      <c r="I106" s="17" t="n">
        <f aca="false">SUM(I39:I66)+I74+I75+I76+I77+I78</f>
        <v>13338000</v>
      </c>
      <c r="J106" s="17" t="n">
        <f aca="false">SUM(J39:J66)+J74+J75+J76+J77+J78</f>
        <v>13338000</v>
      </c>
      <c r="K106" s="17" t="n">
        <f aca="false">SUM(K39:K66)+K74+K75+K76+K77+K78</f>
        <v>13338000</v>
      </c>
      <c r="L106" s="17" t="n">
        <f aca="false">SUM(L39:L66)+L74+L75+L76+L77+L78</f>
        <v>13338000</v>
      </c>
      <c r="M106" s="17" t="n">
        <f aca="false">SUM(M39:M66)+M74+M75+M76+M77+M78</f>
        <v>13338000</v>
      </c>
      <c r="N106" s="17" t="n">
        <f aca="false">SUM(N39:N66)+N74+N75+N76+N77+N78</f>
        <v>13338000</v>
      </c>
      <c r="O106" s="17" t="n">
        <f aca="false">SUM(O39:O66)+O74+O75+O76+O77+O78</f>
        <v>13338000</v>
      </c>
      <c r="P106" s="17" t="n">
        <f aca="false">SUM(P39:P66)+P74+P75+P76+P77+P78</f>
        <v>13338000</v>
      </c>
      <c r="Q106" s="17" t="n">
        <f aca="false">SUM(Q39:Q66)+Q74+Q75+Q76+Q77+Q78</f>
        <v>17417400</v>
      </c>
      <c r="R106" s="17" t="n">
        <f aca="false">SUM(R39:R66)+R74+R75+R76+R77+R78</f>
        <v>17417400</v>
      </c>
      <c r="S106" s="17" t="n">
        <f aca="false">SUM(S39:S66)+S74+S75+S76+S77+S78</f>
        <v>17417400</v>
      </c>
      <c r="T106" s="17" t="n">
        <f aca="false">SUM(T39:T66)+T74+T75+T76+T77+T78</f>
        <v>18236400</v>
      </c>
      <c r="U106" s="17" t="n">
        <f aca="false">SUM(U39:U66)+U74+U75+U76+U77+U78</f>
        <v>18236400</v>
      </c>
      <c r="V106" s="17" t="n">
        <f aca="false">SUM(V39:V66)+V74+V75+V76+V77+V78</f>
        <v>23286900</v>
      </c>
      <c r="W106" s="17" t="n">
        <f aca="false">SUM(W39:W66)+W74+W75+W76+W77+W78</f>
        <v>23286900</v>
      </c>
      <c r="X106" s="17" t="n">
        <f aca="false">SUM(X39:X66)+X74+X75+X76+X77+X78</f>
        <v>23832900</v>
      </c>
      <c r="Y106" s="17" t="n">
        <f aca="false">SUM(Y39:Y66)+Y74+Y75+Y76+Y77+Y78</f>
        <v>24215100</v>
      </c>
      <c r="Z106" s="17" t="n">
        <f aca="false">SUM(Z39:Z66)+Z74+Z75+Z76+Z77+Z78</f>
        <v>24215100</v>
      </c>
      <c r="AA106" s="17" t="n">
        <f aca="false">SUM(AA39:AA66)+AA74+AA75+AA76+AA77+AA78</f>
        <v>24215100</v>
      </c>
      <c r="AB106" s="17" t="n">
        <f aca="false">SUM(AB39:AB66)+AB74+AB75+AB76+AB77+AB78</f>
        <v>26262600</v>
      </c>
      <c r="AC106" s="17" t="n">
        <f aca="false">SUM(AC39:AC66)+AC74+AC75+AC76+AC77+AC78</f>
        <v>27977040</v>
      </c>
      <c r="AD106" s="17" t="n">
        <f aca="false">SUM(AD39:AD66)+AD74+AD75+AD76+AD77+AD78</f>
        <v>28550340</v>
      </c>
      <c r="AE106" s="17" t="n">
        <f aca="false">SUM(AE39:AE66)+AE74+AE75+AE76+AE77+AE78</f>
        <v>28550340</v>
      </c>
      <c r="AF106" s="17" t="n">
        <f aca="false">SUM(AF39:AF66)+AF74+AF75+AF76+AF77+AF78</f>
        <v>30671550</v>
      </c>
      <c r="AG106" s="17" t="n">
        <f aca="false">SUM(AG39:AG66)+AG74+AG75+AG76+AG77+AG78</f>
        <v>32334120</v>
      </c>
      <c r="AH106" s="17" t="n">
        <f aca="false">SUM(AH39:AH66)+AH74+AH75+AH76+AH77+AH78</f>
        <v>32907420</v>
      </c>
      <c r="AI106" s="17" t="n">
        <f aca="false">SUM(AI39:AI66)+AI74+AI75+AI76+AI77+AI78</f>
        <v>33308730</v>
      </c>
      <c r="AJ106" s="17" t="n">
        <f aca="false">SUM(AJ39:AJ66)+AJ74+AJ75+AJ76+AJ77+AJ78</f>
        <v>33308730</v>
      </c>
      <c r="AK106" s="17" t="n">
        <f aca="false">SUM(AK39:AK66)+AK74+AK75+AK76+AK77+AK78</f>
        <v>33710040</v>
      </c>
      <c r="AL106" s="17" t="n">
        <f aca="false">SUM(AL39:AL66)+AL74+AL75+AL76+AL77+AL78</f>
        <v>35143290</v>
      </c>
      <c r="AM106" s="17" t="n">
        <f aca="false">SUM(AM39:AM66)+AM74+AM75+AM76+AM77+AM78</f>
        <v>35544600</v>
      </c>
      <c r="AN106" s="17" t="n">
        <f aca="false">SUM(AN39:AN66)+AN74+AN75+AN76+AN77+AN78</f>
        <v>36189562.5</v>
      </c>
      <c r="AO106" s="17" t="n">
        <f aca="false">SUM(AO39:AO66)+AO74+AO75+AO76+AO77+AO78</f>
        <v>39022381.125</v>
      </c>
      <c r="AP106" s="17" t="n">
        <f aca="false">SUM(AP39:AP66)+AP74+AP75+AP76+AP77+AP78</f>
        <v>39022381.125</v>
      </c>
      <c r="AQ106" s="17" t="n">
        <f aca="false">SUM(AQ39:AQ66)+AQ74+AQ75+AQ76+AQ77+AQ78</f>
        <v>40346704.125</v>
      </c>
      <c r="AR106" s="17" t="n">
        <f aca="false">SUM(AR39:AR66)+AR74+AR75+AR76+AR77+AR78</f>
        <v>43175939.625</v>
      </c>
      <c r="AS106" s="17" t="n">
        <f aca="false">SUM(AS39:AS66)+AS74+AS75+AS76+AS77+AS78</f>
        <v>43175939.625</v>
      </c>
      <c r="AT106" s="17" t="n">
        <f aca="false">SUM(AT39:AT66)+AT74+AT75+AT76+AT77+AT78</f>
        <v>43597315.125</v>
      </c>
      <c r="AU106" s="17" t="n">
        <f aca="false">SUM(AU39:AU66)+AU74+AU75+AU76+AU77+AU78</f>
        <v>45297866.25</v>
      </c>
      <c r="AV106" s="17" t="n">
        <f aca="false">SUM(AV39:AV66)+AV74+AV75+AV76+AV77+AV78</f>
        <v>45297866.25</v>
      </c>
      <c r="AW106" s="17" t="n">
        <f aca="false">SUM(AW39:AW66)+AW74+AW75+AW76+AW77+AW78</f>
        <v>47224154.25</v>
      </c>
      <c r="AX106" s="17" t="n">
        <f aca="false">SUM(AX39:AX66)+AX74+AX75+AX76+AX77+AX78</f>
        <v>47645529.75</v>
      </c>
      <c r="AY106" s="17" t="n">
        <f aca="false">SUM(AY39:AY66)+AY74+AY75+AY76+AY77+AY78</f>
        <v>48066905.25</v>
      </c>
      <c r="AZ106" s="17" t="n">
        <f aca="false">SUM(AZ39:AZ66)+AZ74+AZ75+AZ76+AZ77+AZ78</f>
        <v>49346080.875</v>
      </c>
      <c r="BA106" s="17" t="n">
        <f aca="false">SUM(BA39:BA66)+BA74+BA75+BA76+BA77+BA78</f>
        <v>54152018.94375</v>
      </c>
      <c r="BB106" s="17" t="n">
        <f aca="false">SUM(BB39:BB66)+BB74+BB75+BB76+BB77+BB78</f>
        <v>56174621.34375</v>
      </c>
      <c r="BC106" s="17" t="n">
        <f aca="false">SUM(BC39:BC66)+BC74+BC75+BC76+BC77+BC78</f>
        <v>56617065.61875</v>
      </c>
      <c r="BD106" s="17" t="n">
        <f aca="false">SUM(BD39:BD66)+BD74+BD75+BD76+BD77+BD78</f>
        <v>57770581.05</v>
      </c>
      <c r="BE106" s="17" t="n">
        <f aca="false">SUM(BE39:BE66)+BE74+BE75+BE76+BE77+BE78</f>
        <v>58402644.3</v>
      </c>
      <c r="BF106" s="17" t="n">
        <f aca="false">SUM(BF39:BF66)+BF74+BF75+BF76+BF77+BF78</f>
        <v>59793183.45</v>
      </c>
      <c r="BG106" s="17" t="n">
        <f aca="false">SUM(BG39:BG66)+BG74+BG75+BG76+BG77+BG78</f>
        <v>60867690.975</v>
      </c>
      <c r="BH106" s="17" t="n">
        <f aca="false">SUM(BH39:BH66)+BH74+BH75+BH76+BH77+BH78</f>
        <v>63917396.15625</v>
      </c>
      <c r="BI106" s="17" t="n">
        <f aca="false">SUM(BI39:BI66)+BI74+BI75+BI76+BI77+BI78</f>
        <v>64991903.68125</v>
      </c>
      <c r="BJ106" s="17" t="n">
        <f aca="false">SUM(BJ39:BJ66)+BJ74+BJ75+BJ76+BJ77+BJ78</f>
        <v>66382442.83125</v>
      </c>
      <c r="BK106" s="17" t="n">
        <f aca="false">SUM(BK39:BK66)+BK74+BK75+BK76+BK77+BK78</f>
        <v>67456950.35625</v>
      </c>
      <c r="BL106" s="17" t="n">
        <f aca="false">SUM(BL39:BL66)+BL74+BL75+BL76+BL77+BL78</f>
        <v>68610465.7875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1174</v>
      </c>
    </row>
    <row r="2" customFormat="false" ht="15" hidden="false" customHeight="true" outlineLevel="0" collapsed="false">
      <c r="A2" s="3" t="s">
        <v>1175</v>
      </c>
    </row>
    <row r="3" customFormat="false" ht="15" hidden="false" customHeight="true" outlineLevel="0" collapsed="false">
      <c r="A3" s="9" t="s">
        <v>1131</v>
      </c>
      <c r="D3" s="9" t="s">
        <v>1132</v>
      </c>
      <c r="E3" s="21" t="n">
        <f aca="false">Staff!E3</f>
        <v>1</v>
      </c>
      <c r="F3" s="21" t="n">
        <f aca="false">Staff!F3</f>
        <v>2</v>
      </c>
      <c r="G3" s="21" t="n">
        <f aca="false">Staff!G3</f>
        <v>3</v>
      </c>
      <c r="H3" s="21" t="n">
        <f aca="false">Staff!H3</f>
        <v>4</v>
      </c>
      <c r="I3" s="21" t="n">
        <f aca="false">Staff!I3</f>
        <v>5</v>
      </c>
      <c r="J3" s="21" t="n">
        <f aca="false">Staff!J3</f>
        <v>6</v>
      </c>
      <c r="K3" s="21" t="n">
        <f aca="false">Staff!K3</f>
        <v>7</v>
      </c>
      <c r="L3" s="21" t="n">
        <f aca="false">Staff!L3</f>
        <v>8</v>
      </c>
      <c r="M3" s="21" t="n">
        <f aca="false">Staff!M3</f>
        <v>9</v>
      </c>
      <c r="N3" s="21" t="n">
        <f aca="false">Staff!N3</f>
        <v>10</v>
      </c>
      <c r="O3" s="21" t="n">
        <f aca="false">Staff!O3</f>
        <v>11</v>
      </c>
      <c r="P3" s="21" t="n">
        <f aca="false">Staff!P3</f>
        <v>12</v>
      </c>
      <c r="Q3" s="21" t="n">
        <f aca="false">Staff!Q3</f>
        <v>13</v>
      </c>
      <c r="R3" s="21" t="n">
        <f aca="false">Staff!R3</f>
        <v>14</v>
      </c>
      <c r="S3" s="21" t="n">
        <f aca="false">Staff!S3</f>
        <v>15</v>
      </c>
      <c r="T3" s="21" t="n">
        <f aca="false">Staff!T3</f>
        <v>16</v>
      </c>
      <c r="U3" s="21" t="n">
        <f aca="false">Staff!U3</f>
        <v>17</v>
      </c>
      <c r="V3" s="21" t="n">
        <f aca="false">Staff!V3</f>
        <v>18</v>
      </c>
      <c r="W3" s="21" t="n">
        <f aca="false">Staff!W3</f>
        <v>19</v>
      </c>
      <c r="X3" s="21" t="n">
        <f aca="false">Staff!X3</f>
        <v>20</v>
      </c>
      <c r="Y3" s="21" t="n">
        <f aca="false">Staff!Y3</f>
        <v>21</v>
      </c>
      <c r="Z3" s="21" t="n">
        <f aca="false">Staff!Z3</f>
        <v>22</v>
      </c>
      <c r="AA3" s="21" t="n">
        <f aca="false">Staff!AA3</f>
        <v>23</v>
      </c>
      <c r="AB3" s="21" t="n">
        <f aca="false">Staff!AB3</f>
        <v>24</v>
      </c>
      <c r="AC3" s="21" t="n">
        <f aca="false">Staff!AC3</f>
        <v>25</v>
      </c>
      <c r="AD3" s="21" t="n">
        <f aca="false">Staff!AD3</f>
        <v>26</v>
      </c>
      <c r="AE3" s="21" t="n">
        <f aca="false">Staff!AE3</f>
        <v>27</v>
      </c>
      <c r="AF3" s="21" t="n">
        <f aca="false">Staff!AF3</f>
        <v>28</v>
      </c>
      <c r="AG3" s="21" t="n">
        <f aca="false">Staff!AG3</f>
        <v>29</v>
      </c>
      <c r="AH3" s="21" t="n">
        <f aca="false">Staff!AH3</f>
        <v>30</v>
      </c>
      <c r="AI3" s="21" t="n">
        <f aca="false">Staff!AI3</f>
        <v>31</v>
      </c>
      <c r="AJ3" s="21" t="n">
        <f aca="false">Staff!AJ3</f>
        <v>32</v>
      </c>
      <c r="AK3" s="21" t="n">
        <f aca="false">Staff!AK3</f>
        <v>33</v>
      </c>
      <c r="AL3" s="21" t="n">
        <f aca="false">Staff!AL3</f>
        <v>34</v>
      </c>
      <c r="AM3" s="21" t="n">
        <f aca="false">Staff!AM3</f>
        <v>35</v>
      </c>
      <c r="AN3" s="21" t="n">
        <f aca="false">Staff!AN3</f>
        <v>36</v>
      </c>
      <c r="AO3" s="21" t="n">
        <f aca="false">Staff!AO3</f>
        <v>37</v>
      </c>
      <c r="AP3" s="21" t="n">
        <f aca="false">Staff!AP3</f>
        <v>38</v>
      </c>
      <c r="AQ3" s="21" t="n">
        <f aca="false">Staff!AQ3</f>
        <v>39</v>
      </c>
      <c r="AR3" s="21" t="n">
        <f aca="false">Staff!AR3</f>
        <v>40</v>
      </c>
      <c r="AS3" s="21" t="n">
        <f aca="false">Staff!AS3</f>
        <v>41</v>
      </c>
      <c r="AT3" s="21" t="n">
        <f aca="false">Staff!AT3</f>
        <v>42</v>
      </c>
      <c r="AU3" s="21" t="n">
        <f aca="false">Staff!AU3</f>
        <v>43</v>
      </c>
      <c r="AV3" s="21" t="n">
        <f aca="false">Staff!AV3</f>
        <v>44</v>
      </c>
      <c r="AW3" s="21" t="n">
        <f aca="false">Staff!AW3</f>
        <v>45</v>
      </c>
      <c r="AX3" s="21" t="n">
        <f aca="false">Staff!AX3</f>
        <v>46</v>
      </c>
      <c r="AY3" s="21" t="n">
        <f aca="false">Staff!AY3</f>
        <v>47</v>
      </c>
      <c r="AZ3" s="21" t="n">
        <f aca="false">Staff!AZ3</f>
        <v>48</v>
      </c>
      <c r="BA3" s="21" t="n">
        <f aca="false">Staff!BA3</f>
        <v>49</v>
      </c>
      <c r="BB3" s="21" t="n">
        <f aca="false">Staff!BB3</f>
        <v>50</v>
      </c>
      <c r="BC3" s="21" t="n">
        <f aca="false">Staff!BC3</f>
        <v>51</v>
      </c>
      <c r="BD3" s="21" t="n">
        <f aca="false">Staff!BD3</f>
        <v>52</v>
      </c>
      <c r="BE3" s="21" t="n">
        <f aca="false">Staff!BE3</f>
        <v>53</v>
      </c>
      <c r="BF3" s="21" t="n">
        <f aca="false">Staff!BF3</f>
        <v>54</v>
      </c>
      <c r="BG3" s="21" t="n">
        <f aca="false">Staff!BG3</f>
        <v>55</v>
      </c>
      <c r="BH3" s="21" t="n">
        <f aca="false">Staff!BH3</f>
        <v>56</v>
      </c>
      <c r="BI3" s="21" t="n">
        <f aca="false">Staff!BI3</f>
        <v>57</v>
      </c>
      <c r="BJ3" s="21" t="n">
        <f aca="false">Staff!BJ3</f>
        <v>58</v>
      </c>
      <c r="BK3" s="21" t="n">
        <f aca="false">Staff!BK3</f>
        <v>59</v>
      </c>
      <c r="BL3" s="21" t="n">
        <f aca="false">Staff!BL3</f>
        <v>60</v>
      </c>
    </row>
    <row r="4" customFormat="false" ht="15" hidden="false" customHeight="true" outlineLevel="0" collapsed="false">
      <c r="A4" s="9" t="s">
        <v>1133</v>
      </c>
      <c r="E4" s="54" t="n">
        <f aca="false">Staff!E4</f>
        <v>46388</v>
      </c>
      <c r="F4" s="54" t="n">
        <f aca="false">Staff!F4</f>
        <v>46419</v>
      </c>
      <c r="G4" s="54" t="n">
        <f aca="false">Staff!G4</f>
        <v>46447</v>
      </c>
      <c r="H4" s="54" t="n">
        <f aca="false">Staff!H4</f>
        <v>46478</v>
      </c>
      <c r="I4" s="54" t="n">
        <f aca="false">Staff!I4</f>
        <v>46508</v>
      </c>
      <c r="J4" s="54" t="n">
        <f aca="false">Staff!J4</f>
        <v>46539</v>
      </c>
      <c r="K4" s="54" t="n">
        <f aca="false">Staff!K4</f>
        <v>46569</v>
      </c>
      <c r="L4" s="54" t="n">
        <f aca="false">Staff!L4</f>
        <v>46600</v>
      </c>
      <c r="M4" s="54" t="n">
        <f aca="false">Staff!M4</f>
        <v>46631</v>
      </c>
      <c r="N4" s="54" t="n">
        <f aca="false">Staff!N4</f>
        <v>46661</v>
      </c>
      <c r="O4" s="54" t="n">
        <f aca="false">Staff!O4</f>
        <v>46692</v>
      </c>
      <c r="P4" s="54" t="n">
        <f aca="false">Staff!P4</f>
        <v>46722</v>
      </c>
      <c r="Q4" s="54" t="n">
        <f aca="false">Staff!Q4</f>
        <v>46753</v>
      </c>
      <c r="R4" s="54" t="n">
        <f aca="false">Staff!R4</f>
        <v>46784</v>
      </c>
      <c r="S4" s="54" t="n">
        <f aca="false">Staff!S4</f>
        <v>46813</v>
      </c>
      <c r="T4" s="54" t="n">
        <f aca="false">Staff!T4</f>
        <v>46844</v>
      </c>
      <c r="U4" s="54" t="n">
        <f aca="false">Staff!U4</f>
        <v>46874</v>
      </c>
      <c r="V4" s="54" t="n">
        <f aca="false">Staff!V4</f>
        <v>46905</v>
      </c>
      <c r="W4" s="54" t="n">
        <f aca="false">Staff!W4</f>
        <v>46935</v>
      </c>
      <c r="X4" s="54" t="n">
        <f aca="false">Staff!X4</f>
        <v>46966</v>
      </c>
      <c r="Y4" s="54" t="n">
        <f aca="false">Staff!Y4</f>
        <v>46997</v>
      </c>
      <c r="Z4" s="54" t="n">
        <f aca="false">Staff!Z4</f>
        <v>47027</v>
      </c>
      <c r="AA4" s="54" t="n">
        <f aca="false">Staff!AA4</f>
        <v>47058</v>
      </c>
      <c r="AB4" s="54" t="n">
        <f aca="false">Staff!AB4</f>
        <v>47088</v>
      </c>
      <c r="AC4" s="54" t="n">
        <f aca="false">Staff!AC4</f>
        <v>47119</v>
      </c>
      <c r="AD4" s="54" t="n">
        <f aca="false">Staff!AD4</f>
        <v>47150</v>
      </c>
      <c r="AE4" s="54" t="n">
        <f aca="false">Staff!AE4</f>
        <v>47178</v>
      </c>
      <c r="AF4" s="54" t="n">
        <f aca="false">Staff!AF4</f>
        <v>47209</v>
      </c>
      <c r="AG4" s="54" t="n">
        <f aca="false">Staff!AG4</f>
        <v>47239</v>
      </c>
      <c r="AH4" s="54" t="n">
        <f aca="false">Staff!AH4</f>
        <v>47270</v>
      </c>
      <c r="AI4" s="54" t="n">
        <f aca="false">Staff!AI4</f>
        <v>47300</v>
      </c>
      <c r="AJ4" s="54" t="n">
        <f aca="false">Staff!AJ4</f>
        <v>47331</v>
      </c>
      <c r="AK4" s="54" t="n">
        <f aca="false">Staff!AK4</f>
        <v>47362</v>
      </c>
      <c r="AL4" s="54" t="n">
        <f aca="false">Staff!AL4</f>
        <v>47392</v>
      </c>
      <c r="AM4" s="54" t="n">
        <f aca="false">Staff!AM4</f>
        <v>47423</v>
      </c>
      <c r="AN4" s="54" t="n">
        <f aca="false">Staff!AN4</f>
        <v>47453</v>
      </c>
      <c r="AO4" s="54" t="n">
        <f aca="false">Staff!AO4</f>
        <v>47484</v>
      </c>
      <c r="AP4" s="54" t="n">
        <f aca="false">Staff!AP4</f>
        <v>47515</v>
      </c>
      <c r="AQ4" s="54" t="n">
        <f aca="false">Staff!AQ4</f>
        <v>47543</v>
      </c>
      <c r="AR4" s="54" t="n">
        <f aca="false">Staff!AR4</f>
        <v>47574</v>
      </c>
      <c r="AS4" s="54" t="n">
        <f aca="false">Staff!AS4</f>
        <v>47604</v>
      </c>
      <c r="AT4" s="54" t="n">
        <f aca="false">Staff!AT4</f>
        <v>47635</v>
      </c>
      <c r="AU4" s="54" t="n">
        <f aca="false">Staff!AU4</f>
        <v>47665</v>
      </c>
      <c r="AV4" s="54" t="n">
        <f aca="false">Staff!AV4</f>
        <v>47696</v>
      </c>
      <c r="AW4" s="54" t="n">
        <f aca="false">Staff!AW4</f>
        <v>47727</v>
      </c>
      <c r="AX4" s="54" t="n">
        <f aca="false">Staff!AX4</f>
        <v>47757</v>
      </c>
      <c r="AY4" s="54" t="n">
        <f aca="false">Staff!AY4</f>
        <v>47788</v>
      </c>
      <c r="AZ4" s="54" t="n">
        <f aca="false">Staff!AZ4</f>
        <v>47818</v>
      </c>
      <c r="BA4" s="54" t="n">
        <f aca="false">Staff!BA4</f>
        <v>47849</v>
      </c>
      <c r="BB4" s="54" t="n">
        <f aca="false">Staff!BB4</f>
        <v>47880</v>
      </c>
      <c r="BC4" s="54" t="n">
        <f aca="false">Staff!BC4</f>
        <v>47908</v>
      </c>
      <c r="BD4" s="54" t="n">
        <f aca="false">Staff!BD4</f>
        <v>47939</v>
      </c>
      <c r="BE4" s="54" t="n">
        <f aca="false">Staff!BE4</f>
        <v>47969</v>
      </c>
      <c r="BF4" s="54" t="n">
        <f aca="false">Staff!BF4</f>
        <v>48000</v>
      </c>
      <c r="BG4" s="54" t="n">
        <f aca="false">Staff!BG4</f>
        <v>48030</v>
      </c>
      <c r="BH4" s="54" t="n">
        <f aca="false">Staff!BH4</f>
        <v>48061</v>
      </c>
      <c r="BI4" s="54" t="n">
        <f aca="false">Staff!BI4</f>
        <v>48092</v>
      </c>
      <c r="BJ4" s="54" t="n">
        <f aca="false">Staff!BJ4</f>
        <v>48122</v>
      </c>
      <c r="BK4" s="54" t="n">
        <f aca="false">Staff!BK4</f>
        <v>48153</v>
      </c>
      <c r="BL4" s="54" t="n">
        <f aca="false">Staff!BL4</f>
        <v>48183</v>
      </c>
    </row>
    <row r="5" customFormat="false" ht="15" hidden="false" customHeight="true" outlineLevel="0" collapsed="false">
      <c r="A5" s="9" t="s">
        <v>87</v>
      </c>
      <c r="E5" s="55" t="n">
        <f aca="false">Staff!E5</f>
        <v>1</v>
      </c>
      <c r="F5" s="55" t="n">
        <f aca="false">Staff!F5</f>
        <v>1</v>
      </c>
      <c r="G5" s="55" t="n">
        <f aca="false">Staff!G5</f>
        <v>1</v>
      </c>
      <c r="H5" s="55" t="n">
        <f aca="false">Staff!H5</f>
        <v>1</v>
      </c>
      <c r="I5" s="55" t="n">
        <f aca="false">Staff!I5</f>
        <v>1</v>
      </c>
      <c r="J5" s="55" t="n">
        <f aca="false">Staff!J5</f>
        <v>1</v>
      </c>
      <c r="K5" s="55" t="n">
        <f aca="false">Staff!K5</f>
        <v>1</v>
      </c>
      <c r="L5" s="55" t="n">
        <f aca="false">Staff!L5</f>
        <v>1</v>
      </c>
      <c r="M5" s="55" t="n">
        <f aca="false">Staff!M5</f>
        <v>1</v>
      </c>
      <c r="N5" s="55" t="n">
        <f aca="false">Staff!N5</f>
        <v>1</v>
      </c>
      <c r="O5" s="55" t="n">
        <f aca="false">Staff!O5</f>
        <v>1</v>
      </c>
      <c r="P5" s="55" t="n">
        <f aca="false">Staff!P5</f>
        <v>1</v>
      </c>
      <c r="Q5" s="55" t="n">
        <f aca="false">Staff!Q5</f>
        <v>2</v>
      </c>
      <c r="R5" s="55" t="n">
        <f aca="false">Staff!R5</f>
        <v>2</v>
      </c>
      <c r="S5" s="55" t="n">
        <f aca="false">Staff!S5</f>
        <v>2</v>
      </c>
      <c r="T5" s="55" t="n">
        <f aca="false">Staff!T5</f>
        <v>2</v>
      </c>
      <c r="U5" s="55" t="n">
        <f aca="false">Staff!U5</f>
        <v>2</v>
      </c>
      <c r="V5" s="55" t="n">
        <f aca="false">Staff!V5</f>
        <v>2</v>
      </c>
      <c r="W5" s="55" t="n">
        <f aca="false">Staff!W5</f>
        <v>2</v>
      </c>
      <c r="X5" s="55" t="n">
        <f aca="false">Staff!X5</f>
        <v>2</v>
      </c>
      <c r="Y5" s="55" t="n">
        <f aca="false">Staff!Y5</f>
        <v>2</v>
      </c>
      <c r="Z5" s="55" t="n">
        <f aca="false">Staff!Z5</f>
        <v>2</v>
      </c>
      <c r="AA5" s="55" t="n">
        <f aca="false">Staff!AA5</f>
        <v>2</v>
      </c>
      <c r="AB5" s="55" t="n">
        <f aca="false">Staff!AB5</f>
        <v>2</v>
      </c>
      <c r="AC5" s="55" t="n">
        <f aca="false">Staff!AC5</f>
        <v>3</v>
      </c>
      <c r="AD5" s="55" t="n">
        <f aca="false">Staff!AD5</f>
        <v>3</v>
      </c>
      <c r="AE5" s="55" t="n">
        <f aca="false">Staff!AE5</f>
        <v>3</v>
      </c>
      <c r="AF5" s="55" t="n">
        <f aca="false">Staff!AF5</f>
        <v>3</v>
      </c>
      <c r="AG5" s="55" t="n">
        <f aca="false">Staff!AG5</f>
        <v>3</v>
      </c>
      <c r="AH5" s="55" t="n">
        <f aca="false">Staff!AH5</f>
        <v>3</v>
      </c>
      <c r="AI5" s="55" t="n">
        <f aca="false">Staff!AI5</f>
        <v>3</v>
      </c>
      <c r="AJ5" s="55" t="n">
        <f aca="false">Staff!AJ5</f>
        <v>3</v>
      </c>
      <c r="AK5" s="55" t="n">
        <f aca="false">Staff!AK5</f>
        <v>3</v>
      </c>
      <c r="AL5" s="55" t="n">
        <f aca="false">Staff!AL5</f>
        <v>3</v>
      </c>
      <c r="AM5" s="55" t="n">
        <f aca="false">Staff!AM5</f>
        <v>3</v>
      </c>
      <c r="AN5" s="55" t="n">
        <f aca="false">Staff!AN5</f>
        <v>3</v>
      </c>
      <c r="AO5" s="55" t="n">
        <f aca="false">Staff!AO5</f>
        <v>4</v>
      </c>
      <c r="AP5" s="55" t="n">
        <f aca="false">Staff!AP5</f>
        <v>4</v>
      </c>
      <c r="AQ5" s="55" t="n">
        <f aca="false">Staff!AQ5</f>
        <v>4</v>
      </c>
      <c r="AR5" s="55" t="n">
        <f aca="false">Staff!AR5</f>
        <v>4</v>
      </c>
      <c r="AS5" s="55" t="n">
        <f aca="false">Staff!AS5</f>
        <v>4</v>
      </c>
      <c r="AT5" s="55" t="n">
        <f aca="false">Staff!AT5</f>
        <v>4</v>
      </c>
      <c r="AU5" s="55" t="n">
        <f aca="false">Staff!AU5</f>
        <v>4</v>
      </c>
      <c r="AV5" s="55" t="n">
        <f aca="false">Staff!AV5</f>
        <v>4</v>
      </c>
      <c r="AW5" s="55" t="n">
        <f aca="false">Staff!AW5</f>
        <v>4</v>
      </c>
      <c r="AX5" s="55" t="n">
        <f aca="false">Staff!AX5</f>
        <v>4</v>
      </c>
      <c r="AY5" s="55" t="n">
        <f aca="false">Staff!AY5</f>
        <v>4</v>
      </c>
      <c r="AZ5" s="55" t="n">
        <f aca="false">Staff!AZ5</f>
        <v>4</v>
      </c>
      <c r="BA5" s="55" t="n">
        <f aca="false">Staff!BA5</f>
        <v>5</v>
      </c>
      <c r="BB5" s="55" t="n">
        <f aca="false">Staff!BB5</f>
        <v>5</v>
      </c>
      <c r="BC5" s="55" t="n">
        <f aca="false">Staff!BC5</f>
        <v>5</v>
      </c>
      <c r="BD5" s="55" t="n">
        <f aca="false">Staff!BD5</f>
        <v>5</v>
      </c>
      <c r="BE5" s="55" t="n">
        <f aca="false">Staff!BE5</f>
        <v>5</v>
      </c>
      <c r="BF5" s="55" t="n">
        <f aca="false">Staff!BF5</f>
        <v>5</v>
      </c>
      <c r="BG5" s="55" t="n">
        <f aca="false">Staff!BG5</f>
        <v>5</v>
      </c>
      <c r="BH5" s="55" t="n">
        <f aca="false">Staff!BH5</f>
        <v>5</v>
      </c>
      <c r="BI5" s="55" t="n">
        <f aca="false">Staff!BI5</f>
        <v>5</v>
      </c>
      <c r="BJ5" s="55" t="n">
        <f aca="false">Staff!BJ5</f>
        <v>5</v>
      </c>
      <c r="BK5" s="55" t="n">
        <f aca="false">Staff!BK5</f>
        <v>5</v>
      </c>
      <c r="BL5" s="55" t="n">
        <f aca="false">Staff!BL5</f>
        <v>5</v>
      </c>
    </row>
    <row r="8" customFormat="false" ht="15" hidden="false" customHeight="true" outlineLevel="0" collapsed="false">
      <c r="A8" s="11" t="s">
        <v>1134</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10" customFormat="false" ht="15" hidden="false" customHeight="true" outlineLevel="0" collapsed="false">
      <c r="A10" s="11" t="s">
        <v>1135</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1" customFormat="false" ht="15" hidden="false" customHeight="true" outlineLevel="0" collapsed="false">
      <c r="A11" s="13" t="str">
        <f aca="false">Staff!A39</f>
        <v>CEO (full salary from year 2) · SN</v>
      </c>
      <c r="B11" s="15" t="s">
        <v>79</v>
      </c>
      <c r="D11" s="56" t="n">
        <f aca="false">Staff!D39/FX_EUR</f>
        <v>269071.934212151</v>
      </c>
      <c r="E11" s="33" t="n">
        <f aca="false">Staff!E39/FX_EUR</f>
        <v>0</v>
      </c>
      <c r="F11" s="33" t="n">
        <f aca="false">Staff!F39/FX_EUR</f>
        <v>0</v>
      </c>
      <c r="G11" s="33" t="n">
        <f aca="false">Staff!G39/FX_EUR</f>
        <v>0</v>
      </c>
      <c r="H11" s="33" t="n">
        <f aca="false">Staff!H39/FX_EUR</f>
        <v>0</v>
      </c>
      <c r="I11" s="33" t="n">
        <f aca="false">Staff!I39/FX_EUR</f>
        <v>0</v>
      </c>
      <c r="J11" s="33" t="n">
        <f aca="false">Staff!J39/FX_EUR</f>
        <v>0</v>
      </c>
      <c r="K11" s="33" t="n">
        <f aca="false">Staff!K39/FX_EUR</f>
        <v>0</v>
      </c>
      <c r="L11" s="33" t="n">
        <f aca="false">Staff!L39/FX_EUR</f>
        <v>0</v>
      </c>
      <c r="M11" s="33" t="n">
        <f aca="false">Staff!M39/FX_EUR</f>
        <v>0</v>
      </c>
      <c r="N11" s="33" t="n">
        <f aca="false">Staff!N39/FX_EUR</f>
        <v>0</v>
      </c>
      <c r="O11" s="33" t="n">
        <f aca="false">Staff!O39/FX_EUR</f>
        <v>0</v>
      </c>
      <c r="P11" s="33" t="n">
        <f aca="false">Staff!P39/FX_EUR</f>
        <v>0</v>
      </c>
      <c r="Q11" s="33" t="n">
        <f aca="false">Staff!Q39/FX_EUR</f>
        <v>5202.32271322663</v>
      </c>
      <c r="R11" s="33" t="n">
        <f aca="false">Staff!R39/FX_EUR</f>
        <v>5202.32271322663</v>
      </c>
      <c r="S11" s="33" t="n">
        <f aca="false">Staff!S39/FX_EUR</f>
        <v>5202.32271322663</v>
      </c>
      <c r="T11" s="33" t="n">
        <f aca="false">Staff!T39/FX_EUR</f>
        <v>5202.32271322663</v>
      </c>
      <c r="U11" s="33" t="n">
        <f aca="false">Staff!U39/FX_EUR</f>
        <v>5202.32271322663</v>
      </c>
      <c r="V11" s="33" t="n">
        <f aca="false">Staff!V39/FX_EUR</f>
        <v>5202.32271322663</v>
      </c>
      <c r="W11" s="33" t="n">
        <f aca="false">Staff!W39/FX_EUR</f>
        <v>5202.32271322663</v>
      </c>
      <c r="X11" s="33" t="n">
        <f aca="false">Staff!X39/FX_EUR</f>
        <v>5202.32271322663</v>
      </c>
      <c r="Y11" s="33" t="n">
        <f aca="false">Staff!Y39/FX_EUR</f>
        <v>5202.32271322663</v>
      </c>
      <c r="Z11" s="33" t="n">
        <f aca="false">Staff!Z39/FX_EUR</f>
        <v>5202.32271322663</v>
      </c>
      <c r="AA11" s="33" t="n">
        <f aca="false">Staff!AA39/FX_EUR</f>
        <v>5202.32271322663</v>
      </c>
      <c r="AB11" s="33" t="n">
        <f aca="false">Staff!AB39/FX_EUR</f>
        <v>5202.32271322663</v>
      </c>
      <c r="AC11" s="33" t="n">
        <f aca="false">Staff!AC39/FX_EUR</f>
        <v>5462.43884888796</v>
      </c>
      <c r="AD11" s="33" t="n">
        <f aca="false">Staff!AD39/FX_EUR</f>
        <v>5462.43884888796</v>
      </c>
      <c r="AE11" s="33" t="n">
        <f aca="false">Staff!AE39/FX_EUR</f>
        <v>5462.43884888796</v>
      </c>
      <c r="AF11" s="33" t="n">
        <f aca="false">Staff!AF39/FX_EUR</f>
        <v>5462.43884888796</v>
      </c>
      <c r="AG11" s="33" t="n">
        <f aca="false">Staff!AG39/FX_EUR</f>
        <v>5462.43884888796</v>
      </c>
      <c r="AH11" s="33" t="n">
        <f aca="false">Staff!AH39/FX_EUR</f>
        <v>5462.43884888796</v>
      </c>
      <c r="AI11" s="33" t="n">
        <f aca="false">Staff!AI39/FX_EUR</f>
        <v>5462.43884888796</v>
      </c>
      <c r="AJ11" s="33" t="n">
        <f aca="false">Staff!AJ39/FX_EUR</f>
        <v>5462.43884888796</v>
      </c>
      <c r="AK11" s="33" t="n">
        <f aca="false">Staff!AK39/FX_EUR</f>
        <v>5462.43884888796</v>
      </c>
      <c r="AL11" s="33" t="n">
        <f aca="false">Staff!AL39/FX_EUR</f>
        <v>5462.43884888796</v>
      </c>
      <c r="AM11" s="33" t="n">
        <f aca="false">Staff!AM39/FX_EUR</f>
        <v>5462.43884888796</v>
      </c>
      <c r="AN11" s="33" t="n">
        <f aca="false">Staff!AN39/FX_EUR</f>
        <v>5462.43884888796</v>
      </c>
      <c r="AO11" s="33" t="n">
        <f aca="false">Staff!AO39/FX_EUR</f>
        <v>5735.56079133236</v>
      </c>
      <c r="AP11" s="33" t="n">
        <f aca="false">Staff!AP39/FX_EUR</f>
        <v>5735.56079133236</v>
      </c>
      <c r="AQ11" s="33" t="n">
        <f aca="false">Staff!AQ39/FX_EUR</f>
        <v>5735.56079133236</v>
      </c>
      <c r="AR11" s="33" t="n">
        <f aca="false">Staff!AR39/FX_EUR</f>
        <v>5735.56079133236</v>
      </c>
      <c r="AS11" s="33" t="n">
        <f aca="false">Staff!AS39/FX_EUR</f>
        <v>5735.56079133236</v>
      </c>
      <c r="AT11" s="33" t="n">
        <f aca="false">Staff!AT39/FX_EUR</f>
        <v>5735.56079133236</v>
      </c>
      <c r="AU11" s="33" t="n">
        <f aca="false">Staff!AU39/FX_EUR</f>
        <v>5735.56079133236</v>
      </c>
      <c r="AV11" s="33" t="n">
        <f aca="false">Staff!AV39/FX_EUR</f>
        <v>5735.56079133236</v>
      </c>
      <c r="AW11" s="33" t="n">
        <f aca="false">Staff!AW39/FX_EUR</f>
        <v>5735.56079133236</v>
      </c>
      <c r="AX11" s="33" t="n">
        <f aca="false">Staff!AX39/FX_EUR</f>
        <v>5735.56079133236</v>
      </c>
      <c r="AY11" s="33" t="n">
        <f aca="false">Staff!AY39/FX_EUR</f>
        <v>5735.56079133236</v>
      </c>
      <c r="AZ11" s="33" t="n">
        <f aca="false">Staff!AZ39/FX_EUR</f>
        <v>5735.56079133236</v>
      </c>
      <c r="BA11" s="33" t="n">
        <f aca="false">Staff!BA39/FX_EUR</f>
        <v>6022.33883089898</v>
      </c>
      <c r="BB11" s="33" t="n">
        <f aca="false">Staff!BB39/FX_EUR</f>
        <v>6022.33883089898</v>
      </c>
      <c r="BC11" s="33" t="n">
        <f aca="false">Staff!BC39/FX_EUR</f>
        <v>6022.33883089898</v>
      </c>
      <c r="BD11" s="33" t="n">
        <f aca="false">Staff!BD39/FX_EUR</f>
        <v>6022.33883089898</v>
      </c>
      <c r="BE11" s="33" t="n">
        <f aca="false">Staff!BE39/FX_EUR</f>
        <v>6022.33883089898</v>
      </c>
      <c r="BF11" s="33" t="n">
        <f aca="false">Staff!BF39/FX_EUR</f>
        <v>6022.33883089898</v>
      </c>
      <c r="BG11" s="33" t="n">
        <f aca="false">Staff!BG39/FX_EUR</f>
        <v>6022.33883089898</v>
      </c>
      <c r="BH11" s="33" t="n">
        <f aca="false">Staff!BH39/FX_EUR</f>
        <v>6022.33883089898</v>
      </c>
      <c r="BI11" s="33" t="n">
        <f aca="false">Staff!BI39/FX_EUR</f>
        <v>6022.33883089898</v>
      </c>
      <c r="BJ11" s="33" t="n">
        <f aca="false">Staff!BJ39/FX_EUR</f>
        <v>6022.33883089898</v>
      </c>
      <c r="BK11" s="33" t="n">
        <f aca="false">Staff!BK39/FX_EUR</f>
        <v>6022.33883089898</v>
      </c>
      <c r="BL11" s="33" t="n">
        <f aca="false">Staff!BL39/FX_EUR</f>
        <v>6022.33883089898</v>
      </c>
    </row>
    <row r="12" customFormat="false" ht="15" hidden="false" customHeight="true" outlineLevel="0" collapsed="false">
      <c r="A12" s="13" t="str">
        <f aca="false">Staff!A40</f>
        <v>CTO (also codes) · SN</v>
      </c>
      <c r="B12" s="15" t="s">
        <v>79</v>
      </c>
      <c r="D12" s="56" t="n">
        <f aca="false">Staff!D40/FX_EUR</f>
        <v>328527.050934741</v>
      </c>
      <c r="E12" s="33" t="n">
        <f aca="false">Staff!E40/FX_EUR</f>
        <v>4954.59306021584</v>
      </c>
      <c r="F12" s="33" t="n">
        <f aca="false">Staff!F40/FX_EUR</f>
        <v>4954.59306021584</v>
      </c>
      <c r="G12" s="33" t="n">
        <f aca="false">Staff!G40/FX_EUR</f>
        <v>4954.59306021584</v>
      </c>
      <c r="H12" s="33" t="n">
        <f aca="false">Staff!H40/FX_EUR</f>
        <v>4954.59306021584</v>
      </c>
      <c r="I12" s="33" t="n">
        <f aca="false">Staff!I40/FX_EUR</f>
        <v>4954.59306021584</v>
      </c>
      <c r="J12" s="33" t="n">
        <f aca="false">Staff!J40/FX_EUR</f>
        <v>4954.59306021584</v>
      </c>
      <c r="K12" s="33" t="n">
        <f aca="false">Staff!K40/FX_EUR</f>
        <v>4954.59306021584</v>
      </c>
      <c r="L12" s="33" t="n">
        <f aca="false">Staff!L40/FX_EUR</f>
        <v>4954.59306021584</v>
      </c>
      <c r="M12" s="33" t="n">
        <f aca="false">Staff!M40/FX_EUR</f>
        <v>4954.59306021584</v>
      </c>
      <c r="N12" s="33" t="n">
        <f aca="false">Staff!N40/FX_EUR</f>
        <v>4954.59306021584</v>
      </c>
      <c r="O12" s="33" t="n">
        <f aca="false">Staff!O40/FX_EUR</f>
        <v>4954.59306021584</v>
      </c>
      <c r="P12" s="33" t="n">
        <f aca="false">Staff!P40/FX_EUR</f>
        <v>4954.59306021584</v>
      </c>
      <c r="Q12" s="33" t="n">
        <f aca="false">Staff!Q40/FX_EUR</f>
        <v>5202.32271322663</v>
      </c>
      <c r="R12" s="33" t="n">
        <f aca="false">Staff!R40/FX_EUR</f>
        <v>5202.32271322663</v>
      </c>
      <c r="S12" s="33" t="n">
        <f aca="false">Staff!S40/FX_EUR</f>
        <v>5202.32271322663</v>
      </c>
      <c r="T12" s="33" t="n">
        <f aca="false">Staff!T40/FX_EUR</f>
        <v>5202.32271322663</v>
      </c>
      <c r="U12" s="33" t="n">
        <f aca="false">Staff!U40/FX_EUR</f>
        <v>5202.32271322663</v>
      </c>
      <c r="V12" s="33" t="n">
        <f aca="false">Staff!V40/FX_EUR</f>
        <v>5202.32271322663</v>
      </c>
      <c r="W12" s="33" t="n">
        <f aca="false">Staff!W40/FX_EUR</f>
        <v>5202.32271322663</v>
      </c>
      <c r="X12" s="33" t="n">
        <f aca="false">Staff!X40/FX_EUR</f>
        <v>5202.32271322663</v>
      </c>
      <c r="Y12" s="33" t="n">
        <f aca="false">Staff!Y40/FX_EUR</f>
        <v>5202.32271322663</v>
      </c>
      <c r="Z12" s="33" t="n">
        <f aca="false">Staff!Z40/FX_EUR</f>
        <v>5202.32271322663</v>
      </c>
      <c r="AA12" s="33" t="n">
        <f aca="false">Staff!AA40/FX_EUR</f>
        <v>5202.32271322663</v>
      </c>
      <c r="AB12" s="33" t="n">
        <f aca="false">Staff!AB40/FX_EUR</f>
        <v>5202.32271322663</v>
      </c>
      <c r="AC12" s="33" t="n">
        <f aca="false">Staff!AC40/FX_EUR</f>
        <v>5462.43884888796</v>
      </c>
      <c r="AD12" s="33" t="n">
        <f aca="false">Staff!AD40/FX_EUR</f>
        <v>5462.43884888796</v>
      </c>
      <c r="AE12" s="33" t="n">
        <f aca="false">Staff!AE40/FX_EUR</f>
        <v>5462.43884888796</v>
      </c>
      <c r="AF12" s="33" t="n">
        <f aca="false">Staff!AF40/FX_EUR</f>
        <v>5462.43884888796</v>
      </c>
      <c r="AG12" s="33" t="n">
        <f aca="false">Staff!AG40/FX_EUR</f>
        <v>5462.43884888796</v>
      </c>
      <c r="AH12" s="33" t="n">
        <f aca="false">Staff!AH40/FX_EUR</f>
        <v>5462.43884888796</v>
      </c>
      <c r="AI12" s="33" t="n">
        <f aca="false">Staff!AI40/FX_EUR</f>
        <v>5462.43884888796</v>
      </c>
      <c r="AJ12" s="33" t="n">
        <f aca="false">Staff!AJ40/FX_EUR</f>
        <v>5462.43884888796</v>
      </c>
      <c r="AK12" s="33" t="n">
        <f aca="false">Staff!AK40/FX_EUR</f>
        <v>5462.43884888796</v>
      </c>
      <c r="AL12" s="33" t="n">
        <f aca="false">Staff!AL40/FX_EUR</f>
        <v>5462.43884888796</v>
      </c>
      <c r="AM12" s="33" t="n">
        <f aca="false">Staff!AM40/FX_EUR</f>
        <v>5462.43884888796</v>
      </c>
      <c r="AN12" s="33" t="n">
        <f aca="false">Staff!AN40/FX_EUR</f>
        <v>5462.43884888796</v>
      </c>
      <c r="AO12" s="33" t="n">
        <f aca="false">Staff!AO40/FX_EUR</f>
        <v>5735.56079133236</v>
      </c>
      <c r="AP12" s="33" t="n">
        <f aca="false">Staff!AP40/FX_EUR</f>
        <v>5735.56079133236</v>
      </c>
      <c r="AQ12" s="33" t="n">
        <f aca="false">Staff!AQ40/FX_EUR</f>
        <v>5735.56079133236</v>
      </c>
      <c r="AR12" s="33" t="n">
        <f aca="false">Staff!AR40/FX_EUR</f>
        <v>5735.56079133236</v>
      </c>
      <c r="AS12" s="33" t="n">
        <f aca="false">Staff!AS40/FX_EUR</f>
        <v>5735.56079133236</v>
      </c>
      <c r="AT12" s="33" t="n">
        <f aca="false">Staff!AT40/FX_EUR</f>
        <v>5735.56079133236</v>
      </c>
      <c r="AU12" s="33" t="n">
        <f aca="false">Staff!AU40/FX_EUR</f>
        <v>5735.56079133236</v>
      </c>
      <c r="AV12" s="33" t="n">
        <f aca="false">Staff!AV40/FX_EUR</f>
        <v>5735.56079133236</v>
      </c>
      <c r="AW12" s="33" t="n">
        <f aca="false">Staff!AW40/FX_EUR</f>
        <v>5735.56079133236</v>
      </c>
      <c r="AX12" s="33" t="n">
        <f aca="false">Staff!AX40/FX_EUR</f>
        <v>5735.56079133236</v>
      </c>
      <c r="AY12" s="33" t="n">
        <f aca="false">Staff!AY40/FX_EUR</f>
        <v>5735.56079133236</v>
      </c>
      <c r="AZ12" s="33" t="n">
        <f aca="false">Staff!AZ40/FX_EUR</f>
        <v>5735.56079133236</v>
      </c>
      <c r="BA12" s="33" t="n">
        <f aca="false">Staff!BA40/FX_EUR</f>
        <v>6022.33883089898</v>
      </c>
      <c r="BB12" s="33" t="n">
        <f aca="false">Staff!BB40/FX_EUR</f>
        <v>6022.33883089898</v>
      </c>
      <c r="BC12" s="33" t="n">
        <f aca="false">Staff!BC40/FX_EUR</f>
        <v>6022.33883089898</v>
      </c>
      <c r="BD12" s="33" t="n">
        <f aca="false">Staff!BD40/FX_EUR</f>
        <v>6022.33883089898</v>
      </c>
      <c r="BE12" s="33" t="n">
        <f aca="false">Staff!BE40/FX_EUR</f>
        <v>6022.33883089898</v>
      </c>
      <c r="BF12" s="33" t="n">
        <f aca="false">Staff!BF40/FX_EUR</f>
        <v>6022.33883089898</v>
      </c>
      <c r="BG12" s="33" t="n">
        <f aca="false">Staff!BG40/FX_EUR</f>
        <v>6022.33883089898</v>
      </c>
      <c r="BH12" s="33" t="n">
        <f aca="false">Staff!BH40/FX_EUR</f>
        <v>6022.33883089898</v>
      </c>
      <c r="BI12" s="33" t="n">
        <f aca="false">Staff!BI40/FX_EUR</f>
        <v>6022.33883089898</v>
      </c>
      <c r="BJ12" s="33" t="n">
        <f aca="false">Staff!BJ40/FX_EUR</f>
        <v>6022.33883089898</v>
      </c>
      <c r="BK12" s="33" t="n">
        <f aca="false">Staff!BK40/FX_EUR</f>
        <v>6022.33883089898</v>
      </c>
      <c r="BL12" s="33" t="n">
        <f aca="false">Staff!BL40/FX_EUR</f>
        <v>6022.33883089898</v>
      </c>
    </row>
    <row r="13" customFormat="false" ht="15" hidden="false" customHeight="true" outlineLevel="0" collapsed="false">
      <c r="A13" s="13" t="str">
        <f aca="false">Staff!A41</f>
        <v>Financial expert (finance, partners, credit lead) · SN</v>
      </c>
      <c r="B13" s="15" t="s">
        <v>79</v>
      </c>
      <c r="D13" s="56" t="n">
        <f aca="false">Staff!D41/FX_EUR</f>
        <v>197116.230560845</v>
      </c>
      <c r="E13" s="33" t="n">
        <f aca="false">Staff!E41/FX_EUR</f>
        <v>2972.7558361295</v>
      </c>
      <c r="F13" s="33" t="n">
        <f aca="false">Staff!F41/FX_EUR</f>
        <v>2972.7558361295</v>
      </c>
      <c r="G13" s="33" t="n">
        <f aca="false">Staff!G41/FX_EUR</f>
        <v>2972.7558361295</v>
      </c>
      <c r="H13" s="33" t="n">
        <f aca="false">Staff!H41/FX_EUR</f>
        <v>2972.7558361295</v>
      </c>
      <c r="I13" s="33" t="n">
        <f aca="false">Staff!I41/FX_EUR</f>
        <v>2972.7558361295</v>
      </c>
      <c r="J13" s="33" t="n">
        <f aca="false">Staff!J41/FX_EUR</f>
        <v>2972.7558361295</v>
      </c>
      <c r="K13" s="33" t="n">
        <f aca="false">Staff!K41/FX_EUR</f>
        <v>2972.7558361295</v>
      </c>
      <c r="L13" s="33" t="n">
        <f aca="false">Staff!L41/FX_EUR</f>
        <v>2972.7558361295</v>
      </c>
      <c r="M13" s="33" t="n">
        <f aca="false">Staff!M41/FX_EUR</f>
        <v>2972.7558361295</v>
      </c>
      <c r="N13" s="33" t="n">
        <f aca="false">Staff!N41/FX_EUR</f>
        <v>2972.7558361295</v>
      </c>
      <c r="O13" s="33" t="n">
        <f aca="false">Staff!O41/FX_EUR</f>
        <v>2972.7558361295</v>
      </c>
      <c r="P13" s="33" t="n">
        <f aca="false">Staff!P41/FX_EUR</f>
        <v>2972.7558361295</v>
      </c>
      <c r="Q13" s="33" t="n">
        <f aca="false">Staff!Q41/FX_EUR</f>
        <v>3121.39362793598</v>
      </c>
      <c r="R13" s="33" t="n">
        <f aca="false">Staff!R41/FX_EUR</f>
        <v>3121.39362793598</v>
      </c>
      <c r="S13" s="33" t="n">
        <f aca="false">Staff!S41/FX_EUR</f>
        <v>3121.39362793598</v>
      </c>
      <c r="T13" s="33" t="n">
        <f aca="false">Staff!T41/FX_EUR</f>
        <v>3121.39362793598</v>
      </c>
      <c r="U13" s="33" t="n">
        <f aca="false">Staff!U41/FX_EUR</f>
        <v>3121.39362793598</v>
      </c>
      <c r="V13" s="33" t="n">
        <f aca="false">Staff!V41/FX_EUR</f>
        <v>3121.39362793598</v>
      </c>
      <c r="W13" s="33" t="n">
        <f aca="false">Staff!W41/FX_EUR</f>
        <v>3121.39362793598</v>
      </c>
      <c r="X13" s="33" t="n">
        <f aca="false">Staff!X41/FX_EUR</f>
        <v>3121.39362793598</v>
      </c>
      <c r="Y13" s="33" t="n">
        <f aca="false">Staff!Y41/FX_EUR</f>
        <v>3121.39362793598</v>
      </c>
      <c r="Z13" s="33" t="n">
        <f aca="false">Staff!Z41/FX_EUR</f>
        <v>3121.39362793598</v>
      </c>
      <c r="AA13" s="33" t="n">
        <f aca="false">Staff!AA41/FX_EUR</f>
        <v>3121.39362793598</v>
      </c>
      <c r="AB13" s="33" t="n">
        <f aca="false">Staff!AB41/FX_EUR</f>
        <v>3121.39362793598</v>
      </c>
      <c r="AC13" s="33" t="n">
        <f aca="false">Staff!AC41/FX_EUR</f>
        <v>3277.46330933278</v>
      </c>
      <c r="AD13" s="33" t="n">
        <f aca="false">Staff!AD41/FX_EUR</f>
        <v>3277.46330933278</v>
      </c>
      <c r="AE13" s="33" t="n">
        <f aca="false">Staff!AE41/FX_EUR</f>
        <v>3277.46330933278</v>
      </c>
      <c r="AF13" s="33" t="n">
        <f aca="false">Staff!AF41/FX_EUR</f>
        <v>3277.46330933278</v>
      </c>
      <c r="AG13" s="33" t="n">
        <f aca="false">Staff!AG41/FX_EUR</f>
        <v>3277.46330933278</v>
      </c>
      <c r="AH13" s="33" t="n">
        <f aca="false">Staff!AH41/FX_EUR</f>
        <v>3277.46330933278</v>
      </c>
      <c r="AI13" s="33" t="n">
        <f aca="false">Staff!AI41/FX_EUR</f>
        <v>3277.46330933278</v>
      </c>
      <c r="AJ13" s="33" t="n">
        <f aca="false">Staff!AJ41/FX_EUR</f>
        <v>3277.46330933278</v>
      </c>
      <c r="AK13" s="33" t="n">
        <f aca="false">Staff!AK41/FX_EUR</f>
        <v>3277.46330933278</v>
      </c>
      <c r="AL13" s="33" t="n">
        <f aca="false">Staff!AL41/FX_EUR</f>
        <v>3277.46330933278</v>
      </c>
      <c r="AM13" s="33" t="n">
        <f aca="false">Staff!AM41/FX_EUR</f>
        <v>3277.46330933278</v>
      </c>
      <c r="AN13" s="33" t="n">
        <f aca="false">Staff!AN41/FX_EUR</f>
        <v>3277.46330933278</v>
      </c>
      <c r="AO13" s="33" t="n">
        <f aca="false">Staff!AO41/FX_EUR</f>
        <v>3441.33647479942</v>
      </c>
      <c r="AP13" s="33" t="n">
        <f aca="false">Staff!AP41/FX_EUR</f>
        <v>3441.33647479942</v>
      </c>
      <c r="AQ13" s="33" t="n">
        <f aca="false">Staff!AQ41/FX_EUR</f>
        <v>3441.33647479942</v>
      </c>
      <c r="AR13" s="33" t="n">
        <f aca="false">Staff!AR41/FX_EUR</f>
        <v>3441.33647479942</v>
      </c>
      <c r="AS13" s="33" t="n">
        <f aca="false">Staff!AS41/FX_EUR</f>
        <v>3441.33647479942</v>
      </c>
      <c r="AT13" s="33" t="n">
        <f aca="false">Staff!AT41/FX_EUR</f>
        <v>3441.33647479942</v>
      </c>
      <c r="AU13" s="33" t="n">
        <f aca="false">Staff!AU41/FX_EUR</f>
        <v>3441.33647479942</v>
      </c>
      <c r="AV13" s="33" t="n">
        <f aca="false">Staff!AV41/FX_EUR</f>
        <v>3441.33647479942</v>
      </c>
      <c r="AW13" s="33" t="n">
        <f aca="false">Staff!AW41/FX_EUR</f>
        <v>3441.33647479942</v>
      </c>
      <c r="AX13" s="33" t="n">
        <f aca="false">Staff!AX41/FX_EUR</f>
        <v>3441.33647479942</v>
      </c>
      <c r="AY13" s="33" t="n">
        <f aca="false">Staff!AY41/FX_EUR</f>
        <v>3441.33647479942</v>
      </c>
      <c r="AZ13" s="33" t="n">
        <f aca="false">Staff!AZ41/FX_EUR</f>
        <v>3441.33647479942</v>
      </c>
      <c r="BA13" s="33" t="n">
        <f aca="false">Staff!BA41/FX_EUR</f>
        <v>3613.40329853939</v>
      </c>
      <c r="BB13" s="33" t="n">
        <f aca="false">Staff!BB41/FX_EUR</f>
        <v>3613.40329853939</v>
      </c>
      <c r="BC13" s="33" t="n">
        <f aca="false">Staff!BC41/FX_EUR</f>
        <v>3613.40329853939</v>
      </c>
      <c r="BD13" s="33" t="n">
        <f aca="false">Staff!BD41/FX_EUR</f>
        <v>3613.40329853939</v>
      </c>
      <c r="BE13" s="33" t="n">
        <f aca="false">Staff!BE41/FX_EUR</f>
        <v>3613.40329853939</v>
      </c>
      <c r="BF13" s="33" t="n">
        <f aca="false">Staff!BF41/FX_EUR</f>
        <v>3613.40329853939</v>
      </c>
      <c r="BG13" s="33" t="n">
        <f aca="false">Staff!BG41/FX_EUR</f>
        <v>3613.40329853939</v>
      </c>
      <c r="BH13" s="33" t="n">
        <f aca="false">Staff!BH41/FX_EUR</f>
        <v>3613.40329853939</v>
      </c>
      <c r="BI13" s="33" t="n">
        <f aca="false">Staff!BI41/FX_EUR</f>
        <v>3613.40329853939</v>
      </c>
      <c r="BJ13" s="33" t="n">
        <f aca="false">Staff!BJ41/FX_EUR</f>
        <v>3613.40329853939</v>
      </c>
      <c r="BK13" s="33" t="n">
        <f aca="false">Staff!BK41/FX_EUR</f>
        <v>3613.40329853939</v>
      </c>
      <c r="BL13" s="33" t="n">
        <f aca="false">Staff!BL41/FX_EUR</f>
        <v>3613.40329853939</v>
      </c>
    </row>
    <row r="14" customFormat="false" ht="15" hidden="false" customHeight="true" outlineLevel="0" collapsed="false">
      <c r="A14" s="13" t="str">
        <f aca="false">Staff!A42</f>
        <v>Sales lead (also sells; incl. bonus) · SN</v>
      </c>
      <c r="B14" s="15" t="s">
        <v>79</v>
      </c>
      <c r="D14" s="56" t="n">
        <f aca="false">Staff!D42/FX_EUR</f>
        <v>157692.984448676</v>
      </c>
      <c r="E14" s="33" t="n">
        <f aca="false">Staff!E42/FX_EUR</f>
        <v>2378.2046689036</v>
      </c>
      <c r="F14" s="33" t="n">
        <f aca="false">Staff!F42/FX_EUR</f>
        <v>2378.2046689036</v>
      </c>
      <c r="G14" s="33" t="n">
        <f aca="false">Staff!G42/FX_EUR</f>
        <v>2378.2046689036</v>
      </c>
      <c r="H14" s="33" t="n">
        <f aca="false">Staff!H42/FX_EUR</f>
        <v>2378.2046689036</v>
      </c>
      <c r="I14" s="33" t="n">
        <f aca="false">Staff!I42/FX_EUR</f>
        <v>2378.2046689036</v>
      </c>
      <c r="J14" s="33" t="n">
        <f aca="false">Staff!J42/FX_EUR</f>
        <v>2378.2046689036</v>
      </c>
      <c r="K14" s="33" t="n">
        <f aca="false">Staff!K42/FX_EUR</f>
        <v>2378.2046689036</v>
      </c>
      <c r="L14" s="33" t="n">
        <f aca="false">Staff!L42/FX_EUR</f>
        <v>2378.2046689036</v>
      </c>
      <c r="M14" s="33" t="n">
        <f aca="false">Staff!M42/FX_EUR</f>
        <v>2378.2046689036</v>
      </c>
      <c r="N14" s="33" t="n">
        <f aca="false">Staff!N42/FX_EUR</f>
        <v>2378.2046689036</v>
      </c>
      <c r="O14" s="33" t="n">
        <f aca="false">Staff!O42/FX_EUR</f>
        <v>2378.2046689036</v>
      </c>
      <c r="P14" s="33" t="n">
        <f aca="false">Staff!P42/FX_EUR</f>
        <v>2378.2046689036</v>
      </c>
      <c r="Q14" s="33" t="n">
        <f aca="false">Staff!Q42/FX_EUR</f>
        <v>2497.11490234878</v>
      </c>
      <c r="R14" s="33" t="n">
        <f aca="false">Staff!R42/FX_EUR</f>
        <v>2497.11490234878</v>
      </c>
      <c r="S14" s="33" t="n">
        <f aca="false">Staff!S42/FX_EUR</f>
        <v>2497.11490234878</v>
      </c>
      <c r="T14" s="33" t="n">
        <f aca="false">Staff!T42/FX_EUR</f>
        <v>2497.11490234878</v>
      </c>
      <c r="U14" s="33" t="n">
        <f aca="false">Staff!U42/FX_EUR</f>
        <v>2497.11490234878</v>
      </c>
      <c r="V14" s="33" t="n">
        <f aca="false">Staff!V42/FX_EUR</f>
        <v>2497.11490234878</v>
      </c>
      <c r="W14" s="33" t="n">
        <f aca="false">Staff!W42/FX_EUR</f>
        <v>2497.11490234878</v>
      </c>
      <c r="X14" s="33" t="n">
        <f aca="false">Staff!X42/FX_EUR</f>
        <v>2497.11490234878</v>
      </c>
      <c r="Y14" s="33" t="n">
        <f aca="false">Staff!Y42/FX_EUR</f>
        <v>2497.11490234878</v>
      </c>
      <c r="Z14" s="33" t="n">
        <f aca="false">Staff!Z42/FX_EUR</f>
        <v>2497.11490234878</v>
      </c>
      <c r="AA14" s="33" t="n">
        <f aca="false">Staff!AA42/FX_EUR</f>
        <v>2497.11490234878</v>
      </c>
      <c r="AB14" s="33" t="n">
        <f aca="false">Staff!AB42/FX_EUR</f>
        <v>2497.11490234878</v>
      </c>
      <c r="AC14" s="33" t="n">
        <f aca="false">Staff!AC42/FX_EUR</f>
        <v>2621.97064746622</v>
      </c>
      <c r="AD14" s="33" t="n">
        <f aca="false">Staff!AD42/FX_EUR</f>
        <v>2621.97064746622</v>
      </c>
      <c r="AE14" s="33" t="n">
        <f aca="false">Staff!AE42/FX_EUR</f>
        <v>2621.97064746622</v>
      </c>
      <c r="AF14" s="33" t="n">
        <f aca="false">Staff!AF42/FX_EUR</f>
        <v>2621.97064746622</v>
      </c>
      <c r="AG14" s="33" t="n">
        <f aca="false">Staff!AG42/FX_EUR</f>
        <v>2621.97064746622</v>
      </c>
      <c r="AH14" s="33" t="n">
        <f aca="false">Staff!AH42/FX_EUR</f>
        <v>2621.97064746622</v>
      </c>
      <c r="AI14" s="33" t="n">
        <f aca="false">Staff!AI42/FX_EUR</f>
        <v>2621.97064746622</v>
      </c>
      <c r="AJ14" s="33" t="n">
        <f aca="false">Staff!AJ42/FX_EUR</f>
        <v>2621.97064746622</v>
      </c>
      <c r="AK14" s="33" t="n">
        <f aca="false">Staff!AK42/FX_EUR</f>
        <v>2621.97064746622</v>
      </c>
      <c r="AL14" s="33" t="n">
        <f aca="false">Staff!AL42/FX_EUR</f>
        <v>2621.97064746622</v>
      </c>
      <c r="AM14" s="33" t="n">
        <f aca="false">Staff!AM42/FX_EUR</f>
        <v>2621.97064746622</v>
      </c>
      <c r="AN14" s="33" t="n">
        <f aca="false">Staff!AN42/FX_EUR</f>
        <v>2621.97064746622</v>
      </c>
      <c r="AO14" s="33" t="n">
        <f aca="false">Staff!AO42/FX_EUR</f>
        <v>2753.06917983953</v>
      </c>
      <c r="AP14" s="33" t="n">
        <f aca="false">Staff!AP42/FX_EUR</f>
        <v>2753.06917983953</v>
      </c>
      <c r="AQ14" s="33" t="n">
        <f aca="false">Staff!AQ42/FX_EUR</f>
        <v>2753.06917983953</v>
      </c>
      <c r="AR14" s="33" t="n">
        <f aca="false">Staff!AR42/FX_EUR</f>
        <v>2753.06917983953</v>
      </c>
      <c r="AS14" s="33" t="n">
        <f aca="false">Staff!AS42/FX_EUR</f>
        <v>2753.06917983953</v>
      </c>
      <c r="AT14" s="33" t="n">
        <f aca="false">Staff!AT42/FX_EUR</f>
        <v>2753.06917983953</v>
      </c>
      <c r="AU14" s="33" t="n">
        <f aca="false">Staff!AU42/FX_EUR</f>
        <v>2753.06917983953</v>
      </c>
      <c r="AV14" s="33" t="n">
        <f aca="false">Staff!AV42/FX_EUR</f>
        <v>2753.06917983953</v>
      </c>
      <c r="AW14" s="33" t="n">
        <f aca="false">Staff!AW42/FX_EUR</f>
        <v>2753.06917983953</v>
      </c>
      <c r="AX14" s="33" t="n">
        <f aca="false">Staff!AX42/FX_EUR</f>
        <v>2753.06917983953</v>
      </c>
      <c r="AY14" s="33" t="n">
        <f aca="false">Staff!AY42/FX_EUR</f>
        <v>2753.06917983953</v>
      </c>
      <c r="AZ14" s="33" t="n">
        <f aca="false">Staff!AZ42/FX_EUR</f>
        <v>2753.06917983953</v>
      </c>
      <c r="BA14" s="33" t="n">
        <f aca="false">Staff!BA42/FX_EUR</f>
        <v>2890.72263883151</v>
      </c>
      <c r="BB14" s="33" t="n">
        <f aca="false">Staff!BB42/FX_EUR</f>
        <v>2890.72263883151</v>
      </c>
      <c r="BC14" s="33" t="n">
        <f aca="false">Staff!BC42/FX_EUR</f>
        <v>2890.72263883151</v>
      </c>
      <c r="BD14" s="33" t="n">
        <f aca="false">Staff!BD42/FX_EUR</f>
        <v>2890.72263883151</v>
      </c>
      <c r="BE14" s="33" t="n">
        <f aca="false">Staff!BE42/FX_EUR</f>
        <v>2890.72263883151</v>
      </c>
      <c r="BF14" s="33" t="n">
        <f aca="false">Staff!BF42/FX_EUR</f>
        <v>2890.72263883151</v>
      </c>
      <c r="BG14" s="33" t="n">
        <f aca="false">Staff!BG42/FX_EUR</f>
        <v>2890.72263883151</v>
      </c>
      <c r="BH14" s="33" t="n">
        <f aca="false">Staff!BH42/FX_EUR</f>
        <v>2890.72263883151</v>
      </c>
      <c r="BI14" s="33" t="n">
        <f aca="false">Staff!BI42/FX_EUR</f>
        <v>2890.72263883151</v>
      </c>
      <c r="BJ14" s="33" t="n">
        <f aca="false">Staff!BJ42/FX_EUR</f>
        <v>2890.72263883151</v>
      </c>
      <c r="BK14" s="33" t="n">
        <f aca="false">Staff!BK42/FX_EUR</f>
        <v>2890.72263883151</v>
      </c>
      <c r="BL14" s="33" t="n">
        <f aca="false">Staff!BL42/FX_EUR</f>
        <v>2890.72263883151</v>
      </c>
    </row>
    <row r="15" customFormat="false" ht="15" hidden="false" customHeight="true" outlineLevel="0" collapsed="false">
      <c r="A15" s="13" t="str">
        <f aca="false">Staff!A43</f>
        <v>Marketing manager (senior) · SN</v>
      </c>
      <c r="B15" s="15" t="s">
        <v>79</v>
      </c>
      <c r="D15" s="56" t="n">
        <f aca="false">Staff!D43/FX_EUR</f>
        <v>112918.777831474</v>
      </c>
      <c r="E15" s="33" t="n">
        <f aca="false">Staff!E43/FX_EUR</f>
        <v>0</v>
      </c>
      <c r="F15" s="33" t="n">
        <f aca="false">Staff!F43/FX_EUR</f>
        <v>0</v>
      </c>
      <c r="G15" s="33" t="n">
        <f aca="false">Staff!G43/FX_EUR</f>
        <v>0</v>
      </c>
      <c r="H15" s="33" t="n">
        <f aca="false">Staff!H43/FX_EUR</f>
        <v>1783.6535016777</v>
      </c>
      <c r="I15" s="33" t="n">
        <f aca="false">Staff!I43/FX_EUR</f>
        <v>1783.6535016777</v>
      </c>
      <c r="J15" s="33" t="n">
        <f aca="false">Staff!J43/FX_EUR</f>
        <v>1783.6535016777</v>
      </c>
      <c r="K15" s="33" t="n">
        <f aca="false">Staff!K43/FX_EUR</f>
        <v>1783.6535016777</v>
      </c>
      <c r="L15" s="33" t="n">
        <f aca="false">Staff!L43/FX_EUR</f>
        <v>1783.6535016777</v>
      </c>
      <c r="M15" s="33" t="n">
        <f aca="false">Staff!M43/FX_EUR</f>
        <v>1783.6535016777</v>
      </c>
      <c r="N15" s="33" t="n">
        <f aca="false">Staff!N43/FX_EUR</f>
        <v>1783.6535016777</v>
      </c>
      <c r="O15" s="33" t="n">
        <f aca="false">Staff!O43/FX_EUR</f>
        <v>1783.6535016777</v>
      </c>
      <c r="P15" s="33" t="n">
        <f aca="false">Staff!P43/FX_EUR</f>
        <v>1783.6535016777</v>
      </c>
      <c r="Q15" s="33" t="n">
        <f aca="false">Staff!Q43/FX_EUR</f>
        <v>1872.83617676159</v>
      </c>
      <c r="R15" s="33" t="n">
        <f aca="false">Staff!R43/FX_EUR</f>
        <v>1872.83617676159</v>
      </c>
      <c r="S15" s="33" t="n">
        <f aca="false">Staff!S43/FX_EUR</f>
        <v>1872.83617676159</v>
      </c>
      <c r="T15" s="33" t="n">
        <f aca="false">Staff!T43/FX_EUR</f>
        <v>1872.83617676159</v>
      </c>
      <c r="U15" s="33" t="n">
        <f aca="false">Staff!U43/FX_EUR</f>
        <v>1872.83617676159</v>
      </c>
      <c r="V15" s="33" t="n">
        <f aca="false">Staff!V43/FX_EUR</f>
        <v>1872.83617676159</v>
      </c>
      <c r="W15" s="33" t="n">
        <f aca="false">Staff!W43/FX_EUR</f>
        <v>1872.83617676159</v>
      </c>
      <c r="X15" s="33" t="n">
        <f aca="false">Staff!X43/FX_EUR</f>
        <v>1872.83617676159</v>
      </c>
      <c r="Y15" s="33" t="n">
        <f aca="false">Staff!Y43/FX_EUR</f>
        <v>1872.83617676159</v>
      </c>
      <c r="Z15" s="33" t="n">
        <f aca="false">Staff!Z43/FX_EUR</f>
        <v>1872.83617676159</v>
      </c>
      <c r="AA15" s="33" t="n">
        <f aca="false">Staff!AA43/FX_EUR</f>
        <v>1872.83617676159</v>
      </c>
      <c r="AB15" s="33" t="n">
        <f aca="false">Staff!AB43/FX_EUR</f>
        <v>1872.83617676159</v>
      </c>
      <c r="AC15" s="33" t="n">
        <f aca="false">Staff!AC43/FX_EUR</f>
        <v>1966.47798559967</v>
      </c>
      <c r="AD15" s="33" t="n">
        <f aca="false">Staff!AD43/FX_EUR</f>
        <v>1966.47798559967</v>
      </c>
      <c r="AE15" s="33" t="n">
        <f aca="false">Staff!AE43/FX_EUR</f>
        <v>1966.47798559967</v>
      </c>
      <c r="AF15" s="33" t="n">
        <f aca="false">Staff!AF43/FX_EUR</f>
        <v>1966.47798559967</v>
      </c>
      <c r="AG15" s="33" t="n">
        <f aca="false">Staff!AG43/FX_EUR</f>
        <v>1966.47798559967</v>
      </c>
      <c r="AH15" s="33" t="n">
        <f aca="false">Staff!AH43/FX_EUR</f>
        <v>1966.47798559967</v>
      </c>
      <c r="AI15" s="33" t="n">
        <f aca="false">Staff!AI43/FX_EUR</f>
        <v>1966.47798559967</v>
      </c>
      <c r="AJ15" s="33" t="n">
        <f aca="false">Staff!AJ43/FX_EUR</f>
        <v>1966.47798559967</v>
      </c>
      <c r="AK15" s="33" t="n">
        <f aca="false">Staff!AK43/FX_EUR</f>
        <v>1966.47798559967</v>
      </c>
      <c r="AL15" s="33" t="n">
        <f aca="false">Staff!AL43/FX_EUR</f>
        <v>1966.47798559967</v>
      </c>
      <c r="AM15" s="33" t="n">
        <f aca="false">Staff!AM43/FX_EUR</f>
        <v>1966.47798559967</v>
      </c>
      <c r="AN15" s="33" t="n">
        <f aca="false">Staff!AN43/FX_EUR</f>
        <v>1966.47798559967</v>
      </c>
      <c r="AO15" s="33" t="n">
        <f aca="false">Staff!AO43/FX_EUR</f>
        <v>2064.80188487965</v>
      </c>
      <c r="AP15" s="33" t="n">
        <f aca="false">Staff!AP43/FX_EUR</f>
        <v>2064.80188487965</v>
      </c>
      <c r="AQ15" s="33" t="n">
        <f aca="false">Staff!AQ43/FX_EUR</f>
        <v>2064.80188487965</v>
      </c>
      <c r="AR15" s="33" t="n">
        <f aca="false">Staff!AR43/FX_EUR</f>
        <v>2064.80188487965</v>
      </c>
      <c r="AS15" s="33" t="n">
        <f aca="false">Staff!AS43/FX_EUR</f>
        <v>2064.80188487965</v>
      </c>
      <c r="AT15" s="33" t="n">
        <f aca="false">Staff!AT43/FX_EUR</f>
        <v>2064.80188487965</v>
      </c>
      <c r="AU15" s="33" t="n">
        <f aca="false">Staff!AU43/FX_EUR</f>
        <v>2064.80188487965</v>
      </c>
      <c r="AV15" s="33" t="n">
        <f aca="false">Staff!AV43/FX_EUR</f>
        <v>2064.80188487965</v>
      </c>
      <c r="AW15" s="33" t="n">
        <f aca="false">Staff!AW43/FX_EUR</f>
        <v>2064.80188487965</v>
      </c>
      <c r="AX15" s="33" t="n">
        <f aca="false">Staff!AX43/FX_EUR</f>
        <v>2064.80188487965</v>
      </c>
      <c r="AY15" s="33" t="n">
        <f aca="false">Staff!AY43/FX_EUR</f>
        <v>2064.80188487965</v>
      </c>
      <c r="AZ15" s="33" t="n">
        <f aca="false">Staff!AZ43/FX_EUR</f>
        <v>2064.80188487965</v>
      </c>
      <c r="BA15" s="33" t="n">
        <f aca="false">Staff!BA43/FX_EUR</f>
        <v>2168.04197912363</v>
      </c>
      <c r="BB15" s="33" t="n">
        <f aca="false">Staff!BB43/FX_EUR</f>
        <v>2168.04197912363</v>
      </c>
      <c r="BC15" s="33" t="n">
        <f aca="false">Staff!BC43/FX_EUR</f>
        <v>2168.04197912363</v>
      </c>
      <c r="BD15" s="33" t="n">
        <f aca="false">Staff!BD43/FX_EUR</f>
        <v>2168.04197912363</v>
      </c>
      <c r="BE15" s="33" t="n">
        <f aca="false">Staff!BE43/FX_EUR</f>
        <v>2168.04197912363</v>
      </c>
      <c r="BF15" s="33" t="n">
        <f aca="false">Staff!BF43/FX_EUR</f>
        <v>2168.04197912363</v>
      </c>
      <c r="BG15" s="33" t="n">
        <f aca="false">Staff!BG43/FX_EUR</f>
        <v>2168.04197912363</v>
      </c>
      <c r="BH15" s="33" t="n">
        <f aca="false">Staff!BH43/FX_EUR</f>
        <v>2168.04197912363</v>
      </c>
      <c r="BI15" s="33" t="n">
        <f aca="false">Staff!BI43/FX_EUR</f>
        <v>2168.04197912363</v>
      </c>
      <c r="BJ15" s="33" t="n">
        <f aca="false">Staff!BJ43/FX_EUR</f>
        <v>2168.04197912363</v>
      </c>
      <c r="BK15" s="33" t="n">
        <f aca="false">Staff!BK43/FX_EUR</f>
        <v>2168.04197912363</v>
      </c>
      <c r="BL15" s="33" t="n">
        <f aca="false">Staff!BL43/FX_EUR</f>
        <v>2168.04197912363</v>
      </c>
    </row>
    <row r="16" customFormat="false" ht="15" hidden="false" customHeight="true" outlineLevel="0" collapsed="false">
      <c r="A16" s="13" t="str">
        <f aca="false">Staff!A44</f>
        <v>Marketing officer (junior) · SN</v>
      </c>
      <c r="B16" s="15" t="s">
        <v>79</v>
      </c>
      <c r="D16" s="56" t="n">
        <f aca="false">Staff!D44/FX_EUR</f>
        <v>49393.3885910205</v>
      </c>
      <c r="E16" s="33" t="n">
        <f aca="false">Staff!E44/FX_EUR</f>
        <v>0</v>
      </c>
      <c r="F16" s="33" t="n">
        <f aca="false">Staff!F44/FX_EUR</f>
        <v>0</v>
      </c>
      <c r="G16" s="33" t="n">
        <f aca="false">Staff!G44/FX_EUR</f>
        <v>0</v>
      </c>
      <c r="H16" s="33" t="n">
        <f aca="false">Staff!H44/FX_EUR</f>
        <v>0</v>
      </c>
      <c r="I16" s="33" t="n">
        <f aca="false">Staff!I44/FX_EUR</f>
        <v>792.734889634534</v>
      </c>
      <c r="J16" s="33" t="n">
        <f aca="false">Staff!J44/FX_EUR</f>
        <v>792.734889634534</v>
      </c>
      <c r="K16" s="33" t="n">
        <f aca="false">Staff!K44/FX_EUR</f>
        <v>792.734889634534</v>
      </c>
      <c r="L16" s="33" t="n">
        <f aca="false">Staff!L44/FX_EUR</f>
        <v>792.734889634534</v>
      </c>
      <c r="M16" s="33" t="n">
        <f aca="false">Staff!M44/FX_EUR</f>
        <v>792.734889634534</v>
      </c>
      <c r="N16" s="33" t="n">
        <f aca="false">Staff!N44/FX_EUR</f>
        <v>792.734889634534</v>
      </c>
      <c r="O16" s="33" t="n">
        <f aca="false">Staff!O44/FX_EUR</f>
        <v>792.734889634534</v>
      </c>
      <c r="P16" s="33" t="n">
        <f aca="false">Staff!P44/FX_EUR</f>
        <v>792.734889634534</v>
      </c>
      <c r="Q16" s="33" t="n">
        <f aca="false">Staff!Q44/FX_EUR</f>
        <v>832.371634116261</v>
      </c>
      <c r="R16" s="33" t="n">
        <f aca="false">Staff!R44/FX_EUR</f>
        <v>832.371634116261</v>
      </c>
      <c r="S16" s="33" t="n">
        <f aca="false">Staff!S44/FX_EUR</f>
        <v>832.371634116261</v>
      </c>
      <c r="T16" s="33" t="n">
        <f aca="false">Staff!T44/FX_EUR</f>
        <v>832.371634116261</v>
      </c>
      <c r="U16" s="33" t="n">
        <f aca="false">Staff!U44/FX_EUR</f>
        <v>832.371634116261</v>
      </c>
      <c r="V16" s="33" t="n">
        <f aca="false">Staff!V44/FX_EUR</f>
        <v>832.371634116261</v>
      </c>
      <c r="W16" s="33" t="n">
        <f aca="false">Staff!W44/FX_EUR</f>
        <v>832.371634116261</v>
      </c>
      <c r="X16" s="33" t="n">
        <f aca="false">Staff!X44/FX_EUR</f>
        <v>832.371634116261</v>
      </c>
      <c r="Y16" s="33" t="n">
        <f aca="false">Staff!Y44/FX_EUR</f>
        <v>832.371634116261</v>
      </c>
      <c r="Z16" s="33" t="n">
        <f aca="false">Staff!Z44/FX_EUR</f>
        <v>832.371634116261</v>
      </c>
      <c r="AA16" s="33" t="n">
        <f aca="false">Staff!AA44/FX_EUR</f>
        <v>832.371634116261</v>
      </c>
      <c r="AB16" s="33" t="n">
        <f aca="false">Staff!AB44/FX_EUR</f>
        <v>832.371634116261</v>
      </c>
      <c r="AC16" s="33" t="n">
        <f aca="false">Staff!AC44/FX_EUR</f>
        <v>873.990215822074</v>
      </c>
      <c r="AD16" s="33" t="n">
        <f aca="false">Staff!AD44/FX_EUR</f>
        <v>873.990215822074</v>
      </c>
      <c r="AE16" s="33" t="n">
        <f aca="false">Staff!AE44/FX_EUR</f>
        <v>873.990215822074</v>
      </c>
      <c r="AF16" s="33" t="n">
        <f aca="false">Staff!AF44/FX_EUR</f>
        <v>873.990215822074</v>
      </c>
      <c r="AG16" s="33" t="n">
        <f aca="false">Staff!AG44/FX_EUR</f>
        <v>873.990215822074</v>
      </c>
      <c r="AH16" s="33" t="n">
        <f aca="false">Staff!AH44/FX_EUR</f>
        <v>873.990215822074</v>
      </c>
      <c r="AI16" s="33" t="n">
        <f aca="false">Staff!AI44/FX_EUR</f>
        <v>873.990215822074</v>
      </c>
      <c r="AJ16" s="33" t="n">
        <f aca="false">Staff!AJ44/FX_EUR</f>
        <v>873.990215822074</v>
      </c>
      <c r="AK16" s="33" t="n">
        <f aca="false">Staff!AK44/FX_EUR</f>
        <v>873.990215822074</v>
      </c>
      <c r="AL16" s="33" t="n">
        <f aca="false">Staff!AL44/FX_EUR</f>
        <v>873.990215822074</v>
      </c>
      <c r="AM16" s="33" t="n">
        <f aca="false">Staff!AM44/FX_EUR</f>
        <v>873.990215822074</v>
      </c>
      <c r="AN16" s="33" t="n">
        <f aca="false">Staff!AN44/FX_EUR</f>
        <v>873.990215822074</v>
      </c>
      <c r="AO16" s="33" t="n">
        <f aca="false">Staff!AO44/FX_EUR</f>
        <v>917.689726613178</v>
      </c>
      <c r="AP16" s="33" t="n">
        <f aca="false">Staff!AP44/FX_EUR</f>
        <v>917.689726613178</v>
      </c>
      <c r="AQ16" s="33" t="n">
        <f aca="false">Staff!AQ44/FX_EUR</f>
        <v>917.689726613178</v>
      </c>
      <c r="AR16" s="33" t="n">
        <f aca="false">Staff!AR44/FX_EUR</f>
        <v>917.689726613178</v>
      </c>
      <c r="AS16" s="33" t="n">
        <f aca="false">Staff!AS44/FX_EUR</f>
        <v>917.689726613178</v>
      </c>
      <c r="AT16" s="33" t="n">
        <f aca="false">Staff!AT44/FX_EUR</f>
        <v>917.689726613178</v>
      </c>
      <c r="AU16" s="33" t="n">
        <f aca="false">Staff!AU44/FX_EUR</f>
        <v>917.689726613178</v>
      </c>
      <c r="AV16" s="33" t="n">
        <f aca="false">Staff!AV44/FX_EUR</f>
        <v>917.689726613178</v>
      </c>
      <c r="AW16" s="33" t="n">
        <f aca="false">Staff!AW44/FX_EUR</f>
        <v>917.689726613178</v>
      </c>
      <c r="AX16" s="33" t="n">
        <f aca="false">Staff!AX44/FX_EUR</f>
        <v>917.689726613178</v>
      </c>
      <c r="AY16" s="33" t="n">
        <f aca="false">Staff!AY44/FX_EUR</f>
        <v>917.689726613178</v>
      </c>
      <c r="AZ16" s="33" t="n">
        <f aca="false">Staff!AZ44/FX_EUR</f>
        <v>917.689726613178</v>
      </c>
      <c r="BA16" s="33" t="n">
        <f aca="false">Staff!BA44/FX_EUR</f>
        <v>963.574212943836</v>
      </c>
      <c r="BB16" s="33" t="n">
        <f aca="false">Staff!BB44/FX_EUR</f>
        <v>963.574212943836</v>
      </c>
      <c r="BC16" s="33" t="n">
        <f aca="false">Staff!BC44/FX_EUR</f>
        <v>963.574212943836</v>
      </c>
      <c r="BD16" s="33" t="n">
        <f aca="false">Staff!BD44/FX_EUR</f>
        <v>963.574212943836</v>
      </c>
      <c r="BE16" s="33" t="n">
        <f aca="false">Staff!BE44/FX_EUR</f>
        <v>963.574212943836</v>
      </c>
      <c r="BF16" s="33" t="n">
        <f aca="false">Staff!BF44/FX_EUR</f>
        <v>963.574212943836</v>
      </c>
      <c r="BG16" s="33" t="n">
        <f aca="false">Staff!BG44/FX_EUR</f>
        <v>963.574212943836</v>
      </c>
      <c r="BH16" s="33" t="n">
        <f aca="false">Staff!BH44/FX_EUR</f>
        <v>963.574212943836</v>
      </c>
      <c r="BI16" s="33" t="n">
        <f aca="false">Staff!BI44/FX_EUR</f>
        <v>963.574212943836</v>
      </c>
      <c r="BJ16" s="33" t="n">
        <f aca="false">Staff!BJ44/FX_EUR</f>
        <v>963.574212943836</v>
      </c>
      <c r="BK16" s="33" t="n">
        <f aca="false">Staff!BK44/FX_EUR</f>
        <v>963.574212943836</v>
      </c>
      <c r="BL16" s="33" t="n">
        <f aca="false">Staff!BL44/FX_EUR</f>
        <v>963.574212943836</v>
      </c>
    </row>
    <row r="17" customFormat="false" ht="15" hidden="false" customHeight="true" outlineLevel="0" collapsed="false">
      <c r="A17" s="13" t="str">
        <f aca="false">Staff!A45</f>
        <v>Country manager, Abidjan · CI</v>
      </c>
      <c r="B17" s="15" t="s">
        <v>79</v>
      </c>
      <c r="D17" s="56" t="n">
        <f aca="false">Staff!D45/FX_EUR</f>
        <v>272227.55912354</v>
      </c>
      <c r="E17" s="33" t="n">
        <f aca="false">Staff!E45/FX_EUR</f>
        <v>0</v>
      </c>
      <c r="F17" s="33" t="n">
        <f aca="false">Staff!F45/FX_EUR</f>
        <v>0</v>
      </c>
      <c r="G17" s="33" t="n">
        <f aca="false">Staff!G45/FX_EUR</f>
        <v>0</v>
      </c>
      <c r="H17" s="33" t="n">
        <f aca="false">Staff!H45/FX_EUR</f>
        <v>0</v>
      </c>
      <c r="I17" s="33" t="n">
        <f aca="false">Staff!I45/FX_EUR</f>
        <v>0</v>
      </c>
      <c r="J17" s="33" t="n">
        <f aca="false">Staff!J45/FX_EUR</f>
        <v>0</v>
      </c>
      <c r="K17" s="33" t="n">
        <f aca="false">Staff!K45/FX_EUR</f>
        <v>0</v>
      </c>
      <c r="L17" s="33" t="n">
        <f aca="false">Staff!L45/FX_EUR</f>
        <v>0</v>
      </c>
      <c r="M17" s="33" t="n">
        <f aca="false">Staff!M45/FX_EUR</f>
        <v>0</v>
      </c>
      <c r="N17" s="33" t="n">
        <f aca="false">Staff!N45/FX_EUR</f>
        <v>0</v>
      </c>
      <c r="O17" s="33" t="n">
        <f aca="false">Staff!O45/FX_EUR</f>
        <v>0</v>
      </c>
      <c r="P17" s="33" t="n">
        <f aca="false">Staff!P45/FX_EUR</f>
        <v>0</v>
      </c>
      <c r="Q17" s="33" t="n">
        <f aca="false">Staff!Q45/FX_EUR</f>
        <v>0</v>
      </c>
      <c r="R17" s="33" t="n">
        <f aca="false">Staff!R45/FX_EUR</f>
        <v>0</v>
      </c>
      <c r="S17" s="33" t="n">
        <f aca="false">Staff!S45/FX_EUR</f>
        <v>0</v>
      </c>
      <c r="T17" s="33" t="n">
        <f aca="false">Staff!T45/FX_EUR</f>
        <v>0</v>
      </c>
      <c r="U17" s="33" t="n">
        <f aca="false">Staff!U45/FX_EUR</f>
        <v>0</v>
      </c>
      <c r="V17" s="33" t="n">
        <f aca="false">Staff!V45/FX_EUR</f>
        <v>5826.60143881383</v>
      </c>
      <c r="W17" s="33" t="n">
        <f aca="false">Staff!W45/FX_EUR</f>
        <v>5826.60143881383</v>
      </c>
      <c r="X17" s="33" t="n">
        <f aca="false">Staff!X45/FX_EUR</f>
        <v>5826.60143881383</v>
      </c>
      <c r="Y17" s="33" t="n">
        <f aca="false">Staff!Y45/FX_EUR</f>
        <v>5826.60143881383</v>
      </c>
      <c r="Z17" s="33" t="n">
        <f aca="false">Staff!Z45/FX_EUR</f>
        <v>5826.60143881383</v>
      </c>
      <c r="AA17" s="33" t="n">
        <f aca="false">Staff!AA45/FX_EUR</f>
        <v>5826.60143881383</v>
      </c>
      <c r="AB17" s="33" t="n">
        <f aca="false">Staff!AB45/FX_EUR</f>
        <v>5826.60143881383</v>
      </c>
      <c r="AC17" s="33" t="n">
        <f aca="false">Staff!AC45/FX_EUR</f>
        <v>6117.93151075452</v>
      </c>
      <c r="AD17" s="33" t="n">
        <f aca="false">Staff!AD45/FX_EUR</f>
        <v>6117.93151075452</v>
      </c>
      <c r="AE17" s="33" t="n">
        <f aca="false">Staff!AE45/FX_EUR</f>
        <v>6117.93151075452</v>
      </c>
      <c r="AF17" s="33" t="n">
        <f aca="false">Staff!AF45/FX_EUR</f>
        <v>6117.93151075452</v>
      </c>
      <c r="AG17" s="33" t="n">
        <f aca="false">Staff!AG45/FX_EUR</f>
        <v>6117.93151075452</v>
      </c>
      <c r="AH17" s="33" t="n">
        <f aca="false">Staff!AH45/FX_EUR</f>
        <v>6117.93151075452</v>
      </c>
      <c r="AI17" s="33" t="n">
        <f aca="false">Staff!AI45/FX_EUR</f>
        <v>6117.93151075452</v>
      </c>
      <c r="AJ17" s="33" t="n">
        <f aca="false">Staff!AJ45/FX_EUR</f>
        <v>6117.93151075452</v>
      </c>
      <c r="AK17" s="33" t="n">
        <f aca="false">Staff!AK45/FX_EUR</f>
        <v>6117.93151075452</v>
      </c>
      <c r="AL17" s="33" t="n">
        <f aca="false">Staff!AL45/FX_EUR</f>
        <v>6117.93151075452</v>
      </c>
      <c r="AM17" s="33" t="n">
        <f aca="false">Staff!AM45/FX_EUR</f>
        <v>6117.93151075452</v>
      </c>
      <c r="AN17" s="33" t="n">
        <f aca="false">Staff!AN45/FX_EUR</f>
        <v>6117.93151075452</v>
      </c>
      <c r="AO17" s="33" t="n">
        <f aca="false">Staff!AO45/FX_EUR</f>
        <v>6423.82808629224</v>
      </c>
      <c r="AP17" s="33" t="n">
        <f aca="false">Staff!AP45/FX_EUR</f>
        <v>6423.82808629224</v>
      </c>
      <c r="AQ17" s="33" t="n">
        <f aca="false">Staff!AQ45/FX_EUR</f>
        <v>6423.82808629224</v>
      </c>
      <c r="AR17" s="33" t="n">
        <f aca="false">Staff!AR45/FX_EUR</f>
        <v>6423.82808629224</v>
      </c>
      <c r="AS17" s="33" t="n">
        <f aca="false">Staff!AS45/FX_EUR</f>
        <v>6423.82808629224</v>
      </c>
      <c r="AT17" s="33" t="n">
        <f aca="false">Staff!AT45/FX_EUR</f>
        <v>6423.82808629224</v>
      </c>
      <c r="AU17" s="33" t="n">
        <f aca="false">Staff!AU45/FX_EUR</f>
        <v>6423.82808629224</v>
      </c>
      <c r="AV17" s="33" t="n">
        <f aca="false">Staff!AV45/FX_EUR</f>
        <v>6423.82808629224</v>
      </c>
      <c r="AW17" s="33" t="n">
        <f aca="false">Staff!AW45/FX_EUR</f>
        <v>6423.82808629224</v>
      </c>
      <c r="AX17" s="33" t="n">
        <f aca="false">Staff!AX45/FX_EUR</f>
        <v>6423.82808629224</v>
      </c>
      <c r="AY17" s="33" t="n">
        <f aca="false">Staff!AY45/FX_EUR</f>
        <v>6423.82808629224</v>
      </c>
      <c r="AZ17" s="33" t="n">
        <f aca="false">Staff!AZ45/FX_EUR</f>
        <v>6423.82808629224</v>
      </c>
      <c r="BA17" s="33" t="n">
        <f aca="false">Staff!BA45/FX_EUR</f>
        <v>6745.01949060686</v>
      </c>
      <c r="BB17" s="33" t="n">
        <f aca="false">Staff!BB45/FX_EUR</f>
        <v>6745.01949060686</v>
      </c>
      <c r="BC17" s="33" t="n">
        <f aca="false">Staff!BC45/FX_EUR</f>
        <v>6745.01949060686</v>
      </c>
      <c r="BD17" s="33" t="n">
        <f aca="false">Staff!BD45/FX_EUR</f>
        <v>6745.01949060686</v>
      </c>
      <c r="BE17" s="33" t="n">
        <f aca="false">Staff!BE45/FX_EUR</f>
        <v>6745.01949060686</v>
      </c>
      <c r="BF17" s="33" t="n">
        <f aca="false">Staff!BF45/FX_EUR</f>
        <v>6745.01949060686</v>
      </c>
      <c r="BG17" s="33" t="n">
        <f aca="false">Staff!BG45/FX_EUR</f>
        <v>6745.01949060686</v>
      </c>
      <c r="BH17" s="33" t="n">
        <f aca="false">Staff!BH45/FX_EUR</f>
        <v>6745.01949060686</v>
      </c>
      <c r="BI17" s="33" t="n">
        <f aca="false">Staff!BI45/FX_EUR</f>
        <v>6745.01949060686</v>
      </c>
      <c r="BJ17" s="33" t="n">
        <f aca="false">Staff!BJ45/FX_EUR</f>
        <v>6745.01949060686</v>
      </c>
      <c r="BK17" s="33" t="n">
        <f aca="false">Staff!BK45/FX_EUR</f>
        <v>6745.01949060686</v>
      </c>
      <c r="BL17" s="33" t="n">
        <f aca="false">Staff!BL45/FX_EUR</f>
        <v>6745.01949060686</v>
      </c>
    </row>
    <row r="18" customFormat="false" ht="15" hidden="false" customHeight="true" outlineLevel="0" collapsed="false">
      <c r="A18" s="13" t="str">
        <f aca="false">Staff!A46</f>
        <v>Compliance officer (AML/CFT) · SN</v>
      </c>
      <c r="B18" s="15" t="s">
        <v>79</v>
      </c>
      <c r="D18" s="56" t="n">
        <f aca="false">Staff!D46/FX_EUR</f>
        <v>127107.830619995</v>
      </c>
      <c r="E18" s="33" t="n">
        <f aca="false">Staff!E46/FX_EUR</f>
        <v>0</v>
      </c>
      <c r="F18" s="33" t="n">
        <f aca="false">Staff!F46/FX_EUR</f>
        <v>0</v>
      </c>
      <c r="G18" s="33" t="n">
        <f aca="false">Staff!G46/FX_EUR</f>
        <v>0</v>
      </c>
      <c r="H18" s="33" t="n">
        <f aca="false">Staff!H46/FX_EUR</f>
        <v>0</v>
      </c>
      <c r="I18" s="33" t="n">
        <f aca="false">Staff!I46/FX_EUR</f>
        <v>0</v>
      </c>
      <c r="J18" s="33" t="n">
        <f aca="false">Staff!J46/FX_EUR</f>
        <v>0</v>
      </c>
      <c r="K18" s="33" t="n">
        <f aca="false">Staff!K46/FX_EUR</f>
        <v>0</v>
      </c>
      <c r="L18" s="33" t="n">
        <f aca="false">Staff!L46/FX_EUR</f>
        <v>0</v>
      </c>
      <c r="M18" s="33" t="n">
        <f aca="false">Staff!M46/FX_EUR</f>
        <v>0</v>
      </c>
      <c r="N18" s="33" t="n">
        <f aca="false">Staff!N46/FX_EUR</f>
        <v>0</v>
      </c>
      <c r="O18" s="33" t="n">
        <f aca="false">Staff!O46/FX_EUR</f>
        <v>0</v>
      </c>
      <c r="P18" s="33" t="n">
        <f aca="false">Staff!P46/FX_EUR</f>
        <v>0</v>
      </c>
      <c r="Q18" s="33" t="n">
        <f aca="false">Staff!Q46/FX_EUR</f>
        <v>0</v>
      </c>
      <c r="R18" s="33" t="n">
        <f aca="false">Staff!R46/FX_EUR</f>
        <v>0</v>
      </c>
      <c r="S18" s="33" t="n">
        <f aca="false">Staff!S46/FX_EUR</f>
        <v>0</v>
      </c>
      <c r="T18" s="33" t="n">
        <f aca="false">Staff!T46/FX_EUR</f>
        <v>0</v>
      </c>
      <c r="U18" s="33" t="n">
        <f aca="false">Staff!U46/FX_EUR</f>
        <v>0</v>
      </c>
      <c r="V18" s="33" t="n">
        <f aca="false">Staff!V46/FX_EUR</f>
        <v>0</v>
      </c>
      <c r="W18" s="33" t="n">
        <f aca="false">Staff!W46/FX_EUR</f>
        <v>0</v>
      </c>
      <c r="X18" s="33" t="n">
        <f aca="false">Staff!X46/FX_EUR</f>
        <v>0</v>
      </c>
      <c r="Y18" s="33" t="n">
        <f aca="false">Staff!Y46/FX_EUR</f>
        <v>0</v>
      </c>
      <c r="Z18" s="33" t="n">
        <f aca="false">Staff!Z46/FX_EUR</f>
        <v>0</v>
      </c>
      <c r="AA18" s="33" t="n">
        <f aca="false">Staff!AA46/FX_EUR</f>
        <v>0</v>
      </c>
      <c r="AB18" s="33" t="n">
        <f aca="false">Staff!AB46/FX_EUR</f>
        <v>3121.39362793598</v>
      </c>
      <c r="AC18" s="33" t="n">
        <f aca="false">Staff!AC46/FX_EUR</f>
        <v>3277.46330933278</v>
      </c>
      <c r="AD18" s="33" t="n">
        <f aca="false">Staff!AD46/FX_EUR</f>
        <v>3277.46330933278</v>
      </c>
      <c r="AE18" s="33" t="n">
        <f aca="false">Staff!AE46/FX_EUR</f>
        <v>3277.46330933278</v>
      </c>
      <c r="AF18" s="33" t="n">
        <f aca="false">Staff!AF46/FX_EUR</f>
        <v>3277.46330933278</v>
      </c>
      <c r="AG18" s="33" t="n">
        <f aca="false">Staff!AG46/FX_EUR</f>
        <v>3277.46330933278</v>
      </c>
      <c r="AH18" s="33" t="n">
        <f aca="false">Staff!AH46/FX_EUR</f>
        <v>3277.46330933278</v>
      </c>
      <c r="AI18" s="33" t="n">
        <f aca="false">Staff!AI46/FX_EUR</f>
        <v>3277.46330933278</v>
      </c>
      <c r="AJ18" s="33" t="n">
        <f aca="false">Staff!AJ46/FX_EUR</f>
        <v>3277.46330933278</v>
      </c>
      <c r="AK18" s="33" t="n">
        <f aca="false">Staff!AK46/FX_EUR</f>
        <v>3277.46330933278</v>
      </c>
      <c r="AL18" s="33" t="n">
        <f aca="false">Staff!AL46/FX_EUR</f>
        <v>3277.46330933278</v>
      </c>
      <c r="AM18" s="33" t="n">
        <f aca="false">Staff!AM46/FX_EUR</f>
        <v>3277.46330933278</v>
      </c>
      <c r="AN18" s="33" t="n">
        <f aca="false">Staff!AN46/FX_EUR</f>
        <v>3277.46330933278</v>
      </c>
      <c r="AO18" s="33" t="n">
        <f aca="false">Staff!AO46/FX_EUR</f>
        <v>3441.33647479942</v>
      </c>
      <c r="AP18" s="33" t="n">
        <f aca="false">Staff!AP46/FX_EUR</f>
        <v>3441.33647479942</v>
      </c>
      <c r="AQ18" s="33" t="n">
        <f aca="false">Staff!AQ46/FX_EUR</f>
        <v>3441.33647479942</v>
      </c>
      <c r="AR18" s="33" t="n">
        <f aca="false">Staff!AR46/FX_EUR</f>
        <v>3441.33647479942</v>
      </c>
      <c r="AS18" s="33" t="n">
        <f aca="false">Staff!AS46/FX_EUR</f>
        <v>3441.33647479942</v>
      </c>
      <c r="AT18" s="33" t="n">
        <f aca="false">Staff!AT46/FX_EUR</f>
        <v>3441.33647479942</v>
      </c>
      <c r="AU18" s="33" t="n">
        <f aca="false">Staff!AU46/FX_EUR</f>
        <v>3441.33647479942</v>
      </c>
      <c r="AV18" s="33" t="n">
        <f aca="false">Staff!AV46/FX_EUR</f>
        <v>3441.33647479942</v>
      </c>
      <c r="AW18" s="33" t="n">
        <f aca="false">Staff!AW46/FX_EUR</f>
        <v>3441.33647479942</v>
      </c>
      <c r="AX18" s="33" t="n">
        <f aca="false">Staff!AX46/FX_EUR</f>
        <v>3441.33647479942</v>
      </c>
      <c r="AY18" s="33" t="n">
        <f aca="false">Staff!AY46/FX_EUR</f>
        <v>3441.33647479942</v>
      </c>
      <c r="AZ18" s="33" t="n">
        <f aca="false">Staff!AZ46/FX_EUR</f>
        <v>3441.33647479942</v>
      </c>
      <c r="BA18" s="33" t="n">
        <f aca="false">Staff!BA46/FX_EUR</f>
        <v>3613.40329853939</v>
      </c>
      <c r="BB18" s="33" t="n">
        <f aca="false">Staff!BB46/FX_EUR</f>
        <v>3613.40329853939</v>
      </c>
      <c r="BC18" s="33" t="n">
        <f aca="false">Staff!BC46/FX_EUR</f>
        <v>3613.40329853939</v>
      </c>
      <c r="BD18" s="33" t="n">
        <f aca="false">Staff!BD46/FX_EUR</f>
        <v>3613.40329853939</v>
      </c>
      <c r="BE18" s="33" t="n">
        <f aca="false">Staff!BE46/FX_EUR</f>
        <v>3613.40329853939</v>
      </c>
      <c r="BF18" s="33" t="n">
        <f aca="false">Staff!BF46/FX_EUR</f>
        <v>3613.40329853939</v>
      </c>
      <c r="BG18" s="33" t="n">
        <f aca="false">Staff!BG46/FX_EUR</f>
        <v>3613.40329853939</v>
      </c>
      <c r="BH18" s="33" t="n">
        <f aca="false">Staff!BH46/FX_EUR</f>
        <v>3613.40329853939</v>
      </c>
      <c r="BI18" s="33" t="n">
        <f aca="false">Staff!BI46/FX_EUR</f>
        <v>3613.40329853939</v>
      </c>
      <c r="BJ18" s="33" t="n">
        <f aca="false">Staff!BJ46/FX_EUR</f>
        <v>3613.40329853939</v>
      </c>
      <c r="BK18" s="33" t="n">
        <f aca="false">Staff!BK46/FX_EUR</f>
        <v>3613.40329853939</v>
      </c>
      <c r="BL18" s="33" t="n">
        <f aca="false">Staff!BL46/FX_EUR</f>
        <v>3613.40329853939</v>
      </c>
    </row>
    <row r="19" customFormat="false" ht="15" hidden="false" customHeight="true" outlineLevel="0" collapsed="false">
      <c r="A19" s="13" t="str">
        <f aca="false">Staff!A47</f>
        <v>(spare line 9)</v>
      </c>
      <c r="B19" s="15" t="s">
        <v>79</v>
      </c>
      <c r="D19" s="56" t="n">
        <f aca="false">Staff!D47/FX_EUR</f>
        <v>0</v>
      </c>
      <c r="E19" s="33" t="n">
        <f aca="false">Staff!E47/FX_EUR</f>
        <v>0</v>
      </c>
      <c r="F19" s="33" t="n">
        <f aca="false">Staff!F47/FX_EUR</f>
        <v>0</v>
      </c>
      <c r="G19" s="33" t="n">
        <f aca="false">Staff!G47/FX_EUR</f>
        <v>0</v>
      </c>
      <c r="H19" s="33" t="n">
        <f aca="false">Staff!H47/FX_EUR</f>
        <v>0</v>
      </c>
      <c r="I19" s="33" t="n">
        <f aca="false">Staff!I47/FX_EUR</f>
        <v>0</v>
      </c>
      <c r="J19" s="33" t="n">
        <f aca="false">Staff!J47/FX_EUR</f>
        <v>0</v>
      </c>
      <c r="K19" s="33" t="n">
        <f aca="false">Staff!K47/FX_EUR</f>
        <v>0</v>
      </c>
      <c r="L19" s="33" t="n">
        <f aca="false">Staff!L47/FX_EUR</f>
        <v>0</v>
      </c>
      <c r="M19" s="33" t="n">
        <f aca="false">Staff!M47/FX_EUR</f>
        <v>0</v>
      </c>
      <c r="N19" s="33" t="n">
        <f aca="false">Staff!N47/FX_EUR</f>
        <v>0</v>
      </c>
      <c r="O19" s="33" t="n">
        <f aca="false">Staff!O47/FX_EUR</f>
        <v>0</v>
      </c>
      <c r="P19" s="33" t="n">
        <f aca="false">Staff!P47/FX_EUR</f>
        <v>0</v>
      </c>
      <c r="Q19" s="33" t="n">
        <f aca="false">Staff!Q47/FX_EUR</f>
        <v>0</v>
      </c>
      <c r="R19" s="33" t="n">
        <f aca="false">Staff!R47/FX_EUR</f>
        <v>0</v>
      </c>
      <c r="S19" s="33" t="n">
        <f aca="false">Staff!S47/FX_EUR</f>
        <v>0</v>
      </c>
      <c r="T19" s="33" t="n">
        <f aca="false">Staff!T47/FX_EUR</f>
        <v>0</v>
      </c>
      <c r="U19" s="33" t="n">
        <f aca="false">Staff!U47/FX_EUR</f>
        <v>0</v>
      </c>
      <c r="V19" s="33" t="n">
        <f aca="false">Staff!V47/FX_EUR</f>
        <v>0</v>
      </c>
      <c r="W19" s="33" t="n">
        <f aca="false">Staff!W47/FX_EUR</f>
        <v>0</v>
      </c>
      <c r="X19" s="33" t="n">
        <f aca="false">Staff!X47/FX_EUR</f>
        <v>0</v>
      </c>
      <c r="Y19" s="33" t="n">
        <f aca="false">Staff!Y47/FX_EUR</f>
        <v>0</v>
      </c>
      <c r="Z19" s="33" t="n">
        <f aca="false">Staff!Z47/FX_EUR</f>
        <v>0</v>
      </c>
      <c r="AA19" s="33" t="n">
        <f aca="false">Staff!AA47/FX_EUR</f>
        <v>0</v>
      </c>
      <c r="AB19" s="33" t="n">
        <f aca="false">Staff!AB47/FX_EUR</f>
        <v>0</v>
      </c>
      <c r="AC19" s="33" t="n">
        <f aca="false">Staff!AC47/FX_EUR</f>
        <v>0</v>
      </c>
      <c r="AD19" s="33" t="n">
        <f aca="false">Staff!AD47/FX_EUR</f>
        <v>0</v>
      </c>
      <c r="AE19" s="33" t="n">
        <f aca="false">Staff!AE47/FX_EUR</f>
        <v>0</v>
      </c>
      <c r="AF19" s="33" t="n">
        <f aca="false">Staff!AF47/FX_EUR</f>
        <v>0</v>
      </c>
      <c r="AG19" s="33" t="n">
        <f aca="false">Staff!AG47/FX_EUR</f>
        <v>0</v>
      </c>
      <c r="AH19" s="33" t="n">
        <f aca="false">Staff!AH47/FX_EUR</f>
        <v>0</v>
      </c>
      <c r="AI19" s="33" t="n">
        <f aca="false">Staff!AI47/FX_EUR</f>
        <v>0</v>
      </c>
      <c r="AJ19" s="33" t="n">
        <f aca="false">Staff!AJ47/FX_EUR</f>
        <v>0</v>
      </c>
      <c r="AK19" s="33" t="n">
        <f aca="false">Staff!AK47/FX_EUR</f>
        <v>0</v>
      </c>
      <c r="AL19" s="33" t="n">
        <f aca="false">Staff!AL47/FX_EUR</f>
        <v>0</v>
      </c>
      <c r="AM19" s="33" t="n">
        <f aca="false">Staff!AM47/FX_EUR</f>
        <v>0</v>
      </c>
      <c r="AN19" s="33" t="n">
        <f aca="false">Staff!AN47/FX_EUR</f>
        <v>0</v>
      </c>
      <c r="AO19" s="33" t="n">
        <f aca="false">Staff!AO47/FX_EUR</f>
        <v>0</v>
      </c>
      <c r="AP19" s="33" t="n">
        <f aca="false">Staff!AP47/FX_EUR</f>
        <v>0</v>
      </c>
      <c r="AQ19" s="33" t="n">
        <f aca="false">Staff!AQ47/FX_EUR</f>
        <v>0</v>
      </c>
      <c r="AR19" s="33" t="n">
        <f aca="false">Staff!AR47/FX_EUR</f>
        <v>0</v>
      </c>
      <c r="AS19" s="33" t="n">
        <f aca="false">Staff!AS47/FX_EUR</f>
        <v>0</v>
      </c>
      <c r="AT19" s="33" t="n">
        <f aca="false">Staff!AT47/FX_EUR</f>
        <v>0</v>
      </c>
      <c r="AU19" s="33" t="n">
        <f aca="false">Staff!AU47/FX_EUR</f>
        <v>0</v>
      </c>
      <c r="AV19" s="33" t="n">
        <f aca="false">Staff!AV47/FX_EUR</f>
        <v>0</v>
      </c>
      <c r="AW19" s="33" t="n">
        <f aca="false">Staff!AW47/FX_EUR</f>
        <v>0</v>
      </c>
      <c r="AX19" s="33" t="n">
        <f aca="false">Staff!AX47/FX_EUR</f>
        <v>0</v>
      </c>
      <c r="AY19" s="33" t="n">
        <f aca="false">Staff!AY47/FX_EUR</f>
        <v>0</v>
      </c>
      <c r="AZ19" s="33" t="n">
        <f aca="false">Staff!AZ47/FX_EUR</f>
        <v>0</v>
      </c>
      <c r="BA19" s="33" t="n">
        <f aca="false">Staff!BA47/FX_EUR</f>
        <v>0</v>
      </c>
      <c r="BB19" s="33" t="n">
        <f aca="false">Staff!BB47/FX_EUR</f>
        <v>0</v>
      </c>
      <c r="BC19" s="33" t="n">
        <f aca="false">Staff!BC47/FX_EUR</f>
        <v>0</v>
      </c>
      <c r="BD19" s="33" t="n">
        <f aca="false">Staff!BD47/FX_EUR</f>
        <v>0</v>
      </c>
      <c r="BE19" s="33" t="n">
        <f aca="false">Staff!BE47/FX_EUR</f>
        <v>0</v>
      </c>
      <c r="BF19" s="33" t="n">
        <f aca="false">Staff!BF47/FX_EUR</f>
        <v>0</v>
      </c>
      <c r="BG19" s="33" t="n">
        <f aca="false">Staff!BG47/FX_EUR</f>
        <v>0</v>
      </c>
      <c r="BH19" s="33" t="n">
        <f aca="false">Staff!BH47/FX_EUR</f>
        <v>0</v>
      </c>
      <c r="BI19" s="33" t="n">
        <f aca="false">Staff!BI47/FX_EUR</f>
        <v>0</v>
      </c>
      <c r="BJ19" s="33" t="n">
        <f aca="false">Staff!BJ47/FX_EUR</f>
        <v>0</v>
      </c>
      <c r="BK19" s="33" t="n">
        <f aca="false">Staff!BK47/FX_EUR</f>
        <v>0</v>
      </c>
      <c r="BL19" s="33" t="n">
        <f aca="false">Staff!BL47/FX_EUR</f>
        <v>0</v>
      </c>
    </row>
    <row r="20" customFormat="false" ht="15" hidden="false" customHeight="true" outlineLevel="0" collapsed="false">
      <c r="A20" s="13" t="str">
        <f aca="false">Staff!A48</f>
        <v>(spare line 10)</v>
      </c>
      <c r="B20" s="15" t="s">
        <v>79</v>
      </c>
      <c r="D20" s="56" t="n">
        <f aca="false">Staff!D48/FX_EUR</f>
        <v>0</v>
      </c>
      <c r="E20" s="33" t="n">
        <f aca="false">Staff!E48/FX_EUR</f>
        <v>0</v>
      </c>
      <c r="F20" s="33" t="n">
        <f aca="false">Staff!F48/FX_EUR</f>
        <v>0</v>
      </c>
      <c r="G20" s="33" t="n">
        <f aca="false">Staff!G48/FX_EUR</f>
        <v>0</v>
      </c>
      <c r="H20" s="33" t="n">
        <f aca="false">Staff!H48/FX_EUR</f>
        <v>0</v>
      </c>
      <c r="I20" s="33" t="n">
        <f aca="false">Staff!I48/FX_EUR</f>
        <v>0</v>
      </c>
      <c r="J20" s="33" t="n">
        <f aca="false">Staff!J48/FX_EUR</f>
        <v>0</v>
      </c>
      <c r="K20" s="33" t="n">
        <f aca="false">Staff!K48/FX_EUR</f>
        <v>0</v>
      </c>
      <c r="L20" s="33" t="n">
        <f aca="false">Staff!L48/FX_EUR</f>
        <v>0</v>
      </c>
      <c r="M20" s="33" t="n">
        <f aca="false">Staff!M48/FX_EUR</f>
        <v>0</v>
      </c>
      <c r="N20" s="33" t="n">
        <f aca="false">Staff!N48/FX_EUR</f>
        <v>0</v>
      </c>
      <c r="O20" s="33" t="n">
        <f aca="false">Staff!O48/FX_EUR</f>
        <v>0</v>
      </c>
      <c r="P20" s="33" t="n">
        <f aca="false">Staff!P48/FX_EUR</f>
        <v>0</v>
      </c>
      <c r="Q20" s="33" t="n">
        <f aca="false">Staff!Q48/FX_EUR</f>
        <v>0</v>
      </c>
      <c r="R20" s="33" t="n">
        <f aca="false">Staff!R48/FX_EUR</f>
        <v>0</v>
      </c>
      <c r="S20" s="33" t="n">
        <f aca="false">Staff!S48/FX_EUR</f>
        <v>0</v>
      </c>
      <c r="T20" s="33" t="n">
        <f aca="false">Staff!T48/FX_EUR</f>
        <v>0</v>
      </c>
      <c r="U20" s="33" t="n">
        <f aca="false">Staff!U48/FX_EUR</f>
        <v>0</v>
      </c>
      <c r="V20" s="33" t="n">
        <f aca="false">Staff!V48/FX_EUR</f>
        <v>0</v>
      </c>
      <c r="W20" s="33" t="n">
        <f aca="false">Staff!W48/FX_EUR</f>
        <v>0</v>
      </c>
      <c r="X20" s="33" t="n">
        <f aca="false">Staff!X48/FX_EUR</f>
        <v>0</v>
      </c>
      <c r="Y20" s="33" t="n">
        <f aca="false">Staff!Y48/FX_EUR</f>
        <v>0</v>
      </c>
      <c r="Z20" s="33" t="n">
        <f aca="false">Staff!Z48/FX_EUR</f>
        <v>0</v>
      </c>
      <c r="AA20" s="33" t="n">
        <f aca="false">Staff!AA48/FX_EUR</f>
        <v>0</v>
      </c>
      <c r="AB20" s="33" t="n">
        <f aca="false">Staff!AB48/FX_EUR</f>
        <v>0</v>
      </c>
      <c r="AC20" s="33" t="n">
        <f aca="false">Staff!AC48/FX_EUR</f>
        <v>0</v>
      </c>
      <c r="AD20" s="33" t="n">
        <f aca="false">Staff!AD48/FX_EUR</f>
        <v>0</v>
      </c>
      <c r="AE20" s="33" t="n">
        <f aca="false">Staff!AE48/FX_EUR</f>
        <v>0</v>
      </c>
      <c r="AF20" s="33" t="n">
        <f aca="false">Staff!AF48/FX_EUR</f>
        <v>0</v>
      </c>
      <c r="AG20" s="33" t="n">
        <f aca="false">Staff!AG48/FX_EUR</f>
        <v>0</v>
      </c>
      <c r="AH20" s="33" t="n">
        <f aca="false">Staff!AH48/FX_EUR</f>
        <v>0</v>
      </c>
      <c r="AI20" s="33" t="n">
        <f aca="false">Staff!AI48/FX_EUR</f>
        <v>0</v>
      </c>
      <c r="AJ20" s="33" t="n">
        <f aca="false">Staff!AJ48/FX_EUR</f>
        <v>0</v>
      </c>
      <c r="AK20" s="33" t="n">
        <f aca="false">Staff!AK48/FX_EUR</f>
        <v>0</v>
      </c>
      <c r="AL20" s="33" t="n">
        <f aca="false">Staff!AL48/FX_EUR</f>
        <v>0</v>
      </c>
      <c r="AM20" s="33" t="n">
        <f aca="false">Staff!AM48/FX_EUR</f>
        <v>0</v>
      </c>
      <c r="AN20" s="33" t="n">
        <f aca="false">Staff!AN48/FX_EUR</f>
        <v>0</v>
      </c>
      <c r="AO20" s="33" t="n">
        <f aca="false">Staff!AO48/FX_EUR</f>
        <v>0</v>
      </c>
      <c r="AP20" s="33" t="n">
        <f aca="false">Staff!AP48/FX_EUR</f>
        <v>0</v>
      </c>
      <c r="AQ20" s="33" t="n">
        <f aca="false">Staff!AQ48/FX_EUR</f>
        <v>0</v>
      </c>
      <c r="AR20" s="33" t="n">
        <f aca="false">Staff!AR48/FX_EUR</f>
        <v>0</v>
      </c>
      <c r="AS20" s="33" t="n">
        <f aca="false">Staff!AS48/FX_EUR</f>
        <v>0</v>
      </c>
      <c r="AT20" s="33" t="n">
        <f aca="false">Staff!AT48/FX_EUR</f>
        <v>0</v>
      </c>
      <c r="AU20" s="33" t="n">
        <f aca="false">Staff!AU48/FX_EUR</f>
        <v>0</v>
      </c>
      <c r="AV20" s="33" t="n">
        <f aca="false">Staff!AV48/FX_EUR</f>
        <v>0</v>
      </c>
      <c r="AW20" s="33" t="n">
        <f aca="false">Staff!AW48/FX_EUR</f>
        <v>0</v>
      </c>
      <c r="AX20" s="33" t="n">
        <f aca="false">Staff!AX48/FX_EUR</f>
        <v>0</v>
      </c>
      <c r="AY20" s="33" t="n">
        <f aca="false">Staff!AY48/FX_EUR</f>
        <v>0</v>
      </c>
      <c r="AZ20" s="33" t="n">
        <f aca="false">Staff!AZ48/FX_EUR</f>
        <v>0</v>
      </c>
      <c r="BA20" s="33" t="n">
        <f aca="false">Staff!BA48/FX_EUR</f>
        <v>0</v>
      </c>
      <c r="BB20" s="33" t="n">
        <f aca="false">Staff!BB48/FX_EUR</f>
        <v>0</v>
      </c>
      <c r="BC20" s="33" t="n">
        <f aca="false">Staff!BC48/FX_EUR</f>
        <v>0</v>
      </c>
      <c r="BD20" s="33" t="n">
        <f aca="false">Staff!BD48/FX_EUR</f>
        <v>0</v>
      </c>
      <c r="BE20" s="33" t="n">
        <f aca="false">Staff!BE48/FX_EUR</f>
        <v>0</v>
      </c>
      <c r="BF20" s="33" t="n">
        <f aca="false">Staff!BF48/FX_EUR</f>
        <v>0</v>
      </c>
      <c r="BG20" s="33" t="n">
        <f aca="false">Staff!BG48/FX_EUR</f>
        <v>0</v>
      </c>
      <c r="BH20" s="33" t="n">
        <f aca="false">Staff!BH48/FX_EUR</f>
        <v>0</v>
      </c>
      <c r="BI20" s="33" t="n">
        <f aca="false">Staff!BI48/FX_EUR</f>
        <v>0</v>
      </c>
      <c r="BJ20" s="33" t="n">
        <f aca="false">Staff!BJ48/FX_EUR</f>
        <v>0</v>
      </c>
      <c r="BK20" s="33" t="n">
        <f aca="false">Staff!BK48/FX_EUR</f>
        <v>0</v>
      </c>
      <c r="BL20" s="33" t="n">
        <f aca="false">Staff!BL48/FX_EUR</f>
        <v>0</v>
      </c>
    </row>
    <row r="21" customFormat="false" ht="15" hidden="false" customHeight="true" outlineLevel="0" collapsed="false">
      <c r="A21" s="13" t="str">
        <f aca="false">Staff!A49</f>
        <v>(spare line 11)</v>
      </c>
      <c r="B21" s="15" t="s">
        <v>79</v>
      </c>
      <c r="D21" s="56" t="n">
        <f aca="false">Staff!D49/FX_EUR</f>
        <v>0</v>
      </c>
      <c r="E21" s="33" t="n">
        <f aca="false">Staff!E49/FX_EUR</f>
        <v>0</v>
      </c>
      <c r="F21" s="33" t="n">
        <f aca="false">Staff!F49/FX_EUR</f>
        <v>0</v>
      </c>
      <c r="G21" s="33" t="n">
        <f aca="false">Staff!G49/FX_EUR</f>
        <v>0</v>
      </c>
      <c r="H21" s="33" t="n">
        <f aca="false">Staff!H49/FX_EUR</f>
        <v>0</v>
      </c>
      <c r="I21" s="33" t="n">
        <f aca="false">Staff!I49/FX_EUR</f>
        <v>0</v>
      </c>
      <c r="J21" s="33" t="n">
        <f aca="false">Staff!J49/FX_EUR</f>
        <v>0</v>
      </c>
      <c r="K21" s="33" t="n">
        <f aca="false">Staff!K49/FX_EUR</f>
        <v>0</v>
      </c>
      <c r="L21" s="33" t="n">
        <f aca="false">Staff!L49/FX_EUR</f>
        <v>0</v>
      </c>
      <c r="M21" s="33" t="n">
        <f aca="false">Staff!M49/FX_EUR</f>
        <v>0</v>
      </c>
      <c r="N21" s="33" t="n">
        <f aca="false">Staff!N49/FX_EUR</f>
        <v>0</v>
      </c>
      <c r="O21" s="33" t="n">
        <f aca="false">Staff!O49/FX_EUR</f>
        <v>0</v>
      </c>
      <c r="P21" s="33" t="n">
        <f aca="false">Staff!P49/FX_EUR</f>
        <v>0</v>
      </c>
      <c r="Q21" s="33" t="n">
        <f aca="false">Staff!Q49/FX_EUR</f>
        <v>0</v>
      </c>
      <c r="R21" s="33" t="n">
        <f aca="false">Staff!R49/FX_EUR</f>
        <v>0</v>
      </c>
      <c r="S21" s="33" t="n">
        <f aca="false">Staff!S49/FX_EUR</f>
        <v>0</v>
      </c>
      <c r="T21" s="33" t="n">
        <f aca="false">Staff!T49/FX_EUR</f>
        <v>0</v>
      </c>
      <c r="U21" s="33" t="n">
        <f aca="false">Staff!U49/FX_EUR</f>
        <v>0</v>
      </c>
      <c r="V21" s="33" t="n">
        <f aca="false">Staff!V49/FX_EUR</f>
        <v>0</v>
      </c>
      <c r="W21" s="33" t="n">
        <f aca="false">Staff!W49/FX_EUR</f>
        <v>0</v>
      </c>
      <c r="X21" s="33" t="n">
        <f aca="false">Staff!X49/FX_EUR</f>
        <v>0</v>
      </c>
      <c r="Y21" s="33" t="n">
        <f aca="false">Staff!Y49/FX_EUR</f>
        <v>0</v>
      </c>
      <c r="Z21" s="33" t="n">
        <f aca="false">Staff!Z49/FX_EUR</f>
        <v>0</v>
      </c>
      <c r="AA21" s="33" t="n">
        <f aca="false">Staff!AA49/FX_EUR</f>
        <v>0</v>
      </c>
      <c r="AB21" s="33" t="n">
        <f aca="false">Staff!AB49/FX_EUR</f>
        <v>0</v>
      </c>
      <c r="AC21" s="33" t="n">
        <f aca="false">Staff!AC49/FX_EUR</f>
        <v>0</v>
      </c>
      <c r="AD21" s="33" t="n">
        <f aca="false">Staff!AD49/FX_EUR</f>
        <v>0</v>
      </c>
      <c r="AE21" s="33" t="n">
        <f aca="false">Staff!AE49/FX_EUR</f>
        <v>0</v>
      </c>
      <c r="AF21" s="33" t="n">
        <f aca="false">Staff!AF49/FX_EUR</f>
        <v>0</v>
      </c>
      <c r="AG21" s="33" t="n">
        <f aca="false">Staff!AG49/FX_EUR</f>
        <v>0</v>
      </c>
      <c r="AH21" s="33" t="n">
        <f aca="false">Staff!AH49/FX_EUR</f>
        <v>0</v>
      </c>
      <c r="AI21" s="33" t="n">
        <f aca="false">Staff!AI49/FX_EUR</f>
        <v>0</v>
      </c>
      <c r="AJ21" s="33" t="n">
        <f aca="false">Staff!AJ49/FX_EUR</f>
        <v>0</v>
      </c>
      <c r="AK21" s="33" t="n">
        <f aca="false">Staff!AK49/FX_EUR</f>
        <v>0</v>
      </c>
      <c r="AL21" s="33" t="n">
        <f aca="false">Staff!AL49/FX_EUR</f>
        <v>0</v>
      </c>
      <c r="AM21" s="33" t="n">
        <f aca="false">Staff!AM49/FX_EUR</f>
        <v>0</v>
      </c>
      <c r="AN21" s="33" t="n">
        <f aca="false">Staff!AN49/FX_EUR</f>
        <v>0</v>
      </c>
      <c r="AO21" s="33" t="n">
        <f aca="false">Staff!AO49/FX_EUR</f>
        <v>0</v>
      </c>
      <c r="AP21" s="33" t="n">
        <f aca="false">Staff!AP49/FX_EUR</f>
        <v>0</v>
      </c>
      <c r="AQ21" s="33" t="n">
        <f aca="false">Staff!AQ49/FX_EUR</f>
        <v>0</v>
      </c>
      <c r="AR21" s="33" t="n">
        <f aca="false">Staff!AR49/FX_EUR</f>
        <v>0</v>
      </c>
      <c r="AS21" s="33" t="n">
        <f aca="false">Staff!AS49/FX_EUR</f>
        <v>0</v>
      </c>
      <c r="AT21" s="33" t="n">
        <f aca="false">Staff!AT49/FX_EUR</f>
        <v>0</v>
      </c>
      <c r="AU21" s="33" t="n">
        <f aca="false">Staff!AU49/FX_EUR</f>
        <v>0</v>
      </c>
      <c r="AV21" s="33" t="n">
        <f aca="false">Staff!AV49/FX_EUR</f>
        <v>0</v>
      </c>
      <c r="AW21" s="33" t="n">
        <f aca="false">Staff!AW49/FX_EUR</f>
        <v>0</v>
      </c>
      <c r="AX21" s="33" t="n">
        <f aca="false">Staff!AX49/FX_EUR</f>
        <v>0</v>
      </c>
      <c r="AY21" s="33" t="n">
        <f aca="false">Staff!AY49/FX_EUR</f>
        <v>0</v>
      </c>
      <c r="AZ21" s="33" t="n">
        <f aca="false">Staff!AZ49/FX_EUR</f>
        <v>0</v>
      </c>
      <c r="BA21" s="33" t="n">
        <f aca="false">Staff!BA49/FX_EUR</f>
        <v>0</v>
      </c>
      <c r="BB21" s="33" t="n">
        <f aca="false">Staff!BB49/FX_EUR</f>
        <v>0</v>
      </c>
      <c r="BC21" s="33" t="n">
        <f aca="false">Staff!BC49/FX_EUR</f>
        <v>0</v>
      </c>
      <c r="BD21" s="33" t="n">
        <f aca="false">Staff!BD49/FX_EUR</f>
        <v>0</v>
      </c>
      <c r="BE21" s="33" t="n">
        <f aca="false">Staff!BE49/FX_EUR</f>
        <v>0</v>
      </c>
      <c r="BF21" s="33" t="n">
        <f aca="false">Staff!BF49/FX_EUR</f>
        <v>0</v>
      </c>
      <c r="BG21" s="33" t="n">
        <f aca="false">Staff!BG49/FX_EUR</f>
        <v>0</v>
      </c>
      <c r="BH21" s="33" t="n">
        <f aca="false">Staff!BH49/FX_EUR</f>
        <v>0</v>
      </c>
      <c r="BI21" s="33" t="n">
        <f aca="false">Staff!BI49/FX_EUR</f>
        <v>0</v>
      </c>
      <c r="BJ21" s="33" t="n">
        <f aca="false">Staff!BJ49/FX_EUR</f>
        <v>0</v>
      </c>
      <c r="BK21" s="33" t="n">
        <f aca="false">Staff!BK49/FX_EUR</f>
        <v>0</v>
      </c>
      <c r="BL21" s="33" t="n">
        <f aca="false">Staff!BL49/FX_EUR</f>
        <v>0</v>
      </c>
    </row>
    <row r="22" customFormat="false" ht="15" hidden="false" customHeight="true" outlineLevel="0" collapsed="false">
      <c r="A22" s="13" t="str">
        <f aca="false">Staff!A50</f>
        <v>(spare line 12)</v>
      </c>
      <c r="B22" s="15" t="s">
        <v>79</v>
      </c>
      <c r="D22" s="56" t="n">
        <f aca="false">Staff!D50/FX_EUR</f>
        <v>0</v>
      </c>
      <c r="E22" s="33" t="n">
        <f aca="false">Staff!E50/FX_EUR</f>
        <v>0</v>
      </c>
      <c r="F22" s="33" t="n">
        <f aca="false">Staff!F50/FX_EUR</f>
        <v>0</v>
      </c>
      <c r="G22" s="33" t="n">
        <f aca="false">Staff!G50/FX_EUR</f>
        <v>0</v>
      </c>
      <c r="H22" s="33" t="n">
        <f aca="false">Staff!H50/FX_EUR</f>
        <v>0</v>
      </c>
      <c r="I22" s="33" t="n">
        <f aca="false">Staff!I50/FX_EUR</f>
        <v>0</v>
      </c>
      <c r="J22" s="33" t="n">
        <f aca="false">Staff!J50/FX_EUR</f>
        <v>0</v>
      </c>
      <c r="K22" s="33" t="n">
        <f aca="false">Staff!K50/FX_EUR</f>
        <v>0</v>
      </c>
      <c r="L22" s="33" t="n">
        <f aca="false">Staff!L50/FX_EUR</f>
        <v>0</v>
      </c>
      <c r="M22" s="33" t="n">
        <f aca="false">Staff!M50/FX_EUR</f>
        <v>0</v>
      </c>
      <c r="N22" s="33" t="n">
        <f aca="false">Staff!N50/FX_EUR</f>
        <v>0</v>
      </c>
      <c r="O22" s="33" t="n">
        <f aca="false">Staff!O50/FX_EUR</f>
        <v>0</v>
      </c>
      <c r="P22" s="33" t="n">
        <f aca="false">Staff!P50/FX_EUR</f>
        <v>0</v>
      </c>
      <c r="Q22" s="33" t="n">
        <f aca="false">Staff!Q50/FX_EUR</f>
        <v>0</v>
      </c>
      <c r="R22" s="33" t="n">
        <f aca="false">Staff!R50/FX_EUR</f>
        <v>0</v>
      </c>
      <c r="S22" s="33" t="n">
        <f aca="false">Staff!S50/FX_EUR</f>
        <v>0</v>
      </c>
      <c r="T22" s="33" t="n">
        <f aca="false">Staff!T50/FX_EUR</f>
        <v>0</v>
      </c>
      <c r="U22" s="33" t="n">
        <f aca="false">Staff!U50/FX_EUR</f>
        <v>0</v>
      </c>
      <c r="V22" s="33" t="n">
        <f aca="false">Staff!V50/FX_EUR</f>
        <v>0</v>
      </c>
      <c r="W22" s="33" t="n">
        <f aca="false">Staff!W50/FX_EUR</f>
        <v>0</v>
      </c>
      <c r="X22" s="33" t="n">
        <f aca="false">Staff!X50/FX_EUR</f>
        <v>0</v>
      </c>
      <c r="Y22" s="33" t="n">
        <f aca="false">Staff!Y50/FX_EUR</f>
        <v>0</v>
      </c>
      <c r="Z22" s="33" t="n">
        <f aca="false">Staff!Z50/FX_EUR</f>
        <v>0</v>
      </c>
      <c r="AA22" s="33" t="n">
        <f aca="false">Staff!AA50/FX_EUR</f>
        <v>0</v>
      </c>
      <c r="AB22" s="33" t="n">
        <f aca="false">Staff!AB50/FX_EUR</f>
        <v>0</v>
      </c>
      <c r="AC22" s="33" t="n">
        <f aca="false">Staff!AC50/FX_EUR</f>
        <v>0</v>
      </c>
      <c r="AD22" s="33" t="n">
        <f aca="false">Staff!AD50/FX_EUR</f>
        <v>0</v>
      </c>
      <c r="AE22" s="33" t="n">
        <f aca="false">Staff!AE50/FX_EUR</f>
        <v>0</v>
      </c>
      <c r="AF22" s="33" t="n">
        <f aca="false">Staff!AF50/FX_EUR</f>
        <v>0</v>
      </c>
      <c r="AG22" s="33" t="n">
        <f aca="false">Staff!AG50/FX_EUR</f>
        <v>0</v>
      </c>
      <c r="AH22" s="33" t="n">
        <f aca="false">Staff!AH50/FX_EUR</f>
        <v>0</v>
      </c>
      <c r="AI22" s="33" t="n">
        <f aca="false">Staff!AI50/FX_EUR</f>
        <v>0</v>
      </c>
      <c r="AJ22" s="33" t="n">
        <f aca="false">Staff!AJ50/FX_EUR</f>
        <v>0</v>
      </c>
      <c r="AK22" s="33" t="n">
        <f aca="false">Staff!AK50/FX_EUR</f>
        <v>0</v>
      </c>
      <c r="AL22" s="33" t="n">
        <f aca="false">Staff!AL50/FX_EUR</f>
        <v>0</v>
      </c>
      <c r="AM22" s="33" t="n">
        <f aca="false">Staff!AM50/FX_EUR</f>
        <v>0</v>
      </c>
      <c r="AN22" s="33" t="n">
        <f aca="false">Staff!AN50/FX_EUR</f>
        <v>0</v>
      </c>
      <c r="AO22" s="33" t="n">
        <f aca="false">Staff!AO50/FX_EUR</f>
        <v>0</v>
      </c>
      <c r="AP22" s="33" t="n">
        <f aca="false">Staff!AP50/FX_EUR</f>
        <v>0</v>
      </c>
      <c r="AQ22" s="33" t="n">
        <f aca="false">Staff!AQ50/FX_EUR</f>
        <v>0</v>
      </c>
      <c r="AR22" s="33" t="n">
        <f aca="false">Staff!AR50/FX_EUR</f>
        <v>0</v>
      </c>
      <c r="AS22" s="33" t="n">
        <f aca="false">Staff!AS50/FX_EUR</f>
        <v>0</v>
      </c>
      <c r="AT22" s="33" t="n">
        <f aca="false">Staff!AT50/FX_EUR</f>
        <v>0</v>
      </c>
      <c r="AU22" s="33" t="n">
        <f aca="false">Staff!AU50/FX_EUR</f>
        <v>0</v>
      </c>
      <c r="AV22" s="33" t="n">
        <f aca="false">Staff!AV50/FX_EUR</f>
        <v>0</v>
      </c>
      <c r="AW22" s="33" t="n">
        <f aca="false">Staff!AW50/FX_EUR</f>
        <v>0</v>
      </c>
      <c r="AX22" s="33" t="n">
        <f aca="false">Staff!AX50/FX_EUR</f>
        <v>0</v>
      </c>
      <c r="AY22" s="33" t="n">
        <f aca="false">Staff!AY50/FX_EUR</f>
        <v>0</v>
      </c>
      <c r="AZ22" s="33" t="n">
        <f aca="false">Staff!AZ50/FX_EUR</f>
        <v>0</v>
      </c>
      <c r="BA22" s="33" t="n">
        <f aca="false">Staff!BA50/FX_EUR</f>
        <v>0</v>
      </c>
      <c r="BB22" s="33" t="n">
        <f aca="false">Staff!BB50/FX_EUR</f>
        <v>0</v>
      </c>
      <c r="BC22" s="33" t="n">
        <f aca="false">Staff!BC50/FX_EUR</f>
        <v>0</v>
      </c>
      <c r="BD22" s="33" t="n">
        <f aca="false">Staff!BD50/FX_EUR</f>
        <v>0</v>
      </c>
      <c r="BE22" s="33" t="n">
        <f aca="false">Staff!BE50/FX_EUR</f>
        <v>0</v>
      </c>
      <c r="BF22" s="33" t="n">
        <f aca="false">Staff!BF50/FX_EUR</f>
        <v>0</v>
      </c>
      <c r="BG22" s="33" t="n">
        <f aca="false">Staff!BG50/FX_EUR</f>
        <v>0</v>
      </c>
      <c r="BH22" s="33" t="n">
        <f aca="false">Staff!BH50/FX_EUR</f>
        <v>0</v>
      </c>
      <c r="BI22" s="33" t="n">
        <f aca="false">Staff!BI50/FX_EUR</f>
        <v>0</v>
      </c>
      <c r="BJ22" s="33" t="n">
        <f aca="false">Staff!BJ50/FX_EUR</f>
        <v>0</v>
      </c>
      <c r="BK22" s="33" t="n">
        <f aca="false">Staff!BK50/FX_EUR</f>
        <v>0</v>
      </c>
      <c r="BL22" s="33" t="n">
        <f aca="false">Staff!BL50/FX_EUR</f>
        <v>0</v>
      </c>
    </row>
    <row r="23" customFormat="false" ht="15" hidden="false" customHeight="true" outlineLevel="0" collapsed="false">
      <c r="A23" s="13" t="str">
        <f aca="false">Staff!A51</f>
        <v>(spare line 13)</v>
      </c>
      <c r="B23" s="15" t="s">
        <v>79</v>
      </c>
      <c r="D23" s="56" t="n">
        <f aca="false">Staff!D51/FX_EUR</f>
        <v>0</v>
      </c>
      <c r="E23" s="33" t="n">
        <f aca="false">Staff!E51/FX_EUR</f>
        <v>0</v>
      </c>
      <c r="F23" s="33" t="n">
        <f aca="false">Staff!F51/FX_EUR</f>
        <v>0</v>
      </c>
      <c r="G23" s="33" t="n">
        <f aca="false">Staff!G51/FX_EUR</f>
        <v>0</v>
      </c>
      <c r="H23" s="33" t="n">
        <f aca="false">Staff!H51/FX_EUR</f>
        <v>0</v>
      </c>
      <c r="I23" s="33" t="n">
        <f aca="false">Staff!I51/FX_EUR</f>
        <v>0</v>
      </c>
      <c r="J23" s="33" t="n">
        <f aca="false">Staff!J51/FX_EUR</f>
        <v>0</v>
      </c>
      <c r="K23" s="33" t="n">
        <f aca="false">Staff!K51/FX_EUR</f>
        <v>0</v>
      </c>
      <c r="L23" s="33" t="n">
        <f aca="false">Staff!L51/FX_EUR</f>
        <v>0</v>
      </c>
      <c r="M23" s="33" t="n">
        <f aca="false">Staff!M51/FX_EUR</f>
        <v>0</v>
      </c>
      <c r="N23" s="33" t="n">
        <f aca="false">Staff!N51/FX_EUR</f>
        <v>0</v>
      </c>
      <c r="O23" s="33" t="n">
        <f aca="false">Staff!O51/FX_EUR</f>
        <v>0</v>
      </c>
      <c r="P23" s="33" t="n">
        <f aca="false">Staff!P51/FX_EUR</f>
        <v>0</v>
      </c>
      <c r="Q23" s="33" t="n">
        <f aca="false">Staff!Q51/FX_EUR</f>
        <v>0</v>
      </c>
      <c r="R23" s="33" t="n">
        <f aca="false">Staff!R51/FX_EUR</f>
        <v>0</v>
      </c>
      <c r="S23" s="33" t="n">
        <f aca="false">Staff!S51/FX_EUR</f>
        <v>0</v>
      </c>
      <c r="T23" s="33" t="n">
        <f aca="false">Staff!T51/FX_EUR</f>
        <v>0</v>
      </c>
      <c r="U23" s="33" t="n">
        <f aca="false">Staff!U51/FX_EUR</f>
        <v>0</v>
      </c>
      <c r="V23" s="33" t="n">
        <f aca="false">Staff!V51/FX_EUR</f>
        <v>0</v>
      </c>
      <c r="W23" s="33" t="n">
        <f aca="false">Staff!W51/FX_EUR</f>
        <v>0</v>
      </c>
      <c r="X23" s="33" t="n">
        <f aca="false">Staff!X51/FX_EUR</f>
        <v>0</v>
      </c>
      <c r="Y23" s="33" t="n">
        <f aca="false">Staff!Y51/FX_EUR</f>
        <v>0</v>
      </c>
      <c r="Z23" s="33" t="n">
        <f aca="false">Staff!Z51/FX_EUR</f>
        <v>0</v>
      </c>
      <c r="AA23" s="33" t="n">
        <f aca="false">Staff!AA51/FX_EUR</f>
        <v>0</v>
      </c>
      <c r="AB23" s="33" t="n">
        <f aca="false">Staff!AB51/FX_EUR</f>
        <v>0</v>
      </c>
      <c r="AC23" s="33" t="n">
        <f aca="false">Staff!AC51/FX_EUR</f>
        <v>0</v>
      </c>
      <c r="AD23" s="33" t="n">
        <f aca="false">Staff!AD51/FX_EUR</f>
        <v>0</v>
      </c>
      <c r="AE23" s="33" t="n">
        <f aca="false">Staff!AE51/FX_EUR</f>
        <v>0</v>
      </c>
      <c r="AF23" s="33" t="n">
        <f aca="false">Staff!AF51/FX_EUR</f>
        <v>0</v>
      </c>
      <c r="AG23" s="33" t="n">
        <f aca="false">Staff!AG51/FX_EUR</f>
        <v>0</v>
      </c>
      <c r="AH23" s="33" t="n">
        <f aca="false">Staff!AH51/FX_EUR</f>
        <v>0</v>
      </c>
      <c r="AI23" s="33" t="n">
        <f aca="false">Staff!AI51/FX_EUR</f>
        <v>0</v>
      </c>
      <c r="AJ23" s="33" t="n">
        <f aca="false">Staff!AJ51/FX_EUR</f>
        <v>0</v>
      </c>
      <c r="AK23" s="33" t="n">
        <f aca="false">Staff!AK51/FX_EUR</f>
        <v>0</v>
      </c>
      <c r="AL23" s="33" t="n">
        <f aca="false">Staff!AL51/FX_EUR</f>
        <v>0</v>
      </c>
      <c r="AM23" s="33" t="n">
        <f aca="false">Staff!AM51/FX_EUR</f>
        <v>0</v>
      </c>
      <c r="AN23" s="33" t="n">
        <f aca="false">Staff!AN51/FX_EUR</f>
        <v>0</v>
      </c>
      <c r="AO23" s="33" t="n">
        <f aca="false">Staff!AO51/FX_EUR</f>
        <v>0</v>
      </c>
      <c r="AP23" s="33" t="n">
        <f aca="false">Staff!AP51/FX_EUR</f>
        <v>0</v>
      </c>
      <c r="AQ23" s="33" t="n">
        <f aca="false">Staff!AQ51/FX_EUR</f>
        <v>0</v>
      </c>
      <c r="AR23" s="33" t="n">
        <f aca="false">Staff!AR51/FX_EUR</f>
        <v>0</v>
      </c>
      <c r="AS23" s="33" t="n">
        <f aca="false">Staff!AS51/FX_EUR</f>
        <v>0</v>
      </c>
      <c r="AT23" s="33" t="n">
        <f aca="false">Staff!AT51/FX_EUR</f>
        <v>0</v>
      </c>
      <c r="AU23" s="33" t="n">
        <f aca="false">Staff!AU51/FX_EUR</f>
        <v>0</v>
      </c>
      <c r="AV23" s="33" t="n">
        <f aca="false">Staff!AV51/FX_EUR</f>
        <v>0</v>
      </c>
      <c r="AW23" s="33" t="n">
        <f aca="false">Staff!AW51/FX_EUR</f>
        <v>0</v>
      </c>
      <c r="AX23" s="33" t="n">
        <f aca="false">Staff!AX51/FX_EUR</f>
        <v>0</v>
      </c>
      <c r="AY23" s="33" t="n">
        <f aca="false">Staff!AY51/FX_EUR</f>
        <v>0</v>
      </c>
      <c r="AZ23" s="33" t="n">
        <f aca="false">Staff!AZ51/FX_EUR</f>
        <v>0</v>
      </c>
      <c r="BA23" s="33" t="n">
        <f aca="false">Staff!BA51/FX_EUR</f>
        <v>0</v>
      </c>
      <c r="BB23" s="33" t="n">
        <f aca="false">Staff!BB51/FX_EUR</f>
        <v>0</v>
      </c>
      <c r="BC23" s="33" t="n">
        <f aca="false">Staff!BC51/FX_EUR</f>
        <v>0</v>
      </c>
      <c r="BD23" s="33" t="n">
        <f aca="false">Staff!BD51/FX_EUR</f>
        <v>0</v>
      </c>
      <c r="BE23" s="33" t="n">
        <f aca="false">Staff!BE51/FX_EUR</f>
        <v>0</v>
      </c>
      <c r="BF23" s="33" t="n">
        <f aca="false">Staff!BF51/FX_EUR</f>
        <v>0</v>
      </c>
      <c r="BG23" s="33" t="n">
        <f aca="false">Staff!BG51/FX_EUR</f>
        <v>0</v>
      </c>
      <c r="BH23" s="33" t="n">
        <f aca="false">Staff!BH51/FX_EUR</f>
        <v>0</v>
      </c>
      <c r="BI23" s="33" t="n">
        <f aca="false">Staff!BI51/FX_EUR</f>
        <v>0</v>
      </c>
      <c r="BJ23" s="33" t="n">
        <f aca="false">Staff!BJ51/FX_EUR</f>
        <v>0</v>
      </c>
      <c r="BK23" s="33" t="n">
        <f aca="false">Staff!BK51/FX_EUR</f>
        <v>0</v>
      </c>
      <c r="BL23" s="33" t="n">
        <f aca="false">Staff!BL51/FX_EUR</f>
        <v>0</v>
      </c>
    </row>
    <row r="24" customFormat="false" ht="15" hidden="false" customHeight="true" outlineLevel="0" collapsed="false">
      <c r="A24" s="13" t="str">
        <f aca="false">Staff!A52</f>
        <v>(spare line 14)</v>
      </c>
      <c r="B24" s="15" t="s">
        <v>79</v>
      </c>
      <c r="D24" s="56" t="n">
        <f aca="false">Staff!D52/FX_EUR</f>
        <v>0</v>
      </c>
      <c r="E24" s="33" t="n">
        <f aca="false">Staff!E52/FX_EUR</f>
        <v>0</v>
      </c>
      <c r="F24" s="33" t="n">
        <f aca="false">Staff!F52/FX_EUR</f>
        <v>0</v>
      </c>
      <c r="G24" s="33" t="n">
        <f aca="false">Staff!G52/FX_EUR</f>
        <v>0</v>
      </c>
      <c r="H24" s="33" t="n">
        <f aca="false">Staff!H52/FX_EUR</f>
        <v>0</v>
      </c>
      <c r="I24" s="33" t="n">
        <f aca="false">Staff!I52/FX_EUR</f>
        <v>0</v>
      </c>
      <c r="J24" s="33" t="n">
        <f aca="false">Staff!J52/FX_EUR</f>
        <v>0</v>
      </c>
      <c r="K24" s="33" t="n">
        <f aca="false">Staff!K52/FX_EUR</f>
        <v>0</v>
      </c>
      <c r="L24" s="33" t="n">
        <f aca="false">Staff!L52/FX_EUR</f>
        <v>0</v>
      </c>
      <c r="M24" s="33" t="n">
        <f aca="false">Staff!M52/FX_EUR</f>
        <v>0</v>
      </c>
      <c r="N24" s="33" t="n">
        <f aca="false">Staff!N52/FX_EUR</f>
        <v>0</v>
      </c>
      <c r="O24" s="33" t="n">
        <f aca="false">Staff!O52/FX_EUR</f>
        <v>0</v>
      </c>
      <c r="P24" s="33" t="n">
        <f aca="false">Staff!P52/FX_EUR</f>
        <v>0</v>
      </c>
      <c r="Q24" s="33" t="n">
        <f aca="false">Staff!Q52/FX_EUR</f>
        <v>0</v>
      </c>
      <c r="R24" s="33" t="n">
        <f aca="false">Staff!R52/FX_EUR</f>
        <v>0</v>
      </c>
      <c r="S24" s="33" t="n">
        <f aca="false">Staff!S52/FX_EUR</f>
        <v>0</v>
      </c>
      <c r="T24" s="33" t="n">
        <f aca="false">Staff!T52/FX_EUR</f>
        <v>0</v>
      </c>
      <c r="U24" s="33" t="n">
        <f aca="false">Staff!U52/FX_EUR</f>
        <v>0</v>
      </c>
      <c r="V24" s="33" t="n">
        <f aca="false">Staff!V52/FX_EUR</f>
        <v>0</v>
      </c>
      <c r="W24" s="33" t="n">
        <f aca="false">Staff!W52/FX_EUR</f>
        <v>0</v>
      </c>
      <c r="X24" s="33" t="n">
        <f aca="false">Staff!X52/FX_EUR</f>
        <v>0</v>
      </c>
      <c r="Y24" s="33" t="n">
        <f aca="false">Staff!Y52/FX_EUR</f>
        <v>0</v>
      </c>
      <c r="Z24" s="33" t="n">
        <f aca="false">Staff!Z52/FX_EUR</f>
        <v>0</v>
      </c>
      <c r="AA24" s="33" t="n">
        <f aca="false">Staff!AA52/FX_EUR</f>
        <v>0</v>
      </c>
      <c r="AB24" s="33" t="n">
        <f aca="false">Staff!AB52/FX_EUR</f>
        <v>0</v>
      </c>
      <c r="AC24" s="33" t="n">
        <f aca="false">Staff!AC52/FX_EUR</f>
        <v>0</v>
      </c>
      <c r="AD24" s="33" t="n">
        <f aca="false">Staff!AD52/FX_EUR</f>
        <v>0</v>
      </c>
      <c r="AE24" s="33" t="n">
        <f aca="false">Staff!AE52/FX_EUR</f>
        <v>0</v>
      </c>
      <c r="AF24" s="33" t="n">
        <f aca="false">Staff!AF52/FX_EUR</f>
        <v>0</v>
      </c>
      <c r="AG24" s="33" t="n">
        <f aca="false">Staff!AG52/FX_EUR</f>
        <v>0</v>
      </c>
      <c r="AH24" s="33" t="n">
        <f aca="false">Staff!AH52/FX_EUR</f>
        <v>0</v>
      </c>
      <c r="AI24" s="33" t="n">
        <f aca="false">Staff!AI52/FX_EUR</f>
        <v>0</v>
      </c>
      <c r="AJ24" s="33" t="n">
        <f aca="false">Staff!AJ52/FX_EUR</f>
        <v>0</v>
      </c>
      <c r="AK24" s="33" t="n">
        <f aca="false">Staff!AK52/FX_EUR</f>
        <v>0</v>
      </c>
      <c r="AL24" s="33" t="n">
        <f aca="false">Staff!AL52/FX_EUR</f>
        <v>0</v>
      </c>
      <c r="AM24" s="33" t="n">
        <f aca="false">Staff!AM52/FX_EUR</f>
        <v>0</v>
      </c>
      <c r="AN24" s="33" t="n">
        <f aca="false">Staff!AN52/FX_EUR</f>
        <v>0</v>
      </c>
      <c r="AO24" s="33" t="n">
        <f aca="false">Staff!AO52/FX_EUR</f>
        <v>0</v>
      </c>
      <c r="AP24" s="33" t="n">
        <f aca="false">Staff!AP52/FX_EUR</f>
        <v>0</v>
      </c>
      <c r="AQ24" s="33" t="n">
        <f aca="false">Staff!AQ52/FX_EUR</f>
        <v>0</v>
      </c>
      <c r="AR24" s="33" t="n">
        <f aca="false">Staff!AR52/FX_EUR</f>
        <v>0</v>
      </c>
      <c r="AS24" s="33" t="n">
        <f aca="false">Staff!AS52/FX_EUR</f>
        <v>0</v>
      </c>
      <c r="AT24" s="33" t="n">
        <f aca="false">Staff!AT52/FX_EUR</f>
        <v>0</v>
      </c>
      <c r="AU24" s="33" t="n">
        <f aca="false">Staff!AU52/FX_EUR</f>
        <v>0</v>
      </c>
      <c r="AV24" s="33" t="n">
        <f aca="false">Staff!AV52/FX_EUR</f>
        <v>0</v>
      </c>
      <c r="AW24" s="33" t="n">
        <f aca="false">Staff!AW52/FX_EUR</f>
        <v>0</v>
      </c>
      <c r="AX24" s="33" t="n">
        <f aca="false">Staff!AX52/FX_EUR</f>
        <v>0</v>
      </c>
      <c r="AY24" s="33" t="n">
        <f aca="false">Staff!AY52/FX_EUR</f>
        <v>0</v>
      </c>
      <c r="AZ24" s="33" t="n">
        <f aca="false">Staff!AZ52/FX_EUR</f>
        <v>0</v>
      </c>
      <c r="BA24" s="33" t="n">
        <f aca="false">Staff!BA52/FX_EUR</f>
        <v>0</v>
      </c>
      <c r="BB24" s="33" t="n">
        <f aca="false">Staff!BB52/FX_EUR</f>
        <v>0</v>
      </c>
      <c r="BC24" s="33" t="n">
        <f aca="false">Staff!BC52/FX_EUR</f>
        <v>0</v>
      </c>
      <c r="BD24" s="33" t="n">
        <f aca="false">Staff!BD52/FX_EUR</f>
        <v>0</v>
      </c>
      <c r="BE24" s="33" t="n">
        <f aca="false">Staff!BE52/FX_EUR</f>
        <v>0</v>
      </c>
      <c r="BF24" s="33" t="n">
        <f aca="false">Staff!BF52/FX_EUR</f>
        <v>0</v>
      </c>
      <c r="BG24" s="33" t="n">
        <f aca="false">Staff!BG52/FX_EUR</f>
        <v>0</v>
      </c>
      <c r="BH24" s="33" t="n">
        <f aca="false">Staff!BH52/FX_EUR</f>
        <v>0</v>
      </c>
      <c r="BI24" s="33" t="n">
        <f aca="false">Staff!BI52/FX_EUR</f>
        <v>0</v>
      </c>
      <c r="BJ24" s="33" t="n">
        <f aca="false">Staff!BJ52/FX_EUR</f>
        <v>0</v>
      </c>
      <c r="BK24" s="33" t="n">
        <f aca="false">Staff!BK52/FX_EUR</f>
        <v>0</v>
      </c>
      <c r="BL24" s="33" t="n">
        <f aca="false">Staff!BL52/FX_EUR</f>
        <v>0</v>
      </c>
    </row>
    <row r="25" customFormat="false" ht="15" hidden="false" customHeight="true" outlineLevel="0" collapsed="false">
      <c r="A25" s="13" t="str">
        <f aca="false">Staff!A53</f>
        <v>(spare line 15)</v>
      </c>
      <c r="B25" s="15" t="s">
        <v>79</v>
      </c>
      <c r="D25" s="56" t="n">
        <f aca="false">Staff!D53/FX_EUR</f>
        <v>0</v>
      </c>
      <c r="E25" s="33" t="n">
        <f aca="false">Staff!E53/FX_EUR</f>
        <v>0</v>
      </c>
      <c r="F25" s="33" t="n">
        <f aca="false">Staff!F53/FX_EUR</f>
        <v>0</v>
      </c>
      <c r="G25" s="33" t="n">
        <f aca="false">Staff!G53/FX_EUR</f>
        <v>0</v>
      </c>
      <c r="H25" s="33" t="n">
        <f aca="false">Staff!H53/FX_EUR</f>
        <v>0</v>
      </c>
      <c r="I25" s="33" t="n">
        <f aca="false">Staff!I53/FX_EUR</f>
        <v>0</v>
      </c>
      <c r="J25" s="33" t="n">
        <f aca="false">Staff!J53/FX_EUR</f>
        <v>0</v>
      </c>
      <c r="K25" s="33" t="n">
        <f aca="false">Staff!K53/FX_EUR</f>
        <v>0</v>
      </c>
      <c r="L25" s="33" t="n">
        <f aca="false">Staff!L53/FX_EUR</f>
        <v>0</v>
      </c>
      <c r="M25" s="33" t="n">
        <f aca="false">Staff!M53/FX_EUR</f>
        <v>0</v>
      </c>
      <c r="N25" s="33" t="n">
        <f aca="false">Staff!N53/FX_EUR</f>
        <v>0</v>
      </c>
      <c r="O25" s="33" t="n">
        <f aca="false">Staff!O53/FX_EUR</f>
        <v>0</v>
      </c>
      <c r="P25" s="33" t="n">
        <f aca="false">Staff!P53/FX_EUR</f>
        <v>0</v>
      </c>
      <c r="Q25" s="33" t="n">
        <f aca="false">Staff!Q53/FX_EUR</f>
        <v>0</v>
      </c>
      <c r="R25" s="33" t="n">
        <f aca="false">Staff!R53/FX_EUR</f>
        <v>0</v>
      </c>
      <c r="S25" s="33" t="n">
        <f aca="false">Staff!S53/FX_EUR</f>
        <v>0</v>
      </c>
      <c r="T25" s="33" t="n">
        <f aca="false">Staff!T53/FX_EUR</f>
        <v>0</v>
      </c>
      <c r="U25" s="33" t="n">
        <f aca="false">Staff!U53/FX_EUR</f>
        <v>0</v>
      </c>
      <c r="V25" s="33" t="n">
        <f aca="false">Staff!V53/FX_EUR</f>
        <v>0</v>
      </c>
      <c r="W25" s="33" t="n">
        <f aca="false">Staff!W53/FX_EUR</f>
        <v>0</v>
      </c>
      <c r="X25" s="33" t="n">
        <f aca="false">Staff!X53/FX_EUR</f>
        <v>0</v>
      </c>
      <c r="Y25" s="33" t="n">
        <f aca="false">Staff!Y53/FX_EUR</f>
        <v>0</v>
      </c>
      <c r="Z25" s="33" t="n">
        <f aca="false">Staff!Z53/FX_EUR</f>
        <v>0</v>
      </c>
      <c r="AA25" s="33" t="n">
        <f aca="false">Staff!AA53/FX_EUR</f>
        <v>0</v>
      </c>
      <c r="AB25" s="33" t="n">
        <f aca="false">Staff!AB53/FX_EUR</f>
        <v>0</v>
      </c>
      <c r="AC25" s="33" t="n">
        <f aca="false">Staff!AC53/FX_EUR</f>
        <v>0</v>
      </c>
      <c r="AD25" s="33" t="n">
        <f aca="false">Staff!AD53/FX_EUR</f>
        <v>0</v>
      </c>
      <c r="AE25" s="33" t="n">
        <f aca="false">Staff!AE53/FX_EUR</f>
        <v>0</v>
      </c>
      <c r="AF25" s="33" t="n">
        <f aca="false">Staff!AF53/FX_EUR</f>
        <v>0</v>
      </c>
      <c r="AG25" s="33" t="n">
        <f aca="false">Staff!AG53/FX_EUR</f>
        <v>0</v>
      </c>
      <c r="AH25" s="33" t="n">
        <f aca="false">Staff!AH53/FX_EUR</f>
        <v>0</v>
      </c>
      <c r="AI25" s="33" t="n">
        <f aca="false">Staff!AI53/FX_EUR</f>
        <v>0</v>
      </c>
      <c r="AJ25" s="33" t="n">
        <f aca="false">Staff!AJ53/FX_EUR</f>
        <v>0</v>
      </c>
      <c r="AK25" s="33" t="n">
        <f aca="false">Staff!AK53/FX_EUR</f>
        <v>0</v>
      </c>
      <c r="AL25" s="33" t="n">
        <f aca="false">Staff!AL53/FX_EUR</f>
        <v>0</v>
      </c>
      <c r="AM25" s="33" t="n">
        <f aca="false">Staff!AM53/FX_EUR</f>
        <v>0</v>
      </c>
      <c r="AN25" s="33" t="n">
        <f aca="false">Staff!AN53/FX_EUR</f>
        <v>0</v>
      </c>
      <c r="AO25" s="33" t="n">
        <f aca="false">Staff!AO53/FX_EUR</f>
        <v>0</v>
      </c>
      <c r="AP25" s="33" t="n">
        <f aca="false">Staff!AP53/FX_EUR</f>
        <v>0</v>
      </c>
      <c r="AQ25" s="33" t="n">
        <f aca="false">Staff!AQ53/FX_EUR</f>
        <v>0</v>
      </c>
      <c r="AR25" s="33" t="n">
        <f aca="false">Staff!AR53/FX_EUR</f>
        <v>0</v>
      </c>
      <c r="AS25" s="33" t="n">
        <f aca="false">Staff!AS53/FX_EUR</f>
        <v>0</v>
      </c>
      <c r="AT25" s="33" t="n">
        <f aca="false">Staff!AT53/FX_EUR</f>
        <v>0</v>
      </c>
      <c r="AU25" s="33" t="n">
        <f aca="false">Staff!AU53/FX_EUR</f>
        <v>0</v>
      </c>
      <c r="AV25" s="33" t="n">
        <f aca="false">Staff!AV53/FX_EUR</f>
        <v>0</v>
      </c>
      <c r="AW25" s="33" t="n">
        <f aca="false">Staff!AW53/FX_EUR</f>
        <v>0</v>
      </c>
      <c r="AX25" s="33" t="n">
        <f aca="false">Staff!AX53/FX_EUR</f>
        <v>0</v>
      </c>
      <c r="AY25" s="33" t="n">
        <f aca="false">Staff!AY53/FX_EUR</f>
        <v>0</v>
      </c>
      <c r="AZ25" s="33" t="n">
        <f aca="false">Staff!AZ53/FX_EUR</f>
        <v>0</v>
      </c>
      <c r="BA25" s="33" t="n">
        <f aca="false">Staff!BA53/FX_EUR</f>
        <v>0</v>
      </c>
      <c r="BB25" s="33" t="n">
        <f aca="false">Staff!BB53/FX_EUR</f>
        <v>0</v>
      </c>
      <c r="BC25" s="33" t="n">
        <f aca="false">Staff!BC53/FX_EUR</f>
        <v>0</v>
      </c>
      <c r="BD25" s="33" t="n">
        <f aca="false">Staff!BD53/FX_EUR</f>
        <v>0</v>
      </c>
      <c r="BE25" s="33" t="n">
        <f aca="false">Staff!BE53/FX_EUR</f>
        <v>0</v>
      </c>
      <c r="BF25" s="33" t="n">
        <f aca="false">Staff!BF53/FX_EUR</f>
        <v>0</v>
      </c>
      <c r="BG25" s="33" t="n">
        <f aca="false">Staff!BG53/FX_EUR</f>
        <v>0</v>
      </c>
      <c r="BH25" s="33" t="n">
        <f aca="false">Staff!BH53/FX_EUR</f>
        <v>0</v>
      </c>
      <c r="BI25" s="33" t="n">
        <f aca="false">Staff!BI53/FX_EUR</f>
        <v>0</v>
      </c>
      <c r="BJ25" s="33" t="n">
        <f aca="false">Staff!BJ53/FX_EUR</f>
        <v>0</v>
      </c>
      <c r="BK25" s="33" t="n">
        <f aca="false">Staff!BK53/FX_EUR</f>
        <v>0</v>
      </c>
      <c r="BL25" s="33" t="n">
        <f aca="false">Staff!BL53/FX_EUR</f>
        <v>0</v>
      </c>
    </row>
    <row r="26" customFormat="false" ht="15" hidden="false" customHeight="true" outlineLevel="0" collapsed="false">
      <c r="A26" s="13" t="str">
        <f aca="false">Staff!A54</f>
        <v>(spare line 16)</v>
      </c>
      <c r="B26" s="15" t="s">
        <v>79</v>
      </c>
      <c r="D26" s="56" t="n">
        <f aca="false">Staff!D54/FX_EUR</f>
        <v>0</v>
      </c>
      <c r="E26" s="33" t="n">
        <f aca="false">Staff!E54/FX_EUR</f>
        <v>0</v>
      </c>
      <c r="F26" s="33" t="n">
        <f aca="false">Staff!F54/FX_EUR</f>
        <v>0</v>
      </c>
      <c r="G26" s="33" t="n">
        <f aca="false">Staff!G54/FX_EUR</f>
        <v>0</v>
      </c>
      <c r="H26" s="33" t="n">
        <f aca="false">Staff!H54/FX_EUR</f>
        <v>0</v>
      </c>
      <c r="I26" s="33" t="n">
        <f aca="false">Staff!I54/FX_EUR</f>
        <v>0</v>
      </c>
      <c r="J26" s="33" t="n">
        <f aca="false">Staff!J54/FX_EUR</f>
        <v>0</v>
      </c>
      <c r="K26" s="33" t="n">
        <f aca="false">Staff!K54/FX_EUR</f>
        <v>0</v>
      </c>
      <c r="L26" s="33" t="n">
        <f aca="false">Staff!L54/FX_EUR</f>
        <v>0</v>
      </c>
      <c r="M26" s="33" t="n">
        <f aca="false">Staff!M54/FX_EUR</f>
        <v>0</v>
      </c>
      <c r="N26" s="33" t="n">
        <f aca="false">Staff!N54/FX_EUR</f>
        <v>0</v>
      </c>
      <c r="O26" s="33" t="n">
        <f aca="false">Staff!O54/FX_EUR</f>
        <v>0</v>
      </c>
      <c r="P26" s="33" t="n">
        <f aca="false">Staff!P54/FX_EUR</f>
        <v>0</v>
      </c>
      <c r="Q26" s="33" t="n">
        <f aca="false">Staff!Q54/FX_EUR</f>
        <v>0</v>
      </c>
      <c r="R26" s="33" t="n">
        <f aca="false">Staff!R54/FX_EUR</f>
        <v>0</v>
      </c>
      <c r="S26" s="33" t="n">
        <f aca="false">Staff!S54/FX_EUR</f>
        <v>0</v>
      </c>
      <c r="T26" s="33" t="n">
        <f aca="false">Staff!T54/FX_EUR</f>
        <v>0</v>
      </c>
      <c r="U26" s="33" t="n">
        <f aca="false">Staff!U54/FX_EUR</f>
        <v>0</v>
      </c>
      <c r="V26" s="33" t="n">
        <f aca="false">Staff!V54/FX_EUR</f>
        <v>0</v>
      </c>
      <c r="W26" s="33" t="n">
        <f aca="false">Staff!W54/FX_EUR</f>
        <v>0</v>
      </c>
      <c r="X26" s="33" t="n">
        <f aca="false">Staff!X54/FX_EUR</f>
        <v>0</v>
      </c>
      <c r="Y26" s="33" t="n">
        <f aca="false">Staff!Y54/FX_EUR</f>
        <v>0</v>
      </c>
      <c r="Z26" s="33" t="n">
        <f aca="false">Staff!Z54/FX_EUR</f>
        <v>0</v>
      </c>
      <c r="AA26" s="33" t="n">
        <f aca="false">Staff!AA54/FX_EUR</f>
        <v>0</v>
      </c>
      <c r="AB26" s="33" t="n">
        <f aca="false">Staff!AB54/FX_EUR</f>
        <v>0</v>
      </c>
      <c r="AC26" s="33" t="n">
        <f aca="false">Staff!AC54/FX_EUR</f>
        <v>0</v>
      </c>
      <c r="AD26" s="33" t="n">
        <f aca="false">Staff!AD54/FX_EUR</f>
        <v>0</v>
      </c>
      <c r="AE26" s="33" t="n">
        <f aca="false">Staff!AE54/FX_EUR</f>
        <v>0</v>
      </c>
      <c r="AF26" s="33" t="n">
        <f aca="false">Staff!AF54/FX_EUR</f>
        <v>0</v>
      </c>
      <c r="AG26" s="33" t="n">
        <f aca="false">Staff!AG54/FX_EUR</f>
        <v>0</v>
      </c>
      <c r="AH26" s="33" t="n">
        <f aca="false">Staff!AH54/FX_EUR</f>
        <v>0</v>
      </c>
      <c r="AI26" s="33" t="n">
        <f aca="false">Staff!AI54/FX_EUR</f>
        <v>0</v>
      </c>
      <c r="AJ26" s="33" t="n">
        <f aca="false">Staff!AJ54/FX_EUR</f>
        <v>0</v>
      </c>
      <c r="AK26" s="33" t="n">
        <f aca="false">Staff!AK54/FX_EUR</f>
        <v>0</v>
      </c>
      <c r="AL26" s="33" t="n">
        <f aca="false">Staff!AL54/FX_EUR</f>
        <v>0</v>
      </c>
      <c r="AM26" s="33" t="n">
        <f aca="false">Staff!AM54/FX_EUR</f>
        <v>0</v>
      </c>
      <c r="AN26" s="33" t="n">
        <f aca="false">Staff!AN54/FX_EUR</f>
        <v>0</v>
      </c>
      <c r="AO26" s="33" t="n">
        <f aca="false">Staff!AO54/FX_EUR</f>
        <v>0</v>
      </c>
      <c r="AP26" s="33" t="n">
        <f aca="false">Staff!AP54/FX_EUR</f>
        <v>0</v>
      </c>
      <c r="AQ26" s="33" t="n">
        <f aca="false">Staff!AQ54/FX_EUR</f>
        <v>0</v>
      </c>
      <c r="AR26" s="33" t="n">
        <f aca="false">Staff!AR54/FX_EUR</f>
        <v>0</v>
      </c>
      <c r="AS26" s="33" t="n">
        <f aca="false">Staff!AS54/FX_EUR</f>
        <v>0</v>
      </c>
      <c r="AT26" s="33" t="n">
        <f aca="false">Staff!AT54/FX_EUR</f>
        <v>0</v>
      </c>
      <c r="AU26" s="33" t="n">
        <f aca="false">Staff!AU54/FX_EUR</f>
        <v>0</v>
      </c>
      <c r="AV26" s="33" t="n">
        <f aca="false">Staff!AV54/FX_EUR</f>
        <v>0</v>
      </c>
      <c r="AW26" s="33" t="n">
        <f aca="false">Staff!AW54/FX_EUR</f>
        <v>0</v>
      </c>
      <c r="AX26" s="33" t="n">
        <f aca="false">Staff!AX54/FX_EUR</f>
        <v>0</v>
      </c>
      <c r="AY26" s="33" t="n">
        <f aca="false">Staff!AY54/FX_EUR</f>
        <v>0</v>
      </c>
      <c r="AZ26" s="33" t="n">
        <f aca="false">Staff!AZ54/FX_EUR</f>
        <v>0</v>
      </c>
      <c r="BA26" s="33" t="n">
        <f aca="false">Staff!BA54/FX_EUR</f>
        <v>0</v>
      </c>
      <c r="BB26" s="33" t="n">
        <f aca="false">Staff!BB54/FX_EUR</f>
        <v>0</v>
      </c>
      <c r="BC26" s="33" t="n">
        <f aca="false">Staff!BC54/FX_EUR</f>
        <v>0</v>
      </c>
      <c r="BD26" s="33" t="n">
        <f aca="false">Staff!BD54/FX_EUR</f>
        <v>0</v>
      </c>
      <c r="BE26" s="33" t="n">
        <f aca="false">Staff!BE54/FX_EUR</f>
        <v>0</v>
      </c>
      <c r="BF26" s="33" t="n">
        <f aca="false">Staff!BF54/FX_EUR</f>
        <v>0</v>
      </c>
      <c r="BG26" s="33" t="n">
        <f aca="false">Staff!BG54/FX_EUR</f>
        <v>0</v>
      </c>
      <c r="BH26" s="33" t="n">
        <f aca="false">Staff!BH54/FX_EUR</f>
        <v>0</v>
      </c>
      <c r="BI26" s="33" t="n">
        <f aca="false">Staff!BI54/FX_EUR</f>
        <v>0</v>
      </c>
      <c r="BJ26" s="33" t="n">
        <f aca="false">Staff!BJ54/FX_EUR</f>
        <v>0</v>
      </c>
      <c r="BK26" s="33" t="n">
        <f aca="false">Staff!BK54/FX_EUR</f>
        <v>0</v>
      </c>
      <c r="BL26" s="33" t="n">
        <f aca="false">Staff!BL54/FX_EUR</f>
        <v>0</v>
      </c>
    </row>
    <row r="27" customFormat="false" ht="15" hidden="false" customHeight="true" outlineLevel="0" collapsed="false">
      <c r="A27" s="13" t="str">
        <f aca="false">Staff!A55</f>
        <v>(spare line 17)</v>
      </c>
      <c r="B27" s="15" t="s">
        <v>79</v>
      </c>
      <c r="D27" s="56" t="n">
        <f aca="false">Staff!D55/FX_EUR</f>
        <v>0</v>
      </c>
      <c r="E27" s="33" t="n">
        <f aca="false">Staff!E55/FX_EUR</f>
        <v>0</v>
      </c>
      <c r="F27" s="33" t="n">
        <f aca="false">Staff!F55/FX_EUR</f>
        <v>0</v>
      </c>
      <c r="G27" s="33" t="n">
        <f aca="false">Staff!G55/FX_EUR</f>
        <v>0</v>
      </c>
      <c r="H27" s="33" t="n">
        <f aca="false">Staff!H55/FX_EUR</f>
        <v>0</v>
      </c>
      <c r="I27" s="33" t="n">
        <f aca="false">Staff!I55/FX_EUR</f>
        <v>0</v>
      </c>
      <c r="J27" s="33" t="n">
        <f aca="false">Staff!J55/FX_EUR</f>
        <v>0</v>
      </c>
      <c r="K27" s="33" t="n">
        <f aca="false">Staff!K55/FX_EUR</f>
        <v>0</v>
      </c>
      <c r="L27" s="33" t="n">
        <f aca="false">Staff!L55/FX_EUR</f>
        <v>0</v>
      </c>
      <c r="M27" s="33" t="n">
        <f aca="false">Staff!M55/FX_EUR</f>
        <v>0</v>
      </c>
      <c r="N27" s="33" t="n">
        <f aca="false">Staff!N55/FX_EUR</f>
        <v>0</v>
      </c>
      <c r="O27" s="33" t="n">
        <f aca="false">Staff!O55/FX_EUR</f>
        <v>0</v>
      </c>
      <c r="P27" s="33" t="n">
        <f aca="false">Staff!P55/FX_EUR</f>
        <v>0</v>
      </c>
      <c r="Q27" s="33" t="n">
        <f aca="false">Staff!Q55/FX_EUR</f>
        <v>0</v>
      </c>
      <c r="R27" s="33" t="n">
        <f aca="false">Staff!R55/FX_EUR</f>
        <v>0</v>
      </c>
      <c r="S27" s="33" t="n">
        <f aca="false">Staff!S55/FX_EUR</f>
        <v>0</v>
      </c>
      <c r="T27" s="33" t="n">
        <f aca="false">Staff!T55/FX_EUR</f>
        <v>0</v>
      </c>
      <c r="U27" s="33" t="n">
        <f aca="false">Staff!U55/FX_EUR</f>
        <v>0</v>
      </c>
      <c r="V27" s="33" t="n">
        <f aca="false">Staff!V55/FX_EUR</f>
        <v>0</v>
      </c>
      <c r="W27" s="33" t="n">
        <f aca="false">Staff!W55/FX_EUR</f>
        <v>0</v>
      </c>
      <c r="X27" s="33" t="n">
        <f aca="false">Staff!X55/FX_EUR</f>
        <v>0</v>
      </c>
      <c r="Y27" s="33" t="n">
        <f aca="false">Staff!Y55/FX_EUR</f>
        <v>0</v>
      </c>
      <c r="Z27" s="33" t="n">
        <f aca="false">Staff!Z55/FX_EUR</f>
        <v>0</v>
      </c>
      <c r="AA27" s="33" t="n">
        <f aca="false">Staff!AA55/FX_EUR</f>
        <v>0</v>
      </c>
      <c r="AB27" s="33" t="n">
        <f aca="false">Staff!AB55/FX_EUR</f>
        <v>0</v>
      </c>
      <c r="AC27" s="33" t="n">
        <f aca="false">Staff!AC55/FX_EUR</f>
        <v>0</v>
      </c>
      <c r="AD27" s="33" t="n">
        <f aca="false">Staff!AD55/FX_EUR</f>
        <v>0</v>
      </c>
      <c r="AE27" s="33" t="n">
        <f aca="false">Staff!AE55/FX_EUR</f>
        <v>0</v>
      </c>
      <c r="AF27" s="33" t="n">
        <f aca="false">Staff!AF55/FX_EUR</f>
        <v>0</v>
      </c>
      <c r="AG27" s="33" t="n">
        <f aca="false">Staff!AG55/FX_EUR</f>
        <v>0</v>
      </c>
      <c r="AH27" s="33" t="n">
        <f aca="false">Staff!AH55/FX_EUR</f>
        <v>0</v>
      </c>
      <c r="AI27" s="33" t="n">
        <f aca="false">Staff!AI55/FX_EUR</f>
        <v>0</v>
      </c>
      <c r="AJ27" s="33" t="n">
        <f aca="false">Staff!AJ55/FX_EUR</f>
        <v>0</v>
      </c>
      <c r="AK27" s="33" t="n">
        <f aca="false">Staff!AK55/FX_EUR</f>
        <v>0</v>
      </c>
      <c r="AL27" s="33" t="n">
        <f aca="false">Staff!AL55/FX_EUR</f>
        <v>0</v>
      </c>
      <c r="AM27" s="33" t="n">
        <f aca="false">Staff!AM55/FX_EUR</f>
        <v>0</v>
      </c>
      <c r="AN27" s="33" t="n">
        <f aca="false">Staff!AN55/FX_EUR</f>
        <v>0</v>
      </c>
      <c r="AO27" s="33" t="n">
        <f aca="false">Staff!AO55/FX_EUR</f>
        <v>0</v>
      </c>
      <c r="AP27" s="33" t="n">
        <f aca="false">Staff!AP55/FX_EUR</f>
        <v>0</v>
      </c>
      <c r="AQ27" s="33" t="n">
        <f aca="false">Staff!AQ55/FX_EUR</f>
        <v>0</v>
      </c>
      <c r="AR27" s="33" t="n">
        <f aca="false">Staff!AR55/FX_EUR</f>
        <v>0</v>
      </c>
      <c r="AS27" s="33" t="n">
        <f aca="false">Staff!AS55/FX_EUR</f>
        <v>0</v>
      </c>
      <c r="AT27" s="33" t="n">
        <f aca="false">Staff!AT55/FX_EUR</f>
        <v>0</v>
      </c>
      <c r="AU27" s="33" t="n">
        <f aca="false">Staff!AU55/FX_EUR</f>
        <v>0</v>
      </c>
      <c r="AV27" s="33" t="n">
        <f aca="false">Staff!AV55/FX_EUR</f>
        <v>0</v>
      </c>
      <c r="AW27" s="33" t="n">
        <f aca="false">Staff!AW55/FX_EUR</f>
        <v>0</v>
      </c>
      <c r="AX27" s="33" t="n">
        <f aca="false">Staff!AX55/FX_EUR</f>
        <v>0</v>
      </c>
      <c r="AY27" s="33" t="n">
        <f aca="false">Staff!AY55/FX_EUR</f>
        <v>0</v>
      </c>
      <c r="AZ27" s="33" t="n">
        <f aca="false">Staff!AZ55/FX_EUR</f>
        <v>0</v>
      </c>
      <c r="BA27" s="33" t="n">
        <f aca="false">Staff!BA55/FX_EUR</f>
        <v>0</v>
      </c>
      <c r="BB27" s="33" t="n">
        <f aca="false">Staff!BB55/FX_EUR</f>
        <v>0</v>
      </c>
      <c r="BC27" s="33" t="n">
        <f aca="false">Staff!BC55/FX_EUR</f>
        <v>0</v>
      </c>
      <c r="BD27" s="33" t="n">
        <f aca="false">Staff!BD55/FX_EUR</f>
        <v>0</v>
      </c>
      <c r="BE27" s="33" t="n">
        <f aca="false">Staff!BE55/FX_EUR</f>
        <v>0</v>
      </c>
      <c r="BF27" s="33" t="n">
        <f aca="false">Staff!BF55/FX_EUR</f>
        <v>0</v>
      </c>
      <c r="BG27" s="33" t="n">
        <f aca="false">Staff!BG55/FX_EUR</f>
        <v>0</v>
      </c>
      <c r="BH27" s="33" t="n">
        <f aca="false">Staff!BH55/FX_EUR</f>
        <v>0</v>
      </c>
      <c r="BI27" s="33" t="n">
        <f aca="false">Staff!BI55/FX_EUR</f>
        <v>0</v>
      </c>
      <c r="BJ27" s="33" t="n">
        <f aca="false">Staff!BJ55/FX_EUR</f>
        <v>0</v>
      </c>
      <c r="BK27" s="33" t="n">
        <f aca="false">Staff!BK55/FX_EUR</f>
        <v>0</v>
      </c>
      <c r="BL27" s="33" t="n">
        <f aca="false">Staff!BL55/FX_EUR</f>
        <v>0</v>
      </c>
    </row>
    <row r="28" customFormat="false" ht="15" hidden="false" customHeight="true" outlineLevel="0" collapsed="false">
      <c r="A28" s="13" t="str">
        <f aca="false">Staff!A56</f>
        <v>(spare line 18)</v>
      </c>
      <c r="B28" s="15" t="s">
        <v>79</v>
      </c>
      <c r="D28" s="56" t="n">
        <f aca="false">Staff!D56/FX_EUR</f>
        <v>0</v>
      </c>
      <c r="E28" s="33" t="n">
        <f aca="false">Staff!E56/FX_EUR</f>
        <v>0</v>
      </c>
      <c r="F28" s="33" t="n">
        <f aca="false">Staff!F56/FX_EUR</f>
        <v>0</v>
      </c>
      <c r="G28" s="33" t="n">
        <f aca="false">Staff!G56/FX_EUR</f>
        <v>0</v>
      </c>
      <c r="H28" s="33" t="n">
        <f aca="false">Staff!H56/FX_EUR</f>
        <v>0</v>
      </c>
      <c r="I28" s="33" t="n">
        <f aca="false">Staff!I56/FX_EUR</f>
        <v>0</v>
      </c>
      <c r="J28" s="33" t="n">
        <f aca="false">Staff!J56/FX_EUR</f>
        <v>0</v>
      </c>
      <c r="K28" s="33" t="n">
        <f aca="false">Staff!K56/FX_EUR</f>
        <v>0</v>
      </c>
      <c r="L28" s="33" t="n">
        <f aca="false">Staff!L56/FX_EUR</f>
        <v>0</v>
      </c>
      <c r="M28" s="33" t="n">
        <f aca="false">Staff!M56/FX_EUR</f>
        <v>0</v>
      </c>
      <c r="N28" s="33" t="n">
        <f aca="false">Staff!N56/FX_EUR</f>
        <v>0</v>
      </c>
      <c r="O28" s="33" t="n">
        <f aca="false">Staff!O56/FX_EUR</f>
        <v>0</v>
      </c>
      <c r="P28" s="33" t="n">
        <f aca="false">Staff!P56/FX_EUR</f>
        <v>0</v>
      </c>
      <c r="Q28" s="33" t="n">
        <f aca="false">Staff!Q56/FX_EUR</f>
        <v>0</v>
      </c>
      <c r="R28" s="33" t="n">
        <f aca="false">Staff!R56/FX_EUR</f>
        <v>0</v>
      </c>
      <c r="S28" s="33" t="n">
        <f aca="false">Staff!S56/FX_EUR</f>
        <v>0</v>
      </c>
      <c r="T28" s="33" t="n">
        <f aca="false">Staff!T56/FX_EUR</f>
        <v>0</v>
      </c>
      <c r="U28" s="33" t="n">
        <f aca="false">Staff!U56/FX_EUR</f>
        <v>0</v>
      </c>
      <c r="V28" s="33" t="n">
        <f aca="false">Staff!V56/FX_EUR</f>
        <v>0</v>
      </c>
      <c r="W28" s="33" t="n">
        <f aca="false">Staff!W56/FX_EUR</f>
        <v>0</v>
      </c>
      <c r="X28" s="33" t="n">
        <f aca="false">Staff!X56/FX_EUR</f>
        <v>0</v>
      </c>
      <c r="Y28" s="33" t="n">
        <f aca="false">Staff!Y56/FX_EUR</f>
        <v>0</v>
      </c>
      <c r="Z28" s="33" t="n">
        <f aca="false">Staff!Z56/FX_EUR</f>
        <v>0</v>
      </c>
      <c r="AA28" s="33" t="n">
        <f aca="false">Staff!AA56/FX_EUR</f>
        <v>0</v>
      </c>
      <c r="AB28" s="33" t="n">
        <f aca="false">Staff!AB56/FX_EUR</f>
        <v>0</v>
      </c>
      <c r="AC28" s="33" t="n">
        <f aca="false">Staff!AC56/FX_EUR</f>
        <v>0</v>
      </c>
      <c r="AD28" s="33" t="n">
        <f aca="false">Staff!AD56/FX_EUR</f>
        <v>0</v>
      </c>
      <c r="AE28" s="33" t="n">
        <f aca="false">Staff!AE56/FX_EUR</f>
        <v>0</v>
      </c>
      <c r="AF28" s="33" t="n">
        <f aca="false">Staff!AF56/FX_EUR</f>
        <v>0</v>
      </c>
      <c r="AG28" s="33" t="n">
        <f aca="false">Staff!AG56/FX_EUR</f>
        <v>0</v>
      </c>
      <c r="AH28" s="33" t="n">
        <f aca="false">Staff!AH56/FX_EUR</f>
        <v>0</v>
      </c>
      <c r="AI28" s="33" t="n">
        <f aca="false">Staff!AI56/FX_EUR</f>
        <v>0</v>
      </c>
      <c r="AJ28" s="33" t="n">
        <f aca="false">Staff!AJ56/FX_EUR</f>
        <v>0</v>
      </c>
      <c r="AK28" s="33" t="n">
        <f aca="false">Staff!AK56/FX_EUR</f>
        <v>0</v>
      </c>
      <c r="AL28" s="33" t="n">
        <f aca="false">Staff!AL56/FX_EUR</f>
        <v>0</v>
      </c>
      <c r="AM28" s="33" t="n">
        <f aca="false">Staff!AM56/FX_EUR</f>
        <v>0</v>
      </c>
      <c r="AN28" s="33" t="n">
        <f aca="false">Staff!AN56/FX_EUR</f>
        <v>0</v>
      </c>
      <c r="AO28" s="33" t="n">
        <f aca="false">Staff!AO56/FX_EUR</f>
        <v>0</v>
      </c>
      <c r="AP28" s="33" t="n">
        <f aca="false">Staff!AP56/FX_EUR</f>
        <v>0</v>
      </c>
      <c r="AQ28" s="33" t="n">
        <f aca="false">Staff!AQ56/FX_EUR</f>
        <v>0</v>
      </c>
      <c r="AR28" s="33" t="n">
        <f aca="false">Staff!AR56/FX_EUR</f>
        <v>0</v>
      </c>
      <c r="AS28" s="33" t="n">
        <f aca="false">Staff!AS56/FX_EUR</f>
        <v>0</v>
      </c>
      <c r="AT28" s="33" t="n">
        <f aca="false">Staff!AT56/FX_EUR</f>
        <v>0</v>
      </c>
      <c r="AU28" s="33" t="n">
        <f aca="false">Staff!AU56/FX_EUR</f>
        <v>0</v>
      </c>
      <c r="AV28" s="33" t="n">
        <f aca="false">Staff!AV56/FX_EUR</f>
        <v>0</v>
      </c>
      <c r="AW28" s="33" t="n">
        <f aca="false">Staff!AW56/FX_EUR</f>
        <v>0</v>
      </c>
      <c r="AX28" s="33" t="n">
        <f aca="false">Staff!AX56/FX_EUR</f>
        <v>0</v>
      </c>
      <c r="AY28" s="33" t="n">
        <f aca="false">Staff!AY56/FX_EUR</f>
        <v>0</v>
      </c>
      <c r="AZ28" s="33" t="n">
        <f aca="false">Staff!AZ56/FX_EUR</f>
        <v>0</v>
      </c>
      <c r="BA28" s="33" t="n">
        <f aca="false">Staff!BA56/FX_EUR</f>
        <v>0</v>
      </c>
      <c r="BB28" s="33" t="n">
        <f aca="false">Staff!BB56/FX_EUR</f>
        <v>0</v>
      </c>
      <c r="BC28" s="33" t="n">
        <f aca="false">Staff!BC56/FX_EUR</f>
        <v>0</v>
      </c>
      <c r="BD28" s="33" t="n">
        <f aca="false">Staff!BD56/FX_EUR</f>
        <v>0</v>
      </c>
      <c r="BE28" s="33" t="n">
        <f aca="false">Staff!BE56/FX_EUR</f>
        <v>0</v>
      </c>
      <c r="BF28" s="33" t="n">
        <f aca="false">Staff!BF56/FX_EUR</f>
        <v>0</v>
      </c>
      <c r="BG28" s="33" t="n">
        <f aca="false">Staff!BG56/FX_EUR</f>
        <v>0</v>
      </c>
      <c r="BH28" s="33" t="n">
        <f aca="false">Staff!BH56/FX_EUR</f>
        <v>0</v>
      </c>
      <c r="BI28" s="33" t="n">
        <f aca="false">Staff!BI56/FX_EUR</f>
        <v>0</v>
      </c>
      <c r="BJ28" s="33" t="n">
        <f aca="false">Staff!BJ56/FX_EUR</f>
        <v>0</v>
      </c>
      <c r="BK28" s="33" t="n">
        <f aca="false">Staff!BK56/FX_EUR</f>
        <v>0</v>
      </c>
      <c r="BL28" s="33" t="n">
        <f aca="false">Staff!BL56/FX_EUR</f>
        <v>0</v>
      </c>
    </row>
    <row r="29" customFormat="false" ht="15" hidden="false" customHeight="true" outlineLevel="0" collapsed="false">
      <c r="A29" s="13" t="str">
        <f aca="false">Staff!A57</f>
        <v>(spare line 19)</v>
      </c>
      <c r="B29" s="15" t="s">
        <v>79</v>
      </c>
      <c r="D29" s="56" t="n">
        <f aca="false">Staff!D57/FX_EUR</f>
        <v>0</v>
      </c>
      <c r="E29" s="33" t="n">
        <f aca="false">Staff!E57/FX_EUR</f>
        <v>0</v>
      </c>
      <c r="F29" s="33" t="n">
        <f aca="false">Staff!F57/FX_EUR</f>
        <v>0</v>
      </c>
      <c r="G29" s="33" t="n">
        <f aca="false">Staff!G57/FX_EUR</f>
        <v>0</v>
      </c>
      <c r="H29" s="33" t="n">
        <f aca="false">Staff!H57/FX_EUR</f>
        <v>0</v>
      </c>
      <c r="I29" s="33" t="n">
        <f aca="false">Staff!I57/FX_EUR</f>
        <v>0</v>
      </c>
      <c r="J29" s="33" t="n">
        <f aca="false">Staff!J57/FX_EUR</f>
        <v>0</v>
      </c>
      <c r="K29" s="33" t="n">
        <f aca="false">Staff!K57/FX_EUR</f>
        <v>0</v>
      </c>
      <c r="L29" s="33" t="n">
        <f aca="false">Staff!L57/FX_EUR</f>
        <v>0</v>
      </c>
      <c r="M29" s="33" t="n">
        <f aca="false">Staff!M57/FX_EUR</f>
        <v>0</v>
      </c>
      <c r="N29" s="33" t="n">
        <f aca="false">Staff!N57/FX_EUR</f>
        <v>0</v>
      </c>
      <c r="O29" s="33" t="n">
        <f aca="false">Staff!O57/FX_EUR</f>
        <v>0</v>
      </c>
      <c r="P29" s="33" t="n">
        <f aca="false">Staff!P57/FX_EUR</f>
        <v>0</v>
      </c>
      <c r="Q29" s="33" t="n">
        <f aca="false">Staff!Q57/FX_EUR</f>
        <v>0</v>
      </c>
      <c r="R29" s="33" t="n">
        <f aca="false">Staff!R57/FX_EUR</f>
        <v>0</v>
      </c>
      <c r="S29" s="33" t="n">
        <f aca="false">Staff!S57/FX_EUR</f>
        <v>0</v>
      </c>
      <c r="T29" s="33" t="n">
        <f aca="false">Staff!T57/FX_EUR</f>
        <v>0</v>
      </c>
      <c r="U29" s="33" t="n">
        <f aca="false">Staff!U57/FX_EUR</f>
        <v>0</v>
      </c>
      <c r="V29" s="33" t="n">
        <f aca="false">Staff!V57/FX_EUR</f>
        <v>0</v>
      </c>
      <c r="W29" s="33" t="n">
        <f aca="false">Staff!W57/FX_EUR</f>
        <v>0</v>
      </c>
      <c r="X29" s="33" t="n">
        <f aca="false">Staff!X57/FX_EUR</f>
        <v>0</v>
      </c>
      <c r="Y29" s="33" t="n">
        <f aca="false">Staff!Y57/FX_EUR</f>
        <v>0</v>
      </c>
      <c r="Z29" s="33" t="n">
        <f aca="false">Staff!Z57/FX_EUR</f>
        <v>0</v>
      </c>
      <c r="AA29" s="33" t="n">
        <f aca="false">Staff!AA57/FX_EUR</f>
        <v>0</v>
      </c>
      <c r="AB29" s="33" t="n">
        <f aca="false">Staff!AB57/FX_EUR</f>
        <v>0</v>
      </c>
      <c r="AC29" s="33" t="n">
        <f aca="false">Staff!AC57/FX_EUR</f>
        <v>0</v>
      </c>
      <c r="AD29" s="33" t="n">
        <f aca="false">Staff!AD57/FX_EUR</f>
        <v>0</v>
      </c>
      <c r="AE29" s="33" t="n">
        <f aca="false">Staff!AE57/FX_EUR</f>
        <v>0</v>
      </c>
      <c r="AF29" s="33" t="n">
        <f aca="false">Staff!AF57/FX_EUR</f>
        <v>0</v>
      </c>
      <c r="AG29" s="33" t="n">
        <f aca="false">Staff!AG57/FX_EUR</f>
        <v>0</v>
      </c>
      <c r="AH29" s="33" t="n">
        <f aca="false">Staff!AH57/FX_EUR</f>
        <v>0</v>
      </c>
      <c r="AI29" s="33" t="n">
        <f aca="false">Staff!AI57/FX_EUR</f>
        <v>0</v>
      </c>
      <c r="AJ29" s="33" t="n">
        <f aca="false">Staff!AJ57/FX_EUR</f>
        <v>0</v>
      </c>
      <c r="AK29" s="33" t="n">
        <f aca="false">Staff!AK57/FX_EUR</f>
        <v>0</v>
      </c>
      <c r="AL29" s="33" t="n">
        <f aca="false">Staff!AL57/FX_EUR</f>
        <v>0</v>
      </c>
      <c r="AM29" s="33" t="n">
        <f aca="false">Staff!AM57/FX_EUR</f>
        <v>0</v>
      </c>
      <c r="AN29" s="33" t="n">
        <f aca="false">Staff!AN57/FX_EUR</f>
        <v>0</v>
      </c>
      <c r="AO29" s="33" t="n">
        <f aca="false">Staff!AO57/FX_EUR</f>
        <v>0</v>
      </c>
      <c r="AP29" s="33" t="n">
        <f aca="false">Staff!AP57/FX_EUR</f>
        <v>0</v>
      </c>
      <c r="AQ29" s="33" t="n">
        <f aca="false">Staff!AQ57/FX_EUR</f>
        <v>0</v>
      </c>
      <c r="AR29" s="33" t="n">
        <f aca="false">Staff!AR57/FX_EUR</f>
        <v>0</v>
      </c>
      <c r="AS29" s="33" t="n">
        <f aca="false">Staff!AS57/FX_EUR</f>
        <v>0</v>
      </c>
      <c r="AT29" s="33" t="n">
        <f aca="false">Staff!AT57/FX_EUR</f>
        <v>0</v>
      </c>
      <c r="AU29" s="33" t="n">
        <f aca="false">Staff!AU57/FX_EUR</f>
        <v>0</v>
      </c>
      <c r="AV29" s="33" t="n">
        <f aca="false">Staff!AV57/FX_EUR</f>
        <v>0</v>
      </c>
      <c r="AW29" s="33" t="n">
        <f aca="false">Staff!AW57/FX_EUR</f>
        <v>0</v>
      </c>
      <c r="AX29" s="33" t="n">
        <f aca="false">Staff!AX57/FX_EUR</f>
        <v>0</v>
      </c>
      <c r="AY29" s="33" t="n">
        <f aca="false">Staff!AY57/FX_EUR</f>
        <v>0</v>
      </c>
      <c r="AZ29" s="33" t="n">
        <f aca="false">Staff!AZ57/FX_EUR</f>
        <v>0</v>
      </c>
      <c r="BA29" s="33" t="n">
        <f aca="false">Staff!BA57/FX_EUR</f>
        <v>0</v>
      </c>
      <c r="BB29" s="33" t="n">
        <f aca="false">Staff!BB57/FX_EUR</f>
        <v>0</v>
      </c>
      <c r="BC29" s="33" t="n">
        <f aca="false">Staff!BC57/FX_EUR</f>
        <v>0</v>
      </c>
      <c r="BD29" s="33" t="n">
        <f aca="false">Staff!BD57/FX_EUR</f>
        <v>0</v>
      </c>
      <c r="BE29" s="33" t="n">
        <f aca="false">Staff!BE57/FX_EUR</f>
        <v>0</v>
      </c>
      <c r="BF29" s="33" t="n">
        <f aca="false">Staff!BF57/FX_EUR</f>
        <v>0</v>
      </c>
      <c r="BG29" s="33" t="n">
        <f aca="false">Staff!BG57/FX_EUR</f>
        <v>0</v>
      </c>
      <c r="BH29" s="33" t="n">
        <f aca="false">Staff!BH57/FX_EUR</f>
        <v>0</v>
      </c>
      <c r="BI29" s="33" t="n">
        <f aca="false">Staff!BI57/FX_EUR</f>
        <v>0</v>
      </c>
      <c r="BJ29" s="33" t="n">
        <f aca="false">Staff!BJ57/FX_EUR</f>
        <v>0</v>
      </c>
      <c r="BK29" s="33" t="n">
        <f aca="false">Staff!BK57/FX_EUR</f>
        <v>0</v>
      </c>
      <c r="BL29" s="33" t="n">
        <f aca="false">Staff!BL57/FX_EUR</f>
        <v>0</v>
      </c>
    </row>
    <row r="30" customFormat="false" ht="15" hidden="false" customHeight="true" outlineLevel="0" collapsed="false">
      <c r="A30" s="13" t="str">
        <f aca="false">Staff!A58</f>
        <v>(spare line 20)</v>
      </c>
      <c r="B30" s="15" t="s">
        <v>79</v>
      </c>
      <c r="D30" s="56" t="n">
        <f aca="false">Staff!D58/FX_EUR</f>
        <v>0</v>
      </c>
      <c r="E30" s="33" t="n">
        <f aca="false">Staff!E58/FX_EUR</f>
        <v>0</v>
      </c>
      <c r="F30" s="33" t="n">
        <f aca="false">Staff!F58/FX_EUR</f>
        <v>0</v>
      </c>
      <c r="G30" s="33" t="n">
        <f aca="false">Staff!G58/FX_EUR</f>
        <v>0</v>
      </c>
      <c r="H30" s="33" t="n">
        <f aca="false">Staff!H58/FX_EUR</f>
        <v>0</v>
      </c>
      <c r="I30" s="33" t="n">
        <f aca="false">Staff!I58/FX_EUR</f>
        <v>0</v>
      </c>
      <c r="J30" s="33" t="n">
        <f aca="false">Staff!J58/FX_EUR</f>
        <v>0</v>
      </c>
      <c r="K30" s="33" t="n">
        <f aca="false">Staff!K58/FX_EUR</f>
        <v>0</v>
      </c>
      <c r="L30" s="33" t="n">
        <f aca="false">Staff!L58/FX_EUR</f>
        <v>0</v>
      </c>
      <c r="M30" s="33" t="n">
        <f aca="false">Staff!M58/FX_EUR</f>
        <v>0</v>
      </c>
      <c r="N30" s="33" t="n">
        <f aca="false">Staff!N58/FX_EUR</f>
        <v>0</v>
      </c>
      <c r="O30" s="33" t="n">
        <f aca="false">Staff!O58/FX_EUR</f>
        <v>0</v>
      </c>
      <c r="P30" s="33" t="n">
        <f aca="false">Staff!P58/FX_EUR</f>
        <v>0</v>
      </c>
      <c r="Q30" s="33" t="n">
        <f aca="false">Staff!Q58/FX_EUR</f>
        <v>0</v>
      </c>
      <c r="R30" s="33" t="n">
        <f aca="false">Staff!R58/FX_EUR</f>
        <v>0</v>
      </c>
      <c r="S30" s="33" t="n">
        <f aca="false">Staff!S58/FX_EUR</f>
        <v>0</v>
      </c>
      <c r="T30" s="33" t="n">
        <f aca="false">Staff!T58/FX_EUR</f>
        <v>0</v>
      </c>
      <c r="U30" s="33" t="n">
        <f aca="false">Staff!U58/FX_EUR</f>
        <v>0</v>
      </c>
      <c r="V30" s="33" t="n">
        <f aca="false">Staff!V58/FX_EUR</f>
        <v>0</v>
      </c>
      <c r="W30" s="33" t="n">
        <f aca="false">Staff!W58/FX_EUR</f>
        <v>0</v>
      </c>
      <c r="X30" s="33" t="n">
        <f aca="false">Staff!X58/FX_EUR</f>
        <v>0</v>
      </c>
      <c r="Y30" s="33" t="n">
        <f aca="false">Staff!Y58/FX_EUR</f>
        <v>0</v>
      </c>
      <c r="Z30" s="33" t="n">
        <f aca="false">Staff!Z58/FX_EUR</f>
        <v>0</v>
      </c>
      <c r="AA30" s="33" t="n">
        <f aca="false">Staff!AA58/FX_EUR</f>
        <v>0</v>
      </c>
      <c r="AB30" s="33" t="n">
        <f aca="false">Staff!AB58/FX_EUR</f>
        <v>0</v>
      </c>
      <c r="AC30" s="33" t="n">
        <f aca="false">Staff!AC58/FX_EUR</f>
        <v>0</v>
      </c>
      <c r="AD30" s="33" t="n">
        <f aca="false">Staff!AD58/FX_EUR</f>
        <v>0</v>
      </c>
      <c r="AE30" s="33" t="n">
        <f aca="false">Staff!AE58/FX_EUR</f>
        <v>0</v>
      </c>
      <c r="AF30" s="33" t="n">
        <f aca="false">Staff!AF58/FX_EUR</f>
        <v>0</v>
      </c>
      <c r="AG30" s="33" t="n">
        <f aca="false">Staff!AG58/FX_EUR</f>
        <v>0</v>
      </c>
      <c r="AH30" s="33" t="n">
        <f aca="false">Staff!AH58/FX_EUR</f>
        <v>0</v>
      </c>
      <c r="AI30" s="33" t="n">
        <f aca="false">Staff!AI58/FX_EUR</f>
        <v>0</v>
      </c>
      <c r="AJ30" s="33" t="n">
        <f aca="false">Staff!AJ58/FX_EUR</f>
        <v>0</v>
      </c>
      <c r="AK30" s="33" t="n">
        <f aca="false">Staff!AK58/FX_EUR</f>
        <v>0</v>
      </c>
      <c r="AL30" s="33" t="n">
        <f aca="false">Staff!AL58/FX_EUR</f>
        <v>0</v>
      </c>
      <c r="AM30" s="33" t="n">
        <f aca="false">Staff!AM58/FX_EUR</f>
        <v>0</v>
      </c>
      <c r="AN30" s="33" t="n">
        <f aca="false">Staff!AN58/FX_EUR</f>
        <v>0</v>
      </c>
      <c r="AO30" s="33" t="n">
        <f aca="false">Staff!AO58/FX_EUR</f>
        <v>0</v>
      </c>
      <c r="AP30" s="33" t="n">
        <f aca="false">Staff!AP58/FX_EUR</f>
        <v>0</v>
      </c>
      <c r="AQ30" s="33" t="n">
        <f aca="false">Staff!AQ58/FX_EUR</f>
        <v>0</v>
      </c>
      <c r="AR30" s="33" t="n">
        <f aca="false">Staff!AR58/FX_EUR</f>
        <v>0</v>
      </c>
      <c r="AS30" s="33" t="n">
        <f aca="false">Staff!AS58/FX_EUR</f>
        <v>0</v>
      </c>
      <c r="AT30" s="33" t="n">
        <f aca="false">Staff!AT58/FX_EUR</f>
        <v>0</v>
      </c>
      <c r="AU30" s="33" t="n">
        <f aca="false">Staff!AU58/FX_EUR</f>
        <v>0</v>
      </c>
      <c r="AV30" s="33" t="n">
        <f aca="false">Staff!AV58/FX_EUR</f>
        <v>0</v>
      </c>
      <c r="AW30" s="33" t="n">
        <f aca="false">Staff!AW58/FX_EUR</f>
        <v>0</v>
      </c>
      <c r="AX30" s="33" t="n">
        <f aca="false">Staff!AX58/FX_EUR</f>
        <v>0</v>
      </c>
      <c r="AY30" s="33" t="n">
        <f aca="false">Staff!AY58/FX_EUR</f>
        <v>0</v>
      </c>
      <c r="AZ30" s="33" t="n">
        <f aca="false">Staff!AZ58/FX_EUR</f>
        <v>0</v>
      </c>
      <c r="BA30" s="33" t="n">
        <f aca="false">Staff!BA58/FX_EUR</f>
        <v>0</v>
      </c>
      <c r="BB30" s="33" t="n">
        <f aca="false">Staff!BB58/FX_EUR</f>
        <v>0</v>
      </c>
      <c r="BC30" s="33" t="n">
        <f aca="false">Staff!BC58/FX_EUR</f>
        <v>0</v>
      </c>
      <c r="BD30" s="33" t="n">
        <f aca="false">Staff!BD58/FX_EUR</f>
        <v>0</v>
      </c>
      <c r="BE30" s="33" t="n">
        <f aca="false">Staff!BE58/FX_EUR</f>
        <v>0</v>
      </c>
      <c r="BF30" s="33" t="n">
        <f aca="false">Staff!BF58/FX_EUR</f>
        <v>0</v>
      </c>
      <c r="BG30" s="33" t="n">
        <f aca="false">Staff!BG58/FX_EUR</f>
        <v>0</v>
      </c>
      <c r="BH30" s="33" t="n">
        <f aca="false">Staff!BH58/FX_EUR</f>
        <v>0</v>
      </c>
      <c r="BI30" s="33" t="n">
        <f aca="false">Staff!BI58/FX_EUR</f>
        <v>0</v>
      </c>
      <c r="BJ30" s="33" t="n">
        <f aca="false">Staff!BJ58/FX_EUR</f>
        <v>0</v>
      </c>
      <c r="BK30" s="33" t="n">
        <f aca="false">Staff!BK58/FX_EUR</f>
        <v>0</v>
      </c>
      <c r="BL30" s="33" t="n">
        <f aca="false">Staff!BL58/FX_EUR</f>
        <v>0</v>
      </c>
    </row>
    <row r="31" customFormat="false" ht="15" hidden="false" customHeight="true" outlineLevel="0" collapsed="false">
      <c r="A31" s="13" t="str">
        <f aca="false">Staff!A59</f>
        <v>(spare line 21)</v>
      </c>
      <c r="B31" s="15" t="s">
        <v>79</v>
      </c>
      <c r="D31" s="56" t="n">
        <f aca="false">Staff!D59/FX_EUR</f>
        <v>0</v>
      </c>
      <c r="E31" s="33" t="n">
        <f aca="false">Staff!E59/FX_EUR</f>
        <v>0</v>
      </c>
      <c r="F31" s="33" t="n">
        <f aca="false">Staff!F59/FX_EUR</f>
        <v>0</v>
      </c>
      <c r="G31" s="33" t="n">
        <f aca="false">Staff!G59/FX_EUR</f>
        <v>0</v>
      </c>
      <c r="H31" s="33" t="n">
        <f aca="false">Staff!H59/FX_EUR</f>
        <v>0</v>
      </c>
      <c r="I31" s="33" t="n">
        <f aca="false">Staff!I59/FX_EUR</f>
        <v>0</v>
      </c>
      <c r="J31" s="33" t="n">
        <f aca="false">Staff!J59/FX_EUR</f>
        <v>0</v>
      </c>
      <c r="K31" s="33" t="n">
        <f aca="false">Staff!K59/FX_EUR</f>
        <v>0</v>
      </c>
      <c r="L31" s="33" t="n">
        <f aca="false">Staff!L59/FX_EUR</f>
        <v>0</v>
      </c>
      <c r="M31" s="33" t="n">
        <f aca="false">Staff!M59/FX_EUR</f>
        <v>0</v>
      </c>
      <c r="N31" s="33" t="n">
        <f aca="false">Staff!N59/FX_EUR</f>
        <v>0</v>
      </c>
      <c r="O31" s="33" t="n">
        <f aca="false">Staff!O59/FX_EUR</f>
        <v>0</v>
      </c>
      <c r="P31" s="33" t="n">
        <f aca="false">Staff!P59/FX_EUR</f>
        <v>0</v>
      </c>
      <c r="Q31" s="33" t="n">
        <f aca="false">Staff!Q59/FX_EUR</f>
        <v>0</v>
      </c>
      <c r="R31" s="33" t="n">
        <f aca="false">Staff!R59/FX_EUR</f>
        <v>0</v>
      </c>
      <c r="S31" s="33" t="n">
        <f aca="false">Staff!S59/FX_EUR</f>
        <v>0</v>
      </c>
      <c r="T31" s="33" t="n">
        <f aca="false">Staff!T59/FX_EUR</f>
        <v>0</v>
      </c>
      <c r="U31" s="33" t="n">
        <f aca="false">Staff!U59/FX_EUR</f>
        <v>0</v>
      </c>
      <c r="V31" s="33" t="n">
        <f aca="false">Staff!V59/FX_EUR</f>
        <v>0</v>
      </c>
      <c r="W31" s="33" t="n">
        <f aca="false">Staff!W59/FX_EUR</f>
        <v>0</v>
      </c>
      <c r="X31" s="33" t="n">
        <f aca="false">Staff!X59/FX_EUR</f>
        <v>0</v>
      </c>
      <c r="Y31" s="33" t="n">
        <f aca="false">Staff!Y59/FX_EUR</f>
        <v>0</v>
      </c>
      <c r="Z31" s="33" t="n">
        <f aca="false">Staff!Z59/FX_EUR</f>
        <v>0</v>
      </c>
      <c r="AA31" s="33" t="n">
        <f aca="false">Staff!AA59/FX_EUR</f>
        <v>0</v>
      </c>
      <c r="AB31" s="33" t="n">
        <f aca="false">Staff!AB59/FX_EUR</f>
        <v>0</v>
      </c>
      <c r="AC31" s="33" t="n">
        <f aca="false">Staff!AC59/FX_EUR</f>
        <v>0</v>
      </c>
      <c r="AD31" s="33" t="n">
        <f aca="false">Staff!AD59/FX_EUR</f>
        <v>0</v>
      </c>
      <c r="AE31" s="33" t="n">
        <f aca="false">Staff!AE59/FX_EUR</f>
        <v>0</v>
      </c>
      <c r="AF31" s="33" t="n">
        <f aca="false">Staff!AF59/FX_EUR</f>
        <v>0</v>
      </c>
      <c r="AG31" s="33" t="n">
        <f aca="false">Staff!AG59/FX_EUR</f>
        <v>0</v>
      </c>
      <c r="AH31" s="33" t="n">
        <f aca="false">Staff!AH59/FX_EUR</f>
        <v>0</v>
      </c>
      <c r="AI31" s="33" t="n">
        <f aca="false">Staff!AI59/FX_EUR</f>
        <v>0</v>
      </c>
      <c r="AJ31" s="33" t="n">
        <f aca="false">Staff!AJ59/FX_EUR</f>
        <v>0</v>
      </c>
      <c r="AK31" s="33" t="n">
        <f aca="false">Staff!AK59/FX_EUR</f>
        <v>0</v>
      </c>
      <c r="AL31" s="33" t="n">
        <f aca="false">Staff!AL59/FX_EUR</f>
        <v>0</v>
      </c>
      <c r="AM31" s="33" t="n">
        <f aca="false">Staff!AM59/FX_EUR</f>
        <v>0</v>
      </c>
      <c r="AN31" s="33" t="n">
        <f aca="false">Staff!AN59/FX_EUR</f>
        <v>0</v>
      </c>
      <c r="AO31" s="33" t="n">
        <f aca="false">Staff!AO59/FX_EUR</f>
        <v>0</v>
      </c>
      <c r="AP31" s="33" t="n">
        <f aca="false">Staff!AP59/FX_EUR</f>
        <v>0</v>
      </c>
      <c r="AQ31" s="33" t="n">
        <f aca="false">Staff!AQ59/FX_EUR</f>
        <v>0</v>
      </c>
      <c r="AR31" s="33" t="n">
        <f aca="false">Staff!AR59/FX_EUR</f>
        <v>0</v>
      </c>
      <c r="AS31" s="33" t="n">
        <f aca="false">Staff!AS59/FX_EUR</f>
        <v>0</v>
      </c>
      <c r="AT31" s="33" t="n">
        <f aca="false">Staff!AT59/FX_EUR</f>
        <v>0</v>
      </c>
      <c r="AU31" s="33" t="n">
        <f aca="false">Staff!AU59/FX_EUR</f>
        <v>0</v>
      </c>
      <c r="AV31" s="33" t="n">
        <f aca="false">Staff!AV59/FX_EUR</f>
        <v>0</v>
      </c>
      <c r="AW31" s="33" t="n">
        <f aca="false">Staff!AW59/FX_EUR</f>
        <v>0</v>
      </c>
      <c r="AX31" s="33" t="n">
        <f aca="false">Staff!AX59/FX_EUR</f>
        <v>0</v>
      </c>
      <c r="AY31" s="33" t="n">
        <f aca="false">Staff!AY59/FX_EUR</f>
        <v>0</v>
      </c>
      <c r="AZ31" s="33" t="n">
        <f aca="false">Staff!AZ59/FX_EUR</f>
        <v>0</v>
      </c>
      <c r="BA31" s="33" t="n">
        <f aca="false">Staff!BA59/FX_EUR</f>
        <v>0</v>
      </c>
      <c r="BB31" s="33" t="n">
        <f aca="false">Staff!BB59/FX_EUR</f>
        <v>0</v>
      </c>
      <c r="BC31" s="33" t="n">
        <f aca="false">Staff!BC59/FX_EUR</f>
        <v>0</v>
      </c>
      <c r="BD31" s="33" t="n">
        <f aca="false">Staff!BD59/FX_EUR</f>
        <v>0</v>
      </c>
      <c r="BE31" s="33" t="n">
        <f aca="false">Staff!BE59/FX_EUR</f>
        <v>0</v>
      </c>
      <c r="BF31" s="33" t="n">
        <f aca="false">Staff!BF59/FX_EUR</f>
        <v>0</v>
      </c>
      <c r="BG31" s="33" t="n">
        <f aca="false">Staff!BG59/FX_EUR</f>
        <v>0</v>
      </c>
      <c r="BH31" s="33" t="n">
        <f aca="false">Staff!BH59/FX_EUR</f>
        <v>0</v>
      </c>
      <c r="BI31" s="33" t="n">
        <f aca="false">Staff!BI59/FX_EUR</f>
        <v>0</v>
      </c>
      <c r="BJ31" s="33" t="n">
        <f aca="false">Staff!BJ59/FX_EUR</f>
        <v>0</v>
      </c>
      <c r="BK31" s="33" t="n">
        <f aca="false">Staff!BK59/FX_EUR</f>
        <v>0</v>
      </c>
      <c r="BL31" s="33" t="n">
        <f aca="false">Staff!BL59/FX_EUR</f>
        <v>0</v>
      </c>
    </row>
    <row r="32" customFormat="false" ht="15" hidden="false" customHeight="true" outlineLevel="0" collapsed="false">
      <c r="A32" s="13" t="str">
        <f aca="false">Staff!A60</f>
        <v>(spare line 22)</v>
      </c>
      <c r="B32" s="15" t="s">
        <v>79</v>
      </c>
      <c r="D32" s="56" t="n">
        <f aca="false">Staff!D60/FX_EUR</f>
        <v>0</v>
      </c>
      <c r="E32" s="33" t="n">
        <f aca="false">Staff!E60/FX_EUR</f>
        <v>0</v>
      </c>
      <c r="F32" s="33" t="n">
        <f aca="false">Staff!F60/FX_EUR</f>
        <v>0</v>
      </c>
      <c r="G32" s="33" t="n">
        <f aca="false">Staff!G60/FX_EUR</f>
        <v>0</v>
      </c>
      <c r="H32" s="33" t="n">
        <f aca="false">Staff!H60/FX_EUR</f>
        <v>0</v>
      </c>
      <c r="I32" s="33" t="n">
        <f aca="false">Staff!I60/FX_EUR</f>
        <v>0</v>
      </c>
      <c r="J32" s="33" t="n">
        <f aca="false">Staff!J60/FX_EUR</f>
        <v>0</v>
      </c>
      <c r="K32" s="33" t="n">
        <f aca="false">Staff!K60/FX_EUR</f>
        <v>0</v>
      </c>
      <c r="L32" s="33" t="n">
        <f aca="false">Staff!L60/FX_EUR</f>
        <v>0</v>
      </c>
      <c r="M32" s="33" t="n">
        <f aca="false">Staff!M60/FX_EUR</f>
        <v>0</v>
      </c>
      <c r="N32" s="33" t="n">
        <f aca="false">Staff!N60/FX_EUR</f>
        <v>0</v>
      </c>
      <c r="O32" s="33" t="n">
        <f aca="false">Staff!O60/FX_EUR</f>
        <v>0</v>
      </c>
      <c r="P32" s="33" t="n">
        <f aca="false">Staff!P60/FX_EUR</f>
        <v>0</v>
      </c>
      <c r="Q32" s="33" t="n">
        <f aca="false">Staff!Q60/FX_EUR</f>
        <v>0</v>
      </c>
      <c r="R32" s="33" t="n">
        <f aca="false">Staff!R60/FX_EUR</f>
        <v>0</v>
      </c>
      <c r="S32" s="33" t="n">
        <f aca="false">Staff!S60/FX_EUR</f>
        <v>0</v>
      </c>
      <c r="T32" s="33" t="n">
        <f aca="false">Staff!T60/FX_EUR</f>
        <v>0</v>
      </c>
      <c r="U32" s="33" t="n">
        <f aca="false">Staff!U60/FX_EUR</f>
        <v>0</v>
      </c>
      <c r="V32" s="33" t="n">
        <f aca="false">Staff!V60/FX_EUR</f>
        <v>0</v>
      </c>
      <c r="W32" s="33" t="n">
        <f aca="false">Staff!W60/FX_EUR</f>
        <v>0</v>
      </c>
      <c r="X32" s="33" t="n">
        <f aca="false">Staff!X60/FX_EUR</f>
        <v>0</v>
      </c>
      <c r="Y32" s="33" t="n">
        <f aca="false">Staff!Y60/FX_EUR</f>
        <v>0</v>
      </c>
      <c r="Z32" s="33" t="n">
        <f aca="false">Staff!Z60/FX_EUR</f>
        <v>0</v>
      </c>
      <c r="AA32" s="33" t="n">
        <f aca="false">Staff!AA60/FX_EUR</f>
        <v>0</v>
      </c>
      <c r="AB32" s="33" t="n">
        <f aca="false">Staff!AB60/FX_EUR</f>
        <v>0</v>
      </c>
      <c r="AC32" s="33" t="n">
        <f aca="false">Staff!AC60/FX_EUR</f>
        <v>0</v>
      </c>
      <c r="AD32" s="33" t="n">
        <f aca="false">Staff!AD60/FX_EUR</f>
        <v>0</v>
      </c>
      <c r="AE32" s="33" t="n">
        <f aca="false">Staff!AE60/FX_EUR</f>
        <v>0</v>
      </c>
      <c r="AF32" s="33" t="n">
        <f aca="false">Staff!AF60/FX_EUR</f>
        <v>0</v>
      </c>
      <c r="AG32" s="33" t="n">
        <f aca="false">Staff!AG60/FX_EUR</f>
        <v>0</v>
      </c>
      <c r="AH32" s="33" t="n">
        <f aca="false">Staff!AH60/FX_EUR</f>
        <v>0</v>
      </c>
      <c r="AI32" s="33" t="n">
        <f aca="false">Staff!AI60/FX_EUR</f>
        <v>0</v>
      </c>
      <c r="AJ32" s="33" t="n">
        <f aca="false">Staff!AJ60/FX_EUR</f>
        <v>0</v>
      </c>
      <c r="AK32" s="33" t="n">
        <f aca="false">Staff!AK60/FX_EUR</f>
        <v>0</v>
      </c>
      <c r="AL32" s="33" t="n">
        <f aca="false">Staff!AL60/FX_EUR</f>
        <v>0</v>
      </c>
      <c r="AM32" s="33" t="n">
        <f aca="false">Staff!AM60/FX_EUR</f>
        <v>0</v>
      </c>
      <c r="AN32" s="33" t="n">
        <f aca="false">Staff!AN60/FX_EUR</f>
        <v>0</v>
      </c>
      <c r="AO32" s="33" t="n">
        <f aca="false">Staff!AO60/FX_EUR</f>
        <v>0</v>
      </c>
      <c r="AP32" s="33" t="n">
        <f aca="false">Staff!AP60/FX_EUR</f>
        <v>0</v>
      </c>
      <c r="AQ32" s="33" t="n">
        <f aca="false">Staff!AQ60/FX_EUR</f>
        <v>0</v>
      </c>
      <c r="AR32" s="33" t="n">
        <f aca="false">Staff!AR60/FX_EUR</f>
        <v>0</v>
      </c>
      <c r="AS32" s="33" t="n">
        <f aca="false">Staff!AS60/FX_EUR</f>
        <v>0</v>
      </c>
      <c r="AT32" s="33" t="n">
        <f aca="false">Staff!AT60/FX_EUR</f>
        <v>0</v>
      </c>
      <c r="AU32" s="33" t="n">
        <f aca="false">Staff!AU60/FX_EUR</f>
        <v>0</v>
      </c>
      <c r="AV32" s="33" t="n">
        <f aca="false">Staff!AV60/FX_EUR</f>
        <v>0</v>
      </c>
      <c r="AW32" s="33" t="n">
        <f aca="false">Staff!AW60/FX_EUR</f>
        <v>0</v>
      </c>
      <c r="AX32" s="33" t="n">
        <f aca="false">Staff!AX60/FX_EUR</f>
        <v>0</v>
      </c>
      <c r="AY32" s="33" t="n">
        <f aca="false">Staff!AY60/FX_EUR</f>
        <v>0</v>
      </c>
      <c r="AZ32" s="33" t="n">
        <f aca="false">Staff!AZ60/FX_EUR</f>
        <v>0</v>
      </c>
      <c r="BA32" s="33" t="n">
        <f aca="false">Staff!BA60/FX_EUR</f>
        <v>0</v>
      </c>
      <c r="BB32" s="33" t="n">
        <f aca="false">Staff!BB60/FX_EUR</f>
        <v>0</v>
      </c>
      <c r="BC32" s="33" t="n">
        <f aca="false">Staff!BC60/FX_EUR</f>
        <v>0</v>
      </c>
      <c r="BD32" s="33" t="n">
        <f aca="false">Staff!BD60/FX_EUR</f>
        <v>0</v>
      </c>
      <c r="BE32" s="33" t="n">
        <f aca="false">Staff!BE60/FX_EUR</f>
        <v>0</v>
      </c>
      <c r="BF32" s="33" t="n">
        <f aca="false">Staff!BF60/FX_EUR</f>
        <v>0</v>
      </c>
      <c r="BG32" s="33" t="n">
        <f aca="false">Staff!BG60/FX_EUR</f>
        <v>0</v>
      </c>
      <c r="BH32" s="33" t="n">
        <f aca="false">Staff!BH60/FX_EUR</f>
        <v>0</v>
      </c>
      <c r="BI32" s="33" t="n">
        <f aca="false">Staff!BI60/FX_EUR</f>
        <v>0</v>
      </c>
      <c r="BJ32" s="33" t="n">
        <f aca="false">Staff!BJ60/FX_EUR</f>
        <v>0</v>
      </c>
      <c r="BK32" s="33" t="n">
        <f aca="false">Staff!BK60/FX_EUR</f>
        <v>0</v>
      </c>
      <c r="BL32" s="33" t="n">
        <f aca="false">Staff!BL60/FX_EUR</f>
        <v>0</v>
      </c>
    </row>
    <row r="33" customFormat="false" ht="15" hidden="false" customHeight="true" outlineLevel="0" collapsed="false">
      <c r="A33" s="13" t="str">
        <f aca="false">Staff!A61</f>
        <v>(spare line 23)</v>
      </c>
      <c r="B33" s="15" t="s">
        <v>79</v>
      </c>
      <c r="D33" s="56" t="n">
        <f aca="false">Staff!D61/FX_EUR</f>
        <v>0</v>
      </c>
      <c r="E33" s="33" t="n">
        <f aca="false">Staff!E61/FX_EUR</f>
        <v>0</v>
      </c>
      <c r="F33" s="33" t="n">
        <f aca="false">Staff!F61/FX_EUR</f>
        <v>0</v>
      </c>
      <c r="G33" s="33" t="n">
        <f aca="false">Staff!G61/FX_EUR</f>
        <v>0</v>
      </c>
      <c r="H33" s="33" t="n">
        <f aca="false">Staff!H61/FX_EUR</f>
        <v>0</v>
      </c>
      <c r="I33" s="33" t="n">
        <f aca="false">Staff!I61/FX_EUR</f>
        <v>0</v>
      </c>
      <c r="J33" s="33" t="n">
        <f aca="false">Staff!J61/FX_EUR</f>
        <v>0</v>
      </c>
      <c r="K33" s="33" t="n">
        <f aca="false">Staff!K61/FX_EUR</f>
        <v>0</v>
      </c>
      <c r="L33" s="33" t="n">
        <f aca="false">Staff!L61/FX_EUR</f>
        <v>0</v>
      </c>
      <c r="M33" s="33" t="n">
        <f aca="false">Staff!M61/FX_EUR</f>
        <v>0</v>
      </c>
      <c r="N33" s="33" t="n">
        <f aca="false">Staff!N61/FX_EUR</f>
        <v>0</v>
      </c>
      <c r="O33" s="33" t="n">
        <f aca="false">Staff!O61/FX_EUR</f>
        <v>0</v>
      </c>
      <c r="P33" s="33" t="n">
        <f aca="false">Staff!P61/FX_EUR</f>
        <v>0</v>
      </c>
      <c r="Q33" s="33" t="n">
        <f aca="false">Staff!Q61/FX_EUR</f>
        <v>0</v>
      </c>
      <c r="R33" s="33" t="n">
        <f aca="false">Staff!R61/FX_EUR</f>
        <v>0</v>
      </c>
      <c r="S33" s="33" t="n">
        <f aca="false">Staff!S61/FX_EUR</f>
        <v>0</v>
      </c>
      <c r="T33" s="33" t="n">
        <f aca="false">Staff!T61/FX_EUR</f>
        <v>0</v>
      </c>
      <c r="U33" s="33" t="n">
        <f aca="false">Staff!U61/FX_EUR</f>
        <v>0</v>
      </c>
      <c r="V33" s="33" t="n">
        <f aca="false">Staff!V61/FX_EUR</f>
        <v>0</v>
      </c>
      <c r="W33" s="33" t="n">
        <f aca="false">Staff!W61/FX_EUR</f>
        <v>0</v>
      </c>
      <c r="X33" s="33" t="n">
        <f aca="false">Staff!X61/FX_EUR</f>
        <v>0</v>
      </c>
      <c r="Y33" s="33" t="n">
        <f aca="false">Staff!Y61/FX_EUR</f>
        <v>0</v>
      </c>
      <c r="Z33" s="33" t="n">
        <f aca="false">Staff!Z61/FX_EUR</f>
        <v>0</v>
      </c>
      <c r="AA33" s="33" t="n">
        <f aca="false">Staff!AA61/FX_EUR</f>
        <v>0</v>
      </c>
      <c r="AB33" s="33" t="n">
        <f aca="false">Staff!AB61/FX_EUR</f>
        <v>0</v>
      </c>
      <c r="AC33" s="33" t="n">
        <f aca="false">Staff!AC61/FX_EUR</f>
        <v>0</v>
      </c>
      <c r="AD33" s="33" t="n">
        <f aca="false">Staff!AD61/FX_EUR</f>
        <v>0</v>
      </c>
      <c r="AE33" s="33" t="n">
        <f aca="false">Staff!AE61/FX_EUR</f>
        <v>0</v>
      </c>
      <c r="AF33" s="33" t="n">
        <f aca="false">Staff!AF61/FX_EUR</f>
        <v>0</v>
      </c>
      <c r="AG33" s="33" t="n">
        <f aca="false">Staff!AG61/FX_EUR</f>
        <v>0</v>
      </c>
      <c r="AH33" s="33" t="n">
        <f aca="false">Staff!AH61/FX_EUR</f>
        <v>0</v>
      </c>
      <c r="AI33" s="33" t="n">
        <f aca="false">Staff!AI61/FX_EUR</f>
        <v>0</v>
      </c>
      <c r="AJ33" s="33" t="n">
        <f aca="false">Staff!AJ61/FX_EUR</f>
        <v>0</v>
      </c>
      <c r="AK33" s="33" t="n">
        <f aca="false">Staff!AK61/FX_EUR</f>
        <v>0</v>
      </c>
      <c r="AL33" s="33" t="n">
        <f aca="false">Staff!AL61/FX_EUR</f>
        <v>0</v>
      </c>
      <c r="AM33" s="33" t="n">
        <f aca="false">Staff!AM61/FX_EUR</f>
        <v>0</v>
      </c>
      <c r="AN33" s="33" t="n">
        <f aca="false">Staff!AN61/FX_EUR</f>
        <v>0</v>
      </c>
      <c r="AO33" s="33" t="n">
        <f aca="false">Staff!AO61/FX_EUR</f>
        <v>0</v>
      </c>
      <c r="AP33" s="33" t="n">
        <f aca="false">Staff!AP61/FX_EUR</f>
        <v>0</v>
      </c>
      <c r="AQ33" s="33" t="n">
        <f aca="false">Staff!AQ61/FX_EUR</f>
        <v>0</v>
      </c>
      <c r="AR33" s="33" t="n">
        <f aca="false">Staff!AR61/FX_EUR</f>
        <v>0</v>
      </c>
      <c r="AS33" s="33" t="n">
        <f aca="false">Staff!AS61/FX_EUR</f>
        <v>0</v>
      </c>
      <c r="AT33" s="33" t="n">
        <f aca="false">Staff!AT61/FX_EUR</f>
        <v>0</v>
      </c>
      <c r="AU33" s="33" t="n">
        <f aca="false">Staff!AU61/FX_EUR</f>
        <v>0</v>
      </c>
      <c r="AV33" s="33" t="n">
        <f aca="false">Staff!AV61/FX_EUR</f>
        <v>0</v>
      </c>
      <c r="AW33" s="33" t="n">
        <f aca="false">Staff!AW61/FX_EUR</f>
        <v>0</v>
      </c>
      <c r="AX33" s="33" t="n">
        <f aca="false">Staff!AX61/FX_EUR</f>
        <v>0</v>
      </c>
      <c r="AY33" s="33" t="n">
        <f aca="false">Staff!AY61/FX_EUR</f>
        <v>0</v>
      </c>
      <c r="AZ33" s="33" t="n">
        <f aca="false">Staff!AZ61/FX_EUR</f>
        <v>0</v>
      </c>
      <c r="BA33" s="33" t="n">
        <f aca="false">Staff!BA61/FX_EUR</f>
        <v>0</v>
      </c>
      <c r="BB33" s="33" t="n">
        <f aca="false">Staff!BB61/FX_EUR</f>
        <v>0</v>
      </c>
      <c r="BC33" s="33" t="n">
        <f aca="false">Staff!BC61/FX_EUR</f>
        <v>0</v>
      </c>
      <c r="BD33" s="33" t="n">
        <f aca="false">Staff!BD61/FX_EUR</f>
        <v>0</v>
      </c>
      <c r="BE33" s="33" t="n">
        <f aca="false">Staff!BE61/FX_EUR</f>
        <v>0</v>
      </c>
      <c r="BF33" s="33" t="n">
        <f aca="false">Staff!BF61/FX_EUR</f>
        <v>0</v>
      </c>
      <c r="BG33" s="33" t="n">
        <f aca="false">Staff!BG61/FX_EUR</f>
        <v>0</v>
      </c>
      <c r="BH33" s="33" t="n">
        <f aca="false">Staff!BH61/FX_EUR</f>
        <v>0</v>
      </c>
      <c r="BI33" s="33" t="n">
        <f aca="false">Staff!BI61/FX_EUR</f>
        <v>0</v>
      </c>
      <c r="BJ33" s="33" t="n">
        <f aca="false">Staff!BJ61/FX_EUR</f>
        <v>0</v>
      </c>
      <c r="BK33" s="33" t="n">
        <f aca="false">Staff!BK61/FX_EUR</f>
        <v>0</v>
      </c>
      <c r="BL33" s="33" t="n">
        <f aca="false">Staff!BL61/FX_EUR</f>
        <v>0</v>
      </c>
    </row>
    <row r="34" customFormat="false" ht="15" hidden="false" customHeight="true" outlineLevel="0" collapsed="false">
      <c r="A34" s="13" t="str">
        <f aca="false">Staff!A62</f>
        <v>(spare line 24)</v>
      </c>
      <c r="B34" s="15" t="s">
        <v>79</v>
      </c>
      <c r="D34" s="56" t="n">
        <f aca="false">Staff!D62/FX_EUR</f>
        <v>0</v>
      </c>
      <c r="E34" s="33" t="n">
        <f aca="false">Staff!E62/FX_EUR</f>
        <v>0</v>
      </c>
      <c r="F34" s="33" t="n">
        <f aca="false">Staff!F62/FX_EUR</f>
        <v>0</v>
      </c>
      <c r="G34" s="33" t="n">
        <f aca="false">Staff!G62/FX_EUR</f>
        <v>0</v>
      </c>
      <c r="H34" s="33" t="n">
        <f aca="false">Staff!H62/FX_EUR</f>
        <v>0</v>
      </c>
      <c r="I34" s="33" t="n">
        <f aca="false">Staff!I62/FX_EUR</f>
        <v>0</v>
      </c>
      <c r="J34" s="33" t="n">
        <f aca="false">Staff!J62/FX_EUR</f>
        <v>0</v>
      </c>
      <c r="K34" s="33" t="n">
        <f aca="false">Staff!K62/FX_EUR</f>
        <v>0</v>
      </c>
      <c r="L34" s="33" t="n">
        <f aca="false">Staff!L62/FX_EUR</f>
        <v>0</v>
      </c>
      <c r="M34" s="33" t="n">
        <f aca="false">Staff!M62/FX_EUR</f>
        <v>0</v>
      </c>
      <c r="N34" s="33" t="n">
        <f aca="false">Staff!N62/FX_EUR</f>
        <v>0</v>
      </c>
      <c r="O34" s="33" t="n">
        <f aca="false">Staff!O62/FX_EUR</f>
        <v>0</v>
      </c>
      <c r="P34" s="33" t="n">
        <f aca="false">Staff!P62/FX_EUR</f>
        <v>0</v>
      </c>
      <c r="Q34" s="33" t="n">
        <f aca="false">Staff!Q62/FX_EUR</f>
        <v>0</v>
      </c>
      <c r="R34" s="33" t="n">
        <f aca="false">Staff!R62/FX_EUR</f>
        <v>0</v>
      </c>
      <c r="S34" s="33" t="n">
        <f aca="false">Staff!S62/FX_EUR</f>
        <v>0</v>
      </c>
      <c r="T34" s="33" t="n">
        <f aca="false">Staff!T62/FX_EUR</f>
        <v>0</v>
      </c>
      <c r="U34" s="33" t="n">
        <f aca="false">Staff!U62/FX_EUR</f>
        <v>0</v>
      </c>
      <c r="V34" s="33" t="n">
        <f aca="false">Staff!V62/FX_EUR</f>
        <v>0</v>
      </c>
      <c r="W34" s="33" t="n">
        <f aca="false">Staff!W62/FX_EUR</f>
        <v>0</v>
      </c>
      <c r="X34" s="33" t="n">
        <f aca="false">Staff!X62/FX_EUR</f>
        <v>0</v>
      </c>
      <c r="Y34" s="33" t="n">
        <f aca="false">Staff!Y62/FX_EUR</f>
        <v>0</v>
      </c>
      <c r="Z34" s="33" t="n">
        <f aca="false">Staff!Z62/FX_EUR</f>
        <v>0</v>
      </c>
      <c r="AA34" s="33" t="n">
        <f aca="false">Staff!AA62/FX_EUR</f>
        <v>0</v>
      </c>
      <c r="AB34" s="33" t="n">
        <f aca="false">Staff!AB62/FX_EUR</f>
        <v>0</v>
      </c>
      <c r="AC34" s="33" t="n">
        <f aca="false">Staff!AC62/FX_EUR</f>
        <v>0</v>
      </c>
      <c r="AD34" s="33" t="n">
        <f aca="false">Staff!AD62/FX_EUR</f>
        <v>0</v>
      </c>
      <c r="AE34" s="33" t="n">
        <f aca="false">Staff!AE62/FX_EUR</f>
        <v>0</v>
      </c>
      <c r="AF34" s="33" t="n">
        <f aca="false">Staff!AF62/FX_EUR</f>
        <v>0</v>
      </c>
      <c r="AG34" s="33" t="n">
        <f aca="false">Staff!AG62/FX_EUR</f>
        <v>0</v>
      </c>
      <c r="AH34" s="33" t="n">
        <f aca="false">Staff!AH62/FX_EUR</f>
        <v>0</v>
      </c>
      <c r="AI34" s="33" t="n">
        <f aca="false">Staff!AI62/FX_EUR</f>
        <v>0</v>
      </c>
      <c r="AJ34" s="33" t="n">
        <f aca="false">Staff!AJ62/FX_EUR</f>
        <v>0</v>
      </c>
      <c r="AK34" s="33" t="n">
        <f aca="false">Staff!AK62/FX_EUR</f>
        <v>0</v>
      </c>
      <c r="AL34" s="33" t="n">
        <f aca="false">Staff!AL62/FX_EUR</f>
        <v>0</v>
      </c>
      <c r="AM34" s="33" t="n">
        <f aca="false">Staff!AM62/FX_EUR</f>
        <v>0</v>
      </c>
      <c r="AN34" s="33" t="n">
        <f aca="false">Staff!AN62/FX_EUR</f>
        <v>0</v>
      </c>
      <c r="AO34" s="33" t="n">
        <f aca="false">Staff!AO62/FX_EUR</f>
        <v>0</v>
      </c>
      <c r="AP34" s="33" t="n">
        <f aca="false">Staff!AP62/FX_EUR</f>
        <v>0</v>
      </c>
      <c r="AQ34" s="33" t="n">
        <f aca="false">Staff!AQ62/FX_EUR</f>
        <v>0</v>
      </c>
      <c r="AR34" s="33" t="n">
        <f aca="false">Staff!AR62/FX_EUR</f>
        <v>0</v>
      </c>
      <c r="AS34" s="33" t="n">
        <f aca="false">Staff!AS62/FX_EUR</f>
        <v>0</v>
      </c>
      <c r="AT34" s="33" t="n">
        <f aca="false">Staff!AT62/FX_EUR</f>
        <v>0</v>
      </c>
      <c r="AU34" s="33" t="n">
        <f aca="false">Staff!AU62/FX_EUR</f>
        <v>0</v>
      </c>
      <c r="AV34" s="33" t="n">
        <f aca="false">Staff!AV62/FX_EUR</f>
        <v>0</v>
      </c>
      <c r="AW34" s="33" t="n">
        <f aca="false">Staff!AW62/FX_EUR</f>
        <v>0</v>
      </c>
      <c r="AX34" s="33" t="n">
        <f aca="false">Staff!AX62/FX_EUR</f>
        <v>0</v>
      </c>
      <c r="AY34" s="33" t="n">
        <f aca="false">Staff!AY62/FX_EUR</f>
        <v>0</v>
      </c>
      <c r="AZ34" s="33" t="n">
        <f aca="false">Staff!AZ62/FX_EUR</f>
        <v>0</v>
      </c>
      <c r="BA34" s="33" t="n">
        <f aca="false">Staff!BA62/FX_EUR</f>
        <v>0</v>
      </c>
      <c r="BB34" s="33" t="n">
        <f aca="false">Staff!BB62/FX_EUR</f>
        <v>0</v>
      </c>
      <c r="BC34" s="33" t="n">
        <f aca="false">Staff!BC62/FX_EUR</f>
        <v>0</v>
      </c>
      <c r="BD34" s="33" t="n">
        <f aca="false">Staff!BD62/FX_EUR</f>
        <v>0</v>
      </c>
      <c r="BE34" s="33" t="n">
        <f aca="false">Staff!BE62/FX_EUR</f>
        <v>0</v>
      </c>
      <c r="BF34" s="33" t="n">
        <f aca="false">Staff!BF62/FX_EUR</f>
        <v>0</v>
      </c>
      <c r="BG34" s="33" t="n">
        <f aca="false">Staff!BG62/FX_EUR</f>
        <v>0</v>
      </c>
      <c r="BH34" s="33" t="n">
        <f aca="false">Staff!BH62/FX_EUR</f>
        <v>0</v>
      </c>
      <c r="BI34" s="33" t="n">
        <f aca="false">Staff!BI62/FX_EUR</f>
        <v>0</v>
      </c>
      <c r="BJ34" s="33" t="n">
        <f aca="false">Staff!BJ62/FX_EUR</f>
        <v>0</v>
      </c>
      <c r="BK34" s="33" t="n">
        <f aca="false">Staff!BK62/FX_EUR</f>
        <v>0</v>
      </c>
      <c r="BL34" s="33" t="n">
        <f aca="false">Staff!BL62/FX_EUR</f>
        <v>0</v>
      </c>
    </row>
    <row r="35" customFormat="false" ht="15" hidden="false" customHeight="true" outlineLevel="0" collapsed="false">
      <c r="A35" s="13" t="str">
        <f aca="false">Staff!A63</f>
        <v>(spare line 25)</v>
      </c>
      <c r="B35" s="15" t="s">
        <v>79</v>
      </c>
      <c r="D35" s="56" t="n">
        <f aca="false">Staff!D63/FX_EUR</f>
        <v>0</v>
      </c>
      <c r="E35" s="33" t="n">
        <f aca="false">Staff!E63/FX_EUR</f>
        <v>0</v>
      </c>
      <c r="F35" s="33" t="n">
        <f aca="false">Staff!F63/FX_EUR</f>
        <v>0</v>
      </c>
      <c r="G35" s="33" t="n">
        <f aca="false">Staff!G63/FX_EUR</f>
        <v>0</v>
      </c>
      <c r="H35" s="33" t="n">
        <f aca="false">Staff!H63/FX_EUR</f>
        <v>0</v>
      </c>
      <c r="I35" s="33" t="n">
        <f aca="false">Staff!I63/FX_EUR</f>
        <v>0</v>
      </c>
      <c r="J35" s="33" t="n">
        <f aca="false">Staff!J63/FX_EUR</f>
        <v>0</v>
      </c>
      <c r="K35" s="33" t="n">
        <f aca="false">Staff!K63/FX_EUR</f>
        <v>0</v>
      </c>
      <c r="L35" s="33" t="n">
        <f aca="false">Staff!L63/FX_EUR</f>
        <v>0</v>
      </c>
      <c r="M35" s="33" t="n">
        <f aca="false">Staff!M63/FX_EUR</f>
        <v>0</v>
      </c>
      <c r="N35" s="33" t="n">
        <f aca="false">Staff!N63/FX_EUR</f>
        <v>0</v>
      </c>
      <c r="O35" s="33" t="n">
        <f aca="false">Staff!O63/FX_EUR</f>
        <v>0</v>
      </c>
      <c r="P35" s="33" t="n">
        <f aca="false">Staff!P63/FX_EUR</f>
        <v>0</v>
      </c>
      <c r="Q35" s="33" t="n">
        <f aca="false">Staff!Q63/FX_EUR</f>
        <v>0</v>
      </c>
      <c r="R35" s="33" t="n">
        <f aca="false">Staff!R63/FX_EUR</f>
        <v>0</v>
      </c>
      <c r="S35" s="33" t="n">
        <f aca="false">Staff!S63/FX_EUR</f>
        <v>0</v>
      </c>
      <c r="T35" s="33" t="n">
        <f aca="false">Staff!T63/FX_EUR</f>
        <v>0</v>
      </c>
      <c r="U35" s="33" t="n">
        <f aca="false">Staff!U63/FX_EUR</f>
        <v>0</v>
      </c>
      <c r="V35" s="33" t="n">
        <f aca="false">Staff!V63/FX_EUR</f>
        <v>0</v>
      </c>
      <c r="W35" s="33" t="n">
        <f aca="false">Staff!W63/FX_EUR</f>
        <v>0</v>
      </c>
      <c r="X35" s="33" t="n">
        <f aca="false">Staff!X63/FX_EUR</f>
        <v>0</v>
      </c>
      <c r="Y35" s="33" t="n">
        <f aca="false">Staff!Y63/FX_EUR</f>
        <v>0</v>
      </c>
      <c r="Z35" s="33" t="n">
        <f aca="false">Staff!Z63/FX_EUR</f>
        <v>0</v>
      </c>
      <c r="AA35" s="33" t="n">
        <f aca="false">Staff!AA63/FX_EUR</f>
        <v>0</v>
      </c>
      <c r="AB35" s="33" t="n">
        <f aca="false">Staff!AB63/FX_EUR</f>
        <v>0</v>
      </c>
      <c r="AC35" s="33" t="n">
        <f aca="false">Staff!AC63/FX_EUR</f>
        <v>0</v>
      </c>
      <c r="AD35" s="33" t="n">
        <f aca="false">Staff!AD63/FX_EUR</f>
        <v>0</v>
      </c>
      <c r="AE35" s="33" t="n">
        <f aca="false">Staff!AE63/FX_EUR</f>
        <v>0</v>
      </c>
      <c r="AF35" s="33" t="n">
        <f aca="false">Staff!AF63/FX_EUR</f>
        <v>0</v>
      </c>
      <c r="AG35" s="33" t="n">
        <f aca="false">Staff!AG63/FX_EUR</f>
        <v>0</v>
      </c>
      <c r="AH35" s="33" t="n">
        <f aca="false">Staff!AH63/FX_EUR</f>
        <v>0</v>
      </c>
      <c r="AI35" s="33" t="n">
        <f aca="false">Staff!AI63/FX_EUR</f>
        <v>0</v>
      </c>
      <c r="AJ35" s="33" t="n">
        <f aca="false">Staff!AJ63/FX_EUR</f>
        <v>0</v>
      </c>
      <c r="AK35" s="33" t="n">
        <f aca="false">Staff!AK63/FX_EUR</f>
        <v>0</v>
      </c>
      <c r="AL35" s="33" t="n">
        <f aca="false">Staff!AL63/FX_EUR</f>
        <v>0</v>
      </c>
      <c r="AM35" s="33" t="n">
        <f aca="false">Staff!AM63/FX_EUR</f>
        <v>0</v>
      </c>
      <c r="AN35" s="33" t="n">
        <f aca="false">Staff!AN63/FX_EUR</f>
        <v>0</v>
      </c>
      <c r="AO35" s="33" t="n">
        <f aca="false">Staff!AO63/FX_EUR</f>
        <v>0</v>
      </c>
      <c r="AP35" s="33" t="n">
        <f aca="false">Staff!AP63/FX_EUR</f>
        <v>0</v>
      </c>
      <c r="AQ35" s="33" t="n">
        <f aca="false">Staff!AQ63/FX_EUR</f>
        <v>0</v>
      </c>
      <c r="AR35" s="33" t="n">
        <f aca="false">Staff!AR63/FX_EUR</f>
        <v>0</v>
      </c>
      <c r="AS35" s="33" t="n">
        <f aca="false">Staff!AS63/FX_EUR</f>
        <v>0</v>
      </c>
      <c r="AT35" s="33" t="n">
        <f aca="false">Staff!AT63/FX_EUR</f>
        <v>0</v>
      </c>
      <c r="AU35" s="33" t="n">
        <f aca="false">Staff!AU63/FX_EUR</f>
        <v>0</v>
      </c>
      <c r="AV35" s="33" t="n">
        <f aca="false">Staff!AV63/FX_EUR</f>
        <v>0</v>
      </c>
      <c r="AW35" s="33" t="n">
        <f aca="false">Staff!AW63/FX_EUR</f>
        <v>0</v>
      </c>
      <c r="AX35" s="33" t="n">
        <f aca="false">Staff!AX63/FX_EUR</f>
        <v>0</v>
      </c>
      <c r="AY35" s="33" t="n">
        <f aca="false">Staff!AY63/FX_EUR</f>
        <v>0</v>
      </c>
      <c r="AZ35" s="33" t="n">
        <f aca="false">Staff!AZ63/FX_EUR</f>
        <v>0</v>
      </c>
      <c r="BA35" s="33" t="n">
        <f aca="false">Staff!BA63/FX_EUR</f>
        <v>0</v>
      </c>
      <c r="BB35" s="33" t="n">
        <f aca="false">Staff!BB63/FX_EUR</f>
        <v>0</v>
      </c>
      <c r="BC35" s="33" t="n">
        <f aca="false">Staff!BC63/FX_EUR</f>
        <v>0</v>
      </c>
      <c r="BD35" s="33" t="n">
        <f aca="false">Staff!BD63/FX_EUR</f>
        <v>0</v>
      </c>
      <c r="BE35" s="33" t="n">
        <f aca="false">Staff!BE63/FX_EUR</f>
        <v>0</v>
      </c>
      <c r="BF35" s="33" t="n">
        <f aca="false">Staff!BF63/FX_EUR</f>
        <v>0</v>
      </c>
      <c r="BG35" s="33" t="n">
        <f aca="false">Staff!BG63/FX_EUR</f>
        <v>0</v>
      </c>
      <c r="BH35" s="33" t="n">
        <f aca="false">Staff!BH63/FX_EUR</f>
        <v>0</v>
      </c>
      <c r="BI35" s="33" t="n">
        <f aca="false">Staff!BI63/FX_EUR</f>
        <v>0</v>
      </c>
      <c r="BJ35" s="33" t="n">
        <f aca="false">Staff!BJ63/FX_EUR</f>
        <v>0</v>
      </c>
      <c r="BK35" s="33" t="n">
        <f aca="false">Staff!BK63/FX_EUR</f>
        <v>0</v>
      </c>
      <c r="BL35" s="33" t="n">
        <f aca="false">Staff!BL63/FX_EUR</f>
        <v>0</v>
      </c>
    </row>
    <row r="36" customFormat="false" ht="15" hidden="false" customHeight="true" outlineLevel="0" collapsed="false">
      <c r="A36" s="13" t="str">
        <f aca="false">Staff!A64</f>
        <v>(spare line 26)</v>
      </c>
      <c r="B36" s="15" t="s">
        <v>79</v>
      </c>
      <c r="D36" s="56" t="n">
        <f aca="false">Staff!D64/FX_EUR</f>
        <v>0</v>
      </c>
      <c r="E36" s="33" t="n">
        <f aca="false">Staff!E64/FX_EUR</f>
        <v>0</v>
      </c>
      <c r="F36" s="33" t="n">
        <f aca="false">Staff!F64/FX_EUR</f>
        <v>0</v>
      </c>
      <c r="G36" s="33" t="n">
        <f aca="false">Staff!G64/FX_EUR</f>
        <v>0</v>
      </c>
      <c r="H36" s="33" t="n">
        <f aca="false">Staff!H64/FX_EUR</f>
        <v>0</v>
      </c>
      <c r="I36" s="33" t="n">
        <f aca="false">Staff!I64/FX_EUR</f>
        <v>0</v>
      </c>
      <c r="J36" s="33" t="n">
        <f aca="false">Staff!J64/FX_EUR</f>
        <v>0</v>
      </c>
      <c r="K36" s="33" t="n">
        <f aca="false">Staff!K64/FX_EUR</f>
        <v>0</v>
      </c>
      <c r="L36" s="33" t="n">
        <f aca="false">Staff!L64/FX_EUR</f>
        <v>0</v>
      </c>
      <c r="M36" s="33" t="n">
        <f aca="false">Staff!M64/FX_EUR</f>
        <v>0</v>
      </c>
      <c r="N36" s="33" t="n">
        <f aca="false">Staff!N64/FX_EUR</f>
        <v>0</v>
      </c>
      <c r="O36" s="33" t="n">
        <f aca="false">Staff!O64/FX_EUR</f>
        <v>0</v>
      </c>
      <c r="P36" s="33" t="n">
        <f aca="false">Staff!P64/FX_EUR</f>
        <v>0</v>
      </c>
      <c r="Q36" s="33" t="n">
        <f aca="false">Staff!Q64/FX_EUR</f>
        <v>0</v>
      </c>
      <c r="R36" s="33" t="n">
        <f aca="false">Staff!R64/FX_EUR</f>
        <v>0</v>
      </c>
      <c r="S36" s="33" t="n">
        <f aca="false">Staff!S64/FX_EUR</f>
        <v>0</v>
      </c>
      <c r="T36" s="33" t="n">
        <f aca="false">Staff!T64/FX_EUR</f>
        <v>0</v>
      </c>
      <c r="U36" s="33" t="n">
        <f aca="false">Staff!U64/FX_EUR</f>
        <v>0</v>
      </c>
      <c r="V36" s="33" t="n">
        <f aca="false">Staff!V64/FX_EUR</f>
        <v>0</v>
      </c>
      <c r="W36" s="33" t="n">
        <f aca="false">Staff!W64/FX_EUR</f>
        <v>0</v>
      </c>
      <c r="X36" s="33" t="n">
        <f aca="false">Staff!X64/FX_EUR</f>
        <v>0</v>
      </c>
      <c r="Y36" s="33" t="n">
        <f aca="false">Staff!Y64/FX_EUR</f>
        <v>0</v>
      </c>
      <c r="Z36" s="33" t="n">
        <f aca="false">Staff!Z64/FX_EUR</f>
        <v>0</v>
      </c>
      <c r="AA36" s="33" t="n">
        <f aca="false">Staff!AA64/FX_EUR</f>
        <v>0</v>
      </c>
      <c r="AB36" s="33" t="n">
        <f aca="false">Staff!AB64/FX_EUR</f>
        <v>0</v>
      </c>
      <c r="AC36" s="33" t="n">
        <f aca="false">Staff!AC64/FX_EUR</f>
        <v>0</v>
      </c>
      <c r="AD36" s="33" t="n">
        <f aca="false">Staff!AD64/FX_EUR</f>
        <v>0</v>
      </c>
      <c r="AE36" s="33" t="n">
        <f aca="false">Staff!AE64/FX_EUR</f>
        <v>0</v>
      </c>
      <c r="AF36" s="33" t="n">
        <f aca="false">Staff!AF64/FX_EUR</f>
        <v>0</v>
      </c>
      <c r="AG36" s="33" t="n">
        <f aca="false">Staff!AG64/FX_EUR</f>
        <v>0</v>
      </c>
      <c r="AH36" s="33" t="n">
        <f aca="false">Staff!AH64/FX_EUR</f>
        <v>0</v>
      </c>
      <c r="AI36" s="33" t="n">
        <f aca="false">Staff!AI64/FX_EUR</f>
        <v>0</v>
      </c>
      <c r="AJ36" s="33" t="n">
        <f aca="false">Staff!AJ64/FX_EUR</f>
        <v>0</v>
      </c>
      <c r="AK36" s="33" t="n">
        <f aca="false">Staff!AK64/FX_EUR</f>
        <v>0</v>
      </c>
      <c r="AL36" s="33" t="n">
        <f aca="false">Staff!AL64/FX_EUR</f>
        <v>0</v>
      </c>
      <c r="AM36" s="33" t="n">
        <f aca="false">Staff!AM64/FX_EUR</f>
        <v>0</v>
      </c>
      <c r="AN36" s="33" t="n">
        <f aca="false">Staff!AN64/FX_EUR</f>
        <v>0</v>
      </c>
      <c r="AO36" s="33" t="n">
        <f aca="false">Staff!AO64/FX_EUR</f>
        <v>0</v>
      </c>
      <c r="AP36" s="33" t="n">
        <f aca="false">Staff!AP64/FX_EUR</f>
        <v>0</v>
      </c>
      <c r="AQ36" s="33" t="n">
        <f aca="false">Staff!AQ64/FX_EUR</f>
        <v>0</v>
      </c>
      <c r="AR36" s="33" t="n">
        <f aca="false">Staff!AR64/FX_EUR</f>
        <v>0</v>
      </c>
      <c r="AS36" s="33" t="n">
        <f aca="false">Staff!AS64/FX_EUR</f>
        <v>0</v>
      </c>
      <c r="AT36" s="33" t="n">
        <f aca="false">Staff!AT64/FX_EUR</f>
        <v>0</v>
      </c>
      <c r="AU36" s="33" t="n">
        <f aca="false">Staff!AU64/FX_EUR</f>
        <v>0</v>
      </c>
      <c r="AV36" s="33" t="n">
        <f aca="false">Staff!AV64/FX_EUR</f>
        <v>0</v>
      </c>
      <c r="AW36" s="33" t="n">
        <f aca="false">Staff!AW64/FX_EUR</f>
        <v>0</v>
      </c>
      <c r="AX36" s="33" t="n">
        <f aca="false">Staff!AX64/FX_EUR</f>
        <v>0</v>
      </c>
      <c r="AY36" s="33" t="n">
        <f aca="false">Staff!AY64/FX_EUR</f>
        <v>0</v>
      </c>
      <c r="AZ36" s="33" t="n">
        <f aca="false">Staff!AZ64/FX_EUR</f>
        <v>0</v>
      </c>
      <c r="BA36" s="33" t="n">
        <f aca="false">Staff!BA64/FX_EUR</f>
        <v>0</v>
      </c>
      <c r="BB36" s="33" t="n">
        <f aca="false">Staff!BB64/FX_EUR</f>
        <v>0</v>
      </c>
      <c r="BC36" s="33" t="n">
        <f aca="false">Staff!BC64/FX_EUR</f>
        <v>0</v>
      </c>
      <c r="BD36" s="33" t="n">
        <f aca="false">Staff!BD64/FX_EUR</f>
        <v>0</v>
      </c>
      <c r="BE36" s="33" t="n">
        <f aca="false">Staff!BE64/FX_EUR</f>
        <v>0</v>
      </c>
      <c r="BF36" s="33" t="n">
        <f aca="false">Staff!BF64/FX_EUR</f>
        <v>0</v>
      </c>
      <c r="BG36" s="33" t="n">
        <f aca="false">Staff!BG64/FX_EUR</f>
        <v>0</v>
      </c>
      <c r="BH36" s="33" t="n">
        <f aca="false">Staff!BH64/FX_EUR</f>
        <v>0</v>
      </c>
      <c r="BI36" s="33" t="n">
        <f aca="false">Staff!BI64/FX_EUR</f>
        <v>0</v>
      </c>
      <c r="BJ36" s="33" t="n">
        <f aca="false">Staff!BJ64/FX_EUR</f>
        <v>0</v>
      </c>
      <c r="BK36" s="33" t="n">
        <f aca="false">Staff!BK64/FX_EUR</f>
        <v>0</v>
      </c>
      <c r="BL36" s="33" t="n">
        <f aca="false">Staff!BL64/FX_EUR</f>
        <v>0</v>
      </c>
    </row>
    <row r="37" customFormat="false" ht="15" hidden="false" customHeight="true" outlineLevel="0" collapsed="false">
      <c r="A37" s="13" t="str">
        <f aca="false">Staff!A65</f>
        <v>(spare line 27)</v>
      </c>
      <c r="B37" s="15" t="s">
        <v>79</v>
      </c>
      <c r="D37" s="56" t="n">
        <f aca="false">Staff!D65/FX_EUR</f>
        <v>0</v>
      </c>
      <c r="E37" s="33" t="n">
        <f aca="false">Staff!E65/FX_EUR</f>
        <v>0</v>
      </c>
      <c r="F37" s="33" t="n">
        <f aca="false">Staff!F65/FX_EUR</f>
        <v>0</v>
      </c>
      <c r="G37" s="33" t="n">
        <f aca="false">Staff!G65/FX_EUR</f>
        <v>0</v>
      </c>
      <c r="H37" s="33" t="n">
        <f aca="false">Staff!H65/FX_EUR</f>
        <v>0</v>
      </c>
      <c r="I37" s="33" t="n">
        <f aca="false">Staff!I65/FX_EUR</f>
        <v>0</v>
      </c>
      <c r="J37" s="33" t="n">
        <f aca="false">Staff!J65/FX_EUR</f>
        <v>0</v>
      </c>
      <c r="K37" s="33" t="n">
        <f aca="false">Staff!K65/FX_EUR</f>
        <v>0</v>
      </c>
      <c r="L37" s="33" t="n">
        <f aca="false">Staff!L65/FX_EUR</f>
        <v>0</v>
      </c>
      <c r="M37" s="33" t="n">
        <f aca="false">Staff!M65/FX_EUR</f>
        <v>0</v>
      </c>
      <c r="N37" s="33" t="n">
        <f aca="false">Staff!N65/FX_EUR</f>
        <v>0</v>
      </c>
      <c r="O37" s="33" t="n">
        <f aca="false">Staff!O65/FX_EUR</f>
        <v>0</v>
      </c>
      <c r="P37" s="33" t="n">
        <f aca="false">Staff!P65/FX_EUR</f>
        <v>0</v>
      </c>
      <c r="Q37" s="33" t="n">
        <f aca="false">Staff!Q65/FX_EUR</f>
        <v>0</v>
      </c>
      <c r="R37" s="33" t="n">
        <f aca="false">Staff!R65/FX_EUR</f>
        <v>0</v>
      </c>
      <c r="S37" s="33" t="n">
        <f aca="false">Staff!S65/FX_EUR</f>
        <v>0</v>
      </c>
      <c r="T37" s="33" t="n">
        <f aca="false">Staff!T65/FX_EUR</f>
        <v>0</v>
      </c>
      <c r="U37" s="33" t="n">
        <f aca="false">Staff!U65/FX_EUR</f>
        <v>0</v>
      </c>
      <c r="V37" s="33" t="n">
        <f aca="false">Staff!V65/FX_EUR</f>
        <v>0</v>
      </c>
      <c r="W37" s="33" t="n">
        <f aca="false">Staff!W65/FX_EUR</f>
        <v>0</v>
      </c>
      <c r="X37" s="33" t="n">
        <f aca="false">Staff!X65/FX_EUR</f>
        <v>0</v>
      </c>
      <c r="Y37" s="33" t="n">
        <f aca="false">Staff!Y65/FX_EUR</f>
        <v>0</v>
      </c>
      <c r="Z37" s="33" t="n">
        <f aca="false">Staff!Z65/FX_EUR</f>
        <v>0</v>
      </c>
      <c r="AA37" s="33" t="n">
        <f aca="false">Staff!AA65/FX_EUR</f>
        <v>0</v>
      </c>
      <c r="AB37" s="33" t="n">
        <f aca="false">Staff!AB65/FX_EUR</f>
        <v>0</v>
      </c>
      <c r="AC37" s="33" t="n">
        <f aca="false">Staff!AC65/FX_EUR</f>
        <v>0</v>
      </c>
      <c r="AD37" s="33" t="n">
        <f aca="false">Staff!AD65/FX_EUR</f>
        <v>0</v>
      </c>
      <c r="AE37" s="33" t="n">
        <f aca="false">Staff!AE65/FX_EUR</f>
        <v>0</v>
      </c>
      <c r="AF37" s="33" t="n">
        <f aca="false">Staff!AF65/FX_EUR</f>
        <v>0</v>
      </c>
      <c r="AG37" s="33" t="n">
        <f aca="false">Staff!AG65/FX_EUR</f>
        <v>0</v>
      </c>
      <c r="AH37" s="33" t="n">
        <f aca="false">Staff!AH65/FX_EUR</f>
        <v>0</v>
      </c>
      <c r="AI37" s="33" t="n">
        <f aca="false">Staff!AI65/FX_EUR</f>
        <v>0</v>
      </c>
      <c r="AJ37" s="33" t="n">
        <f aca="false">Staff!AJ65/FX_EUR</f>
        <v>0</v>
      </c>
      <c r="AK37" s="33" t="n">
        <f aca="false">Staff!AK65/FX_EUR</f>
        <v>0</v>
      </c>
      <c r="AL37" s="33" t="n">
        <f aca="false">Staff!AL65/FX_EUR</f>
        <v>0</v>
      </c>
      <c r="AM37" s="33" t="n">
        <f aca="false">Staff!AM65/FX_EUR</f>
        <v>0</v>
      </c>
      <c r="AN37" s="33" t="n">
        <f aca="false">Staff!AN65/FX_EUR</f>
        <v>0</v>
      </c>
      <c r="AO37" s="33" t="n">
        <f aca="false">Staff!AO65/FX_EUR</f>
        <v>0</v>
      </c>
      <c r="AP37" s="33" t="n">
        <f aca="false">Staff!AP65/FX_EUR</f>
        <v>0</v>
      </c>
      <c r="AQ37" s="33" t="n">
        <f aca="false">Staff!AQ65/FX_EUR</f>
        <v>0</v>
      </c>
      <c r="AR37" s="33" t="n">
        <f aca="false">Staff!AR65/FX_EUR</f>
        <v>0</v>
      </c>
      <c r="AS37" s="33" t="n">
        <f aca="false">Staff!AS65/FX_EUR</f>
        <v>0</v>
      </c>
      <c r="AT37" s="33" t="n">
        <f aca="false">Staff!AT65/FX_EUR</f>
        <v>0</v>
      </c>
      <c r="AU37" s="33" t="n">
        <f aca="false">Staff!AU65/FX_EUR</f>
        <v>0</v>
      </c>
      <c r="AV37" s="33" t="n">
        <f aca="false">Staff!AV65/FX_EUR</f>
        <v>0</v>
      </c>
      <c r="AW37" s="33" t="n">
        <f aca="false">Staff!AW65/FX_EUR</f>
        <v>0</v>
      </c>
      <c r="AX37" s="33" t="n">
        <f aca="false">Staff!AX65/FX_EUR</f>
        <v>0</v>
      </c>
      <c r="AY37" s="33" t="n">
        <f aca="false">Staff!AY65/FX_EUR</f>
        <v>0</v>
      </c>
      <c r="AZ37" s="33" t="n">
        <f aca="false">Staff!AZ65/FX_EUR</f>
        <v>0</v>
      </c>
      <c r="BA37" s="33" t="n">
        <f aca="false">Staff!BA65/FX_EUR</f>
        <v>0</v>
      </c>
      <c r="BB37" s="33" t="n">
        <f aca="false">Staff!BB65/FX_EUR</f>
        <v>0</v>
      </c>
      <c r="BC37" s="33" t="n">
        <f aca="false">Staff!BC65/FX_EUR</f>
        <v>0</v>
      </c>
      <c r="BD37" s="33" t="n">
        <f aca="false">Staff!BD65/FX_EUR</f>
        <v>0</v>
      </c>
      <c r="BE37" s="33" t="n">
        <f aca="false">Staff!BE65/FX_EUR</f>
        <v>0</v>
      </c>
      <c r="BF37" s="33" t="n">
        <f aca="false">Staff!BF65/FX_EUR</f>
        <v>0</v>
      </c>
      <c r="BG37" s="33" t="n">
        <f aca="false">Staff!BG65/FX_EUR</f>
        <v>0</v>
      </c>
      <c r="BH37" s="33" t="n">
        <f aca="false">Staff!BH65/FX_EUR</f>
        <v>0</v>
      </c>
      <c r="BI37" s="33" t="n">
        <f aca="false">Staff!BI65/FX_EUR</f>
        <v>0</v>
      </c>
      <c r="BJ37" s="33" t="n">
        <f aca="false">Staff!BJ65/FX_EUR</f>
        <v>0</v>
      </c>
      <c r="BK37" s="33" t="n">
        <f aca="false">Staff!BK65/FX_EUR</f>
        <v>0</v>
      </c>
      <c r="BL37" s="33" t="n">
        <f aca="false">Staff!BL65/FX_EUR</f>
        <v>0</v>
      </c>
    </row>
    <row r="38" customFormat="false" ht="15" hidden="false" customHeight="true" outlineLevel="0" collapsed="false">
      <c r="A38" s="13" t="str">
        <f aca="false">Staff!A66</f>
        <v>(spare line 28)</v>
      </c>
      <c r="B38" s="15" t="s">
        <v>79</v>
      </c>
      <c r="D38" s="56" t="n">
        <f aca="false">Staff!D66/FX_EUR</f>
        <v>0</v>
      </c>
      <c r="E38" s="33" t="n">
        <f aca="false">Staff!E66/FX_EUR</f>
        <v>0</v>
      </c>
      <c r="F38" s="33" t="n">
        <f aca="false">Staff!F66/FX_EUR</f>
        <v>0</v>
      </c>
      <c r="G38" s="33" t="n">
        <f aca="false">Staff!G66/FX_EUR</f>
        <v>0</v>
      </c>
      <c r="H38" s="33" t="n">
        <f aca="false">Staff!H66/FX_EUR</f>
        <v>0</v>
      </c>
      <c r="I38" s="33" t="n">
        <f aca="false">Staff!I66/FX_EUR</f>
        <v>0</v>
      </c>
      <c r="J38" s="33" t="n">
        <f aca="false">Staff!J66/FX_EUR</f>
        <v>0</v>
      </c>
      <c r="K38" s="33" t="n">
        <f aca="false">Staff!K66/FX_EUR</f>
        <v>0</v>
      </c>
      <c r="L38" s="33" t="n">
        <f aca="false">Staff!L66/FX_EUR</f>
        <v>0</v>
      </c>
      <c r="M38" s="33" t="n">
        <f aca="false">Staff!M66/FX_EUR</f>
        <v>0</v>
      </c>
      <c r="N38" s="33" t="n">
        <f aca="false">Staff!N66/FX_EUR</f>
        <v>0</v>
      </c>
      <c r="O38" s="33" t="n">
        <f aca="false">Staff!O66/FX_EUR</f>
        <v>0</v>
      </c>
      <c r="P38" s="33" t="n">
        <f aca="false">Staff!P66/FX_EUR</f>
        <v>0</v>
      </c>
      <c r="Q38" s="33" t="n">
        <f aca="false">Staff!Q66/FX_EUR</f>
        <v>0</v>
      </c>
      <c r="R38" s="33" t="n">
        <f aca="false">Staff!R66/FX_EUR</f>
        <v>0</v>
      </c>
      <c r="S38" s="33" t="n">
        <f aca="false">Staff!S66/FX_EUR</f>
        <v>0</v>
      </c>
      <c r="T38" s="33" t="n">
        <f aca="false">Staff!T66/FX_EUR</f>
        <v>0</v>
      </c>
      <c r="U38" s="33" t="n">
        <f aca="false">Staff!U66/FX_EUR</f>
        <v>0</v>
      </c>
      <c r="V38" s="33" t="n">
        <f aca="false">Staff!V66/FX_EUR</f>
        <v>0</v>
      </c>
      <c r="W38" s="33" t="n">
        <f aca="false">Staff!W66/FX_EUR</f>
        <v>0</v>
      </c>
      <c r="X38" s="33" t="n">
        <f aca="false">Staff!X66/FX_EUR</f>
        <v>0</v>
      </c>
      <c r="Y38" s="33" t="n">
        <f aca="false">Staff!Y66/FX_EUR</f>
        <v>0</v>
      </c>
      <c r="Z38" s="33" t="n">
        <f aca="false">Staff!Z66/FX_EUR</f>
        <v>0</v>
      </c>
      <c r="AA38" s="33" t="n">
        <f aca="false">Staff!AA66/FX_EUR</f>
        <v>0</v>
      </c>
      <c r="AB38" s="33" t="n">
        <f aca="false">Staff!AB66/FX_EUR</f>
        <v>0</v>
      </c>
      <c r="AC38" s="33" t="n">
        <f aca="false">Staff!AC66/FX_EUR</f>
        <v>0</v>
      </c>
      <c r="AD38" s="33" t="n">
        <f aca="false">Staff!AD66/FX_EUR</f>
        <v>0</v>
      </c>
      <c r="AE38" s="33" t="n">
        <f aca="false">Staff!AE66/FX_EUR</f>
        <v>0</v>
      </c>
      <c r="AF38" s="33" t="n">
        <f aca="false">Staff!AF66/FX_EUR</f>
        <v>0</v>
      </c>
      <c r="AG38" s="33" t="n">
        <f aca="false">Staff!AG66/FX_EUR</f>
        <v>0</v>
      </c>
      <c r="AH38" s="33" t="n">
        <f aca="false">Staff!AH66/FX_EUR</f>
        <v>0</v>
      </c>
      <c r="AI38" s="33" t="n">
        <f aca="false">Staff!AI66/FX_EUR</f>
        <v>0</v>
      </c>
      <c r="AJ38" s="33" t="n">
        <f aca="false">Staff!AJ66/FX_EUR</f>
        <v>0</v>
      </c>
      <c r="AK38" s="33" t="n">
        <f aca="false">Staff!AK66/FX_EUR</f>
        <v>0</v>
      </c>
      <c r="AL38" s="33" t="n">
        <f aca="false">Staff!AL66/FX_EUR</f>
        <v>0</v>
      </c>
      <c r="AM38" s="33" t="n">
        <f aca="false">Staff!AM66/FX_EUR</f>
        <v>0</v>
      </c>
      <c r="AN38" s="33" t="n">
        <f aca="false">Staff!AN66/FX_EUR</f>
        <v>0</v>
      </c>
      <c r="AO38" s="33" t="n">
        <f aca="false">Staff!AO66/FX_EUR</f>
        <v>0</v>
      </c>
      <c r="AP38" s="33" t="n">
        <f aca="false">Staff!AP66/FX_EUR</f>
        <v>0</v>
      </c>
      <c r="AQ38" s="33" t="n">
        <f aca="false">Staff!AQ66/FX_EUR</f>
        <v>0</v>
      </c>
      <c r="AR38" s="33" t="n">
        <f aca="false">Staff!AR66/FX_EUR</f>
        <v>0</v>
      </c>
      <c r="AS38" s="33" t="n">
        <f aca="false">Staff!AS66/FX_EUR</f>
        <v>0</v>
      </c>
      <c r="AT38" s="33" t="n">
        <f aca="false">Staff!AT66/FX_EUR</f>
        <v>0</v>
      </c>
      <c r="AU38" s="33" t="n">
        <f aca="false">Staff!AU66/FX_EUR</f>
        <v>0</v>
      </c>
      <c r="AV38" s="33" t="n">
        <f aca="false">Staff!AV66/FX_EUR</f>
        <v>0</v>
      </c>
      <c r="AW38" s="33" t="n">
        <f aca="false">Staff!AW66/FX_EUR</f>
        <v>0</v>
      </c>
      <c r="AX38" s="33" t="n">
        <f aca="false">Staff!AX66/FX_EUR</f>
        <v>0</v>
      </c>
      <c r="AY38" s="33" t="n">
        <f aca="false">Staff!AY66/FX_EUR</f>
        <v>0</v>
      </c>
      <c r="AZ38" s="33" t="n">
        <f aca="false">Staff!AZ66/FX_EUR</f>
        <v>0</v>
      </c>
      <c r="BA38" s="33" t="n">
        <f aca="false">Staff!BA66/FX_EUR</f>
        <v>0</v>
      </c>
      <c r="BB38" s="33" t="n">
        <f aca="false">Staff!BB66/FX_EUR</f>
        <v>0</v>
      </c>
      <c r="BC38" s="33" t="n">
        <f aca="false">Staff!BC66/FX_EUR</f>
        <v>0</v>
      </c>
      <c r="BD38" s="33" t="n">
        <f aca="false">Staff!BD66/FX_EUR</f>
        <v>0</v>
      </c>
      <c r="BE38" s="33" t="n">
        <f aca="false">Staff!BE66/FX_EUR</f>
        <v>0</v>
      </c>
      <c r="BF38" s="33" t="n">
        <f aca="false">Staff!BF66/FX_EUR</f>
        <v>0</v>
      </c>
      <c r="BG38" s="33" t="n">
        <f aca="false">Staff!BG66/FX_EUR</f>
        <v>0</v>
      </c>
      <c r="BH38" s="33" t="n">
        <f aca="false">Staff!BH66/FX_EUR</f>
        <v>0</v>
      </c>
      <c r="BI38" s="33" t="n">
        <f aca="false">Staff!BI66/FX_EUR</f>
        <v>0</v>
      </c>
      <c r="BJ38" s="33" t="n">
        <f aca="false">Staff!BJ66/FX_EUR</f>
        <v>0</v>
      </c>
      <c r="BK38" s="33" t="n">
        <f aca="false">Staff!BK66/FX_EUR</f>
        <v>0</v>
      </c>
      <c r="BL38" s="33" t="n">
        <f aca="false">Staff!BL66/FX_EUR</f>
        <v>0</v>
      </c>
    </row>
    <row r="40" customFormat="false" ht="15" hidden="false" customHeight="true" outlineLevel="0" collapsed="false">
      <c r="A40" s="11" t="s">
        <v>1136</v>
      </c>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row>
    <row r="41" customFormat="false" ht="15" hidden="false" customHeight="true" outlineLevel="0" collapsed="false">
      <c r="A41" s="13" t="s">
        <v>1142</v>
      </c>
      <c r="B41" s="15" t="s">
        <v>79</v>
      </c>
      <c r="D41" s="56" t="n">
        <f aca="false">Staff!D74/FX_EUR</f>
        <v>382345.144803699</v>
      </c>
      <c r="E41" s="33" t="n">
        <f aca="false">Staff!E74/FX_EUR</f>
        <v>0</v>
      </c>
      <c r="F41" s="33" t="n">
        <f aca="false">Staff!F74/FX_EUR</f>
        <v>0</v>
      </c>
      <c r="G41" s="33" t="n">
        <f aca="false">Staff!G74/FX_EUR</f>
        <v>0</v>
      </c>
      <c r="H41" s="33" t="n">
        <f aca="false">Staff!H74/FX_EUR</f>
        <v>1109.82884548835</v>
      </c>
      <c r="I41" s="33" t="n">
        <f aca="false">Staff!I74/FX_EUR</f>
        <v>1109.82884548835</v>
      </c>
      <c r="J41" s="33" t="n">
        <f aca="false">Staff!J74/FX_EUR</f>
        <v>1109.82884548835</v>
      </c>
      <c r="K41" s="33" t="n">
        <f aca="false">Staff!K74/FX_EUR</f>
        <v>1109.82884548835</v>
      </c>
      <c r="L41" s="33" t="n">
        <f aca="false">Staff!L74/FX_EUR</f>
        <v>1109.82884548835</v>
      </c>
      <c r="M41" s="33" t="n">
        <f aca="false">Staff!M74/FX_EUR</f>
        <v>1109.82884548835</v>
      </c>
      <c r="N41" s="33" t="n">
        <f aca="false">Staff!N74/FX_EUR</f>
        <v>1109.82884548835</v>
      </c>
      <c r="O41" s="33" t="n">
        <f aca="false">Staff!O74/FX_EUR</f>
        <v>1109.82884548835</v>
      </c>
      <c r="P41" s="33" t="n">
        <f aca="false">Staff!P74/FX_EUR</f>
        <v>1109.82884548835</v>
      </c>
      <c r="Q41" s="33" t="n">
        <f aca="false">Staff!Q74/FX_EUR</f>
        <v>1165.32028776277</v>
      </c>
      <c r="R41" s="33" t="n">
        <f aca="false">Staff!R74/FX_EUR</f>
        <v>1165.32028776277</v>
      </c>
      <c r="S41" s="33" t="n">
        <f aca="false">Staff!S74/FX_EUR</f>
        <v>1165.32028776277</v>
      </c>
      <c r="T41" s="33" t="n">
        <f aca="false">Staff!T74/FX_EUR</f>
        <v>1165.32028776277</v>
      </c>
      <c r="U41" s="33" t="n">
        <f aca="false">Staff!U74/FX_EUR</f>
        <v>1165.32028776277</v>
      </c>
      <c r="V41" s="33" t="n">
        <f aca="false">Staff!V74/FX_EUR</f>
        <v>1165.32028776277</v>
      </c>
      <c r="W41" s="33" t="n">
        <f aca="false">Staff!W74/FX_EUR</f>
        <v>1165.32028776277</v>
      </c>
      <c r="X41" s="33" t="n">
        <f aca="false">Staff!X74/FX_EUR</f>
        <v>1165.32028776277</v>
      </c>
      <c r="Y41" s="33" t="n">
        <f aca="false">Staff!Y74/FX_EUR</f>
        <v>1747.98043164415</v>
      </c>
      <c r="Z41" s="33" t="n">
        <f aca="false">Staff!Z74/FX_EUR</f>
        <v>1747.98043164415</v>
      </c>
      <c r="AA41" s="33" t="n">
        <f aca="false">Staff!AA74/FX_EUR</f>
        <v>1747.98043164415</v>
      </c>
      <c r="AB41" s="33" t="n">
        <f aca="false">Staff!AB74/FX_EUR</f>
        <v>1747.98043164415</v>
      </c>
      <c r="AC41" s="33" t="n">
        <f aca="false">Staff!AC74/FX_EUR</f>
        <v>2447.17260430181</v>
      </c>
      <c r="AD41" s="33" t="n">
        <f aca="false">Staff!AD74/FX_EUR</f>
        <v>2447.17260430181</v>
      </c>
      <c r="AE41" s="33" t="n">
        <f aca="false">Staff!AE74/FX_EUR</f>
        <v>2447.17260430181</v>
      </c>
      <c r="AF41" s="33" t="n">
        <f aca="false">Staff!AF74/FX_EUR</f>
        <v>3058.96575537726</v>
      </c>
      <c r="AG41" s="33" t="n">
        <f aca="false">Staff!AG74/FX_EUR</f>
        <v>4282.55205752816</v>
      </c>
      <c r="AH41" s="33" t="n">
        <f aca="false">Staff!AH74/FX_EUR</f>
        <v>4282.55205752816</v>
      </c>
      <c r="AI41" s="33" t="n">
        <f aca="false">Staff!AI74/FX_EUR</f>
        <v>4894.34520860361</v>
      </c>
      <c r="AJ41" s="33" t="n">
        <f aca="false">Staff!AJ74/FX_EUR</f>
        <v>4894.34520860361</v>
      </c>
      <c r="AK41" s="33" t="n">
        <f aca="false">Staff!AK74/FX_EUR</f>
        <v>5506.13835967907</v>
      </c>
      <c r="AL41" s="33" t="n">
        <f aca="false">Staff!AL74/FX_EUR</f>
        <v>5506.13835967907</v>
      </c>
      <c r="AM41" s="33" t="n">
        <f aca="false">Staff!AM74/FX_EUR</f>
        <v>6117.93151075452</v>
      </c>
      <c r="AN41" s="33" t="n">
        <f aca="false">Staff!AN74/FX_EUR</f>
        <v>6117.93151075452</v>
      </c>
      <c r="AO41" s="33" t="n">
        <f aca="false">Staff!AO74/FX_EUR</f>
        <v>7066.21089492147</v>
      </c>
      <c r="AP41" s="33" t="n">
        <f aca="false">Staff!AP74/FX_EUR</f>
        <v>7066.21089492147</v>
      </c>
      <c r="AQ41" s="33" t="n">
        <f aca="false">Staff!AQ74/FX_EUR</f>
        <v>7708.59370355069</v>
      </c>
      <c r="AR41" s="33" t="n">
        <f aca="false">Staff!AR74/FX_EUR</f>
        <v>8350.97651217992</v>
      </c>
      <c r="AS41" s="33" t="n">
        <f aca="false">Staff!AS74/FX_EUR</f>
        <v>8350.97651217992</v>
      </c>
      <c r="AT41" s="33" t="n">
        <f aca="false">Staff!AT74/FX_EUR</f>
        <v>8993.35932080914</v>
      </c>
      <c r="AU41" s="33" t="n">
        <f aca="false">Staff!AU74/FX_EUR</f>
        <v>9635.74212943836</v>
      </c>
      <c r="AV41" s="33" t="n">
        <f aca="false">Staff!AV74/FX_EUR</f>
        <v>9635.74212943836</v>
      </c>
      <c r="AW41" s="33" t="n">
        <f aca="false">Staff!AW74/FX_EUR</f>
        <v>10278.1249380676</v>
      </c>
      <c r="AX41" s="33" t="n">
        <f aca="false">Staff!AX74/FX_EUR</f>
        <v>10920.5077466968</v>
      </c>
      <c r="AY41" s="33" t="n">
        <f aca="false">Staff!AY74/FX_EUR</f>
        <v>11562.890555326</v>
      </c>
      <c r="AZ41" s="33" t="n">
        <f aca="false">Staff!AZ74/FX_EUR</f>
        <v>11562.890555326</v>
      </c>
      <c r="BA41" s="33" t="n">
        <f aca="false">Staff!BA74/FX_EUR</f>
        <v>12815.537032153</v>
      </c>
      <c r="BB41" s="33" t="n">
        <f aca="false">Staff!BB74/FX_EUR</f>
        <v>13490.0389812137</v>
      </c>
      <c r="BC41" s="33" t="n">
        <f aca="false">Staff!BC74/FX_EUR</f>
        <v>14164.5409302744</v>
      </c>
      <c r="BD41" s="33" t="n">
        <f aca="false">Staff!BD74/FX_EUR</f>
        <v>14839.0428793351</v>
      </c>
      <c r="BE41" s="33" t="n">
        <f aca="false">Staff!BE74/FX_EUR</f>
        <v>14839.0428793351</v>
      </c>
      <c r="BF41" s="33" t="n">
        <f aca="false">Staff!BF74/FX_EUR</f>
        <v>15513.5448283958</v>
      </c>
      <c r="BG41" s="33" t="n">
        <f aca="false">Staff!BG74/FX_EUR</f>
        <v>16188.0467774565</v>
      </c>
      <c r="BH41" s="33" t="n">
        <f aca="false">Staff!BH74/FX_EUR</f>
        <v>16862.5487265171</v>
      </c>
      <c r="BI41" s="33" t="n">
        <f aca="false">Staff!BI74/FX_EUR</f>
        <v>17537.0506755778</v>
      </c>
      <c r="BJ41" s="33" t="n">
        <f aca="false">Staff!BJ74/FX_EUR</f>
        <v>18211.5526246385</v>
      </c>
      <c r="BK41" s="33" t="n">
        <f aca="false">Staff!BK74/FX_EUR</f>
        <v>18886.0545736992</v>
      </c>
      <c r="BL41" s="33" t="n">
        <f aca="false">Staff!BL74/FX_EUR</f>
        <v>19560.5565227599</v>
      </c>
    </row>
    <row r="42" customFormat="false" ht="15" hidden="false" customHeight="true" outlineLevel="0" collapsed="false">
      <c r="A42" s="13" t="s">
        <v>1143</v>
      </c>
      <c r="B42" s="15" t="s">
        <v>79</v>
      </c>
      <c r="D42" s="56" t="n">
        <f aca="false">Staff!D75/FX_EUR</f>
        <v>515317.78569327</v>
      </c>
      <c r="E42" s="33" t="n">
        <f aca="false">Staff!E75/FX_EUR</f>
        <v>4756.4093378072</v>
      </c>
      <c r="F42" s="33" t="n">
        <f aca="false">Staff!F75/FX_EUR</f>
        <v>4756.4093378072</v>
      </c>
      <c r="G42" s="33" t="n">
        <f aca="false">Staff!G75/FX_EUR</f>
        <v>4756.4093378072</v>
      </c>
      <c r="H42" s="33" t="n">
        <f aca="false">Staff!H75/FX_EUR</f>
        <v>4756.4093378072</v>
      </c>
      <c r="I42" s="33" t="n">
        <f aca="false">Staff!I75/FX_EUR</f>
        <v>4756.4093378072</v>
      </c>
      <c r="J42" s="33" t="n">
        <f aca="false">Staff!J75/FX_EUR</f>
        <v>4756.4093378072</v>
      </c>
      <c r="K42" s="33" t="n">
        <f aca="false">Staff!K75/FX_EUR</f>
        <v>4756.4093378072</v>
      </c>
      <c r="L42" s="33" t="n">
        <f aca="false">Staff!L75/FX_EUR</f>
        <v>4756.4093378072</v>
      </c>
      <c r="M42" s="33" t="n">
        <f aca="false">Staff!M75/FX_EUR</f>
        <v>4756.4093378072</v>
      </c>
      <c r="N42" s="33" t="n">
        <f aca="false">Staff!N75/FX_EUR</f>
        <v>4756.4093378072</v>
      </c>
      <c r="O42" s="33" t="n">
        <f aca="false">Staff!O75/FX_EUR</f>
        <v>4756.4093378072</v>
      </c>
      <c r="P42" s="33" t="n">
        <f aca="false">Staff!P75/FX_EUR</f>
        <v>4756.4093378072</v>
      </c>
      <c r="Q42" s="33" t="n">
        <f aca="false">Staff!Q75/FX_EUR</f>
        <v>4994.22980469756</v>
      </c>
      <c r="R42" s="33" t="n">
        <f aca="false">Staff!R75/FX_EUR</f>
        <v>4994.22980469756</v>
      </c>
      <c r="S42" s="33" t="n">
        <f aca="false">Staff!S75/FX_EUR</f>
        <v>4994.22980469756</v>
      </c>
      <c r="T42" s="33" t="n">
        <f aca="false">Staff!T75/FX_EUR</f>
        <v>4994.22980469756</v>
      </c>
      <c r="U42" s="33" t="n">
        <f aca="false">Staff!U75/FX_EUR</f>
        <v>4994.22980469756</v>
      </c>
      <c r="V42" s="33" t="n">
        <f aca="false">Staff!V75/FX_EUR</f>
        <v>4994.22980469756</v>
      </c>
      <c r="W42" s="33" t="n">
        <f aca="false">Staff!W75/FX_EUR</f>
        <v>4994.22980469756</v>
      </c>
      <c r="X42" s="33" t="n">
        <f aca="false">Staff!X75/FX_EUR</f>
        <v>4994.22980469756</v>
      </c>
      <c r="Y42" s="33" t="n">
        <f aca="false">Staff!Y75/FX_EUR</f>
        <v>4994.22980469756</v>
      </c>
      <c r="Z42" s="33" t="n">
        <f aca="false">Staff!Z75/FX_EUR</f>
        <v>4994.22980469756</v>
      </c>
      <c r="AA42" s="33" t="n">
        <f aca="false">Staff!AA75/FX_EUR</f>
        <v>4994.22980469756</v>
      </c>
      <c r="AB42" s="33" t="n">
        <f aca="false">Staff!AB75/FX_EUR</f>
        <v>4994.22980469756</v>
      </c>
      <c r="AC42" s="33" t="n">
        <f aca="false">Staff!AC75/FX_EUR</f>
        <v>5243.94129493244</v>
      </c>
      <c r="AD42" s="33" t="n">
        <f aca="false">Staff!AD75/FX_EUR</f>
        <v>5243.94129493244</v>
      </c>
      <c r="AE42" s="33" t="n">
        <f aca="false">Staff!AE75/FX_EUR</f>
        <v>5243.94129493244</v>
      </c>
      <c r="AF42" s="33" t="n">
        <f aca="false">Staff!AF75/FX_EUR</f>
        <v>7865.91194239866</v>
      </c>
      <c r="AG42" s="33" t="n">
        <f aca="false">Staff!AG75/FX_EUR</f>
        <v>7865.91194239866</v>
      </c>
      <c r="AH42" s="33" t="n">
        <f aca="false">Staff!AH75/FX_EUR</f>
        <v>7865.91194239866</v>
      </c>
      <c r="AI42" s="33" t="n">
        <f aca="false">Staff!AI75/FX_EUR</f>
        <v>7865.91194239866</v>
      </c>
      <c r="AJ42" s="33" t="n">
        <f aca="false">Staff!AJ75/FX_EUR</f>
        <v>7865.91194239866</v>
      </c>
      <c r="AK42" s="33" t="n">
        <f aca="false">Staff!AK75/FX_EUR</f>
        <v>7865.91194239866</v>
      </c>
      <c r="AL42" s="33" t="n">
        <f aca="false">Staff!AL75/FX_EUR</f>
        <v>7865.91194239866</v>
      </c>
      <c r="AM42" s="33" t="n">
        <f aca="false">Staff!AM75/FX_EUR</f>
        <v>7865.91194239866</v>
      </c>
      <c r="AN42" s="33" t="n">
        <f aca="false">Staff!AN75/FX_EUR</f>
        <v>7865.91194239866</v>
      </c>
      <c r="AO42" s="33" t="n">
        <f aca="false">Staff!AO75/FX_EUR</f>
        <v>8259.2075395186</v>
      </c>
      <c r="AP42" s="33" t="n">
        <f aca="false">Staff!AP75/FX_EUR</f>
        <v>8259.2075395186</v>
      </c>
      <c r="AQ42" s="33" t="n">
        <f aca="false">Staff!AQ75/FX_EUR</f>
        <v>8259.2075395186</v>
      </c>
      <c r="AR42" s="33" t="n">
        <f aca="false">Staff!AR75/FX_EUR</f>
        <v>11012.2767193581</v>
      </c>
      <c r="AS42" s="33" t="n">
        <f aca="false">Staff!AS75/FX_EUR</f>
        <v>11012.2767193581</v>
      </c>
      <c r="AT42" s="33" t="n">
        <f aca="false">Staff!AT75/FX_EUR</f>
        <v>11012.2767193581</v>
      </c>
      <c r="AU42" s="33" t="n">
        <f aca="false">Staff!AU75/FX_EUR</f>
        <v>11012.2767193581</v>
      </c>
      <c r="AV42" s="33" t="n">
        <f aca="false">Staff!AV75/FX_EUR</f>
        <v>11012.2767193581</v>
      </c>
      <c r="AW42" s="33" t="n">
        <f aca="false">Staff!AW75/FX_EUR</f>
        <v>11012.2767193581</v>
      </c>
      <c r="AX42" s="33" t="n">
        <f aca="false">Staff!AX75/FX_EUR</f>
        <v>11012.2767193581</v>
      </c>
      <c r="AY42" s="33" t="n">
        <f aca="false">Staff!AY75/FX_EUR</f>
        <v>11012.2767193581</v>
      </c>
      <c r="AZ42" s="33" t="n">
        <f aca="false">Staff!AZ75/FX_EUR</f>
        <v>11012.2767193581</v>
      </c>
      <c r="BA42" s="33" t="n">
        <f aca="false">Staff!BA75/FX_EUR</f>
        <v>14453.6131941575</v>
      </c>
      <c r="BB42" s="33" t="n">
        <f aca="false">Staff!BB75/FX_EUR</f>
        <v>14453.6131941575</v>
      </c>
      <c r="BC42" s="33" t="n">
        <f aca="false">Staff!BC75/FX_EUR</f>
        <v>14453.6131941575</v>
      </c>
      <c r="BD42" s="33" t="n">
        <f aca="false">Staff!BD75/FX_EUR</f>
        <v>14453.6131941575</v>
      </c>
      <c r="BE42" s="33" t="n">
        <f aca="false">Staff!BE75/FX_EUR</f>
        <v>14453.6131941575</v>
      </c>
      <c r="BF42" s="33" t="n">
        <f aca="false">Staff!BF75/FX_EUR</f>
        <v>14453.6131941575</v>
      </c>
      <c r="BG42" s="33" t="n">
        <f aca="false">Staff!BG75/FX_EUR</f>
        <v>14453.6131941575</v>
      </c>
      <c r="BH42" s="33" t="n">
        <f aca="false">Staff!BH75/FX_EUR</f>
        <v>17344.3358329891</v>
      </c>
      <c r="BI42" s="33" t="n">
        <f aca="false">Staff!BI75/FX_EUR</f>
        <v>17344.3358329891</v>
      </c>
      <c r="BJ42" s="33" t="n">
        <f aca="false">Staff!BJ75/FX_EUR</f>
        <v>17344.3358329891</v>
      </c>
      <c r="BK42" s="33" t="n">
        <f aca="false">Staff!BK75/FX_EUR</f>
        <v>17344.3358329891</v>
      </c>
      <c r="BL42" s="33" t="n">
        <f aca="false">Staff!BL75/FX_EUR</f>
        <v>17344.3358329891</v>
      </c>
    </row>
    <row r="43" customFormat="false" ht="15" hidden="false" customHeight="true" outlineLevel="0" collapsed="false">
      <c r="A43" s="13" t="s">
        <v>1144</v>
      </c>
      <c r="B43" s="15" t="s">
        <v>79</v>
      </c>
      <c r="D43" s="56" t="n">
        <f aca="false">Staff!D76/FX_EUR</f>
        <v>340727.775982267</v>
      </c>
      <c r="E43" s="33" t="n">
        <f aca="false">Staff!E76/FX_EUR</f>
        <v>0</v>
      </c>
      <c r="F43" s="33" t="n">
        <f aca="false">Staff!F76/FX_EUR</f>
        <v>0</v>
      </c>
      <c r="G43" s="33" t="n">
        <f aca="false">Staff!G76/FX_EUR</f>
        <v>0</v>
      </c>
      <c r="H43" s="33" t="n">
        <f aca="false">Staff!H76/FX_EUR</f>
        <v>1585.46977926907</v>
      </c>
      <c r="I43" s="33" t="n">
        <f aca="false">Staff!I76/FX_EUR</f>
        <v>1585.46977926907</v>
      </c>
      <c r="J43" s="33" t="n">
        <f aca="false">Staff!J76/FX_EUR</f>
        <v>1585.46977926907</v>
      </c>
      <c r="K43" s="33" t="n">
        <f aca="false">Staff!K76/FX_EUR</f>
        <v>1585.46977926907</v>
      </c>
      <c r="L43" s="33" t="n">
        <f aca="false">Staff!L76/FX_EUR</f>
        <v>1585.46977926907</v>
      </c>
      <c r="M43" s="33" t="n">
        <f aca="false">Staff!M76/FX_EUR</f>
        <v>1585.46977926907</v>
      </c>
      <c r="N43" s="33" t="n">
        <f aca="false">Staff!N76/FX_EUR</f>
        <v>1585.46977926907</v>
      </c>
      <c r="O43" s="33" t="n">
        <f aca="false">Staff!O76/FX_EUR</f>
        <v>1585.46977926907</v>
      </c>
      <c r="P43" s="33" t="n">
        <f aca="false">Staff!P76/FX_EUR</f>
        <v>1585.46977926907</v>
      </c>
      <c r="Q43" s="33" t="n">
        <f aca="false">Staff!Q76/FX_EUR</f>
        <v>1664.74326823252</v>
      </c>
      <c r="R43" s="33" t="n">
        <f aca="false">Staff!R76/FX_EUR</f>
        <v>1664.74326823252</v>
      </c>
      <c r="S43" s="33" t="n">
        <f aca="false">Staff!S76/FX_EUR</f>
        <v>1664.74326823252</v>
      </c>
      <c r="T43" s="33" t="n">
        <f aca="false">Staff!T76/FX_EUR</f>
        <v>1664.74326823252</v>
      </c>
      <c r="U43" s="33" t="n">
        <f aca="false">Staff!U76/FX_EUR</f>
        <v>1664.74326823252</v>
      </c>
      <c r="V43" s="33" t="n">
        <f aca="false">Staff!V76/FX_EUR</f>
        <v>1664.74326823252</v>
      </c>
      <c r="W43" s="33" t="n">
        <f aca="false">Staff!W76/FX_EUR</f>
        <v>1664.74326823252</v>
      </c>
      <c r="X43" s="33" t="n">
        <f aca="false">Staff!X76/FX_EUR</f>
        <v>2497.11490234878</v>
      </c>
      <c r="Y43" s="33" t="n">
        <f aca="false">Staff!Y76/FX_EUR</f>
        <v>2497.11490234878</v>
      </c>
      <c r="Z43" s="33" t="n">
        <f aca="false">Staff!Z76/FX_EUR</f>
        <v>2497.11490234878</v>
      </c>
      <c r="AA43" s="33" t="n">
        <f aca="false">Staff!AA76/FX_EUR</f>
        <v>2497.11490234878</v>
      </c>
      <c r="AB43" s="33" t="n">
        <f aca="false">Staff!AB76/FX_EUR</f>
        <v>2497.11490234878</v>
      </c>
      <c r="AC43" s="33" t="n">
        <f aca="false">Staff!AC76/FX_EUR</f>
        <v>2621.97064746622</v>
      </c>
      <c r="AD43" s="33" t="n">
        <f aca="false">Staff!AD76/FX_EUR</f>
        <v>3495.9608632883</v>
      </c>
      <c r="AE43" s="33" t="n">
        <f aca="false">Staff!AE76/FX_EUR</f>
        <v>3495.9608632883</v>
      </c>
      <c r="AF43" s="33" t="n">
        <f aca="false">Staff!AF76/FX_EUR</f>
        <v>3495.9608632883</v>
      </c>
      <c r="AG43" s="33" t="n">
        <f aca="false">Staff!AG76/FX_EUR</f>
        <v>3495.9608632883</v>
      </c>
      <c r="AH43" s="33" t="n">
        <f aca="false">Staff!AH76/FX_EUR</f>
        <v>4369.95107911037</v>
      </c>
      <c r="AI43" s="33" t="n">
        <f aca="false">Staff!AI76/FX_EUR</f>
        <v>4369.95107911037</v>
      </c>
      <c r="AJ43" s="33" t="n">
        <f aca="false">Staff!AJ76/FX_EUR</f>
        <v>4369.95107911037</v>
      </c>
      <c r="AK43" s="33" t="n">
        <f aca="false">Staff!AK76/FX_EUR</f>
        <v>4369.95107911037</v>
      </c>
      <c r="AL43" s="33" t="n">
        <f aca="false">Staff!AL76/FX_EUR</f>
        <v>5243.94129493244</v>
      </c>
      <c r="AM43" s="33" t="n">
        <f aca="false">Staff!AM76/FX_EUR</f>
        <v>5243.94129493244</v>
      </c>
      <c r="AN43" s="33" t="n">
        <f aca="false">Staff!AN76/FX_EUR</f>
        <v>5243.94129493244</v>
      </c>
      <c r="AO43" s="33" t="n">
        <f aca="false">Staff!AO76/FX_EUR</f>
        <v>6423.82808629224</v>
      </c>
      <c r="AP43" s="33" t="n">
        <f aca="false">Staff!AP76/FX_EUR</f>
        <v>6423.82808629224</v>
      </c>
      <c r="AQ43" s="33" t="n">
        <f aca="false">Staff!AQ76/FX_EUR</f>
        <v>6423.82808629224</v>
      </c>
      <c r="AR43" s="33" t="n">
        <f aca="false">Staff!AR76/FX_EUR</f>
        <v>7341.51781290542</v>
      </c>
      <c r="AS43" s="33" t="n">
        <f aca="false">Staff!AS76/FX_EUR</f>
        <v>7341.51781290542</v>
      </c>
      <c r="AT43" s="33" t="n">
        <f aca="false">Staff!AT76/FX_EUR</f>
        <v>7341.51781290542</v>
      </c>
      <c r="AU43" s="33" t="n">
        <f aca="false">Staff!AU76/FX_EUR</f>
        <v>8259.2075395186</v>
      </c>
      <c r="AV43" s="33" t="n">
        <f aca="false">Staff!AV76/FX_EUR</f>
        <v>8259.2075395186</v>
      </c>
      <c r="AW43" s="33" t="n">
        <f aca="false">Staff!AW76/FX_EUR</f>
        <v>9176.89726613178</v>
      </c>
      <c r="AX43" s="33" t="n">
        <f aca="false">Staff!AX76/FX_EUR</f>
        <v>9176.89726613178</v>
      </c>
      <c r="AY43" s="33" t="n">
        <f aca="false">Staff!AY76/FX_EUR</f>
        <v>9176.89726613178</v>
      </c>
      <c r="AZ43" s="33" t="n">
        <f aca="false">Staff!AZ76/FX_EUR</f>
        <v>10094.586992745</v>
      </c>
      <c r="BA43" s="33" t="n">
        <f aca="false">Staff!BA76/FX_EUR</f>
        <v>10599.3163423822</v>
      </c>
      <c r="BB43" s="33" t="n">
        <f aca="false">Staff!BB76/FX_EUR</f>
        <v>11562.890555326</v>
      </c>
      <c r="BC43" s="33" t="n">
        <f aca="false">Staff!BC76/FX_EUR</f>
        <v>11562.890555326</v>
      </c>
      <c r="BD43" s="33" t="n">
        <f aca="false">Staff!BD76/FX_EUR</f>
        <v>11562.890555326</v>
      </c>
      <c r="BE43" s="33" t="n">
        <f aca="false">Staff!BE76/FX_EUR</f>
        <v>12526.4647682699</v>
      </c>
      <c r="BF43" s="33" t="n">
        <f aca="false">Staff!BF76/FX_EUR</f>
        <v>12526.4647682699</v>
      </c>
      <c r="BG43" s="33" t="n">
        <f aca="false">Staff!BG76/FX_EUR</f>
        <v>13490.0389812137</v>
      </c>
      <c r="BH43" s="33" t="n">
        <f aca="false">Staff!BH76/FX_EUR</f>
        <v>13490.0389812137</v>
      </c>
      <c r="BI43" s="33" t="n">
        <f aca="false">Staff!BI76/FX_EUR</f>
        <v>14453.6131941575</v>
      </c>
      <c r="BJ43" s="33" t="n">
        <f aca="false">Staff!BJ76/FX_EUR</f>
        <v>14453.6131941575</v>
      </c>
      <c r="BK43" s="33" t="n">
        <f aca="false">Staff!BK76/FX_EUR</f>
        <v>15417.1874071014</v>
      </c>
      <c r="BL43" s="33" t="n">
        <f aca="false">Staff!BL76/FX_EUR</f>
        <v>15417.1874071014</v>
      </c>
    </row>
    <row r="44" customFormat="false" ht="15" hidden="false" customHeight="true" outlineLevel="0" collapsed="false">
      <c r="A44" s="13" t="s">
        <v>1145</v>
      </c>
      <c r="B44" s="15" t="s">
        <v>79</v>
      </c>
      <c r="D44" s="56" t="n">
        <f aca="false">Staff!D77/FX_EUR</f>
        <v>163385.642799376</v>
      </c>
      <c r="E44" s="33" t="n">
        <f aca="false">Staff!E77/FX_EUR</f>
        <v>0</v>
      </c>
      <c r="F44" s="33" t="n">
        <f aca="false">Staff!F77/FX_EUR</f>
        <v>0</v>
      </c>
      <c r="G44" s="33" t="n">
        <f aca="false">Staff!G77/FX_EUR</f>
        <v>0</v>
      </c>
      <c r="H44" s="33" t="n">
        <f aca="false">Staff!H77/FX_EUR</f>
        <v>0</v>
      </c>
      <c r="I44" s="33" t="n">
        <f aca="false">Staff!I77/FX_EUR</f>
        <v>0</v>
      </c>
      <c r="J44" s="33" t="n">
        <f aca="false">Staff!J77/FX_EUR</f>
        <v>0</v>
      </c>
      <c r="K44" s="33" t="n">
        <f aca="false">Staff!K77/FX_EUR</f>
        <v>0</v>
      </c>
      <c r="L44" s="33" t="n">
        <f aca="false">Staff!L77/FX_EUR</f>
        <v>0</v>
      </c>
      <c r="M44" s="33" t="n">
        <f aca="false">Staff!M77/FX_EUR</f>
        <v>0</v>
      </c>
      <c r="N44" s="33" t="n">
        <f aca="false">Staff!N77/FX_EUR</f>
        <v>0</v>
      </c>
      <c r="O44" s="33" t="n">
        <f aca="false">Staff!O77/FX_EUR</f>
        <v>0</v>
      </c>
      <c r="P44" s="33" t="n">
        <f aca="false">Staff!P77/FX_EUR</f>
        <v>0</v>
      </c>
      <c r="Q44" s="33" t="n">
        <f aca="false">Staff!Q77/FX_EUR</f>
        <v>0</v>
      </c>
      <c r="R44" s="33" t="n">
        <f aca="false">Staff!R77/FX_EUR</f>
        <v>0</v>
      </c>
      <c r="S44" s="33" t="n">
        <f aca="false">Staff!S77/FX_EUR</f>
        <v>0</v>
      </c>
      <c r="T44" s="33" t="n">
        <f aca="false">Staff!T77/FX_EUR</f>
        <v>0</v>
      </c>
      <c r="U44" s="33" t="n">
        <f aca="false">Staff!U77/FX_EUR</f>
        <v>0</v>
      </c>
      <c r="V44" s="33" t="n">
        <f aca="false">Staff!V77/FX_EUR</f>
        <v>1872.83617676159</v>
      </c>
      <c r="W44" s="33" t="n">
        <f aca="false">Staff!W77/FX_EUR</f>
        <v>1872.83617676159</v>
      </c>
      <c r="X44" s="33" t="n">
        <f aca="false">Staff!X77/FX_EUR</f>
        <v>1872.83617676159</v>
      </c>
      <c r="Y44" s="33" t="n">
        <f aca="false">Staff!Y77/FX_EUR</f>
        <v>1872.83617676159</v>
      </c>
      <c r="Z44" s="33" t="n">
        <f aca="false">Staff!Z77/FX_EUR</f>
        <v>1872.83617676159</v>
      </c>
      <c r="AA44" s="33" t="n">
        <f aca="false">Staff!AA77/FX_EUR</f>
        <v>1872.83617676159</v>
      </c>
      <c r="AB44" s="33" t="n">
        <f aca="false">Staff!AB77/FX_EUR</f>
        <v>1872.83617676159</v>
      </c>
      <c r="AC44" s="33" t="n">
        <f aca="false">Staff!AC77/FX_EUR</f>
        <v>1966.47798559967</v>
      </c>
      <c r="AD44" s="33" t="n">
        <f aca="false">Staff!AD77/FX_EUR</f>
        <v>1966.47798559967</v>
      </c>
      <c r="AE44" s="33" t="n">
        <f aca="false">Staff!AE77/FX_EUR</f>
        <v>1966.47798559967</v>
      </c>
      <c r="AF44" s="33" t="n">
        <f aca="false">Staff!AF77/FX_EUR</f>
        <v>1966.47798559967</v>
      </c>
      <c r="AG44" s="33" t="n">
        <f aca="false">Staff!AG77/FX_EUR</f>
        <v>1966.47798559967</v>
      </c>
      <c r="AH44" s="33" t="n">
        <f aca="false">Staff!AH77/FX_EUR</f>
        <v>1966.47798559967</v>
      </c>
      <c r="AI44" s="33" t="n">
        <f aca="false">Staff!AI77/FX_EUR</f>
        <v>1966.47798559967</v>
      </c>
      <c r="AJ44" s="33" t="n">
        <f aca="false">Staff!AJ77/FX_EUR</f>
        <v>1966.47798559967</v>
      </c>
      <c r="AK44" s="33" t="n">
        <f aca="false">Staff!AK77/FX_EUR</f>
        <v>1966.47798559967</v>
      </c>
      <c r="AL44" s="33" t="n">
        <f aca="false">Staff!AL77/FX_EUR</f>
        <v>1966.47798559967</v>
      </c>
      <c r="AM44" s="33" t="n">
        <f aca="false">Staff!AM77/FX_EUR</f>
        <v>1966.47798559967</v>
      </c>
      <c r="AN44" s="33" t="n">
        <f aca="false">Staff!AN77/FX_EUR</f>
        <v>2949.7169783995</v>
      </c>
      <c r="AO44" s="33" t="n">
        <f aca="false">Staff!AO77/FX_EUR</f>
        <v>3097.20282731947</v>
      </c>
      <c r="AP44" s="33" t="n">
        <f aca="false">Staff!AP77/FX_EUR</f>
        <v>3097.20282731947</v>
      </c>
      <c r="AQ44" s="33" t="n">
        <f aca="false">Staff!AQ77/FX_EUR</f>
        <v>3097.20282731947</v>
      </c>
      <c r="AR44" s="33" t="n">
        <f aca="false">Staff!AR77/FX_EUR</f>
        <v>3097.20282731947</v>
      </c>
      <c r="AS44" s="33" t="n">
        <f aca="false">Staff!AS77/FX_EUR</f>
        <v>3097.20282731947</v>
      </c>
      <c r="AT44" s="33" t="n">
        <f aca="false">Staff!AT77/FX_EUR</f>
        <v>3097.20282731947</v>
      </c>
      <c r="AU44" s="33" t="n">
        <f aca="false">Staff!AU77/FX_EUR</f>
        <v>4129.6037697593</v>
      </c>
      <c r="AV44" s="33" t="n">
        <f aca="false">Staff!AV77/FX_EUR</f>
        <v>4129.6037697593</v>
      </c>
      <c r="AW44" s="33" t="n">
        <f aca="false">Staff!AW77/FX_EUR</f>
        <v>4129.6037697593</v>
      </c>
      <c r="AX44" s="33" t="n">
        <f aca="false">Staff!AX77/FX_EUR</f>
        <v>4129.6037697593</v>
      </c>
      <c r="AY44" s="33" t="n">
        <f aca="false">Staff!AY77/FX_EUR</f>
        <v>4129.6037697593</v>
      </c>
      <c r="AZ44" s="33" t="n">
        <f aca="false">Staff!AZ77/FX_EUR</f>
        <v>5162.00471219912</v>
      </c>
      <c r="BA44" s="33" t="n">
        <f aca="false">Staff!BA77/FX_EUR</f>
        <v>5420.10494780908</v>
      </c>
      <c r="BB44" s="33" t="n">
        <f aca="false">Staff!BB77/FX_EUR</f>
        <v>5420.10494780908</v>
      </c>
      <c r="BC44" s="33" t="n">
        <f aca="false">Staff!BC77/FX_EUR</f>
        <v>5420.10494780908</v>
      </c>
      <c r="BD44" s="33" t="n">
        <f aca="false">Staff!BD77/FX_EUR</f>
        <v>6504.1259373709</v>
      </c>
      <c r="BE44" s="33" t="n">
        <f aca="false">Staff!BE77/FX_EUR</f>
        <v>6504.1259373709</v>
      </c>
      <c r="BF44" s="33" t="n">
        <f aca="false">Staff!BF77/FX_EUR</f>
        <v>6504.1259373709</v>
      </c>
      <c r="BG44" s="33" t="n">
        <f aca="false">Staff!BG77/FX_EUR</f>
        <v>6504.1259373709</v>
      </c>
      <c r="BH44" s="33" t="n">
        <f aca="false">Staff!BH77/FX_EUR</f>
        <v>7588.14692693271</v>
      </c>
      <c r="BI44" s="33" t="n">
        <f aca="false">Staff!BI77/FX_EUR</f>
        <v>7588.14692693271</v>
      </c>
      <c r="BJ44" s="33" t="n">
        <f aca="false">Staff!BJ77/FX_EUR</f>
        <v>7588.14692693271</v>
      </c>
      <c r="BK44" s="33" t="n">
        <f aca="false">Staff!BK77/FX_EUR</f>
        <v>7588.14692693271</v>
      </c>
      <c r="BL44" s="33" t="n">
        <f aca="false">Staff!BL77/FX_EUR</f>
        <v>8672.16791649453</v>
      </c>
    </row>
    <row r="45" customFormat="false" ht="15" hidden="false" customHeight="true" outlineLevel="0" collapsed="false">
      <c r="A45" s="13" t="s">
        <v>1146</v>
      </c>
      <c r="B45" s="15" t="s">
        <v>79</v>
      </c>
      <c r="D45" s="56" t="n">
        <f aca="false">Staff!D78/FX_EUR</f>
        <v>227290.675875096</v>
      </c>
      <c r="E45" s="33" t="n">
        <f aca="false">Staff!E78/FX_EUR</f>
        <v>0</v>
      </c>
      <c r="F45" s="33" t="n">
        <f aca="false">Staff!F78/FX_EUR</f>
        <v>0</v>
      </c>
      <c r="G45" s="33" t="n">
        <f aca="false">Staff!G78/FX_EUR</f>
        <v>0</v>
      </c>
      <c r="H45" s="33" t="n">
        <f aca="false">Staff!H78/FX_EUR</f>
        <v>0</v>
      </c>
      <c r="I45" s="33" t="n">
        <f aca="false">Staff!I78/FX_EUR</f>
        <v>0</v>
      </c>
      <c r="J45" s="33" t="n">
        <f aca="false">Staff!J78/FX_EUR</f>
        <v>0</v>
      </c>
      <c r="K45" s="33" t="n">
        <f aca="false">Staff!K78/FX_EUR</f>
        <v>0</v>
      </c>
      <c r="L45" s="33" t="n">
        <f aca="false">Staff!L78/FX_EUR</f>
        <v>0</v>
      </c>
      <c r="M45" s="33" t="n">
        <f aca="false">Staff!M78/FX_EUR</f>
        <v>0</v>
      </c>
      <c r="N45" s="33" t="n">
        <f aca="false">Staff!N78/FX_EUR</f>
        <v>0</v>
      </c>
      <c r="O45" s="33" t="n">
        <f aca="false">Staff!O78/FX_EUR</f>
        <v>0</v>
      </c>
      <c r="P45" s="33" t="n">
        <f aca="false">Staff!P78/FX_EUR</f>
        <v>0</v>
      </c>
      <c r="Q45" s="33" t="n">
        <f aca="false">Staff!Q78/FX_EUR</f>
        <v>0</v>
      </c>
      <c r="R45" s="33" t="n">
        <f aca="false">Staff!R78/FX_EUR</f>
        <v>0</v>
      </c>
      <c r="S45" s="33" t="n">
        <f aca="false">Staff!S78/FX_EUR</f>
        <v>0</v>
      </c>
      <c r="T45" s="33" t="n">
        <f aca="false">Staff!T78/FX_EUR</f>
        <v>1248.55745117439</v>
      </c>
      <c r="U45" s="33" t="n">
        <f aca="false">Staff!U78/FX_EUR</f>
        <v>1248.55745117439</v>
      </c>
      <c r="V45" s="33" t="n">
        <f aca="false">Staff!V78/FX_EUR</f>
        <v>1248.55745117439</v>
      </c>
      <c r="W45" s="33" t="n">
        <f aca="false">Staff!W78/FX_EUR</f>
        <v>1248.55745117439</v>
      </c>
      <c r="X45" s="33" t="n">
        <f aca="false">Staff!X78/FX_EUR</f>
        <v>1248.55745117439</v>
      </c>
      <c r="Y45" s="33" t="n">
        <f aca="false">Staff!Y78/FX_EUR</f>
        <v>1248.55745117439</v>
      </c>
      <c r="Z45" s="33" t="n">
        <f aca="false">Staff!Z78/FX_EUR</f>
        <v>1248.55745117439</v>
      </c>
      <c r="AA45" s="33" t="n">
        <f aca="false">Staff!AA78/FX_EUR</f>
        <v>1248.55745117439</v>
      </c>
      <c r="AB45" s="33" t="n">
        <f aca="false">Staff!AB78/FX_EUR</f>
        <v>1248.55745117439</v>
      </c>
      <c r="AC45" s="33" t="n">
        <f aca="false">Staff!AC78/FX_EUR</f>
        <v>1310.98532373311</v>
      </c>
      <c r="AD45" s="33" t="n">
        <f aca="false">Staff!AD78/FX_EUR</f>
        <v>1310.98532373311</v>
      </c>
      <c r="AE45" s="33" t="n">
        <f aca="false">Staff!AE78/FX_EUR</f>
        <v>1310.98532373311</v>
      </c>
      <c r="AF45" s="33" t="n">
        <f aca="false">Staff!AF78/FX_EUR</f>
        <v>1310.98532373311</v>
      </c>
      <c r="AG45" s="33" t="n">
        <f aca="false">Staff!AG78/FX_EUR</f>
        <v>2621.97064746622</v>
      </c>
      <c r="AH45" s="33" t="n">
        <f aca="false">Staff!AH78/FX_EUR</f>
        <v>2621.97064746622</v>
      </c>
      <c r="AI45" s="33" t="n">
        <f aca="false">Staff!AI78/FX_EUR</f>
        <v>2621.97064746622</v>
      </c>
      <c r="AJ45" s="33" t="n">
        <f aca="false">Staff!AJ78/FX_EUR</f>
        <v>2621.97064746622</v>
      </c>
      <c r="AK45" s="33" t="n">
        <f aca="false">Staff!AK78/FX_EUR</f>
        <v>2621.97064746622</v>
      </c>
      <c r="AL45" s="33" t="n">
        <f aca="false">Staff!AL78/FX_EUR</f>
        <v>3932.95597119933</v>
      </c>
      <c r="AM45" s="33" t="n">
        <f aca="false">Staff!AM78/FX_EUR</f>
        <v>3932.95597119933</v>
      </c>
      <c r="AN45" s="33" t="n">
        <f aca="false">Staff!AN78/FX_EUR</f>
        <v>3932.95597119933</v>
      </c>
      <c r="AO45" s="33" t="n">
        <f aca="false">Staff!AO78/FX_EUR</f>
        <v>4129.6037697593</v>
      </c>
      <c r="AP45" s="33" t="n">
        <f aca="false">Staff!AP78/FX_EUR</f>
        <v>4129.6037697593</v>
      </c>
      <c r="AQ45" s="33" t="n">
        <f aca="false">Staff!AQ78/FX_EUR</f>
        <v>5506.13835967907</v>
      </c>
      <c r="AR45" s="33" t="n">
        <f aca="false">Staff!AR78/FX_EUR</f>
        <v>5506.13835967907</v>
      </c>
      <c r="AS45" s="33" t="n">
        <f aca="false">Staff!AS78/FX_EUR</f>
        <v>5506.13835967907</v>
      </c>
      <c r="AT45" s="33" t="n">
        <f aca="false">Staff!AT78/FX_EUR</f>
        <v>5506.13835967907</v>
      </c>
      <c r="AU45" s="33" t="n">
        <f aca="false">Staff!AU78/FX_EUR</f>
        <v>5506.13835967907</v>
      </c>
      <c r="AV45" s="33" t="n">
        <f aca="false">Staff!AV78/FX_EUR</f>
        <v>5506.13835967907</v>
      </c>
      <c r="AW45" s="33" t="n">
        <f aca="false">Staff!AW78/FX_EUR</f>
        <v>6882.67294959883</v>
      </c>
      <c r="AX45" s="33" t="n">
        <f aca="false">Staff!AX78/FX_EUR</f>
        <v>6882.67294959883</v>
      </c>
      <c r="AY45" s="33" t="n">
        <f aca="false">Staff!AY78/FX_EUR</f>
        <v>6882.67294959883</v>
      </c>
      <c r="AZ45" s="33" t="n">
        <f aca="false">Staff!AZ78/FX_EUR</f>
        <v>6882.67294959883</v>
      </c>
      <c r="BA45" s="33" t="n">
        <f aca="false">Staff!BA78/FX_EUR</f>
        <v>7226.80659707877</v>
      </c>
      <c r="BB45" s="33" t="n">
        <f aca="false">Staff!BB78/FX_EUR</f>
        <v>8672.16791649453</v>
      </c>
      <c r="BC45" s="33" t="n">
        <f aca="false">Staff!BC78/FX_EUR</f>
        <v>8672.16791649453</v>
      </c>
      <c r="BD45" s="33" t="n">
        <f aca="false">Staff!BD78/FX_EUR</f>
        <v>8672.16791649453</v>
      </c>
      <c r="BE45" s="33" t="n">
        <f aca="false">Staff!BE78/FX_EUR</f>
        <v>8672.16791649453</v>
      </c>
      <c r="BF45" s="33" t="n">
        <f aca="false">Staff!BF78/FX_EUR</f>
        <v>10117.5292359103</v>
      </c>
      <c r="BG45" s="33" t="n">
        <f aca="false">Staff!BG78/FX_EUR</f>
        <v>10117.5292359103</v>
      </c>
      <c r="BH45" s="33" t="n">
        <f aca="false">Staff!BH78/FX_EUR</f>
        <v>10117.5292359103</v>
      </c>
      <c r="BI45" s="33" t="n">
        <f aca="false">Staff!BI78/FX_EUR</f>
        <v>10117.5292359103</v>
      </c>
      <c r="BJ45" s="33" t="n">
        <f aca="false">Staff!BJ78/FX_EUR</f>
        <v>11562.890555326</v>
      </c>
      <c r="BK45" s="33" t="n">
        <f aca="false">Staff!BK78/FX_EUR</f>
        <v>11562.890555326</v>
      </c>
      <c r="BL45" s="33" t="n">
        <f aca="false">Staff!BL78/FX_EUR</f>
        <v>11562.890555326</v>
      </c>
    </row>
    <row r="47" customFormat="false" ht="15" hidden="false" customHeight="true" outlineLevel="0" collapsed="false">
      <c r="A47" s="11" t="s">
        <v>1148</v>
      </c>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row>
    <row r="48" customFormat="false" ht="15" hidden="false" customHeight="true" outlineLevel="0" collapsed="false">
      <c r="A48" s="13" t="s">
        <v>1165</v>
      </c>
      <c r="B48" s="15" t="s">
        <v>79</v>
      </c>
      <c r="D48" s="56" t="n">
        <f aca="false">Staff!D98/FX_EUR</f>
        <v>541299.493335691</v>
      </c>
      <c r="E48" s="33" t="n">
        <f aca="false">Staff!E98/FX_EUR</f>
        <v>0</v>
      </c>
      <c r="F48" s="33" t="n">
        <f aca="false">Staff!F98/FX_EUR</f>
        <v>0</v>
      </c>
      <c r="G48" s="33" t="n">
        <f aca="false">Staff!G98/FX_EUR</f>
        <v>0</v>
      </c>
      <c r="H48" s="33" t="n">
        <f aca="false">Staff!H98/FX_EUR</f>
        <v>0</v>
      </c>
      <c r="I48" s="33" t="n">
        <f aca="false">Staff!I98/FX_EUR</f>
        <v>0</v>
      </c>
      <c r="J48" s="33" t="n">
        <f aca="false">Staff!J98/FX_EUR</f>
        <v>0</v>
      </c>
      <c r="K48" s="33" t="n">
        <f aca="false">Staff!K98/FX_EUR</f>
        <v>0</v>
      </c>
      <c r="L48" s="33" t="n">
        <f aca="false">Staff!L98/FX_EUR</f>
        <v>0</v>
      </c>
      <c r="M48" s="33" t="n">
        <f aca="false">Staff!M98/FX_EUR</f>
        <v>0</v>
      </c>
      <c r="N48" s="33" t="n">
        <f aca="false">Staff!N98/FX_EUR</f>
        <v>0</v>
      </c>
      <c r="O48" s="33" t="n">
        <f aca="false">Staff!O98/FX_EUR</f>
        <v>0</v>
      </c>
      <c r="P48" s="33" t="n">
        <f aca="false">Staff!P98/FX_EUR</f>
        <v>0</v>
      </c>
      <c r="Q48" s="33" t="n">
        <f aca="false">Staff!Q98/FX_EUR</f>
        <v>5202.32271322663</v>
      </c>
      <c r="R48" s="33" t="n">
        <f aca="false">Staff!R98/FX_EUR</f>
        <v>5202.32271322663</v>
      </c>
      <c r="S48" s="33" t="n">
        <f aca="false">Staff!S98/FX_EUR</f>
        <v>5202.32271322663</v>
      </c>
      <c r="T48" s="33" t="n">
        <f aca="false">Staff!T98/FX_EUR</f>
        <v>5202.32271322663</v>
      </c>
      <c r="U48" s="33" t="n">
        <f aca="false">Staff!U98/FX_EUR</f>
        <v>5202.32271322663</v>
      </c>
      <c r="V48" s="33" t="n">
        <f aca="false">Staff!V98/FX_EUR</f>
        <v>11028.9241520405</v>
      </c>
      <c r="W48" s="33" t="n">
        <f aca="false">Staff!W98/FX_EUR</f>
        <v>11028.9241520405</v>
      </c>
      <c r="X48" s="33" t="n">
        <f aca="false">Staff!X98/FX_EUR</f>
        <v>11028.9241520405</v>
      </c>
      <c r="Y48" s="33" t="n">
        <f aca="false">Staff!Y98/FX_EUR</f>
        <v>11028.9241520405</v>
      </c>
      <c r="Z48" s="33" t="n">
        <f aca="false">Staff!Z98/FX_EUR</f>
        <v>11028.9241520405</v>
      </c>
      <c r="AA48" s="33" t="n">
        <f aca="false">Staff!AA98/FX_EUR</f>
        <v>11028.9241520405</v>
      </c>
      <c r="AB48" s="33" t="n">
        <f aca="false">Staff!AB98/FX_EUR</f>
        <v>11028.9241520405</v>
      </c>
      <c r="AC48" s="33" t="n">
        <f aca="false">Staff!AC98/FX_EUR</f>
        <v>11580.3703596425</v>
      </c>
      <c r="AD48" s="33" t="n">
        <f aca="false">Staff!AD98/FX_EUR</f>
        <v>11580.3703596425</v>
      </c>
      <c r="AE48" s="33" t="n">
        <f aca="false">Staff!AE98/FX_EUR</f>
        <v>11580.3703596425</v>
      </c>
      <c r="AF48" s="33" t="n">
        <f aca="false">Staff!AF98/FX_EUR</f>
        <v>11580.3703596425</v>
      </c>
      <c r="AG48" s="33" t="n">
        <f aca="false">Staff!AG98/FX_EUR</f>
        <v>11580.3703596425</v>
      </c>
      <c r="AH48" s="33" t="n">
        <f aca="false">Staff!AH98/FX_EUR</f>
        <v>11580.3703596425</v>
      </c>
      <c r="AI48" s="33" t="n">
        <f aca="false">Staff!AI98/FX_EUR</f>
        <v>11580.3703596425</v>
      </c>
      <c r="AJ48" s="33" t="n">
        <f aca="false">Staff!AJ98/FX_EUR</f>
        <v>11580.3703596425</v>
      </c>
      <c r="AK48" s="33" t="n">
        <f aca="false">Staff!AK98/FX_EUR</f>
        <v>11580.3703596425</v>
      </c>
      <c r="AL48" s="33" t="n">
        <f aca="false">Staff!AL98/FX_EUR</f>
        <v>11580.3703596425</v>
      </c>
      <c r="AM48" s="33" t="n">
        <f aca="false">Staff!AM98/FX_EUR</f>
        <v>11580.3703596425</v>
      </c>
      <c r="AN48" s="33" t="n">
        <f aca="false">Staff!AN98/FX_EUR</f>
        <v>11580.3703596425</v>
      </c>
      <c r="AO48" s="33" t="n">
        <f aca="false">Staff!AO98/FX_EUR</f>
        <v>12159.3888776246</v>
      </c>
      <c r="AP48" s="33" t="n">
        <f aca="false">Staff!AP98/FX_EUR</f>
        <v>12159.3888776246</v>
      </c>
      <c r="AQ48" s="33" t="n">
        <f aca="false">Staff!AQ98/FX_EUR</f>
        <v>12159.3888776246</v>
      </c>
      <c r="AR48" s="33" t="n">
        <f aca="false">Staff!AR98/FX_EUR</f>
        <v>12159.3888776246</v>
      </c>
      <c r="AS48" s="33" t="n">
        <f aca="false">Staff!AS98/FX_EUR</f>
        <v>12159.3888776246</v>
      </c>
      <c r="AT48" s="33" t="n">
        <f aca="false">Staff!AT98/FX_EUR</f>
        <v>12159.3888776246</v>
      </c>
      <c r="AU48" s="33" t="n">
        <f aca="false">Staff!AU98/FX_EUR</f>
        <v>12159.3888776246</v>
      </c>
      <c r="AV48" s="33" t="n">
        <f aca="false">Staff!AV98/FX_EUR</f>
        <v>12159.3888776246</v>
      </c>
      <c r="AW48" s="33" t="n">
        <f aca="false">Staff!AW98/FX_EUR</f>
        <v>12159.3888776246</v>
      </c>
      <c r="AX48" s="33" t="n">
        <f aca="false">Staff!AX98/FX_EUR</f>
        <v>12159.3888776246</v>
      </c>
      <c r="AY48" s="33" t="n">
        <f aca="false">Staff!AY98/FX_EUR</f>
        <v>12159.3888776246</v>
      </c>
      <c r="AZ48" s="33" t="n">
        <f aca="false">Staff!AZ98/FX_EUR</f>
        <v>12159.3888776246</v>
      </c>
      <c r="BA48" s="33" t="n">
        <f aca="false">Staff!BA98/FX_EUR</f>
        <v>12767.3583215058</v>
      </c>
      <c r="BB48" s="33" t="n">
        <f aca="false">Staff!BB98/FX_EUR</f>
        <v>12767.3583215058</v>
      </c>
      <c r="BC48" s="33" t="n">
        <f aca="false">Staff!BC98/FX_EUR</f>
        <v>12767.3583215058</v>
      </c>
      <c r="BD48" s="33" t="n">
        <f aca="false">Staff!BD98/FX_EUR</f>
        <v>12767.3583215058</v>
      </c>
      <c r="BE48" s="33" t="n">
        <f aca="false">Staff!BE98/FX_EUR</f>
        <v>12767.3583215058</v>
      </c>
      <c r="BF48" s="33" t="n">
        <f aca="false">Staff!BF98/FX_EUR</f>
        <v>12767.3583215058</v>
      </c>
      <c r="BG48" s="33" t="n">
        <f aca="false">Staff!BG98/FX_EUR</f>
        <v>12767.3583215058</v>
      </c>
      <c r="BH48" s="33" t="n">
        <f aca="false">Staff!BH98/FX_EUR</f>
        <v>12767.3583215058</v>
      </c>
      <c r="BI48" s="33" t="n">
        <f aca="false">Staff!BI98/FX_EUR</f>
        <v>12767.3583215058</v>
      </c>
      <c r="BJ48" s="33" t="n">
        <f aca="false">Staff!BJ98/FX_EUR</f>
        <v>12767.3583215058</v>
      </c>
      <c r="BK48" s="33" t="n">
        <f aca="false">Staff!BK98/FX_EUR</f>
        <v>12767.3583215058</v>
      </c>
      <c r="BL48" s="33" t="n">
        <f aca="false">Staff!BL98/FX_EUR</f>
        <v>12767.3583215058</v>
      </c>
    </row>
    <row r="49" customFormat="false" ht="15" hidden="false" customHeight="true" outlineLevel="0" collapsed="false">
      <c r="A49" s="13" t="s">
        <v>1166</v>
      </c>
      <c r="B49" s="15" t="s">
        <v>79</v>
      </c>
      <c r="D49" s="56" t="n">
        <f aca="false">Staff!D99/FX_EUR</f>
        <v>843844.836628011</v>
      </c>
      <c r="E49" s="33" t="n">
        <f aca="false">Staff!E99/FX_EUR</f>
        <v>9711.00239802304</v>
      </c>
      <c r="F49" s="33" t="n">
        <f aca="false">Staff!F99/FX_EUR</f>
        <v>9711.00239802304</v>
      </c>
      <c r="G49" s="33" t="n">
        <f aca="false">Staff!G99/FX_EUR</f>
        <v>9711.00239802304</v>
      </c>
      <c r="H49" s="33" t="n">
        <f aca="false">Staff!H99/FX_EUR</f>
        <v>9711.00239802304</v>
      </c>
      <c r="I49" s="33" t="n">
        <f aca="false">Staff!I99/FX_EUR</f>
        <v>9711.00239802304</v>
      </c>
      <c r="J49" s="33" t="n">
        <f aca="false">Staff!J99/FX_EUR</f>
        <v>9711.00239802304</v>
      </c>
      <c r="K49" s="33" t="n">
        <f aca="false">Staff!K99/FX_EUR</f>
        <v>9711.00239802304</v>
      </c>
      <c r="L49" s="33" t="n">
        <f aca="false">Staff!L99/FX_EUR</f>
        <v>9711.00239802304</v>
      </c>
      <c r="M49" s="33" t="n">
        <f aca="false">Staff!M99/FX_EUR</f>
        <v>9711.00239802304</v>
      </c>
      <c r="N49" s="33" t="n">
        <f aca="false">Staff!N99/FX_EUR</f>
        <v>9711.00239802304</v>
      </c>
      <c r="O49" s="33" t="n">
        <f aca="false">Staff!O99/FX_EUR</f>
        <v>9711.00239802304</v>
      </c>
      <c r="P49" s="33" t="n">
        <f aca="false">Staff!P99/FX_EUR</f>
        <v>9711.00239802304</v>
      </c>
      <c r="Q49" s="33" t="n">
        <f aca="false">Staff!Q99/FX_EUR</f>
        <v>10196.5525179242</v>
      </c>
      <c r="R49" s="33" t="n">
        <f aca="false">Staff!R99/FX_EUR</f>
        <v>10196.5525179242</v>
      </c>
      <c r="S49" s="33" t="n">
        <f aca="false">Staff!S99/FX_EUR</f>
        <v>10196.5525179242</v>
      </c>
      <c r="T49" s="33" t="n">
        <f aca="false">Staff!T99/FX_EUR</f>
        <v>10196.5525179242</v>
      </c>
      <c r="U49" s="33" t="n">
        <f aca="false">Staff!U99/FX_EUR</f>
        <v>10196.5525179242</v>
      </c>
      <c r="V49" s="33" t="n">
        <f aca="false">Staff!V99/FX_EUR</f>
        <v>10196.5525179242</v>
      </c>
      <c r="W49" s="33" t="n">
        <f aca="false">Staff!W99/FX_EUR</f>
        <v>10196.5525179242</v>
      </c>
      <c r="X49" s="33" t="n">
        <f aca="false">Staff!X99/FX_EUR</f>
        <v>10196.5525179242</v>
      </c>
      <c r="Y49" s="33" t="n">
        <f aca="false">Staff!Y99/FX_EUR</f>
        <v>10196.5525179242</v>
      </c>
      <c r="Z49" s="33" t="n">
        <f aca="false">Staff!Z99/FX_EUR</f>
        <v>10196.5525179242</v>
      </c>
      <c r="AA49" s="33" t="n">
        <f aca="false">Staff!AA99/FX_EUR</f>
        <v>10196.5525179242</v>
      </c>
      <c r="AB49" s="33" t="n">
        <f aca="false">Staff!AB99/FX_EUR</f>
        <v>10196.5525179242</v>
      </c>
      <c r="AC49" s="33" t="n">
        <f aca="false">Staff!AC99/FX_EUR</f>
        <v>10706.3801438204</v>
      </c>
      <c r="AD49" s="33" t="n">
        <f aca="false">Staff!AD99/FX_EUR</f>
        <v>10706.3801438204</v>
      </c>
      <c r="AE49" s="33" t="n">
        <f aca="false">Staff!AE99/FX_EUR</f>
        <v>10706.3801438204</v>
      </c>
      <c r="AF49" s="33" t="n">
        <f aca="false">Staff!AF99/FX_EUR</f>
        <v>13328.3507912866</v>
      </c>
      <c r="AG49" s="33" t="n">
        <f aca="false">Staff!AG99/FX_EUR</f>
        <v>13328.3507912866</v>
      </c>
      <c r="AH49" s="33" t="n">
        <f aca="false">Staff!AH99/FX_EUR</f>
        <v>13328.3507912866</v>
      </c>
      <c r="AI49" s="33" t="n">
        <f aca="false">Staff!AI99/FX_EUR</f>
        <v>13328.3507912866</v>
      </c>
      <c r="AJ49" s="33" t="n">
        <f aca="false">Staff!AJ99/FX_EUR</f>
        <v>13328.3507912866</v>
      </c>
      <c r="AK49" s="33" t="n">
        <f aca="false">Staff!AK99/FX_EUR</f>
        <v>13328.3507912866</v>
      </c>
      <c r="AL49" s="33" t="n">
        <f aca="false">Staff!AL99/FX_EUR</f>
        <v>13328.3507912866</v>
      </c>
      <c r="AM49" s="33" t="n">
        <f aca="false">Staff!AM99/FX_EUR</f>
        <v>13328.3507912866</v>
      </c>
      <c r="AN49" s="33" t="n">
        <f aca="false">Staff!AN99/FX_EUR</f>
        <v>13328.3507912866</v>
      </c>
      <c r="AO49" s="33" t="n">
        <f aca="false">Staff!AO99/FX_EUR</f>
        <v>13994.768330851</v>
      </c>
      <c r="AP49" s="33" t="n">
        <f aca="false">Staff!AP99/FX_EUR</f>
        <v>13994.768330851</v>
      </c>
      <c r="AQ49" s="33" t="n">
        <f aca="false">Staff!AQ99/FX_EUR</f>
        <v>13994.768330851</v>
      </c>
      <c r="AR49" s="33" t="n">
        <f aca="false">Staff!AR99/FX_EUR</f>
        <v>16747.8375106905</v>
      </c>
      <c r="AS49" s="33" t="n">
        <f aca="false">Staff!AS99/FX_EUR</f>
        <v>16747.8375106905</v>
      </c>
      <c r="AT49" s="33" t="n">
        <f aca="false">Staff!AT99/FX_EUR</f>
        <v>16747.8375106905</v>
      </c>
      <c r="AU49" s="33" t="n">
        <f aca="false">Staff!AU99/FX_EUR</f>
        <v>16747.8375106905</v>
      </c>
      <c r="AV49" s="33" t="n">
        <f aca="false">Staff!AV99/FX_EUR</f>
        <v>16747.8375106905</v>
      </c>
      <c r="AW49" s="33" t="n">
        <f aca="false">Staff!AW99/FX_EUR</f>
        <v>16747.8375106905</v>
      </c>
      <c r="AX49" s="33" t="n">
        <f aca="false">Staff!AX99/FX_EUR</f>
        <v>16747.8375106905</v>
      </c>
      <c r="AY49" s="33" t="n">
        <f aca="false">Staff!AY99/FX_EUR</f>
        <v>16747.8375106905</v>
      </c>
      <c r="AZ49" s="33" t="n">
        <f aca="false">Staff!AZ99/FX_EUR</f>
        <v>16747.8375106905</v>
      </c>
      <c r="BA49" s="33" t="n">
        <f aca="false">Staff!BA99/FX_EUR</f>
        <v>20475.9520250565</v>
      </c>
      <c r="BB49" s="33" t="n">
        <f aca="false">Staff!BB99/FX_EUR</f>
        <v>20475.9520250565</v>
      </c>
      <c r="BC49" s="33" t="n">
        <f aca="false">Staff!BC99/FX_EUR</f>
        <v>20475.9520250565</v>
      </c>
      <c r="BD49" s="33" t="n">
        <f aca="false">Staff!BD99/FX_EUR</f>
        <v>20475.9520250565</v>
      </c>
      <c r="BE49" s="33" t="n">
        <f aca="false">Staff!BE99/FX_EUR</f>
        <v>20475.9520250565</v>
      </c>
      <c r="BF49" s="33" t="n">
        <f aca="false">Staff!BF99/FX_EUR</f>
        <v>20475.9520250565</v>
      </c>
      <c r="BG49" s="33" t="n">
        <f aca="false">Staff!BG99/FX_EUR</f>
        <v>20475.9520250565</v>
      </c>
      <c r="BH49" s="33" t="n">
        <f aca="false">Staff!BH99/FX_EUR</f>
        <v>23366.674663888</v>
      </c>
      <c r="BI49" s="33" t="n">
        <f aca="false">Staff!BI99/FX_EUR</f>
        <v>23366.674663888</v>
      </c>
      <c r="BJ49" s="33" t="n">
        <f aca="false">Staff!BJ99/FX_EUR</f>
        <v>23366.674663888</v>
      </c>
      <c r="BK49" s="33" t="n">
        <f aca="false">Staff!BK99/FX_EUR</f>
        <v>23366.674663888</v>
      </c>
      <c r="BL49" s="33" t="n">
        <f aca="false">Staff!BL99/FX_EUR</f>
        <v>23366.674663888</v>
      </c>
    </row>
    <row r="50" customFormat="false" ht="15" hidden="false" customHeight="true" outlineLevel="0" collapsed="false">
      <c r="A50" s="13" t="s">
        <v>1167</v>
      </c>
      <c r="B50" s="15" t="s">
        <v>79</v>
      </c>
      <c r="D50" s="56" t="n">
        <f aca="false">Staff!D100/FX_EUR</f>
        <v>127107.830619995</v>
      </c>
      <c r="E50" s="33" t="n">
        <f aca="false">Staff!E100/FX_EUR</f>
        <v>0</v>
      </c>
      <c r="F50" s="33" t="n">
        <f aca="false">Staff!F100/FX_EUR</f>
        <v>0</v>
      </c>
      <c r="G50" s="33" t="n">
        <f aca="false">Staff!G100/FX_EUR</f>
        <v>0</v>
      </c>
      <c r="H50" s="33" t="n">
        <f aca="false">Staff!H100/FX_EUR</f>
        <v>0</v>
      </c>
      <c r="I50" s="33" t="n">
        <f aca="false">Staff!I100/FX_EUR</f>
        <v>0</v>
      </c>
      <c r="J50" s="33" t="n">
        <f aca="false">Staff!J100/FX_EUR</f>
        <v>0</v>
      </c>
      <c r="K50" s="33" t="n">
        <f aca="false">Staff!K100/FX_EUR</f>
        <v>0</v>
      </c>
      <c r="L50" s="33" t="n">
        <f aca="false">Staff!L100/FX_EUR</f>
        <v>0</v>
      </c>
      <c r="M50" s="33" t="n">
        <f aca="false">Staff!M100/FX_EUR</f>
        <v>0</v>
      </c>
      <c r="N50" s="33" t="n">
        <f aca="false">Staff!N100/FX_EUR</f>
        <v>0</v>
      </c>
      <c r="O50" s="33" t="n">
        <f aca="false">Staff!O100/FX_EUR</f>
        <v>0</v>
      </c>
      <c r="P50" s="33" t="n">
        <f aca="false">Staff!P100/FX_EUR</f>
        <v>0</v>
      </c>
      <c r="Q50" s="33" t="n">
        <f aca="false">Staff!Q100/FX_EUR</f>
        <v>0</v>
      </c>
      <c r="R50" s="33" t="n">
        <f aca="false">Staff!R100/FX_EUR</f>
        <v>0</v>
      </c>
      <c r="S50" s="33" t="n">
        <f aca="false">Staff!S100/FX_EUR</f>
        <v>0</v>
      </c>
      <c r="T50" s="33" t="n">
        <f aca="false">Staff!T100/FX_EUR</f>
        <v>0</v>
      </c>
      <c r="U50" s="33" t="n">
        <f aca="false">Staff!U100/FX_EUR</f>
        <v>0</v>
      </c>
      <c r="V50" s="33" t="n">
        <f aca="false">Staff!V100/FX_EUR</f>
        <v>0</v>
      </c>
      <c r="W50" s="33" t="n">
        <f aca="false">Staff!W100/FX_EUR</f>
        <v>0</v>
      </c>
      <c r="X50" s="33" t="n">
        <f aca="false">Staff!X100/FX_EUR</f>
        <v>0</v>
      </c>
      <c r="Y50" s="33" t="n">
        <f aca="false">Staff!Y100/FX_EUR</f>
        <v>0</v>
      </c>
      <c r="Z50" s="33" t="n">
        <f aca="false">Staff!Z100/FX_EUR</f>
        <v>0</v>
      </c>
      <c r="AA50" s="33" t="n">
        <f aca="false">Staff!AA100/FX_EUR</f>
        <v>0</v>
      </c>
      <c r="AB50" s="33" t="n">
        <f aca="false">Staff!AB100/FX_EUR</f>
        <v>3121.39362793598</v>
      </c>
      <c r="AC50" s="33" t="n">
        <f aca="false">Staff!AC100/FX_EUR</f>
        <v>3277.46330933278</v>
      </c>
      <c r="AD50" s="33" t="n">
        <f aca="false">Staff!AD100/FX_EUR</f>
        <v>3277.46330933278</v>
      </c>
      <c r="AE50" s="33" t="n">
        <f aca="false">Staff!AE100/FX_EUR</f>
        <v>3277.46330933278</v>
      </c>
      <c r="AF50" s="33" t="n">
        <f aca="false">Staff!AF100/FX_EUR</f>
        <v>3277.46330933278</v>
      </c>
      <c r="AG50" s="33" t="n">
        <f aca="false">Staff!AG100/FX_EUR</f>
        <v>3277.46330933278</v>
      </c>
      <c r="AH50" s="33" t="n">
        <f aca="false">Staff!AH100/FX_EUR</f>
        <v>3277.46330933278</v>
      </c>
      <c r="AI50" s="33" t="n">
        <f aca="false">Staff!AI100/FX_EUR</f>
        <v>3277.46330933278</v>
      </c>
      <c r="AJ50" s="33" t="n">
        <f aca="false">Staff!AJ100/FX_EUR</f>
        <v>3277.46330933278</v>
      </c>
      <c r="AK50" s="33" t="n">
        <f aca="false">Staff!AK100/FX_EUR</f>
        <v>3277.46330933278</v>
      </c>
      <c r="AL50" s="33" t="n">
        <f aca="false">Staff!AL100/FX_EUR</f>
        <v>3277.46330933278</v>
      </c>
      <c r="AM50" s="33" t="n">
        <f aca="false">Staff!AM100/FX_EUR</f>
        <v>3277.46330933278</v>
      </c>
      <c r="AN50" s="33" t="n">
        <f aca="false">Staff!AN100/FX_EUR</f>
        <v>3277.46330933278</v>
      </c>
      <c r="AO50" s="33" t="n">
        <f aca="false">Staff!AO100/FX_EUR</f>
        <v>3441.33647479942</v>
      </c>
      <c r="AP50" s="33" t="n">
        <f aca="false">Staff!AP100/FX_EUR</f>
        <v>3441.33647479942</v>
      </c>
      <c r="AQ50" s="33" t="n">
        <f aca="false">Staff!AQ100/FX_EUR</f>
        <v>3441.33647479942</v>
      </c>
      <c r="AR50" s="33" t="n">
        <f aca="false">Staff!AR100/FX_EUR</f>
        <v>3441.33647479942</v>
      </c>
      <c r="AS50" s="33" t="n">
        <f aca="false">Staff!AS100/FX_EUR</f>
        <v>3441.33647479942</v>
      </c>
      <c r="AT50" s="33" t="n">
        <f aca="false">Staff!AT100/FX_EUR</f>
        <v>3441.33647479942</v>
      </c>
      <c r="AU50" s="33" t="n">
        <f aca="false">Staff!AU100/FX_EUR</f>
        <v>3441.33647479942</v>
      </c>
      <c r="AV50" s="33" t="n">
        <f aca="false">Staff!AV100/FX_EUR</f>
        <v>3441.33647479942</v>
      </c>
      <c r="AW50" s="33" t="n">
        <f aca="false">Staff!AW100/FX_EUR</f>
        <v>3441.33647479942</v>
      </c>
      <c r="AX50" s="33" t="n">
        <f aca="false">Staff!AX100/FX_EUR</f>
        <v>3441.33647479942</v>
      </c>
      <c r="AY50" s="33" t="n">
        <f aca="false">Staff!AY100/FX_EUR</f>
        <v>3441.33647479942</v>
      </c>
      <c r="AZ50" s="33" t="n">
        <f aca="false">Staff!AZ100/FX_EUR</f>
        <v>3441.33647479942</v>
      </c>
      <c r="BA50" s="33" t="n">
        <f aca="false">Staff!BA100/FX_EUR</f>
        <v>3613.40329853939</v>
      </c>
      <c r="BB50" s="33" t="n">
        <f aca="false">Staff!BB100/FX_EUR</f>
        <v>3613.40329853939</v>
      </c>
      <c r="BC50" s="33" t="n">
        <f aca="false">Staff!BC100/FX_EUR</f>
        <v>3613.40329853939</v>
      </c>
      <c r="BD50" s="33" t="n">
        <f aca="false">Staff!BD100/FX_EUR</f>
        <v>3613.40329853939</v>
      </c>
      <c r="BE50" s="33" t="n">
        <f aca="false">Staff!BE100/FX_EUR</f>
        <v>3613.40329853939</v>
      </c>
      <c r="BF50" s="33" t="n">
        <f aca="false">Staff!BF100/FX_EUR</f>
        <v>3613.40329853939</v>
      </c>
      <c r="BG50" s="33" t="n">
        <f aca="false">Staff!BG100/FX_EUR</f>
        <v>3613.40329853939</v>
      </c>
      <c r="BH50" s="33" t="n">
        <f aca="false">Staff!BH100/FX_EUR</f>
        <v>3613.40329853939</v>
      </c>
      <c r="BI50" s="33" t="n">
        <f aca="false">Staff!BI100/FX_EUR</f>
        <v>3613.40329853939</v>
      </c>
      <c r="BJ50" s="33" t="n">
        <f aca="false">Staff!BJ100/FX_EUR</f>
        <v>3613.40329853939</v>
      </c>
      <c r="BK50" s="33" t="n">
        <f aca="false">Staff!BK100/FX_EUR</f>
        <v>3613.40329853939</v>
      </c>
      <c r="BL50" s="33" t="n">
        <f aca="false">Staff!BL100/FX_EUR</f>
        <v>3613.40329853939</v>
      </c>
    </row>
    <row r="51" customFormat="false" ht="15" hidden="false" customHeight="true" outlineLevel="0" collapsed="false">
      <c r="A51" s="13" t="s">
        <v>1168</v>
      </c>
      <c r="B51" s="15" t="s">
        <v>79</v>
      </c>
      <c r="D51" s="56" t="n">
        <f aca="false">Staff!D101/FX_EUR</f>
        <v>227290.675875096</v>
      </c>
      <c r="E51" s="33" t="n">
        <f aca="false">Staff!E101/FX_EUR</f>
        <v>0</v>
      </c>
      <c r="F51" s="33" t="n">
        <f aca="false">Staff!F101/FX_EUR</f>
        <v>0</v>
      </c>
      <c r="G51" s="33" t="n">
        <f aca="false">Staff!G101/FX_EUR</f>
        <v>0</v>
      </c>
      <c r="H51" s="33" t="n">
        <f aca="false">Staff!H101/FX_EUR</f>
        <v>0</v>
      </c>
      <c r="I51" s="33" t="n">
        <f aca="false">Staff!I101/FX_EUR</f>
        <v>0</v>
      </c>
      <c r="J51" s="33" t="n">
        <f aca="false">Staff!J101/FX_EUR</f>
        <v>0</v>
      </c>
      <c r="K51" s="33" t="n">
        <f aca="false">Staff!K101/FX_EUR</f>
        <v>0</v>
      </c>
      <c r="L51" s="33" t="n">
        <f aca="false">Staff!L101/FX_EUR</f>
        <v>0</v>
      </c>
      <c r="M51" s="33" t="n">
        <f aca="false">Staff!M101/FX_EUR</f>
        <v>0</v>
      </c>
      <c r="N51" s="33" t="n">
        <f aca="false">Staff!N101/FX_EUR</f>
        <v>0</v>
      </c>
      <c r="O51" s="33" t="n">
        <f aca="false">Staff!O101/FX_EUR</f>
        <v>0</v>
      </c>
      <c r="P51" s="33" t="n">
        <f aca="false">Staff!P101/FX_EUR</f>
        <v>0</v>
      </c>
      <c r="Q51" s="33" t="n">
        <f aca="false">Staff!Q101/FX_EUR</f>
        <v>0</v>
      </c>
      <c r="R51" s="33" t="n">
        <f aca="false">Staff!R101/FX_EUR</f>
        <v>0</v>
      </c>
      <c r="S51" s="33" t="n">
        <f aca="false">Staff!S101/FX_EUR</f>
        <v>0</v>
      </c>
      <c r="T51" s="33" t="n">
        <f aca="false">Staff!T101/FX_EUR</f>
        <v>1248.55745117439</v>
      </c>
      <c r="U51" s="33" t="n">
        <f aca="false">Staff!U101/FX_EUR</f>
        <v>1248.55745117439</v>
      </c>
      <c r="V51" s="33" t="n">
        <f aca="false">Staff!V101/FX_EUR</f>
        <v>1248.55745117439</v>
      </c>
      <c r="W51" s="33" t="n">
        <f aca="false">Staff!W101/FX_EUR</f>
        <v>1248.55745117439</v>
      </c>
      <c r="X51" s="33" t="n">
        <f aca="false">Staff!X101/FX_EUR</f>
        <v>1248.55745117439</v>
      </c>
      <c r="Y51" s="33" t="n">
        <f aca="false">Staff!Y101/FX_EUR</f>
        <v>1248.55745117439</v>
      </c>
      <c r="Z51" s="33" t="n">
        <f aca="false">Staff!Z101/FX_EUR</f>
        <v>1248.55745117439</v>
      </c>
      <c r="AA51" s="33" t="n">
        <f aca="false">Staff!AA101/FX_EUR</f>
        <v>1248.55745117439</v>
      </c>
      <c r="AB51" s="33" t="n">
        <f aca="false">Staff!AB101/FX_EUR</f>
        <v>1248.55745117439</v>
      </c>
      <c r="AC51" s="33" t="n">
        <f aca="false">Staff!AC101/FX_EUR</f>
        <v>1310.98532373311</v>
      </c>
      <c r="AD51" s="33" t="n">
        <f aca="false">Staff!AD101/FX_EUR</f>
        <v>1310.98532373311</v>
      </c>
      <c r="AE51" s="33" t="n">
        <f aca="false">Staff!AE101/FX_EUR</f>
        <v>1310.98532373311</v>
      </c>
      <c r="AF51" s="33" t="n">
        <f aca="false">Staff!AF101/FX_EUR</f>
        <v>1310.98532373311</v>
      </c>
      <c r="AG51" s="33" t="n">
        <f aca="false">Staff!AG101/FX_EUR</f>
        <v>2621.97064746622</v>
      </c>
      <c r="AH51" s="33" t="n">
        <f aca="false">Staff!AH101/FX_EUR</f>
        <v>2621.97064746622</v>
      </c>
      <c r="AI51" s="33" t="n">
        <f aca="false">Staff!AI101/FX_EUR</f>
        <v>2621.97064746622</v>
      </c>
      <c r="AJ51" s="33" t="n">
        <f aca="false">Staff!AJ101/FX_EUR</f>
        <v>2621.97064746622</v>
      </c>
      <c r="AK51" s="33" t="n">
        <f aca="false">Staff!AK101/FX_EUR</f>
        <v>2621.97064746622</v>
      </c>
      <c r="AL51" s="33" t="n">
        <f aca="false">Staff!AL101/FX_EUR</f>
        <v>3932.95597119933</v>
      </c>
      <c r="AM51" s="33" t="n">
        <f aca="false">Staff!AM101/FX_EUR</f>
        <v>3932.95597119933</v>
      </c>
      <c r="AN51" s="33" t="n">
        <f aca="false">Staff!AN101/FX_EUR</f>
        <v>3932.95597119933</v>
      </c>
      <c r="AO51" s="33" t="n">
        <f aca="false">Staff!AO101/FX_EUR</f>
        <v>4129.6037697593</v>
      </c>
      <c r="AP51" s="33" t="n">
        <f aca="false">Staff!AP101/FX_EUR</f>
        <v>4129.6037697593</v>
      </c>
      <c r="AQ51" s="33" t="n">
        <f aca="false">Staff!AQ101/FX_EUR</f>
        <v>5506.13835967907</v>
      </c>
      <c r="AR51" s="33" t="n">
        <f aca="false">Staff!AR101/FX_EUR</f>
        <v>5506.13835967907</v>
      </c>
      <c r="AS51" s="33" t="n">
        <f aca="false">Staff!AS101/FX_EUR</f>
        <v>5506.13835967907</v>
      </c>
      <c r="AT51" s="33" t="n">
        <f aca="false">Staff!AT101/FX_EUR</f>
        <v>5506.13835967907</v>
      </c>
      <c r="AU51" s="33" t="n">
        <f aca="false">Staff!AU101/FX_EUR</f>
        <v>5506.13835967907</v>
      </c>
      <c r="AV51" s="33" t="n">
        <f aca="false">Staff!AV101/FX_EUR</f>
        <v>5506.13835967907</v>
      </c>
      <c r="AW51" s="33" t="n">
        <f aca="false">Staff!AW101/FX_EUR</f>
        <v>6882.67294959883</v>
      </c>
      <c r="AX51" s="33" t="n">
        <f aca="false">Staff!AX101/FX_EUR</f>
        <v>6882.67294959883</v>
      </c>
      <c r="AY51" s="33" t="n">
        <f aca="false">Staff!AY101/FX_EUR</f>
        <v>6882.67294959883</v>
      </c>
      <c r="AZ51" s="33" t="n">
        <f aca="false">Staff!AZ101/FX_EUR</f>
        <v>6882.67294959883</v>
      </c>
      <c r="BA51" s="33" t="n">
        <f aca="false">Staff!BA101/FX_EUR</f>
        <v>7226.80659707877</v>
      </c>
      <c r="BB51" s="33" t="n">
        <f aca="false">Staff!BB101/FX_EUR</f>
        <v>8672.16791649453</v>
      </c>
      <c r="BC51" s="33" t="n">
        <f aca="false">Staff!BC101/FX_EUR</f>
        <v>8672.16791649453</v>
      </c>
      <c r="BD51" s="33" t="n">
        <f aca="false">Staff!BD101/FX_EUR</f>
        <v>8672.16791649453</v>
      </c>
      <c r="BE51" s="33" t="n">
        <f aca="false">Staff!BE101/FX_EUR</f>
        <v>8672.16791649453</v>
      </c>
      <c r="BF51" s="33" t="n">
        <f aca="false">Staff!BF101/FX_EUR</f>
        <v>10117.5292359103</v>
      </c>
      <c r="BG51" s="33" t="n">
        <f aca="false">Staff!BG101/FX_EUR</f>
        <v>10117.5292359103</v>
      </c>
      <c r="BH51" s="33" t="n">
        <f aca="false">Staff!BH101/FX_EUR</f>
        <v>10117.5292359103</v>
      </c>
      <c r="BI51" s="33" t="n">
        <f aca="false">Staff!BI101/FX_EUR</f>
        <v>10117.5292359103</v>
      </c>
      <c r="BJ51" s="33" t="n">
        <f aca="false">Staff!BJ101/FX_EUR</f>
        <v>11562.890555326</v>
      </c>
      <c r="BK51" s="33" t="n">
        <f aca="false">Staff!BK101/FX_EUR</f>
        <v>11562.890555326</v>
      </c>
      <c r="BL51" s="33" t="n">
        <f aca="false">Staff!BL101/FX_EUR</f>
        <v>11562.890555326</v>
      </c>
    </row>
    <row r="52" customFormat="false" ht="15" hidden="false" customHeight="true" outlineLevel="0" collapsed="false">
      <c r="A52" s="13" t="s">
        <v>1169</v>
      </c>
      <c r="B52" s="15" t="s">
        <v>79</v>
      </c>
      <c r="D52" s="56" t="n">
        <f aca="false">Staff!D102/FX_EUR</f>
        <v>382345.144803699</v>
      </c>
      <c r="E52" s="33" t="n">
        <f aca="false">Staff!E102/FX_EUR</f>
        <v>0</v>
      </c>
      <c r="F52" s="33" t="n">
        <f aca="false">Staff!F102/FX_EUR</f>
        <v>0</v>
      </c>
      <c r="G52" s="33" t="n">
        <f aca="false">Staff!G102/FX_EUR</f>
        <v>0</v>
      </c>
      <c r="H52" s="33" t="n">
        <f aca="false">Staff!H102/FX_EUR</f>
        <v>1109.82884548835</v>
      </c>
      <c r="I52" s="33" t="n">
        <f aca="false">Staff!I102/FX_EUR</f>
        <v>1109.82884548835</v>
      </c>
      <c r="J52" s="33" t="n">
        <f aca="false">Staff!J102/FX_EUR</f>
        <v>1109.82884548835</v>
      </c>
      <c r="K52" s="33" t="n">
        <f aca="false">Staff!K102/FX_EUR</f>
        <v>1109.82884548835</v>
      </c>
      <c r="L52" s="33" t="n">
        <f aca="false">Staff!L102/FX_EUR</f>
        <v>1109.82884548835</v>
      </c>
      <c r="M52" s="33" t="n">
        <f aca="false">Staff!M102/FX_EUR</f>
        <v>1109.82884548835</v>
      </c>
      <c r="N52" s="33" t="n">
        <f aca="false">Staff!N102/FX_EUR</f>
        <v>1109.82884548835</v>
      </c>
      <c r="O52" s="33" t="n">
        <f aca="false">Staff!O102/FX_EUR</f>
        <v>1109.82884548835</v>
      </c>
      <c r="P52" s="33" t="n">
        <f aca="false">Staff!P102/FX_EUR</f>
        <v>1109.82884548835</v>
      </c>
      <c r="Q52" s="33" t="n">
        <f aca="false">Staff!Q102/FX_EUR</f>
        <v>1165.32028776277</v>
      </c>
      <c r="R52" s="33" t="n">
        <f aca="false">Staff!R102/FX_EUR</f>
        <v>1165.32028776277</v>
      </c>
      <c r="S52" s="33" t="n">
        <f aca="false">Staff!S102/FX_EUR</f>
        <v>1165.32028776277</v>
      </c>
      <c r="T52" s="33" t="n">
        <f aca="false">Staff!T102/FX_EUR</f>
        <v>1165.32028776277</v>
      </c>
      <c r="U52" s="33" t="n">
        <f aca="false">Staff!U102/FX_EUR</f>
        <v>1165.32028776277</v>
      </c>
      <c r="V52" s="33" t="n">
        <f aca="false">Staff!V102/FX_EUR</f>
        <v>1165.32028776277</v>
      </c>
      <c r="W52" s="33" t="n">
        <f aca="false">Staff!W102/FX_EUR</f>
        <v>1165.32028776277</v>
      </c>
      <c r="X52" s="33" t="n">
        <f aca="false">Staff!X102/FX_EUR</f>
        <v>1165.32028776277</v>
      </c>
      <c r="Y52" s="33" t="n">
        <f aca="false">Staff!Y102/FX_EUR</f>
        <v>1747.98043164415</v>
      </c>
      <c r="Z52" s="33" t="n">
        <f aca="false">Staff!Z102/FX_EUR</f>
        <v>1747.98043164415</v>
      </c>
      <c r="AA52" s="33" t="n">
        <f aca="false">Staff!AA102/FX_EUR</f>
        <v>1747.98043164415</v>
      </c>
      <c r="AB52" s="33" t="n">
        <f aca="false">Staff!AB102/FX_EUR</f>
        <v>1747.98043164415</v>
      </c>
      <c r="AC52" s="33" t="n">
        <f aca="false">Staff!AC102/FX_EUR</f>
        <v>2447.17260430181</v>
      </c>
      <c r="AD52" s="33" t="n">
        <f aca="false">Staff!AD102/FX_EUR</f>
        <v>2447.17260430181</v>
      </c>
      <c r="AE52" s="33" t="n">
        <f aca="false">Staff!AE102/FX_EUR</f>
        <v>2447.17260430181</v>
      </c>
      <c r="AF52" s="33" t="n">
        <f aca="false">Staff!AF102/FX_EUR</f>
        <v>3058.96575537726</v>
      </c>
      <c r="AG52" s="33" t="n">
        <f aca="false">Staff!AG102/FX_EUR</f>
        <v>4282.55205752816</v>
      </c>
      <c r="AH52" s="33" t="n">
        <f aca="false">Staff!AH102/FX_EUR</f>
        <v>4282.55205752816</v>
      </c>
      <c r="AI52" s="33" t="n">
        <f aca="false">Staff!AI102/FX_EUR</f>
        <v>4894.34520860361</v>
      </c>
      <c r="AJ52" s="33" t="n">
        <f aca="false">Staff!AJ102/FX_EUR</f>
        <v>4894.34520860361</v>
      </c>
      <c r="AK52" s="33" t="n">
        <f aca="false">Staff!AK102/FX_EUR</f>
        <v>5506.13835967907</v>
      </c>
      <c r="AL52" s="33" t="n">
        <f aca="false">Staff!AL102/FX_EUR</f>
        <v>5506.13835967907</v>
      </c>
      <c r="AM52" s="33" t="n">
        <f aca="false">Staff!AM102/FX_EUR</f>
        <v>6117.93151075452</v>
      </c>
      <c r="AN52" s="33" t="n">
        <f aca="false">Staff!AN102/FX_EUR</f>
        <v>6117.93151075452</v>
      </c>
      <c r="AO52" s="33" t="n">
        <f aca="false">Staff!AO102/FX_EUR</f>
        <v>7066.21089492147</v>
      </c>
      <c r="AP52" s="33" t="n">
        <f aca="false">Staff!AP102/FX_EUR</f>
        <v>7066.21089492147</v>
      </c>
      <c r="AQ52" s="33" t="n">
        <f aca="false">Staff!AQ102/FX_EUR</f>
        <v>7708.59370355069</v>
      </c>
      <c r="AR52" s="33" t="n">
        <f aca="false">Staff!AR102/FX_EUR</f>
        <v>8350.97651217992</v>
      </c>
      <c r="AS52" s="33" t="n">
        <f aca="false">Staff!AS102/FX_EUR</f>
        <v>8350.97651217992</v>
      </c>
      <c r="AT52" s="33" t="n">
        <f aca="false">Staff!AT102/FX_EUR</f>
        <v>8993.35932080914</v>
      </c>
      <c r="AU52" s="33" t="n">
        <f aca="false">Staff!AU102/FX_EUR</f>
        <v>9635.74212943836</v>
      </c>
      <c r="AV52" s="33" t="n">
        <f aca="false">Staff!AV102/FX_EUR</f>
        <v>9635.74212943836</v>
      </c>
      <c r="AW52" s="33" t="n">
        <f aca="false">Staff!AW102/FX_EUR</f>
        <v>10278.1249380676</v>
      </c>
      <c r="AX52" s="33" t="n">
        <f aca="false">Staff!AX102/FX_EUR</f>
        <v>10920.5077466968</v>
      </c>
      <c r="AY52" s="33" t="n">
        <f aca="false">Staff!AY102/FX_EUR</f>
        <v>11562.890555326</v>
      </c>
      <c r="AZ52" s="33" t="n">
        <f aca="false">Staff!AZ102/FX_EUR</f>
        <v>11562.890555326</v>
      </c>
      <c r="BA52" s="33" t="n">
        <f aca="false">Staff!BA102/FX_EUR</f>
        <v>12815.537032153</v>
      </c>
      <c r="BB52" s="33" t="n">
        <f aca="false">Staff!BB102/FX_EUR</f>
        <v>13490.0389812137</v>
      </c>
      <c r="BC52" s="33" t="n">
        <f aca="false">Staff!BC102/FX_EUR</f>
        <v>14164.5409302744</v>
      </c>
      <c r="BD52" s="33" t="n">
        <f aca="false">Staff!BD102/FX_EUR</f>
        <v>14839.0428793351</v>
      </c>
      <c r="BE52" s="33" t="n">
        <f aca="false">Staff!BE102/FX_EUR</f>
        <v>14839.0428793351</v>
      </c>
      <c r="BF52" s="33" t="n">
        <f aca="false">Staff!BF102/FX_EUR</f>
        <v>15513.5448283958</v>
      </c>
      <c r="BG52" s="33" t="n">
        <f aca="false">Staff!BG102/FX_EUR</f>
        <v>16188.0467774565</v>
      </c>
      <c r="BH52" s="33" t="n">
        <f aca="false">Staff!BH102/FX_EUR</f>
        <v>16862.5487265171</v>
      </c>
      <c r="BI52" s="33" t="n">
        <f aca="false">Staff!BI102/FX_EUR</f>
        <v>17537.0506755778</v>
      </c>
      <c r="BJ52" s="33" t="n">
        <f aca="false">Staff!BJ102/FX_EUR</f>
        <v>18211.5526246385</v>
      </c>
      <c r="BK52" s="33" t="n">
        <f aca="false">Staff!BK102/FX_EUR</f>
        <v>18886.0545736992</v>
      </c>
      <c r="BL52" s="33" t="n">
        <f aca="false">Staff!BL102/FX_EUR</f>
        <v>19560.5565227599</v>
      </c>
    </row>
    <row r="53" customFormat="false" ht="15" hidden="false" customHeight="true" outlineLevel="0" collapsed="false">
      <c r="A53" s="13" t="s">
        <v>1170</v>
      </c>
      <c r="B53" s="15" t="s">
        <v>79</v>
      </c>
      <c r="D53" s="56" t="n">
        <f aca="false">Staff!D103/FX_EUR</f>
        <v>661806.403230319</v>
      </c>
      <c r="E53" s="33" t="n">
        <f aca="false">Staff!E103/FX_EUR</f>
        <v>2378.2046689036</v>
      </c>
      <c r="F53" s="33" t="n">
        <f aca="false">Staff!F103/FX_EUR</f>
        <v>2378.2046689036</v>
      </c>
      <c r="G53" s="33" t="n">
        <f aca="false">Staff!G103/FX_EUR</f>
        <v>2378.2046689036</v>
      </c>
      <c r="H53" s="33" t="n">
        <f aca="false">Staff!H103/FX_EUR</f>
        <v>3963.67444817267</v>
      </c>
      <c r="I53" s="33" t="n">
        <f aca="false">Staff!I103/FX_EUR</f>
        <v>3963.67444817267</v>
      </c>
      <c r="J53" s="33" t="n">
        <f aca="false">Staff!J103/FX_EUR</f>
        <v>3963.67444817267</v>
      </c>
      <c r="K53" s="33" t="n">
        <f aca="false">Staff!K103/FX_EUR</f>
        <v>3963.67444817267</v>
      </c>
      <c r="L53" s="33" t="n">
        <f aca="false">Staff!L103/FX_EUR</f>
        <v>3963.67444817267</v>
      </c>
      <c r="M53" s="33" t="n">
        <f aca="false">Staff!M103/FX_EUR</f>
        <v>3963.67444817267</v>
      </c>
      <c r="N53" s="33" t="n">
        <f aca="false">Staff!N103/FX_EUR</f>
        <v>3963.67444817267</v>
      </c>
      <c r="O53" s="33" t="n">
        <f aca="false">Staff!O103/FX_EUR</f>
        <v>3963.67444817267</v>
      </c>
      <c r="P53" s="33" t="n">
        <f aca="false">Staff!P103/FX_EUR</f>
        <v>3963.67444817267</v>
      </c>
      <c r="Q53" s="33" t="n">
        <f aca="false">Staff!Q103/FX_EUR</f>
        <v>4161.8581705813</v>
      </c>
      <c r="R53" s="33" t="n">
        <f aca="false">Staff!R103/FX_EUR</f>
        <v>4161.8581705813</v>
      </c>
      <c r="S53" s="33" t="n">
        <f aca="false">Staff!S103/FX_EUR</f>
        <v>4161.8581705813</v>
      </c>
      <c r="T53" s="33" t="n">
        <f aca="false">Staff!T103/FX_EUR</f>
        <v>4161.8581705813</v>
      </c>
      <c r="U53" s="33" t="n">
        <f aca="false">Staff!U103/FX_EUR</f>
        <v>4161.8581705813</v>
      </c>
      <c r="V53" s="33" t="n">
        <f aca="false">Staff!V103/FX_EUR</f>
        <v>6034.69434734289</v>
      </c>
      <c r="W53" s="33" t="n">
        <f aca="false">Staff!W103/FX_EUR</f>
        <v>6034.69434734289</v>
      </c>
      <c r="X53" s="33" t="n">
        <f aca="false">Staff!X103/FX_EUR</f>
        <v>6867.06598145915</v>
      </c>
      <c r="Y53" s="33" t="n">
        <f aca="false">Staff!Y103/FX_EUR</f>
        <v>6867.06598145915</v>
      </c>
      <c r="Z53" s="33" t="n">
        <f aca="false">Staff!Z103/FX_EUR</f>
        <v>6867.06598145915</v>
      </c>
      <c r="AA53" s="33" t="n">
        <f aca="false">Staff!AA103/FX_EUR</f>
        <v>6867.06598145915</v>
      </c>
      <c r="AB53" s="33" t="n">
        <f aca="false">Staff!AB103/FX_EUR</f>
        <v>6867.06598145915</v>
      </c>
      <c r="AC53" s="33" t="n">
        <f aca="false">Staff!AC103/FX_EUR</f>
        <v>7210.41928053211</v>
      </c>
      <c r="AD53" s="33" t="n">
        <f aca="false">Staff!AD103/FX_EUR</f>
        <v>8084.40949635418</v>
      </c>
      <c r="AE53" s="33" t="n">
        <f aca="false">Staff!AE103/FX_EUR</f>
        <v>8084.40949635418</v>
      </c>
      <c r="AF53" s="33" t="n">
        <f aca="false">Staff!AF103/FX_EUR</f>
        <v>8084.40949635418</v>
      </c>
      <c r="AG53" s="33" t="n">
        <f aca="false">Staff!AG103/FX_EUR</f>
        <v>8084.40949635418</v>
      </c>
      <c r="AH53" s="33" t="n">
        <f aca="false">Staff!AH103/FX_EUR</f>
        <v>8958.39971217626</v>
      </c>
      <c r="AI53" s="33" t="n">
        <f aca="false">Staff!AI103/FX_EUR</f>
        <v>8958.39971217626</v>
      </c>
      <c r="AJ53" s="33" t="n">
        <f aca="false">Staff!AJ103/FX_EUR</f>
        <v>8958.39971217626</v>
      </c>
      <c r="AK53" s="33" t="n">
        <f aca="false">Staff!AK103/FX_EUR</f>
        <v>8958.39971217626</v>
      </c>
      <c r="AL53" s="33" t="n">
        <f aca="false">Staff!AL103/FX_EUR</f>
        <v>9832.38992799833</v>
      </c>
      <c r="AM53" s="33" t="n">
        <f aca="false">Staff!AM103/FX_EUR</f>
        <v>9832.38992799833</v>
      </c>
      <c r="AN53" s="33" t="n">
        <f aca="false">Staff!AN103/FX_EUR</f>
        <v>10815.6289207982</v>
      </c>
      <c r="AO53" s="33" t="n">
        <f aca="false">Staff!AO103/FX_EUR</f>
        <v>12274.1000934512</v>
      </c>
      <c r="AP53" s="33" t="n">
        <f aca="false">Staff!AP103/FX_EUR</f>
        <v>12274.1000934512</v>
      </c>
      <c r="AQ53" s="33" t="n">
        <f aca="false">Staff!AQ103/FX_EUR</f>
        <v>12274.1000934512</v>
      </c>
      <c r="AR53" s="33" t="n">
        <f aca="false">Staff!AR103/FX_EUR</f>
        <v>13191.7898200644</v>
      </c>
      <c r="AS53" s="33" t="n">
        <f aca="false">Staff!AS103/FX_EUR</f>
        <v>13191.7898200644</v>
      </c>
      <c r="AT53" s="33" t="n">
        <f aca="false">Staff!AT103/FX_EUR</f>
        <v>13191.7898200644</v>
      </c>
      <c r="AU53" s="33" t="n">
        <f aca="false">Staff!AU103/FX_EUR</f>
        <v>15141.8804891174</v>
      </c>
      <c r="AV53" s="33" t="n">
        <f aca="false">Staff!AV103/FX_EUR</f>
        <v>15141.8804891174</v>
      </c>
      <c r="AW53" s="33" t="n">
        <f aca="false">Staff!AW103/FX_EUR</f>
        <v>16059.5702157306</v>
      </c>
      <c r="AX53" s="33" t="n">
        <f aca="false">Staff!AX103/FX_EUR</f>
        <v>16059.5702157306</v>
      </c>
      <c r="AY53" s="33" t="n">
        <f aca="false">Staff!AY103/FX_EUR</f>
        <v>16059.5702157306</v>
      </c>
      <c r="AZ53" s="33" t="n">
        <f aca="false">Staff!AZ103/FX_EUR</f>
        <v>18009.6608847836</v>
      </c>
      <c r="BA53" s="33" t="n">
        <f aca="false">Staff!BA103/FX_EUR</f>
        <v>18910.1439290228</v>
      </c>
      <c r="BB53" s="33" t="n">
        <f aca="false">Staff!BB103/FX_EUR</f>
        <v>19873.7181419666</v>
      </c>
      <c r="BC53" s="33" t="n">
        <f aca="false">Staff!BC103/FX_EUR</f>
        <v>19873.7181419666</v>
      </c>
      <c r="BD53" s="33" t="n">
        <f aca="false">Staff!BD103/FX_EUR</f>
        <v>20957.7391315284</v>
      </c>
      <c r="BE53" s="33" t="n">
        <f aca="false">Staff!BE103/FX_EUR</f>
        <v>21921.3133444723</v>
      </c>
      <c r="BF53" s="33" t="n">
        <f aca="false">Staff!BF103/FX_EUR</f>
        <v>21921.3133444723</v>
      </c>
      <c r="BG53" s="33" t="n">
        <f aca="false">Staff!BG103/FX_EUR</f>
        <v>22884.8875574161</v>
      </c>
      <c r="BH53" s="33" t="n">
        <f aca="false">Staff!BH103/FX_EUR</f>
        <v>23968.9085469779</v>
      </c>
      <c r="BI53" s="33" t="n">
        <f aca="false">Staff!BI103/FX_EUR</f>
        <v>24932.4827599218</v>
      </c>
      <c r="BJ53" s="33" t="n">
        <f aca="false">Staff!BJ103/FX_EUR</f>
        <v>24932.4827599218</v>
      </c>
      <c r="BK53" s="33" t="n">
        <f aca="false">Staff!BK103/FX_EUR</f>
        <v>25896.0569728656</v>
      </c>
      <c r="BL53" s="33" t="n">
        <f aca="false">Staff!BL103/FX_EUR</f>
        <v>26980.0779624274</v>
      </c>
    </row>
    <row r="54" customFormat="false" ht="15" hidden="false" customHeight="true" outlineLevel="0" collapsed="false">
      <c r="A54" s="13" t="s">
        <v>1171</v>
      </c>
      <c r="B54" s="15" t="s">
        <v>79</v>
      </c>
      <c r="D54" s="56" t="n">
        <f aca="false">Staff!D104/FX_EUR</f>
        <v>162312.166422494</v>
      </c>
      <c r="E54" s="33" t="n">
        <f aca="false">Staff!E104/FX_EUR</f>
        <v>0</v>
      </c>
      <c r="F54" s="33" t="n">
        <f aca="false">Staff!F104/FX_EUR</f>
        <v>0</v>
      </c>
      <c r="G54" s="33" t="n">
        <f aca="false">Staff!G104/FX_EUR</f>
        <v>0</v>
      </c>
      <c r="H54" s="33" t="n">
        <f aca="false">Staff!H104/FX_EUR</f>
        <v>1783.6535016777</v>
      </c>
      <c r="I54" s="33" t="n">
        <f aca="false">Staff!I104/FX_EUR</f>
        <v>2576.38839131224</v>
      </c>
      <c r="J54" s="33" t="n">
        <f aca="false">Staff!J104/FX_EUR</f>
        <v>2576.38839131224</v>
      </c>
      <c r="K54" s="33" t="n">
        <f aca="false">Staff!K104/FX_EUR</f>
        <v>2576.38839131224</v>
      </c>
      <c r="L54" s="33" t="n">
        <f aca="false">Staff!L104/FX_EUR</f>
        <v>2576.38839131224</v>
      </c>
      <c r="M54" s="33" t="n">
        <f aca="false">Staff!M104/FX_EUR</f>
        <v>2576.38839131224</v>
      </c>
      <c r="N54" s="33" t="n">
        <f aca="false">Staff!N104/FX_EUR</f>
        <v>2576.38839131224</v>
      </c>
      <c r="O54" s="33" t="n">
        <f aca="false">Staff!O104/FX_EUR</f>
        <v>2576.38839131224</v>
      </c>
      <c r="P54" s="33" t="n">
        <f aca="false">Staff!P104/FX_EUR</f>
        <v>2576.38839131224</v>
      </c>
      <c r="Q54" s="33" t="n">
        <f aca="false">Staff!Q104/FX_EUR</f>
        <v>2705.20781087785</v>
      </c>
      <c r="R54" s="33" t="n">
        <f aca="false">Staff!R104/FX_EUR</f>
        <v>2705.20781087785</v>
      </c>
      <c r="S54" s="33" t="n">
        <f aca="false">Staff!S104/FX_EUR</f>
        <v>2705.20781087785</v>
      </c>
      <c r="T54" s="33" t="n">
        <f aca="false">Staff!T104/FX_EUR</f>
        <v>2705.20781087785</v>
      </c>
      <c r="U54" s="33" t="n">
        <f aca="false">Staff!U104/FX_EUR</f>
        <v>2705.20781087785</v>
      </c>
      <c r="V54" s="33" t="n">
        <f aca="false">Staff!V104/FX_EUR</f>
        <v>2705.20781087785</v>
      </c>
      <c r="W54" s="33" t="n">
        <f aca="false">Staff!W104/FX_EUR</f>
        <v>2705.20781087785</v>
      </c>
      <c r="X54" s="33" t="n">
        <f aca="false">Staff!X104/FX_EUR</f>
        <v>2705.20781087785</v>
      </c>
      <c r="Y54" s="33" t="n">
        <f aca="false">Staff!Y104/FX_EUR</f>
        <v>2705.20781087785</v>
      </c>
      <c r="Z54" s="33" t="n">
        <f aca="false">Staff!Z104/FX_EUR</f>
        <v>2705.20781087785</v>
      </c>
      <c r="AA54" s="33" t="n">
        <f aca="false">Staff!AA104/FX_EUR</f>
        <v>2705.20781087785</v>
      </c>
      <c r="AB54" s="33" t="n">
        <f aca="false">Staff!AB104/FX_EUR</f>
        <v>2705.20781087785</v>
      </c>
      <c r="AC54" s="33" t="n">
        <f aca="false">Staff!AC104/FX_EUR</f>
        <v>2840.46820142174</v>
      </c>
      <c r="AD54" s="33" t="n">
        <f aca="false">Staff!AD104/FX_EUR</f>
        <v>2840.46820142174</v>
      </c>
      <c r="AE54" s="33" t="n">
        <f aca="false">Staff!AE104/FX_EUR</f>
        <v>2840.46820142174</v>
      </c>
      <c r="AF54" s="33" t="n">
        <f aca="false">Staff!AF104/FX_EUR</f>
        <v>2840.46820142174</v>
      </c>
      <c r="AG54" s="33" t="n">
        <f aca="false">Staff!AG104/FX_EUR</f>
        <v>2840.46820142174</v>
      </c>
      <c r="AH54" s="33" t="n">
        <f aca="false">Staff!AH104/FX_EUR</f>
        <v>2840.46820142174</v>
      </c>
      <c r="AI54" s="33" t="n">
        <f aca="false">Staff!AI104/FX_EUR</f>
        <v>2840.46820142174</v>
      </c>
      <c r="AJ54" s="33" t="n">
        <f aca="false">Staff!AJ104/FX_EUR</f>
        <v>2840.46820142174</v>
      </c>
      <c r="AK54" s="33" t="n">
        <f aca="false">Staff!AK104/FX_EUR</f>
        <v>2840.46820142174</v>
      </c>
      <c r="AL54" s="33" t="n">
        <f aca="false">Staff!AL104/FX_EUR</f>
        <v>2840.46820142174</v>
      </c>
      <c r="AM54" s="33" t="n">
        <f aca="false">Staff!AM104/FX_EUR</f>
        <v>2840.46820142174</v>
      </c>
      <c r="AN54" s="33" t="n">
        <f aca="false">Staff!AN104/FX_EUR</f>
        <v>2840.46820142174</v>
      </c>
      <c r="AO54" s="33" t="n">
        <f aca="false">Staff!AO104/FX_EUR</f>
        <v>2982.49161149283</v>
      </c>
      <c r="AP54" s="33" t="n">
        <f aca="false">Staff!AP104/FX_EUR</f>
        <v>2982.49161149283</v>
      </c>
      <c r="AQ54" s="33" t="n">
        <f aca="false">Staff!AQ104/FX_EUR</f>
        <v>2982.49161149283</v>
      </c>
      <c r="AR54" s="33" t="n">
        <f aca="false">Staff!AR104/FX_EUR</f>
        <v>2982.49161149283</v>
      </c>
      <c r="AS54" s="33" t="n">
        <f aca="false">Staff!AS104/FX_EUR</f>
        <v>2982.49161149283</v>
      </c>
      <c r="AT54" s="33" t="n">
        <f aca="false">Staff!AT104/FX_EUR</f>
        <v>2982.49161149283</v>
      </c>
      <c r="AU54" s="33" t="n">
        <f aca="false">Staff!AU104/FX_EUR</f>
        <v>2982.49161149283</v>
      </c>
      <c r="AV54" s="33" t="n">
        <f aca="false">Staff!AV104/FX_EUR</f>
        <v>2982.49161149283</v>
      </c>
      <c r="AW54" s="33" t="n">
        <f aca="false">Staff!AW104/FX_EUR</f>
        <v>2982.49161149283</v>
      </c>
      <c r="AX54" s="33" t="n">
        <f aca="false">Staff!AX104/FX_EUR</f>
        <v>2982.49161149283</v>
      </c>
      <c r="AY54" s="33" t="n">
        <f aca="false">Staff!AY104/FX_EUR</f>
        <v>2982.49161149283</v>
      </c>
      <c r="AZ54" s="33" t="n">
        <f aca="false">Staff!AZ104/FX_EUR</f>
        <v>2982.49161149283</v>
      </c>
      <c r="BA54" s="33" t="n">
        <f aca="false">Staff!BA104/FX_EUR</f>
        <v>3131.61619206747</v>
      </c>
      <c r="BB54" s="33" t="n">
        <f aca="false">Staff!BB104/FX_EUR</f>
        <v>3131.61619206747</v>
      </c>
      <c r="BC54" s="33" t="n">
        <f aca="false">Staff!BC104/FX_EUR</f>
        <v>3131.61619206747</v>
      </c>
      <c r="BD54" s="33" t="n">
        <f aca="false">Staff!BD104/FX_EUR</f>
        <v>3131.61619206747</v>
      </c>
      <c r="BE54" s="33" t="n">
        <f aca="false">Staff!BE104/FX_EUR</f>
        <v>3131.61619206747</v>
      </c>
      <c r="BF54" s="33" t="n">
        <f aca="false">Staff!BF104/FX_EUR</f>
        <v>3131.61619206747</v>
      </c>
      <c r="BG54" s="33" t="n">
        <f aca="false">Staff!BG104/FX_EUR</f>
        <v>3131.61619206747</v>
      </c>
      <c r="BH54" s="33" t="n">
        <f aca="false">Staff!BH104/FX_EUR</f>
        <v>3131.61619206747</v>
      </c>
      <c r="BI54" s="33" t="n">
        <f aca="false">Staff!BI104/FX_EUR</f>
        <v>3131.61619206747</v>
      </c>
      <c r="BJ54" s="33" t="n">
        <f aca="false">Staff!BJ104/FX_EUR</f>
        <v>3131.61619206747</v>
      </c>
      <c r="BK54" s="33" t="n">
        <f aca="false">Staff!BK104/FX_EUR</f>
        <v>3131.61619206747</v>
      </c>
      <c r="BL54" s="33" t="n">
        <f aca="false">Staff!BL104/FX_EUR</f>
        <v>3131.61619206747</v>
      </c>
    </row>
    <row r="55" customFormat="false" ht="15" hidden="false" customHeight="true" outlineLevel="0" collapsed="false">
      <c r="A55" s="13" t="s">
        <v>1172</v>
      </c>
      <c r="B55" s="15" t="s">
        <v>79</v>
      </c>
      <c r="D55" s="56" t="n">
        <f aca="false">Staff!D105/FX_EUR</f>
        <v>197116.230560845</v>
      </c>
      <c r="E55" s="33" t="n">
        <f aca="false">Staff!E105/FX_EUR</f>
        <v>2972.7558361295</v>
      </c>
      <c r="F55" s="33" t="n">
        <f aca="false">Staff!F105/FX_EUR</f>
        <v>2972.7558361295</v>
      </c>
      <c r="G55" s="33" t="n">
        <f aca="false">Staff!G105/FX_EUR</f>
        <v>2972.7558361295</v>
      </c>
      <c r="H55" s="33" t="n">
        <f aca="false">Staff!H105/FX_EUR</f>
        <v>2972.7558361295</v>
      </c>
      <c r="I55" s="33" t="n">
        <f aca="false">Staff!I105/FX_EUR</f>
        <v>2972.7558361295</v>
      </c>
      <c r="J55" s="33" t="n">
        <f aca="false">Staff!J105/FX_EUR</f>
        <v>2972.7558361295</v>
      </c>
      <c r="K55" s="33" t="n">
        <f aca="false">Staff!K105/FX_EUR</f>
        <v>2972.7558361295</v>
      </c>
      <c r="L55" s="33" t="n">
        <f aca="false">Staff!L105/FX_EUR</f>
        <v>2972.7558361295</v>
      </c>
      <c r="M55" s="33" t="n">
        <f aca="false">Staff!M105/FX_EUR</f>
        <v>2972.7558361295</v>
      </c>
      <c r="N55" s="33" t="n">
        <f aca="false">Staff!N105/FX_EUR</f>
        <v>2972.7558361295</v>
      </c>
      <c r="O55" s="33" t="n">
        <f aca="false">Staff!O105/FX_EUR</f>
        <v>2972.7558361295</v>
      </c>
      <c r="P55" s="33" t="n">
        <f aca="false">Staff!P105/FX_EUR</f>
        <v>2972.7558361295</v>
      </c>
      <c r="Q55" s="33" t="n">
        <f aca="false">Staff!Q105/FX_EUR</f>
        <v>3121.39362793598</v>
      </c>
      <c r="R55" s="33" t="n">
        <f aca="false">Staff!R105/FX_EUR</f>
        <v>3121.39362793598</v>
      </c>
      <c r="S55" s="33" t="n">
        <f aca="false">Staff!S105/FX_EUR</f>
        <v>3121.39362793598</v>
      </c>
      <c r="T55" s="33" t="n">
        <f aca="false">Staff!T105/FX_EUR</f>
        <v>3121.39362793598</v>
      </c>
      <c r="U55" s="33" t="n">
        <f aca="false">Staff!U105/FX_EUR</f>
        <v>3121.39362793598</v>
      </c>
      <c r="V55" s="33" t="n">
        <f aca="false">Staff!V105/FX_EUR</f>
        <v>3121.39362793598</v>
      </c>
      <c r="W55" s="33" t="n">
        <f aca="false">Staff!W105/FX_EUR</f>
        <v>3121.39362793598</v>
      </c>
      <c r="X55" s="33" t="n">
        <f aca="false">Staff!X105/FX_EUR</f>
        <v>3121.39362793598</v>
      </c>
      <c r="Y55" s="33" t="n">
        <f aca="false">Staff!Y105/FX_EUR</f>
        <v>3121.39362793598</v>
      </c>
      <c r="Z55" s="33" t="n">
        <f aca="false">Staff!Z105/FX_EUR</f>
        <v>3121.39362793598</v>
      </c>
      <c r="AA55" s="33" t="n">
        <f aca="false">Staff!AA105/FX_EUR</f>
        <v>3121.39362793598</v>
      </c>
      <c r="AB55" s="33" t="n">
        <f aca="false">Staff!AB105/FX_EUR</f>
        <v>3121.39362793598</v>
      </c>
      <c r="AC55" s="33" t="n">
        <f aca="false">Staff!AC105/FX_EUR</f>
        <v>3277.46330933278</v>
      </c>
      <c r="AD55" s="33" t="n">
        <f aca="false">Staff!AD105/FX_EUR</f>
        <v>3277.46330933278</v>
      </c>
      <c r="AE55" s="33" t="n">
        <f aca="false">Staff!AE105/FX_EUR</f>
        <v>3277.46330933278</v>
      </c>
      <c r="AF55" s="33" t="n">
        <f aca="false">Staff!AF105/FX_EUR</f>
        <v>3277.46330933278</v>
      </c>
      <c r="AG55" s="33" t="n">
        <f aca="false">Staff!AG105/FX_EUR</f>
        <v>3277.46330933278</v>
      </c>
      <c r="AH55" s="33" t="n">
        <f aca="false">Staff!AH105/FX_EUR</f>
        <v>3277.46330933278</v>
      </c>
      <c r="AI55" s="33" t="n">
        <f aca="false">Staff!AI105/FX_EUR</f>
        <v>3277.46330933278</v>
      </c>
      <c r="AJ55" s="33" t="n">
        <f aca="false">Staff!AJ105/FX_EUR</f>
        <v>3277.46330933278</v>
      </c>
      <c r="AK55" s="33" t="n">
        <f aca="false">Staff!AK105/FX_EUR</f>
        <v>3277.46330933278</v>
      </c>
      <c r="AL55" s="33" t="n">
        <f aca="false">Staff!AL105/FX_EUR</f>
        <v>3277.46330933278</v>
      </c>
      <c r="AM55" s="33" t="n">
        <f aca="false">Staff!AM105/FX_EUR</f>
        <v>3277.46330933278</v>
      </c>
      <c r="AN55" s="33" t="n">
        <f aca="false">Staff!AN105/FX_EUR</f>
        <v>3277.46330933278</v>
      </c>
      <c r="AO55" s="33" t="n">
        <f aca="false">Staff!AO105/FX_EUR</f>
        <v>3441.33647479942</v>
      </c>
      <c r="AP55" s="33" t="n">
        <f aca="false">Staff!AP105/FX_EUR</f>
        <v>3441.33647479942</v>
      </c>
      <c r="AQ55" s="33" t="n">
        <f aca="false">Staff!AQ105/FX_EUR</f>
        <v>3441.33647479942</v>
      </c>
      <c r="AR55" s="33" t="n">
        <f aca="false">Staff!AR105/FX_EUR</f>
        <v>3441.33647479942</v>
      </c>
      <c r="AS55" s="33" t="n">
        <f aca="false">Staff!AS105/FX_EUR</f>
        <v>3441.33647479942</v>
      </c>
      <c r="AT55" s="33" t="n">
        <f aca="false">Staff!AT105/FX_EUR</f>
        <v>3441.33647479942</v>
      </c>
      <c r="AU55" s="33" t="n">
        <f aca="false">Staff!AU105/FX_EUR</f>
        <v>3441.33647479942</v>
      </c>
      <c r="AV55" s="33" t="n">
        <f aca="false">Staff!AV105/FX_EUR</f>
        <v>3441.33647479942</v>
      </c>
      <c r="AW55" s="33" t="n">
        <f aca="false">Staff!AW105/FX_EUR</f>
        <v>3441.33647479942</v>
      </c>
      <c r="AX55" s="33" t="n">
        <f aca="false">Staff!AX105/FX_EUR</f>
        <v>3441.33647479942</v>
      </c>
      <c r="AY55" s="33" t="n">
        <f aca="false">Staff!AY105/FX_EUR</f>
        <v>3441.33647479942</v>
      </c>
      <c r="AZ55" s="33" t="n">
        <f aca="false">Staff!AZ105/FX_EUR</f>
        <v>3441.33647479942</v>
      </c>
      <c r="BA55" s="33" t="n">
        <f aca="false">Staff!BA105/FX_EUR</f>
        <v>3613.40329853939</v>
      </c>
      <c r="BB55" s="33" t="n">
        <f aca="false">Staff!BB105/FX_EUR</f>
        <v>3613.40329853939</v>
      </c>
      <c r="BC55" s="33" t="n">
        <f aca="false">Staff!BC105/FX_EUR</f>
        <v>3613.40329853939</v>
      </c>
      <c r="BD55" s="33" t="n">
        <f aca="false">Staff!BD105/FX_EUR</f>
        <v>3613.40329853939</v>
      </c>
      <c r="BE55" s="33" t="n">
        <f aca="false">Staff!BE105/FX_EUR</f>
        <v>3613.40329853939</v>
      </c>
      <c r="BF55" s="33" t="n">
        <f aca="false">Staff!BF105/FX_EUR</f>
        <v>3613.40329853939</v>
      </c>
      <c r="BG55" s="33" t="n">
        <f aca="false">Staff!BG105/FX_EUR</f>
        <v>3613.40329853939</v>
      </c>
      <c r="BH55" s="33" t="n">
        <f aca="false">Staff!BH105/FX_EUR</f>
        <v>3613.40329853939</v>
      </c>
      <c r="BI55" s="33" t="n">
        <f aca="false">Staff!BI105/FX_EUR</f>
        <v>3613.40329853939</v>
      </c>
      <c r="BJ55" s="33" t="n">
        <f aca="false">Staff!BJ105/FX_EUR</f>
        <v>3613.40329853939</v>
      </c>
      <c r="BK55" s="33" t="n">
        <f aca="false">Staff!BK105/FX_EUR</f>
        <v>3613.40329853939</v>
      </c>
      <c r="BL55" s="33" t="n">
        <f aca="false">Staff!BL105/FX_EUR</f>
        <v>3613.40329853939</v>
      </c>
    </row>
    <row r="56" customFormat="false" ht="15" hidden="false" customHeight="true" outlineLevel="0" collapsed="false">
      <c r="A56" s="9" t="s">
        <v>1173</v>
      </c>
      <c r="B56" s="15" t="s">
        <v>79</v>
      </c>
      <c r="D56" s="56" t="n">
        <f aca="false">Staff!D106/FX_EUR</f>
        <v>3143122.78147615</v>
      </c>
      <c r="E56" s="17" t="n">
        <f aca="false">Staff!E106/FX_EUR</f>
        <v>15061.9629030561</v>
      </c>
      <c r="F56" s="17" t="n">
        <f aca="false">Staff!F106/FX_EUR</f>
        <v>15061.9629030561</v>
      </c>
      <c r="G56" s="17" t="n">
        <f aca="false">Staff!G106/FX_EUR</f>
        <v>15061.9629030561</v>
      </c>
      <c r="H56" s="17" t="n">
        <f aca="false">Staff!H106/FX_EUR</f>
        <v>19540.9150294913</v>
      </c>
      <c r="I56" s="17" t="n">
        <f aca="false">Staff!I106/FX_EUR</f>
        <v>20333.6499191258</v>
      </c>
      <c r="J56" s="17" t="n">
        <f aca="false">Staff!J106/FX_EUR</f>
        <v>20333.6499191258</v>
      </c>
      <c r="K56" s="17" t="n">
        <f aca="false">Staff!K106/FX_EUR</f>
        <v>20333.6499191258</v>
      </c>
      <c r="L56" s="17" t="n">
        <f aca="false">Staff!L106/FX_EUR</f>
        <v>20333.6499191258</v>
      </c>
      <c r="M56" s="17" t="n">
        <f aca="false">Staff!M106/FX_EUR</f>
        <v>20333.6499191258</v>
      </c>
      <c r="N56" s="17" t="n">
        <f aca="false">Staff!N106/FX_EUR</f>
        <v>20333.6499191258</v>
      </c>
      <c r="O56" s="17" t="n">
        <f aca="false">Staff!O106/FX_EUR</f>
        <v>20333.6499191258</v>
      </c>
      <c r="P56" s="17" t="n">
        <f aca="false">Staff!P106/FX_EUR</f>
        <v>20333.6499191258</v>
      </c>
      <c r="Q56" s="17" t="n">
        <f aca="false">Staff!Q106/FX_EUR</f>
        <v>26552.6551283087</v>
      </c>
      <c r="R56" s="17" t="n">
        <f aca="false">Staff!R106/FX_EUR</f>
        <v>26552.6551283087</v>
      </c>
      <c r="S56" s="17" t="n">
        <f aca="false">Staff!S106/FX_EUR</f>
        <v>26552.6551283087</v>
      </c>
      <c r="T56" s="17" t="n">
        <f aca="false">Staff!T106/FX_EUR</f>
        <v>27801.2125794831</v>
      </c>
      <c r="U56" s="17" t="n">
        <f aca="false">Staff!U106/FX_EUR</f>
        <v>27801.2125794831</v>
      </c>
      <c r="V56" s="17" t="n">
        <f aca="false">Staff!V106/FX_EUR</f>
        <v>35500.6501950585</v>
      </c>
      <c r="W56" s="17" t="n">
        <f aca="false">Staff!W106/FX_EUR</f>
        <v>35500.6501950585</v>
      </c>
      <c r="X56" s="17" t="n">
        <f aca="false">Staff!X106/FX_EUR</f>
        <v>36333.0218291748</v>
      </c>
      <c r="Y56" s="17" t="n">
        <f aca="false">Staff!Y106/FX_EUR</f>
        <v>36915.6819730562</v>
      </c>
      <c r="Z56" s="17" t="n">
        <f aca="false">Staff!Z106/FX_EUR</f>
        <v>36915.6819730562</v>
      </c>
      <c r="AA56" s="17" t="n">
        <f aca="false">Staff!AA106/FX_EUR</f>
        <v>36915.6819730562</v>
      </c>
      <c r="AB56" s="17" t="n">
        <f aca="false">Staff!AB106/FX_EUR</f>
        <v>40037.0756009921</v>
      </c>
      <c r="AC56" s="17" t="n">
        <f aca="false">Staff!AC106/FX_EUR</f>
        <v>42650.7225321172</v>
      </c>
      <c r="AD56" s="17" t="n">
        <f aca="false">Staff!AD106/FX_EUR</f>
        <v>43524.7127479393</v>
      </c>
      <c r="AE56" s="17" t="n">
        <f aca="false">Staff!AE106/FX_EUR</f>
        <v>43524.7127479393</v>
      </c>
      <c r="AF56" s="17" t="n">
        <f aca="false">Staff!AF106/FX_EUR</f>
        <v>46758.4765464809</v>
      </c>
      <c r="AG56" s="17" t="n">
        <f aca="false">Staff!AG106/FX_EUR</f>
        <v>49293.048172365</v>
      </c>
      <c r="AH56" s="17" t="n">
        <f aca="false">Staff!AH106/FX_EUR</f>
        <v>50167.038388187</v>
      </c>
      <c r="AI56" s="17" t="n">
        <f aca="false">Staff!AI106/FX_EUR</f>
        <v>50778.8315392625</v>
      </c>
      <c r="AJ56" s="17" t="n">
        <f aca="false">Staff!AJ106/FX_EUR</f>
        <v>50778.8315392625</v>
      </c>
      <c r="AK56" s="17" t="n">
        <f aca="false">Staff!AK106/FX_EUR</f>
        <v>51390.6246903379</v>
      </c>
      <c r="AL56" s="17" t="n">
        <f aca="false">Staff!AL106/FX_EUR</f>
        <v>53575.6002298931</v>
      </c>
      <c r="AM56" s="17" t="n">
        <f aca="false">Staff!AM106/FX_EUR</f>
        <v>54187.3933809686</v>
      </c>
      <c r="AN56" s="17" t="n">
        <f aca="false">Staff!AN106/FX_EUR</f>
        <v>55170.6323737684</v>
      </c>
      <c r="AO56" s="17" t="n">
        <f aca="false">Staff!AO106/FX_EUR</f>
        <v>59489.2365276992</v>
      </c>
      <c r="AP56" s="17" t="n">
        <f aca="false">Staff!AP106/FX_EUR</f>
        <v>59489.2365276992</v>
      </c>
      <c r="AQ56" s="17" t="n">
        <f aca="false">Staff!AQ106/FX_EUR</f>
        <v>61508.1539262482</v>
      </c>
      <c r="AR56" s="17" t="n">
        <f aca="false">Staff!AR106/FX_EUR</f>
        <v>65821.2956413302</v>
      </c>
      <c r="AS56" s="17" t="n">
        <f aca="false">Staff!AS106/FX_EUR</f>
        <v>65821.2956413302</v>
      </c>
      <c r="AT56" s="17" t="n">
        <f aca="false">Staff!AT106/FX_EUR</f>
        <v>66463.6784499594</v>
      </c>
      <c r="AU56" s="17" t="n">
        <f aca="false">Staff!AU106/FX_EUR</f>
        <v>69056.1519276416</v>
      </c>
      <c r="AV56" s="17" t="n">
        <f aca="false">Staff!AV106/FX_EUR</f>
        <v>69056.1519276416</v>
      </c>
      <c r="AW56" s="17" t="n">
        <f aca="false">Staff!AW106/FX_EUR</f>
        <v>71992.7590528038</v>
      </c>
      <c r="AX56" s="17" t="n">
        <f aca="false">Staff!AX106/FX_EUR</f>
        <v>72635.141861433</v>
      </c>
      <c r="AY56" s="17" t="n">
        <f aca="false">Staff!AY106/FX_EUR</f>
        <v>73277.5246700622</v>
      </c>
      <c r="AZ56" s="17" t="n">
        <f aca="false">Staff!AZ106/FX_EUR</f>
        <v>75227.6153391152</v>
      </c>
      <c r="BA56" s="17" t="n">
        <f aca="false">Staff!BA106/FX_EUR</f>
        <v>82554.2206939632</v>
      </c>
      <c r="BB56" s="17" t="n">
        <f aca="false">Staff!BB106/FX_EUR</f>
        <v>85637.6581753835</v>
      </c>
      <c r="BC56" s="17" t="n">
        <f aca="false">Staff!BC106/FX_EUR</f>
        <v>86312.1601244441</v>
      </c>
      <c r="BD56" s="17" t="n">
        <f aca="false">Staff!BD106/FX_EUR</f>
        <v>88070.6830630666</v>
      </c>
      <c r="BE56" s="17" t="n">
        <f aca="false">Staff!BE106/FX_EUR</f>
        <v>89034.2572760105</v>
      </c>
      <c r="BF56" s="17" t="n">
        <f aca="false">Staff!BF106/FX_EUR</f>
        <v>91154.1205444869</v>
      </c>
      <c r="BG56" s="17" t="n">
        <f aca="false">Staff!BG106/FX_EUR</f>
        <v>92792.1967064915</v>
      </c>
      <c r="BH56" s="17" t="n">
        <f aca="false">Staff!BH106/FX_EUR</f>
        <v>97441.4422839455</v>
      </c>
      <c r="BI56" s="17" t="n">
        <f aca="false">Staff!BI106/FX_EUR</f>
        <v>99079.51844595</v>
      </c>
      <c r="BJ56" s="17" t="n">
        <f aca="false">Staff!BJ106/FX_EUR</f>
        <v>101199.381714426</v>
      </c>
      <c r="BK56" s="17" t="n">
        <f aca="false">Staff!BK106/FX_EUR</f>
        <v>102837.457876431</v>
      </c>
      <c r="BL56" s="17" t="n">
        <f aca="false">Staff!BL106/FX_EUR</f>
        <v>104595.980815053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24</v>
      </c>
    </row>
    <row r="2" customFormat="false" ht="15" hidden="false" customHeight="true" outlineLevel="0" collapsed="false">
      <c r="A2" s="3" t="s">
        <v>1176</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1177</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1178</v>
      </c>
      <c r="B9" s="15" t="s">
        <v>782</v>
      </c>
      <c r="E9" s="57" t="n">
        <f aca="false">IF(E$3&gt;=Launch_SN,1,0)</f>
        <v>0</v>
      </c>
      <c r="F9" s="57" t="n">
        <f aca="false">IF(F$3&gt;=Launch_SN,1,0)</f>
        <v>0</v>
      </c>
      <c r="G9" s="57" t="n">
        <f aca="false">IF(G$3&gt;=Launch_SN,1,0)</f>
        <v>0</v>
      </c>
      <c r="H9" s="57" t="n">
        <f aca="false">IF(H$3&gt;=Launch_SN,1,0)</f>
        <v>0</v>
      </c>
      <c r="I9" s="57" t="n">
        <f aca="false">IF(I$3&gt;=Launch_SN,1,0)</f>
        <v>1</v>
      </c>
      <c r="J9" s="57" t="n">
        <f aca="false">IF(J$3&gt;=Launch_SN,1,0)</f>
        <v>1</v>
      </c>
      <c r="K9" s="57" t="n">
        <f aca="false">IF(K$3&gt;=Launch_SN,1,0)</f>
        <v>1</v>
      </c>
      <c r="L9" s="57" t="n">
        <f aca="false">IF(L$3&gt;=Launch_SN,1,0)</f>
        <v>1</v>
      </c>
      <c r="M9" s="57" t="n">
        <f aca="false">IF(M$3&gt;=Launch_SN,1,0)</f>
        <v>1</v>
      </c>
      <c r="N9" s="57" t="n">
        <f aca="false">IF(N$3&gt;=Launch_SN,1,0)</f>
        <v>1</v>
      </c>
      <c r="O9" s="57" t="n">
        <f aca="false">IF(O$3&gt;=Launch_SN,1,0)</f>
        <v>1</v>
      </c>
      <c r="P9" s="57" t="n">
        <f aca="false">IF(P$3&gt;=Launch_SN,1,0)</f>
        <v>1</v>
      </c>
      <c r="Q9" s="57" t="n">
        <f aca="false">IF(Q$3&gt;=Launch_SN,1,0)</f>
        <v>1</v>
      </c>
      <c r="R9" s="57" t="n">
        <f aca="false">IF(R$3&gt;=Launch_SN,1,0)</f>
        <v>1</v>
      </c>
      <c r="S9" s="57" t="n">
        <f aca="false">IF(S$3&gt;=Launch_SN,1,0)</f>
        <v>1</v>
      </c>
      <c r="T9" s="57" t="n">
        <f aca="false">IF(T$3&gt;=Launch_SN,1,0)</f>
        <v>1</v>
      </c>
      <c r="U9" s="57" t="n">
        <f aca="false">IF(U$3&gt;=Launch_SN,1,0)</f>
        <v>1</v>
      </c>
      <c r="V9" s="57" t="n">
        <f aca="false">IF(V$3&gt;=Launch_SN,1,0)</f>
        <v>1</v>
      </c>
      <c r="W9" s="57" t="n">
        <f aca="false">IF(W$3&gt;=Launch_SN,1,0)</f>
        <v>1</v>
      </c>
      <c r="X9" s="57" t="n">
        <f aca="false">IF(X$3&gt;=Launch_SN,1,0)</f>
        <v>1</v>
      </c>
      <c r="Y9" s="57" t="n">
        <f aca="false">IF(Y$3&gt;=Launch_SN,1,0)</f>
        <v>1</v>
      </c>
      <c r="Z9" s="57" t="n">
        <f aca="false">IF(Z$3&gt;=Launch_SN,1,0)</f>
        <v>1</v>
      </c>
      <c r="AA9" s="57" t="n">
        <f aca="false">IF(AA$3&gt;=Launch_SN,1,0)</f>
        <v>1</v>
      </c>
      <c r="AB9" s="57" t="n">
        <f aca="false">IF(AB$3&gt;=Launch_SN,1,0)</f>
        <v>1</v>
      </c>
      <c r="AC9" s="57" t="n">
        <f aca="false">IF(AC$3&gt;=Launch_SN,1,0)</f>
        <v>1</v>
      </c>
      <c r="AD9" s="57" t="n">
        <f aca="false">IF(AD$3&gt;=Launch_SN,1,0)</f>
        <v>1</v>
      </c>
      <c r="AE9" s="57" t="n">
        <f aca="false">IF(AE$3&gt;=Launch_SN,1,0)</f>
        <v>1</v>
      </c>
      <c r="AF9" s="57" t="n">
        <f aca="false">IF(AF$3&gt;=Launch_SN,1,0)</f>
        <v>1</v>
      </c>
      <c r="AG9" s="57" t="n">
        <f aca="false">IF(AG$3&gt;=Launch_SN,1,0)</f>
        <v>1</v>
      </c>
      <c r="AH9" s="57" t="n">
        <f aca="false">IF(AH$3&gt;=Launch_SN,1,0)</f>
        <v>1</v>
      </c>
      <c r="AI9" s="57" t="n">
        <f aca="false">IF(AI$3&gt;=Launch_SN,1,0)</f>
        <v>1</v>
      </c>
      <c r="AJ9" s="57" t="n">
        <f aca="false">IF(AJ$3&gt;=Launch_SN,1,0)</f>
        <v>1</v>
      </c>
      <c r="AK9" s="57" t="n">
        <f aca="false">IF(AK$3&gt;=Launch_SN,1,0)</f>
        <v>1</v>
      </c>
      <c r="AL9" s="57" t="n">
        <f aca="false">IF(AL$3&gt;=Launch_SN,1,0)</f>
        <v>1</v>
      </c>
      <c r="AM9" s="57" t="n">
        <f aca="false">IF(AM$3&gt;=Launch_SN,1,0)</f>
        <v>1</v>
      </c>
      <c r="AN9" s="57" t="n">
        <f aca="false">IF(AN$3&gt;=Launch_SN,1,0)</f>
        <v>1</v>
      </c>
      <c r="AO9" s="57" t="n">
        <f aca="false">IF(AO$3&gt;=Launch_SN,1,0)</f>
        <v>1</v>
      </c>
      <c r="AP9" s="57" t="n">
        <f aca="false">IF(AP$3&gt;=Launch_SN,1,0)</f>
        <v>1</v>
      </c>
      <c r="AQ9" s="57" t="n">
        <f aca="false">IF(AQ$3&gt;=Launch_SN,1,0)</f>
        <v>1</v>
      </c>
      <c r="AR9" s="57" t="n">
        <f aca="false">IF(AR$3&gt;=Launch_SN,1,0)</f>
        <v>1</v>
      </c>
      <c r="AS9" s="57" t="n">
        <f aca="false">IF(AS$3&gt;=Launch_SN,1,0)</f>
        <v>1</v>
      </c>
      <c r="AT9" s="57" t="n">
        <f aca="false">IF(AT$3&gt;=Launch_SN,1,0)</f>
        <v>1</v>
      </c>
      <c r="AU9" s="57" t="n">
        <f aca="false">IF(AU$3&gt;=Launch_SN,1,0)</f>
        <v>1</v>
      </c>
      <c r="AV9" s="57" t="n">
        <f aca="false">IF(AV$3&gt;=Launch_SN,1,0)</f>
        <v>1</v>
      </c>
      <c r="AW9" s="57" t="n">
        <f aca="false">IF(AW$3&gt;=Launch_SN,1,0)</f>
        <v>1</v>
      </c>
      <c r="AX9" s="57" t="n">
        <f aca="false">IF(AX$3&gt;=Launch_SN,1,0)</f>
        <v>1</v>
      </c>
      <c r="AY9" s="57" t="n">
        <f aca="false">IF(AY$3&gt;=Launch_SN,1,0)</f>
        <v>1</v>
      </c>
      <c r="AZ9" s="57" t="n">
        <f aca="false">IF(AZ$3&gt;=Launch_SN,1,0)</f>
        <v>1</v>
      </c>
      <c r="BA9" s="57" t="n">
        <f aca="false">IF(BA$3&gt;=Launch_SN,1,0)</f>
        <v>1</v>
      </c>
      <c r="BB9" s="57" t="n">
        <f aca="false">IF(BB$3&gt;=Launch_SN,1,0)</f>
        <v>1</v>
      </c>
      <c r="BC9" s="57" t="n">
        <f aca="false">IF(BC$3&gt;=Launch_SN,1,0)</f>
        <v>1</v>
      </c>
      <c r="BD9" s="57" t="n">
        <f aca="false">IF(BD$3&gt;=Launch_SN,1,0)</f>
        <v>1</v>
      </c>
      <c r="BE9" s="57" t="n">
        <f aca="false">IF(BE$3&gt;=Launch_SN,1,0)</f>
        <v>1</v>
      </c>
      <c r="BF9" s="57" t="n">
        <f aca="false">IF(BF$3&gt;=Launch_SN,1,0)</f>
        <v>1</v>
      </c>
      <c r="BG9" s="57" t="n">
        <f aca="false">IF(BG$3&gt;=Launch_SN,1,0)</f>
        <v>1</v>
      </c>
      <c r="BH9" s="57" t="n">
        <f aca="false">IF(BH$3&gt;=Launch_SN,1,0)</f>
        <v>1</v>
      </c>
      <c r="BI9" s="57" t="n">
        <f aca="false">IF(BI$3&gt;=Launch_SN,1,0)</f>
        <v>1</v>
      </c>
      <c r="BJ9" s="57" t="n">
        <f aca="false">IF(BJ$3&gt;=Launch_SN,1,0)</f>
        <v>1</v>
      </c>
      <c r="BK9" s="57" t="n">
        <f aca="false">IF(BK$3&gt;=Launch_SN,1,0)</f>
        <v>1</v>
      </c>
      <c r="BL9" s="57" t="n">
        <f aca="false">IF(BL$3&gt;=Launch_SN,1,0)</f>
        <v>1</v>
      </c>
    </row>
    <row r="10" customFormat="false" ht="15" hidden="false" customHeight="true" outlineLevel="0" collapsed="false">
      <c r="A10" s="13" t="s">
        <v>1179</v>
      </c>
      <c r="B10" s="15" t="s">
        <v>782</v>
      </c>
      <c r="E10" s="57" t="n">
        <f aca="false">IF(E$3&gt;=Launch_CI,1,0)</f>
        <v>0</v>
      </c>
      <c r="F10" s="57" t="n">
        <f aca="false">IF(F$3&gt;=Launch_CI,1,0)</f>
        <v>0</v>
      </c>
      <c r="G10" s="57" t="n">
        <f aca="false">IF(G$3&gt;=Launch_CI,1,0)</f>
        <v>0</v>
      </c>
      <c r="H10" s="57" t="n">
        <f aca="false">IF(H$3&gt;=Launch_CI,1,0)</f>
        <v>0</v>
      </c>
      <c r="I10" s="57" t="n">
        <f aca="false">IF(I$3&gt;=Launch_CI,1,0)</f>
        <v>0</v>
      </c>
      <c r="J10" s="57" t="n">
        <f aca="false">IF(J$3&gt;=Launch_CI,1,0)</f>
        <v>0</v>
      </c>
      <c r="K10" s="57" t="n">
        <f aca="false">IF(K$3&gt;=Launch_CI,1,0)</f>
        <v>0</v>
      </c>
      <c r="L10" s="57" t="n">
        <f aca="false">IF(L$3&gt;=Launch_CI,1,0)</f>
        <v>0</v>
      </c>
      <c r="M10" s="57" t="n">
        <f aca="false">IF(M$3&gt;=Launch_CI,1,0)</f>
        <v>0</v>
      </c>
      <c r="N10" s="57" t="n">
        <f aca="false">IF(N$3&gt;=Launch_CI,1,0)</f>
        <v>0</v>
      </c>
      <c r="O10" s="57" t="n">
        <f aca="false">IF(O$3&gt;=Launch_CI,1,0)</f>
        <v>0</v>
      </c>
      <c r="P10" s="57" t="n">
        <f aca="false">IF(P$3&gt;=Launch_CI,1,0)</f>
        <v>0</v>
      </c>
      <c r="Q10" s="57" t="n">
        <f aca="false">IF(Q$3&gt;=Launch_CI,1,0)</f>
        <v>0</v>
      </c>
      <c r="R10" s="57" t="n">
        <f aca="false">IF(R$3&gt;=Launch_CI,1,0)</f>
        <v>0</v>
      </c>
      <c r="S10" s="57" t="n">
        <f aca="false">IF(S$3&gt;=Launch_CI,1,0)</f>
        <v>0</v>
      </c>
      <c r="T10" s="57" t="n">
        <f aca="false">IF(T$3&gt;=Launch_CI,1,0)</f>
        <v>0</v>
      </c>
      <c r="U10" s="57" t="n">
        <f aca="false">IF(U$3&gt;=Launch_CI,1,0)</f>
        <v>0</v>
      </c>
      <c r="V10" s="57" t="n">
        <f aca="false">IF(V$3&gt;=Launch_CI,1,0)</f>
        <v>0</v>
      </c>
      <c r="W10" s="57" t="n">
        <f aca="false">IF(W$3&gt;=Launch_CI,1,0)</f>
        <v>1</v>
      </c>
      <c r="X10" s="57" t="n">
        <f aca="false">IF(X$3&gt;=Launch_CI,1,0)</f>
        <v>1</v>
      </c>
      <c r="Y10" s="57" t="n">
        <f aca="false">IF(Y$3&gt;=Launch_CI,1,0)</f>
        <v>1</v>
      </c>
      <c r="Z10" s="57" t="n">
        <f aca="false">IF(Z$3&gt;=Launch_CI,1,0)</f>
        <v>1</v>
      </c>
      <c r="AA10" s="57" t="n">
        <f aca="false">IF(AA$3&gt;=Launch_CI,1,0)</f>
        <v>1</v>
      </c>
      <c r="AB10" s="57" t="n">
        <f aca="false">IF(AB$3&gt;=Launch_CI,1,0)</f>
        <v>1</v>
      </c>
      <c r="AC10" s="57" t="n">
        <f aca="false">IF(AC$3&gt;=Launch_CI,1,0)</f>
        <v>1</v>
      </c>
      <c r="AD10" s="57" t="n">
        <f aca="false">IF(AD$3&gt;=Launch_CI,1,0)</f>
        <v>1</v>
      </c>
      <c r="AE10" s="57" t="n">
        <f aca="false">IF(AE$3&gt;=Launch_CI,1,0)</f>
        <v>1</v>
      </c>
      <c r="AF10" s="57" t="n">
        <f aca="false">IF(AF$3&gt;=Launch_CI,1,0)</f>
        <v>1</v>
      </c>
      <c r="AG10" s="57" t="n">
        <f aca="false">IF(AG$3&gt;=Launch_CI,1,0)</f>
        <v>1</v>
      </c>
      <c r="AH10" s="57" t="n">
        <f aca="false">IF(AH$3&gt;=Launch_CI,1,0)</f>
        <v>1</v>
      </c>
      <c r="AI10" s="57" t="n">
        <f aca="false">IF(AI$3&gt;=Launch_CI,1,0)</f>
        <v>1</v>
      </c>
      <c r="AJ10" s="57" t="n">
        <f aca="false">IF(AJ$3&gt;=Launch_CI,1,0)</f>
        <v>1</v>
      </c>
      <c r="AK10" s="57" t="n">
        <f aca="false">IF(AK$3&gt;=Launch_CI,1,0)</f>
        <v>1</v>
      </c>
      <c r="AL10" s="57" t="n">
        <f aca="false">IF(AL$3&gt;=Launch_CI,1,0)</f>
        <v>1</v>
      </c>
      <c r="AM10" s="57" t="n">
        <f aca="false">IF(AM$3&gt;=Launch_CI,1,0)</f>
        <v>1</v>
      </c>
      <c r="AN10" s="57" t="n">
        <f aca="false">IF(AN$3&gt;=Launch_CI,1,0)</f>
        <v>1</v>
      </c>
      <c r="AO10" s="57" t="n">
        <f aca="false">IF(AO$3&gt;=Launch_CI,1,0)</f>
        <v>1</v>
      </c>
      <c r="AP10" s="57" t="n">
        <f aca="false">IF(AP$3&gt;=Launch_CI,1,0)</f>
        <v>1</v>
      </c>
      <c r="AQ10" s="57" t="n">
        <f aca="false">IF(AQ$3&gt;=Launch_CI,1,0)</f>
        <v>1</v>
      </c>
      <c r="AR10" s="57" t="n">
        <f aca="false">IF(AR$3&gt;=Launch_CI,1,0)</f>
        <v>1</v>
      </c>
      <c r="AS10" s="57" t="n">
        <f aca="false">IF(AS$3&gt;=Launch_CI,1,0)</f>
        <v>1</v>
      </c>
      <c r="AT10" s="57" t="n">
        <f aca="false">IF(AT$3&gt;=Launch_CI,1,0)</f>
        <v>1</v>
      </c>
      <c r="AU10" s="57" t="n">
        <f aca="false">IF(AU$3&gt;=Launch_CI,1,0)</f>
        <v>1</v>
      </c>
      <c r="AV10" s="57" t="n">
        <f aca="false">IF(AV$3&gt;=Launch_CI,1,0)</f>
        <v>1</v>
      </c>
      <c r="AW10" s="57" t="n">
        <f aca="false">IF(AW$3&gt;=Launch_CI,1,0)</f>
        <v>1</v>
      </c>
      <c r="AX10" s="57" t="n">
        <f aca="false">IF(AX$3&gt;=Launch_CI,1,0)</f>
        <v>1</v>
      </c>
      <c r="AY10" s="57" t="n">
        <f aca="false">IF(AY$3&gt;=Launch_CI,1,0)</f>
        <v>1</v>
      </c>
      <c r="AZ10" s="57" t="n">
        <f aca="false">IF(AZ$3&gt;=Launch_CI,1,0)</f>
        <v>1</v>
      </c>
      <c r="BA10" s="57" t="n">
        <f aca="false">IF(BA$3&gt;=Launch_CI,1,0)</f>
        <v>1</v>
      </c>
      <c r="BB10" s="57" t="n">
        <f aca="false">IF(BB$3&gt;=Launch_CI,1,0)</f>
        <v>1</v>
      </c>
      <c r="BC10" s="57" t="n">
        <f aca="false">IF(BC$3&gt;=Launch_CI,1,0)</f>
        <v>1</v>
      </c>
      <c r="BD10" s="57" t="n">
        <f aca="false">IF(BD$3&gt;=Launch_CI,1,0)</f>
        <v>1</v>
      </c>
      <c r="BE10" s="57" t="n">
        <f aca="false">IF(BE$3&gt;=Launch_CI,1,0)</f>
        <v>1</v>
      </c>
      <c r="BF10" s="57" t="n">
        <f aca="false">IF(BF$3&gt;=Launch_CI,1,0)</f>
        <v>1</v>
      </c>
      <c r="BG10" s="57" t="n">
        <f aca="false">IF(BG$3&gt;=Launch_CI,1,0)</f>
        <v>1</v>
      </c>
      <c r="BH10" s="57" t="n">
        <f aca="false">IF(BH$3&gt;=Launch_CI,1,0)</f>
        <v>1</v>
      </c>
      <c r="BI10" s="57" t="n">
        <f aca="false">IF(BI$3&gt;=Launch_CI,1,0)</f>
        <v>1</v>
      </c>
      <c r="BJ10" s="57" t="n">
        <f aca="false">IF(BJ$3&gt;=Launch_CI,1,0)</f>
        <v>1</v>
      </c>
      <c r="BK10" s="57" t="n">
        <f aca="false">IF(BK$3&gt;=Launch_CI,1,0)</f>
        <v>1</v>
      </c>
      <c r="BL10" s="57" t="n">
        <f aca="false">IF(BL$3&gt;=Launch_CI,1,0)</f>
        <v>1</v>
      </c>
    </row>
    <row r="12" customFormat="false" ht="15" hidden="false" customHeight="true" outlineLevel="0" collapsed="false">
      <c r="A12" s="11" t="s">
        <v>1180</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3" customFormat="false" ht="15" hidden="false" customHeight="true" outlineLevel="0" collapsed="false">
      <c r="A13" s="13" t="s">
        <v>1153</v>
      </c>
      <c r="B13" s="15" t="s">
        <v>92</v>
      </c>
      <c r="D13" s="56" t="n">
        <f aca="false">BL13</f>
        <v>17</v>
      </c>
      <c r="E13" s="24" t="n">
        <f aca="false">Staff!E86</f>
        <v>1</v>
      </c>
      <c r="F13" s="24" t="n">
        <f aca="false">Staff!F86</f>
        <v>1</v>
      </c>
      <c r="G13" s="24" t="n">
        <f aca="false">Staff!G86</f>
        <v>1</v>
      </c>
      <c r="H13" s="24" t="n">
        <f aca="false">Staff!H86</f>
        <v>3</v>
      </c>
      <c r="I13" s="24" t="n">
        <f aca="false">Staff!I86</f>
        <v>3</v>
      </c>
      <c r="J13" s="24" t="n">
        <f aca="false">Staff!J86</f>
        <v>3</v>
      </c>
      <c r="K13" s="24" t="n">
        <f aca="false">Staff!K86</f>
        <v>3</v>
      </c>
      <c r="L13" s="24" t="n">
        <f aca="false">Staff!L86</f>
        <v>3</v>
      </c>
      <c r="M13" s="24" t="n">
        <f aca="false">Staff!M86</f>
        <v>3</v>
      </c>
      <c r="N13" s="24" t="n">
        <f aca="false">Staff!N86</f>
        <v>3</v>
      </c>
      <c r="O13" s="24" t="n">
        <f aca="false">Staff!O86</f>
        <v>3</v>
      </c>
      <c r="P13" s="24" t="n">
        <f aca="false">Staff!P86</f>
        <v>3</v>
      </c>
      <c r="Q13" s="24" t="n">
        <f aca="false">Staff!Q86</f>
        <v>3</v>
      </c>
      <c r="R13" s="24" t="n">
        <f aca="false">Staff!R86</f>
        <v>3</v>
      </c>
      <c r="S13" s="24" t="n">
        <f aca="false">Staff!S86</f>
        <v>3</v>
      </c>
      <c r="T13" s="24" t="n">
        <f aca="false">Staff!T86</f>
        <v>3</v>
      </c>
      <c r="U13" s="24" t="n">
        <f aca="false">Staff!U86</f>
        <v>3</v>
      </c>
      <c r="V13" s="24" t="n">
        <f aca="false">Staff!V86</f>
        <v>3</v>
      </c>
      <c r="W13" s="24" t="n">
        <f aca="false">Staff!W86</f>
        <v>3</v>
      </c>
      <c r="X13" s="24" t="n">
        <f aca="false">Staff!X86</f>
        <v>4</v>
      </c>
      <c r="Y13" s="24" t="n">
        <f aca="false">Staff!Y86</f>
        <v>4</v>
      </c>
      <c r="Z13" s="24" t="n">
        <f aca="false">Staff!Z86</f>
        <v>4</v>
      </c>
      <c r="AA13" s="24" t="n">
        <f aca="false">Staff!AA86</f>
        <v>4</v>
      </c>
      <c r="AB13" s="24" t="n">
        <f aca="false">Staff!AB86</f>
        <v>4</v>
      </c>
      <c r="AC13" s="24" t="n">
        <f aca="false">Staff!AC86</f>
        <v>4</v>
      </c>
      <c r="AD13" s="24" t="n">
        <f aca="false">Staff!AD86</f>
        <v>5</v>
      </c>
      <c r="AE13" s="24" t="n">
        <f aca="false">Staff!AE86</f>
        <v>5</v>
      </c>
      <c r="AF13" s="24" t="n">
        <f aca="false">Staff!AF86</f>
        <v>5</v>
      </c>
      <c r="AG13" s="24" t="n">
        <f aca="false">Staff!AG86</f>
        <v>5</v>
      </c>
      <c r="AH13" s="24" t="n">
        <f aca="false">Staff!AH86</f>
        <v>6</v>
      </c>
      <c r="AI13" s="24" t="n">
        <f aca="false">Staff!AI86</f>
        <v>6</v>
      </c>
      <c r="AJ13" s="24" t="n">
        <f aca="false">Staff!AJ86</f>
        <v>6</v>
      </c>
      <c r="AK13" s="24" t="n">
        <f aca="false">Staff!AK86</f>
        <v>6</v>
      </c>
      <c r="AL13" s="24" t="n">
        <f aca="false">Staff!AL86</f>
        <v>7</v>
      </c>
      <c r="AM13" s="24" t="n">
        <f aca="false">Staff!AM86</f>
        <v>7</v>
      </c>
      <c r="AN13" s="24" t="n">
        <f aca="false">Staff!AN86</f>
        <v>7</v>
      </c>
      <c r="AO13" s="24" t="n">
        <f aca="false">Staff!AO86</f>
        <v>8</v>
      </c>
      <c r="AP13" s="24" t="n">
        <f aca="false">Staff!AP86</f>
        <v>8</v>
      </c>
      <c r="AQ13" s="24" t="n">
        <f aca="false">Staff!AQ86</f>
        <v>8</v>
      </c>
      <c r="AR13" s="24" t="n">
        <f aca="false">Staff!AR86</f>
        <v>9</v>
      </c>
      <c r="AS13" s="24" t="n">
        <f aca="false">Staff!AS86</f>
        <v>9</v>
      </c>
      <c r="AT13" s="24" t="n">
        <f aca="false">Staff!AT86</f>
        <v>9</v>
      </c>
      <c r="AU13" s="24" t="n">
        <f aca="false">Staff!AU86</f>
        <v>10</v>
      </c>
      <c r="AV13" s="24" t="n">
        <f aca="false">Staff!AV86</f>
        <v>10</v>
      </c>
      <c r="AW13" s="24" t="n">
        <f aca="false">Staff!AW86</f>
        <v>11</v>
      </c>
      <c r="AX13" s="24" t="n">
        <f aca="false">Staff!AX86</f>
        <v>11</v>
      </c>
      <c r="AY13" s="24" t="n">
        <f aca="false">Staff!AY86</f>
        <v>11</v>
      </c>
      <c r="AZ13" s="24" t="n">
        <f aca="false">Staff!AZ86</f>
        <v>12</v>
      </c>
      <c r="BA13" s="24" t="n">
        <f aca="false">Staff!BA86</f>
        <v>12</v>
      </c>
      <c r="BB13" s="24" t="n">
        <f aca="false">Staff!BB86</f>
        <v>13</v>
      </c>
      <c r="BC13" s="24" t="n">
        <f aca="false">Staff!BC86</f>
        <v>13</v>
      </c>
      <c r="BD13" s="24" t="n">
        <f aca="false">Staff!BD86</f>
        <v>13</v>
      </c>
      <c r="BE13" s="24" t="n">
        <f aca="false">Staff!BE86</f>
        <v>14</v>
      </c>
      <c r="BF13" s="24" t="n">
        <f aca="false">Staff!BF86</f>
        <v>14</v>
      </c>
      <c r="BG13" s="24" t="n">
        <f aca="false">Staff!BG86</f>
        <v>15</v>
      </c>
      <c r="BH13" s="24" t="n">
        <f aca="false">Staff!BH86</f>
        <v>15</v>
      </c>
      <c r="BI13" s="24" t="n">
        <f aca="false">Staff!BI86</f>
        <v>16</v>
      </c>
      <c r="BJ13" s="24" t="n">
        <f aca="false">Staff!BJ86</f>
        <v>16</v>
      </c>
      <c r="BK13" s="24" t="n">
        <f aca="false">Staff!BK86</f>
        <v>17</v>
      </c>
      <c r="BL13" s="24" t="n">
        <f aca="false">Staff!BL86</f>
        <v>17</v>
      </c>
    </row>
    <row r="14" customFormat="false" ht="15" hidden="false" customHeight="true" outlineLevel="0" collapsed="false">
      <c r="A14" s="13" t="s">
        <v>1154</v>
      </c>
      <c r="B14" s="15" t="s">
        <v>92</v>
      </c>
      <c r="D14" s="56" t="n">
        <f aca="false">BL14</f>
        <v>8</v>
      </c>
      <c r="E14" s="24" t="n">
        <f aca="false">Staff!E87</f>
        <v>0</v>
      </c>
      <c r="F14" s="24" t="n">
        <f aca="false">Staff!F87</f>
        <v>0</v>
      </c>
      <c r="G14" s="24" t="n">
        <f aca="false">Staff!G87</f>
        <v>0</v>
      </c>
      <c r="H14" s="24" t="n">
        <f aca="false">Staff!H87</f>
        <v>0</v>
      </c>
      <c r="I14" s="24" t="n">
        <f aca="false">Staff!I87</f>
        <v>0</v>
      </c>
      <c r="J14" s="24" t="n">
        <f aca="false">Staff!J87</f>
        <v>0</v>
      </c>
      <c r="K14" s="24" t="n">
        <f aca="false">Staff!K87</f>
        <v>0</v>
      </c>
      <c r="L14" s="24" t="n">
        <f aca="false">Staff!L87</f>
        <v>0</v>
      </c>
      <c r="M14" s="24" t="n">
        <f aca="false">Staff!M87</f>
        <v>0</v>
      </c>
      <c r="N14" s="24" t="n">
        <f aca="false">Staff!N87</f>
        <v>0</v>
      </c>
      <c r="O14" s="24" t="n">
        <f aca="false">Staff!O87</f>
        <v>0</v>
      </c>
      <c r="P14" s="24" t="n">
        <f aca="false">Staff!P87</f>
        <v>0</v>
      </c>
      <c r="Q14" s="24" t="n">
        <f aca="false">Staff!Q87</f>
        <v>0</v>
      </c>
      <c r="R14" s="24" t="n">
        <f aca="false">Staff!R87</f>
        <v>0</v>
      </c>
      <c r="S14" s="24" t="n">
        <f aca="false">Staff!S87</f>
        <v>0</v>
      </c>
      <c r="T14" s="24" t="n">
        <f aca="false">Staff!T87</f>
        <v>0</v>
      </c>
      <c r="U14" s="24" t="n">
        <f aca="false">Staff!U87</f>
        <v>0</v>
      </c>
      <c r="V14" s="24" t="n">
        <f aca="false">Staff!V87</f>
        <v>2</v>
      </c>
      <c r="W14" s="24" t="n">
        <f aca="false">Staff!W87</f>
        <v>2</v>
      </c>
      <c r="X14" s="24" t="n">
        <f aca="false">Staff!X87</f>
        <v>2</v>
      </c>
      <c r="Y14" s="24" t="n">
        <f aca="false">Staff!Y87</f>
        <v>2</v>
      </c>
      <c r="Z14" s="24" t="n">
        <f aca="false">Staff!Z87</f>
        <v>2</v>
      </c>
      <c r="AA14" s="24" t="n">
        <f aca="false">Staff!AA87</f>
        <v>2</v>
      </c>
      <c r="AB14" s="24" t="n">
        <f aca="false">Staff!AB87</f>
        <v>2</v>
      </c>
      <c r="AC14" s="24" t="n">
        <f aca="false">Staff!AC87</f>
        <v>2</v>
      </c>
      <c r="AD14" s="24" t="n">
        <f aca="false">Staff!AD87</f>
        <v>2</v>
      </c>
      <c r="AE14" s="24" t="n">
        <f aca="false">Staff!AE87</f>
        <v>2</v>
      </c>
      <c r="AF14" s="24" t="n">
        <f aca="false">Staff!AF87</f>
        <v>2</v>
      </c>
      <c r="AG14" s="24" t="n">
        <f aca="false">Staff!AG87</f>
        <v>2</v>
      </c>
      <c r="AH14" s="24" t="n">
        <f aca="false">Staff!AH87</f>
        <v>2</v>
      </c>
      <c r="AI14" s="24" t="n">
        <f aca="false">Staff!AI87</f>
        <v>2</v>
      </c>
      <c r="AJ14" s="24" t="n">
        <f aca="false">Staff!AJ87</f>
        <v>2</v>
      </c>
      <c r="AK14" s="24" t="n">
        <f aca="false">Staff!AK87</f>
        <v>2</v>
      </c>
      <c r="AL14" s="24" t="n">
        <f aca="false">Staff!AL87</f>
        <v>2</v>
      </c>
      <c r="AM14" s="24" t="n">
        <f aca="false">Staff!AM87</f>
        <v>2</v>
      </c>
      <c r="AN14" s="24" t="n">
        <f aca="false">Staff!AN87</f>
        <v>3</v>
      </c>
      <c r="AO14" s="24" t="n">
        <f aca="false">Staff!AO87</f>
        <v>3</v>
      </c>
      <c r="AP14" s="24" t="n">
        <f aca="false">Staff!AP87</f>
        <v>3</v>
      </c>
      <c r="AQ14" s="24" t="n">
        <f aca="false">Staff!AQ87</f>
        <v>3</v>
      </c>
      <c r="AR14" s="24" t="n">
        <f aca="false">Staff!AR87</f>
        <v>3</v>
      </c>
      <c r="AS14" s="24" t="n">
        <f aca="false">Staff!AS87</f>
        <v>3</v>
      </c>
      <c r="AT14" s="24" t="n">
        <f aca="false">Staff!AT87</f>
        <v>3</v>
      </c>
      <c r="AU14" s="24" t="n">
        <f aca="false">Staff!AU87</f>
        <v>4</v>
      </c>
      <c r="AV14" s="24" t="n">
        <f aca="false">Staff!AV87</f>
        <v>4</v>
      </c>
      <c r="AW14" s="24" t="n">
        <f aca="false">Staff!AW87</f>
        <v>4</v>
      </c>
      <c r="AX14" s="24" t="n">
        <f aca="false">Staff!AX87</f>
        <v>4</v>
      </c>
      <c r="AY14" s="24" t="n">
        <f aca="false">Staff!AY87</f>
        <v>4</v>
      </c>
      <c r="AZ14" s="24" t="n">
        <f aca="false">Staff!AZ87</f>
        <v>5</v>
      </c>
      <c r="BA14" s="24" t="n">
        <f aca="false">Staff!BA87</f>
        <v>5</v>
      </c>
      <c r="BB14" s="24" t="n">
        <f aca="false">Staff!BB87</f>
        <v>5</v>
      </c>
      <c r="BC14" s="24" t="n">
        <f aca="false">Staff!BC87</f>
        <v>5</v>
      </c>
      <c r="BD14" s="24" t="n">
        <f aca="false">Staff!BD87</f>
        <v>6</v>
      </c>
      <c r="BE14" s="24" t="n">
        <f aca="false">Staff!BE87</f>
        <v>6</v>
      </c>
      <c r="BF14" s="24" t="n">
        <f aca="false">Staff!BF87</f>
        <v>6</v>
      </c>
      <c r="BG14" s="24" t="n">
        <f aca="false">Staff!BG87</f>
        <v>6</v>
      </c>
      <c r="BH14" s="24" t="n">
        <f aca="false">Staff!BH87</f>
        <v>7</v>
      </c>
      <c r="BI14" s="24" t="n">
        <f aca="false">Staff!BI87</f>
        <v>7</v>
      </c>
      <c r="BJ14" s="24" t="n">
        <f aca="false">Staff!BJ87</f>
        <v>7</v>
      </c>
      <c r="BK14" s="24" t="n">
        <f aca="false">Staff!BK87</f>
        <v>7</v>
      </c>
      <c r="BL14" s="24" t="n">
        <f aca="false">Staff!BL87</f>
        <v>8</v>
      </c>
    </row>
    <row r="15" customFormat="false" ht="15" hidden="false" customHeight="true" outlineLevel="0" collapsed="false">
      <c r="A15" s="13" t="s">
        <v>1181</v>
      </c>
      <c r="B15" s="15" t="s">
        <v>92</v>
      </c>
      <c r="E15" s="33" t="n">
        <f aca="false">0</f>
        <v>0</v>
      </c>
      <c r="F15" s="33" t="n">
        <f aca="false">E13*F9</f>
        <v>0</v>
      </c>
      <c r="G15" s="33" t="n">
        <f aca="false">F13*G9</f>
        <v>0</v>
      </c>
      <c r="H15" s="33" t="n">
        <f aca="false">G13*H9</f>
        <v>0</v>
      </c>
      <c r="I15" s="33" t="n">
        <f aca="false">H13*I9</f>
        <v>3</v>
      </c>
      <c r="J15" s="33" t="n">
        <f aca="false">I13*J9</f>
        <v>3</v>
      </c>
      <c r="K15" s="33" t="n">
        <f aca="false">J13*K9</f>
        <v>3</v>
      </c>
      <c r="L15" s="33" t="n">
        <f aca="false">K13*L9</f>
        <v>3</v>
      </c>
      <c r="M15" s="33" t="n">
        <f aca="false">L13*M9</f>
        <v>3</v>
      </c>
      <c r="N15" s="33" t="n">
        <f aca="false">M13*N9</f>
        <v>3</v>
      </c>
      <c r="O15" s="33" t="n">
        <f aca="false">N13*O9</f>
        <v>3</v>
      </c>
      <c r="P15" s="33" t="n">
        <f aca="false">O13*P9</f>
        <v>3</v>
      </c>
      <c r="Q15" s="33" t="n">
        <f aca="false">P13*Q9</f>
        <v>3</v>
      </c>
      <c r="R15" s="33" t="n">
        <f aca="false">Q13*R9</f>
        <v>3</v>
      </c>
      <c r="S15" s="33" t="n">
        <f aca="false">R13*S9</f>
        <v>3</v>
      </c>
      <c r="T15" s="33" t="n">
        <f aca="false">S13*T9</f>
        <v>3</v>
      </c>
      <c r="U15" s="33" t="n">
        <f aca="false">T13*U9</f>
        <v>3</v>
      </c>
      <c r="V15" s="33" t="n">
        <f aca="false">U13*V9</f>
        <v>3</v>
      </c>
      <c r="W15" s="33" t="n">
        <f aca="false">V13*W9</f>
        <v>3</v>
      </c>
      <c r="X15" s="33" t="n">
        <f aca="false">W13*X9</f>
        <v>3</v>
      </c>
      <c r="Y15" s="33" t="n">
        <f aca="false">X13*Y9</f>
        <v>4</v>
      </c>
      <c r="Z15" s="33" t="n">
        <f aca="false">Y13*Z9</f>
        <v>4</v>
      </c>
      <c r="AA15" s="33" t="n">
        <f aca="false">Z13*AA9</f>
        <v>4</v>
      </c>
      <c r="AB15" s="33" t="n">
        <f aca="false">AA13*AB9</f>
        <v>4</v>
      </c>
      <c r="AC15" s="33" t="n">
        <f aca="false">AB13*AC9</f>
        <v>4</v>
      </c>
      <c r="AD15" s="33" t="n">
        <f aca="false">AC13*AD9</f>
        <v>4</v>
      </c>
      <c r="AE15" s="33" t="n">
        <f aca="false">AD13*AE9</f>
        <v>5</v>
      </c>
      <c r="AF15" s="33" t="n">
        <f aca="false">AE13*AF9</f>
        <v>5</v>
      </c>
      <c r="AG15" s="33" t="n">
        <f aca="false">AF13*AG9</f>
        <v>5</v>
      </c>
      <c r="AH15" s="33" t="n">
        <f aca="false">AG13*AH9</f>
        <v>5</v>
      </c>
      <c r="AI15" s="33" t="n">
        <f aca="false">AH13*AI9</f>
        <v>6</v>
      </c>
      <c r="AJ15" s="33" t="n">
        <f aca="false">AI13*AJ9</f>
        <v>6</v>
      </c>
      <c r="AK15" s="33" t="n">
        <f aca="false">AJ13*AK9</f>
        <v>6</v>
      </c>
      <c r="AL15" s="33" t="n">
        <f aca="false">AK13*AL9</f>
        <v>6</v>
      </c>
      <c r="AM15" s="33" t="n">
        <f aca="false">AL13*AM9</f>
        <v>7</v>
      </c>
      <c r="AN15" s="33" t="n">
        <f aca="false">AM13*AN9</f>
        <v>7</v>
      </c>
      <c r="AO15" s="33" t="n">
        <f aca="false">AN13*AO9</f>
        <v>7</v>
      </c>
      <c r="AP15" s="33" t="n">
        <f aca="false">AO13*AP9</f>
        <v>8</v>
      </c>
      <c r="AQ15" s="33" t="n">
        <f aca="false">AP13*AQ9</f>
        <v>8</v>
      </c>
      <c r="AR15" s="33" t="n">
        <f aca="false">AQ13*AR9</f>
        <v>8</v>
      </c>
      <c r="AS15" s="33" t="n">
        <f aca="false">AR13*AS9</f>
        <v>9</v>
      </c>
      <c r="AT15" s="33" t="n">
        <f aca="false">AS13*AT9</f>
        <v>9</v>
      </c>
      <c r="AU15" s="33" t="n">
        <f aca="false">AT13*AU9</f>
        <v>9</v>
      </c>
      <c r="AV15" s="33" t="n">
        <f aca="false">AU13*AV9</f>
        <v>10</v>
      </c>
      <c r="AW15" s="33" t="n">
        <f aca="false">AV13*AW9</f>
        <v>10</v>
      </c>
      <c r="AX15" s="33" t="n">
        <f aca="false">AW13*AX9</f>
        <v>11</v>
      </c>
      <c r="AY15" s="33" t="n">
        <f aca="false">AX13*AY9</f>
        <v>11</v>
      </c>
      <c r="AZ15" s="33" t="n">
        <f aca="false">AY13*AZ9</f>
        <v>11</v>
      </c>
      <c r="BA15" s="33" t="n">
        <f aca="false">AZ13*BA9</f>
        <v>12</v>
      </c>
      <c r="BB15" s="33" t="n">
        <f aca="false">BA13*BB9</f>
        <v>12</v>
      </c>
      <c r="BC15" s="33" t="n">
        <f aca="false">BB13*BC9</f>
        <v>13</v>
      </c>
      <c r="BD15" s="33" t="n">
        <f aca="false">BC13*BD9</f>
        <v>13</v>
      </c>
      <c r="BE15" s="33" t="n">
        <f aca="false">BD13*BE9</f>
        <v>13</v>
      </c>
      <c r="BF15" s="33" t="n">
        <f aca="false">BE13*BF9</f>
        <v>14</v>
      </c>
      <c r="BG15" s="33" t="n">
        <f aca="false">BF13*BG9</f>
        <v>14</v>
      </c>
      <c r="BH15" s="33" t="n">
        <f aca="false">BG13*BH9</f>
        <v>15</v>
      </c>
      <c r="BI15" s="33" t="n">
        <f aca="false">BH13*BI9</f>
        <v>15</v>
      </c>
      <c r="BJ15" s="33" t="n">
        <f aca="false">BI13*BJ9</f>
        <v>16</v>
      </c>
      <c r="BK15" s="33" t="n">
        <f aca="false">BJ13*BK9</f>
        <v>16</v>
      </c>
      <c r="BL15" s="33" t="n">
        <f aca="false">BK13*BL9</f>
        <v>17</v>
      </c>
    </row>
    <row r="16" customFormat="false" ht="15" hidden="false" customHeight="true" outlineLevel="0" collapsed="false">
      <c r="A16" s="13" t="s">
        <v>1182</v>
      </c>
      <c r="B16" s="15" t="s">
        <v>92</v>
      </c>
      <c r="E16" s="33" t="n">
        <f aca="false">0</f>
        <v>0</v>
      </c>
      <c r="F16" s="33" t="n">
        <f aca="false">E14*F10</f>
        <v>0</v>
      </c>
      <c r="G16" s="33" t="n">
        <f aca="false">F14*G10</f>
        <v>0</v>
      </c>
      <c r="H16" s="33" t="n">
        <f aca="false">G14*H10</f>
        <v>0</v>
      </c>
      <c r="I16" s="33" t="n">
        <f aca="false">H14*I10</f>
        <v>0</v>
      </c>
      <c r="J16" s="33" t="n">
        <f aca="false">I14*J10</f>
        <v>0</v>
      </c>
      <c r="K16" s="33" t="n">
        <f aca="false">J14*K10</f>
        <v>0</v>
      </c>
      <c r="L16" s="33" t="n">
        <f aca="false">K14*L10</f>
        <v>0</v>
      </c>
      <c r="M16" s="33" t="n">
        <f aca="false">L14*M10</f>
        <v>0</v>
      </c>
      <c r="N16" s="33" t="n">
        <f aca="false">M14*N10</f>
        <v>0</v>
      </c>
      <c r="O16" s="33" t="n">
        <f aca="false">N14*O10</f>
        <v>0</v>
      </c>
      <c r="P16" s="33" t="n">
        <f aca="false">O14*P10</f>
        <v>0</v>
      </c>
      <c r="Q16" s="33" t="n">
        <f aca="false">P14*Q10</f>
        <v>0</v>
      </c>
      <c r="R16" s="33" t="n">
        <f aca="false">Q14*R10</f>
        <v>0</v>
      </c>
      <c r="S16" s="33" t="n">
        <f aca="false">R14*S10</f>
        <v>0</v>
      </c>
      <c r="T16" s="33" t="n">
        <f aca="false">S14*T10</f>
        <v>0</v>
      </c>
      <c r="U16" s="33" t="n">
        <f aca="false">T14*U10</f>
        <v>0</v>
      </c>
      <c r="V16" s="33" t="n">
        <f aca="false">U14*V10</f>
        <v>0</v>
      </c>
      <c r="W16" s="33" t="n">
        <f aca="false">V14*W10</f>
        <v>2</v>
      </c>
      <c r="X16" s="33" t="n">
        <f aca="false">W14*X10</f>
        <v>2</v>
      </c>
      <c r="Y16" s="33" t="n">
        <f aca="false">X14*Y10</f>
        <v>2</v>
      </c>
      <c r="Z16" s="33" t="n">
        <f aca="false">Y14*Z10</f>
        <v>2</v>
      </c>
      <c r="AA16" s="33" t="n">
        <f aca="false">Z14*AA10</f>
        <v>2</v>
      </c>
      <c r="AB16" s="33" t="n">
        <f aca="false">AA14*AB10</f>
        <v>2</v>
      </c>
      <c r="AC16" s="33" t="n">
        <f aca="false">AB14*AC10</f>
        <v>2</v>
      </c>
      <c r="AD16" s="33" t="n">
        <f aca="false">AC14*AD10</f>
        <v>2</v>
      </c>
      <c r="AE16" s="33" t="n">
        <f aca="false">AD14*AE10</f>
        <v>2</v>
      </c>
      <c r="AF16" s="33" t="n">
        <f aca="false">AE14*AF10</f>
        <v>2</v>
      </c>
      <c r="AG16" s="33" t="n">
        <f aca="false">AF14*AG10</f>
        <v>2</v>
      </c>
      <c r="AH16" s="33" t="n">
        <f aca="false">AG14*AH10</f>
        <v>2</v>
      </c>
      <c r="AI16" s="33" t="n">
        <f aca="false">AH14*AI10</f>
        <v>2</v>
      </c>
      <c r="AJ16" s="33" t="n">
        <f aca="false">AI14*AJ10</f>
        <v>2</v>
      </c>
      <c r="AK16" s="33" t="n">
        <f aca="false">AJ14*AK10</f>
        <v>2</v>
      </c>
      <c r="AL16" s="33" t="n">
        <f aca="false">AK14*AL10</f>
        <v>2</v>
      </c>
      <c r="AM16" s="33" t="n">
        <f aca="false">AL14*AM10</f>
        <v>2</v>
      </c>
      <c r="AN16" s="33" t="n">
        <f aca="false">AM14*AN10</f>
        <v>2</v>
      </c>
      <c r="AO16" s="33" t="n">
        <f aca="false">AN14*AO10</f>
        <v>3</v>
      </c>
      <c r="AP16" s="33" t="n">
        <f aca="false">AO14*AP10</f>
        <v>3</v>
      </c>
      <c r="AQ16" s="33" t="n">
        <f aca="false">AP14*AQ10</f>
        <v>3</v>
      </c>
      <c r="AR16" s="33" t="n">
        <f aca="false">AQ14*AR10</f>
        <v>3</v>
      </c>
      <c r="AS16" s="33" t="n">
        <f aca="false">AR14*AS10</f>
        <v>3</v>
      </c>
      <c r="AT16" s="33" t="n">
        <f aca="false">AS14*AT10</f>
        <v>3</v>
      </c>
      <c r="AU16" s="33" t="n">
        <f aca="false">AT14*AU10</f>
        <v>3</v>
      </c>
      <c r="AV16" s="33" t="n">
        <f aca="false">AU14*AV10</f>
        <v>4</v>
      </c>
      <c r="AW16" s="33" t="n">
        <f aca="false">AV14*AW10</f>
        <v>4</v>
      </c>
      <c r="AX16" s="33" t="n">
        <f aca="false">AW14*AX10</f>
        <v>4</v>
      </c>
      <c r="AY16" s="33" t="n">
        <f aca="false">AX14*AY10</f>
        <v>4</v>
      </c>
      <c r="AZ16" s="33" t="n">
        <f aca="false">AY14*AZ10</f>
        <v>4</v>
      </c>
      <c r="BA16" s="33" t="n">
        <f aca="false">AZ14*BA10</f>
        <v>5</v>
      </c>
      <c r="BB16" s="33" t="n">
        <f aca="false">BA14*BB10</f>
        <v>5</v>
      </c>
      <c r="BC16" s="33" t="n">
        <f aca="false">BB14*BC10</f>
        <v>5</v>
      </c>
      <c r="BD16" s="33" t="n">
        <f aca="false">BC14*BD10</f>
        <v>5</v>
      </c>
      <c r="BE16" s="33" t="n">
        <f aca="false">BD14*BE10</f>
        <v>6</v>
      </c>
      <c r="BF16" s="33" t="n">
        <f aca="false">BE14*BF10</f>
        <v>6</v>
      </c>
      <c r="BG16" s="33" t="n">
        <f aca="false">BF14*BG10</f>
        <v>6</v>
      </c>
      <c r="BH16" s="33" t="n">
        <f aca="false">BG14*BH10</f>
        <v>6</v>
      </c>
      <c r="BI16" s="33" t="n">
        <f aca="false">BH14*BI10</f>
        <v>7</v>
      </c>
      <c r="BJ16" s="33" t="n">
        <f aca="false">BI14*BJ10</f>
        <v>7</v>
      </c>
      <c r="BK16" s="33" t="n">
        <f aca="false">BJ14*BK10</f>
        <v>7</v>
      </c>
      <c r="BL16" s="33" t="n">
        <f aca="false">BK14*BL10</f>
        <v>7</v>
      </c>
    </row>
    <row r="17" customFormat="false" ht="15" hidden="false" customHeight="true" outlineLevel="0" collapsed="false">
      <c r="A17" s="13" t="s">
        <v>1183</v>
      </c>
      <c r="B17" s="15" t="s">
        <v>89</v>
      </c>
      <c r="D17" s="58" t="n">
        <f aca="false">SUM(E17:BL17)</f>
        <v>3288</v>
      </c>
      <c r="E17" s="43" t="n">
        <f aca="false">E15*Rep_Productivity</f>
        <v>0</v>
      </c>
      <c r="F17" s="43" t="n">
        <f aca="false">F15*Rep_Productivity</f>
        <v>0</v>
      </c>
      <c r="G17" s="43" t="n">
        <f aca="false">G15*Rep_Productivity</f>
        <v>0</v>
      </c>
      <c r="H17" s="43" t="n">
        <f aca="false">H15*Rep_Productivity</f>
        <v>0</v>
      </c>
      <c r="I17" s="43" t="n">
        <f aca="false">I15*Rep_Productivity</f>
        <v>24</v>
      </c>
      <c r="J17" s="43" t="n">
        <f aca="false">J15*Rep_Productivity</f>
        <v>24</v>
      </c>
      <c r="K17" s="43" t="n">
        <f aca="false">K15*Rep_Productivity</f>
        <v>24</v>
      </c>
      <c r="L17" s="43" t="n">
        <f aca="false">L15*Rep_Productivity</f>
        <v>24</v>
      </c>
      <c r="M17" s="43" t="n">
        <f aca="false">M15*Rep_Productivity</f>
        <v>24</v>
      </c>
      <c r="N17" s="43" t="n">
        <f aca="false">N15*Rep_Productivity</f>
        <v>24</v>
      </c>
      <c r="O17" s="43" t="n">
        <f aca="false">O15*Rep_Productivity</f>
        <v>24</v>
      </c>
      <c r="P17" s="43" t="n">
        <f aca="false">P15*Rep_Productivity</f>
        <v>24</v>
      </c>
      <c r="Q17" s="43" t="n">
        <f aca="false">Q15*Rep_Productivity</f>
        <v>24</v>
      </c>
      <c r="R17" s="43" t="n">
        <f aca="false">R15*Rep_Productivity</f>
        <v>24</v>
      </c>
      <c r="S17" s="43" t="n">
        <f aca="false">S15*Rep_Productivity</f>
        <v>24</v>
      </c>
      <c r="T17" s="43" t="n">
        <f aca="false">T15*Rep_Productivity</f>
        <v>24</v>
      </c>
      <c r="U17" s="43" t="n">
        <f aca="false">U15*Rep_Productivity</f>
        <v>24</v>
      </c>
      <c r="V17" s="43" t="n">
        <f aca="false">V15*Rep_Productivity</f>
        <v>24</v>
      </c>
      <c r="W17" s="43" t="n">
        <f aca="false">W15*Rep_Productivity</f>
        <v>24</v>
      </c>
      <c r="X17" s="43" t="n">
        <f aca="false">X15*Rep_Productivity</f>
        <v>24</v>
      </c>
      <c r="Y17" s="43" t="n">
        <f aca="false">Y15*Rep_Productivity</f>
        <v>32</v>
      </c>
      <c r="Z17" s="43" t="n">
        <f aca="false">Z15*Rep_Productivity</f>
        <v>32</v>
      </c>
      <c r="AA17" s="43" t="n">
        <f aca="false">AA15*Rep_Productivity</f>
        <v>32</v>
      </c>
      <c r="AB17" s="43" t="n">
        <f aca="false">AB15*Rep_Productivity</f>
        <v>32</v>
      </c>
      <c r="AC17" s="43" t="n">
        <f aca="false">AC15*Rep_Productivity</f>
        <v>32</v>
      </c>
      <c r="AD17" s="43" t="n">
        <f aca="false">AD15*Rep_Productivity</f>
        <v>32</v>
      </c>
      <c r="AE17" s="43" t="n">
        <f aca="false">AE15*Rep_Productivity</f>
        <v>40</v>
      </c>
      <c r="AF17" s="43" t="n">
        <f aca="false">AF15*Rep_Productivity</f>
        <v>40</v>
      </c>
      <c r="AG17" s="43" t="n">
        <f aca="false">AG15*Rep_Productivity</f>
        <v>40</v>
      </c>
      <c r="AH17" s="43" t="n">
        <f aca="false">AH15*Rep_Productivity</f>
        <v>40</v>
      </c>
      <c r="AI17" s="43" t="n">
        <f aca="false">AI15*Rep_Productivity</f>
        <v>48</v>
      </c>
      <c r="AJ17" s="43" t="n">
        <f aca="false">AJ15*Rep_Productivity</f>
        <v>48</v>
      </c>
      <c r="AK17" s="43" t="n">
        <f aca="false">AK15*Rep_Productivity</f>
        <v>48</v>
      </c>
      <c r="AL17" s="43" t="n">
        <f aca="false">AL15*Rep_Productivity</f>
        <v>48</v>
      </c>
      <c r="AM17" s="43" t="n">
        <f aca="false">AM15*Rep_Productivity</f>
        <v>56</v>
      </c>
      <c r="AN17" s="43" t="n">
        <f aca="false">AN15*Rep_Productivity</f>
        <v>56</v>
      </c>
      <c r="AO17" s="43" t="n">
        <f aca="false">AO15*Rep_Productivity</f>
        <v>56</v>
      </c>
      <c r="AP17" s="43" t="n">
        <f aca="false">AP15*Rep_Productivity</f>
        <v>64</v>
      </c>
      <c r="AQ17" s="43" t="n">
        <f aca="false">AQ15*Rep_Productivity</f>
        <v>64</v>
      </c>
      <c r="AR17" s="43" t="n">
        <f aca="false">AR15*Rep_Productivity</f>
        <v>64</v>
      </c>
      <c r="AS17" s="43" t="n">
        <f aca="false">AS15*Rep_Productivity</f>
        <v>72</v>
      </c>
      <c r="AT17" s="43" t="n">
        <f aca="false">AT15*Rep_Productivity</f>
        <v>72</v>
      </c>
      <c r="AU17" s="43" t="n">
        <f aca="false">AU15*Rep_Productivity</f>
        <v>72</v>
      </c>
      <c r="AV17" s="43" t="n">
        <f aca="false">AV15*Rep_Productivity</f>
        <v>80</v>
      </c>
      <c r="AW17" s="43" t="n">
        <f aca="false">AW15*Rep_Productivity</f>
        <v>80</v>
      </c>
      <c r="AX17" s="43" t="n">
        <f aca="false">AX15*Rep_Productivity</f>
        <v>88</v>
      </c>
      <c r="AY17" s="43" t="n">
        <f aca="false">AY15*Rep_Productivity</f>
        <v>88</v>
      </c>
      <c r="AZ17" s="43" t="n">
        <f aca="false">AZ15*Rep_Productivity</f>
        <v>88</v>
      </c>
      <c r="BA17" s="43" t="n">
        <f aca="false">BA15*Rep_Productivity</f>
        <v>96</v>
      </c>
      <c r="BB17" s="43" t="n">
        <f aca="false">BB15*Rep_Productivity</f>
        <v>96</v>
      </c>
      <c r="BC17" s="43" t="n">
        <f aca="false">BC15*Rep_Productivity</f>
        <v>104</v>
      </c>
      <c r="BD17" s="43" t="n">
        <f aca="false">BD15*Rep_Productivity</f>
        <v>104</v>
      </c>
      <c r="BE17" s="43" t="n">
        <f aca="false">BE15*Rep_Productivity</f>
        <v>104</v>
      </c>
      <c r="BF17" s="43" t="n">
        <f aca="false">BF15*Rep_Productivity</f>
        <v>112</v>
      </c>
      <c r="BG17" s="43" t="n">
        <f aca="false">BG15*Rep_Productivity</f>
        <v>112</v>
      </c>
      <c r="BH17" s="43" t="n">
        <f aca="false">BH15*Rep_Productivity</f>
        <v>120</v>
      </c>
      <c r="BI17" s="43" t="n">
        <f aca="false">BI15*Rep_Productivity</f>
        <v>120</v>
      </c>
      <c r="BJ17" s="43" t="n">
        <f aca="false">BJ15*Rep_Productivity</f>
        <v>128</v>
      </c>
      <c r="BK17" s="43" t="n">
        <f aca="false">BK15*Rep_Productivity</f>
        <v>128</v>
      </c>
      <c r="BL17" s="43" t="n">
        <f aca="false">BL15*Rep_Productivity</f>
        <v>136</v>
      </c>
    </row>
    <row r="18" customFormat="false" ht="15" hidden="false" customHeight="true" outlineLevel="0" collapsed="false">
      <c r="A18" s="13" t="s">
        <v>1184</v>
      </c>
      <c r="B18" s="15" t="s">
        <v>89</v>
      </c>
      <c r="D18" s="58" t="n">
        <f aca="false">SUM(E18:BL18)</f>
        <v>1072.8</v>
      </c>
      <c r="E18" s="43" t="n">
        <f aca="false">E16*Rep_Productivity*CI_Productivity</f>
        <v>0</v>
      </c>
      <c r="F18" s="43" t="n">
        <f aca="false">F16*Rep_Productivity*CI_Productivity</f>
        <v>0</v>
      </c>
      <c r="G18" s="43" t="n">
        <f aca="false">G16*Rep_Productivity*CI_Productivity</f>
        <v>0</v>
      </c>
      <c r="H18" s="43" t="n">
        <f aca="false">H16*Rep_Productivity*CI_Productivity</f>
        <v>0</v>
      </c>
      <c r="I18" s="43" t="n">
        <f aca="false">I16*Rep_Productivity*CI_Productivity</f>
        <v>0</v>
      </c>
      <c r="J18" s="43" t="n">
        <f aca="false">J16*Rep_Productivity*CI_Productivity</f>
        <v>0</v>
      </c>
      <c r="K18" s="43" t="n">
        <f aca="false">K16*Rep_Productivity*CI_Productivity</f>
        <v>0</v>
      </c>
      <c r="L18" s="43" t="n">
        <f aca="false">L16*Rep_Productivity*CI_Productivity</f>
        <v>0</v>
      </c>
      <c r="M18" s="43" t="n">
        <f aca="false">M16*Rep_Productivity*CI_Productivity</f>
        <v>0</v>
      </c>
      <c r="N18" s="43" t="n">
        <f aca="false">N16*Rep_Productivity*CI_Productivity</f>
        <v>0</v>
      </c>
      <c r="O18" s="43" t="n">
        <f aca="false">O16*Rep_Productivity*CI_Productivity</f>
        <v>0</v>
      </c>
      <c r="P18" s="43" t="n">
        <f aca="false">P16*Rep_Productivity*CI_Productivity</f>
        <v>0</v>
      </c>
      <c r="Q18" s="43" t="n">
        <f aca="false">Q16*Rep_Productivity*CI_Productivity</f>
        <v>0</v>
      </c>
      <c r="R18" s="43" t="n">
        <f aca="false">R16*Rep_Productivity*CI_Productivity</f>
        <v>0</v>
      </c>
      <c r="S18" s="43" t="n">
        <f aca="false">S16*Rep_Productivity*CI_Productivity</f>
        <v>0</v>
      </c>
      <c r="T18" s="43" t="n">
        <f aca="false">T16*Rep_Productivity*CI_Productivity</f>
        <v>0</v>
      </c>
      <c r="U18" s="43" t="n">
        <f aca="false">U16*Rep_Productivity*CI_Productivity</f>
        <v>0</v>
      </c>
      <c r="V18" s="43" t="n">
        <f aca="false">V16*Rep_Productivity*CI_Productivity</f>
        <v>0</v>
      </c>
      <c r="W18" s="43" t="n">
        <f aca="false">W16*Rep_Productivity*CI_Productivity</f>
        <v>14.4</v>
      </c>
      <c r="X18" s="43" t="n">
        <f aca="false">X16*Rep_Productivity*CI_Productivity</f>
        <v>14.4</v>
      </c>
      <c r="Y18" s="43" t="n">
        <f aca="false">Y16*Rep_Productivity*CI_Productivity</f>
        <v>14.4</v>
      </c>
      <c r="Z18" s="43" t="n">
        <f aca="false">Z16*Rep_Productivity*CI_Productivity</f>
        <v>14.4</v>
      </c>
      <c r="AA18" s="43" t="n">
        <f aca="false">AA16*Rep_Productivity*CI_Productivity</f>
        <v>14.4</v>
      </c>
      <c r="AB18" s="43" t="n">
        <f aca="false">AB16*Rep_Productivity*CI_Productivity</f>
        <v>14.4</v>
      </c>
      <c r="AC18" s="43" t="n">
        <f aca="false">AC16*Rep_Productivity*CI_Productivity</f>
        <v>14.4</v>
      </c>
      <c r="AD18" s="43" t="n">
        <f aca="false">AD16*Rep_Productivity*CI_Productivity</f>
        <v>14.4</v>
      </c>
      <c r="AE18" s="43" t="n">
        <f aca="false">AE16*Rep_Productivity*CI_Productivity</f>
        <v>14.4</v>
      </c>
      <c r="AF18" s="43" t="n">
        <f aca="false">AF16*Rep_Productivity*CI_Productivity</f>
        <v>14.4</v>
      </c>
      <c r="AG18" s="43" t="n">
        <f aca="false">AG16*Rep_Productivity*CI_Productivity</f>
        <v>14.4</v>
      </c>
      <c r="AH18" s="43" t="n">
        <f aca="false">AH16*Rep_Productivity*CI_Productivity</f>
        <v>14.4</v>
      </c>
      <c r="AI18" s="43" t="n">
        <f aca="false">AI16*Rep_Productivity*CI_Productivity</f>
        <v>14.4</v>
      </c>
      <c r="AJ18" s="43" t="n">
        <f aca="false">AJ16*Rep_Productivity*CI_Productivity</f>
        <v>14.4</v>
      </c>
      <c r="AK18" s="43" t="n">
        <f aca="false">AK16*Rep_Productivity*CI_Productivity</f>
        <v>14.4</v>
      </c>
      <c r="AL18" s="43" t="n">
        <f aca="false">AL16*Rep_Productivity*CI_Productivity</f>
        <v>14.4</v>
      </c>
      <c r="AM18" s="43" t="n">
        <f aca="false">AM16*Rep_Productivity*CI_Productivity</f>
        <v>14.4</v>
      </c>
      <c r="AN18" s="43" t="n">
        <f aca="false">AN16*Rep_Productivity*CI_Productivity</f>
        <v>14.4</v>
      </c>
      <c r="AO18" s="43" t="n">
        <f aca="false">AO16*Rep_Productivity*CI_Productivity</f>
        <v>21.6</v>
      </c>
      <c r="AP18" s="43" t="n">
        <f aca="false">AP16*Rep_Productivity*CI_Productivity</f>
        <v>21.6</v>
      </c>
      <c r="AQ18" s="43" t="n">
        <f aca="false">AQ16*Rep_Productivity*CI_Productivity</f>
        <v>21.6</v>
      </c>
      <c r="AR18" s="43" t="n">
        <f aca="false">AR16*Rep_Productivity*CI_Productivity</f>
        <v>21.6</v>
      </c>
      <c r="AS18" s="43" t="n">
        <f aca="false">AS16*Rep_Productivity*CI_Productivity</f>
        <v>21.6</v>
      </c>
      <c r="AT18" s="43" t="n">
        <f aca="false">AT16*Rep_Productivity*CI_Productivity</f>
        <v>21.6</v>
      </c>
      <c r="AU18" s="43" t="n">
        <f aca="false">AU16*Rep_Productivity*CI_Productivity</f>
        <v>21.6</v>
      </c>
      <c r="AV18" s="43" t="n">
        <f aca="false">AV16*Rep_Productivity*CI_Productivity</f>
        <v>28.8</v>
      </c>
      <c r="AW18" s="43" t="n">
        <f aca="false">AW16*Rep_Productivity*CI_Productivity</f>
        <v>28.8</v>
      </c>
      <c r="AX18" s="43" t="n">
        <f aca="false">AX16*Rep_Productivity*CI_Productivity</f>
        <v>28.8</v>
      </c>
      <c r="AY18" s="43" t="n">
        <f aca="false">AY16*Rep_Productivity*CI_Productivity</f>
        <v>28.8</v>
      </c>
      <c r="AZ18" s="43" t="n">
        <f aca="false">AZ16*Rep_Productivity*CI_Productivity</f>
        <v>28.8</v>
      </c>
      <c r="BA18" s="43" t="n">
        <f aca="false">BA16*Rep_Productivity*CI_Productivity</f>
        <v>36</v>
      </c>
      <c r="BB18" s="43" t="n">
        <f aca="false">BB16*Rep_Productivity*CI_Productivity</f>
        <v>36</v>
      </c>
      <c r="BC18" s="43" t="n">
        <f aca="false">BC16*Rep_Productivity*CI_Productivity</f>
        <v>36</v>
      </c>
      <c r="BD18" s="43" t="n">
        <f aca="false">BD16*Rep_Productivity*CI_Productivity</f>
        <v>36</v>
      </c>
      <c r="BE18" s="43" t="n">
        <f aca="false">BE16*Rep_Productivity*CI_Productivity</f>
        <v>43.2</v>
      </c>
      <c r="BF18" s="43" t="n">
        <f aca="false">BF16*Rep_Productivity*CI_Productivity</f>
        <v>43.2</v>
      </c>
      <c r="BG18" s="43" t="n">
        <f aca="false">BG16*Rep_Productivity*CI_Productivity</f>
        <v>43.2</v>
      </c>
      <c r="BH18" s="43" t="n">
        <f aca="false">BH16*Rep_Productivity*CI_Productivity</f>
        <v>43.2</v>
      </c>
      <c r="BI18" s="43" t="n">
        <f aca="false">BI16*Rep_Productivity*CI_Productivity</f>
        <v>50.4</v>
      </c>
      <c r="BJ18" s="43" t="n">
        <f aca="false">BJ16*Rep_Productivity*CI_Productivity</f>
        <v>50.4</v>
      </c>
      <c r="BK18" s="43" t="n">
        <f aca="false">BK16*Rep_Productivity*CI_Productivity</f>
        <v>50.4</v>
      </c>
      <c r="BL18" s="43" t="n">
        <f aca="false">BL16*Rep_Productivity*CI_Productivity</f>
        <v>50.4</v>
      </c>
    </row>
    <row r="20" customFormat="false" ht="15" hidden="false" customHeight="true" outlineLevel="0" collapsed="false">
      <c r="A20" s="11" t="s">
        <v>1185</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row>
    <row r="21" customFormat="false" ht="15" hidden="false" customHeight="true" outlineLevel="0" collapsed="false">
      <c r="A21" s="13" t="s">
        <v>1186</v>
      </c>
      <c r="B21" s="15" t="s">
        <v>89</v>
      </c>
      <c r="D21" s="58" t="n">
        <f aca="false">SUM(E21:BL21)</f>
        <v>2518.09572495012</v>
      </c>
      <c r="E21" s="43" t="n">
        <f aca="false">E9*MIN(Partner_Cap_SN,Partner_Base_SN*(1+Partner_Growth)^MAX(0,E$3-Launch_SN))</f>
        <v>0</v>
      </c>
      <c r="F21" s="43" t="n">
        <f aca="false">F9*MIN(Partner_Cap_SN,Partner_Base_SN*(1+Partner_Growth)^MAX(0,F$3-Launch_SN))</f>
        <v>0</v>
      </c>
      <c r="G21" s="43" t="n">
        <f aca="false">G9*MIN(Partner_Cap_SN,Partner_Base_SN*(1+Partner_Growth)^MAX(0,G$3-Launch_SN))</f>
        <v>0</v>
      </c>
      <c r="H21" s="43" t="n">
        <f aca="false">H9*MIN(Partner_Cap_SN,Partner_Base_SN*(1+Partner_Growth)^MAX(0,H$3-Launch_SN))</f>
        <v>0</v>
      </c>
      <c r="I21" s="43" t="n">
        <f aca="false">I9*MIN(Partner_Cap_SN,Partner_Base_SN*(1+Partner_Growth)^MAX(0,I$3-Launch_SN))</f>
        <v>8</v>
      </c>
      <c r="J21" s="43" t="n">
        <f aca="false">J9*MIN(Partner_Cap_SN,Partner_Base_SN*(1+Partner_Growth)^MAX(0,J$3-Launch_SN))</f>
        <v>8.48</v>
      </c>
      <c r="K21" s="43" t="n">
        <f aca="false">K9*MIN(Partner_Cap_SN,Partner_Base_SN*(1+Partner_Growth)^MAX(0,K$3-Launch_SN))</f>
        <v>8.9888</v>
      </c>
      <c r="L21" s="43" t="n">
        <f aca="false">L9*MIN(Partner_Cap_SN,Partner_Base_SN*(1+Partner_Growth)^MAX(0,L$3-Launch_SN))</f>
        <v>9.528128</v>
      </c>
      <c r="M21" s="43" t="n">
        <f aca="false">M9*MIN(Partner_Cap_SN,Partner_Base_SN*(1+Partner_Growth)^MAX(0,M$3-Launch_SN))</f>
        <v>10.09981568</v>
      </c>
      <c r="N21" s="43" t="n">
        <f aca="false">N9*MIN(Partner_Cap_SN,Partner_Base_SN*(1+Partner_Growth)^MAX(0,N$3-Launch_SN))</f>
        <v>10.7058046208</v>
      </c>
      <c r="O21" s="43" t="n">
        <f aca="false">O9*MIN(Partner_Cap_SN,Partner_Base_SN*(1+Partner_Growth)^MAX(0,O$3-Launch_SN))</f>
        <v>11.348152898048</v>
      </c>
      <c r="P21" s="43" t="n">
        <f aca="false">P9*MIN(Partner_Cap_SN,Partner_Base_SN*(1+Partner_Growth)^MAX(0,P$3-Launch_SN))</f>
        <v>12.0290420719309</v>
      </c>
      <c r="Q21" s="43" t="n">
        <f aca="false">Q9*MIN(Partner_Cap_SN,Partner_Base_SN*(1+Partner_Growth)^MAX(0,Q$3-Launch_SN))</f>
        <v>12.7507845962467</v>
      </c>
      <c r="R21" s="43" t="n">
        <f aca="false">R9*MIN(Partner_Cap_SN,Partner_Base_SN*(1+Partner_Growth)^MAX(0,R$3-Launch_SN))</f>
        <v>13.5158316720215</v>
      </c>
      <c r="S21" s="43" t="n">
        <f aca="false">S9*MIN(Partner_Cap_SN,Partner_Base_SN*(1+Partner_Growth)^MAX(0,S$3-Launch_SN))</f>
        <v>14.3267815723428</v>
      </c>
      <c r="T21" s="43" t="n">
        <f aca="false">T9*MIN(Partner_Cap_SN,Partner_Base_SN*(1+Partner_Growth)^MAX(0,T$3-Launch_SN))</f>
        <v>15.1863884666834</v>
      </c>
      <c r="U21" s="43" t="n">
        <f aca="false">U9*MIN(Partner_Cap_SN,Partner_Base_SN*(1+Partner_Growth)^MAX(0,U$3-Launch_SN))</f>
        <v>16.0975717746844</v>
      </c>
      <c r="V21" s="43" t="n">
        <f aca="false">V9*MIN(Partner_Cap_SN,Partner_Base_SN*(1+Partner_Growth)^MAX(0,V$3-Launch_SN))</f>
        <v>17.0634260811655</v>
      </c>
      <c r="W21" s="43" t="n">
        <f aca="false">W9*MIN(Partner_Cap_SN,Partner_Base_SN*(1+Partner_Growth)^MAX(0,W$3-Launch_SN))</f>
        <v>18.0872316460354</v>
      </c>
      <c r="X21" s="43" t="n">
        <f aca="false">X9*MIN(Partner_Cap_SN,Partner_Base_SN*(1+Partner_Growth)^MAX(0,X$3-Launch_SN))</f>
        <v>19.1724655447975</v>
      </c>
      <c r="Y21" s="43" t="n">
        <f aca="false">Y9*MIN(Partner_Cap_SN,Partner_Base_SN*(1+Partner_Growth)^MAX(0,Y$3-Launch_SN))</f>
        <v>20.3228134774854</v>
      </c>
      <c r="Z21" s="43" t="n">
        <f aca="false">Z9*MIN(Partner_Cap_SN,Partner_Base_SN*(1+Partner_Growth)^MAX(0,Z$3-Launch_SN))</f>
        <v>21.5421822861345</v>
      </c>
      <c r="AA21" s="43" t="n">
        <f aca="false">AA9*MIN(Partner_Cap_SN,Partner_Base_SN*(1+Partner_Growth)^MAX(0,AA$3-Launch_SN))</f>
        <v>22.8347132233026</v>
      </c>
      <c r="AB21" s="43" t="n">
        <f aca="false">AB9*MIN(Partner_Cap_SN,Partner_Base_SN*(1+Partner_Growth)^MAX(0,AB$3-Launch_SN))</f>
        <v>24.2047960167007</v>
      </c>
      <c r="AC21" s="43" t="n">
        <f aca="false">AC9*MIN(Partner_Cap_SN,Partner_Base_SN*(1+Partner_Growth)^MAX(0,AC$3-Launch_SN))</f>
        <v>25.6570837777028</v>
      </c>
      <c r="AD21" s="43" t="n">
        <f aca="false">AD9*MIN(Partner_Cap_SN,Partner_Base_SN*(1+Partner_Growth)^MAX(0,AD$3-Launch_SN))</f>
        <v>27.196508804365</v>
      </c>
      <c r="AE21" s="43" t="n">
        <f aca="false">AE9*MIN(Partner_Cap_SN,Partner_Base_SN*(1+Partner_Growth)^MAX(0,AE$3-Launch_SN))</f>
        <v>28.8282993326269</v>
      </c>
      <c r="AF21" s="43" t="n">
        <f aca="false">AF9*MIN(Partner_Cap_SN,Partner_Base_SN*(1+Partner_Growth)^MAX(0,AF$3-Launch_SN))</f>
        <v>30.5579972925845</v>
      </c>
      <c r="AG21" s="43" t="n">
        <f aca="false">AG9*MIN(Partner_Cap_SN,Partner_Base_SN*(1+Partner_Growth)^MAX(0,AG$3-Launch_SN))</f>
        <v>32.3914771301395</v>
      </c>
      <c r="AH21" s="43" t="n">
        <f aca="false">AH9*MIN(Partner_Cap_SN,Partner_Base_SN*(1+Partner_Growth)^MAX(0,AH$3-Launch_SN))</f>
        <v>34.3349657579479</v>
      </c>
      <c r="AI21" s="43" t="n">
        <f aca="false">AI9*MIN(Partner_Cap_SN,Partner_Base_SN*(1+Partner_Growth)^MAX(0,AI$3-Launch_SN))</f>
        <v>36.3950637034248</v>
      </c>
      <c r="AJ21" s="43" t="n">
        <f aca="false">AJ9*MIN(Partner_Cap_SN,Partner_Base_SN*(1+Partner_Growth)^MAX(0,AJ$3-Launch_SN))</f>
        <v>38.5787675256303</v>
      </c>
      <c r="AK21" s="43" t="n">
        <f aca="false">AK9*MIN(Partner_Cap_SN,Partner_Base_SN*(1+Partner_Growth)^MAX(0,AK$3-Launch_SN))</f>
        <v>40.8934935771681</v>
      </c>
      <c r="AL21" s="43" t="n">
        <f aca="false">AL9*MIN(Partner_Cap_SN,Partner_Base_SN*(1+Partner_Growth)^MAX(0,AL$3-Launch_SN))</f>
        <v>43.3471031917982</v>
      </c>
      <c r="AM21" s="43" t="n">
        <f aca="false">AM9*MIN(Partner_Cap_SN,Partner_Base_SN*(1+Partner_Growth)^MAX(0,AM$3-Launch_SN))</f>
        <v>45.9479293833061</v>
      </c>
      <c r="AN21" s="43" t="n">
        <f aca="false">AN9*MIN(Partner_Cap_SN,Partner_Base_SN*(1+Partner_Growth)^MAX(0,AN$3-Launch_SN))</f>
        <v>48.7048051463044</v>
      </c>
      <c r="AO21" s="43" t="n">
        <f aca="false">AO9*MIN(Partner_Cap_SN,Partner_Base_SN*(1+Partner_Growth)^MAX(0,AO$3-Launch_SN))</f>
        <v>51.6270934550827</v>
      </c>
      <c r="AP21" s="43" t="n">
        <f aca="false">AP9*MIN(Partner_Cap_SN,Partner_Base_SN*(1+Partner_Growth)^MAX(0,AP$3-Launch_SN))</f>
        <v>54.7247190623877</v>
      </c>
      <c r="AQ21" s="43" t="n">
        <f aca="false">AQ9*MIN(Partner_Cap_SN,Partner_Base_SN*(1+Partner_Growth)^MAX(0,AQ$3-Launch_SN))</f>
        <v>58.0082022061309</v>
      </c>
      <c r="AR21" s="43" t="n">
        <f aca="false">AR9*MIN(Partner_Cap_SN,Partner_Base_SN*(1+Partner_Growth)^MAX(0,AR$3-Launch_SN))</f>
        <v>61.4886943384988</v>
      </c>
      <c r="AS21" s="43" t="n">
        <f aca="false">AS9*MIN(Partner_Cap_SN,Partner_Base_SN*(1+Partner_Growth)^MAX(0,AS$3-Launch_SN))</f>
        <v>65.1780159988087</v>
      </c>
      <c r="AT21" s="43" t="n">
        <f aca="false">AT9*MIN(Partner_Cap_SN,Partner_Base_SN*(1+Partner_Growth)^MAX(0,AT$3-Launch_SN))</f>
        <v>69.0886969587372</v>
      </c>
      <c r="AU21" s="43" t="n">
        <f aca="false">AU9*MIN(Partner_Cap_SN,Partner_Base_SN*(1+Partner_Growth)^MAX(0,AU$3-Launch_SN))</f>
        <v>73.2340187762615</v>
      </c>
      <c r="AV21" s="43" t="n">
        <f aca="false">AV9*MIN(Partner_Cap_SN,Partner_Base_SN*(1+Partner_Growth)^MAX(0,AV$3-Launch_SN))</f>
        <v>77.6280599028372</v>
      </c>
      <c r="AW21" s="43" t="n">
        <f aca="false">AW9*MIN(Partner_Cap_SN,Partner_Base_SN*(1+Partner_Growth)^MAX(0,AW$3-Launch_SN))</f>
        <v>80</v>
      </c>
      <c r="AX21" s="43" t="n">
        <f aca="false">AX9*MIN(Partner_Cap_SN,Partner_Base_SN*(1+Partner_Growth)^MAX(0,AX$3-Launch_SN))</f>
        <v>80</v>
      </c>
      <c r="AY21" s="43" t="n">
        <f aca="false">AY9*MIN(Partner_Cap_SN,Partner_Base_SN*(1+Partner_Growth)^MAX(0,AY$3-Launch_SN))</f>
        <v>80</v>
      </c>
      <c r="AZ21" s="43" t="n">
        <f aca="false">AZ9*MIN(Partner_Cap_SN,Partner_Base_SN*(1+Partner_Growth)^MAX(0,AZ$3-Launch_SN))</f>
        <v>80</v>
      </c>
      <c r="BA21" s="43" t="n">
        <f aca="false">BA9*MIN(Partner_Cap_SN,Partner_Base_SN*(1+Partner_Growth)^MAX(0,BA$3-Launch_SN))</f>
        <v>80</v>
      </c>
      <c r="BB21" s="43" t="n">
        <f aca="false">BB9*MIN(Partner_Cap_SN,Partner_Base_SN*(1+Partner_Growth)^MAX(0,BB$3-Launch_SN))</f>
        <v>80</v>
      </c>
      <c r="BC21" s="43" t="n">
        <f aca="false">BC9*MIN(Partner_Cap_SN,Partner_Base_SN*(1+Partner_Growth)^MAX(0,BC$3-Launch_SN))</f>
        <v>80</v>
      </c>
      <c r="BD21" s="43" t="n">
        <f aca="false">BD9*MIN(Partner_Cap_SN,Partner_Base_SN*(1+Partner_Growth)^MAX(0,BD$3-Launch_SN))</f>
        <v>80</v>
      </c>
      <c r="BE21" s="43" t="n">
        <f aca="false">BE9*MIN(Partner_Cap_SN,Partner_Base_SN*(1+Partner_Growth)^MAX(0,BE$3-Launch_SN))</f>
        <v>80</v>
      </c>
      <c r="BF21" s="43" t="n">
        <f aca="false">BF9*MIN(Partner_Cap_SN,Partner_Base_SN*(1+Partner_Growth)^MAX(0,BF$3-Launch_SN))</f>
        <v>80</v>
      </c>
      <c r="BG21" s="43" t="n">
        <f aca="false">BG9*MIN(Partner_Cap_SN,Partner_Base_SN*(1+Partner_Growth)^MAX(0,BG$3-Launch_SN))</f>
        <v>80</v>
      </c>
      <c r="BH21" s="43" t="n">
        <f aca="false">BH9*MIN(Partner_Cap_SN,Partner_Base_SN*(1+Partner_Growth)^MAX(0,BH$3-Launch_SN))</f>
        <v>80</v>
      </c>
      <c r="BI21" s="43" t="n">
        <f aca="false">BI9*MIN(Partner_Cap_SN,Partner_Base_SN*(1+Partner_Growth)^MAX(0,BI$3-Launch_SN))</f>
        <v>80</v>
      </c>
      <c r="BJ21" s="43" t="n">
        <f aca="false">BJ9*MIN(Partner_Cap_SN,Partner_Base_SN*(1+Partner_Growth)^MAX(0,BJ$3-Launch_SN))</f>
        <v>80</v>
      </c>
      <c r="BK21" s="43" t="n">
        <f aca="false">BK9*MIN(Partner_Cap_SN,Partner_Base_SN*(1+Partner_Growth)^MAX(0,BK$3-Launch_SN))</f>
        <v>80</v>
      </c>
      <c r="BL21" s="43" t="n">
        <f aca="false">BL9*MIN(Partner_Cap_SN,Partner_Base_SN*(1+Partner_Growth)^MAX(0,BL$3-Launch_SN))</f>
        <v>80</v>
      </c>
    </row>
    <row r="22" customFormat="false" ht="15" hidden="false" customHeight="true" outlineLevel="0" collapsed="false">
      <c r="A22" s="13" t="s">
        <v>1187</v>
      </c>
      <c r="B22" s="15" t="s">
        <v>89</v>
      </c>
      <c r="D22" s="58" t="n">
        <f aca="false">SUM(E22:BL22)</f>
        <v>1048.57179371259</v>
      </c>
      <c r="E22" s="43" t="n">
        <f aca="false">E10*MIN(Partner_Cap_CI,Partner_Base_CI*(1+Partner_Growth)^MAX(0,E$3-Launch_CI))</f>
        <v>0</v>
      </c>
      <c r="F22" s="43" t="n">
        <f aca="false">F10*MIN(Partner_Cap_CI,Partner_Base_CI*(1+Partner_Growth)^MAX(0,F$3-Launch_CI))</f>
        <v>0</v>
      </c>
      <c r="G22" s="43" t="n">
        <f aca="false">G10*MIN(Partner_Cap_CI,Partner_Base_CI*(1+Partner_Growth)^MAX(0,G$3-Launch_CI))</f>
        <v>0</v>
      </c>
      <c r="H22" s="43" t="n">
        <f aca="false">H10*MIN(Partner_Cap_CI,Partner_Base_CI*(1+Partner_Growth)^MAX(0,H$3-Launch_CI))</f>
        <v>0</v>
      </c>
      <c r="I22" s="43" t="n">
        <f aca="false">I10*MIN(Partner_Cap_CI,Partner_Base_CI*(1+Partner_Growth)^MAX(0,I$3-Launch_CI))</f>
        <v>0</v>
      </c>
      <c r="J22" s="43" t="n">
        <f aca="false">J10*MIN(Partner_Cap_CI,Partner_Base_CI*(1+Partner_Growth)^MAX(0,J$3-Launch_CI))</f>
        <v>0</v>
      </c>
      <c r="K22" s="43" t="n">
        <f aca="false">K10*MIN(Partner_Cap_CI,Partner_Base_CI*(1+Partner_Growth)^MAX(0,K$3-Launch_CI))</f>
        <v>0</v>
      </c>
      <c r="L22" s="43" t="n">
        <f aca="false">L10*MIN(Partner_Cap_CI,Partner_Base_CI*(1+Partner_Growth)^MAX(0,L$3-Launch_CI))</f>
        <v>0</v>
      </c>
      <c r="M22" s="43" t="n">
        <f aca="false">M10*MIN(Partner_Cap_CI,Partner_Base_CI*(1+Partner_Growth)^MAX(0,M$3-Launch_CI))</f>
        <v>0</v>
      </c>
      <c r="N22" s="43" t="n">
        <f aca="false">N10*MIN(Partner_Cap_CI,Partner_Base_CI*(1+Partner_Growth)^MAX(0,N$3-Launch_CI))</f>
        <v>0</v>
      </c>
      <c r="O22" s="43" t="n">
        <f aca="false">O10*MIN(Partner_Cap_CI,Partner_Base_CI*(1+Partner_Growth)^MAX(0,O$3-Launch_CI))</f>
        <v>0</v>
      </c>
      <c r="P22" s="43" t="n">
        <f aca="false">P10*MIN(Partner_Cap_CI,Partner_Base_CI*(1+Partner_Growth)^MAX(0,P$3-Launch_CI))</f>
        <v>0</v>
      </c>
      <c r="Q22" s="43" t="n">
        <f aca="false">Q10*MIN(Partner_Cap_CI,Partner_Base_CI*(1+Partner_Growth)^MAX(0,Q$3-Launch_CI))</f>
        <v>0</v>
      </c>
      <c r="R22" s="43" t="n">
        <f aca="false">R10*MIN(Partner_Cap_CI,Partner_Base_CI*(1+Partner_Growth)^MAX(0,R$3-Launch_CI))</f>
        <v>0</v>
      </c>
      <c r="S22" s="43" t="n">
        <f aca="false">S10*MIN(Partner_Cap_CI,Partner_Base_CI*(1+Partner_Growth)^MAX(0,S$3-Launch_CI))</f>
        <v>0</v>
      </c>
      <c r="T22" s="43" t="n">
        <f aca="false">T10*MIN(Partner_Cap_CI,Partner_Base_CI*(1+Partner_Growth)^MAX(0,T$3-Launch_CI))</f>
        <v>0</v>
      </c>
      <c r="U22" s="43" t="n">
        <f aca="false">U10*MIN(Partner_Cap_CI,Partner_Base_CI*(1+Partner_Growth)^MAX(0,U$3-Launch_CI))</f>
        <v>0</v>
      </c>
      <c r="V22" s="43" t="n">
        <f aca="false">V10*MIN(Partner_Cap_CI,Partner_Base_CI*(1+Partner_Growth)^MAX(0,V$3-Launch_CI))</f>
        <v>0</v>
      </c>
      <c r="W22" s="43" t="n">
        <f aca="false">W10*MIN(Partner_Cap_CI,Partner_Base_CI*(1+Partner_Growth)^MAX(0,W$3-Launch_CI))</f>
        <v>6</v>
      </c>
      <c r="X22" s="43" t="n">
        <f aca="false">X10*MIN(Partner_Cap_CI,Partner_Base_CI*(1+Partner_Growth)^MAX(0,X$3-Launch_CI))</f>
        <v>6.36</v>
      </c>
      <c r="Y22" s="43" t="n">
        <f aca="false">Y10*MIN(Partner_Cap_CI,Partner_Base_CI*(1+Partner_Growth)^MAX(0,Y$3-Launch_CI))</f>
        <v>6.7416</v>
      </c>
      <c r="Z22" s="43" t="n">
        <f aca="false">Z10*MIN(Partner_Cap_CI,Partner_Base_CI*(1+Partner_Growth)^MAX(0,Z$3-Launch_CI))</f>
        <v>7.146096</v>
      </c>
      <c r="AA22" s="43" t="n">
        <f aca="false">AA10*MIN(Partner_Cap_CI,Partner_Base_CI*(1+Partner_Growth)^MAX(0,AA$3-Launch_CI))</f>
        <v>7.57486176</v>
      </c>
      <c r="AB22" s="43" t="n">
        <f aca="false">AB10*MIN(Partner_Cap_CI,Partner_Base_CI*(1+Partner_Growth)^MAX(0,AB$3-Launch_CI))</f>
        <v>8.0293534656</v>
      </c>
      <c r="AC22" s="43" t="n">
        <f aca="false">AC10*MIN(Partner_Cap_CI,Partner_Base_CI*(1+Partner_Growth)^MAX(0,AC$3-Launch_CI))</f>
        <v>8.511114673536</v>
      </c>
      <c r="AD22" s="43" t="n">
        <f aca="false">AD10*MIN(Partner_Cap_CI,Partner_Base_CI*(1+Partner_Growth)^MAX(0,AD$3-Launch_CI))</f>
        <v>9.02178155394816</v>
      </c>
      <c r="AE22" s="43" t="n">
        <f aca="false">AE10*MIN(Partner_Cap_CI,Partner_Base_CI*(1+Partner_Growth)^MAX(0,AE$3-Launch_CI))</f>
        <v>9.56308844718505</v>
      </c>
      <c r="AF22" s="43" t="n">
        <f aca="false">AF10*MIN(Partner_Cap_CI,Partner_Base_CI*(1+Partner_Growth)^MAX(0,AF$3-Launch_CI))</f>
        <v>10.1368737540162</v>
      </c>
      <c r="AG22" s="43" t="n">
        <f aca="false">AG10*MIN(Partner_Cap_CI,Partner_Base_CI*(1+Partner_Growth)^MAX(0,AG$3-Launch_CI))</f>
        <v>10.7450861792571</v>
      </c>
      <c r="AH22" s="43" t="n">
        <f aca="false">AH10*MIN(Partner_Cap_CI,Partner_Base_CI*(1+Partner_Growth)^MAX(0,AH$3-Launch_CI))</f>
        <v>11.3897913500126</v>
      </c>
      <c r="AI22" s="43" t="n">
        <f aca="false">AI10*MIN(Partner_Cap_CI,Partner_Base_CI*(1+Partner_Growth)^MAX(0,AI$3-Launch_CI))</f>
        <v>12.0731788310133</v>
      </c>
      <c r="AJ22" s="43" t="n">
        <f aca="false">AJ10*MIN(Partner_Cap_CI,Partner_Base_CI*(1+Partner_Growth)^MAX(0,AJ$3-Launch_CI))</f>
        <v>12.7975695608741</v>
      </c>
      <c r="AK22" s="43" t="n">
        <f aca="false">AK10*MIN(Partner_Cap_CI,Partner_Base_CI*(1+Partner_Growth)^MAX(0,AK$3-Launch_CI))</f>
        <v>13.5654237345266</v>
      </c>
      <c r="AL22" s="43" t="n">
        <f aca="false">AL10*MIN(Partner_Cap_CI,Partner_Base_CI*(1+Partner_Growth)^MAX(0,AL$3-Launch_CI))</f>
        <v>14.3793491585982</v>
      </c>
      <c r="AM22" s="43" t="n">
        <f aca="false">AM10*MIN(Partner_Cap_CI,Partner_Base_CI*(1+Partner_Growth)^MAX(0,AM$3-Launch_CI))</f>
        <v>15.242110108114</v>
      </c>
      <c r="AN22" s="43" t="n">
        <f aca="false">AN10*MIN(Partner_Cap_CI,Partner_Base_CI*(1+Partner_Growth)^MAX(0,AN$3-Launch_CI))</f>
        <v>16.1566367146009</v>
      </c>
      <c r="AO22" s="43" t="n">
        <f aca="false">AO10*MIN(Partner_Cap_CI,Partner_Base_CI*(1+Partner_Growth)^MAX(0,AO$3-Launch_CI))</f>
        <v>17.1260349174769</v>
      </c>
      <c r="AP22" s="43" t="n">
        <f aca="false">AP10*MIN(Partner_Cap_CI,Partner_Base_CI*(1+Partner_Growth)^MAX(0,AP$3-Launch_CI))</f>
        <v>18.1535970125256</v>
      </c>
      <c r="AQ22" s="43" t="n">
        <f aca="false">AQ10*MIN(Partner_Cap_CI,Partner_Base_CI*(1+Partner_Growth)^MAX(0,AQ$3-Launch_CI))</f>
        <v>19.2428128332771</v>
      </c>
      <c r="AR22" s="43" t="n">
        <f aca="false">AR10*MIN(Partner_Cap_CI,Partner_Base_CI*(1+Partner_Growth)^MAX(0,AR$3-Launch_CI))</f>
        <v>20.3973816032737</v>
      </c>
      <c r="AS22" s="43" t="n">
        <f aca="false">AS10*MIN(Partner_Cap_CI,Partner_Base_CI*(1+Partner_Growth)^MAX(0,AS$3-Launch_CI))</f>
        <v>21.6212244994701</v>
      </c>
      <c r="AT22" s="43" t="n">
        <f aca="false">AT10*MIN(Partner_Cap_CI,Partner_Base_CI*(1+Partner_Growth)^MAX(0,AT$3-Launch_CI))</f>
        <v>22.9184979694384</v>
      </c>
      <c r="AU22" s="43" t="n">
        <f aca="false">AU10*MIN(Partner_Cap_CI,Partner_Base_CI*(1+Partner_Growth)^MAX(0,AU$3-Launch_CI))</f>
        <v>24.2936078476047</v>
      </c>
      <c r="AV22" s="43" t="n">
        <f aca="false">AV10*MIN(Partner_Cap_CI,Partner_Base_CI*(1+Partner_Growth)^MAX(0,AV$3-Launch_CI))</f>
        <v>25.7512243184609</v>
      </c>
      <c r="AW22" s="43" t="n">
        <f aca="false">AW10*MIN(Partner_Cap_CI,Partner_Base_CI*(1+Partner_Growth)^MAX(0,AW$3-Launch_CI))</f>
        <v>27.2962977775686</v>
      </c>
      <c r="AX22" s="43" t="n">
        <f aca="false">AX10*MIN(Partner_Cap_CI,Partner_Base_CI*(1+Partner_Growth)^MAX(0,AX$3-Launch_CI))</f>
        <v>28.9340756442227</v>
      </c>
      <c r="AY22" s="43" t="n">
        <f aca="false">AY10*MIN(Partner_Cap_CI,Partner_Base_CI*(1+Partner_Growth)^MAX(0,AY$3-Launch_CI))</f>
        <v>30.6701201828761</v>
      </c>
      <c r="AZ22" s="43" t="n">
        <f aca="false">AZ10*MIN(Partner_Cap_CI,Partner_Base_CI*(1+Partner_Growth)^MAX(0,AZ$3-Launch_CI))</f>
        <v>32.5103273938486</v>
      </c>
      <c r="BA22" s="43" t="n">
        <f aca="false">BA10*MIN(Partner_Cap_CI,Partner_Base_CI*(1+Partner_Growth)^MAX(0,BA$3-Launch_CI))</f>
        <v>34.4609470374796</v>
      </c>
      <c r="BB22" s="43" t="n">
        <f aca="false">BB10*MIN(Partner_Cap_CI,Partner_Base_CI*(1+Partner_Growth)^MAX(0,BB$3-Launch_CI))</f>
        <v>36.5286038597283</v>
      </c>
      <c r="BC22" s="43" t="n">
        <f aca="false">BC10*MIN(Partner_Cap_CI,Partner_Base_CI*(1+Partner_Growth)^MAX(0,BC$3-Launch_CI))</f>
        <v>38.720320091312</v>
      </c>
      <c r="BD22" s="43" t="n">
        <f aca="false">BD10*MIN(Partner_Cap_CI,Partner_Base_CI*(1+Partner_Growth)^MAX(0,BD$3-Launch_CI))</f>
        <v>41.0435392967908</v>
      </c>
      <c r="BE22" s="43" t="n">
        <f aca="false">BE10*MIN(Partner_Cap_CI,Partner_Base_CI*(1+Partner_Growth)^MAX(0,BE$3-Launch_CI))</f>
        <v>43.5061516545982</v>
      </c>
      <c r="BF22" s="43" t="n">
        <f aca="false">BF10*MIN(Partner_Cap_CI,Partner_Base_CI*(1+Partner_Growth)^MAX(0,BF$3-Launch_CI))</f>
        <v>46.1165207538741</v>
      </c>
      <c r="BG22" s="43" t="n">
        <f aca="false">BG10*MIN(Partner_Cap_CI,Partner_Base_CI*(1+Partner_Growth)^MAX(0,BG$3-Launch_CI))</f>
        <v>48.8835119991065</v>
      </c>
      <c r="BH22" s="43" t="n">
        <f aca="false">BH10*MIN(Partner_Cap_CI,Partner_Base_CI*(1+Partner_Growth)^MAX(0,BH$3-Launch_CI))</f>
        <v>51.8165227190529</v>
      </c>
      <c r="BI22" s="43" t="n">
        <f aca="false">BI10*MIN(Partner_Cap_CI,Partner_Base_CI*(1+Partner_Growth)^MAX(0,BI$3-Launch_CI))</f>
        <v>54.9255140821961</v>
      </c>
      <c r="BJ22" s="43" t="n">
        <f aca="false">BJ10*MIN(Partner_Cap_CI,Partner_Base_CI*(1+Partner_Growth)^MAX(0,BJ$3-Launch_CI))</f>
        <v>58.2210449271279</v>
      </c>
      <c r="BK22" s="43" t="n">
        <f aca="false">BK10*MIN(Partner_Cap_CI,Partner_Base_CI*(1+Partner_Growth)^MAX(0,BK$3-Launch_CI))</f>
        <v>60</v>
      </c>
      <c r="BL22" s="43" t="n">
        <f aca="false">BL10*MIN(Partner_Cap_CI,Partner_Base_CI*(1+Partner_Growth)^MAX(0,BL$3-Launch_CI))</f>
        <v>60</v>
      </c>
    </row>
    <row r="24" customFormat="false" ht="15" hidden="false" customHeight="true" outlineLevel="0" collapsed="false">
      <c r="A24" s="11" t="s">
        <v>1188</v>
      </c>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row>
    <row r="25" customFormat="false" ht="15" hidden="false" customHeight="true" outlineLevel="0" collapsed="false">
      <c r="A25" s="13" t="s">
        <v>877</v>
      </c>
      <c r="B25" s="15" t="s">
        <v>77</v>
      </c>
      <c r="D25" s="56" t="n">
        <f aca="false">SUM(E25:BL25)</f>
        <v>207280000</v>
      </c>
      <c r="E25" s="33" t="n">
        <f aca="false">E9*INDEX(Digital_SN,1,E$5)</f>
        <v>0</v>
      </c>
      <c r="F25" s="33" t="n">
        <f aca="false">F9*INDEX(Digital_SN,1,F$5)</f>
        <v>0</v>
      </c>
      <c r="G25" s="33" t="n">
        <f aca="false">G9*INDEX(Digital_SN,1,G$5)</f>
        <v>0</v>
      </c>
      <c r="H25" s="33" t="n">
        <f aca="false">H9*INDEX(Digital_SN,1,H$5)</f>
        <v>0</v>
      </c>
      <c r="I25" s="33" t="n">
        <f aca="false">I9*INDEX(Digital_SN,1,I$5)</f>
        <v>1310000</v>
      </c>
      <c r="J25" s="33" t="n">
        <f aca="false">J9*INDEX(Digital_SN,1,J$5)</f>
        <v>1310000</v>
      </c>
      <c r="K25" s="33" t="n">
        <f aca="false">K9*INDEX(Digital_SN,1,K$5)</f>
        <v>1310000</v>
      </c>
      <c r="L25" s="33" t="n">
        <f aca="false">L9*INDEX(Digital_SN,1,L$5)</f>
        <v>1310000</v>
      </c>
      <c r="M25" s="33" t="n">
        <f aca="false">M9*INDEX(Digital_SN,1,M$5)</f>
        <v>1310000</v>
      </c>
      <c r="N25" s="33" t="n">
        <f aca="false">N9*INDEX(Digital_SN,1,N$5)</f>
        <v>1310000</v>
      </c>
      <c r="O25" s="33" t="n">
        <f aca="false">O9*INDEX(Digital_SN,1,O$5)</f>
        <v>1310000</v>
      </c>
      <c r="P25" s="33" t="n">
        <f aca="false">P9*INDEX(Digital_SN,1,P$5)</f>
        <v>1310000</v>
      </c>
      <c r="Q25" s="33" t="n">
        <f aca="false">Q9*INDEX(Digital_SN,1,Q$5)</f>
        <v>2620000</v>
      </c>
      <c r="R25" s="33" t="n">
        <f aca="false">R9*INDEX(Digital_SN,1,R$5)</f>
        <v>2620000</v>
      </c>
      <c r="S25" s="33" t="n">
        <f aca="false">S9*INDEX(Digital_SN,1,S$5)</f>
        <v>2620000</v>
      </c>
      <c r="T25" s="33" t="n">
        <f aca="false">T9*INDEX(Digital_SN,1,T$5)</f>
        <v>2620000</v>
      </c>
      <c r="U25" s="33" t="n">
        <f aca="false">U9*INDEX(Digital_SN,1,U$5)</f>
        <v>2620000</v>
      </c>
      <c r="V25" s="33" t="n">
        <f aca="false">V9*INDEX(Digital_SN,1,V$5)</f>
        <v>2620000</v>
      </c>
      <c r="W25" s="33" t="n">
        <f aca="false">W9*INDEX(Digital_SN,1,W$5)</f>
        <v>2620000</v>
      </c>
      <c r="X25" s="33" t="n">
        <f aca="false">X9*INDEX(Digital_SN,1,X$5)</f>
        <v>2620000</v>
      </c>
      <c r="Y25" s="33" t="n">
        <f aca="false">Y9*INDEX(Digital_SN,1,Y$5)</f>
        <v>2620000</v>
      </c>
      <c r="Z25" s="33" t="n">
        <f aca="false">Z9*INDEX(Digital_SN,1,Z$5)</f>
        <v>2620000</v>
      </c>
      <c r="AA25" s="33" t="n">
        <f aca="false">AA9*INDEX(Digital_SN,1,AA$5)</f>
        <v>2620000</v>
      </c>
      <c r="AB25" s="33" t="n">
        <f aca="false">AB9*INDEX(Digital_SN,1,AB$5)</f>
        <v>2620000</v>
      </c>
      <c r="AC25" s="33" t="n">
        <f aca="false">AC9*INDEX(Digital_SN,1,AC$5)</f>
        <v>3940000</v>
      </c>
      <c r="AD25" s="33" t="n">
        <f aca="false">AD9*INDEX(Digital_SN,1,AD$5)</f>
        <v>3940000</v>
      </c>
      <c r="AE25" s="33" t="n">
        <f aca="false">AE9*INDEX(Digital_SN,1,AE$5)</f>
        <v>3940000</v>
      </c>
      <c r="AF25" s="33" t="n">
        <f aca="false">AF9*INDEX(Digital_SN,1,AF$5)</f>
        <v>3940000</v>
      </c>
      <c r="AG25" s="33" t="n">
        <f aca="false">AG9*INDEX(Digital_SN,1,AG$5)</f>
        <v>3940000</v>
      </c>
      <c r="AH25" s="33" t="n">
        <f aca="false">AH9*INDEX(Digital_SN,1,AH$5)</f>
        <v>3940000</v>
      </c>
      <c r="AI25" s="33" t="n">
        <f aca="false">AI9*INDEX(Digital_SN,1,AI$5)</f>
        <v>3940000</v>
      </c>
      <c r="AJ25" s="33" t="n">
        <f aca="false">AJ9*INDEX(Digital_SN,1,AJ$5)</f>
        <v>3940000</v>
      </c>
      <c r="AK25" s="33" t="n">
        <f aca="false">AK9*INDEX(Digital_SN,1,AK$5)</f>
        <v>3940000</v>
      </c>
      <c r="AL25" s="33" t="n">
        <f aca="false">AL9*INDEX(Digital_SN,1,AL$5)</f>
        <v>3940000</v>
      </c>
      <c r="AM25" s="33" t="n">
        <f aca="false">AM9*INDEX(Digital_SN,1,AM$5)</f>
        <v>3940000</v>
      </c>
      <c r="AN25" s="33" t="n">
        <f aca="false">AN9*INDEX(Digital_SN,1,AN$5)</f>
        <v>3940000</v>
      </c>
      <c r="AO25" s="33" t="n">
        <f aca="false">AO9*INDEX(Digital_SN,1,AO$5)</f>
        <v>4590000</v>
      </c>
      <c r="AP25" s="33" t="n">
        <f aca="false">AP9*INDEX(Digital_SN,1,AP$5)</f>
        <v>4590000</v>
      </c>
      <c r="AQ25" s="33" t="n">
        <f aca="false">AQ9*INDEX(Digital_SN,1,AQ$5)</f>
        <v>4590000</v>
      </c>
      <c r="AR25" s="33" t="n">
        <f aca="false">AR9*INDEX(Digital_SN,1,AR$5)</f>
        <v>4590000</v>
      </c>
      <c r="AS25" s="33" t="n">
        <f aca="false">AS9*INDEX(Digital_SN,1,AS$5)</f>
        <v>4590000</v>
      </c>
      <c r="AT25" s="33" t="n">
        <f aca="false">AT9*INDEX(Digital_SN,1,AT$5)</f>
        <v>4590000</v>
      </c>
      <c r="AU25" s="33" t="n">
        <f aca="false">AU9*INDEX(Digital_SN,1,AU$5)</f>
        <v>4590000</v>
      </c>
      <c r="AV25" s="33" t="n">
        <f aca="false">AV9*INDEX(Digital_SN,1,AV$5)</f>
        <v>4590000</v>
      </c>
      <c r="AW25" s="33" t="n">
        <f aca="false">AW9*INDEX(Digital_SN,1,AW$5)</f>
        <v>4590000</v>
      </c>
      <c r="AX25" s="33" t="n">
        <f aca="false">AX9*INDEX(Digital_SN,1,AX$5)</f>
        <v>4590000</v>
      </c>
      <c r="AY25" s="33" t="n">
        <f aca="false">AY9*INDEX(Digital_SN,1,AY$5)</f>
        <v>4590000</v>
      </c>
      <c r="AZ25" s="33" t="n">
        <f aca="false">AZ9*INDEX(Digital_SN,1,AZ$5)</f>
        <v>4590000</v>
      </c>
      <c r="BA25" s="33" t="n">
        <f aca="false">BA9*INDEX(Digital_SN,1,BA$5)</f>
        <v>5250000</v>
      </c>
      <c r="BB25" s="33" t="n">
        <f aca="false">BB9*INDEX(Digital_SN,1,BB$5)</f>
        <v>5250000</v>
      </c>
      <c r="BC25" s="33" t="n">
        <f aca="false">BC9*INDEX(Digital_SN,1,BC$5)</f>
        <v>5250000</v>
      </c>
      <c r="BD25" s="33" t="n">
        <f aca="false">BD9*INDEX(Digital_SN,1,BD$5)</f>
        <v>5250000</v>
      </c>
      <c r="BE25" s="33" t="n">
        <f aca="false">BE9*INDEX(Digital_SN,1,BE$5)</f>
        <v>5250000</v>
      </c>
      <c r="BF25" s="33" t="n">
        <f aca="false">BF9*INDEX(Digital_SN,1,BF$5)</f>
        <v>5250000</v>
      </c>
      <c r="BG25" s="33" t="n">
        <f aca="false">BG9*INDEX(Digital_SN,1,BG$5)</f>
        <v>5250000</v>
      </c>
      <c r="BH25" s="33" t="n">
        <f aca="false">BH9*INDEX(Digital_SN,1,BH$5)</f>
        <v>5250000</v>
      </c>
      <c r="BI25" s="33" t="n">
        <f aca="false">BI9*INDEX(Digital_SN,1,BI$5)</f>
        <v>5250000</v>
      </c>
      <c r="BJ25" s="33" t="n">
        <f aca="false">BJ9*INDEX(Digital_SN,1,BJ$5)</f>
        <v>5250000</v>
      </c>
      <c r="BK25" s="33" t="n">
        <f aca="false">BK9*INDEX(Digital_SN,1,BK$5)</f>
        <v>5250000</v>
      </c>
      <c r="BL25" s="33" t="n">
        <f aca="false">BL9*INDEX(Digital_SN,1,BL$5)</f>
        <v>5250000</v>
      </c>
    </row>
    <row r="26" customFormat="false" ht="15" hidden="false" customHeight="true" outlineLevel="0" collapsed="false">
      <c r="A26" s="13" t="s">
        <v>879</v>
      </c>
      <c r="B26" s="15" t="s">
        <v>77</v>
      </c>
      <c r="D26" s="56" t="n">
        <f aca="false">SUM(E26:BL26)</f>
        <v>125940000</v>
      </c>
      <c r="E26" s="33" t="n">
        <f aca="false">E10*INDEX(Digital_CI,1,E$5)</f>
        <v>0</v>
      </c>
      <c r="F26" s="33" t="n">
        <f aca="false">F10*INDEX(Digital_CI,1,F$5)</f>
        <v>0</v>
      </c>
      <c r="G26" s="33" t="n">
        <f aca="false">G10*INDEX(Digital_CI,1,G$5)</f>
        <v>0</v>
      </c>
      <c r="H26" s="33" t="n">
        <f aca="false">H10*INDEX(Digital_CI,1,H$5)</f>
        <v>0</v>
      </c>
      <c r="I26" s="33" t="n">
        <f aca="false">I10*INDEX(Digital_CI,1,I$5)</f>
        <v>0</v>
      </c>
      <c r="J26" s="33" t="n">
        <f aca="false">J10*INDEX(Digital_CI,1,J$5)</f>
        <v>0</v>
      </c>
      <c r="K26" s="33" t="n">
        <f aca="false">K10*INDEX(Digital_CI,1,K$5)</f>
        <v>0</v>
      </c>
      <c r="L26" s="33" t="n">
        <f aca="false">L10*INDEX(Digital_CI,1,L$5)</f>
        <v>0</v>
      </c>
      <c r="M26" s="33" t="n">
        <f aca="false">M10*INDEX(Digital_CI,1,M$5)</f>
        <v>0</v>
      </c>
      <c r="N26" s="33" t="n">
        <f aca="false">N10*INDEX(Digital_CI,1,N$5)</f>
        <v>0</v>
      </c>
      <c r="O26" s="33" t="n">
        <f aca="false">O10*INDEX(Digital_CI,1,O$5)</f>
        <v>0</v>
      </c>
      <c r="P26" s="33" t="n">
        <f aca="false">P10*INDEX(Digital_CI,1,P$5)</f>
        <v>0</v>
      </c>
      <c r="Q26" s="33" t="n">
        <f aca="false">Q10*INDEX(Digital_CI,1,Q$5)</f>
        <v>0</v>
      </c>
      <c r="R26" s="33" t="n">
        <f aca="false">R10*INDEX(Digital_CI,1,R$5)</f>
        <v>0</v>
      </c>
      <c r="S26" s="33" t="n">
        <f aca="false">S10*INDEX(Digital_CI,1,S$5)</f>
        <v>0</v>
      </c>
      <c r="T26" s="33" t="n">
        <f aca="false">T10*INDEX(Digital_CI,1,T$5)</f>
        <v>0</v>
      </c>
      <c r="U26" s="33" t="n">
        <f aca="false">U10*INDEX(Digital_CI,1,U$5)</f>
        <v>0</v>
      </c>
      <c r="V26" s="33" t="n">
        <f aca="false">V10*INDEX(Digital_CI,1,V$5)</f>
        <v>0</v>
      </c>
      <c r="W26" s="33" t="n">
        <f aca="false">W10*INDEX(Digital_CI,1,W$5)</f>
        <v>1310000</v>
      </c>
      <c r="X26" s="33" t="n">
        <f aca="false">X10*INDEX(Digital_CI,1,X$5)</f>
        <v>1310000</v>
      </c>
      <c r="Y26" s="33" t="n">
        <f aca="false">Y10*INDEX(Digital_CI,1,Y$5)</f>
        <v>1310000</v>
      </c>
      <c r="Z26" s="33" t="n">
        <f aca="false">Z10*INDEX(Digital_CI,1,Z$5)</f>
        <v>1310000</v>
      </c>
      <c r="AA26" s="33" t="n">
        <f aca="false">AA10*INDEX(Digital_CI,1,AA$5)</f>
        <v>1310000</v>
      </c>
      <c r="AB26" s="33" t="n">
        <f aca="false">AB10*INDEX(Digital_CI,1,AB$5)</f>
        <v>1310000</v>
      </c>
      <c r="AC26" s="33" t="n">
        <f aca="false">AC10*INDEX(Digital_CI,1,AC$5)</f>
        <v>2620000</v>
      </c>
      <c r="AD26" s="33" t="n">
        <f aca="false">AD10*INDEX(Digital_CI,1,AD$5)</f>
        <v>2620000</v>
      </c>
      <c r="AE26" s="33" t="n">
        <f aca="false">AE10*INDEX(Digital_CI,1,AE$5)</f>
        <v>2620000</v>
      </c>
      <c r="AF26" s="33" t="n">
        <f aca="false">AF10*INDEX(Digital_CI,1,AF$5)</f>
        <v>2620000</v>
      </c>
      <c r="AG26" s="33" t="n">
        <f aca="false">AG10*INDEX(Digital_CI,1,AG$5)</f>
        <v>2620000</v>
      </c>
      <c r="AH26" s="33" t="n">
        <f aca="false">AH10*INDEX(Digital_CI,1,AH$5)</f>
        <v>2620000</v>
      </c>
      <c r="AI26" s="33" t="n">
        <f aca="false">AI10*INDEX(Digital_CI,1,AI$5)</f>
        <v>2620000</v>
      </c>
      <c r="AJ26" s="33" t="n">
        <f aca="false">AJ10*INDEX(Digital_CI,1,AJ$5)</f>
        <v>2620000</v>
      </c>
      <c r="AK26" s="33" t="n">
        <f aca="false">AK10*INDEX(Digital_CI,1,AK$5)</f>
        <v>2620000</v>
      </c>
      <c r="AL26" s="33" t="n">
        <f aca="false">AL10*INDEX(Digital_CI,1,AL$5)</f>
        <v>2620000</v>
      </c>
      <c r="AM26" s="33" t="n">
        <f aca="false">AM10*INDEX(Digital_CI,1,AM$5)</f>
        <v>2620000</v>
      </c>
      <c r="AN26" s="33" t="n">
        <f aca="false">AN10*INDEX(Digital_CI,1,AN$5)</f>
        <v>2620000</v>
      </c>
      <c r="AO26" s="33" t="n">
        <f aca="false">AO10*INDEX(Digital_CI,1,AO$5)</f>
        <v>3280000</v>
      </c>
      <c r="AP26" s="33" t="n">
        <f aca="false">AP10*INDEX(Digital_CI,1,AP$5)</f>
        <v>3280000</v>
      </c>
      <c r="AQ26" s="33" t="n">
        <f aca="false">AQ10*INDEX(Digital_CI,1,AQ$5)</f>
        <v>3280000</v>
      </c>
      <c r="AR26" s="33" t="n">
        <f aca="false">AR10*INDEX(Digital_CI,1,AR$5)</f>
        <v>3280000</v>
      </c>
      <c r="AS26" s="33" t="n">
        <f aca="false">AS10*INDEX(Digital_CI,1,AS$5)</f>
        <v>3280000</v>
      </c>
      <c r="AT26" s="33" t="n">
        <f aca="false">AT10*INDEX(Digital_CI,1,AT$5)</f>
        <v>3280000</v>
      </c>
      <c r="AU26" s="33" t="n">
        <f aca="false">AU10*INDEX(Digital_CI,1,AU$5)</f>
        <v>3280000</v>
      </c>
      <c r="AV26" s="33" t="n">
        <f aca="false">AV10*INDEX(Digital_CI,1,AV$5)</f>
        <v>3280000</v>
      </c>
      <c r="AW26" s="33" t="n">
        <f aca="false">AW10*INDEX(Digital_CI,1,AW$5)</f>
        <v>3280000</v>
      </c>
      <c r="AX26" s="33" t="n">
        <f aca="false">AX10*INDEX(Digital_CI,1,AX$5)</f>
        <v>3280000</v>
      </c>
      <c r="AY26" s="33" t="n">
        <f aca="false">AY10*INDEX(Digital_CI,1,AY$5)</f>
        <v>3280000</v>
      </c>
      <c r="AZ26" s="33" t="n">
        <f aca="false">AZ10*INDEX(Digital_CI,1,AZ$5)</f>
        <v>3280000</v>
      </c>
      <c r="BA26" s="33" t="n">
        <f aca="false">BA10*INDEX(Digital_CI,1,BA$5)</f>
        <v>3940000</v>
      </c>
      <c r="BB26" s="33" t="n">
        <f aca="false">BB10*INDEX(Digital_CI,1,BB$5)</f>
        <v>3940000</v>
      </c>
      <c r="BC26" s="33" t="n">
        <f aca="false">BC10*INDEX(Digital_CI,1,BC$5)</f>
        <v>3940000</v>
      </c>
      <c r="BD26" s="33" t="n">
        <f aca="false">BD10*INDEX(Digital_CI,1,BD$5)</f>
        <v>3940000</v>
      </c>
      <c r="BE26" s="33" t="n">
        <f aca="false">BE10*INDEX(Digital_CI,1,BE$5)</f>
        <v>3940000</v>
      </c>
      <c r="BF26" s="33" t="n">
        <f aca="false">BF10*INDEX(Digital_CI,1,BF$5)</f>
        <v>3940000</v>
      </c>
      <c r="BG26" s="33" t="n">
        <f aca="false">BG10*INDEX(Digital_CI,1,BG$5)</f>
        <v>3940000</v>
      </c>
      <c r="BH26" s="33" t="n">
        <f aca="false">BH10*INDEX(Digital_CI,1,BH$5)</f>
        <v>3940000</v>
      </c>
      <c r="BI26" s="33" t="n">
        <f aca="false">BI10*INDEX(Digital_CI,1,BI$5)</f>
        <v>3940000</v>
      </c>
      <c r="BJ26" s="33" t="n">
        <f aca="false">BJ10*INDEX(Digital_CI,1,BJ$5)</f>
        <v>3940000</v>
      </c>
      <c r="BK26" s="33" t="n">
        <f aca="false">BK10*INDEX(Digital_CI,1,BK$5)</f>
        <v>3940000</v>
      </c>
      <c r="BL26" s="33" t="n">
        <f aca="false">BL10*INDEX(Digital_CI,1,BL$5)</f>
        <v>3940000</v>
      </c>
    </row>
    <row r="27" customFormat="false" ht="15" hidden="false" customHeight="true" outlineLevel="0" collapsed="false">
      <c r="A27" s="13" t="s">
        <v>1189</v>
      </c>
      <c r="B27" s="15" t="s">
        <v>89</v>
      </c>
      <c r="D27" s="58" t="n">
        <f aca="false">SUM(E27:BL27)</f>
        <v>2763.73333333333</v>
      </c>
      <c r="E27" s="43" t="n">
        <f aca="false">E25/CAC_Digital</f>
        <v>0</v>
      </c>
      <c r="F27" s="43" t="n">
        <f aca="false">F25/CAC_Digital</f>
        <v>0</v>
      </c>
      <c r="G27" s="43" t="n">
        <f aca="false">G25/CAC_Digital</f>
        <v>0</v>
      </c>
      <c r="H27" s="43" t="n">
        <f aca="false">H25/CAC_Digital</f>
        <v>0</v>
      </c>
      <c r="I27" s="43" t="n">
        <f aca="false">I25/CAC_Digital</f>
        <v>17.4666666666667</v>
      </c>
      <c r="J27" s="43" t="n">
        <f aca="false">J25/CAC_Digital</f>
        <v>17.4666666666667</v>
      </c>
      <c r="K27" s="43" t="n">
        <f aca="false">K25/CAC_Digital</f>
        <v>17.4666666666667</v>
      </c>
      <c r="L27" s="43" t="n">
        <f aca="false">L25/CAC_Digital</f>
        <v>17.4666666666667</v>
      </c>
      <c r="M27" s="43" t="n">
        <f aca="false">M25/CAC_Digital</f>
        <v>17.4666666666667</v>
      </c>
      <c r="N27" s="43" t="n">
        <f aca="false">N25/CAC_Digital</f>
        <v>17.4666666666667</v>
      </c>
      <c r="O27" s="43" t="n">
        <f aca="false">O25/CAC_Digital</f>
        <v>17.4666666666667</v>
      </c>
      <c r="P27" s="43" t="n">
        <f aca="false">P25/CAC_Digital</f>
        <v>17.4666666666667</v>
      </c>
      <c r="Q27" s="43" t="n">
        <f aca="false">Q25/CAC_Digital</f>
        <v>34.9333333333333</v>
      </c>
      <c r="R27" s="43" t="n">
        <f aca="false">R25/CAC_Digital</f>
        <v>34.9333333333333</v>
      </c>
      <c r="S27" s="43" t="n">
        <f aca="false">S25/CAC_Digital</f>
        <v>34.9333333333333</v>
      </c>
      <c r="T27" s="43" t="n">
        <f aca="false">T25/CAC_Digital</f>
        <v>34.9333333333333</v>
      </c>
      <c r="U27" s="43" t="n">
        <f aca="false">U25/CAC_Digital</f>
        <v>34.9333333333333</v>
      </c>
      <c r="V27" s="43" t="n">
        <f aca="false">V25/CAC_Digital</f>
        <v>34.9333333333333</v>
      </c>
      <c r="W27" s="43" t="n">
        <f aca="false">W25/CAC_Digital</f>
        <v>34.9333333333333</v>
      </c>
      <c r="X27" s="43" t="n">
        <f aca="false">X25/CAC_Digital</f>
        <v>34.9333333333333</v>
      </c>
      <c r="Y27" s="43" t="n">
        <f aca="false">Y25/CAC_Digital</f>
        <v>34.9333333333333</v>
      </c>
      <c r="Z27" s="43" t="n">
        <f aca="false">Z25/CAC_Digital</f>
        <v>34.9333333333333</v>
      </c>
      <c r="AA27" s="43" t="n">
        <f aca="false">AA25/CAC_Digital</f>
        <v>34.9333333333333</v>
      </c>
      <c r="AB27" s="43" t="n">
        <f aca="false">AB25/CAC_Digital</f>
        <v>34.9333333333333</v>
      </c>
      <c r="AC27" s="43" t="n">
        <f aca="false">AC25/CAC_Digital</f>
        <v>52.5333333333333</v>
      </c>
      <c r="AD27" s="43" t="n">
        <f aca="false">AD25/CAC_Digital</f>
        <v>52.5333333333333</v>
      </c>
      <c r="AE27" s="43" t="n">
        <f aca="false">AE25/CAC_Digital</f>
        <v>52.5333333333333</v>
      </c>
      <c r="AF27" s="43" t="n">
        <f aca="false">AF25/CAC_Digital</f>
        <v>52.5333333333333</v>
      </c>
      <c r="AG27" s="43" t="n">
        <f aca="false">AG25/CAC_Digital</f>
        <v>52.5333333333333</v>
      </c>
      <c r="AH27" s="43" t="n">
        <f aca="false">AH25/CAC_Digital</f>
        <v>52.5333333333333</v>
      </c>
      <c r="AI27" s="43" t="n">
        <f aca="false">AI25/CAC_Digital</f>
        <v>52.5333333333333</v>
      </c>
      <c r="AJ27" s="43" t="n">
        <f aca="false">AJ25/CAC_Digital</f>
        <v>52.5333333333333</v>
      </c>
      <c r="AK27" s="43" t="n">
        <f aca="false">AK25/CAC_Digital</f>
        <v>52.5333333333333</v>
      </c>
      <c r="AL27" s="43" t="n">
        <f aca="false">AL25/CAC_Digital</f>
        <v>52.5333333333333</v>
      </c>
      <c r="AM27" s="43" t="n">
        <f aca="false">AM25/CAC_Digital</f>
        <v>52.5333333333333</v>
      </c>
      <c r="AN27" s="43" t="n">
        <f aca="false">AN25/CAC_Digital</f>
        <v>52.5333333333333</v>
      </c>
      <c r="AO27" s="43" t="n">
        <f aca="false">AO25/CAC_Digital</f>
        <v>61.2</v>
      </c>
      <c r="AP27" s="43" t="n">
        <f aca="false">AP25/CAC_Digital</f>
        <v>61.2</v>
      </c>
      <c r="AQ27" s="43" t="n">
        <f aca="false">AQ25/CAC_Digital</f>
        <v>61.2</v>
      </c>
      <c r="AR27" s="43" t="n">
        <f aca="false">AR25/CAC_Digital</f>
        <v>61.2</v>
      </c>
      <c r="AS27" s="43" t="n">
        <f aca="false">AS25/CAC_Digital</f>
        <v>61.2</v>
      </c>
      <c r="AT27" s="43" t="n">
        <f aca="false">AT25/CAC_Digital</f>
        <v>61.2</v>
      </c>
      <c r="AU27" s="43" t="n">
        <f aca="false">AU25/CAC_Digital</f>
        <v>61.2</v>
      </c>
      <c r="AV27" s="43" t="n">
        <f aca="false">AV25/CAC_Digital</f>
        <v>61.2</v>
      </c>
      <c r="AW27" s="43" t="n">
        <f aca="false">AW25/CAC_Digital</f>
        <v>61.2</v>
      </c>
      <c r="AX27" s="43" t="n">
        <f aca="false">AX25/CAC_Digital</f>
        <v>61.2</v>
      </c>
      <c r="AY27" s="43" t="n">
        <f aca="false">AY25/CAC_Digital</f>
        <v>61.2</v>
      </c>
      <c r="AZ27" s="43" t="n">
        <f aca="false">AZ25/CAC_Digital</f>
        <v>61.2</v>
      </c>
      <c r="BA27" s="43" t="n">
        <f aca="false">BA25/CAC_Digital</f>
        <v>70</v>
      </c>
      <c r="BB27" s="43" t="n">
        <f aca="false">BB25/CAC_Digital</f>
        <v>70</v>
      </c>
      <c r="BC27" s="43" t="n">
        <f aca="false">BC25/CAC_Digital</f>
        <v>70</v>
      </c>
      <c r="BD27" s="43" t="n">
        <f aca="false">BD25/CAC_Digital</f>
        <v>70</v>
      </c>
      <c r="BE27" s="43" t="n">
        <f aca="false">BE25/CAC_Digital</f>
        <v>70</v>
      </c>
      <c r="BF27" s="43" t="n">
        <f aca="false">BF25/CAC_Digital</f>
        <v>70</v>
      </c>
      <c r="BG27" s="43" t="n">
        <f aca="false">BG25/CAC_Digital</f>
        <v>70</v>
      </c>
      <c r="BH27" s="43" t="n">
        <f aca="false">BH25/CAC_Digital</f>
        <v>70</v>
      </c>
      <c r="BI27" s="43" t="n">
        <f aca="false">BI25/CAC_Digital</f>
        <v>70</v>
      </c>
      <c r="BJ27" s="43" t="n">
        <f aca="false">BJ25/CAC_Digital</f>
        <v>70</v>
      </c>
      <c r="BK27" s="43" t="n">
        <f aca="false">BK25/CAC_Digital</f>
        <v>70</v>
      </c>
      <c r="BL27" s="43" t="n">
        <f aca="false">BL25/CAC_Digital</f>
        <v>70</v>
      </c>
    </row>
    <row r="28" customFormat="false" ht="15" hidden="false" customHeight="true" outlineLevel="0" collapsed="false">
      <c r="A28" s="13" t="s">
        <v>1190</v>
      </c>
      <c r="B28" s="15" t="s">
        <v>89</v>
      </c>
      <c r="D28" s="58" t="n">
        <f aca="false">SUM(E28:BL28)</f>
        <v>1679.2</v>
      </c>
      <c r="E28" s="43" t="n">
        <f aca="false">E26/CAC_Digital</f>
        <v>0</v>
      </c>
      <c r="F28" s="43" t="n">
        <f aca="false">F26/CAC_Digital</f>
        <v>0</v>
      </c>
      <c r="G28" s="43" t="n">
        <f aca="false">G26/CAC_Digital</f>
        <v>0</v>
      </c>
      <c r="H28" s="43" t="n">
        <f aca="false">H26/CAC_Digital</f>
        <v>0</v>
      </c>
      <c r="I28" s="43" t="n">
        <f aca="false">I26/CAC_Digital</f>
        <v>0</v>
      </c>
      <c r="J28" s="43" t="n">
        <f aca="false">J26/CAC_Digital</f>
        <v>0</v>
      </c>
      <c r="K28" s="43" t="n">
        <f aca="false">K26/CAC_Digital</f>
        <v>0</v>
      </c>
      <c r="L28" s="43" t="n">
        <f aca="false">L26/CAC_Digital</f>
        <v>0</v>
      </c>
      <c r="M28" s="43" t="n">
        <f aca="false">M26/CAC_Digital</f>
        <v>0</v>
      </c>
      <c r="N28" s="43" t="n">
        <f aca="false">N26/CAC_Digital</f>
        <v>0</v>
      </c>
      <c r="O28" s="43" t="n">
        <f aca="false">O26/CAC_Digital</f>
        <v>0</v>
      </c>
      <c r="P28" s="43" t="n">
        <f aca="false">P26/CAC_Digital</f>
        <v>0</v>
      </c>
      <c r="Q28" s="43" t="n">
        <f aca="false">Q26/CAC_Digital</f>
        <v>0</v>
      </c>
      <c r="R28" s="43" t="n">
        <f aca="false">R26/CAC_Digital</f>
        <v>0</v>
      </c>
      <c r="S28" s="43" t="n">
        <f aca="false">S26/CAC_Digital</f>
        <v>0</v>
      </c>
      <c r="T28" s="43" t="n">
        <f aca="false">T26/CAC_Digital</f>
        <v>0</v>
      </c>
      <c r="U28" s="43" t="n">
        <f aca="false">U26/CAC_Digital</f>
        <v>0</v>
      </c>
      <c r="V28" s="43" t="n">
        <f aca="false">V26/CAC_Digital</f>
        <v>0</v>
      </c>
      <c r="W28" s="43" t="n">
        <f aca="false">W26/CAC_Digital</f>
        <v>17.4666666666667</v>
      </c>
      <c r="X28" s="43" t="n">
        <f aca="false">X26/CAC_Digital</f>
        <v>17.4666666666667</v>
      </c>
      <c r="Y28" s="43" t="n">
        <f aca="false">Y26/CAC_Digital</f>
        <v>17.4666666666667</v>
      </c>
      <c r="Z28" s="43" t="n">
        <f aca="false">Z26/CAC_Digital</f>
        <v>17.4666666666667</v>
      </c>
      <c r="AA28" s="43" t="n">
        <f aca="false">AA26/CAC_Digital</f>
        <v>17.4666666666667</v>
      </c>
      <c r="AB28" s="43" t="n">
        <f aca="false">AB26/CAC_Digital</f>
        <v>17.4666666666667</v>
      </c>
      <c r="AC28" s="43" t="n">
        <f aca="false">AC26/CAC_Digital</f>
        <v>34.9333333333333</v>
      </c>
      <c r="AD28" s="43" t="n">
        <f aca="false">AD26/CAC_Digital</f>
        <v>34.9333333333333</v>
      </c>
      <c r="AE28" s="43" t="n">
        <f aca="false">AE26/CAC_Digital</f>
        <v>34.9333333333333</v>
      </c>
      <c r="AF28" s="43" t="n">
        <f aca="false">AF26/CAC_Digital</f>
        <v>34.9333333333333</v>
      </c>
      <c r="AG28" s="43" t="n">
        <f aca="false">AG26/CAC_Digital</f>
        <v>34.9333333333333</v>
      </c>
      <c r="AH28" s="43" t="n">
        <f aca="false">AH26/CAC_Digital</f>
        <v>34.9333333333333</v>
      </c>
      <c r="AI28" s="43" t="n">
        <f aca="false">AI26/CAC_Digital</f>
        <v>34.9333333333333</v>
      </c>
      <c r="AJ28" s="43" t="n">
        <f aca="false">AJ26/CAC_Digital</f>
        <v>34.9333333333333</v>
      </c>
      <c r="AK28" s="43" t="n">
        <f aca="false">AK26/CAC_Digital</f>
        <v>34.9333333333333</v>
      </c>
      <c r="AL28" s="43" t="n">
        <f aca="false">AL26/CAC_Digital</f>
        <v>34.9333333333333</v>
      </c>
      <c r="AM28" s="43" t="n">
        <f aca="false">AM26/CAC_Digital</f>
        <v>34.9333333333333</v>
      </c>
      <c r="AN28" s="43" t="n">
        <f aca="false">AN26/CAC_Digital</f>
        <v>34.9333333333333</v>
      </c>
      <c r="AO28" s="43" t="n">
        <f aca="false">AO26/CAC_Digital</f>
        <v>43.7333333333333</v>
      </c>
      <c r="AP28" s="43" t="n">
        <f aca="false">AP26/CAC_Digital</f>
        <v>43.7333333333333</v>
      </c>
      <c r="AQ28" s="43" t="n">
        <f aca="false">AQ26/CAC_Digital</f>
        <v>43.7333333333333</v>
      </c>
      <c r="AR28" s="43" t="n">
        <f aca="false">AR26/CAC_Digital</f>
        <v>43.7333333333333</v>
      </c>
      <c r="AS28" s="43" t="n">
        <f aca="false">AS26/CAC_Digital</f>
        <v>43.7333333333333</v>
      </c>
      <c r="AT28" s="43" t="n">
        <f aca="false">AT26/CAC_Digital</f>
        <v>43.7333333333333</v>
      </c>
      <c r="AU28" s="43" t="n">
        <f aca="false">AU26/CAC_Digital</f>
        <v>43.7333333333333</v>
      </c>
      <c r="AV28" s="43" t="n">
        <f aca="false">AV26/CAC_Digital</f>
        <v>43.7333333333333</v>
      </c>
      <c r="AW28" s="43" t="n">
        <f aca="false">AW26/CAC_Digital</f>
        <v>43.7333333333333</v>
      </c>
      <c r="AX28" s="43" t="n">
        <f aca="false">AX26/CAC_Digital</f>
        <v>43.7333333333333</v>
      </c>
      <c r="AY28" s="43" t="n">
        <f aca="false">AY26/CAC_Digital</f>
        <v>43.7333333333333</v>
      </c>
      <c r="AZ28" s="43" t="n">
        <f aca="false">AZ26/CAC_Digital</f>
        <v>43.7333333333333</v>
      </c>
      <c r="BA28" s="43" t="n">
        <f aca="false">BA26/CAC_Digital</f>
        <v>52.5333333333333</v>
      </c>
      <c r="BB28" s="43" t="n">
        <f aca="false">BB26/CAC_Digital</f>
        <v>52.5333333333333</v>
      </c>
      <c r="BC28" s="43" t="n">
        <f aca="false">BC26/CAC_Digital</f>
        <v>52.5333333333333</v>
      </c>
      <c r="BD28" s="43" t="n">
        <f aca="false">BD26/CAC_Digital</f>
        <v>52.5333333333333</v>
      </c>
      <c r="BE28" s="43" t="n">
        <f aca="false">BE26/CAC_Digital</f>
        <v>52.5333333333333</v>
      </c>
      <c r="BF28" s="43" t="n">
        <f aca="false">BF26/CAC_Digital</f>
        <v>52.5333333333333</v>
      </c>
      <c r="BG28" s="43" t="n">
        <f aca="false">BG26/CAC_Digital</f>
        <v>52.5333333333333</v>
      </c>
      <c r="BH28" s="43" t="n">
        <f aca="false">BH26/CAC_Digital</f>
        <v>52.5333333333333</v>
      </c>
      <c r="BI28" s="43" t="n">
        <f aca="false">BI26/CAC_Digital</f>
        <v>52.5333333333333</v>
      </c>
      <c r="BJ28" s="43" t="n">
        <f aca="false">BJ26/CAC_Digital</f>
        <v>52.5333333333333</v>
      </c>
      <c r="BK28" s="43" t="n">
        <f aca="false">BK26/CAC_Digital</f>
        <v>52.5333333333333</v>
      </c>
      <c r="BL28" s="43" t="n">
        <f aca="false">BL26/CAC_Digital</f>
        <v>52.5333333333333</v>
      </c>
    </row>
    <row r="30" customFormat="false" ht="15" hidden="false" customHeight="true" outlineLevel="0" collapsed="false">
      <c r="A30" s="11" t="s">
        <v>1191</v>
      </c>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customFormat="false" ht="15" hidden="false" customHeight="true" outlineLevel="0" collapsed="false">
      <c r="A31" s="13" t="s">
        <v>1192</v>
      </c>
      <c r="B31" s="15" t="s">
        <v>89</v>
      </c>
      <c r="D31" s="58" t="n">
        <f aca="false">SUM(E31:BL31)</f>
        <v>8569.82905828346</v>
      </c>
      <c r="E31" s="43" t="n">
        <f aca="false">E17+E21+E27</f>
        <v>0</v>
      </c>
      <c r="F31" s="43" t="n">
        <f aca="false">F17+F21+F27</f>
        <v>0</v>
      </c>
      <c r="G31" s="43" t="n">
        <f aca="false">G17+G21+G27</f>
        <v>0</v>
      </c>
      <c r="H31" s="43" t="n">
        <f aca="false">H17+H21+H27</f>
        <v>0</v>
      </c>
      <c r="I31" s="43" t="n">
        <f aca="false">I17+I21+I27</f>
        <v>49.4666666666667</v>
      </c>
      <c r="J31" s="43" t="n">
        <f aca="false">J17+J21+J27</f>
        <v>49.9466666666667</v>
      </c>
      <c r="K31" s="43" t="n">
        <f aca="false">K17+K21+K27</f>
        <v>50.4554666666667</v>
      </c>
      <c r="L31" s="43" t="n">
        <f aca="false">L17+L21+L27</f>
        <v>50.9947946666667</v>
      </c>
      <c r="M31" s="43" t="n">
        <f aca="false">M17+M21+M27</f>
        <v>51.5664823466667</v>
      </c>
      <c r="N31" s="43" t="n">
        <f aca="false">N17+N21+N27</f>
        <v>52.1724712874667</v>
      </c>
      <c r="O31" s="43" t="n">
        <f aca="false">O17+O21+O27</f>
        <v>52.8148195647147</v>
      </c>
      <c r="P31" s="43" t="n">
        <f aca="false">P17+P21+P27</f>
        <v>53.4957087385976</v>
      </c>
      <c r="Q31" s="43" t="n">
        <f aca="false">Q17+Q21+Q27</f>
        <v>71.6841179295801</v>
      </c>
      <c r="R31" s="43" t="n">
        <f aca="false">R17+R21+R27</f>
        <v>72.4491650053549</v>
      </c>
      <c r="S31" s="43" t="n">
        <f aca="false">S17+S21+S27</f>
        <v>73.2601149056762</v>
      </c>
      <c r="T31" s="43" t="n">
        <f aca="false">T17+T21+T27</f>
        <v>74.1197218000168</v>
      </c>
      <c r="U31" s="43" t="n">
        <f aca="false">U17+U21+U27</f>
        <v>75.0309051080178</v>
      </c>
      <c r="V31" s="43" t="n">
        <f aca="false">V17+V21+V27</f>
        <v>75.9967594144988</v>
      </c>
      <c r="W31" s="43" t="n">
        <f aca="false">W17+W21+W27</f>
        <v>77.0205649793687</v>
      </c>
      <c r="X31" s="43" t="n">
        <f aca="false">X17+X21+X27</f>
        <v>78.1057988781309</v>
      </c>
      <c r="Y31" s="43" t="n">
        <f aca="false">Y17+Y21+Y27</f>
        <v>87.2561468108187</v>
      </c>
      <c r="Z31" s="43" t="n">
        <f aca="false">Z17+Z21+Z27</f>
        <v>88.4755156194678</v>
      </c>
      <c r="AA31" s="43" t="n">
        <f aca="false">AA17+AA21+AA27</f>
        <v>89.7680465566359</v>
      </c>
      <c r="AB31" s="43" t="n">
        <f aca="false">AB17+AB21+AB27</f>
        <v>91.1381293500341</v>
      </c>
      <c r="AC31" s="43" t="n">
        <f aca="false">AC17+AC21+AC27</f>
        <v>110.190417111036</v>
      </c>
      <c r="AD31" s="43" t="n">
        <f aca="false">AD17+AD21+AD27</f>
        <v>111.729842137698</v>
      </c>
      <c r="AE31" s="43" t="n">
        <f aca="false">AE17+AE21+AE27</f>
        <v>121.36163266596</v>
      </c>
      <c r="AF31" s="43" t="n">
        <f aca="false">AF17+AF21+AF27</f>
        <v>123.091330625918</v>
      </c>
      <c r="AG31" s="43" t="n">
        <f aca="false">AG17+AG21+AG27</f>
        <v>124.924810463473</v>
      </c>
      <c r="AH31" s="43" t="n">
        <f aca="false">AH17+AH21+AH27</f>
        <v>126.868299091281</v>
      </c>
      <c r="AI31" s="43" t="n">
        <f aca="false">AI17+AI21+AI27</f>
        <v>136.928397036758</v>
      </c>
      <c r="AJ31" s="43" t="n">
        <f aca="false">AJ17+AJ21+AJ27</f>
        <v>139.112100858964</v>
      </c>
      <c r="AK31" s="43" t="n">
        <f aca="false">AK17+AK21+AK27</f>
        <v>141.426826910501</v>
      </c>
      <c r="AL31" s="43" t="n">
        <f aca="false">AL17+AL21+AL27</f>
        <v>143.880436525132</v>
      </c>
      <c r="AM31" s="43" t="n">
        <f aca="false">AM17+AM21+AM27</f>
        <v>154.481262716639</v>
      </c>
      <c r="AN31" s="43" t="n">
        <f aca="false">AN17+AN21+AN27</f>
        <v>157.238138479638</v>
      </c>
      <c r="AO31" s="43" t="n">
        <f aca="false">AO17+AO21+AO27</f>
        <v>168.827093455083</v>
      </c>
      <c r="AP31" s="43" t="n">
        <f aca="false">AP17+AP21+AP27</f>
        <v>179.924719062388</v>
      </c>
      <c r="AQ31" s="43" t="n">
        <f aca="false">AQ17+AQ21+AQ27</f>
        <v>183.208202206131</v>
      </c>
      <c r="AR31" s="43" t="n">
        <f aca="false">AR17+AR21+AR27</f>
        <v>186.688694338499</v>
      </c>
      <c r="AS31" s="43" t="n">
        <f aca="false">AS17+AS21+AS27</f>
        <v>198.378015998809</v>
      </c>
      <c r="AT31" s="43" t="n">
        <f aca="false">AT17+AT21+AT27</f>
        <v>202.288696958737</v>
      </c>
      <c r="AU31" s="43" t="n">
        <f aca="false">AU17+AU21+AU27</f>
        <v>206.434018776262</v>
      </c>
      <c r="AV31" s="43" t="n">
        <f aca="false">AV17+AV21+AV27</f>
        <v>218.828059902837</v>
      </c>
      <c r="AW31" s="43" t="n">
        <f aca="false">AW17+AW21+AW27</f>
        <v>221.2</v>
      </c>
      <c r="AX31" s="43" t="n">
        <f aca="false">AX17+AX21+AX27</f>
        <v>229.2</v>
      </c>
      <c r="AY31" s="43" t="n">
        <f aca="false">AY17+AY21+AY27</f>
        <v>229.2</v>
      </c>
      <c r="AZ31" s="43" t="n">
        <f aca="false">AZ17+AZ21+AZ27</f>
        <v>229.2</v>
      </c>
      <c r="BA31" s="43" t="n">
        <f aca="false">BA17+BA21+BA27</f>
        <v>246</v>
      </c>
      <c r="BB31" s="43" t="n">
        <f aca="false">BB17+BB21+BB27</f>
        <v>246</v>
      </c>
      <c r="BC31" s="43" t="n">
        <f aca="false">BC17+BC21+BC27</f>
        <v>254</v>
      </c>
      <c r="BD31" s="43" t="n">
        <f aca="false">BD17+BD21+BD27</f>
        <v>254</v>
      </c>
      <c r="BE31" s="43" t="n">
        <f aca="false">BE17+BE21+BE27</f>
        <v>254</v>
      </c>
      <c r="BF31" s="43" t="n">
        <f aca="false">BF17+BF21+BF27</f>
        <v>262</v>
      </c>
      <c r="BG31" s="43" t="n">
        <f aca="false">BG17+BG21+BG27</f>
        <v>262</v>
      </c>
      <c r="BH31" s="43" t="n">
        <f aca="false">BH17+BH21+BH27</f>
        <v>270</v>
      </c>
      <c r="BI31" s="43" t="n">
        <f aca="false">BI17+BI21+BI27</f>
        <v>270</v>
      </c>
      <c r="BJ31" s="43" t="n">
        <f aca="false">BJ17+BJ21+BJ27</f>
        <v>278</v>
      </c>
      <c r="BK31" s="43" t="n">
        <f aca="false">BK17+BK21+BK27</f>
        <v>278</v>
      </c>
      <c r="BL31" s="43" t="n">
        <f aca="false">BL17+BL21+BL27</f>
        <v>286</v>
      </c>
    </row>
    <row r="32" customFormat="false" ht="15" hidden="false" customHeight="true" outlineLevel="0" collapsed="false">
      <c r="A32" s="13" t="s">
        <v>1193</v>
      </c>
      <c r="B32" s="15" t="s">
        <v>89</v>
      </c>
      <c r="D32" s="58" t="n">
        <f aca="false">SUM(E32:BL32)</f>
        <v>3800.57179371259</v>
      </c>
      <c r="E32" s="43" t="n">
        <f aca="false">E18+E22+E28</f>
        <v>0</v>
      </c>
      <c r="F32" s="43" t="n">
        <f aca="false">F18+F22+F28</f>
        <v>0</v>
      </c>
      <c r="G32" s="43" t="n">
        <f aca="false">G18+G22+G28</f>
        <v>0</v>
      </c>
      <c r="H32" s="43" t="n">
        <f aca="false">H18+H22+H28</f>
        <v>0</v>
      </c>
      <c r="I32" s="43" t="n">
        <f aca="false">I18+I22+I28</f>
        <v>0</v>
      </c>
      <c r="J32" s="43" t="n">
        <f aca="false">J18+J22+J28</f>
        <v>0</v>
      </c>
      <c r="K32" s="43" t="n">
        <f aca="false">K18+K22+K28</f>
        <v>0</v>
      </c>
      <c r="L32" s="43" t="n">
        <f aca="false">L18+L22+L28</f>
        <v>0</v>
      </c>
      <c r="M32" s="43" t="n">
        <f aca="false">M18+M22+M28</f>
        <v>0</v>
      </c>
      <c r="N32" s="43" t="n">
        <f aca="false">N18+N22+N28</f>
        <v>0</v>
      </c>
      <c r="O32" s="43" t="n">
        <f aca="false">O18+O22+O28</f>
        <v>0</v>
      </c>
      <c r="P32" s="43" t="n">
        <f aca="false">P18+P22+P28</f>
        <v>0</v>
      </c>
      <c r="Q32" s="43" t="n">
        <f aca="false">Q18+Q22+Q28</f>
        <v>0</v>
      </c>
      <c r="R32" s="43" t="n">
        <f aca="false">R18+R22+R28</f>
        <v>0</v>
      </c>
      <c r="S32" s="43" t="n">
        <f aca="false">S18+S22+S28</f>
        <v>0</v>
      </c>
      <c r="T32" s="43" t="n">
        <f aca="false">T18+T22+T28</f>
        <v>0</v>
      </c>
      <c r="U32" s="43" t="n">
        <f aca="false">U18+U22+U28</f>
        <v>0</v>
      </c>
      <c r="V32" s="43" t="n">
        <f aca="false">V18+V22+V28</f>
        <v>0</v>
      </c>
      <c r="W32" s="43" t="n">
        <f aca="false">W18+W22+W28</f>
        <v>37.8666666666667</v>
      </c>
      <c r="X32" s="43" t="n">
        <f aca="false">X18+X22+X28</f>
        <v>38.2266666666667</v>
      </c>
      <c r="Y32" s="43" t="n">
        <f aca="false">Y18+Y22+Y28</f>
        <v>38.6082666666667</v>
      </c>
      <c r="Z32" s="43" t="n">
        <f aca="false">Z18+Z22+Z28</f>
        <v>39.0127626666667</v>
      </c>
      <c r="AA32" s="43" t="n">
        <f aca="false">AA18+AA22+AA28</f>
        <v>39.4415284266667</v>
      </c>
      <c r="AB32" s="43" t="n">
        <f aca="false">AB18+AB22+AB28</f>
        <v>39.8960201322667</v>
      </c>
      <c r="AC32" s="43" t="n">
        <f aca="false">AC18+AC22+AC28</f>
        <v>57.8444480068693</v>
      </c>
      <c r="AD32" s="43" t="n">
        <f aca="false">AD18+AD22+AD28</f>
        <v>58.3551148872815</v>
      </c>
      <c r="AE32" s="43" t="n">
        <f aca="false">AE18+AE22+AE28</f>
        <v>58.8964217805184</v>
      </c>
      <c r="AF32" s="43" t="n">
        <f aca="false">AF18+AF22+AF28</f>
        <v>59.4702070873495</v>
      </c>
      <c r="AG32" s="43" t="n">
        <f aca="false">AG18+AG22+AG28</f>
        <v>60.0784195125905</v>
      </c>
      <c r="AH32" s="43" t="n">
        <f aca="false">AH18+AH22+AH28</f>
        <v>60.7231246833459</v>
      </c>
      <c r="AI32" s="43" t="n">
        <f aca="false">AI18+AI22+AI28</f>
        <v>61.4065121643466</v>
      </c>
      <c r="AJ32" s="43" t="n">
        <f aca="false">AJ18+AJ22+AJ28</f>
        <v>62.1309028942074</v>
      </c>
      <c r="AK32" s="43" t="n">
        <f aca="false">AK18+AK22+AK28</f>
        <v>62.8987570678599</v>
      </c>
      <c r="AL32" s="43" t="n">
        <f aca="false">AL18+AL22+AL28</f>
        <v>63.7126824919315</v>
      </c>
      <c r="AM32" s="43" t="n">
        <f aca="false">AM18+AM22+AM28</f>
        <v>64.5754434414474</v>
      </c>
      <c r="AN32" s="43" t="n">
        <f aca="false">AN18+AN22+AN28</f>
        <v>65.4899700479342</v>
      </c>
      <c r="AO32" s="43" t="n">
        <f aca="false">AO18+AO22+AO28</f>
        <v>82.4593682508103</v>
      </c>
      <c r="AP32" s="43" t="n">
        <f aca="false">AP18+AP22+AP28</f>
        <v>83.4869303458589</v>
      </c>
      <c r="AQ32" s="43" t="n">
        <f aca="false">AQ18+AQ22+AQ28</f>
        <v>84.5761461666104</v>
      </c>
      <c r="AR32" s="43" t="n">
        <f aca="false">AR18+AR22+AR28</f>
        <v>85.7307149366071</v>
      </c>
      <c r="AS32" s="43" t="n">
        <f aca="false">AS18+AS22+AS28</f>
        <v>86.9545578328035</v>
      </c>
      <c r="AT32" s="43" t="n">
        <f aca="false">AT18+AT22+AT28</f>
        <v>88.2518313027717</v>
      </c>
      <c r="AU32" s="43" t="n">
        <f aca="false">AU18+AU22+AU28</f>
        <v>89.626941180938</v>
      </c>
      <c r="AV32" s="43" t="n">
        <f aca="false">AV18+AV22+AV28</f>
        <v>98.2845576517943</v>
      </c>
      <c r="AW32" s="43" t="n">
        <f aca="false">AW18+AW22+AW28</f>
        <v>99.8296311109019</v>
      </c>
      <c r="AX32" s="43" t="n">
        <f aca="false">AX18+AX22+AX28</f>
        <v>101.467408977556</v>
      </c>
      <c r="AY32" s="43" t="n">
        <f aca="false">AY18+AY22+AY28</f>
        <v>103.203453516209</v>
      </c>
      <c r="AZ32" s="43" t="n">
        <f aca="false">AZ18+AZ22+AZ28</f>
        <v>105.043660727182</v>
      </c>
      <c r="BA32" s="43" t="n">
        <f aca="false">BA18+BA22+BA28</f>
        <v>122.994280370813</v>
      </c>
      <c r="BB32" s="43" t="n">
        <f aca="false">BB18+BB22+BB28</f>
        <v>125.061937193062</v>
      </c>
      <c r="BC32" s="43" t="n">
        <f aca="false">BC18+BC22+BC28</f>
        <v>127.253653424645</v>
      </c>
      <c r="BD32" s="43" t="n">
        <f aca="false">BD18+BD22+BD28</f>
        <v>129.576872630124</v>
      </c>
      <c r="BE32" s="43" t="n">
        <f aca="false">BE18+BE22+BE28</f>
        <v>139.239484987932</v>
      </c>
      <c r="BF32" s="43" t="n">
        <f aca="false">BF18+BF22+BF28</f>
        <v>141.849854087207</v>
      </c>
      <c r="BG32" s="43" t="n">
        <f aca="false">BG18+BG22+BG28</f>
        <v>144.61684533244</v>
      </c>
      <c r="BH32" s="43" t="n">
        <f aca="false">BH18+BH22+BH28</f>
        <v>147.549856052386</v>
      </c>
      <c r="BI32" s="43" t="n">
        <f aca="false">BI18+BI22+BI28</f>
        <v>157.858847415529</v>
      </c>
      <c r="BJ32" s="43" t="n">
        <f aca="false">BJ18+BJ22+BJ28</f>
        <v>161.154378260461</v>
      </c>
      <c r="BK32" s="43" t="n">
        <f aca="false">BK18+BK22+BK28</f>
        <v>162.933333333333</v>
      </c>
      <c r="BL32" s="43" t="n">
        <f aca="false">BL18+BL22+BL28</f>
        <v>162.933333333333</v>
      </c>
    </row>
    <row r="33" customFormat="false" ht="15" hidden="false" customHeight="true" outlineLevel="0" collapsed="false">
      <c r="A33" s="9" t="s">
        <v>1194</v>
      </c>
      <c r="B33" s="15" t="s">
        <v>89</v>
      </c>
      <c r="D33" s="58" t="n">
        <f aca="false">SUM(E33:BL33)</f>
        <v>12370.400851996</v>
      </c>
      <c r="E33" s="59" t="n">
        <f aca="false">E31+E32</f>
        <v>0</v>
      </c>
      <c r="F33" s="59" t="n">
        <f aca="false">F31+F32</f>
        <v>0</v>
      </c>
      <c r="G33" s="59" t="n">
        <f aca="false">G31+G32</f>
        <v>0</v>
      </c>
      <c r="H33" s="59" t="n">
        <f aca="false">H31+H32</f>
        <v>0</v>
      </c>
      <c r="I33" s="59" t="n">
        <f aca="false">I31+I32</f>
        <v>49.4666666666667</v>
      </c>
      <c r="J33" s="59" t="n">
        <f aca="false">J31+J32</f>
        <v>49.9466666666667</v>
      </c>
      <c r="K33" s="59" t="n">
        <f aca="false">K31+K32</f>
        <v>50.4554666666667</v>
      </c>
      <c r="L33" s="59" t="n">
        <f aca="false">L31+L32</f>
        <v>50.9947946666667</v>
      </c>
      <c r="M33" s="59" t="n">
        <f aca="false">M31+M32</f>
        <v>51.5664823466667</v>
      </c>
      <c r="N33" s="59" t="n">
        <f aca="false">N31+N32</f>
        <v>52.1724712874667</v>
      </c>
      <c r="O33" s="59" t="n">
        <f aca="false">O31+O32</f>
        <v>52.8148195647147</v>
      </c>
      <c r="P33" s="59" t="n">
        <f aca="false">P31+P32</f>
        <v>53.4957087385976</v>
      </c>
      <c r="Q33" s="59" t="n">
        <f aca="false">Q31+Q32</f>
        <v>71.6841179295801</v>
      </c>
      <c r="R33" s="59" t="n">
        <f aca="false">R31+R32</f>
        <v>72.4491650053549</v>
      </c>
      <c r="S33" s="59" t="n">
        <f aca="false">S31+S32</f>
        <v>73.2601149056762</v>
      </c>
      <c r="T33" s="59" t="n">
        <f aca="false">T31+T32</f>
        <v>74.1197218000168</v>
      </c>
      <c r="U33" s="59" t="n">
        <f aca="false">U31+U32</f>
        <v>75.0309051080178</v>
      </c>
      <c r="V33" s="59" t="n">
        <f aca="false">V31+V32</f>
        <v>75.9967594144988</v>
      </c>
      <c r="W33" s="59" t="n">
        <f aca="false">W31+W32</f>
        <v>114.887231646035</v>
      </c>
      <c r="X33" s="59" t="n">
        <f aca="false">X31+X32</f>
        <v>116.332465544798</v>
      </c>
      <c r="Y33" s="59" t="n">
        <f aca="false">Y31+Y32</f>
        <v>125.864413477485</v>
      </c>
      <c r="Z33" s="59" t="n">
        <f aca="false">Z31+Z32</f>
        <v>127.488278286135</v>
      </c>
      <c r="AA33" s="59" t="n">
        <f aca="false">AA31+AA32</f>
        <v>129.209574983303</v>
      </c>
      <c r="AB33" s="59" t="n">
        <f aca="false">AB31+AB32</f>
        <v>131.034149482301</v>
      </c>
      <c r="AC33" s="59" t="n">
        <f aca="false">AC31+AC32</f>
        <v>168.034865117905</v>
      </c>
      <c r="AD33" s="59" t="n">
        <f aca="false">AD31+AD32</f>
        <v>170.08495702498</v>
      </c>
      <c r="AE33" s="59" t="n">
        <f aca="false">AE31+AE32</f>
        <v>180.258054446479</v>
      </c>
      <c r="AF33" s="59" t="n">
        <f aca="false">AF31+AF32</f>
        <v>182.561537713267</v>
      </c>
      <c r="AG33" s="59" t="n">
        <f aca="false">AG31+AG32</f>
        <v>185.003229976063</v>
      </c>
      <c r="AH33" s="59" t="n">
        <f aca="false">AH31+AH32</f>
        <v>187.591423774627</v>
      </c>
      <c r="AI33" s="59" t="n">
        <f aca="false">AI31+AI32</f>
        <v>198.334909201105</v>
      </c>
      <c r="AJ33" s="59" t="n">
        <f aca="false">AJ31+AJ32</f>
        <v>201.243003753171</v>
      </c>
      <c r="AK33" s="59" t="n">
        <f aca="false">AK31+AK32</f>
        <v>204.325583978361</v>
      </c>
      <c r="AL33" s="59" t="n">
        <f aca="false">AL31+AL32</f>
        <v>207.593119017063</v>
      </c>
      <c r="AM33" s="59" t="n">
        <f aca="false">AM31+AM32</f>
        <v>219.056706158087</v>
      </c>
      <c r="AN33" s="59" t="n">
        <f aca="false">AN31+AN32</f>
        <v>222.728108527572</v>
      </c>
      <c r="AO33" s="59" t="n">
        <f aca="false">AO31+AO32</f>
        <v>251.286461705893</v>
      </c>
      <c r="AP33" s="59" t="n">
        <f aca="false">AP31+AP32</f>
        <v>263.411649408247</v>
      </c>
      <c r="AQ33" s="59" t="n">
        <f aca="false">AQ31+AQ32</f>
        <v>267.784348372741</v>
      </c>
      <c r="AR33" s="59" t="n">
        <f aca="false">AR31+AR32</f>
        <v>272.419409275106</v>
      </c>
      <c r="AS33" s="59" t="n">
        <f aca="false">AS31+AS32</f>
        <v>285.332573831612</v>
      </c>
      <c r="AT33" s="59" t="n">
        <f aca="false">AT31+AT32</f>
        <v>290.540528261509</v>
      </c>
      <c r="AU33" s="59" t="n">
        <f aca="false">AU31+AU32</f>
        <v>296.0609599572</v>
      </c>
      <c r="AV33" s="59" t="n">
        <f aca="false">AV31+AV32</f>
        <v>317.112617554631</v>
      </c>
      <c r="AW33" s="59" t="n">
        <f aca="false">AW31+AW32</f>
        <v>321.029631110902</v>
      </c>
      <c r="AX33" s="59" t="n">
        <f aca="false">AX31+AX32</f>
        <v>330.667408977556</v>
      </c>
      <c r="AY33" s="59" t="n">
        <f aca="false">AY31+AY32</f>
        <v>332.403453516209</v>
      </c>
      <c r="AZ33" s="59" t="n">
        <f aca="false">AZ31+AZ32</f>
        <v>334.243660727182</v>
      </c>
      <c r="BA33" s="59" t="n">
        <f aca="false">BA31+BA32</f>
        <v>368.994280370813</v>
      </c>
      <c r="BB33" s="59" t="n">
        <f aca="false">BB31+BB32</f>
        <v>371.061937193062</v>
      </c>
      <c r="BC33" s="59" t="n">
        <f aca="false">BC31+BC32</f>
        <v>381.253653424645</v>
      </c>
      <c r="BD33" s="59" t="n">
        <f aca="false">BD31+BD32</f>
        <v>383.576872630124</v>
      </c>
      <c r="BE33" s="59" t="n">
        <f aca="false">BE31+BE32</f>
        <v>393.239484987932</v>
      </c>
      <c r="BF33" s="59" t="n">
        <f aca="false">BF31+BF32</f>
        <v>403.849854087207</v>
      </c>
      <c r="BG33" s="59" t="n">
        <f aca="false">BG31+BG32</f>
        <v>406.61684533244</v>
      </c>
      <c r="BH33" s="59" t="n">
        <f aca="false">BH31+BH32</f>
        <v>417.549856052386</v>
      </c>
      <c r="BI33" s="59" t="n">
        <f aca="false">BI31+BI32</f>
        <v>427.858847415529</v>
      </c>
      <c r="BJ33" s="59" t="n">
        <f aca="false">BJ31+BJ32</f>
        <v>439.154378260461</v>
      </c>
      <c r="BK33" s="59" t="n">
        <f aca="false">BK31+BK32</f>
        <v>440.933333333333</v>
      </c>
      <c r="BL33" s="59" t="n">
        <f aca="false">BL31+BL32</f>
        <v>448.933333333333</v>
      </c>
    </row>
    <row r="34" customFormat="false" ht="15" hidden="false" customHeight="true" outlineLevel="0" collapsed="false">
      <c r="A34" s="13" t="s">
        <v>1195</v>
      </c>
      <c r="B34" s="15" t="s">
        <v>89</v>
      </c>
      <c r="D34" s="58" t="n">
        <f aca="false">SUM(E34:BL34)</f>
        <v>7422.24051119763</v>
      </c>
      <c r="E34" s="43" t="n">
        <f aca="false">E33*Mix_Petite</f>
        <v>0</v>
      </c>
      <c r="F34" s="43" t="n">
        <f aca="false">F33*Mix_Petite</f>
        <v>0</v>
      </c>
      <c r="G34" s="43" t="n">
        <f aca="false">G33*Mix_Petite</f>
        <v>0</v>
      </c>
      <c r="H34" s="43" t="n">
        <f aca="false">H33*Mix_Petite</f>
        <v>0</v>
      </c>
      <c r="I34" s="43" t="n">
        <f aca="false">I33*Mix_Petite</f>
        <v>29.68</v>
      </c>
      <c r="J34" s="43" t="n">
        <f aca="false">J33*Mix_Petite</f>
        <v>29.968</v>
      </c>
      <c r="K34" s="43" t="n">
        <f aca="false">K33*Mix_Petite</f>
        <v>30.27328</v>
      </c>
      <c r="L34" s="43" t="n">
        <f aca="false">L33*Mix_Petite</f>
        <v>30.5968768</v>
      </c>
      <c r="M34" s="43" t="n">
        <f aca="false">M33*Mix_Petite</f>
        <v>30.939889408</v>
      </c>
      <c r="N34" s="43" t="n">
        <f aca="false">N33*Mix_Petite</f>
        <v>31.30348277248</v>
      </c>
      <c r="O34" s="43" t="n">
        <f aca="false">O33*Mix_Petite</f>
        <v>31.6888917388288</v>
      </c>
      <c r="P34" s="43" t="n">
        <f aca="false">P33*Mix_Petite</f>
        <v>32.0974252431585</v>
      </c>
      <c r="Q34" s="43" t="n">
        <f aca="false">Q33*Mix_Petite</f>
        <v>43.010470757748</v>
      </c>
      <c r="R34" s="43" t="n">
        <f aca="false">R33*Mix_Petite</f>
        <v>43.4694990032129</v>
      </c>
      <c r="S34" s="43" t="n">
        <f aca="false">S33*Mix_Petite</f>
        <v>43.9560689434057</v>
      </c>
      <c r="T34" s="43" t="n">
        <f aca="false">T33*Mix_Petite</f>
        <v>44.4718330800101</v>
      </c>
      <c r="U34" s="43" t="n">
        <f aca="false">U33*Mix_Petite</f>
        <v>45.0185430648107</v>
      </c>
      <c r="V34" s="43" t="n">
        <f aca="false">V33*Mix_Petite</f>
        <v>45.5980556486993</v>
      </c>
      <c r="W34" s="43" t="n">
        <f aca="false">W33*Mix_Petite</f>
        <v>68.9323389876212</v>
      </c>
      <c r="X34" s="43" t="n">
        <f aca="false">X33*Mix_Petite</f>
        <v>69.7994793268785</v>
      </c>
      <c r="Y34" s="43" t="n">
        <f aca="false">Y33*Mix_Petite</f>
        <v>75.5186480864912</v>
      </c>
      <c r="Z34" s="43" t="n">
        <f aca="false">Z33*Mix_Petite</f>
        <v>76.4929669716807</v>
      </c>
      <c r="AA34" s="43" t="n">
        <f aca="false">AA33*Mix_Petite</f>
        <v>77.5257449899815</v>
      </c>
      <c r="AB34" s="43" t="n">
        <f aca="false">AB33*Mix_Petite</f>
        <v>78.6204896893804</v>
      </c>
      <c r="AC34" s="43" t="n">
        <f aca="false">AC33*Mix_Petite</f>
        <v>100.820919070743</v>
      </c>
      <c r="AD34" s="43" t="n">
        <f aca="false">AD33*Mix_Petite</f>
        <v>102.050974214988</v>
      </c>
      <c r="AE34" s="43" t="n">
        <f aca="false">AE33*Mix_Petite</f>
        <v>108.154832667887</v>
      </c>
      <c r="AF34" s="43" t="n">
        <f aca="false">AF33*Mix_Petite</f>
        <v>109.53692262796</v>
      </c>
      <c r="AG34" s="43" t="n">
        <f aca="false">AG33*Mix_Petite</f>
        <v>111.001937985638</v>
      </c>
      <c r="AH34" s="43" t="n">
        <f aca="false">AH33*Mix_Petite</f>
        <v>112.554854264776</v>
      </c>
      <c r="AI34" s="43" t="n">
        <f aca="false">AI33*Mix_Petite</f>
        <v>119.000945520663</v>
      </c>
      <c r="AJ34" s="43" t="n">
        <f aca="false">AJ33*Mix_Petite</f>
        <v>120.745802251903</v>
      </c>
      <c r="AK34" s="43" t="n">
        <f aca="false">AK33*Mix_Petite</f>
        <v>122.595350387017</v>
      </c>
      <c r="AL34" s="43" t="n">
        <f aca="false">AL33*Mix_Petite</f>
        <v>124.555871410238</v>
      </c>
      <c r="AM34" s="43" t="n">
        <f aca="false">AM33*Mix_Petite</f>
        <v>131.434023694852</v>
      </c>
      <c r="AN34" s="43" t="n">
        <f aca="false">AN33*Mix_Petite</f>
        <v>133.636865116543</v>
      </c>
      <c r="AO34" s="43" t="n">
        <f aca="false">AO33*Mix_Petite</f>
        <v>150.771877023536</v>
      </c>
      <c r="AP34" s="43" t="n">
        <f aca="false">AP33*Mix_Petite</f>
        <v>158.046989644948</v>
      </c>
      <c r="AQ34" s="43" t="n">
        <f aca="false">AQ33*Mix_Petite</f>
        <v>160.670609023645</v>
      </c>
      <c r="AR34" s="43" t="n">
        <f aca="false">AR33*Mix_Petite</f>
        <v>163.451645565064</v>
      </c>
      <c r="AS34" s="43" t="n">
        <f aca="false">AS33*Mix_Petite</f>
        <v>171.199544298967</v>
      </c>
      <c r="AT34" s="43" t="n">
        <f aca="false">AT33*Mix_Petite</f>
        <v>174.324316956905</v>
      </c>
      <c r="AU34" s="43" t="n">
        <f aca="false">AU33*Mix_Petite</f>
        <v>177.63657597432</v>
      </c>
      <c r="AV34" s="43" t="n">
        <f aca="false">AV33*Mix_Petite</f>
        <v>190.267570532779</v>
      </c>
      <c r="AW34" s="43" t="n">
        <f aca="false">AW33*Mix_Petite</f>
        <v>192.617778666541</v>
      </c>
      <c r="AX34" s="43" t="n">
        <f aca="false">AX33*Mix_Petite</f>
        <v>198.400445386534</v>
      </c>
      <c r="AY34" s="43" t="n">
        <f aca="false">AY33*Mix_Petite</f>
        <v>199.442072109726</v>
      </c>
      <c r="AZ34" s="43" t="n">
        <f aca="false">AZ33*Mix_Petite</f>
        <v>200.546196436309</v>
      </c>
      <c r="BA34" s="43" t="n">
        <f aca="false">BA33*Mix_Petite</f>
        <v>221.396568222488</v>
      </c>
      <c r="BB34" s="43" t="n">
        <f aca="false">BB33*Mix_Petite</f>
        <v>222.637162315837</v>
      </c>
      <c r="BC34" s="43" t="n">
        <f aca="false">BC33*Mix_Petite</f>
        <v>228.752192054787</v>
      </c>
      <c r="BD34" s="43" t="n">
        <f aca="false">BD33*Mix_Petite</f>
        <v>230.146123578074</v>
      </c>
      <c r="BE34" s="43" t="n">
        <f aca="false">BE33*Mix_Petite</f>
        <v>235.943690992759</v>
      </c>
      <c r="BF34" s="43" t="n">
        <f aca="false">BF33*Mix_Petite</f>
        <v>242.309912452324</v>
      </c>
      <c r="BG34" s="43" t="n">
        <f aca="false">BG33*Mix_Petite</f>
        <v>243.970107199464</v>
      </c>
      <c r="BH34" s="43" t="n">
        <f aca="false">BH33*Mix_Petite</f>
        <v>250.529913631432</v>
      </c>
      <c r="BI34" s="43" t="n">
        <f aca="false">BI33*Mix_Petite</f>
        <v>256.715308449318</v>
      </c>
      <c r="BJ34" s="43" t="n">
        <f aca="false">BJ33*Mix_Petite</f>
        <v>263.492626956277</v>
      </c>
      <c r="BK34" s="43" t="n">
        <f aca="false">BK33*Mix_Petite</f>
        <v>264.56</v>
      </c>
      <c r="BL34" s="43" t="n">
        <f aca="false">BL33*Mix_Petite</f>
        <v>269.36</v>
      </c>
    </row>
    <row r="35" customFormat="false" ht="15" hidden="false" customHeight="true" outlineLevel="0" collapsed="false">
      <c r="A35" s="13" t="s">
        <v>1196</v>
      </c>
      <c r="B35" s="15" t="s">
        <v>89</v>
      </c>
      <c r="D35" s="58" t="n">
        <f aca="false">SUM(E35:BL35)</f>
        <v>3711.12025559881</v>
      </c>
      <c r="E35" s="43" t="n">
        <f aca="false">E33*Mix_Moyenne</f>
        <v>0</v>
      </c>
      <c r="F35" s="43" t="n">
        <f aca="false">F33*Mix_Moyenne</f>
        <v>0</v>
      </c>
      <c r="G35" s="43" t="n">
        <f aca="false">G33*Mix_Moyenne</f>
        <v>0</v>
      </c>
      <c r="H35" s="43" t="n">
        <f aca="false">H33*Mix_Moyenne</f>
        <v>0</v>
      </c>
      <c r="I35" s="43" t="n">
        <f aca="false">I33*Mix_Moyenne</f>
        <v>14.84</v>
      </c>
      <c r="J35" s="43" t="n">
        <f aca="false">J33*Mix_Moyenne</f>
        <v>14.984</v>
      </c>
      <c r="K35" s="43" t="n">
        <f aca="false">K33*Mix_Moyenne</f>
        <v>15.13664</v>
      </c>
      <c r="L35" s="43" t="n">
        <f aca="false">L33*Mix_Moyenne</f>
        <v>15.2984384</v>
      </c>
      <c r="M35" s="43" t="n">
        <f aca="false">M33*Mix_Moyenne</f>
        <v>15.469944704</v>
      </c>
      <c r="N35" s="43" t="n">
        <f aca="false">N33*Mix_Moyenne</f>
        <v>15.65174138624</v>
      </c>
      <c r="O35" s="43" t="n">
        <f aca="false">O33*Mix_Moyenne</f>
        <v>15.8444458694144</v>
      </c>
      <c r="P35" s="43" t="n">
        <f aca="false">P33*Mix_Moyenne</f>
        <v>16.0487126215793</v>
      </c>
      <c r="Q35" s="43" t="n">
        <f aca="false">Q33*Mix_Moyenne</f>
        <v>21.505235378874</v>
      </c>
      <c r="R35" s="43" t="n">
        <f aca="false">R33*Mix_Moyenne</f>
        <v>21.7347495016065</v>
      </c>
      <c r="S35" s="43" t="n">
        <f aca="false">S33*Mix_Moyenne</f>
        <v>21.9780344717029</v>
      </c>
      <c r="T35" s="43" t="n">
        <f aca="false">T33*Mix_Moyenne</f>
        <v>22.235916540005</v>
      </c>
      <c r="U35" s="43" t="n">
        <f aca="false">U33*Mix_Moyenne</f>
        <v>22.5092715324053</v>
      </c>
      <c r="V35" s="43" t="n">
        <f aca="false">V33*Mix_Moyenne</f>
        <v>22.7990278243496</v>
      </c>
      <c r="W35" s="43" t="n">
        <f aca="false">W33*Mix_Moyenne</f>
        <v>34.4661694938106</v>
      </c>
      <c r="X35" s="43" t="n">
        <f aca="false">X33*Mix_Moyenne</f>
        <v>34.8997396634393</v>
      </c>
      <c r="Y35" s="43" t="n">
        <f aca="false">Y33*Mix_Moyenne</f>
        <v>37.7593240432456</v>
      </c>
      <c r="Z35" s="43" t="n">
        <f aca="false">Z33*Mix_Moyenne</f>
        <v>38.2464834858404</v>
      </c>
      <c r="AA35" s="43" t="n">
        <f aca="false">AA33*Mix_Moyenne</f>
        <v>38.7628724949908</v>
      </c>
      <c r="AB35" s="43" t="n">
        <f aca="false">AB33*Mix_Moyenne</f>
        <v>39.3102448446902</v>
      </c>
      <c r="AC35" s="43" t="n">
        <f aca="false">AC33*Mix_Moyenne</f>
        <v>50.4104595353716</v>
      </c>
      <c r="AD35" s="43" t="n">
        <f aca="false">AD33*Mix_Moyenne</f>
        <v>51.0254871074939</v>
      </c>
      <c r="AE35" s="43" t="n">
        <f aca="false">AE33*Mix_Moyenne</f>
        <v>54.0774163339436</v>
      </c>
      <c r="AF35" s="43" t="n">
        <f aca="false">AF33*Mix_Moyenne</f>
        <v>54.7684613139802</v>
      </c>
      <c r="AG35" s="43" t="n">
        <f aca="false">AG33*Mix_Moyenne</f>
        <v>55.500968992819</v>
      </c>
      <c r="AH35" s="43" t="n">
        <f aca="false">AH33*Mix_Moyenne</f>
        <v>56.2774271323881</v>
      </c>
      <c r="AI35" s="43" t="n">
        <f aca="false">AI33*Mix_Moyenne</f>
        <v>59.5004727603314</v>
      </c>
      <c r="AJ35" s="43" t="n">
        <f aca="false">AJ33*Mix_Moyenne</f>
        <v>60.3729011259513</v>
      </c>
      <c r="AK35" s="43" t="n">
        <f aca="false">AK33*Mix_Moyenne</f>
        <v>61.2976751935084</v>
      </c>
      <c r="AL35" s="43" t="n">
        <f aca="false">AL33*Mix_Moyenne</f>
        <v>62.2779357051189</v>
      </c>
      <c r="AM35" s="43" t="n">
        <f aca="false">AM33*Mix_Moyenne</f>
        <v>65.717011847426</v>
      </c>
      <c r="AN35" s="43" t="n">
        <f aca="false">AN33*Mix_Moyenne</f>
        <v>66.8184325582716</v>
      </c>
      <c r="AO35" s="43" t="n">
        <f aca="false">AO33*Mix_Moyenne</f>
        <v>75.3859385117679</v>
      </c>
      <c r="AP35" s="43" t="n">
        <f aca="false">AP33*Mix_Moyenne</f>
        <v>79.023494822474</v>
      </c>
      <c r="AQ35" s="43" t="n">
        <f aca="false">AQ33*Mix_Moyenne</f>
        <v>80.3353045118224</v>
      </c>
      <c r="AR35" s="43" t="n">
        <f aca="false">AR33*Mix_Moyenne</f>
        <v>81.7258227825318</v>
      </c>
      <c r="AS35" s="43" t="n">
        <f aca="false">AS33*Mix_Moyenne</f>
        <v>85.5997721494837</v>
      </c>
      <c r="AT35" s="43" t="n">
        <f aca="false">AT33*Mix_Moyenne</f>
        <v>87.1621584784527</v>
      </c>
      <c r="AU35" s="43" t="n">
        <f aca="false">AU33*Mix_Moyenne</f>
        <v>88.8182879871599</v>
      </c>
      <c r="AV35" s="43" t="n">
        <f aca="false">AV33*Mix_Moyenne</f>
        <v>95.1337852663894</v>
      </c>
      <c r="AW35" s="43" t="n">
        <f aca="false">AW33*Mix_Moyenne</f>
        <v>96.3088893332706</v>
      </c>
      <c r="AX35" s="43" t="n">
        <f aca="false">AX33*Mix_Moyenne</f>
        <v>99.2002226932668</v>
      </c>
      <c r="AY35" s="43" t="n">
        <f aca="false">AY33*Mix_Moyenne</f>
        <v>99.7210360548628</v>
      </c>
      <c r="AZ35" s="43" t="n">
        <f aca="false">AZ33*Mix_Moyenne</f>
        <v>100.273098218155</v>
      </c>
      <c r="BA35" s="43" t="n">
        <f aca="false">BA33*Mix_Moyenne</f>
        <v>110.698284111244</v>
      </c>
      <c r="BB35" s="43" t="n">
        <f aca="false">BB33*Mix_Moyenne</f>
        <v>111.318581157919</v>
      </c>
      <c r="BC35" s="43" t="n">
        <f aca="false">BC33*Mix_Moyenne</f>
        <v>114.376096027394</v>
      </c>
      <c r="BD35" s="43" t="n">
        <f aca="false">BD33*Mix_Moyenne</f>
        <v>115.073061789037</v>
      </c>
      <c r="BE35" s="43" t="n">
        <f aca="false">BE33*Mix_Moyenne</f>
        <v>117.971845496379</v>
      </c>
      <c r="BF35" s="43" t="n">
        <f aca="false">BF33*Mix_Moyenne</f>
        <v>121.154956226162</v>
      </c>
      <c r="BG35" s="43" t="n">
        <f aca="false">BG33*Mix_Moyenne</f>
        <v>121.985053599732</v>
      </c>
      <c r="BH35" s="43" t="n">
        <f aca="false">BH33*Mix_Moyenne</f>
        <v>125.264956815716</v>
      </c>
      <c r="BI35" s="43" t="n">
        <f aca="false">BI33*Mix_Moyenne</f>
        <v>128.357654224659</v>
      </c>
      <c r="BJ35" s="43" t="n">
        <f aca="false">BJ33*Mix_Moyenne</f>
        <v>131.746313478138</v>
      </c>
      <c r="BK35" s="43" t="n">
        <f aca="false">BK33*Mix_Moyenne</f>
        <v>132.28</v>
      </c>
      <c r="BL35" s="43" t="n">
        <f aca="false">BL33*Mix_Moyenne</f>
        <v>134.68</v>
      </c>
    </row>
    <row r="36" customFormat="false" ht="15" hidden="false" customHeight="true" outlineLevel="0" collapsed="false">
      <c r="A36" s="13" t="s">
        <v>1197</v>
      </c>
      <c r="B36" s="15" t="s">
        <v>89</v>
      </c>
      <c r="D36" s="58" t="n">
        <f aca="false">SUM(E36:BL36)</f>
        <v>1237.0400851996</v>
      </c>
      <c r="E36" s="43" t="n">
        <f aca="false">E33*Mix_Grande</f>
        <v>0</v>
      </c>
      <c r="F36" s="43" t="n">
        <f aca="false">F33*Mix_Grande</f>
        <v>0</v>
      </c>
      <c r="G36" s="43" t="n">
        <f aca="false">G33*Mix_Grande</f>
        <v>0</v>
      </c>
      <c r="H36" s="43" t="n">
        <f aca="false">H33*Mix_Grande</f>
        <v>0</v>
      </c>
      <c r="I36" s="43" t="n">
        <f aca="false">I33*Mix_Grande</f>
        <v>4.94666666666667</v>
      </c>
      <c r="J36" s="43" t="n">
        <f aca="false">J33*Mix_Grande</f>
        <v>4.99466666666667</v>
      </c>
      <c r="K36" s="43" t="n">
        <f aca="false">K33*Mix_Grande</f>
        <v>5.04554666666667</v>
      </c>
      <c r="L36" s="43" t="n">
        <f aca="false">L33*Mix_Grande</f>
        <v>5.09947946666667</v>
      </c>
      <c r="M36" s="43" t="n">
        <f aca="false">M33*Mix_Grande</f>
        <v>5.15664823466667</v>
      </c>
      <c r="N36" s="43" t="n">
        <f aca="false">N33*Mix_Grande</f>
        <v>5.21724712874667</v>
      </c>
      <c r="O36" s="43" t="n">
        <f aca="false">O33*Mix_Grande</f>
        <v>5.28148195647147</v>
      </c>
      <c r="P36" s="43" t="n">
        <f aca="false">P33*Mix_Grande</f>
        <v>5.34957087385976</v>
      </c>
      <c r="Q36" s="43" t="n">
        <f aca="false">Q33*Mix_Grande</f>
        <v>7.16841179295801</v>
      </c>
      <c r="R36" s="43" t="n">
        <f aca="false">R33*Mix_Grande</f>
        <v>7.24491650053549</v>
      </c>
      <c r="S36" s="43" t="n">
        <f aca="false">S33*Mix_Grande</f>
        <v>7.32601149056762</v>
      </c>
      <c r="T36" s="43" t="n">
        <f aca="false">T33*Mix_Grande</f>
        <v>7.41197218000168</v>
      </c>
      <c r="U36" s="43" t="n">
        <f aca="false">U33*Mix_Grande</f>
        <v>7.50309051080178</v>
      </c>
      <c r="V36" s="43" t="n">
        <f aca="false">V33*Mix_Grande</f>
        <v>7.59967594144988</v>
      </c>
      <c r="W36" s="43" t="n">
        <f aca="false">W33*Mix_Grande</f>
        <v>11.4887231646035</v>
      </c>
      <c r="X36" s="43" t="n">
        <f aca="false">X33*Mix_Grande</f>
        <v>11.6332465544798</v>
      </c>
      <c r="Y36" s="43" t="n">
        <f aca="false">Y33*Mix_Grande</f>
        <v>12.5864413477485</v>
      </c>
      <c r="Z36" s="43" t="n">
        <f aca="false">Z33*Mix_Grande</f>
        <v>12.7488278286135</v>
      </c>
      <c r="AA36" s="43" t="n">
        <f aca="false">AA33*Mix_Grande</f>
        <v>12.9209574983303</v>
      </c>
      <c r="AB36" s="43" t="n">
        <f aca="false">AB33*Mix_Grande</f>
        <v>13.1034149482301</v>
      </c>
      <c r="AC36" s="43" t="n">
        <f aca="false">AC33*Mix_Grande</f>
        <v>16.8034865117905</v>
      </c>
      <c r="AD36" s="43" t="n">
        <f aca="false">AD33*Mix_Grande</f>
        <v>17.008495702498</v>
      </c>
      <c r="AE36" s="43" t="n">
        <f aca="false">AE33*Mix_Grande</f>
        <v>18.0258054446479</v>
      </c>
      <c r="AF36" s="43" t="n">
        <f aca="false">AF33*Mix_Grande</f>
        <v>18.2561537713267</v>
      </c>
      <c r="AG36" s="43" t="n">
        <f aca="false">AG33*Mix_Grande</f>
        <v>18.5003229976063</v>
      </c>
      <c r="AH36" s="43" t="n">
        <f aca="false">AH33*Mix_Grande</f>
        <v>18.7591423774627</v>
      </c>
      <c r="AI36" s="43" t="n">
        <f aca="false">AI33*Mix_Grande</f>
        <v>19.8334909201105</v>
      </c>
      <c r="AJ36" s="43" t="n">
        <f aca="false">AJ33*Mix_Grande</f>
        <v>20.1243003753171</v>
      </c>
      <c r="AK36" s="43" t="n">
        <f aca="false">AK33*Mix_Grande</f>
        <v>20.4325583978361</v>
      </c>
      <c r="AL36" s="43" t="n">
        <f aca="false">AL33*Mix_Grande</f>
        <v>20.7593119017063</v>
      </c>
      <c r="AM36" s="43" t="n">
        <f aca="false">AM33*Mix_Grande</f>
        <v>21.9056706158087</v>
      </c>
      <c r="AN36" s="43" t="n">
        <f aca="false">AN33*Mix_Grande</f>
        <v>22.2728108527572</v>
      </c>
      <c r="AO36" s="43" t="n">
        <f aca="false">AO33*Mix_Grande</f>
        <v>25.1286461705893</v>
      </c>
      <c r="AP36" s="43" t="n">
        <f aca="false">AP33*Mix_Grande</f>
        <v>26.3411649408247</v>
      </c>
      <c r="AQ36" s="43" t="n">
        <f aca="false">AQ33*Mix_Grande</f>
        <v>26.7784348372741</v>
      </c>
      <c r="AR36" s="43" t="n">
        <f aca="false">AR33*Mix_Grande</f>
        <v>27.2419409275106</v>
      </c>
      <c r="AS36" s="43" t="n">
        <f aca="false">AS33*Mix_Grande</f>
        <v>28.5332573831612</v>
      </c>
      <c r="AT36" s="43" t="n">
        <f aca="false">AT33*Mix_Grande</f>
        <v>29.0540528261509</v>
      </c>
      <c r="AU36" s="43" t="n">
        <f aca="false">AU33*Mix_Grande</f>
        <v>29.60609599572</v>
      </c>
      <c r="AV36" s="43" t="n">
        <f aca="false">AV33*Mix_Grande</f>
        <v>31.7112617554632</v>
      </c>
      <c r="AW36" s="43" t="n">
        <f aca="false">AW33*Mix_Grande</f>
        <v>32.1029631110902</v>
      </c>
      <c r="AX36" s="43" t="n">
        <f aca="false">AX33*Mix_Grande</f>
        <v>33.0667408977556</v>
      </c>
      <c r="AY36" s="43" t="n">
        <f aca="false">AY33*Mix_Grande</f>
        <v>33.2403453516209</v>
      </c>
      <c r="AZ36" s="43" t="n">
        <f aca="false">AZ33*Mix_Grande</f>
        <v>33.4243660727182</v>
      </c>
      <c r="BA36" s="43" t="n">
        <f aca="false">BA33*Mix_Grande</f>
        <v>36.8994280370813</v>
      </c>
      <c r="BB36" s="43" t="n">
        <f aca="false">BB33*Mix_Grande</f>
        <v>37.1061937193062</v>
      </c>
      <c r="BC36" s="43" t="n">
        <f aca="false">BC33*Mix_Grande</f>
        <v>38.1253653424645</v>
      </c>
      <c r="BD36" s="43" t="n">
        <f aca="false">BD33*Mix_Grande</f>
        <v>38.3576872630124</v>
      </c>
      <c r="BE36" s="43" t="n">
        <f aca="false">BE33*Mix_Grande</f>
        <v>39.3239484987932</v>
      </c>
      <c r="BF36" s="43" t="n">
        <f aca="false">BF33*Mix_Grande</f>
        <v>40.3849854087207</v>
      </c>
      <c r="BG36" s="43" t="n">
        <f aca="false">BG33*Mix_Grande</f>
        <v>40.661684533244</v>
      </c>
      <c r="BH36" s="43" t="n">
        <f aca="false">BH33*Mix_Grande</f>
        <v>41.7549856052386</v>
      </c>
      <c r="BI36" s="43" t="n">
        <f aca="false">BI33*Mix_Grande</f>
        <v>42.785884741553</v>
      </c>
      <c r="BJ36" s="43" t="n">
        <f aca="false">BJ33*Mix_Grande</f>
        <v>43.9154378260461</v>
      </c>
      <c r="BK36" s="43" t="n">
        <f aca="false">BK33*Mix_Grande</f>
        <v>44.0933333333333</v>
      </c>
      <c r="BL36" s="43" t="n">
        <f aca="false">BL33*Mix_Grande</f>
        <v>44.8933333333333</v>
      </c>
    </row>
    <row r="37" customFormat="false" ht="15" hidden="false" customHeight="true" outlineLevel="0" collapsed="false">
      <c r="A37" s="13" t="s">
        <v>1198</v>
      </c>
      <c r="B37" s="15" t="s">
        <v>89</v>
      </c>
      <c r="D37" s="58" t="n">
        <f aca="false">SUM(E37:BL37)</f>
        <v>3566.66751866271</v>
      </c>
      <c r="E37" s="43" t="n">
        <f aca="false">E21+E22</f>
        <v>0</v>
      </c>
      <c r="F37" s="43" t="n">
        <f aca="false">F21+F22</f>
        <v>0</v>
      </c>
      <c r="G37" s="43" t="n">
        <f aca="false">G21+G22</f>
        <v>0</v>
      </c>
      <c r="H37" s="43" t="n">
        <f aca="false">H21+H22</f>
        <v>0</v>
      </c>
      <c r="I37" s="43" t="n">
        <f aca="false">I21+I22</f>
        <v>8</v>
      </c>
      <c r="J37" s="43" t="n">
        <f aca="false">J21+J22</f>
        <v>8.48</v>
      </c>
      <c r="K37" s="43" t="n">
        <f aca="false">K21+K22</f>
        <v>8.9888</v>
      </c>
      <c r="L37" s="43" t="n">
        <f aca="false">L21+L22</f>
        <v>9.528128</v>
      </c>
      <c r="M37" s="43" t="n">
        <f aca="false">M21+M22</f>
        <v>10.09981568</v>
      </c>
      <c r="N37" s="43" t="n">
        <f aca="false">N21+N22</f>
        <v>10.7058046208</v>
      </c>
      <c r="O37" s="43" t="n">
        <f aca="false">O21+O22</f>
        <v>11.348152898048</v>
      </c>
      <c r="P37" s="43" t="n">
        <f aca="false">P21+P22</f>
        <v>12.0290420719309</v>
      </c>
      <c r="Q37" s="43" t="n">
        <f aca="false">Q21+Q22</f>
        <v>12.7507845962467</v>
      </c>
      <c r="R37" s="43" t="n">
        <f aca="false">R21+R22</f>
        <v>13.5158316720215</v>
      </c>
      <c r="S37" s="43" t="n">
        <f aca="false">S21+S22</f>
        <v>14.3267815723428</v>
      </c>
      <c r="T37" s="43" t="n">
        <f aca="false">T21+T22</f>
        <v>15.1863884666834</v>
      </c>
      <c r="U37" s="43" t="n">
        <f aca="false">U21+U22</f>
        <v>16.0975717746844</v>
      </c>
      <c r="V37" s="43" t="n">
        <f aca="false">V21+V22</f>
        <v>17.0634260811655</v>
      </c>
      <c r="W37" s="43" t="n">
        <f aca="false">W21+W22</f>
        <v>24.0872316460354</v>
      </c>
      <c r="X37" s="43" t="n">
        <f aca="false">X21+X22</f>
        <v>25.5324655447975</v>
      </c>
      <c r="Y37" s="43" t="n">
        <f aca="false">Y21+Y22</f>
        <v>27.0644134774854</v>
      </c>
      <c r="Z37" s="43" t="n">
        <f aca="false">Z21+Z22</f>
        <v>28.6882782861345</v>
      </c>
      <c r="AA37" s="43" t="n">
        <f aca="false">AA21+AA22</f>
        <v>30.4095749833026</v>
      </c>
      <c r="AB37" s="43" t="n">
        <f aca="false">AB21+AB22</f>
        <v>32.2341494823007</v>
      </c>
      <c r="AC37" s="43" t="n">
        <f aca="false">AC21+AC22</f>
        <v>34.1681984512388</v>
      </c>
      <c r="AD37" s="43" t="n">
        <f aca="false">AD21+AD22</f>
        <v>36.2182903583131</v>
      </c>
      <c r="AE37" s="43" t="n">
        <f aca="false">AE21+AE22</f>
        <v>38.3913877798119</v>
      </c>
      <c r="AF37" s="43" t="n">
        <f aca="false">AF21+AF22</f>
        <v>40.6948710466006</v>
      </c>
      <c r="AG37" s="43" t="n">
        <f aca="false">AG21+AG22</f>
        <v>43.1365633093967</v>
      </c>
      <c r="AH37" s="43" t="n">
        <f aca="false">AH21+AH22</f>
        <v>45.7247571079605</v>
      </c>
      <c r="AI37" s="43" t="n">
        <f aca="false">AI21+AI22</f>
        <v>48.4682425344381</v>
      </c>
      <c r="AJ37" s="43" t="n">
        <f aca="false">AJ21+AJ22</f>
        <v>51.3763370865044</v>
      </c>
      <c r="AK37" s="43" t="n">
        <f aca="false">AK21+AK22</f>
        <v>54.4589173116947</v>
      </c>
      <c r="AL37" s="43" t="n">
        <f aca="false">AL21+AL22</f>
        <v>57.7264523503963</v>
      </c>
      <c r="AM37" s="43" t="n">
        <f aca="false">AM21+AM22</f>
        <v>61.1900394914201</v>
      </c>
      <c r="AN37" s="43" t="n">
        <f aca="false">AN21+AN22</f>
        <v>64.8614418609053</v>
      </c>
      <c r="AO37" s="43" t="n">
        <f aca="false">AO21+AO22</f>
        <v>68.7531283725596</v>
      </c>
      <c r="AP37" s="43" t="n">
        <f aca="false">AP21+AP22</f>
        <v>72.8783160749132</v>
      </c>
      <c r="AQ37" s="43" t="n">
        <f aca="false">AQ21+AQ22</f>
        <v>77.251015039408</v>
      </c>
      <c r="AR37" s="43" t="n">
        <f aca="false">AR21+AR22</f>
        <v>81.8860759417725</v>
      </c>
      <c r="AS37" s="43" t="n">
        <f aca="false">AS21+AS22</f>
        <v>86.7992404982789</v>
      </c>
      <c r="AT37" s="43" t="n">
        <f aca="false">AT21+AT22</f>
        <v>92.0071949281756</v>
      </c>
      <c r="AU37" s="43" t="n">
        <f aca="false">AU21+AU22</f>
        <v>97.5276266238661</v>
      </c>
      <c r="AV37" s="43" t="n">
        <f aca="false">AV21+AV22</f>
        <v>103.379284221298</v>
      </c>
      <c r="AW37" s="43" t="n">
        <f aca="false">AW21+AW22</f>
        <v>107.296297777569</v>
      </c>
      <c r="AX37" s="43" t="n">
        <f aca="false">AX21+AX22</f>
        <v>108.934075644223</v>
      </c>
      <c r="AY37" s="43" t="n">
        <f aca="false">AY21+AY22</f>
        <v>110.670120182876</v>
      </c>
      <c r="AZ37" s="43" t="n">
        <f aca="false">AZ21+AZ22</f>
        <v>112.510327393849</v>
      </c>
      <c r="BA37" s="43" t="n">
        <f aca="false">BA21+BA22</f>
        <v>114.46094703748</v>
      </c>
      <c r="BB37" s="43" t="n">
        <f aca="false">BB21+BB22</f>
        <v>116.528603859728</v>
      </c>
      <c r="BC37" s="43" t="n">
        <f aca="false">BC21+BC22</f>
        <v>118.720320091312</v>
      </c>
      <c r="BD37" s="43" t="n">
        <f aca="false">BD21+BD22</f>
        <v>121.043539296791</v>
      </c>
      <c r="BE37" s="43" t="n">
        <f aca="false">BE21+BE22</f>
        <v>123.506151654598</v>
      </c>
      <c r="BF37" s="43" t="n">
        <f aca="false">BF21+BF22</f>
        <v>126.116520753874</v>
      </c>
      <c r="BG37" s="43" t="n">
        <f aca="false">BG21+BG22</f>
        <v>128.883511999107</v>
      </c>
      <c r="BH37" s="43" t="n">
        <f aca="false">BH21+BH22</f>
        <v>131.816522719053</v>
      </c>
      <c r="BI37" s="43" t="n">
        <f aca="false">BI21+BI22</f>
        <v>134.925514082196</v>
      </c>
      <c r="BJ37" s="43" t="n">
        <f aca="false">BJ21+BJ22</f>
        <v>138.221044927128</v>
      </c>
      <c r="BK37" s="43" t="n">
        <f aca="false">BK21+BK22</f>
        <v>140</v>
      </c>
      <c r="BL37" s="43" t="n">
        <f aca="false">BL21+BL22</f>
        <v>140</v>
      </c>
    </row>
    <row r="39" customFormat="false" ht="15" hidden="false" customHeight="true" outlineLevel="0" collapsed="false">
      <c r="A39" s="11" t="s">
        <v>1199</v>
      </c>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row>
    <row r="40" customFormat="false" ht="15" hidden="false" customHeight="true" outlineLevel="0" collapsed="false">
      <c r="A40" s="13" t="s">
        <v>1200</v>
      </c>
      <c r="B40" s="15" t="s">
        <v>77</v>
      </c>
      <c r="D40" s="56" t="n">
        <f aca="false">SUM(E40:BL40)</f>
        <v>333220000</v>
      </c>
      <c r="E40" s="33" t="n">
        <f aca="false">E25+E26</f>
        <v>0</v>
      </c>
      <c r="F40" s="33" t="n">
        <f aca="false">F25+F26</f>
        <v>0</v>
      </c>
      <c r="G40" s="33" t="n">
        <f aca="false">G25+G26</f>
        <v>0</v>
      </c>
      <c r="H40" s="33" t="n">
        <f aca="false">H25+H26</f>
        <v>0</v>
      </c>
      <c r="I40" s="33" t="n">
        <f aca="false">I25+I26</f>
        <v>1310000</v>
      </c>
      <c r="J40" s="33" t="n">
        <f aca="false">J25+J26</f>
        <v>1310000</v>
      </c>
      <c r="K40" s="33" t="n">
        <f aca="false">K25+K26</f>
        <v>1310000</v>
      </c>
      <c r="L40" s="33" t="n">
        <f aca="false">L25+L26</f>
        <v>1310000</v>
      </c>
      <c r="M40" s="33" t="n">
        <f aca="false">M25+M26</f>
        <v>1310000</v>
      </c>
      <c r="N40" s="33" t="n">
        <f aca="false">N25+N26</f>
        <v>1310000</v>
      </c>
      <c r="O40" s="33" t="n">
        <f aca="false">O25+O26</f>
        <v>1310000</v>
      </c>
      <c r="P40" s="33" t="n">
        <f aca="false">P25+P26</f>
        <v>1310000</v>
      </c>
      <c r="Q40" s="33" t="n">
        <f aca="false">Q25+Q26</f>
        <v>2620000</v>
      </c>
      <c r="R40" s="33" t="n">
        <f aca="false">R25+R26</f>
        <v>2620000</v>
      </c>
      <c r="S40" s="33" t="n">
        <f aca="false">S25+S26</f>
        <v>2620000</v>
      </c>
      <c r="T40" s="33" t="n">
        <f aca="false">T25+T26</f>
        <v>2620000</v>
      </c>
      <c r="U40" s="33" t="n">
        <f aca="false">U25+U26</f>
        <v>2620000</v>
      </c>
      <c r="V40" s="33" t="n">
        <f aca="false">V25+V26</f>
        <v>2620000</v>
      </c>
      <c r="W40" s="33" t="n">
        <f aca="false">W25+W26</f>
        <v>3930000</v>
      </c>
      <c r="X40" s="33" t="n">
        <f aca="false">X25+X26</f>
        <v>3930000</v>
      </c>
      <c r="Y40" s="33" t="n">
        <f aca="false">Y25+Y26</f>
        <v>3930000</v>
      </c>
      <c r="Z40" s="33" t="n">
        <f aca="false">Z25+Z26</f>
        <v>3930000</v>
      </c>
      <c r="AA40" s="33" t="n">
        <f aca="false">AA25+AA26</f>
        <v>3930000</v>
      </c>
      <c r="AB40" s="33" t="n">
        <f aca="false">AB25+AB26</f>
        <v>3930000</v>
      </c>
      <c r="AC40" s="33" t="n">
        <f aca="false">AC25+AC26</f>
        <v>6560000</v>
      </c>
      <c r="AD40" s="33" t="n">
        <f aca="false">AD25+AD26</f>
        <v>6560000</v>
      </c>
      <c r="AE40" s="33" t="n">
        <f aca="false">AE25+AE26</f>
        <v>6560000</v>
      </c>
      <c r="AF40" s="33" t="n">
        <f aca="false">AF25+AF26</f>
        <v>6560000</v>
      </c>
      <c r="AG40" s="33" t="n">
        <f aca="false">AG25+AG26</f>
        <v>6560000</v>
      </c>
      <c r="AH40" s="33" t="n">
        <f aca="false">AH25+AH26</f>
        <v>6560000</v>
      </c>
      <c r="AI40" s="33" t="n">
        <f aca="false">AI25+AI26</f>
        <v>6560000</v>
      </c>
      <c r="AJ40" s="33" t="n">
        <f aca="false">AJ25+AJ26</f>
        <v>6560000</v>
      </c>
      <c r="AK40" s="33" t="n">
        <f aca="false">AK25+AK26</f>
        <v>6560000</v>
      </c>
      <c r="AL40" s="33" t="n">
        <f aca="false">AL25+AL26</f>
        <v>6560000</v>
      </c>
      <c r="AM40" s="33" t="n">
        <f aca="false">AM25+AM26</f>
        <v>6560000</v>
      </c>
      <c r="AN40" s="33" t="n">
        <f aca="false">AN25+AN26</f>
        <v>6560000</v>
      </c>
      <c r="AO40" s="33" t="n">
        <f aca="false">AO25+AO26</f>
        <v>7870000</v>
      </c>
      <c r="AP40" s="33" t="n">
        <f aca="false">AP25+AP26</f>
        <v>7870000</v>
      </c>
      <c r="AQ40" s="33" t="n">
        <f aca="false">AQ25+AQ26</f>
        <v>7870000</v>
      </c>
      <c r="AR40" s="33" t="n">
        <f aca="false">AR25+AR26</f>
        <v>7870000</v>
      </c>
      <c r="AS40" s="33" t="n">
        <f aca="false">AS25+AS26</f>
        <v>7870000</v>
      </c>
      <c r="AT40" s="33" t="n">
        <f aca="false">AT25+AT26</f>
        <v>7870000</v>
      </c>
      <c r="AU40" s="33" t="n">
        <f aca="false">AU25+AU26</f>
        <v>7870000</v>
      </c>
      <c r="AV40" s="33" t="n">
        <f aca="false">AV25+AV26</f>
        <v>7870000</v>
      </c>
      <c r="AW40" s="33" t="n">
        <f aca="false">AW25+AW26</f>
        <v>7870000</v>
      </c>
      <c r="AX40" s="33" t="n">
        <f aca="false">AX25+AX26</f>
        <v>7870000</v>
      </c>
      <c r="AY40" s="33" t="n">
        <f aca="false">AY25+AY26</f>
        <v>7870000</v>
      </c>
      <c r="AZ40" s="33" t="n">
        <f aca="false">AZ25+AZ26</f>
        <v>7870000</v>
      </c>
      <c r="BA40" s="33" t="n">
        <f aca="false">BA25+BA26</f>
        <v>9190000</v>
      </c>
      <c r="BB40" s="33" t="n">
        <f aca="false">BB25+BB26</f>
        <v>9190000</v>
      </c>
      <c r="BC40" s="33" t="n">
        <f aca="false">BC25+BC26</f>
        <v>9190000</v>
      </c>
      <c r="BD40" s="33" t="n">
        <f aca="false">BD25+BD26</f>
        <v>9190000</v>
      </c>
      <c r="BE40" s="33" t="n">
        <f aca="false">BE25+BE26</f>
        <v>9190000</v>
      </c>
      <c r="BF40" s="33" t="n">
        <f aca="false">BF25+BF26</f>
        <v>9190000</v>
      </c>
      <c r="BG40" s="33" t="n">
        <f aca="false">BG25+BG26</f>
        <v>9190000</v>
      </c>
      <c r="BH40" s="33" t="n">
        <f aca="false">BH25+BH26</f>
        <v>9190000</v>
      </c>
      <c r="BI40" s="33" t="n">
        <f aca="false">BI25+BI26</f>
        <v>9190000</v>
      </c>
      <c r="BJ40" s="33" t="n">
        <f aca="false">BJ25+BJ26</f>
        <v>9190000</v>
      </c>
      <c r="BK40" s="33" t="n">
        <f aca="false">BK25+BK26</f>
        <v>9190000</v>
      </c>
      <c r="BL40" s="33" t="n">
        <f aca="false">BL25+BL26</f>
        <v>9190000</v>
      </c>
    </row>
    <row r="41" customFormat="false" ht="15" hidden="false" customHeight="true" outlineLevel="0" collapsed="false">
      <c r="A41" s="13" t="s">
        <v>880</v>
      </c>
      <c r="B41" s="15" t="s">
        <v>77</v>
      </c>
      <c r="D41" s="56" t="n">
        <f aca="false">SUM(E41:BL41)</f>
        <v>41330000</v>
      </c>
      <c r="E41" s="33" t="n">
        <f aca="false">INDEX(Brand_PR,1,E$5)/12</f>
        <v>1366666.66666667</v>
      </c>
      <c r="F41" s="33" t="n">
        <f aca="false">INDEX(Brand_PR,1,F$5)/12</f>
        <v>1366666.66666667</v>
      </c>
      <c r="G41" s="33" t="n">
        <f aca="false">INDEX(Brand_PR,1,G$5)/12</f>
        <v>1366666.66666667</v>
      </c>
      <c r="H41" s="33" t="n">
        <f aca="false">INDEX(Brand_PR,1,H$5)/12</f>
        <v>1366666.66666667</v>
      </c>
      <c r="I41" s="33" t="n">
        <f aca="false">INDEX(Brand_PR,1,I$5)/12</f>
        <v>1366666.66666667</v>
      </c>
      <c r="J41" s="33" t="n">
        <f aca="false">INDEX(Brand_PR,1,J$5)/12</f>
        <v>1366666.66666667</v>
      </c>
      <c r="K41" s="33" t="n">
        <f aca="false">INDEX(Brand_PR,1,K$5)/12</f>
        <v>1366666.66666667</v>
      </c>
      <c r="L41" s="33" t="n">
        <f aca="false">INDEX(Brand_PR,1,L$5)/12</f>
        <v>1366666.66666667</v>
      </c>
      <c r="M41" s="33" t="n">
        <f aca="false">INDEX(Brand_PR,1,M$5)/12</f>
        <v>1366666.66666667</v>
      </c>
      <c r="N41" s="33" t="n">
        <f aca="false">INDEX(Brand_PR,1,N$5)/12</f>
        <v>1366666.66666667</v>
      </c>
      <c r="O41" s="33" t="n">
        <f aca="false">INDEX(Brand_PR,1,O$5)/12</f>
        <v>1366666.66666667</v>
      </c>
      <c r="P41" s="33" t="n">
        <f aca="false">INDEX(Brand_PR,1,P$5)/12</f>
        <v>1366666.66666667</v>
      </c>
      <c r="Q41" s="33" t="n">
        <f aca="false">INDEX(Brand_PR,1,Q$5)/12</f>
        <v>437500</v>
      </c>
      <c r="R41" s="33" t="n">
        <f aca="false">INDEX(Brand_PR,1,R$5)/12</f>
        <v>437500</v>
      </c>
      <c r="S41" s="33" t="n">
        <f aca="false">INDEX(Brand_PR,1,S$5)/12</f>
        <v>437500</v>
      </c>
      <c r="T41" s="33" t="n">
        <f aca="false">INDEX(Brand_PR,1,T$5)/12</f>
        <v>437500</v>
      </c>
      <c r="U41" s="33" t="n">
        <f aca="false">INDEX(Brand_PR,1,U$5)/12</f>
        <v>437500</v>
      </c>
      <c r="V41" s="33" t="n">
        <f aca="false">INDEX(Brand_PR,1,V$5)/12</f>
        <v>437500</v>
      </c>
      <c r="W41" s="33" t="n">
        <f aca="false">INDEX(Brand_PR,1,W$5)/12</f>
        <v>437500</v>
      </c>
      <c r="X41" s="33" t="n">
        <f aca="false">INDEX(Brand_PR,1,X$5)/12</f>
        <v>437500</v>
      </c>
      <c r="Y41" s="33" t="n">
        <f aca="false">INDEX(Brand_PR,1,Y$5)/12</f>
        <v>437500</v>
      </c>
      <c r="Z41" s="33" t="n">
        <f aca="false">INDEX(Brand_PR,1,Z$5)/12</f>
        <v>437500</v>
      </c>
      <c r="AA41" s="33" t="n">
        <f aca="false">INDEX(Brand_PR,1,AA$5)/12</f>
        <v>437500</v>
      </c>
      <c r="AB41" s="33" t="n">
        <f aca="false">INDEX(Brand_PR,1,AB$5)/12</f>
        <v>437500</v>
      </c>
      <c r="AC41" s="33" t="n">
        <f aca="false">INDEX(Brand_PR,1,AC$5)/12</f>
        <v>546666.666666667</v>
      </c>
      <c r="AD41" s="33" t="n">
        <f aca="false">INDEX(Brand_PR,1,AD$5)/12</f>
        <v>546666.666666667</v>
      </c>
      <c r="AE41" s="33" t="n">
        <f aca="false">INDEX(Brand_PR,1,AE$5)/12</f>
        <v>546666.666666667</v>
      </c>
      <c r="AF41" s="33" t="n">
        <f aca="false">INDEX(Brand_PR,1,AF$5)/12</f>
        <v>546666.666666667</v>
      </c>
      <c r="AG41" s="33" t="n">
        <f aca="false">INDEX(Brand_PR,1,AG$5)/12</f>
        <v>546666.666666667</v>
      </c>
      <c r="AH41" s="33" t="n">
        <f aca="false">INDEX(Brand_PR,1,AH$5)/12</f>
        <v>546666.666666667</v>
      </c>
      <c r="AI41" s="33" t="n">
        <f aca="false">INDEX(Brand_PR,1,AI$5)/12</f>
        <v>546666.666666667</v>
      </c>
      <c r="AJ41" s="33" t="n">
        <f aca="false">INDEX(Brand_PR,1,AJ$5)/12</f>
        <v>546666.666666667</v>
      </c>
      <c r="AK41" s="33" t="n">
        <f aca="false">INDEX(Brand_PR,1,AK$5)/12</f>
        <v>546666.666666667</v>
      </c>
      <c r="AL41" s="33" t="n">
        <f aca="false">INDEX(Brand_PR,1,AL$5)/12</f>
        <v>546666.666666667</v>
      </c>
      <c r="AM41" s="33" t="n">
        <f aca="false">INDEX(Brand_PR,1,AM$5)/12</f>
        <v>546666.666666667</v>
      </c>
      <c r="AN41" s="33" t="n">
        <f aca="false">INDEX(Brand_PR,1,AN$5)/12</f>
        <v>546666.666666667</v>
      </c>
      <c r="AO41" s="33" t="n">
        <f aca="false">INDEX(Brand_PR,1,AO$5)/12</f>
        <v>546666.666666667</v>
      </c>
      <c r="AP41" s="33" t="n">
        <f aca="false">INDEX(Brand_PR,1,AP$5)/12</f>
        <v>546666.666666667</v>
      </c>
      <c r="AQ41" s="33" t="n">
        <f aca="false">INDEX(Brand_PR,1,AQ$5)/12</f>
        <v>546666.666666667</v>
      </c>
      <c r="AR41" s="33" t="n">
        <f aca="false">INDEX(Brand_PR,1,AR$5)/12</f>
        <v>546666.666666667</v>
      </c>
      <c r="AS41" s="33" t="n">
        <f aca="false">INDEX(Brand_PR,1,AS$5)/12</f>
        <v>546666.666666667</v>
      </c>
      <c r="AT41" s="33" t="n">
        <f aca="false">INDEX(Brand_PR,1,AT$5)/12</f>
        <v>546666.666666667</v>
      </c>
      <c r="AU41" s="33" t="n">
        <f aca="false">INDEX(Brand_PR,1,AU$5)/12</f>
        <v>546666.666666667</v>
      </c>
      <c r="AV41" s="33" t="n">
        <f aca="false">INDEX(Brand_PR,1,AV$5)/12</f>
        <v>546666.666666667</v>
      </c>
      <c r="AW41" s="33" t="n">
        <f aca="false">INDEX(Brand_PR,1,AW$5)/12</f>
        <v>546666.666666667</v>
      </c>
      <c r="AX41" s="33" t="n">
        <f aca="false">INDEX(Brand_PR,1,AX$5)/12</f>
        <v>546666.666666667</v>
      </c>
      <c r="AY41" s="33" t="n">
        <f aca="false">INDEX(Brand_PR,1,AY$5)/12</f>
        <v>546666.666666667</v>
      </c>
      <c r="AZ41" s="33" t="n">
        <f aca="false">INDEX(Brand_PR,1,AZ$5)/12</f>
        <v>546666.666666667</v>
      </c>
      <c r="BA41" s="33" t="n">
        <f aca="false">INDEX(Brand_PR,1,BA$5)/12</f>
        <v>546666.666666667</v>
      </c>
      <c r="BB41" s="33" t="n">
        <f aca="false">INDEX(Brand_PR,1,BB$5)/12</f>
        <v>546666.666666667</v>
      </c>
      <c r="BC41" s="33" t="n">
        <f aca="false">INDEX(Brand_PR,1,BC$5)/12</f>
        <v>546666.666666667</v>
      </c>
      <c r="BD41" s="33" t="n">
        <f aca="false">INDEX(Brand_PR,1,BD$5)/12</f>
        <v>546666.666666667</v>
      </c>
      <c r="BE41" s="33" t="n">
        <f aca="false">INDEX(Brand_PR,1,BE$5)/12</f>
        <v>546666.666666667</v>
      </c>
      <c r="BF41" s="33" t="n">
        <f aca="false">INDEX(Brand_PR,1,BF$5)/12</f>
        <v>546666.666666667</v>
      </c>
      <c r="BG41" s="33" t="n">
        <f aca="false">INDEX(Brand_PR,1,BG$5)/12</f>
        <v>546666.666666667</v>
      </c>
      <c r="BH41" s="33" t="n">
        <f aca="false">INDEX(Brand_PR,1,BH$5)/12</f>
        <v>546666.666666667</v>
      </c>
      <c r="BI41" s="33" t="n">
        <f aca="false">INDEX(Brand_PR,1,BI$5)/12</f>
        <v>546666.666666667</v>
      </c>
      <c r="BJ41" s="33" t="n">
        <f aca="false">INDEX(Brand_PR,1,BJ$5)/12</f>
        <v>546666.666666667</v>
      </c>
      <c r="BK41" s="33" t="n">
        <f aca="false">INDEX(Brand_PR,1,BK$5)/12</f>
        <v>546666.666666667</v>
      </c>
      <c r="BL41" s="33" t="n">
        <f aca="false">INDEX(Brand_PR,1,BL$5)/12</f>
        <v>546666.666666667</v>
      </c>
    </row>
    <row r="42" customFormat="false" ht="15" hidden="false" customHeight="true" outlineLevel="0" collapsed="false">
      <c r="A42" s="13" t="s">
        <v>882</v>
      </c>
      <c r="B42" s="15" t="s">
        <v>77</v>
      </c>
      <c r="D42" s="56" t="n">
        <f aca="false">SUM(E42:BL42)</f>
        <v>137740000</v>
      </c>
      <c r="E42" s="33" t="n">
        <f aca="false">INDEX(Events,1,E$5)/12</f>
        <v>820000</v>
      </c>
      <c r="F42" s="33" t="n">
        <f aca="false">INDEX(Events,1,F$5)/12</f>
        <v>820000</v>
      </c>
      <c r="G42" s="33" t="n">
        <f aca="false">INDEX(Events,1,G$5)/12</f>
        <v>820000</v>
      </c>
      <c r="H42" s="33" t="n">
        <f aca="false">INDEX(Events,1,H$5)/12</f>
        <v>820000</v>
      </c>
      <c r="I42" s="33" t="n">
        <f aca="false">INDEX(Events,1,I$5)/12</f>
        <v>820000</v>
      </c>
      <c r="J42" s="33" t="n">
        <f aca="false">INDEX(Events,1,J$5)/12</f>
        <v>820000</v>
      </c>
      <c r="K42" s="33" t="n">
        <f aca="false">INDEX(Events,1,K$5)/12</f>
        <v>820000</v>
      </c>
      <c r="L42" s="33" t="n">
        <f aca="false">INDEX(Events,1,L$5)/12</f>
        <v>820000</v>
      </c>
      <c r="M42" s="33" t="n">
        <f aca="false">INDEX(Events,1,M$5)/12</f>
        <v>820000</v>
      </c>
      <c r="N42" s="33" t="n">
        <f aca="false">INDEX(Events,1,N$5)/12</f>
        <v>820000</v>
      </c>
      <c r="O42" s="33" t="n">
        <f aca="false">INDEX(Events,1,O$5)/12</f>
        <v>820000</v>
      </c>
      <c r="P42" s="33" t="n">
        <f aca="false">INDEX(Events,1,P$5)/12</f>
        <v>820000</v>
      </c>
      <c r="Q42" s="33" t="n">
        <f aca="false">INDEX(Events,1,Q$5)/12</f>
        <v>1641666.66666667</v>
      </c>
      <c r="R42" s="33" t="n">
        <f aca="false">INDEX(Events,1,R$5)/12</f>
        <v>1641666.66666667</v>
      </c>
      <c r="S42" s="33" t="n">
        <f aca="false">INDEX(Events,1,S$5)/12</f>
        <v>1641666.66666667</v>
      </c>
      <c r="T42" s="33" t="n">
        <f aca="false">INDEX(Events,1,T$5)/12</f>
        <v>1641666.66666667</v>
      </c>
      <c r="U42" s="33" t="n">
        <f aca="false">INDEX(Events,1,U$5)/12</f>
        <v>1641666.66666667</v>
      </c>
      <c r="V42" s="33" t="n">
        <f aca="false">INDEX(Events,1,V$5)/12</f>
        <v>1641666.66666667</v>
      </c>
      <c r="W42" s="33" t="n">
        <f aca="false">INDEX(Events,1,W$5)/12</f>
        <v>1641666.66666667</v>
      </c>
      <c r="X42" s="33" t="n">
        <f aca="false">INDEX(Events,1,X$5)/12</f>
        <v>1641666.66666667</v>
      </c>
      <c r="Y42" s="33" t="n">
        <f aca="false">INDEX(Events,1,Y$5)/12</f>
        <v>1641666.66666667</v>
      </c>
      <c r="Z42" s="33" t="n">
        <f aca="false">INDEX(Events,1,Z$5)/12</f>
        <v>1641666.66666667</v>
      </c>
      <c r="AA42" s="33" t="n">
        <f aca="false">INDEX(Events,1,AA$5)/12</f>
        <v>1641666.66666667</v>
      </c>
      <c r="AB42" s="33" t="n">
        <f aca="false">INDEX(Events,1,AB$5)/12</f>
        <v>1641666.66666667</v>
      </c>
      <c r="AC42" s="33" t="n">
        <f aca="false">INDEX(Events,1,AC$5)/12</f>
        <v>2458333.33333333</v>
      </c>
      <c r="AD42" s="33" t="n">
        <f aca="false">INDEX(Events,1,AD$5)/12</f>
        <v>2458333.33333333</v>
      </c>
      <c r="AE42" s="33" t="n">
        <f aca="false">INDEX(Events,1,AE$5)/12</f>
        <v>2458333.33333333</v>
      </c>
      <c r="AF42" s="33" t="n">
        <f aca="false">INDEX(Events,1,AF$5)/12</f>
        <v>2458333.33333333</v>
      </c>
      <c r="AG42" s="33" t="n">
        <f aca="false">INDEX(Events,1,AG$5)/12</f>
        <v>2458333.33333333</v>
      </c>
      <c r="AH42" s="33" t="n">
        <f aca="false">INDEX(Events,1,AH$5)/12</f>
        <v>2458333.33333333</v>
      </c>
      <c r="AI42" s="33" t="n">
        <f aca="false">INDEX(Events,1,AI$5)/12</f>
        <v>2458333.33333333</v>
      </c>
      <c r="AJ42" s="33" t="n">
        <f aca="false">INDEX(Events,1,AJ$5)/12</f>
        <v>2458333.33333333</v>
      </c>
      <c r="AK42" s="33" t="n">
        <f aca="false">INDEX(Events,1,AK$5)/12</f>
        <v>2458333.33333333</v>
      </c>
      <c r="AL42" s="33" t="n">
        <f aca="false">INDEX(Events,1,AL$5)/12</f>
        <v>2458333.33333333</v>
      </c>
      <c r="AM42" s="33" t="n">
        <f aca="false">INDEX(Events,1,AM$5)/12</f>
        <v>2458333.33333333</v>
      </c>
      <c r="AN42" s="33" t="n">
        <f aca="false">INDEX(Events,1,AN$5)/12</f>
        <v>2458333.33333333</v>
      </c>
      <c r="AO42" s="33" t="n">
        <f aca="false">INDEX(Events,1,AO$5)/12</f>
        <v>3008333.33333333</v>
      </c>
      <c r="AP42" s="33" t="n">
        <f aca="false">INDEX(Events,1,AP$5)/12</f>
        <v>3008333.33333333</v>
      </c>
      <c r="AQ42" s="33" t="n">
        <f aca="false">INDEX(Events,1,AQ$5)/12</f>
        <v>3008333.33333333</v>
      </c>
      <c r="AR42" s="33" t="n">
        <f aca="false">INDEX(Events,1,AR$5)/12</f>
        <v>3008333.33333333</v>
      </c>
      <c r="AS42" s="33" t="n">
        <f aca="false">INDEX(Events,1,AS$5)/12</f>
        <v>3008333.33333333</v>
      </c>
      <c r="AT42" s="33" t="n">
        <f aca="false">INDEX(Events,1,AT$5)/12</f>
        <v>3008333.33333333</v>
      </c>
      <c r="AU42" s="33" t="n">
        <f aca="false">INDEX(Events,1,AU$5)/12</f>
        <v>3008333.33333333</v>
      </c>
      <c r="AV42" s="33" t="n">
        <f aca="false">INDEX(Events,1,AV$5)/12</f>
        <v>3008333.33333333</v>
      </c>
      <c r="AW42" s="33" t="n">
        <f aca="false">INDEX(Events,1,AW$5)/12</f>
        <v>3008333.33333333</v>
      </c>
      <c r="AX42" s="33" t="n">
        <f aca="false">INDEX(Events,1,AX$5)/12</f>
        <v>3008333.33333333</v>
      </c>
      <c r="AY42" s="33" t="n">
        <f aca="false">INDEX(Events,1,AY$5)/12</f>
        <v>3008333.33333333</v>
      </c>
      <c r="AZ42" s="33" t="n">
        <f aca="false">INDEX(Events,1,AZ$5)/12</f>
        <v>3008333.33333333</v>
      </c>
      <c r="BA42" s="33" t="n">
        <f aca="false">INDEX(Events,1,BA$5)/12</f>
        <v>3550000</v>
      </c>
      <c r="BB42" s="33" t="n">
        <f aca="false">INDEX(Events,1,BB$5)/12</f>
        <v>3550000</v>
      </c>
      <c r="BC42" s="33" t="n">
        <f aca="false">INDEX(Events,1,BC$5)/12</f>
        <v>3550000</v>
      </c>
      <c r="BD42" s="33" t="n">
        <f aca="false">INDEX(Events,1,BD$5)/12</f>
        <v>3550000</v>
      </c>
      <c r="BE42" s="33" t="n">
        <f aca="false">INDEX(Events,1,BE$5)/12</f>
        <v>3550000</v>
      </c>
      <c r="BF42" s="33" t="n">
        <f aca="false">INDEX(Events,1,BF$5)/12</f>
        <v>3550000</v>
      </c>
      <c r="BG42" s="33" t="n">
        <f aca="false">INDEX(Events,1,BG$5)/12</f>
        <v>3550000</v>
      </c>
      <c r="BH42" s="33" t="n">
        <f aca="false">INDEX(Events,1,BH$5)/12</f>
        <v>3550000</v>
      </c>
      <c r="BI42" s="33" t="n">
        <f aca="false">INDEX(Events,1,BI$5)/12</f>
        <v>3550000</v>
      </c>
      <c r="BJ42" s="33" t="n">
        <f aca="false">INDEX(Events,1,BJ$5)/12</f>
        <v>3550000</v>
      </c>
      <c r="BK42" s="33" t="n">
        <f aca="false">INDEX(Events,1,BK$5)/12</f>
        <v>3550000</v>
      </c>
      <c r="BL42" s="33" t="n">
        <f aca="false">INDEX(Events,1,BL$5)/12</f>
        <v>3550000</v>
      </c>
    </row>
    <row r="43" customFormat="false" ht="15" hidden="false" customHeight="true" outlineLevel="0" collapsed="false">
      <c r="A43" s="13" t="s">
        <v>1201</v>
      </c>
      <c r="B43" s="15" t="s">
        <v>77</v>
      </c>
      <c r="D43" s="56" t="n">
        <f aca="false">SUM(E43:BL43)</f>
        <v>89166687.9665679</v>
      </c>
      <c r="E43" s="33" t="n">
        <f aca="false">E37*Referral_Fee</f>
        <v>0</v>
      </c>
      <c r="F43" s="33" t="n">
        <f aca="false">F37*Referral_Fee</f>
        <v>0</v>
      </c>
      <c r="G43" s="33" t="n">
        <f aca="false">G37*Referral_Fee</f>
        <v>0</v>
      </c>
      <c r="H43" s="33" t="n">
        <f aca="false">H37*Referral_Fee</f>
        <v>0</v>
      </c>
      <c r="I43" s="33" t="n">
        <f aca="false">I37*Referral_Fee</f>
        <v>200000</v>
      </c>
      <c r="J43" s="33" t="n">
        <f aca="false">J37*Referral_Fee</f>
        <v>212000</v>
      </c>
      <c r="K43" s="33" t="n">
        <f aca="false">K37*Referral_Fee</f>
        <v>224720</v>
      </c>
      <c r="L43" s="33" t="n">
        <f aca="false">L37*Referral_Fee</f>
        <v>238203.2</v>
      </c>
      <c r="M43" s="33" t="n">
        <f aca="false">M37*Referral_Fee</f>
        <v>252495.392</v>
      </c>
      <c r="N43" s="33" t="n">
        <f aca="false">N37*Referral_Fee</f>
        <v>267645.11552</v>
      </c>
      <c r="O43" s="33" t="n">
        <f aca="false">O37*Referral_Fee</f>
        <v>283703.8224512</v>
      </c>
      <c r="P43" s="33" t="n">
        <f aca="false">P37*Referral_Fee</f>
        <v>300726.051798272</v>
      </c>
      <c r="Q43" s="33" t="n">
        <f aca="false">Q37*Referral_Fee</f>
        <v>318769.614906169</v>
      </c>
      <c r="R43" s="33" t="n">
        <f aca="false">R37*Referral_Fee</f>
        <v>337895.791800539</v>
      </c>
      <c r="S43" s="33" t="n">
        <f aca="false">S37*Referral_Fee</f>
        <v>358169.539308571</v>
      </c>
      <c r="T43" s="33" t="n">
        <f aca="false">T37*Referral_Fee</f>
        <v>379659.711667085</v>
      </c>
      <c r="U43" s="33" t="n">
        <f aca="false">U37*Referral_Fee</f>
        <v>402439.29436711</v>
      </c>
      <c r="V43" s="33" t="n">
        <f aca="false">V37*Referral_Fee</f>
        <v>426585.652029137</v>
      </c>
      <c r="W43" s="33" t="n">
        <f aca="false">W37*Referral_Fee</f>
        <v>602180.791150885</v>
      </c>
      <c r="X43" s="33" t="n">
        <f aca="false">X37*Referral_Fee</f>
        <v>638311.638619938</v>
      </c>
      <c r="Y43" s="33" t="n">
        <f aca="false">Y37*Referral_Fee</f>
        <v>676610.336937135</v>
      </c>
      <c r="Z43" s="33" t="n">
        <f aca="false">Z37*Referral_Fee</f>
        <v>717206.957153363</v>
      </c>
      <c r="AA43" s="33" t="n">
        <f aca="false">AA37*Referral_Fee</f>
        <v>760239.374582565</v>
      </c>
      <c r="AB43" s="33" t="n">
        <f aca="false">AB37*Referral_Fee</f>
        <v>805853.737057518</v>
      </c>
      <c r="AC43" s="33" t="n">
        <f aca="false">AC37*Referral_Fee</f>
        <v>854204.96128097</v>
      </c>
      <c r="AD43" s="33" t="n">
        <f aca="false">AD37*Referral_Fee</f>
        <v>905457.258957828</v>
      </c>
      <c r="AE43" s="33" t="n">
        <f aca="false">AE37*Referral_Fee</f>
        <v>959784.694495298</v>
      </c>
      <c r="AF43" s="33" t="n">
        <f aca="false">AF37*Referral_Fee</f>
        <v>1017371.77616502</v>
      </c>
      <c r="AG43" s="33" t="n">
        <f aca="false">AG37*Referral_Fee</f>
        <v>1078414.08273492</v>
      </c>
      <c r="AH43" s="33" t="n">
        <f aca="false">AH37*Referral_Fee</f>
        <v>1143118.92769901</v>
      </c>
      <c r="AI43" s="33" t="n">
        <f aca="false">AI37*Referral_Fee</f>
        <v>1211706.06336095</v>
      </c>
      <c r="AJ43" s="33" t="n">
        <f aca="false">AJ37*Referral_Fee</f>
        <v>1284408.42716261</v>
      </c>
      <c r="AK43" s="33" t="n">
        <f aca="false">AK37*Referral_Fee</f>
        <v>1361472.93279237</v>
      </c>
      <c r="AL43" s="33" t="n">
        <f aca="false">AL37*Referral_Fee</f>
        <v>1443161.30875991</v>
      </c>
      <c r="AM43" s="33" t="n">
        <f aca="false">AM37*Referral_Fee</f>
        <v>1529750.9872855</v>
      </c>
      <c r="AN43" s="33" t="n">
        <f aca="false">AN37*Referral_Fee</f>
        <v>1621536.04652263</v>
      </c>
      <c r="AO43" s="33" t="n">
        <f aca="false">AO37*Referral_Fee</f>
        <v>1718828.20931399</v>
      </c>
      <c r="AP43" s="33" t="n">
        <f aca="false">AP37*Referral_Fee</f>
        <v>1821957.90187283</v>
      </c>
      <c r="AQ43" s="33" t="n">
        <f aca="false">AQ37*Referral_Fee</f>
        <v>1931275.3759852</v>
      </c>
      <c r="AR43" s="33" t="n">
        <f aca="false">AR37*Referral_Fee</f>
        <v>2047151.89854431</v>
      </c>
      <c r="AS43" s="33" t="n">
        <f aca="false">AS37*Referral_Fee</f>
        <v>2169981.01245697</v>
      </c>
      <c r="AT43" s="33" t="n">
        <f aca="false">AT37*Referral_Fee</f>
        <v>2300179.87320439</v>
      </c>
      <c r="AU43" s="33" t="n">
        <f aca="false">AU37*Referral_Fee</f>
        <v>2438190.66559665</v>
      </c>
      <c r="AV43" s="33" t="n">
        <f aca="false">AV37*Referral_Fee</f>
        <v>2584482.10553245</v>
      </c>
      <c r="AW43" s="33" t="n">
        <f aca="false">AW37*Referral_Fee</f>
        <v>2682407.44443921</v>
      </c>
      <c r="AX43" s="33" t="n">
        <f aca="false">AX37*Referral_Fee</f>
        <v>2723351.89110557</v>
      </c>
      <c r="AY43" s="33" t="n">
        <f aca="false">AY37*Referral_Fee</f>
        <v>2766753.0045719</v>
      </c>
      <c r="AZ43" s="33" t="n">
        <f aca="false">AZ37*Referral_Fee</f>
        <v>2812758.18484622</v>
      </c>
      <c r="BA43" s="33" t="n">
        <f aca="false">BA37*Referral_Fee</f>
        <v>2861523.67593699</v>
      </c>
      <c r="BB43" s="33" t="n">
        <f aca="false">BB37*Referral_Fee</f>
        <v>2913215.09649321</v>
      </c>
      <c r="BC43" s="33" t="n">
        <f aca="false">BC37*Referral_Fee</f>
        <v>2968008.0022828</v>
      </c>
      <c r="BD43" s="33" t="n">
        <f aca="false">BD37*Referral_Fee</f>
        <v>3026088.48241977</v>
      </c>
      <c r="BE43" s="33" t="n">
        <f aca="false">BE37*Referral_Fee</f>
        <v>3087653.79136496</v>
      </c>
      <c r="BF43" s="33" t="n">
        <f aca="false">BF37*Referral_Fee</f>
        <v>3152913.01884685</v>
      </c>
      <c r="BG43" s="33" t="n">
        <f aca="false">BG37*Referral_Fee</f>
        <v>3222087.79997766</v>
      </c>
      <c r="BH43" s="33" t="n">
        <f aca="false">BH37*Referral_Fee</f>
        <v>3295413.06797632</v>
      </c>
      <c r="BI43" s="33" t="n">
        <f aca="false">BI37*Referral_Fee</f>
        <v>3373137.8520549</v>
      </c>
      <c r="BJ43" s="33" t="n">
        <f aca="false">BJ37*Referral_Fee</f>
        <v>3455526.1231782</v>
      </c>
      <c r="BK43" s="33" t="n">
        <f aca="false">BK37*Referral_Fee</f>
        <v>3500000</v>
      </c>
      <c r="BL43" s="33" t="n">
        <f aca="false">BL37*Referral_Fee</f>
        <v>3500000</v>
      </c>
    </row>
    <row r="44" customFormat="false" ht="15" hidden="false" customHeight="true" outlineLevel="0" collapsed="false">
      <c r="A44" s="13" t="s">
        <v>1202</v>
      </c>
      <c r="B44" s="15" t="s">
        <v>77</v>
      </c>
      <c r="D44" s="56" t="n">
        <f aca="false">SUM(E44:BL44)</f>
        <v>44100000</v>
      </c>
      <c r="E44" s="33" t="n">
        <f aca="false">(E13+E14)*Rep_Transport</f>
        <v>75000</v>
      </c>
      <c r="F44" s="33" t="n">
        <f aca="false">(F13+F14)*Rep_Transport</f>
        <v>75000</v>
      </c>
      <c r="G44" s="33" t="n">
        <f aca="false">(G13+G14)*Rep_Transport</f>
        <v>75000</v>
      </c>
      <c r="H44" s="33" t="n">
        <f aca="false">(H13+H14)*Rep_Transport</f>
        <v>225000</v>
      </c>
      <c r="I44" s="33" t="n">
        <f aca="false">(I13+I14)*Rep_Transport</f>
        <v>225000</v>
      </c>
      <c r="J44" s="33" t="n">
        <f aca="false">(J13+J14)*Rep_Transport</f>
        <v>225000</v>
      </c>
      <c r="K44" s="33" t="n">
        <f aca="false">(K13+K14)*Rep_Transport</f>
        <v>225000</v>
      </c>
      <c r="L44" s="33" t="n">
        <f aca="false">(L13+L14)*Rep_Transport</f>
        <v>225000</v>
      </c>
      <c r="M44" s="33" t="n">
        <f aca="false">(M13+M14)*Rep_Transport</f>
        <v>225000</v>
      </c>
      <c r="N44" s="33" t="n">
        <f aca="false">(N13+N14)*Rep_Transport</f>
        <v>225000</v>
      </c>
      <c r="O44" s="33" t="n">
        <f aca="false">(O13+O14)*Rep_Transport</f>
        <v>225000</v>
      </c>
      <c r="P44" s="33" t="n">
        <f aca="false">(P13+P14)*Rep_Transport</f>
        <v>225000</v>
      </c>
      <c r="Q44" s="33" t="n">
        <f aca="false">(Q13+Q14)*Rep_Transport</f>
        <v>225000</v>
      </c>
      <c r="R44" s="33" t="n">
        <f aca="false">(R13+R14)*Rep_Transport</f>
        <v>225000</v>
      </c>
      <c r="S44" s="33" t="n">
        <f aca="false">(S13+S14)*Rep_Transport</f>
        <v>225000</v>
      </c>
      <c r="T44" s="33" t="n">
        <f aca="false">(T13+T14)*Rep_Transport</f>
        <v>225000</v>
      </c>
      <c r="U44" s="33" t="n">
        <f aca="false">(U13+U14)*Rep_Transport</f>
        <v>225000</v>
      </c>
      <c r="V44" s="33" t="n">
        <f aca="false">(V13+V14)*Rep_Transport</f>
        <v>375000</v>
      </c>
      <c r="W44" s="33" t="n">
        <f aca="false">(W13+W14)*Rep_Transport</f>
        <v>375000</v>
      </c>
      <c r="X44" s="33" t="n">
        <f aca="false">(X13+X14)*Rep_Transport</f>
        <v>450000</v>
      </c>
      <c r="Y44" s="33" t="n">
        <f aca="false">(Y13+Y14)*Rep_Transport</f>
        <v>450000</v>
      </c>
      <c r="Z44" s="33" t="n">
        <f aca="false">(Z13+Z14)*Rep_Transport</f>
        <v>450000</v>
      </c>
      <c r="AA44" s="33" t="n">
        <f aca="false">(AA13+AA14)*Rep_Transport</f>
        <v>450000</v>
      </c>
      <c r="AB44" s="33" t="n">
        <f aca="false">(AB13+AB14)*Rep_Transport</f>
        <v>450000</v>
      </c>
      <c r="AC44" s="33" t="n">
        <f aca="false">(AC13+AC14)*Rep_Transport</f>
        <v>450000</v>
      </c>
      <c r="AD44" s="33" t="n">
        <f aca="false">(AD13+AD14)*Rep_Transport</f>
        <v>525000</v>
      </c>
      <c r="AE44" s="33" t="n">
        <f aca="false">(AE13+AE14)*Rep_Transport</f>
        <v>525000</v>
      </c>
      <c r="AF44" s="33" t="n">
        <f aca="false">(AF13+AF14)*Rep_Transport</f>
        <v>525000</v>
      </c>
      <c r="AG44" s="33" t="n">
        <f aca="false">(AG13+AG14)*Rep_Transport</f>
        <v>525000</v>
      </c>
      <c r="AH44" s="33" t="n">
        <f aca="false">(AH13+AH14)*Rep_Transport</f>
        <v>600000</v>
      </c>
      <c r="AI44" s="33" t="n">
        <f aca="false">(AI13+AI14)*Rep_Transport</f>
        <v>600000</v>
      </c>
      <c r="AJ44" s="33" t="n">
        <f aca="false">(AJ13+AJ14)*Rep_Transport</f>
        <v>600000</v>
      </c>
      <c r="AK44" s="33" t="n">
        <f aca="false">(AK13+AK14)*Rep_Transport</f>
        <v>600000</v>
      </c>
      <c r="AL44" s="33" t="n">
        <f aca="false">(AL13+AL14)*Rep_Transport</f>
        <v>675000</v>
      </c>
      <c r="AM44" s="33" t="n">
        <f aca="false">(AM13+AM14)*Rep_Transport</f>
        <v>675000</v>
      </c>
      <c r="AN44" s="33" t="n">
        <f aca="false">(AN13+AN14)*Rep_Transport</f>
        <v>750000</v>
      </c>
      <c r="AO44" s="33" t="n">
        <f aca="false">(AO13+AO14)*Rep_Transport</f>
        <v>825000</v>
      </c>
      <c r="AP44" s="33" t="n">
        <f aca="false">(AP13+AP14)*Rep_Transport</f>
        <v>825000</v>
      </c>
      <c r="AQ44" s="33" t="n">
        <f aca="false">(AQ13+AQ14)*Rep_Transport</f>
        <v>825000</v>
      </c>
      <c r="AR44" s="33" t="n">
        <f aca="false">(AR13+AR14)*Rep_Transport</f>
        <v>900000</v>
      </c>
      <c r="AS44" s="33" t="n">
        <f aca="false">(AS13+AS14)*Rep_Transport</f>
        <v>900000</v>
      </c>
      <c r="AT44" s="33" t="n">
        <f aca="false">(AT13+AT14)*Rep_Transport</f>
        <v>900000</v>
      </c>
      <c r="AU44" s="33" t="n">
        <f aca="false">(AU13+AU14)*Rep_Transport</f>
        <v>1050000</v>
      </c>
      <c r="AV44" s="33" t="n">
        <f aca="false">(AV13+AV14)*Rep_Transport</f>
        <v>1050000</v>
      </c>
      <c r="AW44" s="33" t="n">
        <f aca="false">(AW13+AW14)*Rep_Transport</f>
        <v>1125000</v>
      </c>
      <c r="AX44" s="33" t="n">
        <f aca="false">(AX13+AX14)*Rep_Transport</f>
        <v>1125000</v>
      </c>
      <c r="AY44" s="33" t="n">
        <f aca="false">(AY13+AY14)*Rep_Transport</f>
        <v>1125000</v>
      </c>
      <c r="AZ44" s="33" t="n">
        <f aca="false">(AZ13+AZ14)*Rep_Transport</f>
        <v>1275000</v>
      </c>
      <c r="BA44" s="33" t="n">
        <f aca="false">(BA13+BA14)*Rep_Transport</f>
        <v>1275000</v>
      </c>
      <c r="BB44" s="33" t="n">
        <f aca="false">(BB13+BB14)*Rep_Transport</f>
        <v>1350000</v>
      </c>
      <c r="BC44" s="33" t="n">
        <f aca="false">(BC13+BC14)*Rep_Transport</f>
        <v>1350000</v>
      </c>
      <c r="BD44" s="33" t="n">
        <f aca="false">(BD13+BD14)*Rep_Transport</f>
        <v>1425000</v>
      </c>
      <c r="BE44" s="33" t="n">
        <f aca="false">(BE13+BE14)*Rep_Transport</f>
        <v>1500000</v>
      </c>
      <c r="BF44" s="33" t="n">
        <f aca="false">(BF13+BF14)*Rep_Transport</f>
        <v>1500000</v>
      </c>
      <c r="BG44" s="33" t="n">
        <f aca="false">(BG13+BG14)*Rep_Transport</f>
        <v>1575000</v>
      </c>
      <c r="BH44" s="33" t="n">
        <f aca="false">(BH13+BH14)*Rep_Transport</f>
        <v>1650000</v>
      </c>
      <c r="BI44" s="33" t="n">
        <f aca="false">(BI13+BI14)*Rep_Transport</f>
        <v>1725000</v>
      </c>
      <c r="BJ44" s="33" t="n">
        <f aca="false">(BJ13+BJ14)*Rep_Transport</f>
        <v>1725000</v>
      </c>
      <c r="BK44" s="33" t="n">
        <f aca="false">(BK13+BK14)*Rep_Transport</f>
        <v>1800000</v>
      </c>
      <c r="BL44" s="33" t="n">
        <f aca="false">(BL13+BL14)*Rep_Transport</f>
        <v>1875000</v>
      </c>
    </row>
    <row r="45" customFormat="false" ht="15" hidden="false" customHeight="true" outlineLevel="0" collapsed="false">
      <c r="A45" s="9" t="s">
        <v>1203</v>
      </c>
      <c r="B45" s="15" t="s">
        <v>77</v>
      </c>
      <c r="D45" s="56" t="n">
        <f aca="false">SUM(E45:BL45)</f>
        <v>645556687.966568</v>
      </c>
      <c r="E45" s="17" t="n">
        <f aca="false">SUM(E40:E44)</f>
        <v>2261666.66666667</v>
      </c>
      <c r="F45" s="17" t="n">
        <f aca="false">SUM(F40:F44)</f>
        <v>2261666.66666667</v>
      </c>
      <c r="G45" s="17" t="n">
        <f aca="false">SUM(G40:G44)</f>
        <v>2261666.66666667</v>
      </c>
      <c r="H45" s="17" t="n">
        <f aca="false">SUM(H40:H44)</f>
        <v>2411666.66666667</v>
      </c>
      <c r="I45" s="17" t="n">
        <f aca="false">SUM(I40:I44)</f>
        <v>3921666.66666667</v>
      </c>
      <c r="J45" s="17" t="n">
        <f aca="false">SUM(J40:J44)</f>
        <v>3933666.66666667</v>
      </c>
      <c r="K45" s="17" t="n">
        <f aca="false">SUM(K40:K44)</f>
        <v>3946386.66666667</v>
      </c>
      <c r="L45" s="17" t="n">
        <f aca="false">SUM(L40:L44)</f>
        <v>3959869.86666667</v>
      </c>
      <c r="M45" s="17" t="n">
        <f aca="false">SUM(M40:M44)</f>
        <v>3974162.05866667</v>
      </c>
      <c r="N45" s="17" t="n">
        <f aca="false">SUM(N40:N44)</f>
        <v>3989311.78218667</v>
      </c>
      <c r="O45" s="17" t="n">
        <f aca="false">SUM(O40:O44)</f>
        <v>4005370.48911787</v>
      </c>
      <c r="P45" s="17" t="n">
        <f aca="false">SUM(P40:P44)</f>
        <v>4022392.71846494</v>
      </c>
      <c r="Q45" s="17" t="n">
        <f aca="false">SUM(Q40:Q44)</f>
        <v>5242936.28157284</v>
      </c>
      <c r="R45" s="17" t="n">
        <f aca="false">SUM(R40:R44)</f>
        <v>5262062.45846721</v>
      </c>
      <c r="S45" s="17" t="n">
        <f aca="false">SUM(S40:S44)</f>
        <v>5282336.20597524</v>
      </c>
      <c r="T45" s="17" t="n">
        <f aca="false">SUM(T40:T44)</f>
        <v>5303826.37833375</v>
      </c>
      <c r="U45" s="17" t="n">
        <f aca="false">SUM(U40:U44)</f>
        <v>5326605.96103378</v>
      </c>
      <c r="V45" s="17" t="n">
        <f aca="false">SUM(V40:V44)</f>
        <v>5500752.3186958</v>
      </c>
      <c r="W45" s="17" t="n">
        <f aca="false">SUM(W40:W44)</f>
        <v>6986347.45781755</v>
      </c>
      <c r="X45" s="17" t="n">
        <f aca="false">SUM(X40:X44)</f>
        <v>7097478.30528661</v>
      </c>
      <c r="Y45" s="17" t="n">
        <f aca="false">SUM(Y40:Y44)</f>
        <v>7135777.0036038</v>
      </c>
      <c r="Z45" s="17" t="n">
        <f aca="false">SUM(Z40:Z44)</f>
        <v>7176373.62382003</v>
      </c>
      <c r="AA45" s="17" t="n">
        <f aca="false">SUM(AA40:AA44)</f>
        <v>7219406.04124923</v>
      </c>
      <c r="AB45" s="17" t="n">
        <f aca="false">SUM(AB40:AB44)</f>
        <v>7265020.40372419</v>
      </c>
      <c r="AC45" s="17" t="n">
        <f aca="false">SUM(AC40:AC44)</f>
        <v>10869204.961281</v>
      </c>
      <c r="AD45" s="17" t="n">
        <f aca="false">SUM(AD40:AD44)</f>
        <v>10995457.2589578</v>
      </c>
      <c r="AE45" s="17" t="n">
        <f aca="false">SUM(AE40:AE44)</f>
        <v>11049784.6944953</v>
      </c>
      <c r="AF45" s="17" t="n">
        <f aca="false">SUM(AF40:AF44)</f>
        <v>11107371.776165</v>
      </c>
      <c r="AG45" s="17" t="n">
        <f aca="false">SUM(AG40:AG44)</f>
        <v>11168414.0827349</v>
      </c>
      <c r="AH45" s="17" t="n">
        <f aca="false">SUM(AH40:AH44)</f>
        <v>11308118.927699</v>
      </c>
      <c r="AI45" s="17" t="n">
        <f aca="false">SUM(AI40:AI44)</f>
        <v>11376706.063361</v>
      </c>
      <c r="AJ45" s="17" t="n">
        <f aca="false">SUM(AJ40:AJ44)</f>
        <v>11449408.4271626</v>
      </c>
      <c r="AK45" s="17" t="n">
        <f aca="false">SUM(AK40:AK44)</f>
        <v>11526472.9327924</v>
      </c>
      <c r="AL45" s="17" t="n">
        <f aca="false">SUM(AL40:AL44)</f>
        <v>11683161.3087599</v>
      </c>
      <c r="AM45" s="17" t="n">
        <f aca="false">SUM(AM40:AM44)</f>
        <v>11769750.9872855</v>
      </c>
      <c r="AN45" s="17" t="n">
        <f aca="false">SUM(AN40:AN44)</f>
        <v>11936536.0465226</v>
      </c>
      <c r="AO45" s="17" t="n">
        <f aca="false">SUM(AO40:AO44)</f>
        <v>13968828.209314</v>
      </c>
      <c r="AP45" s="17" t="n">
        <f aca="false">SUM(AP40:AP44)</f>
        <v>14071957.9018728</v>
      </c>
      <c r="AQ45" s="17" t="n">
        <f aca="false">SUM(AQ40:AQ44)</f>
        <v>14181275.3759852</v>
      </c>
      <c r="AR45" s="17" t="n">
        <f aca="false">SUM(AR40:AR44)</f>
        <v>14372151.8985443</v>
      </c>
      <c r="AS45" s="17" t="n">
        <f aca="false">SUM(AS40:AS44)</f>
        <v>14494981.012457</v>
      </c>
      <c r="AT45" s="17" t="n">
        <f aca="false">SUM(AT40:AT44)</f>
        <v>14625179.8732044</v>
      </c>
      <c r="AU45" s="17" t="n">
        <f aca="false">SUM(AU40:AU44)</f>
        <v>14913190.6655967</v>
      </c>
      <c r="AV45" s="17" t="n">
        <f aca="false">SUM(AV40:AV44)</f>
        <v>15059482.1055325</v>
      </c>
      <c r="AW45" s="17" t="n">
        <f aca="false">SUM(AW40:AW44)</f>
        <v>15232407.4444392</v>
      </c>
      <c r="AX45" s="17" t="n">
        <f aca="false">SUM(AX40:AX44)</f>
        <v>15273351.8911056</v>
      </c>
      <c r="AY45" s="17" t="n">
        <f aca="false">SUM(AY40:AY44)</f>
        <v>15316753.0045719</v>
      </c>
      <c r="AZ45" s="17" t="n">
        <f aca="false">SUM(AZ40:AZ44)</f>
        <v>15512758.1848462</v>
      </c>
      <c r="BA45" s="17" t="n">
        <f aca="false">SUM(BA40:BA44)</f>
        <v>17423190.3426037</v>
      </c>
      <c r="BB45" s="17" t="n">
        <f aca="false">SUM(BB40:BB44)</f>
        <v>17549881.7631599</v>
      </c>
      <c r="BC45" s="17" t="n">
        <f aca="false">SUM(BC40:BC44)</f>
        <v>17604674.6689495</v>
      </c>
      <c r="BD45" s="17" t="n">
        <f aca="false">SUM(BD40:BD44)</f>
        <v>17737755.1490864</v>
      </c>
      <c r="BE45" s="17" t="n">
        <f aca="false">SUM(BE40:BE44)</f>
        <v>17874320.4580316</v>
      </c>
      <c r="BF45" s="17" t="n">
        <f aca="false">SUM(BF40:BF44)</f>
        <v>17939579.6855135</v>
      </c>
      <c r="BG45" s="17" t="n">
        <f aca="false">SUM(BG40:BG44)</f>
        <v>18083754.4666443</v>
      </c>
      <c r="BH45" s="17" t="n">
        <f aca="false">SUM(BH40:BH44)</f>
        <v>18232079.734643</v>
      </c>
      <c r="BI45" s="17" t="n">
        <f aca="false">SUM(BI40:BI44)</f>
        <v>18384804.5187216</v>
      </c>
      <c r="BJ45" s="17" t="n">
        <f aca="false">SUM(BJ40:BJ44)</f>
        <v>18467192.7898449</v>
      </c>
      <c r="BK45" s="17" t="n">
        <f aca="false">SUM(BK40:BK44)</f>
        <v>18586666.6666667</v>
      </c>
      <c r="BL45" s="17" t="n">
        <f aca="false">SUM(BL40:BL44)</f>
        <v>18661666.6666667</v>
      </c>
    </row>
    <row r="47" customFormat="false" ht="15" hidden="false" customHeight="true" outlineLevel="0" collapsed="false">
      <c r="A47" s="11" t="s">
        <v>1204</v>
      </c>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row>
    <row r="48" customFormat="false" ht="15" hidden="false" customHeight="true" outlineLevel="0" collapsed="false">
      <c r="A48" s="13" t="s">
        <v>1205</v>
      </c>
      <c r="B48" s="15" t="s">
        <v>77</v>
      </c>
      <c r="D48" s="56" t="n">
        <f aca="false">SUM(E48:BL48)</f>
        <v>540586344.59375</v>
      </c>
      <c r="E48" s="24" t="n">
        <f aca="false">Staff!E103+Staff!E104</f>
        <v>1560000</v>
      </c>
      <c r="F48" s="24" t="n">
        <f aca="false">Staff!F103+Staff!F104</f>
        <v>1560000</v>
      </c>
      <c r="G48" s="24" t="n">
        <f aca="false">Staff!G103+Staff!G104</f>
        <v>1560000</v>
      </c>
      <c r="H48" s="24" t="n">
        <f aca="false">Staff!H103+Staff!H104</f>
        <v>3770000</v>
      </c>
      <c r="I48" s="24" t="n">
        <f aca="false">Staff!I103+Staff!I104</f>
        <v>4290000</v>
      </c>
      <c r="J48" s="24" t="n">
        <f aca="false">Staff!J103+Staff!J104</f>
        <v>4290000</v>
      </c>
      <c r="K48" s="24" t="n">
        <f aca="false">Staff!K103+Staff!K104</f>
        <v>4290000</v>
      </c>
      <c r="L48" s="24" t="n">
        <f aca="false">Staff!L103+Staff!L104</f>
        <v>4290000</v>
      </c>
      <c r="M48" s="24" t="n">
        <f aca="false">Staff!M103+Staff!M104</f>
        <v>4290000</v>
      </c>
      <c r="N48" s="24" t="n">
        <f aca="false">Staff!N103+Staff!N104</f>
        <v>4290000</v>
      </c>
      <c r="O48" s="24" t="n">
        <f aca="false">Staff!O103+Staff!O104</f>
        <v>4290000</v>
      </c>
      <c r="P48" s="24" t="n">
        <f aca="false">Staff!P103+Staff!P104</f>
        <v>4290000</v>
      </c>
      <c r="Q48" s="24" t="n">
        <f aca="false">Staff!Q103+Staff!Q104</f>
        <v>4504500</v>
      </c>
      <c r="R48" s="24" t="n">
        <f aca="false">Staff!R103+Staff!R104</f>
        <v>4504500</v>
      </c>
      <c r="S48" s="24" t="n">
        <f aca="false">Staff!S103+Staff!S104</f>
        <v>4504500</v>
      </c>
      <c r="T48" s="24" t="n">
        <f aca="false">Staff!T103+Staff!T104</f>
        <v>4504500</v>
      </c>
      <c r="U48" s="24" t="n">
        <f aca="false">Staff!U103+Staff!U104</f>
        <v>4504500</v>
      </c>
      <c r="V48" s="24" t="n">
        <f aca="false">Staff!V103+Staff!V104</f>
        <v>5733000</v>
      </c>
      <c r="W48" s="24" t="n">
        <f aca="false">Staff!W103+Staff!W104</f>
        <v>5733000</v>
      </c>
      <c r="X48" s="24" t="n">
        <f aca="false">Staff!X103+Staff!X104</f>
        <v>6279000</v>
      </c>
      <c r="Y48" s="24" t="n">
        <f aca="false">Staff!Y103+Staff!Y104</f>
        <v>6279000</v>
      </c>
      <c r="Z48" s="24" t="n">
        <f aca="false">Staff!Z103+Staff!Z104</f>
        <v>6279000</v>
      </c>
      <c r="AA48" s="24" t="n">
        <f aca="false">Staff!AA103+Staff!AA104</f>
        <v>6279000</v>
      </c>
      <c r="AB48" s="24" t="n">
        <f aca="false">Staff!AB103+Staff!AB104</f>
        <v>6279000</v>
      </c>
      <c r="AC48" s="24" t="n">
        <f aca="false">Staff!AC103+Staff!AC104</f>
        <v>6592950</v>
      </c>
      <c r="AD48" s="24" t="n">
        <f aca="false">Staff!AD103+Staff!AD104</f>
        <v>7166250</v>
      </c>
      <c r="AE48" s="24" t="n">
        <f aca="false">Staff!AE103+Staff!AE104</f>
        <v>7166250</v>
      </c>
      <c r="AF48" s="24" t="n">
        <f aca="false">Staff!AF103+Staff!AF104</f>
        <v>7166250</v>
      </c>
      <c r="AG48" s="24" t="n">
        <f aca="false">Staff!AG103+Staff!AG104</f>
        <v>7166250</v>
      </c>
      <c r="AH48" s="24" t="n">
        <f aca="false">Staff!AH103+Staff!AH104</f>
        <v>7739550</v>
      </c>
      <c r="AI48" s="24" t="n">
        <f aca="false">Staff!AI103+Staff!AI104</f>
        <v>7739550</v>
      </c>
      <c r="AJ48" s="24" t="n">
        <f aca="false">Staff!AJ103+Staff!AJ104</f>
        <v>7739550</v>
      </c>
      <c r="AK48" s="24" t="n">
        <f aca="false">Staff!AK103+Staff!AK104</f>
        <v>7739550</v>
      </c>
      <c r="AL48" s="24" t="n">
        <f aca="false">Staff!AL103+Staff!AL104</f>
        <v>8312850</v>
      </c>
      <c r="AM48" s="24" t="n">
        <f aca="false">Staff!AM103+Staff!AM104</f>
        <v>8312850</v>
      </c>
      <c r="AN48" s="24" t="n">
        <f aca="false">Staff!AN103+Staff!AN104</f>
        <v>8957812.5</v>
      </c>
      <c r="AO48" s="24" t="n">
        <f aca="false">Staff!AO103+Staff!AO104</f>
        <v>10007668.125</v>
      </c>
      <c r="AP48" s="24" t="n">
        <f aca="false">Staff!AP103+Staff!AP104</f>
        <v>10007668.125</v>
      </c>
      <c r="AQ48" s="24" t="n">
        <f aca="false">Staff!AQ103+Staff!AQ104</f>
        <v>10007668.125</v>
      </c>
      <c r="AR48" s="24" t="n">
        <f aca="false">Staff!AR103+Staff!AR104</f>
        <v>10609633.125</v>
      </c>
      <c r="AS48" s="24" t="n">
        <f aca="false">Staff!AS103+Staff!AS104</f>
        <v>10609633.125</v>
      </c>
      <c r="AT48" s="24" t="n">
        <f aca="false">Staff!AT103+Staff!AT104</f>
        <v>10609633.125</v>
      </c>
      <c r="AU48" s="24" t="n">
        <f aca="false">Staff!AU103+Staff!AU104</f>
        <v>11888808.75</v>
      </c>
      <c r="AV48" s="24" t="n">
        <f aca="false">Staff!AV103+Staff!AV104</f>
        <v>11888808.75</v>
      </c>
      <c r="AW48" s="24" t="n">
        <f aca="false">Staff!AW103+Staff!AW104</f>
        <v>12490773.75</v>
      </c>
      <c r="AX48" s="24" t="n">
        <f aca="false">Staff!AX103+Staff!AX104</f>
        <v>12490773.75</v>
      </c>
      <c r="AY48" s="24" t="n">
        <f aca="false">Staff!AY103+Staff!AY104</f>
        <v>12490773.75</v>
      </c>
      <c r="AZ48" s="24" t="n">
        <f aca="false">Staff!AZ103+Staff!AZ104</f>
        <v>13769949.375</v>
      </c>
      <c r="BA48" s="24" t="n">
        <f aca="false">Staff!BA103+Staff!BA104</f>
        <v>14458446.84375</v>
      </c>
      <c r="BB48" s="24" t="n">
        <f aca="false">Staff!BB103+Staff!BB104</f>
        <v>15090510.09375</v>
      </c>
      <c r="BC48" s="24" t="n">
        <f aca="false">Staff!BC103+Staff!BC104</f>
        <v>15090510.09375</v>
      </c>
      <c r="BD48" s="24" t="n">
        <f aca="false">Staff!BD103+Staff!BD104</f>
        <v>15801581.25</v>
      </c>
      <c r="BE48" s="24" t="n">
        <f aca="false">Staff!BE103+Staff!BE104</f>
        <v>16433644.5</v>
      </c>
      <c r="BF48" s="24" t="n">
        <f aca="false">Staff!BF103+Staff!BF104</f>
        <v>16433644.5</v>
      </c>
      <c r="BG48" s="24" t="n">
        <f aca="false">Staff!BG103+Staff!BG104</f>
        <v>17065707.75</v>
      </c>
      <c r="BH48" s="24" t="n">
        <f aca="false">Staff!BH103+Staff!BH104</f>
        <v>17776778.90625</v>
      </c>
      <c r="BI48" s="24" t="n">
        <f aca="false">Staff!BI103+Staff!BI104</f>
        <v>18408842.15625</v>
      </c>
      <c r="BJ48" s="24" t="n">
        <f aca="false">Staff!BJ103+Staff!BJ104</f>
        <v>18408842.15625</v>
      </c>
      <c r="BK48" s="24" t="n">
        <f aca="false">Staff!BK103+Staff!BK104</f>
        <v>19040905.40625</v>
      </c>
      <c r="BL48" s="24" t="n">
        <f aca="false">Staff!BL103+Staff!BL104</f>
        <v>19751976.5625</v>
      </c>
    </row>
    <row r="49" customFormat="false" ht="15" hidden="false" customHeight="true" outlineLevel="0" collapsed="false">
      <c r="A49" s="13" t="s">
        <v>1206</v>
      </c>
      <c r="B49" s="15" t="s">
        <v>77</v>
      </c>
      <c r="E49" s="33" t="n">
        <f aca="false">IFERROR((E45+E48)/E33,0)</f>
        <v>0</v>
      </c>
      <c r="F49" s="33" t="n">
        <f aca="false">IFERROR((F45+F48)/F33,0)</f>
        <v>0</v>
      </c>
      <c r="G49" s="33" t="n">
        <f aca="false">IFERROR((G45+G48)/G33,0)</f>
        <v>0</v>
      </c>
      <c r="H49" s="33" t="n">
        <f aca="false">IFERROR((H45+H48)/H33,0)</f>
        <v>0</v>
      </c>
      <c r="I49" s="33" t="n">
        <f aca="false">IFERROR((I45+I48)/I33,0)</f>
        <v>166004.043126685</v>
      </c>
      <c r="J49" s="33" t="n">
        <f aca="false">IFERROR((J45+J48)/J33,0)</f>
        <v>164648.958889482</v>
      </c>
      <c r="K49" s="33" t="n">
        <f aca="false">IFERROR((K45+K48)/K33,0)</f>
        <v>163240.71920849</v>
      </c>
      <c r="L49" s="33" t="n">
        <f aca="false">IFERROR((L45+L48)/L33,0)</f>
        <v>161778.666246092</v>
      </c>
      <c r="M49" s="33" t="n">
        <f aca="false">IFERROR((M45+M48)/M33,0)</f>
        <v>160262.280508278</v>
      </c>
      <c r="N49" s="33" t="n">
        <f aca="false">IFERROR((N45+N48)/N33,0)</f>
        <v>158691.194376594</v>
      </c>
      <c r="O49" s="33" t="n">
        <f aca="false">IFERROR((O45+O48)/O33,0)</f>
        <v>157065.205514021</v>
      </c>
      <c r="P49" s="33" t="n">
        <f aca="false">IFERROR((P45+P48)/P33,0)</f>
        <v>155384.289963944</v>
      </c>
      <c r="Q49" s="33" t="n">
        <f aca="false">IFERROR((Q45+Q48)/Q33,0)</f>
        <v>135977.627445292</v>
      </c>
      <c r="R49" s="33" t="n">
        <f aca="false">IFERROR((R45+R48)/R33,0)</f>
        <v>134805.728371684</v>
      </c>
      <c r="S49" s="33" t="n">
        <f aca="false">IFERROR((S45+S48)/S33,0)</f>
        <v>133590.238270524</v>
      </c>
      <c r="T49" s="33" t="n">
        <f aca="false">IFERROR((T45+T48)/T33,0)</f>
        <v>132330.857970537</v>
      </c>
      <c r="U49" s="33" t="n">
        <f aca="false">IFERROR((U45+U48)/U33,0)</f>
        <v>131027.420592628</v>
      </c>
      <c r="V49" s="33" t="n">
        <f aca="false">IFERROR((V45+V48)/V33,0)</f>
        <v>147818.833398212</v>
      </c>
      <c r="W49" s="33" t="n">
        <f aca="false">IFERROR((W45+W48)/W33,0)</f>
        <v>110711.584530172</v>
      </c>
      <c r="X49" s="33" t="n">
        <f aca="false">IFERROR((X45+X48)/X33,0)</f>
        <v>114984.911930157</v>
      </c>
      <c r="Y49" s="33" t="n">
        <f aca="false">IFERROR((Y45+Y48)/Y33,0)</f>
        <v>106581.174400049</v>
      </c>
      <c r="Z49" s="33" t="n">
        <f aca="false">IFERROR((Z45+Z48)/Z33,0)</f>
        <v>105542.04515666</v>
      </c>
      <c r="AA49" s="33" t="n">
        <f aca="false">IFERROR((AA45+AA48)/AA33,0)</f>
        <v>104469.084763986</v>
      </c>
      <c r="AB49" s="33" t="n">
        <f aca="false">IFERROR((AB45+AB48)/AB33,0)</f>
        <v>103362.52387057</v>
      </c>
      <c r="AC49" s="33" t="n">
        <f aca="false">IFERROR((AC45+AC48)/AC33,0)</f>
        <v>103919.832048118</v>
      </c>
      <c r="AD49" s="33" t="n">
        <f aca="false">IFERROR((AD45+AD48)/AD33,0)</f>
        <v>106780.209000438</v>
      </c>
      <c r="AE49" s="33" t="n">
        <f aca="false">IFERROR((AE45+AE48)/AE33,0)</f>
        <v>101055.316226682</v>
      </c>
      <c r="AF49" s="33" t="n">
        <f aca="false">IFERROR((AF45+AF48)/AF33,0)</f>
        <v>100095.682831428</v>
      </c>
      <c r="AG49" s="33" t="n">
        <f aca="false">IFERROR((AG45+AG48)/AG33,0)</f>
        <v>99104.5620398474</v>
      </c>
      <c r="AH49" s="33" t="n">
        <f aca="false">IFERROR((AH45+AH48)/AH33,0)</f>
        <v>101538.058320741</v>
      </c>
      <c r="AI49" s="33" t="n">
        <f aca="false">IFERROR((AI45+AI48)/AI33,0)</f>
        <v>96383.7185312533</v>
      </c>
      <c r="AJ49" s="33" t="n">
        <f aca="false">IFERROR((AJ45+AJ48)/AJ33,0)</f>
        <v>95352.1765690712</v>
      </c>
      <c r="AK49" s="33" t="n">
        <f aca="false">IFERROR((AK45+AK48)/AK33,0)</f>
        <v>94290.8007781967</v>
      </c>
      <c r="AL49" s="33" t="n">
        <f aca="false">IFERROR((AL45+AL48)/AL33,0)</f>
        <v>96323.0929976843</v>
      </c>
      <c r="AM49" s="33" t="n">
        <f aca="false">IFERROR((AM45+AM48)/AM33,0)</f>
        <v>91677.6360765348</v>
      </c>
      <c r="AN49" s="33" t="n">
        <f aca="false">IFERROR((AN45+AN48)/AN33,0)</f>
        <v>93811.0087884847</v>
      </c>
      <c r="AO49" s="33" t="n">
        <f aca="false">IFERROR((AO45+AO48)/AO33,0)</f>
        <v>95414.9943914456</v>
      </c>
      <c r="AP49" s="33" t="n">
        <f aca="false">IFERROR((AP45+AP48)/AP33,0)</f>
        <v>91414.4309143792</v>
      </c>
      <c r="AQ49" s="33" t="n">
        <f aca="false">IFERROR((AQ45+AQ48)/AQ33,0)</f>
        <v>90329.9376829728</v>
      </c>
      <c r="AR49" s="33" t="n">
        <f aca="false">IFERROR((AR45+AR48)/AR33,0)</f>
        <v>91703.3962081467</v>
      </c>
      <c r="AS49" s="33" t="n">
        <f aca="false">IFERROR((AS45+AS48)/AS33,0)</f>
        <v>87983.6949575633</v>
      </c>
      <c r="AT49" s="33" t="n">
        <f aca="false">IFERROR((AT45+AT48)/AT33,0)</f>
        <v>86854.7088738378</v>
      </c>
      <c r="AU49" s="33" t="n">
        <f aca="false">IFERROR((AU45+AU48)/AU33,0)</f>
        <v>90528.651327319</v>
      </c>
      <c r="AV49" s="33" t="n">
        <f aca="false">IFERROR((AV45+AV48)/AV33,0)</f>
        <v>84980.1911489374</v>
      </c>
      <c r="AW49" s="33" t="n">
        <f aca="false">IFERROR((AW45+AW48)/AW33,0)</f>
        <v>86357.0789353773</v>
      </c>
      <c r="AX49" s="33" t="n">
        <f aca="false">IFERROR((AX45+AX48)/AX33,0)</f>
        <v>83963.9011505668</v>
      </c>
      <c r="AY49" s="33" t="n">
        <f aca="false">IFERROR((AY45+AY48)/AY33,0)</f>
        <v>83655.9502027433</v>
      </c>
      <c r="AZ49" s="33" t="n">
        <f aca="false">IFERROR((AZ45+AZ48)/AZ33,0)</f>
        <v>87608.8644318299</v>
      </c>
      <c r="BA49" s="33" t="n">
        <f aca="false">IFERROR((BA45+BA48)/BA33,0)</f>
        <v>86401.4400285958</v>
      </c>
      <c r="BB49" s="33" t="n">
        <f aca="false">IFERROR((BB45+BB48)/BB33,0)</f>
        <v>87964.8074491867</v>
      </c>
      <c r="BC49" s="33" t="n">
        <f aca="false">IFERROR((BC45+BC48)/BC33,0)</f>
        <v>85757.0398841087</v>
      </c>
      <c r="BD49" s="33" t="n">
        <f aca="false">IFERROR((BD45+BD48)/BD33,0)</f>
        <v>87438.3697043898</v>
      </c>
      <c r="BE49" s="33" t="n">
        <f aca="false">IFERROR((BE45+BE48)/BE33,0)</f>
        <v>87244.4560318874</v>
      </c>
      <c r="BF49" s="33" t="n">
        <f aca="false">IFERROR((BF45+BF48)/BF33,0)</f>
        <v>85113.8705081492</v>
      </c>
      <c r="BG49" s="33" t="n">
        <f aca="false">IFERROR((BG45+BG48)/BG33,0)</f>
        <v>86443.6941561214</v>
      </c>
      <c r="BH49" s="33" t="n">
        <f aca="false">IFERROR((BH45+BH48)/BH33,0)</f>
        <v>86238.4649855448</v>
      </c>
      <c r="BI49" s="33" t="n">
        <f aca="false">IFERROR((BI45+BI48)/BI33,0)</f>
        <v>85994.8249223375</v>
      </c>
      <c r="BJ49" s="33" t="n">
        <f aca="false">IFERROR((BJ45+BJ48)/BJ33,0)</f>
        <v>83970.5506117573</v>
      </c>
      <c r="BK49" s="33" t="n">
        <f aca="false">IFERROR((BK45+BK48)/BK33,0)</f>
        <v>85336.1930894693</v>
      </c>
      <c r="BL49" s="33" t="n">
        <f aca="false">IFERROR((BL45+BL48)/BL33,0)</f>
        <v>85566.4758594446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1207</v>
      </c>
    </row>
    <row r="2" customFormat="false" ht="15" hidden="false" customHeight="true" outlineLevel="0" collapsed="false">
      <c r="A2" s="3" t="s">
        <v>1208</v>
      </c>
    </row>
    <row r="3" customFormat="false" ht="15" hidden="false" customHeight="true" outlineLevel="0" collapsed="false">
      <c r="A3" s="9" t="s">
        <v>1131</v>
      </c>
      <c r="D3" s="9" t="s">
        <v>1132</v>
      </c>
      <c r="E3" s="21" t="n">
        <f aca="false">'Sales &amp; marketing'!E3</f>
        <v>1</v>
      </c>
      <c r="F3" s="21" t="n">
        <f aca="false">'Sales &amp; marketing'!F3</f>
        <v>2</v>
      </c>
      <c r="G3" s="21" t="n">
        <f aca="false">'Sales &amp; marketing'!G3</f>
        <v>3</v>
      </c>
      <c r="H3" s="21" t="n">
        <f aca="false">'Sales &amp; marketing'!H3</f>
        <v>4</v>
      </c>
      <c r="I3" s="21" t="n">
        <f aca="false">'Sales &amp; marketing'!I3</f>
        <v>5</v>
      </c>
      <c r="J3" s="21" t="n">
        <f aca="false">'Sales &amp; marketing'!J3</f>
        <v>6</v>
      </c>
      <c r="K3" s="21" t="n">
        <f aca="false">'Sales &amp; marketing'!K3</f>
        <v>7</v>
      </c>
      <c r="L3" s="21" t="n">
        <f aca="false">'Sales &amp; marketing'!L3</f>
        <v>8</v>
      </c>
      <c r="M3" s="21" t="n">
        <f aca="false">'Sales &amp; marketing'!M3</f>
        <v>9</v>
      </c>
      <c r="N3" s="21" t="n">
        <f aca="false">'Sales &amp; marketing'!N3</f>
        <v>10</v>
      </c>
      <c r="O3" s="21" t="n">
        <f aca="false">'Sales &amp; marketing'!O3</f>
        <v>11</v>
      </c>
      <c r="P3" s="21" t="n">
        <f aca="false">'Sales &amp; marketing'!P3</f>
        <v>12</v>
      </c>
      <c r="Q3" s="21" t="n">
        <f aca="false">'Sales &amp; marketing'!Q3</f>
        <v>13</v>
      </c>
      <c r="R3" s="21" t="n">
        <f aca="false">'Sales &amp; marketing'!R3</f>
        <v>14</v>
      </c>
      <c r="S3" s="21" t="n">
        <f aca="false">'Sales &amp; marketing'!S3</f>
        <v>15</v>
      </c>
      <c r="T3" s="21" t="n">
        <f aca="false">'Sales &amp; marketing'!T3</f>
        <v>16</v>
      </c>
      <c r="U3" s="21" t="n">
        <f aca="false">'Sales &amp; marketing'!U3</f>
        <v>17</v>
      </c>
      <c r="V3" s="21" t="n">
        <f aca="false">'Sales &amp; marketing'!V3</f>
        <v>18</v>
      </c>
      <c r="W3" s="21" t="n">
        <f aca="false">'Sales &amp; marketing'!W3</f>
        <v>19</v>
      </c>
      <c r="X3" s="21" t="n">
        <f aca="false">'Sales &amp; marketing'!X3</f>
        <v>20</v>
      </c>
      <c r="Y3" s="21" t="n">
        <f aca="false">'Sales &amp; marketing'!Y3</f>
        <v>21</v>
      </c>
      <c r="Z3" s="21" t="n">
        <f aca="false">'Sales &amp; marketing'!Z3</f>
        <v>22</v>
      </c>
      <c r="AA3" s="21" t="n">
        <f aca="false">'Sales &amp; marketing'!AA3</f>
        <v>23</v>
      </c>
      <c r="AB3" s="21" t="n">
        <f aca="false">'Sales &amp; marketing'!AB3</f>
        <v>24</v>
      </c>
      <c r="AC3" s="21" t="n">
        <f aca="false">'Sales &amp; marketing'!AC3</f>
        <v>25</v>
      </c>
      <c r="AD3" s="21" t="n">
        <f aca="false">'Sales &amp; marketing'!AD3</f>
        <v>26</v>
      </c>
      <c r="AE3" s="21" t="n">
        <f aca="false">'Sales &amp; marketing'!AE3</f>
        <v>27</v>
      </c>
      <c r="AF3" s="21" t="n">
        <f aca="false">'Sales &amp; marketing'!AF3</f>
        <v>28</v>
      </c>
      <c r="AG3" s="21" t="n">
        <f aca="false">'Sales &amp; marketing'!AG3</f>
        <v>29</v>
      </c>
      <c r="AH3" s="21" t="n">
        <f aca="false">'Sales &amp; marketing'!AH3</f>
        <v>30</v>
      </c>
      <c r="AI3" s="21" t="n">
        <f aca="false">'Sales &amp; marketing'!AI3</f>
        <v>31</v>
      </c>
      <c r="AJ3" s="21" t="n">
        <f aca="false">'Sales &amp; marketing'!AJ3</f>
        <v>32</v>
      </c>
      <c r="AK3" s="21" t="n">
        <f aca="false">'Sales &amp; marketing'!AK3</f>
        <v>33</v>
      </c>
      <c r="AL3" s="21" t="n">
        <f aca="false">'Sales &amp; marketing'!AL3</f>
        <v>34</v>
      </c>
      <c r="AM3" s="21" t="n">
        <f aca="false">'Sales &amp; marketing'!AM3</f>
        <v>35</v>
      </c>
      <c r="AN3" s="21" t="n">
        <f aca="false">'Sales &amp; marketing'!AN3</f>
        <v>36</v>
      </c>
      <c r="AO3" s="21" t="n">
        <f aca="false">'Sales &amp; marketing'!AO3</f>
        <v>37</v>
      </c>
      <c r="AP3" s="21" t="n">
        <f aca="false">'Sales &amp; marketing'!AP3</f>
        <v>38</v>
      </c>
      <c r="AQ3" s="21" t="n">
        <f aca="false">'Sales &amp; marketing'!AQ3</f>
        <v>39</v>
      </c>
      <c r="AR3" s="21" t="n">
        <f aca="false">'Sales &amp; marketing'!AR3</f>
        <v>40</v>
      </c>
      <c r="AS3" s="21" t="n">
        <f aca="false">'Sales &amp; marketing'!AS3</f>
        <v>41</v>
      </c>
      <c r="AT3" s="21" t="n">
        <f aca="false">'Sales &amp; marketing'!AT3</f>
        <v>42</v>
      </c>
      <c r="AU3" s="21" t="n">
        <f aca="false">'Sales &amp; marketing'!AU3</f>
        <v>43</v>
      </c>
      <c r="AV3" s="21" t="n">
        <f aca="false">'Sales &amp; marketing'!AV3</f>
        <v>44</v>
      </c>
      <c r="AW3" s="21" t="n">
        <f aca="false">'Sales &amp; marketing'!AW3</f>
        <v>45</v>
      </c>
      <c r="AX3" s="21" t="n">
        <f aca="false">'Sales &amp; marketing'!AX3</f>
        <v>46</v>
      </c>
      <c r="AY3" s="21" t="n">
        <f aca="false">'Sales &amp; marketing'!AY3</f>
        <v>47</v>
      </c>
      <c r="AZ3" s="21" t="n">
        <f aca="false">'Sales &amp; marketing'!AZ3</f>
        <v>48</v>
      </c>
      <c r="BA3" s="21" t="n">
        <f aca="false">'Sales &amp; marketing'!BA3</f>
        <v>49</v>
      </c>
      <c r="BB3" s="21" t="n">
        <f aca="false">'Sales &amp; marketing'!BB3</f>
        <v>50</v>
      </c>
      <c r="BC3" s="21" t="n">
        <f aca="false">'Sales &amp; marketing'!BC3</f>
        <v>51</v>
      </c>
      <c r="BD3" s="21" t="n">
        <f aca="false">'Sales &amp; marketing'!BD3</f>
        <v>52</v>
      </c>
      <c r="BE3" s="21" t="n">
        <f aca="false">'Sales &amp; marketing'!BE3</f>
        <v>53</v>
      </c>
      <c r="BF3" s="21" t="n">
        <f aca="false">'Sales &amp; marketing'!BF3</f>
        <v>54</v>
      </c>
      <c r="BG3" s="21" t="n">
        <f aca="false">'Sales &amp; marketing'!BG3</f>
        <v>55</v>
      </c>
      <c r="BH3" s="21" t="n">
        <f aca="false">'Sales &amp; marketing'!BH3</f>
        <v>56</v>
      </c>
      <c r="BI3" s="21" t="n">
        <f aca="false">'Sales &amp; marketing'!BI3</f>
        <v>57</v>
      </c>
      <c r="BJ3" s="21" t="n">
        <f aca="false">'Sales &amp; marketing'!BJ3</f>
        <v>58</v>
      </c>
      <c r="BK3" s="21" t="n">
        <f aca="false">'Sales &amp; marketing'!BK3</f>
        <v>59</v>
      </c>
      <c r="BL3" s="21" t="n">
        <f aca="false">'Sales &amp; marketing'!BL3</f>
        <v>60</v>
      </c>
    </row>
    <row r="4" customFormat="false" ht="15" hidden="false" customHeight="true" outlineLevel="0" collapsed="false">
      <c r="A4" s="9" t="s">
        <v>1133</v>
      </c>
      <c r="E4" s="54" t="n">
        <f aca="false">'Sales &amp; marketing'!E4</f>
        <v>46388</v>
      </c>
      <c r="F4" s="54" t="n">
        <f aca="false">'Sales &amp; marketing'!F4</f>
        <v>46419</v>
      </c>
      <c r="G4" s="54" t="n">
        <f aca="false">'Sales &amp; marketing'!G4</f>
        <v>46447</v>
      </c>
      <c r="H4" s="54" t="n">
        <f aca="false">'Sales &amp; marketing'!H4</f>
        <v>46478</v>
      </c>
      <c r="I4" s="54" t="n">
        <f aca="false">'Sales &amp; marketing'!I4</f>
        <v>46508</v>
      </c>
      <c r="J4" s="54" t="n">
        <f aca="false">'Sales &amp; marketing'!J4</f>
        <v>46539</v>
      </c>
      <c r="K4" s="54" t="n">
        <f aca="false">'Sales &amp; marketing'!K4</f>
        <v>46569</v>
      </c>
      <c r="L4" s="54" t="n">
        <f aca="false">'Sales &amp; marketing'!L4</f>
        <v>46600</v>
      </c>
      <c r="M4" s="54" t="n">
        <f aca="false">'Sales &amp; marketing'!M4</f>
        <v>46631</v>
      </c>
      <c r="N4" s="54" t="n">
        <f aca="false">'Sales &amp; marketing'!N4</f>
        <v>46661</v>
      </c>
      <c r="O4" s="54" t="n">
        <f aca="false">'Sales &amp; marketing'!O4</f>
        <v>46692</v>
      </c>
      <c r="P4" s="54" t="n">
        <f aca="false">'Sales &amp; marketing'!P4</f>
        <v>46722</v>
      </c>
      <c r="Q4" s="54" t="n">
        <f aca="false">'Sales &amp; marketing'!Q4</f>
        <v>46753</v>
      </c>
      <c r="R4" s="54" t="n">
        <f aca="false">'Sales &amp; marketing'!R4</f>
        <v>46784</v>
      </c>
      <c r="S4" s="54" t="n">
        <f aca="false">'Sales &amp; marketing'!S4</f>
        <v>46813</v>
      </c>
      <c r="T4" s="54" t="n">
        <f aca="false">'Sales &amp; marketing'!T4</f>
        <v>46844</v>
      </c>
      <c r="U4" s="54" t="n">
        <f aca="false">'Sales &amp; marketing'!U4</f>
        <v>46874</v>
      </c>
      <c r="V4" s="54" t="n">
        <f aca="false">'Sales &amp; marketing'!V4</f>
        <v>46905</v>
      </c>
      <c r="W4" s="54" t="n">
        <f aca="false">'Sales &amp; marketing'!W4</f>
        <v>46935</v>
      </c>
      <c r="X4" s="54" t="n">
        <f aca="false">'Sales &amp; marketing'!X4</f>
        <v>46966</v>
      </c>
      <c r="Y4" s="54" t="n">
        <f aca="false">'Sales &amp; marketing'!Y4</f>
        <v>46997</v>
      </c>
      <c r="Z4" s="54" t="n">
        <f aca="false">'Sales &amp; marketing'!Z4</f>
        <v>47027</v>
      </c>
      <c r="AA4" s="54" t="n">
        <f aca="false">'Sales &amp; marketing'!AA4</f>
        <v>47058</v>
      </c>
      <c r="AB4" s="54" t="n">
        <f aca="false">'Sales &amp; marketing'!AB4</f>
        <v>47088</v>
      </c>
      <c r="AC4" s="54" t="n">
        <f aca="false">'Sales &amp; marketing'!AC4</f>
        <v>47119</v>
      </c>
      <c r="AD4" s="54" t="n">
        <f aca="false">'Sales &amp; marketing'!AD4</f>
        <v>47150</v>
      </c>
      <c r="AE4" s="54" t="n">
        <f aca="false">'Sales &amp; marketing'!AE4</f>
        <v>47178</v>
      </c>
      <c r="AF4" s="54" t="n">
        <f aca="false">'Sales &amp; marketing'!AF4</f>
        <v>47209</v>
      </c>
      <c r="AG4" s="54" t="n">
        <f aca="false">'Sales &amp; marketing'!AG4</f>
        <v>47239</v>
      </c>
      <c r="AH4" s="54" t="n">
        <f aca="false">'Sales &amp; marketing'!AH4</f>
        <v>47270</v>
      </c>
      <c r="AI4" s="54" t="n">
        <f aca="false">'Sales &amp; marketing'!AI4</f>
        <v>47300</v>
      </c>
      <c r="AJ4" s="54" t="n">
        <f aca="false">'Sales &amp; marketing'!AJ4</f>
        <v>47331</v>
      </c>
      <c r="AK4" s="54" t="n">
        <f aca="false">'Sales &amp; marketing'!AK4</f>
        <v>47362</v>
      </c>
      <c r="AL4" s="54" t="n">
        <f aca="false">'Sales &amp; marketing'!AL4</f>
        <v>47392</v>
      </c>
      <c r="AM4" s="54" t="n">
        <f aca="false">'Sales &amp; marketing'!AM4</f>
        <v>47423</v>
      </c>
      <c r="AN4" s="54" t="n">
        <f aca="false">'Sales &amp; marketing'!AN4</f>
        <v>47453</v>
      </c>
      <c r="AO4" s="54" t="n">
        <f aca="false">'Sales &amp; marketing'!AO4</f>
        <v>47484</v>
      </c>
      <c r="AP4" s="54" t="n">
        <f aca="false">'Sales &amp; marketing'!AP4</f>
        <v>47515</v>
      </c>
      <c r="AQ4" s="54" t="n">
        <f aca="false">'Sales &amp; marketing'!AQ4</f>
        <v>47543</v>
      </c>
      <c r="AR4" s="54" t="n">
        <f aca="false">'Sales &amp; marketing'!AR4</f>
        <v>47574</v>
      </c>
      <c r="AS4" s="54" t="n">
        <f aca="false">'Sales &amp; marketing'!AS4</f>
        <v>47604</v>
      </c>
      <c r="AT4" s="54" t="n">
        <f aca="false">'Sales &amp; marketing'!AT4</f>
        <v>47635</v>
      </c>
      <c r="AU4" s="54" t="n">
        <f aca="false">'Sales &amp; marketing'!AU4</f>
        <v>47665</v>
      </c>
      <c r="AV4" s="54" t="n">
        <f aca="false">'Sales &amp; marketing'!AV4</f>
        <v>47696</v>
      </c>
      <c r="AW4" s="54" t="n">
        <f aca="false">'Sales &amp; marketing'!AW4</f>
        <v>47727</v>
      </c>
      <c r="AX4" s="54" t="n">
        <f aca="false">'Sales &amp; marketing'!AX4</f>
        <v>47757</v>
      </c>
      <c r="AY4" s="54" t="n">
        <f aca="false">'Sales &amp; marketing'!AY4</f>
        <v>47788</v>
      </c>
      <c r="AZ4" s="54" t="n">
        <f aca="false">'Sales &amp; marketing'!AZ4</f>
        <v>47818</v>
      </c>
      <c r="BA4" s="54" t="n">
        <f aca="false">'Sales &amp; marketing'!BA4</f>
        <v>47849</v>
      </c>
      <c r="BB4" s="54" t="n">
        <f aca="false">'Sales &amp; marketing'!BB4</f>
        <v>47880</v>
      </c>
      <c r="BC4" s="54" t="n">
        <f aca="false">'Sales &amp; marketing'!BC4</f>
        <v>47908</v>
      </c>
      <c r="BD4" s="54" t="n">
        <f aca="false">'Sales &amp; marketing'!BD4</f>
        <v>47939</v>
      </c>
      <c r="BE4" s="54" t="n">
        <f aca="false">'Sales &amp; marketing'!BE4</f>
        <v>47969</v>
      </c>
      <c r="BF4" s="54" t="n">
        <f aca="false">'Sales &amp; marketing'!BF4</f>
        <v>48000</v>
      </c>
      <c r="BG4" s="54" t="n">
        <f aca="false">'Sales &amp; marketing'!BG4</f>
        <v>48030</v>
      </c>
      <c r="BH4" s="54" t="n">
        <f aca="false">'Sales &amp; marketing'!BH4</f>
        <v>48061</v>
      </c>
      <c r="BI4" s="54" t="n">
        <f aca="false">'Sales &amp; marketing'!BI4</f>
        <v>48092</v>
      </c>
      <c r="BJ4" s="54" t="n">
        <f aca="false">'Sales &amp; marketing'!BJ4</f>
        <v>48122</v>
      </c>
      <c r="BK4" s="54" t="n">
        <f aca="false">'Sales &amp; marketing'!BK4</f>
        <v>48153</v>
      </c>
      <c r="BL4" s="54" t="n">
        <f aca="false">'Sales &amp; marketing'!BL4</f>
        <v>48183</v>
      </c>
    </row>
    <row r="5" customFormat="false" ht="15" hidden="false" customHeight="true" outlineLevel="0" collapsed="false">
      <c r="A5" s="9" t="s">
        <v>87</v>
      </c>
      <c r="E5" s="55" t="n">
        <f aca="false">'Sales &amp; marketing'!E5</f>
        <v>1</v>
      </c>
      <c r="F5" s="55" t="n">
        <f aca="false">'Sales &amp; marketing'!F5</f>
        <v>1</v>
      </c>
      <c r="G5" s="55" t="n">
        <f aca="false">'Sales &amp; marketing'!G5</f>
        <v>1</v>
      </c>
      <c r="H5" s="55" t="n">
        <f aca="false">'Sales &amp; marketing'!H5</f>
        <v>1</v>
      </c>
      <c r="I5" s="55" t="n">
        <f aca="false">'Sales &amp; marketing'!I5</f>
        <v>1</v>
      </c>
      <c r="J5" s="55" t="n">
        <f aca="false">'Sales &amp; marketing'!J5</f>
        <v>1</v>
      </c>
      <c r="K5" s="55" t="n">
        <f aca="false">'Sales &amp; marketing'!K5</f>
        <v>1</v>
      </c>
      <c r="L5" s="55" t="n">
        <f aca="false">'Sales &amp; marketing'!L5</f>
        <v>1</v>
      </c>
      <c r="M5" s="55" t="n">
        <f aca="false">'Sales &amp; marketing'!M5</f>
        <v>1</v>
      </c>
      <c r="N5" s="55" t="n">
        <f aca="false">'Sales &amp; marketing'!N5</f>
        <v>1</v>
      </c>
      <c r="O5" s="55" t="n">
        <f aca="false">'Sales &amp; marketing'!O5</f>
        <v>1</v>
      </c>
      <c r="P5" s="55" t="n">
        <f aca="false">'Sales &amp; marketing'!P5</f>
        <v>1</v>
      </c>
      <c r="Q5" s="55" t="n">
        <f aca="false">'Sales &amp; marketing'!Q5</f>
        <v>2</v>
      </c>
      <c r="R5" s="55" t="n">
        <f aca="false">'Sales &amp; marketing'!R5</f>
        <v>2</v>
      </c>
      <c r="S5" s="55" t="n">
        <f aca="false">'Sales &amp; marketing'!S5</f>
        <v>2</v>
      </c>
      <c r="T5" s="55" t="n">
        <f aca="false">'Sales &amp; marketing'!T5</f>
        <v>2</v>
      </c>
      <c r="U5" s="55" t="n">
        <f aca="false">'Sales &amp; marketing'!U5</f>
        <v>2</v>
      </c>
      <c r="V5" s="55" t="n">
        <f aca="false">'Sales &amp; marketing'!V5</f>
        <v>2</v>
      </c>
      <c r="W5" s="55" t="n">
        <f aca="false">'Sales &amp; marketing'!W5</f>
        <v>2</v>
      </c>
      <c r="X5" s="55" t="n">
        <f aca="false">'Sales &amp; marketing'!X5</f>
        <v>2</v>
      </c>
      <c r="Y5" s="55" t="n">
        <f aca="false">'Sales &amp; marketing'!Y5</f>
        <v>2</v>
      </c>
      <c r="Z5" s="55" t="n">
        <f aca="false">'Sales &amp; marketing'!Z5</f>
        <v>2</v>
      </c>
      <c r="AA5" s="55" t="n">
        <f aca="false">'Sales &amp; marketing'!AA5</f>
        <v>2</v>
      </c>
      <c r="AB5" s="55" t="n">
        <f aca="false">'Sales &amp; marketing'!AB5</f>
        <v>2</v>
      </c>
      <c r="AC5" s="55" t="n">
        <f aca="false">'Sales &amp; marketing'!AC5</f>
        <v>3</v>
      </c>
      <c r="AD5" s="55" t="n">
        <f aca="false">'Sales &amp; marketing'!AD5</f>
        <v>3</v>
      </c>
      <c r="AE5" s="55" t="n">
        <f aca="false">'Sales &amp; marketing'!AE5</f>
        <v>3</v>
      </c>
      <c r="AF5" s="55" t="n">
        <f aca="false">'Sales &amp; marketing'!AF5</f>
        <v>3</v>
      </c>
      <c r="AG5" s="55" t="n">
        <f aca="false">'Sales &amp; marketing'!AG5</f>
        <v>3</v>
      </c>
      <c r="AH5" s="55" t="n">
        <f aca="false">'Sales &amp; marketing'!AH5</f>
        <v>3</v>
      </c>
      <c r="AI5" s="55" t="n">
        <f aca="false">'Sales &amp; marketing'!AI5</f>
        <v>3</v>
      </c>
      <c r="AJ5" s="55" t="n">
        <f aca="false">'Sales &amp; marketing'!AJ5</f>
        <v>3</v>
      </c>
      <c r="AK5" s="55" t="n">
        <f aca="false">'Sales &amp; marketing'!AK5</f>
        <v>3</v>
      </c>
      <c r="AL5" s="55" t="n">
        <f aca="false">'Sales &amp; marketing'!AL5</f>
        <v>3</v>
      </c>
      <c r="AM5" s="55" t="n">
        <f aca="false">'Sales &amp; marketing'!AM5</f>
        <v>3</v>
      </c>
      <c r="AN5" s="55" t="n">
        <f aca="false">'Sales &amp; marketing'!AN5</f>
        <v>3</v>
      </c>
      <c r="AO5" s="55" t="n">
        <f aca="false">'Sales &amp; marketing'!AO5</f>
        <v>4</v>
      </c>
      <c r="AP5" s="55" t="n">
        <f aca="false">'Sales &amp; marketing'!AP5</f>
        <v>4</v>
      </c>
      <c r="AQ5" s="55" t="n">
        <f aca="false">'Sales &amp; marketing'!AQ5</f>
        <v>4</v>
      </c>
      <c r="AR5" s="55" t="n">
        <f aca="false">'Sales &amp; marketing'!AR5</f>
        <v>4</v>
      </c>
      <c r="AS5" s="55" t="n">
        <f aca="false">'Sales &amp; marketing'!AS5</f>
        <v>4</v>
      </c>
      <c r="AT5" s="55" t="n">
        <f aca="false">'Sales &amp; marketing'!AT5</f>
        <v>4</v>
      </c>
      <c r="AU5" s="55" t="n">
        <f aca="false">'Sales &amp; marketing'!AU5</f>
        <v>4</v>
      </c>
      <c r="AV5" s="55" t="n">
        <f aca="false">'Sales &amp; marketing'!AV5</f>
        <v>4</v>
      </c>
      <c r="AW5" s="55" t="n">
        <f aca="false">'Sales &amp; marketing'!AW5</f>
        <v>4</v>
      </c>
      <c r="AX5" s="55" t="n">
        <f aca="false">'Sales &amp; marketing'!AX5</f>
        <v>4</v>
      </c>
      <c r="AY5" s="55" t="n">
        <f aca="false">'Sales &amp; marketing'!AY5</f>
        <v>4</v>
      </c>
      <c r="AZ5" s="55" t="n">
        <f aca="false">'Sales &amp; marketing'!AZ5</f>
        <v>4</v>
      </c>
      <c r="BA5" s="55" t="n">
        <f aca="false">'Sales &amp; marketing'!BA5</f>
        <v>5</v>
      </c>
      <c r="BB5" s="55" t="n">
        <f aca="false">'Sales &amp; marketing'!BB5</f>
        <v>5</v>
      </c>
      <c r="BC5" s="55" t="n">
        <f aca="false">'Sales &amp; marketing'!BC5</f>
        <v>5</v>
      </c>
      <c r="BD5" s="55" t="n">
        <f aca="false">'Sales &amp; marketing'!BD5</f>
        <v>5</v>
      </c>
      <c r="BE5" s="55" t="n">
        <f aca="false">'Sales &amp; marketing'!BE5</f>
        <v>5</v>
      </c>
      <c r="BF5" s="55" t="n">
        <f aca="false">'Sales &amp; marketing'!BF5</f>
        <v>5</v>
      </c>
      <c r="BG5" s="55" t="n">
        <f aca="false">'Sales &amp; marketing'!BG5</f>
        <v>5</v>
      </c>
      <c r="BH5" s="55" t="n">
        <f aca="false">'Sales &amp; marketing'!BH5</f>
        <v>5</v>
      </c>
      <c r="BI5" s="55" t="n">
        <f aca="false">'Sales &amp; marketing'!BI5</f>
        <v>5</v>
      </c>
      <c r="BJ5" s="55" t="n">
        <f aca="false">'Sales &amp; marketing'!BJ5</f>
        <v>5</v>
      </c>
      <c r="BK5" s="55" t="n">
        <f aca="false">'Sales &amp; marketing'!BK5</f>
        <v>5</v>
      </c>
      <c r="BL5" s="55" t="n">
        <f aca="false">'Sales &amp; marketing'!BL5</f>
        <v>5</v>
      </c>
    </row>
    <row r="8" customFormat="false" ht="15" hidden="false" customHeight="true" outlineLevel="0" collapsed="false">
      <c r="A8" s="11" t="s">
        <v>1177</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10" customFormat="false" ht="15" hidden="false" customHeight="true" outlineLevel="0" collapsed="false">
      <c r="A10" s="11" t="s">
        <v>1180</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2" customFormat="false" ht="15" hidden="false" customHeight="true" outlineLevel="0" collapsed="false">
      <c r="A12" s="11" t="s">
        <v>1185</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4" customFormat="false" ht="15" hidden="false" customHeight="true" outlineLevel="0" collapsed="false">
      <c r="A14" s="11" t="s">
        <v>1188</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row>
    <row r="15" customFormat="false" ht="15" hidden="false" customHeight="true" outlineLevel="0" collapsed="false">
      <c r="A15" s="13" t="s">
        <v>877</v>
      </c>
      <c r="B15" s="15" t="s">
        <v>79</v>
      </c>
      <c r="D15" s="56" t="n">
        <f aca="false">'Sales &amp; marketing'!D25/FX_EUR</f>
        <v>315996.322929704</v>
      </c>
      <c r="E15" s="33" t="n">
        <f aca="false">'Sales &amp; marketing'!E25/FX_EUR</f>
        <v>0</v>
      </c>
      <c r="F15" s="33" t="n">
        <f aca="false">'Sales &amp; marketing'!F25/FX_EUR</f>
        <v>0</v>
      </c>
      <c r="G15" s="33" t="n">
        <f aca="false">'Sales &amp; marketing'!G25/FX_EUR</f>
        <v>0</v>
      </c>
      <c r="H15" s="33" t="n">
        <f aca="false">'Sales &amp; marketing'!H25/FX_EUR</f>
        <v>0</v>
      </c>
      <c r="I15" s="33" t="n">
        <f aca="false">'Sales &amp; marketing'!I25/FX_EUR</f>
        <v>1997.08212581008</v>
      </c>
      <c r="J15" s="33" t="n">
        <f aca="false">'Sales &amp; marketing'!J25/FX_EUR</f>
        <v>1997.08212581008</v>
      </c>
      <c r="K15" s="33" t="n">
        <f aca="false">'Sales &amp; marketing'!K25/FX_EUR</f>
        <v>1997.08212581008</v>
      </c>
      <c r="L15" s="33" t="n">
        <f aca="false">'Sales &amp; marketing'!L25/FX_EUR</f>
        <v>1997.08212581008</v>
      </c>
      <c r="M15" s="33" t="n">
        <f aca="false">'Sales &amp; marketing'!M25/FX_EUR</f>
        <v>1997.08212581008</v>
      </c>
      <c r="N15" s="33" t="n">
        <f aca="false">'Sales &amp; marketing'!N25/FX_EUR</f>
        <v>1997.08212581008</v>
      </c>
      <c r="O15" s="33" t="n">
        <f aca="false">'Sales &amp; marketing'!O25/FX_EUR</f>
        <v>1997.08212581008</v>
      </c>
      <c r="P15" s="33" t="n">
        <f aca="false">'Sales &amp; marketing'!P25/FX_EUR</f>
        <v>1997.08212581008</v>
      </c>
      <c r="Q15" s="33" t="n">
        <f aca="false">'Sales &amp; marketing'!Q25/FX_EUR</f>
        <v>3994.16425162015</v>
      </c>
      <c r="R15" s="33" t="n">
        <f aca="false">'Sales &amp; marketing'!R25/FX_EUR</f>
        <v>3994.16425162015</v>
      </c>
      <c r="S15" s="33" t="n">
        <f aca="false">'Sales &amp; marketing'!S25/FX_EUR</f>
        <v>3994.16425162015</v>
      </c>
      <c r="T15" s="33" t="n">
        <f aca="false">'Sales &amp; marketing'!T25/FX_EUR</f>
        <v>3994.16425162015</v>
      </c>
      <c r="U15" s="33" t="n">
        <f aca="false">'Sales &amp; marketing'!U25/FX_EUR</f>
        <v>3994.16425162015</v>
      </c>
      <c r="V15" s="33" t="n">
        <f aca="false">'Sales &amp; marketing'!V25/FX_EUR</f>
        <v>3994.16425162015</v>
      </c>
      <c r="W15" s="33" t="n">
        <f aca="false">'Sales &amp; marketing'!W25/FX_EUR</f>
        <v>3994.16425162015</v>
      </c>
      <c r="X15" s="33" t="n">
        <f aca="false">'Sales &amp; marketing'!X25/FX_EUR</f>
        <v>3994.16425162015</v>
      </c>
      <c r="Y15" s="33" t="n">
        <f aca="false">'Sales &amp; marketing'!Y25/FX_EUR</f>
        <v>3994.16425162015</v>
      </c>
      <c r="Z15" s="33" t="n">
        <f aca="false">'Sales &amp; marketing'!Z25/FX_EUR</f>
        <v>3994.16425162015</v>
      </c>
      <c r="AA15" s="33" t="n">
        <f aca="false">'Sales &amp; marketing'!AA25/FX_EUR</f>
        <v>3994.16425162015</v>
      </c>
      <c r="AB15" s="33" t="n">
        <f aca="false">'Sales &amp; marketing'!AB25/FX_EUR</f>
        <v>3994.16425162015</v>
      </c>
      <c r="AC15" s="33" t="n">
        <f aca="false">'Sales &amp; marketing'!AC25/FX_EUR</f>
        <v>6006.49127915397</v>
      </c>
      <c r="AD15" s="33" t="n">
        <f aca="false">'Sales &amp; marketing'!AD25/FX_EUR</f>
        <v>6006.49127915397</v>
      </c>
      <c r="AE15" s="33" t="n">
        <f aca="false">'Sales &amp; marketing'!AE25/FX_EUR</f>
        <v>6006.49127915397</v>
      </c>
      <c r="AF15" s="33" t="n">
        <f aca="false">'Sales &amp; marketing'!AF25/FX_EUR</f>
        <v>6006.49127915397</v>
      </c>
      <c r="AG15" s="33" t="n">
        <f aca="false">'Sales &amp; marketing'!AG25/FX_EUR</f>
        <v>6006.49127915397</v>
      </c>
      <c r="AH15" s="33" t="n">
        <f aca="false">'Sales &amp; marketing'!AH25/FX_EUR</f>
        <v>6006.49127915397</v>
      </c>
      <c r="AI15" s="33" t="n">
        <f aca="false">'Sales &amp; marketing'!AI25/FX_EUR</f>
        <v>6006.49127915397</v>
      </c>
      <c r="AJ15" s="33" t="n">
        <f aca="false">'Sales &amp; marketing'!AJ25/FX_EUR</f>
        <v>6006.49127915397</v>
      </c>
      <c r="AK15" s="33" t="n">
        <f aca="false">'Sales &amp; marketing'!AK25/FX_EUR</f>
        <v>6006.49127915397</v>
      </c>
      <c r="AL15" s="33" t="n">
        <f aca="false">'Sales &amp; marketing'!AL25/FX_EUR</f>
        <v>6006.49127915397</v>
      </c>
      <c r="AM15" s="33" t="n">
        <f aca="false">'Sales &amp; marketing'!AM25/FX_EUR</f>
        <v>6006.49127915397</v>
      </c>
      <c r="AN15" s="33" t="n">
        <f aca="false">'Sales &amp; marketing'!AN25/FX_EUR</f>
        <v>6006.49127915397</v>
      </c>
      <c r="AO15" s="33" t="n">
        <f aca="false">'Sales &amp; marketing'!AO25/FX_EUR</f>
        <v>6997.40989119714</v>
      </c>
      <c r="AP15" s="33" t="n">
        <f aca="false">'Sales &amp; marketing'!AP25/FX_EUR</f>
        <v>6997.40989119714</v>
      </c>
      <c r="AQ15" s="33" t="n">
        <f aca="false">'Sales &amp; marketing'!AQ25/FX_EUR</f>
        <v>6997.40989119714</v>
      </c>
      <c r="AR15" s="33" t="n">
        <f aca="false">'Sales &amp; marketing'!AR25/FX_EUR</f>
        <v>6997.40989119714</v>
      </c>
      <c r="AS15" s="33" t="n">
        <f aca="false">'Sales &amp; marketing'!AS25/FX_EUR</f>
        <v>6997.40989119714</v>
      </c>
      <c r="AT15" s="33" t="n">
        <f aca="false">'Sales &amp; marketing'!AT25/FX_EUR</f>
        <v>6997.40989119714</v>
      </c>
      <c r="AU15" s="33" t="n">
        <f aca="false">'Sales &amp; marketing'!AU25/FX_EUR</f>
        <v>6997.40989119714</v>
      </c>
      <c r="AV15" s="33" t="n">
        <f aca="false">'Sales &amp; marketing'!AV25/FX_EUR</f>
        <v>6997.40989119714</v>
      </c>
      <c r="AW15" s="33" t="n">
        <f aca="false">'Sales &amp; marketing'!AW25/FX_EUR</f>
        <v>6997.40989119714</v>
      </c>
      <c r="AX15" s="33" t="n">
        <f aca="false">'Sales &amp; marketing'!AX25/FX_EUR</f>
        <v>6997.40989119714</v>
      </c>
      <c r="AY15" s="33" t="n">
        <f aca="false">'Sales &amp; marketing'!AY25/FX_EUR</f>
        <v>6997.40989119714</v>
      </c>
      <c r="AZ15" s="33" t="n">
        <f aca="false">'Sales &amp; marketing'!AZ25/FX_EUR</f>
        <v>6997.40989119714</v>
      </c>
      <c r="BA15" s="33" t="n">
        <f aca="false">'Sales &amp; marketing'!BA25/FX_EUR</f>
        <v>8003.57340496405</v>
      </c>
      <c r="BB15" s="33" t="n">
        <f aca="false">'Sales &amp; marketing'!BB25/FX_EUR</f>
        <v>8003.57340496405</v>
      </c>
      <c r="BC15" s="33" t="n">
        <f aca="false">'Sales &amp; marketing'!BC25/FX_EUR</f>
        <v>8003.57340496405</v>
      </c>
      <c r="BD15" s="33" t="n">
        <f aca="false">'Sales &amp; marketing'!BD25/FX_EUR</f>
        <v>8003.57340496405</v>
      </c>
      <c r="BE15" s="33" t="n">
        <f aca="false">'Sales &amp; marketing'!BE25/FX_EUR</f>
        <v>8003.57340496405</v>
      </c>
      <c r="BF15" s="33" t="n">
        <f aca="false">'Sales &amp; marketing'!BF25/FX_EUR</f>
        <v>8003.57340496405</v>
      </c>
      <c r="BG15" s="33" t="n">
        <f aca="false">'Sales &amp; marketing'!BG25/FX_EUR</f>
        <v>8003.57340496405</v>
      </c>
      <c r="BH15" s="33" t="n">
        <f aca="false">'Sales &amp; marketing'!BH25/FX_EUR</f>
        <v>8003.57340496405</v>
      </c>
      <c r="BI15" s="33" t="n">
        <f aca="false">'Sales &amp; marketing'!BI25/FX_EUR</f>
        <v>8003.57340496405</v>
      </c>
      <c r="BJ15" s="33" t="n">
        <f aca="false">'Sales &amp; marketing'!BJ25/FX_EUR</f>
        <v>8003.57340496405</v>
      </c>
      <c r="BK15" s="33" t="n">
        <f aca="false">'Sales &amp; marketing'!BK25/FX_EUR</f>
        <v>8003.57340496405</v>
      </c>
      <c r="BL15" s="33" t="n">
        <f aca="false">'Sales &amp; marketing'!BL25/FX_EUR</f>
        <v>8003.57340496405</v>
      </c>
    </row>
    <row r="16" customFormat="false" ht="15" hidden="false" customHeight="true" outlineLevel="0" collapsed="false">
      <c r="A16" s="13" t="s">
        <v>879</v>
      </c>
      <c r="B16" s="15" t="s">
        <v>79</v>
      </c>
      <c r="D16" s="56" t="n">
        <f aca="false">'Sales &amp; marketing'!D26/FX_EUR</f>
        <v>191994.292308795</v>
      </c>
      <c r="E16" s="33" t="n">
        <f aca="false">'Sales &amp; marketing'!E26/FX_EUR</f>
        <v>0</v>
      </c>
      <c r="F16" s="33" t="n">
        <f aca="false">'Sales &amp; marketing'!F26/FX_EUR</f>
        <v>0</v>
      </c>
      <c r="G16" s="33" t="n">
        <f aca="false">'Sales &amp; marketing'!G26/FX_EUR</f>
        <v>0</v>
      </c>
      <c r="H16" s="33" t="n">
        <f aca="false">'Sales &amp; marketing'!H26/FX_EUR</f>
        <v>0</v>
      </c>
      <c r="I16" s="33" t="n">
        <f aca="false">'Sales &amp; marketing'!I26/FX_EUR</f>
        <v>0</v>
      </c>
      <c r="J16" s="33" t="n">
        <f aca="false">'Sales &amp; marketing'!J26/FX_EUR</f>
        <v>0</v>
      </c>
      <c r="K16" s="33" t="n">
        <f aca="false">'Sales &amp; marketing'!K26/FX_EUR</f>
        <v>0</v>
      </c>
      <c r="L16" s="33" t="n">
        <f aca="false">'Sales &amp; marketing'!L26/FX_EUR</f>
        <v>0</v>
      </c>
      <c r="M16" s="33" t="n">
        <f aca="false">'Sales &amp; marketing'!M26/FX_EUR</f>
        <v>0</v>
      </c>
      <c r="N16" s="33" t="n">
        <f aca="false">'Sales &amp; marketing'!N26/FX_EUR</f>
        <v>0</v>
      </c>
      <c r="O16" s="33" t="n">
        <f aca="false">'Sales &amp; marketing'!O26/FX_EUR</f>
        <v>0</v>
      </c>
      <c r="P16" s="33" t="n">
        <f aca="false">'Sales &amp; marketing'!P26/FX_EUR</f>
        <v>0</v>
      </c>
      <c r="Q16" s="33" t="n">
        <f aca="false">'Sales &amp; marketing'!Q26/FX_EUR</f>
        <v>0</v>
      </c>
      <c r="R16" s="33" t="n">
        <f aca="false">'Sales &amp; marketing'!R26/FX_EUR</f>
        <v>0</v>
      </c>
      <c r="S16" s="33" t="n">
        <f aca="false">'Sales &amp; marketing'!S26/FX_EUR</f>
        <v>0</v>
      </c>
      <c r="T16" s="33" t="n">
        <f aca="false">'Sales &amp; marketing'!T26/FX_EUR</f>
        <v>0</v>
      </c>
      <c r="U16" s="33" t="n">
        <f aca="false">'Sales &amp; marketing'!U26/FX_EUR</f>
        <v>0</v>
      </c>
      <c r="V16" s="33" t="n">
        <f aca="false">'Sales &amp; marketing'!V26/FX_EUR</f>
        <v>0</v>
      </c>
      <c r="W16" s="33" t="n">
        <f aca="false">'Sales &amp; marketing'!W26/FX_EUR</f>
        <v>1997.08212581008</v>
      </c>
      <c r="X16" s="33" t="n">
        <f aca="false">'Sales &amp; marketing'!X26/FX_EUR</f>
        <v>1997.08212581008</v>
      </c>
      <c r="Y16" s="33" t="n">
        <f aca="false">'Sales &amp; marketing'!Y26/FX_EUR</f>
        <v>1997.08212581008</v>
      </c>
      <c r="Z16" s="33" t="n">
        <f aca="false">'Sales &amp; marketing'!Z26/FX_EUR</f>
        <v>1997.08212581008</v>
      </c>
      <c r="AA16" s="33" t="n">
        <f aca="false">'Sales &amp; marketing'!AA26/FX_EUR</f>
        <v>1997.08212581008</v>
      </c>
      <c r="AB16" s="33" t="n">
        <f aca="false">'Sales &amp; marketing'!AB26/FX_EUR</f>
        <v>1997.08212581008</v>
      </c>
      <c r="AC16" s="33" t="n">
        <f aca="false">'Sales &amp; marketing'!AC26/FX_EUR</f>
        <v>3994.16425162015</v>
      </c>
      <c r="AD16" s="33" t="n">
        <f aca="false">'Sales &amp; marketing'!AD26/FX_EUR</f>
        <v>3994.16425162015</v>
      </c>
      <c r="AE16" s="33" t="n">
        <f aca="false">'Sales &amp; marketing'!AE26/FX_EUR</f>
        <v>3994.16425162015</v>
      </c>
      <c r="AF16" s="33" t="n">
        <f aca="false">'Sales &amp; marketing'!AF26/FX_EUR</f>
        <v>3994.16425162015</v>
      </c>
      <c r="AG16" s="33" t="n">
        <f aca="false">'Sales &amp; marketing'!AG26/FX_EUR</f>
        <v>3994.16425162015</v>
      </c>
      <c r="AH16" s="33" t="n">
        <f aca="false">'Sales &amp; marketing'!AH26/FX_EUR</f>
        <v>3994.16425162015</v>
      </c>
      <c r="AI16" s="33" t="n">
        <f aca="false">'Sales &amp; marketing'!AI26/FX_EUR</f>
        <v>3994.16425162015</v>
      </c>
      <c r="AJ16" s="33" t="n">
        <f aca="false">'Sales &amp; marketing'!AJ26/FX_EUR</f>
        <v>3994.16425162015</v>
      </c>
      <c r="AK16" s="33" t="n">
        <f aca="false">'Sales &amp; marketing'!AK26/FX_EUR</f>
        <v>3994.16425162015</v>
      </c>
      <c r="AL16" s="33" t="n">
        <f aca="false">'Sales &amp; marketing'!AL26/FX_EUR</f>
        <v>3994.16425162015</v>
      </c>
      <c r="AM16" s="33" t="n">
        <f aca="false">'Sales &amp; marketing'!AM26/FX_EUR</f>
        <v>3994.16425162015</v>
      </c>
      <c r="AN16" s="33" t="n">
        <f aca="false">'Sales &amp; marketing'!AN26/FX_EUR</f>
        <v>3994.16425162015</v>
      </c>
      <c r="AO16" s="33" t="n">
        <f aca="false">'Sales &amp; marketing'!AO26/FX_EUR</f>
        <v>5000.32776538706</v>
      </c>
      <c r="AP16" s="33" t="n">
        <f aca="false">'Sales &amp; marketing'!AP26/FX_EUR</f>
        <v>5000.32776538706</v>
      </c>
      <c r="AQ16" s="33" t="n">
        <f aca="false">'Sales &amp; marketing'!AQ26/FX_EUR</f>
        <v>5000.32776538706</v>
      </c>
      <c r="AR16" s="33" t="n">
        <f aca="false">'Sales &amp; marketing'!AR26/FX_EUR</f>
        <v>5000.32776538706</v>
      </c>
      <c r="AS16" s="33" t="n">
        <f aca="false">'Sales &amp; marketing'!AS26/FX_EUR</f>
        <v>5000.32776538706</v>
      </c>
      <c r="AT16" s="33" t="n">
        <f aca="false">'Sales &amp; marketing'!AT26/FX_EUR</f>
        <v>5000.32776538706</v>
      </c>
      <c r="AU16" s="33" t="n">
        <f aca="false">'Sales &amp; marketing'!AU26/FX_EUR</f>
        <v>5000.32776538706</v>
      </c>
      <c r="AV16" s="33" t="n">
        <f aca="false">'Sales &amp; marketing'!AV26/FX_EUR</f>
        <v>5000.32776538706</v>
      </c>
      <c r="AW16" s="33" t="n">
        <f aca="false">'Sales &amp; marketing'!AW26/FX_EUR</f>
        <v>5000.32776538706</v>
      </c>
      <c r="AX16" s="33" t="n">
        <f aca="false">'Sales &amp; marketing'!AX26/FX_EUR</f>
        <v>5000.32776538706</v>
      </c>
      <c r="AY16" s="33" t="n">
        <f aca="false">'Sales &amp; marketing'!AY26/FX_EUR</f>
        <v>5000.32776538706</v>
      </c>
      <c r="AZ16" s="33" t="n">
        <f aca="false">'Sales &amp; marketing'!AZ26/FX_EUR</f>
        <v>5000.32776538706</v>
      </c>
      <c r="BA16" s="33" t="n">
        <f aca="false">'Sales &amp; marketing'!BA26/FX_EUR</f>
        <v>6006.49127915397</v>
      </c>
      <c r="BB16" s="33" t="n">
        <f aca="false">'Sales &amp; marketing'!BB26/FX_EUR</f>
        <v>6006.49127915397</v>
      </c>
      <c r="BC16" s="33" t="n">
        <f aca="false">'Sales &amp; marketing'!BC26/FX_EUR</f>
        <v>6006.49127915397</v>
      </c>
      <c r="BD16" s="33" t="n">
        <f aca="false">'Sales &amp; marketing'!BD26/FX_EUR</f>
        <v>6006.49127915397</v>
      </c>
      <c r="BE16" s="33" t="n">
        <f aca="false">'Sales &amp; marketing'!BE26/FX_EUR</f>
        <v>6006.49127915397</v>
      </c>
      <c r="BF16" s="33" t="n">
        <f aca="false">'Sales &amp; marketing'!BF26/FX_EUR</f>
        <v>6006.49127915397</v>
      </c>
      <c r="BG16" s="33" t="n">
        <f aca="false">'Sales &amp; marketing'!BG26/FX_EUR</f>
        <v>6006.49127915397</v>
      </c>
      <c r="BH16" s="33" t="n">
        <f aca="false">'Sales &amp; marketing'!BH26/FX_EUR</f>
        <v>6006.49127915397</v>
      </c>
      <c r="BI16" s="33" t="n">
        <f aca="false">'Sales &amp; marketing'!BI26/FX_EUR</f>
        <v>6006.49127915397</v>
      </c>
      <c r="BJ16" s="33" t="n">
        <f aca="false">'Sales &amp; marketing'!BJ26/FX_EUR</f>
        <v>6006.49127915397</v>
      </c>
      <c r="BK16" s="33" t="n">
        <f aca="false">'Sales &amp; marketing'!BK26/FX_EUR</f>
        <v>6006.49127915397</v>
      </c>
      <c r="BL16" s="33" t="n">
        <f aca="false">'Sales &amp; marketing'!BL26/FX_EUR</f>
        <v>6006.49127915397</v>
      </c>
    </row>
    <row r="18" customFormat="false" ht="15" hidden="false" customHeight="true" outlineLevel="0" collapsed="false">
      <c r="A18" s="11" t="s">
        <v>1191</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row>
    <row r="20" customFormat="false" ht="15" hidden="false" customHeight="true" outlineLevel="0" collapsed="false">
      <c r="A20" s="11" t="s">
        <v>1199</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row>
    <row r="21" customFormat="false" ht="15" hidden="false" customHeight="true" outlineLevel="0" collapsed="false">
      <c r="A21" s="13" t="s">
        <v>1200</v>
      </c>
      <c r="B21" s="15" t="s">
        <v>79</v>
      </c>
      <c r="D21" s="56" t="n">
        <f aca="false">'Sales &amp; marketing'!D40/FX_EUR</f>
        <v>507990.615238499</v>
      </c>
      <c r="E21" s="33" t="n">
        <f aca="false">'Sales &amp; marketing'!E40/FX_EUR</f>
        <v>0</v>
      </c>
      <c r="F21" s="33" t="n">
        <f aca="false">'Sales &amp; marketing'!F40/FX_EUR</f>
        <v>0</v>
      </c>
      <c r="G21" s="33" t="n">
        <f aca="false">'Sales &amp; marketing'!G40/FX_EUR</f>
        <v>0</v>
      </c>
      <c r="H21" s="33" t="n">
        <f aca="false">'Sales &amp; marketing'!H40/FX_EUR</f>
        <v>0</v>
      </c>
      <c r="I21" s="33" t="n">
        <f aca="false">'Sales &amp; marketing'!I40/FX_EUR</f>
        <v>1997.08212581008</v>
      </c>
      <c r="J21" s="33" t="n">
        <f aca="false">'Sales &amp; marketing'!J40/FX_EUR</f>
        <v>1997.08212581008</v>
      </c>
      <c r="K21" s="33" t="n">
        <f aca="false">'Sales &amp; marketing'!K40/FX_EUR</f>
        <v>1997.08212581008</v>
      </c>
      <c r="L21" s="33" t="n">
        <f aca="false">'Sales &amp; marketing'!L40/FX_EUR</f>
        <v>1997.08212581008</v>
      </c>
      <c r="M21" s="33" t="n">
        <f aca="false">'Sales &amp; marketing'!M40/FX_EUR</f>
        <v>1997.08212581008</v>
      </c>
      <c r="N21" s="33" t="n">
        <f aca="false">'Sales &amp; marketing'!N40/FX_EUR</f>
        <v>1997.08212581008</v>
      </c>
      <c r="O21" s="33" t="n">
        <f aca="false">'Sales &amp; marketing'!O40/FX_EUR</f>
        <v>1997.08212581008</v>
      </c>
      <c r="P21" s="33" t="n">
        <f aca="false">'Sales &amp; marketing'!P40/FX_EUR</f>
        <v>1997.08212581008</v>
      </c>
      <c r="Q21" s="33" t="n">
        <f aca="false">'Sales &amp; marketing'!Q40/FX_EUR</f>
        <v>3994.16425162015</v>
      </c>
      <c r="R21" s="33" t="n">
        <f aca="false">'Sales &amp; marketing'!R40/FX_EUR</f>
        <v>3994.16425162015</v>
      </c>
      <c r="S21" s="33" t="n">
        <f aca="false">'Sales &amp; marketing'!S40/FX_EUR</f>
        <v>3994.16425162015</v>
      </c>
      <c r="T21" s="33" t="n">
        <f aca="false">'Sales &amp; marketing'!T40/FX_EUR</f>
        <v>3994.16425162015</v>
      </c>
      <c r="U21" s="33" t="n">
        <f aca="false">'Sales &amp; marketing'!U40/FX_EUR</f>
        <v>3994.16425162015</v>
      </c>
      <c r="V21" s="33" t="n">
        <f aca="false">'Sales &amp; marketing'!V40/FX_EUR</f>
        <v>3994.16425162015</v>
      </c>
      <c r="W21" s="33" t="n">
        <f aca="false">'Sales &amp; marketing'!W40/FX_EUR</f>
        <v>5991.24637743023</v>
      </c>
      <c r="X21" s="33" t="n">
        <f aca="false">'Sales &amp; marketing'!X40/FX_EUR</f>
        <v>5991.24637743023</v>
      </c>
      <c r="Y21" s="33" t="n">
        <f aca="false">'Sales &amp; marketing'!Y40/FX_EUR</f>
        <v>5991.24637743023</v>
      </c>
      <c r="Z21" s="33" t="n">
        <f aca="false">'Sales &amp; marketing'!Z40/FX_EUR</f>
        <v>5991.24637743023</v>
      </c>
      <c r="AA21" s="33" t="n">
        <f aca="false">'Sales &amp; marketing'!AA40/FX_EUR</f>
        <v>5991.24637743023</v>
      </c>
      <c r="AB21" s="33" t="n">
        <f aca="false">'Sales &amp; marketing'!AB40/FX_EUR</f>
        <v>5991.24637743023</v>
      </c>
      <c r="AC21" s="33" t="n">
        <f aca="false">'Sales &amp; marketing'!AC40/FX_EUR</f>
        <v>10000.6555307741</v>
      </c>
      <c r="AD21" s="33" t="n">
        <f aca="false">'Sales &amp; marketing'!AD40/FX_EUR</f>
        <v>10000.6555307741</v>
      </c>
      <c r="AE21" s="33" t="n">
        <f aca="false">'Sales &amp; marketing'!AE40/FX_EUR</f>
        <v>10000.6555307741</v>
      </c>
      <c r="AF21" s="33" t="n">
        <f aca="false">'Sales &amp; marketing'!AF40/FX_EUR</f>
        <v>10000.6555307741</v>
      </c>
      <c r="AG21" s="33" t="n">
        <f aca="false">'Sales &amp; marketing'!AG40/FX_EUR</f>
        <v>10000.6555307741</v>
      </c>
      <c r="AH21" s="33" t="n">
        <f aca="false">'Sales &amp; marketing'!AH40/FX_EUR</f>
        <v>10000.6555307741</v>
      </c>
      <c r="AI21" s="33" t="n">
        <f aca="false">'Sales &amp; marketing'!AI40/FX_EUR</f>
        <v>10000.6555307741</v>
      </c>
      <c r="AJ21" s="33" t="n">
        <f aca="false">'Sales &amp; marketing'!AJ40/FX_EUR</f>
        <v>10000.6555307741</v>
      </c>
      <c r="AK21" s="33" t="n">
        <f aca="false">'Sales &amp; marketing'!AK40/FX_EUR</f>
        <v>10000.6555307741</v>
      </c>
      <c r="AL21" s="33" t="n">
        <f aca="false">'Sales &amp; marketing'!AL40/FX_EUR</f>
        <v>10000.6555307741</v>
      </c>
      <c r="AM21" s="33" t="n">
        <f aca="false">'Sales &amp; marketing'!AM40/FX_EUR</f>
        <v>10000.6555307741</v>
      </c>
      <c r="AN21" s="33" t="n">
        <f aca="false">'Sales &amp; marketing'!AN40/FX_EUR</f>
        <v>10000.6555307741</v>
      </c>
      <c r="AO21" s="33" t="n">
        <f aca="false">'Sales &amp; marketing'!AO40/FX_EUR</f>
        <v>11997.7376565842</v>
      </c>
      <c r="AP21" s="33" t="n">
        <f aca="false">'Sales &amp; marketing'!AP40/FX_EUR</f>
        <v>11997.7376565842</v>
      </c>
      <c r="AQ21" s="33" t="n">
        <f aca="false">'Sales &amp; marketing'!AQ40/FX_EUR</f>
        <v>11997.7376565842</v>
      </c>
      <c r="AR21" s="33" t="n">
        <f aca="false">'Sales &amp; marketing'!AR40/FX_EUR</f>
        <v>11997.7376565842</v>
      </c>
      <c r="AS21" s="33" t="n">
        <f aca="false">'Sales &amp; marketing'!AS40/FX_EUR</f>
        <v>11997.7376565842</v>
      </c>
      <c r="AT21" s="33" t="n">
        <f aca="false">'Sales &amp; marketing'!AT40/FX_EUR</f>
        <v>11997.7376565842</v>
      </c>
      <c r="AU21" s="33" t="n">
        <f aca="false">'Sales &amp; marketing'!AU40/FX_EUR</f>
        <v>11997.7376565842</v>
      </c>
      <c r="AV21" s="33" t="n">
        <f aca="false">'Sales &amp; marketing'!AV40/FX_EUR</f>
        <v>11997.7376565842</v>
      </c>
      <c r="AW21" s="33" t="n">
        <f aca="false">'Sales &amp; marketing'!AW40/FX_EUR</f>
        <v>11997.7376565842</v>
      </c>
      <c r="AX21" s="33" t="n">
        <f aca="false">'Sales &amp; marketing'!AX40/FX_EUR</f>
        <v>11997.7376565842</v>
      </c>
      <c r="AY21" s="33" t="n">
        <f aca="false">'Sales &amp; marketing'!AY40/FX_EUR</f>
        <v>11997.7376565842</v>
      </c>
      <c r="AZ21" s="33" t="n">
        <f aca="false">'Sales &amp; marketing'!AZ40/FX_EUR</f>
        <v>11997.7376565842</v>
      </c>
      <c r="BA21" s="33" t="n">
        <f aca="false">'Sales &amp; marketing'!BA40/FX_EUR</f>
        <v>14010.064684118</v>
      </c>
      <c r="BB21" s="33" t="n">
        <f aca="false">'Sales &amp; marketing'!BB40/FX_EUR</f>
        <v>14010.064684118</v>
      </c>
      <c r="BC21" s="33" t="n">
        <f aca="false">'Sales &amp; marketing'!BC40/FX_EUR</f>
        <v>14010.064684118</v>
      </c>
      <c r="BD21" s="33" t="n">
        <f aca="false">'Sales &amp; marketing'!BD40/FX_EUR</f>
        <v>14010.064684118</v>
      </c>
      <c r="BE21" s="33" t="n">
        <f aca="false">'Sales &amp; marketing'!BE40/FX_EUR</f>
        <v>14010.064684118</v>
      </c>
      <c r="BF21" s="33" t="n">
        <f aca="false">'Sales &amp; marketing'!BF40/FX_EUR</f>
        <v>14010.064684118</v>
      </c>
      <c r="BG21" s="33" t="n">
        <f aca="false">'Sales &amp; marketing'!BG40/FX_EUR</f>
        <v>14010.064684118</v>
      </c>
      <c r="BH21" s="33" t="n">
        <f aca="false">'Sales &amp; marketing'!BH40/FX_EUR</f>
        <v>14010.064684118</v>
      </c>
      <c r="BI21" s="33" t="n">
        <f aca="false">'Sales &amp; marketing'!BI40/FX_EUR</f>
        <v>14010.064684118</v>
      </c>
      <c r="BJ21" s="33" t="n">
        <f aca="false">'Sales &amp; marketing'!BJ40/FX_EUR</f>
        <v>14010.064684118</v>
      </c>
      <c r="BK21" s="33" t="n">
        <f aca="false">'Sales &amp; marketing'!BK40/FX_EUR</f>
        <v>14010.064684118</v>
      </c>
      <c r="BL21" s="33" t="n">
        <f aca="false">'Sales &amp; marketing'!BL40/FX_EUR</f>
        <v>14010.064684118</v>
      </c>
    </row>
    <row r="22" customFormat="false" ht="15" hidden="false" customHeight="true" outlineLevel="0" collapsed="false">
      <c r="A22" s="13" t="s">
        <v>880</v>
      </c>
      <c r="B22" s="15" t="s">
        <v>79</v>
      </c>
      <c r="D22" s="56" t="n">
        <f aca="false">'Sales &amp; marketing'!D41/FX_EUR</f>
        <v>63007.1788242217</v>
      </c>
      <c r="E22" s="33" t="n">
        <f aca="false">'Sales &amp; marketing'!E41/FX_EUR</f>
        <v>2083.46990224461</v>
      </c>
      <c r="F22" s="33" t="n">
        <f aca="false">'Sales &amp; marketing'!F41/FX_EUR</f>
        <v>2083.46990224461</v>
      </c>
      <c r="G22" s="33" t="n">
        <f aca="false">'Sales &amp; marketing'!G41/FX_EUR</f>
        <v>2083.46990224461</v>
      </c>
      <c r="H22" s="33" t="n">
        <f aca="false">'Sales &amp; marketing'!H41/FX_EUR</f>
        <v>2083.46990224461</v>
      </c>
      <c r="I22" s="33" t="n">
        <f aca="false">'Sales &amp; marketing'!I41/FX_EUR</f>
        <v>2083.46990224461</v>
      </c>
      <c r="J22" s="33" t="n">
        <f aca="false">'Sales &amp; marketing'!J41/FX_EUR</f>
        <v>2083.46990224461</v>
      </c>
      <c r="K22" s="33" t="n">
        <f aca="false">'Sales &amp; marketing'!K41/FX_EUR</f>
        <v>2083.46990224461</v>
      </c>
      <c r="L22" s="33" t="n">
        <f aca="false">'Sales &amp; marketing'!L41/FX_EUR</f>
        <v>2083.46990224461</v>
      </c>
      <c r="M22" s="33" t="n">
        <f aca="false">'Sales &amp; marketing'!M41/FX_EUR</f>
        <v>2083.46990224461</v>
      </c>
      <c r="N22" s="33" t="n">
        <f aca="false">'Sales &amp; marketing'!N41/FX_EUR</f>
        <v>2083.46990224461</v>
      </c>
      <c r="O22" s="33" t="n">
        <f aca="false">'Sales &amp; marketing'!O41/FX_EUR</f>
        <v>2083.46990224461</v>
      </c>
      <c r="P22" s="33" t="n">
        <f aca="false">'Sales &amp; marketing'!P41/FX_EUR</f>
        <v>2083.46990224461</v>
      </c>
      <c r="Q22" s="33" t="n">
        <f aca="false">'Sales &amp; marketing'!Q41/FX_EUR</f>
        <v>666.96445041367</v>
      </c>
      <c r="R22" s="33" t="n">
        <f aca="false">'Sales &amp; marketing'!R41/FX_EUR</f>
        <v>666.96445041367</v>
      </c>
      <c r="S22" s="33" t="n">
        <f aca="false">'Sales &amp; marketing'!S41/FX_EUR</f>
        <v>666.96445041367</v>
      </c>
      <c r="T22" s="33" t="n">
        <f aca="false">'Sales &amp; marketing'!T41/FX_EUR</f>
        <v>666.96445041367</v>
      </c>
      <c r="U22" s="33" t="n">
        <f aca="false">'Sales &amp; marketing'!U41/FX_EUR</f>
        <v>666.96445041367</v>
      </c>
      <c r="V22" s="33" t="n">
        <f aca="false">'Sales &amp; marketing'!V41/FX_EUR</f>
        <v>666.96445041367</v>
      </c>
      <c r="W22" s="33" t="n">
        <f aca="false">'Sales &amp; marketing'!W41/FX_EUR</f>
        <v>666.96445041367</v>
      </c>
      <c r="X22" s="33" t="n">
        <f aca="false">'Sales &amp; marketing'!X41/FX_EUR</f>
        <v>666.96445041367</v>
      </c>
      <c r="Y22" s="33" t="n">
        <f aca="false">'Sales &amp; marketing'!Y41/FX_EUR</f>
        <v>666.96445041367</v>
      </c>
      <c r="Z22" s="33" t="n">
        <f aca="false">'Sales &amp; marketing'!Z41/FX_EUR</f>
        <v>666.96445041367</v>
      </c>
      <c r="AA22" s="33" t="n">
        <f aca="false">'Sales &amp; marketing'!AA41/FX_EUR</f>
        <v>666.96445041367</v>
      </c>
      <c r="AB22" s="33" t="n">
        <f aca="false">'Sales &amp; marketing'!AB41/FX_EUR</f>
        <v>666.96445041367</v>
      </c>
      <c r="AC22" s="33" t="n">
        <f aca="false">'Sales &amp; marketing'!AC41/FX_EUR</f>
        <v>833.387960897843</v>
      </c>
      <c r="AD22" s="33" t="n">
        <f aca="false">'Sales &amp; marketing'!AD41/FX_EUR</f>
        <v>833.387960897843</v>
      </c>
      <c r="AE22" s="33" t="n">
        <f aca="false">'Sales &amp; marketing'!AE41/FX_EUR</f>
        <v>833.387960897843</v>
      </c>
      <c r="AF22" s="33" t="n">
        <f aca="false">'Sales &amp; marketing'!AF41/FX_EUR</f>
        <v>833.387960897843</v>
      </c>
      <c r="AG22" s="33" t="n">
        <f aca="false">'Sales &amp; marketing'!AG41/FX_EUR</f>
        <v>833.387960897843</v>
      </c>
      <c r="AH22" s="33" t="n">
        <f aca="false">'Sales &amp; marketing'!AH41/FX_EUR</f>
        <v>833.387960897843</v>
      </c>
      <c r="AI22" s="33" t="n">
        <f aca="false">'Sales &amp; marketing'!AI41/FX_EUR</f>
        <v>833.387960897843</v>
      </c>
      <c r="AJ22" s="33" t="n">
        <f aca="false">'Sales &amp; marketing'!AJ41/FX_EUR</f>
        <v>833.387960897843</v>
      </c>
      <c r="AK22" s="33" t="n">
        <f aca="false">'Sales &amp; marketing'!AK41/FX_EUR</f>
        <v>833.387960897843</v>
      </c>
      <c r="AL22" s="33" t="n">
        <f aca="false">'Sales &amp; marketing'!AL41/FX_EUR</f>
        <v>833.387960897843</v>
      </c>
      <c r="AM22" s="33" t="n">
        <f aca="false">'Sales &amp; marketing'!AM41/FX_EUR</f>
        <v>833.387960897843</v>
      </c>
      <c r="AN22" s="33" t="n">
        <f aca="false">'Sales &amp; marketing'!AN41/FX_EUR</f>
        <v>833.387960897843</v>
      </c>
      <c r="AO22" s="33" t="n">
        <f aca="false">'Sales &amp; marketing'!AO41/FX_EUR</f>
        <v>833.387960897843</v>
      </c>
      <c r="AP22" s="33" t="n">
        <f aca="false">'Sales &amp; marketing'!AP41/FX_EUR</f>
        <v>833.387960897843</v>
      </c>
      <c r="AQ22" s="33" t="n">
        <f aca="false">'Sales &amp; marketing'!AQ41/FX_EUR</f>
        <v>833.387960897843</v>
      </c>
      <c r="AR22" s="33" t="n">
        <f aca="false">'Sales &amp; marketing'!AR41/FX_EUR</f>
        <v>833.387960897843</v>
      </c>
      <c r="AS22" s="33" t="n">
        <f aca="false">'Sales &amp; marketing'!AS41/FX_EUR</f>
        <v>833.387960897843</v>
      </c>
      <c r="AT22" s="33" t="n">
        <f aca="false">'Sales &amp; marketing'!AT41/FX_EUR</f>
        <v>833.387960897843</v>
      </c>
      <c r="AU22" s="33" t="n">
        <f aca="false">'Sales &amp; marketing'!AU41/FX_EUR</f>
        <v>833.387960897843</v>
      </c>
      <c r="AV22" s="33" t="n">
        <f aca="false">'Sales &amp; marketing'!AV41/FX_EUR</f>
        <v>833.387960897843</v>
      </c>
      <c r="AW22" s="33" t="n">
        <f aca="false">'Sales &amp; marketing'!AW41/FX_EUR</f>
        <v>833.387960897843</v>
      </c>
      <c r="AX22" s="33" t="n">
        <f aca="false">'Sales &amp; marketing'!AX41/FX_EUR</f>
        <v>833.387960897843</v>
      </c>
      <c r="AY22" s="33" t="n">
        <f aca="false">'Sales &amp; marketing'!AY41/FX_EUR</f>
        <v>833.387960897843</v>
      </c>
      <c r="AZ22" s="33" t="n">
        <f aca="false">'Sales &amp; marketing'!AZ41/FX_EUR</f>
        <v>833.387960897843</v>
      </c>
      <c r="BA22" s="33" t="n">
        <f aca="false">'Sales &amp; marketing'!BA41/FX_EUR</f>
        <v>833.387960897843</v>
      </c>
      <c r="BB22" s="33" t="n">
        <f aca="false">'Sales &amp; marketing'!BB41/FX_EUR</f>
        <v>833.387960897843</v>
      </c>
      <c r="BC22" s="33" t="n">
        <f aca="false">'Sales &amp; marketing'!BC41/FX_EUR</f>
        <v>833.387960897843</v>
      </c>
      <c r="BD22" s="33" t="n">
        <f aca="false">'Sales &amp; marketing'!BD41/FX_EUR</f>
        <v>833.387960897843</v>
      </c>
      <c r="BE22" s="33" t="n">
        <f aca="false">'Sales &amp; marketing'!BE41/FX_EUR</f>
        <v>833.387960897843</v>
      </c>
      <c r="BF22" s="33" t="n">
        <f aca="false">'Sales &amp; marketing'!BF41/FX_EUR</f>
        <v>833.387960897843</v>
      </c>
      <c r="BG22" s="33" t="n">
        <f aca="false">'Sales &amp; marketing'!BG41/FX_EUR</f>
        <v>833.387960897843</v>
      </c>
      <c r="BH22" s="33" t="n">
        <f aca="false">'Sales &amp; marketing'!BH41/FX_EUR</f>
        <v>833.387960897843</v>
      </c>
      <c r="BI22" s="33" t="n">
        <f aca="false">'Sales &amp; marketing'!BI41/FX_EUR</f>
        <v>833.387960897843</v>
      </c>
      <c r="BJ22" s="33" t="n">
        <f aca="false">'Sales &amp; marketing'!BJ41/FX_EUR</f>
        <v>833.387960897843</v>
      </c>
      <c r="BK22" s="33" t="n">
        <f aca="false">'Sales &amp; marketing'!BK41/FX_EUR</f>
        <v>833.387960897843</v>
      </c>
      <c r="BL22" s="33" t="n">
        <f aca="false">'Sales &amp; marketing'!BL41/FX_EUR</f>
        <v>833.387960897843</v>
      </c>
    </row>
    <row r="23" customFormat="false" ht="15" hidden="false" customHeight="true" outlineLevel="0" collapsed="false">
      <c r="A23" s="13" t="s">
        <v>882</v>
      </c>
      <c r="B23" s="15" t="s">
        <v>79</v>
      </c>
      <c r="D23" s="56" t="n">
        <f aca="false">'Sales &amp; marketing'!D42/FX_EUR</f>
        <v>209983.276342809</v>
      </c>
      <c r="E23" s="33" t="n">
        <f aca="false">'Sales &amp; marketing'!E42/FX_EUR</f>
        <v>1250.08194134677</v>
      </c>
      <c r="F23" s="33" t="n">
        <f aca="false">'Sales &amp; marketing'!F42/FX_EUR</f>
        <v>1250.08194134677</v>
      </c>
      <c r="G23" s="33" t="n">
        <f aca="false">'Sales &amp; marketing'!G42/FX_EUR</f>
        <v>1250.08194134677</v>
      </c>
      <c r="H23" s="33" t="n">
        <f aca="false">'Sales &amp; marketing'!H42/FX_EUR</f>
        <v>1250.08194134677</v>
      </c>
      <c r="I23" s="33" t="n">
        <f aca="false">'Sales &amp; marketing'!I42/FX_EUR</f>
        <v>1250.08194134677</v>
      </c>
      <c r="J23" s="33" t="n">
        <f aca="false">'Sales &amp; marketing'!J42/FX_EUR</f>
        <v>1250.08194134677</v>
      </c>
      <c r="K23" s="33" t="n">
        <f aca="false">'Sales &amp; marketing'!K42/FX_EUR</f>
        <v>1250.08194134677</v>
      </c>
      <c r="L23" s="33" t="n">
        <f aca="false">'Sales &amp; marketing'!L42/FX_EUR</f>
        <v>1250.08194134677</v>
      </c>
      <c r="M23" s="33" t="n">
        <f aca="false">'Sales &amp; marketing'!M42/FX_EUR</f>
        <v>1250.08194134677</v>
      </c>
      <c r="N23" s="33" t="n">
        <f aca="false">'Sales &amp; marketing'!N42/FX_EUR</f>
        <v>1250.08194134677</v>
      </c>
      <c r="O23" s="33" t="n">
        <f aca="false">'Sales &amp; marketing'!O42/FX_EUR</f>
        <v>1250.08194134677</v>
      </c>
      <c r="P23" s="33" t="n">
        <f aca="false">'Sales &amp; marketing'!P42/FX_EUR</f>
        <v>1250.08194134677</v>
      </c>
      <c r="Q23" s="33" t="n">
        <f aca="false">'Sales &amp; marketing'!Q42/FX_EUR</f>
        <v>2502.70469964749</v>
      </c>
      <c r="R23" s="33" t="n">
        <f aca="false">'Sales &amp; marketing'!R42/FX_EUR</f>
        <v>2502.70469964749</v>
      </c>
      <c r="S23" s="33" t="n">
        <f aca="false">'Sales &amp; marketing'!S42/FX_EUR</f>
        <v>2502.70469964749</v>
      </c>
      <c r="T23" s="33" t="n">
        <f aca="false">'Sales &amp; marketing'!T42/FX_EUR</f>
        <v>2502.70469964749</v>
      </c>
      <c r="U23" s="33" t="n">
        <f aca="false">'Sales &amp; marketing'!U42/FX_EUR</f>
        <v>2502.70469964749</v>
      </c>
      <c r="V23" s="33" t="n">
        <f aca="false">'Sales &amp; marketing'!V42/FX_EUR</f>
        <v>2502.70469964749</v>
      </c>
      <c r="W23" s="33" t="n">
        <f aca="false">'Sales &amp; marketing'!W42/FX_EUR</f>
        <v>2502.70469964749</v>
      </c>
      <c r="X23" s="33" t="n">
        <f aca="false">'Sales &amp; marketing'!X42/FX_EUR</f>
        <v>2502.70469964749</v>
      </c>
      <c r="Y23" s="33" t="n">
        <f aca="false">'Sales &amp; marketing'!Y42/FX_EUR</f>
        <v>2502.70469964749</v>
      </c>
      <c r="Z23" s="33" t="n">
        <f aca="false">'Sales &amp; marketing'!Z42/FX_EUR</f>
        <v>2502.70469964749</v>
      </c>
      <c r="AA23" s="33" t="n">
        <f aca="false">'Sales &amp; marketing'!AA42/FX_EUR</f>
        <v>2502.70469964749</v>
      </c>
      <c r="AB23" s="33" t="n">
        <f aca="false">'Sales &amp; marketing'!AB42/FX_EUR</f>
        <v>2502.70469964749</v>
      </c>
      <c r="AC23" s="33" t="n">
        <f aca="false">'Sales &amp; marketing'!AC42/FX_EUR</f>
        <v>3747.70500708634</v>
      </c>
      <c r="AD23" s="33" t="n">
        <f aca="false">'Sales &amp; marketing'!AD42/FX_EUR</f>
        <v>3747.70500708634</v>
      </c>
      <c r="AE23" s="33" t="n">
        <f aca="false">'Sales &amp; marketing'!AE42/FX_EUR</f>
        <v>3747.70500708634</v>
      </c>
      <c r="AF23" s="33" t="n">
        <f aca="false">'Sales &amp; marketing'!AF42/FX_EUR</f>
        <v>3747.70500708634</v>
      </c>
      <c r="AG23" s="33" t="n">
        <f aca="false">'Sales &amp; marketing'!AG42/FX_EUR</f>
        <v>3747.70500708634</v>
      </c>
      <c r="AH23" s="33" t="n">
        <f aca="false">'Sales &amp; marketing'!AH42/FX_EUR</f>
        <v>3747.70500708634</v>
      </c>
      <c r="AI23" s="33" t="n">
        <f aca="false">'Sales &amp; marketing'!AI42/FX_EUR</f>
        <v>3747.70500708634</v>
      </c>
      <c r="AJ23" s="33" t="n">
        <f aca="false">'Sales &amp; marketing'!AJ42/FX_EUR</f>
        <v>3747.70500708634</v>
      </c>
      <c r="AK23" s="33" t="n">
        <f aca="false">'Sales &amp; marketing'!AK42/FX_EUR</f>
        <v>3747.70500708634</v>
      </c>
      <c r="AL23" s="33" t="n">
        <f aca="false">'Sales &amp; marketing'!AL42/FX_EUR</f>
        <v>3747.70500708634</v>
      </c>
      <c r="AM23" s="33" t="n">
        <f aca="false">'Sales &amp; marketing'!AM42/FX_EUR</f>
        <v>3747.70500708634</v>
      </c>
      <c r="AN23" s="33" t="n">
        <f aca="false">'Sales &amp; marketing'!AN42/FX_EUR</f>
        <v>3747.70500708634</v>
      </c>
      <c r="AO23" s="33" t="n">
        <f aca="false">'Sales &amp; marketing'!AO42/FX_EUR</f>
        <v>4586.1746018921</v>
      </c>
      <c r="AP23" s="33" t="n">
        <f aca="false">'Sales &amp; marketing'!AP42/FX_EUR</f>
        <v>4586.1746018921</v>
      </c>
      <c r="AQ23" s="33" t="n">
        <f aca="false">'Sales &amp; marketing'!AQ42/FX_EUR</f>
        <v>4586.1746018921</v>
      </c>
      <c r="AR23" s="33" t="n">
        <f aca="false">'Sales &amp; marketing'!AR42/FX_EUR</f>
        <v>4586.1746018921</v>
      </c>
      <c r="AS23" s="33" t="n">
        <f aca="false">'Sales &amp; marketing'!AS42/FX_EUR</f>
        <v>4586.1746018921</v>
      </c>
      <c r="AT23" s="33" t="n">
        <f aca="false">'Sales &amp; marketing'!AT42/FX_EUR</f>
        <v>4586.1746018921</v>
      </c>
      <c r="AU23" s="33" t="n">
        <f aca="false">'Sales &amp; marketing'!AU42/FX_EUR</f>
        <v>4586.1746018921</v>
      </c>
      <c r="AV23" s="33" t="n">
        <f aca="false">'Sales &amp; marketing'!AV42/FX_EUR</f>
        <v>4586.1746018921</v>
      </c>
      <c r="AW23" s="33" t="n">
        <f aca="false">'Sales &amp; marketing'!AW42/FX_EUR</f>
        <v>4586.1746018921</v>
      </c>
      <c r="AX23" s="33" t="n">
        <f aca="false">'Sales &amp; marketing'!AX42/FX_EUR</f>
        <v>4586.1746018921</v>
      </c>
      <c r="AY23" s="33" t="n">
        <f aca="false">'Sales &amp; marketing'!AY42/FX_EUR</f>
        <v>4586.1746018921</v>
      </c>
      <c r="AZ23" s="33" t="n">
        <f aca="false">'Sales &amp; marketing'!AZ42/FX_EUR</f>
        <v>4586.1746018921</v>
      </c>
      <c r="BA23" s="33" t="n">
        <f aca="false">'Sales &amp; marketing'!BA42/FX_EUR</f>
        <v>5411.94011192807</v>
      </c>
      <c r="BB23" s="33" t="n">
        <f aca="false">'Sales &amp; marketing'!BB42/FX_EUR</f>
        <v>5411.94011192807</v>
      </c>
      <c r="BC23" s="33" t="n">
        <f aca="false">'Sales &amp; marketing'!BC42/FX_EUR</f>
        <v>5411.94011192807</v>
      </c>
      <c r="BD23" s="33" t="n">
        <f aca="false">'Sales &amp; marketing'!BD42/FX_EUR</f>
        <v>5411.94011192807</v>
      </c>
      <c r="BE23" s="33" t="n">
        <f aca="false">'Sales &amp; marketing'!BE42/FX_EUR</f>
        <v>5411.94011192807</v>
      </c>
      <c r="BF23" s="33" t="n">
        <f aca="false">'Sales &amp; marketing'!BF42/FX_EUR</f>
        <v>5411.94011192807</v>
      </c>
      <c r="BG23" s="33" t="n">
        <f aca="false">'Sales &amp; marketing'!BG42/FX_EUR</f>
        <v>5411.94011192807</v>
      </c>
      <c r="BH23" s="33" t="n">
        <f aca="false">'Sales &amp; marketing'!BH42/FX_EUR</f>
        <v>5411.94011192807</v>
      </c>
      <c r="BI23" s="33" t="n">
        <f aca="false">'Sales &amp; marketing'!BI42/FX_EUR</f>
        <v>5411.94011192807</v>
      </c>
      <c r="BJ23" s="33" t="n">
        <f aca="false">'Sales &amp; marketing'!BJ42/FX_EUR</f>
        <v>5411.94011192807</v>
      </c>
      <c r="BK23" s="33" t="n">
        <f aca="false">'Sales &amp; marketing'!BK42/FX_EUR</f>
        <v>5411.94011192807</v>
      </c>
      <c r="BL23" s="33" t="n">
        <f aca="false">'Sales &amp; marketing'!BL42/FX_EUR</f>
        <v>5411.94011192807</v>
      </c>
    </row>
    <row r="24" customFormat="false" ht="15" hidden="false" customHeight="true" outlineLevel="0" collapsed="false">
      <c r="A24" s="13" t="s">
        <v>1201</v>
      </c>
      <c r="B24" s="15" t="s">
        <v>79</v>
      </c>
      <c r="D24" s="56" t="n">
        <f aca="false">'Sales &amp; marketing'!D43/FX_EUR</f>
        <v>135933.739508181</v>
      </c>
      <c r="E24" s="33" t="n">
        <f aca="false">'Sales &amp; marketing'!E43/FX_EUR</f>
        <v>0</v>
      </c>
      <c r="F24" s="33" t="n">
        <f aca="false">'Sales &amp; marketing'!F43/FX_EUR</f>
        <v>0</v>
      </c>
      <c r="G24" s="33" t="n">
        <f aca="false">'Sales &amp; marketing'!G43/FX_EUR</f>
        <v>0</v>
      </c>
      <c r="H24" s="33" t="n">
        <f aca="false">'Sales &amp; marketing'!H43/FX_EUR</f>
        <v>0</v>
      </c>
      <c r="I24" s="33" t="n">
        <f aca="false">'Sales &amp; marketing'!I43/FX_EUR</f>
        <v>304.898034474821</v>
      </c>
      <c r="J24" s="33" t="n">
        <f aca="false">'Sales &amp; marketing'!J43/FX_EUR</f>
        <v>323.19191654331</v>
      </c>
      <c r="K24" s="33" t="n">
        <f aca="false">'Sales &amp; marketing'!K43/FX_EUR</f>
        <v>342.583431535909</v>
      </c>
      <c r="L24" s="33" t="n">
        <f aca="false">'Sales &amp; marketing'!L43/FX_EUR</f>
        <v>363.138437428063</v>
      </c>
      <c r="M24" s="33" t="n">
        <f aca="false">'Sales &amp; marketing'!M43/FX_EUR</f>
        <v>384.926743673747</v>
      </c>
      <c r="N24" s="33" t="n">
        <f aca="false">'Sales &amp; marketing'!N43/FX_EUR</f>
        <v>408.022348294172</v>
      </c>
      <c r="O24" s="33" t="n">
        <f aca="false">'Sales &amp; marketing'!O43/FX_EUR</f>
        <v>432.503689191822</v>
      </c>
      <c r="P24" s="33" t="n">
        <f aca="false">'Sales &amp; marketing'!P43/FX_EUR</f>
        <v>458.453910543332</v>
      </c>
      <c r="Q24" s="33" t="n">
        <f aca="false">'Sales &amp; marketing'!Q43/FX_EUR</f>
        <v>485.961145175932</v>
      </c>
      <c r="R24" s="33" t="n">
        <f aca="false">'Sales &amp; marketing'!R43/FX_EUR</f>
        <v>515.118813886487</v>
      </c>
      <c r="S24" s="33" t="n">
        <f aca="false">'Sales &amp; marketing'!S43/FX_EUR</f>
        <v>546.025942719677</v>
      </c>
      <c r="T24" s="33" t="n">
        <f aca="false">'Sales &amp; marketing'!T43/FX_EUR</f>
        <v>578.787499282857</v>
      </c>
      <c r="U24" s="33" t="n">
        <f aca="false">'Sales &amp; marketing'!U43/FX_EUR</f>
        <v>613.514749239829</v>
      </c>
      <c r="V24" s="33" t="n">
        <f aca="false">'Sales &amp; marketing'!V43/FX_EUR</f>
        <v>650.325634194218</v>
      </c>
      <c r="W24" s="33" t="n">
        <f aca="false">'Sales &amp; marketing'!W43/FX_EUR</f>
        <v>918.018698101987</v>
      </c>
      <c r="X24" s="33" t="n">
        <f aca="false">'Sales &amp; marketing'!X43/FX_EUR</f>
        <v>973.099819988106</v>
      </c>
      <c r="Y24" s="33" t="n">
        <f aca="false">'Sales &amp; marketing'!Y43/FX_EUR</f>
        <v>1031.48580918739</v>
      </c>
      <c r="Z24" s="33" t="n">
        <f aca="false">'Sales &amp; marketing'!Z43/FX_EUR</f>
        <v>1093.37495773864</v>
      </c>
      <c r="AA24" s="33" t="n">
        <f aca="false">'Sales &amp; marketing'!AA43/FX_EUR</f>
        <v>1158.97745520295</v>
      </c>
      <c r="AB24" s="33" t="n">
        <f aca="false">'Sales &amp; marketing'!AB43/FX_EUR</f>
        <v>1228.51610251513</v>
      </c>
      <c r="AC24" s="33" t="n">
        <f aca="false">'Sales &amp; marketing'!AC43/FX_EUR</f>
        <v>1302.22706866604</v>
      </c>
      <c r="AD24" s="33" t="n">
        <f aca="false">'Sales &amp; marketing'!AD43/FX_EUR</f>
        <v>1380.360692786</v>
      </c>
      <c r="AE24" s="33" t="n">
        <f aca="false">'Sales &amp; marketing'!AE43/FX_EUR</f>
        <v>1463.18233435316</v>
      </c>
      <c r="AF24" s="33" t="n">
        <f aca="false">'Sales &amp; marketing'!AF43/FX_EUR</f>
        <v>1550.97327441435</v>
      </c>
      <c r="AG24" s="33" t="n">
        <f aca="false">'Sales &amp; marketing'!AG43/FX_EUR</f>
        <v>1644.03167087921</v>
      </c>
      <c r="AH24" s="33" t="n">
        <f aca="false">'Sales &amp; marketing'!AH43/FX_EUR</f>
        <v>1742.67357113197</v>
      </c>
      <c r="AI24" s="33" t="n">
        <f aca="false">'Sales &amp; marketing'!AI43/FX_EUR</f>
        <v>1847.23398539989</v>
      </c>
      <c r="AJ24" s="33" t="n">
        <f aca="false">'Sales &amp; marketing'!AJ43/FX_EUR</f>
        <v>1958.06802452388</v>
      </c>
      <c r="AK24" s="33" t="n">
        <f aca="false">'Sales &amp; marketing'!AK43/FX_EUR</f>
        <v>2075.55210599531</v>
      </c>
      <c r="AL24" s="33" t="n">
        <f aca="false">'Sales &amp; marketing'!AL43/FX_EUR</f>
        <v>2200.08523235503</v>
      </c>
      <c r="AM24" s="33" t="n">
        <f aca="false">'Sales &amp; marketing'!AM43/FX_EUR</f>
        <v>2332.09034629633</v>
      </c>
      <c r="AN24" s="33" t="n">
        <f aca="false">'Sales &amp; marketing'!AN43/FX_EUR</f>
        <v>2472.01576707411</v>
      </c>
      <c r="AO24" s="33" t="n">
        <f aca="false">'Sales &amp; marketing'!AO43/FX_EUR</f>
        <v>2620.33671309856</v>
      </c>
      <c r="AP24" s="33" t="n">
        <f aca="false">'Sales &amp; marketing'!AP43/FX_EUR</f>
        <v>2777.55691588447</v>
      </c>
      <c r="AQ24" s="33" t="n">
        <f aca="false">'Sales &amp; marketing'!AQ43/FX_EUR</f>
        <v>2944.21033083754</v>
      </c>
      <c r="AR24" s="33" t="n">
        <f aca="false">'Sales &amp; marketing'!AR43/FX_EUR</f>
        <v>3120.86295068779</v>
      </c>
      <c r="AS24" s="33" t="n">
        <f aca="false">'Sales &amp; marketing'!AS43/FX_EUR</f>
        <v>3308.11472772906</v>
      </c>
      <c r="AT24" s="33" t="n">
        <f aca="false">'Sales &amp; marketing'!AT43/FX_EUR</f>
        <v>3506.60161139281</v>
      </c>
      <c r="AU24" s="33" t="n">
        <f aca="false">'Sales &amp; marketing'!AU43/FX_EUR</f>
        <v>3716.99770807637</v>
      </c>
      <c r="AV24" s="33" t="n">
        <f aca="false">'Sales &amp; marketing'!AV43/FX_EUR</f>
        <v>3940.01757056096</v>
      </c>
      <c r="AW24" s="33" t="n">
        <f aca="false">'Sales &amp; marketing'!AW43/FX_EUR</f>
        <v>4089.30378735072</v>
      </c>
      <c r="AX24" s="33" t="n">
        <f aca="false">'Sales &amp; marketing'!AX43/FX_EUR</f>
        <v>4151.72319390687</v>
      </c>
      <c r="AY24" s="33" t="n">
        <f aca="false">'Sales &amp; marketing'!AY43/FX_EUR</f>
        <v>4217.88776485639</v>
      </c>
      <c r="AZ24" s="33" t="n">
        <f aca="false">'Sales &amp; marketing'!AZ43/FX_EUR</f>
        <v>4288.02221006288</v>
      </c>
      <c r="BA24" s="33" t="n">
        <f aca="false">'Sales &amp; marketing'!BA43/FX_EUR</f>
        <v>4362.36472198176</v>
      </c>
      <c r="BB24" s="33" t="n">
        <f aca="false">'Sales &amp; marketing'!BB43/FX_EUR</f>
        <v>4441.16778461577</v>
      </c>
      <c r="BC24" s="33" t="n">
        <f aca="false">'Sales &amp; marketing'!BC43/FX_EUR</f>
        <v>4524.69903100783</v>
      </c>
      <c r="BD24" s="33" t="n">
        <f aca="false">'Sales &amp; marketing'!BD43/FX_EUR</f>
        <v>4613.2421521834</v>
      </c>
      <c r="BE24" s="33" t="n">
        <f aca="false">'Sales &amp; marketing'!BE43/FX_EUR</f>
        <v>4707.09786062952</v>
      </c>
      <c r="BF24" s="33" t="n">
        <f aca="false">'Sales &amp; marketing'!BF43/FX_EUR</f>
        <v>4806.58491158239</v>
      </c>
      <c r="BG24" s="33" t="n">
        <f aca="false">'Sales &amp; marketing'!BG43/FX_EUR</f>
        <v>4912.04118559245</v>
      </c>
      <c r="BH24" s="33" t="n">
        <f aca="false">'Sales &amp; marketing'!BH43/FX_EUR</f>
        <v>5023.8248360431</v>
      </c>
      <c r="BI24" s="33" t="n">
        <f aca="false">'Sales &amp; marketing'!BI43/FX_EUR</f>
        <v>5142.31550552079</v>
      </c>
      <c r="BJ24" s="33" t="n">
        <f aca="false">'Sales &amp; marketing'!BJ43/FX_EUR</f>
        <v>5267.91561516715</v>
      </c>
      <c r="BK24" s="33" t="n">
        <f aca="false">'Sales &amp; marketing'!BK43/FX_EUR</f>
        <v>5335.71560330936</v>
      </c>
      <c r="BL24" s="33" t="n">
        <f aca="false">'Sales &amp; marketing'!BL43/FX_EUR</f>
        <v>5335.71560330936</v>
      </c>
    </row>
    <row r="25" customFormat="false" ht="15" hidden="false" customHeight="true" outlineLevel="0" collapsed="false">
      <c r="A25" s="13" t="s">
        <v>1202</v>
      </c>
      <c r="B25" s="15" t="s">
        <v>79</v>
      </c>
      <c r="D25" s="56" t="n">
        <f aca="false">'Sales &amp; marketing'!D44/FX_EUR</f>
        <v>67230.016601698</v>
      </c>
      <c r="E25" s="33" t="n">
        <f aca="false">'Sales &amp; marketing'!E44/FX_EUR</f>
        <v>114.336762928058</v>
      </c>
      <c r="F25" s="33" t="n">
        <f aca="false">'Sales &amp; marketing'!F44/FX_EUR</f>
        <v>114.336762928058</v>
      </c>
      <c r="G25" s="33" t="n">
        <f aca="false">'Sales &amp; marketing'!G44/FX_EUR</f>
        <v>114.336762928058</v>
      </c>
      <c r="H25" s="33" t="n">
        <f aca="false">'Sales &amp; marketing'!H44/FX_EUR</f>
        <v>343.010288784173</v>
      </c>
      <c r="I25" s="33" t="n">
        <f aca="false">'Sales &amp; marketing'!I44/FX_EUR</f>
        <v>343.010288784173</v>
      </c>
      <c r="J25" s="33" t="n">
        <f aca="false">'Sales &amp; marketing'!J44/FX_EUR</f>
        <v>343.010288784173</v>
      </c>
      <c r="K25" s="33" t="n">
        <f aca="false">'Sales &amp; marketing'!K44/FX_EUR</f>
        <v>343.010288784173</v>
      </c>
      <c r="L25" s="33" t="n">
        <f aca="false">'Sales &amp; marketing'!L44/FX_EUR</f>
        <v>343.010288784173</v>
      </c>
      <c r="M25" s="33" t="n">
        <f aca="false">'Sales &amp; marketing'!M44/FX_EUR</f>
        <v>343.010288784173</v>
      </c>
      <c r="N25" s="33" t="n">
        <f aca="false">'Sales &amp; marketing'!N44/FX_EUR</f>
        <v>343.010288784173</v>
      </c>
      <c r="O25" s="33" t="n">
        <f aca="false">'Sales &amp; marketing'!O44/FX_EUR</f>
        <v>343.010288784173</v>
      </c>
      <c r="P25" s="33" t="n">
        <f aca="false">'Sales &amp; marketing'!P44/FX_EUR</f>
        <v>343.010288784173</v>
      </c>
      <c r="Q25" s="33" t="n">
        <f aca="false">'Sales &amp; marketing'!Q44/FX_EUR</f>
        <v>343.010288784173</v>
      </c>
      <c r="R25" s="33" t="n">
        <f aca="false">'Sales &amp; marketing'!R44/FX_EUR</f>
        <v>343.010288784173</v>
      </c>
      <c r="S25" s="33" t="n">
        <f aca="false">'Sales &amp; marketing'!S44/FX_EUR</f>
        <v>343.010288784173</v>
      </c>
      <c r="T25" s="33" t="n">
        <f aca="false">'Sales &amp; marketing'!T44/FX_EUR</f>
        <v>343.010288784173</v>
      </c>
      <c r="U25" s="33" t="n">
        <f aca="false">'Sales &amp; marketing'!U44/FX_EUR</f>
        <v>343.010288784173</v>
      </c>
      <c r="V25" s="33" t="n">
        <f aca="false">'Sales &amp; marketing'!V44/FX_EUR</f>
        <v>571.683814640289</v>
      </c>
      <c r="W25" s="33" t="n">
        <f aca="false">'Sales &amp; marketing'!W44/FX_EUR</f>
        <v>571.683814640289</v>
      </c>
      <c r="X25" s="33" t="n">
        <f aca="false">'Sales &amp; marketing'!X44/FX_EUR</f>
        <v>686.020577568347</v>
      </c>
      <c r="Y25" s="33" t="n">
        <f aca="false">'Sales &amp; marketing'!Y44/FX_EUR</f>
        <v>686.020577568347</v>
      </c>
      <c r="Z25" s="33" t="n">
        <f aca="false">'Sales &amp; marketing'!Z44/FX_EUR</f>
        <v>686.020577568347</v>
      </c>
      <c r="AA25" s="33" t="n">
        <f aca="false">'Sales &amp; marketing'!AA44/FX_EUR</f>
        <v>686.020577568347</v>
      </c>
      <c r="AB25" s="33" t="n">
        <f aca="false">'Sales &amp; marketing'!AB44/FX_EUR</f>
        <v>686.020577568347</v>
      </c>
      <c r="AC25" s="33" t="n">
        <f aca="false">'Sales &amp; marketing'!AC44/FX_EUR</f>
        <v>686.020577568347</v>
      </c>
      <c r="AD25" s="33" t="n">
        <f aca="false">'Sales &amp; marketing'!AD44/FX_EUR</f>
        <v>800.357340496405</v>
      </c>
      <c r="AE25" s="33" t="n">
        <f aca="false">'Sales &amp; marketing'!AE44/FX_EUR</f>
        <v>800.357340496405</v>
      </c>
      <c r="AF25" s="33" t="n">
        <f aca="false">'Sales &amp; marketing'!AF44/FX_EUR</f>
        <v>800.357340496405</v>
      </c>
      <c r="AG25" s="33" t="n">
        <f aca="false">'Sales &amp; marketing'!AG44/FX_EUR</f>
        <v>800.357340496405</v>
      </c>
      <c r="AH25" s="33" t="n">
        <f aca="false">'Sales &amp; marketing'!AH44/FX_EUR</f>
        <v>914.694103424462</v>
      </c>
      <c r="AI25" s="33" t="n">
        <f aca="false">'Sales &amp; marketing'!AI44/FX_EUR</f>
        <v>914.694103424462</v>
      </c>
      <c r="AJ25" s="33" t="n">
        <f aca="false">'Sales &amp; marketing'!AJ44/FX_EUR</f>
        <v>914.694103424462</v>
      </c>
      <c r="AK25" s="33" t="n">
        <f aca="false">'Sales &amp; marketing'!AK44/FX_EUR</f>
        <v>914.694103424462</v>
      </c>
      <c r="AL25" s="33" t="n">
        <f aca="false">'Sales &amp; marketing'!AL44/FX_EUR</f>
        <v>1029.03086635252</v>
      </c>
      <c r="AM25" s="33" t="n">
        <f aca="false">'Sales &amp; marketing'!AM44/FX_EUR</f>
        <v>1029.03086635252</v>
      </c>
      <c r="AN25" s="33" t="n">
        <f aca="false">'Sales &amp; marketing'!AN44/FX_EUR</f>
        <v>1143.36762928058</v>
      </c>
      <c r="AO25" s="33" t="n">
        <f aca="false">'Sales &amp; marketing'!AO44/FX_EUR</f>
        <v>1257.70439220864</v>
      </c>
      <c r="AP25" s="33" t="n">
        <f aca="false">'Sales &amp; marketing'!AP44/FX_EUR</f>
        <v>1257.70439220864</v>
      </c>
      <c r="AQ25" s="33" t="n">
        <f aca="false">'Sales &amp; marketing'!AQ44/FX_EUR</f>
        <v>1257.70439220864</v>
      </c>
      <c r="AR25" s="33" t="n">
        <f aca="false">'Sales &amp; marketing'!AR44/FX_EUR</f>
        <v>1372.04115513669</v>
      </c>
      <c r="AS25" s="33" t="n">
        <f aca="false">'Sales &amp; marketing'!AS44/FX_EUR</f>
        <v>1372.04115513669</v>
      </c>
      <c r="AT25" s="33" t="n">
        <f aca="false">'Sales &amp; marketing'!AT44/FX_EUR</f>
        <v>1372.04115513669</v>
      </c>
      <c r="AU25" s="33" t="n">
        <f aca="false">'Sales &amp; marketing'!AU44/FX_EUR</f>
        <v>1600.71468099281</v>
      </c>
      <c r="AV25" s="33" t="n">
        <f aca="false">'Sales &amp; marketing'!AV44/FX_EUR</f>
        <v>1600.71468099281</v>
      </c>
      <c r="AW25" s="33" t="n">
        <f aca="false">'Sales &amp; marketing'!AW44/FX_EUR</f>
        <v>1715.05144392087</v>
      </c>
      <c r="AX25" s="33" t="n">
        <f aca="false">'Sales &amp; marketing'!AX44/FX_EUR</f>
        <v>1715.05144392087</v>
      </c>
      <c r="AY25" s="33" t="n">
        <f aca="false">'Sales &amp; marketing'!AY44/FX_EUR</f>
        <v>1715.05144392087</v>
      </c>
      <c r="AZ25" s="33" t="n">
        <f aca="false">'Sales &amp; marketing'!AZ44/FX_EUR</f>
        <v>1943.72496977698</v>
      </c>
      <c r="BA25" s="33" t="n">
        <f aca="false">'Sales &amp; marketing'!BA44/FX_EUR</f>
        <v>1943.72496977698</v>
      </c>
      <c r="BB25" s="33" t="n">
        <f aca="false">'Sales &amp; marketing'!BB44/FX_EUR</f>
        <v>2058.06173270504</v>
      </c>
      <c r="BC25" s="33" t="n">
        <f aca="false">'Sales &amp; marketing'!BC44/FX_EUR</f>
        <v>2058.06173270504</v>
      </c>
      <c r="BD25" s="33" t="n">
        <f aca="false">'Sales &amp; marketing'!BD44/FX_EUR</f>
        <v>2172.3984956331</v>
      </c>
      <c r="BE25" s="33" t="n">
        <f aca="false">'Sales &amp; marketing'!BE44/FX_EUR</f>
        <v>2286.73525856116</v>
      </c>
      <c r="BF25" s="33" t="n">
        <f aca="false">'Sales &amp; marketing'!BF44/FX_EUR</f>
        <v>2286.73525856116</v>
      </c>
      <c r="BG25" s="33" t="n">
        <f aca="false">'Sales &amp; marketing'!BG44/FX_EUR</f>
        <v>2401.07202148921</v>
      </c>
      <c r="BH25" s="33" t="n">
        <f aca="false">'Sales &amp; marketing'!BH44/FX_EUR</f>
        <v>2515.40878441727</v>
      </c>
      <c r="BI25" s="33" t="n">
        <f aca="false">'Sales &amp; marketing'!BI44/FX_EUR</f>
        <v>2629.74554734533</v>
      </c>
      <c r="BJ25" s="33" t="n">
        <f aca="false">'Sales &amp; marketing'!BJ44/FX_EUR</f>
        <v>2629.74554734533</v>
      </c>
      <c r="BK25" s="33" t="n">
        <f aca="false">'Sales &amp; marketing'!BK44/FX_EUR</f>
        <v>2744.08231027339</v>
      </c>
      <c r="BL25" s="33" t="n">
        <f aca="false">'Sales &amp; marketing'!BL44/FX_EUR</f>
        <v>2858.41907320144</v>
      </c>
    </row>
    <row r="26" customFormat="false" ht="15" hidden="false" customHeight="true" outlineLevel="0" collapsed="false">
      <c r="A26" s="9" t="s">
        <v>1203</v>
      </c>
      <c r="B26" s="15" t="s">
        <v>79</v>
      </c>
      <c r="D26" s="56" t="n">
        <f aca="false">'Sales &amp; marketing'!D45/FX_EUR</f>
        <v>984144.826515409</v>
      </c>
      <c r="E26" s="17" t="n">
        <f aca="false">'Sales &amp; marketing'!E45/FX_EUR</f>
        <v>3447.88860651943</v>
      </c>
      <c r="F26" s="17" t="n">
        <f aca="false">'Sales &amp; marketing'!F45/FX_EUR</f>
        <v>3447.88860651943</v>
      </c>
      <c r="G26" s="17" t="n">
        <f aca="false">'Sales &amp; marketing'!G45/FX_EUR</f>
        <v>3447.88860651943</v>
      </c>
      <c r="H26" s="17" t="n">
        <f aca="false">'Sales &amp; marketing'!H45/FX_EUR</f>
        <v>3676.56213237555</v>
      </c>
      <c r="I26" s="17" t="n">
        <f aca="false">'Sales &amp; marketing'!I45/FX_EUR</f>
        <v>5978.54229266044</v>
      </c>
      <c r="J26" s="17" t="n">
        <f aca="false">'Sales &amp; marketing'!J45/FX_EUR</f>
        <v>5996.83617472893</v>
      </c>
      <c r="K26" s="17" t="n">
        <f aca="false">'Sales &amp; marketing'!K45/FX_EUR</f>
        <v>6016.22768972153</v>
      </c>
      <c r="L26" s="17" t="n">
        <f aca="false">'Sales &amp; marketing'!L45/FX_EUR</f>
        <v>6036.78269561369</v>
      </c>
      <c r="M26" s="17" t="n">
        <f aca="false">'Sales &amp; marketing'!M45/FX_EUR</f>
        <v>6058.57100185937</v>
      </c>
      <c r="N26" s="17" t="n">
        <f aca="false">'Sales &amp; marketing'!N45/FX_EUR</f>
        <v>6081.6666064798</v>
      </c>
      <c r="O26" s="17" t="n">
        <f aca="false">'Sales &amp; marketing'!O45/FX_EUR</f>
        <v>6106.14794737745</v>
      </c>
      <c r="P26" s="17" t="n">
        <f aca="false">'Sales &amp; marketing'!P45/FX_EUR</f>
        <v>6132.09816872896</v>
      </c>
      <c r="Q26" s="17" t="n">
        <f aca="false">'Sales &amp; marketing'!Q45/FX_EUR</f>
        <v>7992.80483564142</v>
      </c>
      <c r="R26" s="17" t="n">
        <f aca="false">'Sales &amp; marketing'!R45/FX_EUR</f>
        <v>8021.96250435197</v>
      </c>
      <c r="S26" s="17" t="n">
        <f aca="false">'Sales &amp; marketing'!S45/FX_EUR</f>
        <v>8052.86963318516</v>
      </c>
      <c r="T26" s="17" t="n">
        <f aca="false">'Sales &amp; marketing'!T45/FX_EUR</f>
        <v>8085.63118974834</v>
      </c>
      <c r="U26" s="17" t="n">
        <f aca="false">'Sales &amp; marketing'!U45/FX_EUR</f>
        <v>8120.35843970531</v>
      </c>
      <c r="V26" s="17" t="n">
        <f aca="false">'Sales &amp; marketing'!V45/FX_EUR</f>
        <v>8385.84285051582</v>
      </c>
      <c r="W26" s="17" t="n">
        <f aca="false">'Sales &amp; marketing'!W45/FX_EUR</f>
        <v>10650.6180402337</v>
      </c>
      <c r="X26" s="17" t="n">
        <f aca="false">'Sales &amp; marketing'!X45/FX_EUR</f>
        <v>10820.0359250478</v>
      </c>
      <c r="Y26" s="17" t="n">
        <f aca="false">'Sales &amp; marketing'!Y45/FX_EUR</f>
        <v>10878.4219142471</v>
      </c>
      <c r="Z26" s="17" t="n">
        <f aca="false">'Sales &amp; marketing'!Z45/FX_EUR</f>
        <v>10940.3110627984</v>
      </c>
      <c r="AA26" s="17" t="n">
        <f aca="false">'Sales &amp; marketing'!AA45/FX_EUR</f>
        <v>11005.9135602627</v>
      </c>
      <c r="AB26" s="17" t="n">
        <f aca="false">'Sales &amp; marketing'!AB45/FX_EUR</f>
        <v>11075.4522075749</v>
      </c>
      <c r="AC26" s="17" t="n">
        <f aca="false">'Sales &amp; marketing'!AC45/FX_EUR</f>
        <v>16569.9961449927</v>
      </c>
      <c r="AD26" s="17" t="n">
        <f aca="false">'Sales &amp; marketing'!AD45/FX_EUR</f>
        <v>16762.4665320407</v>
      </c>
      <c r="AE26" s="17" t="n">
        <f aca="false">'Sales &amp; marketing'!AE45/FX_EUR</f>
        <v>16845.2881736079</v>
      </c>
      <c r="AF26" s="17" t="n">
        <f aca="false">'Sales &amp; marketing'!AF45/FX_EUR</f>
        <v>16933.0791136691</v>
      </c>
      <c r="AG26" s="17" t="n">
        <f aca="false">'Sales &amp; marketing'!AG45/FX_EUR</f>
        <v>17026.1375101339</v>
      </c>
      <c r="AH26" s="17" t="n">
        <f aca="false">'Sales &amp; marketing'!AH45/FX_EUR</f>
        <v>17239.1161733147</v>
      </c>
      <c r="AI26" s="17" t="n">
        <f aca="false">'Sales &amp; marketing'!AI45/FX_EUR</f>
        <v>17343.6765875827</v>
      </c>
      <c r="AJ26" s="17" t="n">
        <f aca="false">'Sales &amp; marketing'!AJ45/FX_EUR</f>
        <v>17454.5106267066</v>
      </c>
      <c r="AK26" s="17" t="n">
        <f aca="false">'Sales &amp; marketing'!AK45/FX_EUR</f>
        <v>17571.9947081781</v>
      </c>
      <c r="AL26" s="17" t="n">
        <f aca="false">'Sales &amp; marketing'!AL45/FX_EUR</f>
        <v>17810.8645974659</v>
      </c>
      <c r="AM26" s="17" t="n">
        <f aca="false">'Sales &amp; marketing'!AM45/FX_EUR</f>
        <v>17942.8697114072</v>
      </c>
      <c r="AN26" s="17" t="n">
        <f aca="false">'Sales &amp; marketing'!AN45/FX_EUR</f>
        <v>18197.131895113</v>
      </c>
      <c r="AO26" s="17" t="n">
        <f aca="false">'Sales &amp; marketing'!AO45/FX_EUR</f>
        <v>21295.3413246813</v>
      </c>
      <c r="AP26" s="17" t="n">
        <f aca="false">'Sales &amp; marketing'!AP45/FX_EUR</f>
        <v>21452.5615274672</v>
      </c>
      <c r="AQ26" s="17" t="n">
        <f aca="false">'Sales &amp; marketing'!AQ45/FX_EUR</f>
        <v>21619.2149424203</v>
      </c>
      <c r="AR26" s="17" t="n">
        <f aca="false">'Sales &amp; marketing'!AR45/FX_EUR</f>
        <v>21910.2043251986</v>
      </c>
      <c r="AS26" s="17" t="n">
        <f aca="false">'Sales &amp; marketing'!AS45/FX_EUR</f>
        <v>22097.4561022399</v>
      </c>
      <c r="AT26" s="17" t="n">
        <f aca="false">'Sales &amp; marketing'!AT45/FX_EUR</f>
        <v>22295.9429859036</v>
      </c>
      <c r="AU26" s="17" t="n">
        <f aca="false">'Sales &amp; marketing'!AU45/FX_EUR</f>
        <v>22735.0126084433</v>
      </c>
      <c r="AV26" s="17" t="n">
        <f aca="false">'Sales &amp; marketing'!AV45/FX_EUR</f>
        <v>22958.0324709279</v>
      </c>
      <c r="AW26" s="17" t="n">
        <f aca="false">'Sales &amp; marketing'!AW45/FX_EUR</f>
        <v>23221.6554506457</v>
      </c>
      <c r="AX26" s="17" t="n">
        <f aca="false">'Sales &amp; marketing'!AX45/FX_EUR</f>
        <v>23284.0748572019</v>
      </c>
      <c r="AY26" s="17" t="n">
        <f aca="false">'Sales &amp; marketing'!AY45/FX_EUR</f>
        <v>23350.2394281514</v>
      </c>
      <c r="AZ26" s="17" t="n">
        <f aca="false">'Sales &amp; marketing'!AZ45/FX_EUR</f>
        <v>23649.047399214</v>
      </c>
      <c r="BA26" s="17" t="n">
        <f aca="false">'Sales &amp; marketing'!BA45/FX_EUR</f>
        <v>26561.4824487027</v>
      </c>
      <c r="BB26" s="17" t="n">
        <f aca="false">'Sales &amp; marketing'!BB45/FX_EUR</f>
        <v>26754.6222742647</v>
      </c>
      <c r="BC26" s="17" t="n">
        <f aca="false">'Sales &amp; marketing'!BC45/FX_EUR</f>
        <v>26838.1535206568</v>
      </c>
      <c r="BD26" s="17" t="n">
        <f aca="false">'Sales &amp; marketing'!BD45/FX_EUR</f>
        <v>27041.0334047604</v>
      </c>
      <c r="BE26" s="17" t="n">
        <f aca="false">'Sales &amp; marketing'!BE45/FX_EUR</f>
        <v>27249.2258761346</v>
      </c>
      <c r="BF26" s="17" t="n">
        <f aca="false">'Sales &amp; marketing'!BF45/FX_EUR</f>
        <v>27348.7129270875</v>
      </c>
      <c r="BG26" s="17" t="n">
        <f aca="false">'Sales &amp; marketing'!BG45/FX_EUR</f>
        <v>27568.5059640256</v>
      </c>
      <c r="BH26" s="17" t="n">
        <f aca="false">'Sales &amp; marketing'!BH45/FX_EUR</f>
        <v>27794.6263774043</v>
      </c>
      <c r="BI26" s="17" t="n">
        <f aca="false">'Sales &amp; marketing'!BI45/FX_EUR</f>
        <v>28027.4538098101</v>
      </c>
      <c r="BJ26" s="17" t="n">
        <f aca="false">'Sales &amp; marketing'!BJ45/FX_EUR</f>
        <v>28153.0539194564</v>
      </c>
      <c r="BK26" s="17" t="n">
        <f aca="false">'Sales &amp; marketing'!BK45/FX_EUR</f>
        <v>28335.1906705267</v>
      </c>
      <c r="BL26" s="17" t="n">
        <f aca="false">'Sales &amp; marketing'!BL45/FX_EUR</f>
        <v>28449.5274334547</v>
      </c>
    </row>
    <row r="28" customFormat="false" ht="15" hidden="false" customHeight="true" outlineLevel="0" collapsed="false">
      <c r="A28" s="11" t="s">
        <v>1204</v>
      </c>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row>
    <row r="29" customFormat="false" ht="15" hidden="false" customHeight="true" outlineLevel="0" collapsed="false">
      <c r="A29" s="13" t="s">
        <v>1205</v>
      </c>
      <c r="B29" s="15" t="s">
        <v>79</v>
      </c>
      <c r="D29" s="56" t="n">
        <f aca="false">'Sales &amp; marketing'!D48/FX_EUR</f>
        <v>824118.569652813</v>
      </c>
      <c r="E29" s="33" t="n">
        <f aca="false">'Sales &amp; marketing'!E48/FX_EUR</f>
        <v>2378.2046689036</v>
      </c>
      <c r="F29" s="33" t="n">
        <f aca="false">'Sales &amp; marketing'!F48/FX_EUR</f>
        <v>2378.2046689036</v>
      </c>
      <c r="G29" s="33" t="n">
        <f aca="false">'Sales &amp; marketing'!G48/FX_EUR</f>
        <v>2378.2046689036</v>
      </c>
      <c r="H29" s="33" t="n">
        <f aca="false">'Sales &amp; marketing'!H48/FX_EUR</f>
        <v>5747.32794985037</v>
      </c>
      <c r="I29" s="33" t="n">
        <f aca="false">'Sales &amp; marketing'!I48/FX_EUR</f>
        <v>6540.06283948491</v>
      </c>
      <c r="J29" s="33" t="n">
        <f aca="false">'Sales &amp; marketing'!J48/FX_EUR</f>
        <v>6540.06283948491</v>
      </c>
      <c r="K29" s="33" t="n">
        <f aca="false">'Sales &amp; marketing'!K48/FX_EUR</f>
        <v>6540.06283948491</v>
      </c>
      <c r="L29" s="33" t="n">
        <f aca="false">'Sales &amp; marketing'!L48/FX_EUR</f>
        <v>6540.06283948491</v>
      </c>
      <c r="M29" s="33" t="n">
        <f aca="false">'Sales &amp; marketing'!M48/FX_EUR</f>
        <v>6540.06283948491</v>
      </c>
      <c r="N29" s="33" t="n">
        <f aca="false">'Sales &amp; marketing'!N48/FX_EUR</f>
        <v>6540.06283948491</v>
      </c>
      <c r="O29" s="33" t="n">
        <f aca="false">'Sales &amp; marketing'!O48/FX_EUR</f>
        <v>6540.06283948491</v>
      </c>
      <c r="P29" s="33" t="n">
        <f aca="false">'Sales &amp; marketing'!P48/FX_EUR</f>
        <v>6540.06283948491</v>
      </c>
      <c r="Q29" s="33" t="n">
        <f aca="false">'Sales &amp; marketing'!Q48/FX_EUR</f>
        <v>6867.06598145915</v>
      </c>
      <c r="R29" s="33" t="n">
        <f aca="false">'Sales &amp; marketing'!R48/FX_EUR</f>
        <v>6867.06598145915</v>
      </c>
      <c r="S29" s="33" t="n">
        <f aca="false">'Sales &amp; marketing'!S48/FX_EUR</f>
        <v>6867.06598145915</v>
      </c>
      <c r="T29" s="33" t="n">
        <f aca="false">'Sales &amp; marketing'!T48/FX_EUR</f>
        <v>6867.06598145915</v>
      </c>
      <c r="U29" s="33" t="n">
        <f aca="false">'Sales &amp; marketing'!U48/FX_EUR</f>
        <v>6867.06598145915</v>
      </c>
      <c r="V29" s="33" t="n">
        <f aca="false">'Sales &amp; marketing'!V48/FX_EUR</f>
        <v>8739.90215822074</v>
      </c>
      <c r="W29" s="33" t="n">
        <f aca="false">'Sales &amp; marketing'!W48/FX_EUR</f>
        <v>8739.90215822074</v>
      </c>
      <c r="X29" s="33" t="n">
        <f aca="false">'Sales &amp; marketing'!X48/FX_EUR</f>
        <v>9572.273792337</v>
      </c>
      <c r="Y29" s="33" t="n">
        <f aca="false">'Sales &amp; marketing'!Y48/FX_EUR</f>
        <v>9572.273792337</v>
      </c>
      <c r="Z29" s="33" t="n">
        <f aca="false">'Sales &amp; marketing'!Z48/FX_EUR</f>
        <v>9572.273792337</v>
      </c>
      <c r="AA29" s="33" t="n">
        <f aca="false">'Sales &amp; marketing'!AA48/FX_EUR</f>
        <v>9572.273792337</v>
      </c>
      <c r="AB29" s="33" t="n">
        <f aca="false">'Sales &amp; marketing'!AB48/FX_EUR</f>
        <v>9572.273792337</v>
      </c>
      <c r="AC29" s="33" t="n">
        <f aca="false">'Sales &amp; marketing'!AC48/FX_EUR</f>
        <v>10050.8874819538</v>
      </c>
      <c r="AD29" s="33" t="n">
        <f aca="false">'Sales &amp; marketing'!AD48/FX_EUR</f>
        <v>10924.8776977759</v>
      </c>
      <c r="AE29" s="33" t="n">
        <f aca="false">'Sales &amp; marketing'!AE48/FX_EUR</f>
        <v>10924.8776977759</v>
      </c>
      <c r="AF29" s="33" t="n">
        <f aca="false">'Sales &amp; marketing'!AF48/FX_EUR</f>
        <v>10924.8776977759</v>
      </c>
      <c r="AG29" s="33" t="n">
        <f aca="false">'Sales &amp; marketing'!AG48/FX_EUR</f>
        <v>10924.8776977759</v>
      </c>
      <c r="AH29" s="33" t="n">
        <f aca="false">'Sales &amp; marketing'!AH48/FX_EUR</f>
        <v>11798.867913598</v>
      </c>
      <c r="AI29" s="33" t="n">
        <f aca="false">'Sales &amp; marketing'!AI48/FX_EUR</f>
        <v>11798.867913598</v>
      </c>
      <c r="AJ29" s="33" t="n">
        <f aca="false">'Sales &amp; marketing'!AJ48/FX_EUR</f>
        <v>11798.867913598</v>
      </c>
      <c r="AK29" s="33" t="n">
        <f aca="false">'Sales &amp; marketing'!AK48/FX_EUR</f>
        <v>11798.867913598</v>
      </c>
      <c r="AL29" s="33" t="n">
        <f aca="false">'Sales &amp; marketing'!AL48/FX_EUR</f>
        <v>12672.8581294201</v>
      </c>
      <c r="AM29" s="33" t="n">
        <f aca="false">'Sales &amp; marketing'!AM48/FX_EUR</f>
        <v>12672.8581294201</v>
      </c>
      <c r="AN29" s="33" t="n">
        <f aca="false">'Sales &amp; marketing'!AN48/FX_EUR</f>
        <v>13656.0971222199</v>
      </c>
      <c r="AO29" s="33" t="n">
        <f aca="false">'Sales &amp; marketing'!AO48/FX_EUR</f>
        <v>15256.5917049441</v>
      </c>
      <c r="AP29" s="33" t="n">
        <f aca="false">'Sales &amp; marketing'!AP48/FX_EUR</f>
        <v>15256.5917049441</v>
      </c>
      <c r="AQ29" s="33" t="n">
        <f aca="false">'Sales &amp; marketing'!AQ48/FX_EUR</f>
        <v>15256.5917049441</v>
      </c>
      <c r="AR29" s="33" t="n">
        <f aca="false">'Sales &amp; marketing'!AR48/FX_EUR</f>
        <v>16174.2814315573</v>
      </c>
      <c r="AS29" s="33" t="n">
        <f aca="false">'Sales &amp; marketing'!AS48/FX_EUR</f>
        <v>16174.2814315573</v>
      </c>
      <c r="AT29" s="33" t="n">
        <f aca="false">'Sales &amp; marketing'!AT48/FX_EUR</f>
        <v>16174.2814315573</v>
      </c>
      <c r="AU29" s="33" t="n">
        <f aca="false">'Sales &amp; marketing'!AU48/FX_EUR</f>
        <v>18124.3721006103</v>
      </c>
      <c r="AV29" s="33" t="n">
        <f aca="false">'Sales &amp; marketing'!AV48/FX_EUR</f>
        <v>18124.3721006103</v>
      </c>
      <c r="AW29" s="33" t="n">
        <f aca="false">'Sales &amp; marketing'!AW48/FX_EUR</f>
        <v>19042.0618272234</v>
      </c>
      <c r="AX29" s="33" t="n">
        <f aca="false">'Sales &amp; marketing'!AX48/FX_EUR</f>
        <v>19042.0618272234</v>
      </c>
      <c r="AY29" s="33" t="n">
        <f aca="false">'Sales &amp; marketing'!AY48/FX_EUR</f>
        <v>19042.0618272234</v>
      </c>
      <c r="AZ29" s="33" t="n">
        <f aca="false">'Sales &amp; marketing'!AZ48/FX_EUR</f>
        <v>20992.1524962764</v>
      </c>
      <c r="BA29" s="33" t="n">
        <f aca="false">'Sales &amp; marketing'!BA48/FX_EUR</f>
        <v>22041.7601210903</v>
      </c>
      <c r="BB29" s="33" t="n">
        <f aca="false">'Sales &amp; marketing'!BB48/FX_EUR</f>
        <v>23005.3343340341</v>
      </c>
      <c r="BC29" s="33" t="n">
        <f aca="false">'Sales &amp; marketing'!BC48/FX_EUR</f>
        <v>23005.3343340341</v>
      </c>
      <c r="BD29" s="33" t="n">
        <f aca="false">'Sales &amp; marketing'!BD48/FX_EUR</f>
        <v>24089.3553235959</v>
      </c>
      <c r="BE29" s="33" t="n">
        <f aca="false">'Sales &amp; marketing'!BE48/FX_EUR</f>
        <v>25052.9295365398</v>
      </c>
      <c r="BF29" s="33" t="n">
        <f aca="false">'Sales &amp; marketing'!BF48/FX_EUR</f>
        <v>25052.9295365398</v>
      </c>
      <c r="BG29" s="33" t="n">
        <f aca="false">'Sales &amp; marketing'!BG48/FX_EUR</f>
        <v>26016.5037494836</v>
      </c>
      <c r="BH29" s="33" t="n">
        <f aca="false">'Sales &amp; marketing'!BH48/FX_EUR</f>
        <v>27100.5247390454</v>
      </c>
      <c r="BI29" s="33" t="n">
        <f aca="false">'Sales &amp; marketing'!BI48/FX_EUR</f>
        <v>28064.0989519892</v>
      </c>
      <c r="BJ29" s="33" t="n">
        <f aca="false">'Sales &amp; marketing'!BJ48/FX_EUR</f>
        <v>28064.0989519892</v>
      </c>
      <c r="BK29" s="33" t="n">
        <f aca="false">'Sales &amp; marketing'!BK48/FX_EUR</f>
        <v>29027.6731649331</v>
      </c>
      <c r="BL29" s="33" t="n">
        <f aca="false">'Sales &amp; marketing'!BL48/FX_EUR</f>
        <v>30111.6941544949</v>
      </c>
    </row>
    <row r="30" customFormat="false" ht="15" hidden="false" customHeight="true" outlineLevel="0" collapsed="false">
      <c r="A30" s="13" t="s">
        <v>1206</v>
      </c>
      <c r="B30" s="15" t="s">
        <v>79</v>
      </c>
      <c r="E30" s="33" t="n">
        <f aca="false">'Sales &amp; marketing'!E49/FX_EUR</f>
        <v>0</v>
      </c>
      <c r="F30" s="33" t="n">
        <f aca="false">'Sales &amp; marketing'!F49/FX_EUR</f>
        <v>0</v>
      </c>
      <c r="G30" s="33" t="n">
        <f aca="false">'Sales &amp; marketing'!G49/FX_EUR</f>
        <v>0</v>
      </c>
      <c r="H30" s="33" t="n">
        <f aca="false">'Sales &amp; marketing'!H49/FX_EUR</f>
        <v>0</v>
      </c>
      <c r="I30" s="33" t="n">
        <f aca="false">'Sales &amp; marketing'!I49/FX_EUR</f>
        <v>253.071532320998</v>
      </c>
      <c r="J30" s="33" t="n">
        <f aca="false">'Sales &amp; marketing'!J49/FX_EUR</f>
        <v>251.005719718643</v>
      </c>
      <c r="K30" s="33" t="n">
        <f aca="false">'Sales &amp; marketing'!K49/FX_EUR</f>
        <v>248.858872164624</v>
      </c>
      <c r="L30" s="33" t="n">
        <f aca="false">'Sales &amp; marketing'!L49/FX_EUR</f>
        <v>246.629986791958</v>
      </c>
      <c r="M30" s="33" t="n">
        <f aca="false">'Sales &amp; marketing'!M49/FX_EUR</f>
        <v>244.318271637132</v>
      </c>
      <c r="N30" s="33" t="n">
        <f aca="false">'Sales &amp; marketing'!N49/FX_EUR</f>
        <v>241.923166269427</v>
      </c>
      <c r="O30" s="33" t="n">
        <f aca="false">'Sales &amp; marketing'!O49/FX_EUR</f>
        <v>239.444362228044</v>
      </c>
      <c r="P30" s="33" t="n">
        <f aca="false">'Sales &amp; marketing'!P49/FX_EUR</f>
        <v>236.881822991361</v>
      </c>
      <c r="Q30" s="33" t="n">
        <f aca="false">'Sales &amp; marketing'!Q49/FX_EUR</f>
        <v>207.296556703095</v>
      </c>
      <c r="R30" s="33" t="n">
        <f aca="false">'Sales &amp; marketing'!R49/FX_EUR</f>
        <v>205.510008082366</v>
      </c>
      <c r="S30" s="33" t="n">
        <f aca="false">'Sales &amp; marketing'!S49/FX_EUR</f>
        <v>203.657005368529</v>
      </c>
      <c r="T30" s="33" t="n">
        <f aca="false">'Sales &amp; marketing'!T49/FX_EUR</f>
        <v>201.737092477917</v>
      </c>
      <c r="U30" s="33" t="n">
        <f aca="false">'Sales &amp; marketing'!U49/FX_EUR</f>
        <v>199.750015004989</v>
      </c>
      <c r="V30" s="33" t="n">
        <f aca="false">'Sales &amp; marketing'!V49/FX_EUR</f>
        <v>225.348358807379</v>
      </c>
      <c r="W30" s="33" t="n">
        <f aca="false">'Sales &amp; marketing'!W49/FX_EUR</f>
        <v>168.778722584213</v>
      </c>
      <c r="X30" s="33" t="n">
        <f aca="false">'Sales &amp; marketing'!X49/FX_EUR</f>
        <v>175.293368208827</v>
      </c>
      <c r="Y30" s="33" t="n">
        <f aca="false">'Sales &amp; marketing'!Y49/FX_EUR</f>
        <v>162.481952932966</v>
      </c>
      <c r="Z30" s="33" t="n">
        <f aca="false">'Sales &amp; marketing'!Z49/FX_EUR</f>
        <v>160.897810613592</v>
      </c>
      <c r="AA30" s="33" t="n">
        <f aca="false">'Sales &amp; marketing'!AA49/FX_EUR</f>
        <v>159.262093039614</v>
      </c>
      <c r="AB30" s="33" t="n">
        <f aca="false">'Sales &amp; marketing'!AB49/FX_EUR</f>
        <v>157.575151832468</v>
      </c>
      <c r="AC30" s="33" t="n">
        <f aca="false">'Sales &amp; marketing'!AC49/FX_EUR</f>
        <v>158.424762672124</v>
      </c>
      <c r="AD30" s="33" t="n">
        <f aca="false">'Sales &amp; marketing'!AD49/FX_EUR</f>
        <v>162.78537922522</v>
      </c>
      <c r="AE30" s="33" t="n">
        <f aca="false">'Sales &amp; marketing'!AE49/FX_EUR</f>
        <v>154.057836453734</v>
      </c>
      <c r="AF30" s="33" t="n">
        <f aca="false">'Sales &amp; marketing'!AF49/FX_EUR</f>
        <v>152.594884773588</v>
      </c>
      <c r="AG30" s="33" t="n">
        <f aca="false">'Sales &amp; marketing'!AG49/FX_EUR</f>
        <v>151.083930867187</v>
      </c>
      <c r="AH30" s="33" t="n">
        <f aca="false">'Sales &amp; marketing'!AH49/FX_EUR</f>
        <v>154.793772031919</v>
      </c>
      <c r="AI30" s="33" t="n">
        <f aca="false">'Sales &amp; marketing'!AI49/FX_EUR</f>
        <v>146.936031677767</v>
      </c>
      <c r="AJ30" s="33" t="n">
        <f aca="false">'Sales &amp; marketing'!AJ49/FX_EUR</f>
        <v>145.363456094029</v>
      </c>
      <c r="AK30" s="33" t="n">
        <f aca="false">'Sales &amp; marketing'!AK49/FX_EUR</f>
        <v>143.745399131645</v>
      </c>
      <c r="AL30" s="33" t="n">
        <f aca="false">'Sales &amp; marketing'!AL49/FX_EUR</f>
        <v>146.843608647647</v>
      </c>
      <c r="AM30" s="33" t="n">
        <f aca="false">'Sales &amp; marketing'!AM49/FX_EUR</f>
        <v>139.761655225167</v>
      </c>
      <c r="AN30" s="33" t="n">
        <f aca="false">'Sales &amp; marketing'!AN49/FX_EUR</f>
        <v>143.013960958546</v>
      </c>
      <c r="AO30" s="33" t="n">
        <f aca="false">'Sales &amp; marketing'!AO49/FX_EUR</f>
        <v>145.459221246889</v>
      </c>
      <c r="AP30" s="33" t="n">
        <f aca="false">'Sales &amp; marketing'!AP49/FX_EUR</f>
        <v>139.360401542143</v>
      </c>
      <c r="AQ30" s="33" t="n">
        <f aca="false">'Sales &amp; marketing'!AQ49/FX_EUR</f>
        <v>137.707102268857</v>
      </c>
      <c r="AR30" s="33" t="n">
        <f aca="false">'Sales &amp; marketing'!AR49/FX_EUR</f>
        <v>139.800926292648</v>
      </c>
      <c r="AS30" s="33" t="n">
        <f aca="false">'Sales &amp; marketing'!AS49/FX_EUR</f>
        <v>134.130278291966</v>
      </c>
      <c r="AT30" s="33" t="n">
        <f aca="false">'Sales &amp; marketing'!AT49/FX_EUR</f>
        <v>132.40915010258</v>
      </c>
      <c r="AU30" s="33" t="n">
        <f aca="false">'Sales &amp; marketing'!AU49/FX_EUR</f>
        <v>138.01003926678</v>
      </c>
      <c r="AV30" s="33" t="n">
        <f aca="false">'Sales &amp; marketing'!AV49/FX_EUR</f>
        <v>129.551466253028</v>
      </c>
      <c r="AW30" s="33" t="n">
        <f aca="false">'Sales &amp; marketing'!AW49/FX_EUR</f>
        <v>131.650518151917</v>
      </c>
      <c r="AX30" s="33" t="n">
        <f aca="false">'Sales &amp; marketing'!AX49/FX_EUR</f>
        <v>128.00214213823</v>
      </c>
      <c r="AY30" s="33" t="n">
        <f aca="false">'Sales &amp; marketing'!AY49/FX_EUR</f>
        <v>127.5326739447</v>
      </c>
      <c r="AZ30" s="33" t="n">
        <f aca="false">'Sales &amp; marketing'!AZ49/FX_EUR</f>
        <v>133.55885283918</v>
      </c>
      <c r="BA30" s="33" t="n">
        <f aca="false">'Sales &amp; marketing'!BA49/FX_EUR</f>
        <v>131.718146202565</v>
      </c>
      <c r="BB30" s="33" t="n">
        <f aca="false">'Sales &amp; marketing'!BB49/FX_EUR</f>
        <v>134.101484471065</v>
      </c>
      <c r="BC30" s="33" t="n">
        <f aca="false">'Sales &amp; marketing'!BC49/FX_EUR</f>
        <v>130.735764515218</v>
      </c>
      <c r="BD30" s="33" t="n">
        <f aca="false">'Sales &amp; marketing'!BD49/FX_EUR</f>
        <v>133.298935302756</v>
      </c>
      <c r="BE30" s="33" t="n">
        <f aca="false">'Sales &amp; marketing'!BE49/FX_EUR</f>
        <v>133.003315814737</v>
      </c>
      <c r="BF30" s="33" t="n">
        <f aca="false">'Sales &amp; marketing'!BF49/FX_EUR</f>
        <v>129.755259122396</v>
      </c>
      <c r="BG30" s="33" t="n">
        <f aca="false">'Sales &amp; marketing'!BG49/FX_EUR</f>
        <v>131.78256220472</v>
      </c>
      <c r="BH30" s="33" t="n">
        <f aca="false">'Sales &amp; marketing'!BH49/FX_EUR</f>
        <v>131.469692351091</v>
      </c>
      <c r="BI30" s="33" t="n">
        <f aca="false">'Sales &amp; marketing'!BI49/FX_EUR</f>
        <v>131.098265469135</v>
      </c>
      <c r="BJ30" s="33" t="n">
        <f aca="false">'Sales &amp; marketing'!BJ49/FX_EUR</f>
        <v>128.012279176466</v>
      </c>
      <c r="BK30" s="33" t="n">
        <f aca="false">'Sales &amp; marketing'!BK49/FX_EUR</f>
        <v>130.094187712715</v>
      </c>
      <c r="BL30" s="33" t="n">
        <f aca="false">'Sales &amp; marketing'!BL49/FX_EUR</f>
        <v>130.445251532409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26</v>
      </c>
    </row>
    <row r="2" customFormat="false" ht="15" hidden="false" customHeight="true" outlineLevel="0" collapsed="false">
      <c r="A2" s="3" t="s">
        <v>1209</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1210</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1211</v>
      </c>
      <c r="B9" s="15" t="s">
        <v>89</v>
      </c>
      <c r="D9" s="58" t="n">
        <f aca="false">SUM(E9:BL9)</f>
        <v>7422.24051119763</v>
      </c>
      <c r="E9" s="27" t="n">
        <f aca="false">'Sales &amp; marketing'!E34</f>
        <v>0</v>
      </c>
      <c r="F9" s="27" t="n">
        <f aca="false">'Sales &amp; marketing'!F34</f>
        <v>0</v>
      </c>
      <c r="G9" s="27" t="n">
        <f aca="false">'Sales &amp; marketing'!G34</f>
        <v>0</v>
      </c>
      <c r="H9" s="27" t="n">
        <f aca="false">'Sales &amp; marketing'!H34</f>
        <v>0</v>
      </c>
      <c r="I9" s="27" t="n">
        <f aca="false">'Sales &amp; marketing'!I34</f>
        <v>29.68</v>
      </c>
      <c r="J9" s="27" t="n">
        <f aca="false">'Sales &amp; marketing'!J34</f>
        <v>29.968</v>
      </c>
      <c r="K9" s="27" t="n">
        <f aca="false">'Sales &amp; marketing'!K34</f>
        <v>30.27328</v>
      </c>
      <c r="L9" s="27" t="n">
        <f aca="false">'Sales &amp; marketing'!L34</f>
        <v>30.5968768</v>
      </c>
      <c r="M9" s="27" t="n">
        <f aca="false">'Sales &amp; marketing'!M34</f>
        <v>30.939889408</v>
      </c>
      <c r="N9" s="27" t="n">
        <f aca="false">'Sales &amp; marketing'!N34</f>
        <v>31.30348277248</v>
      </c>
      <c r="O9" s="27" t="n">
        <f aca="false">'Sales &amp; marketing'!O34</f>
        <v>31.6888917388288</v>
      </c>
      <c r="P9" s="27" t="n">
        <f aca="false">'Sales &amp; marketing'!P34</f>
        <v>32.0974252431585</v>
      </c>
      <c r="Q9" s="27" t="n">
        <f aca="false">'Sales &amp; marketing'!Q34</f>
        <v>43.010470757748</v>
      </c>
      <c r="R9" s="27" t="n">
        <f aca="false">'Sales &amp; marketing'!R34</f>
        <v>43.4694990032129</v>
      </c>
      <c r="S9" s="27" t="n">
        <f aca="false">'Sales &amp; marketing'!S34</f>
        <v>43.9560689434057</v>
      </c>
      <c r="T9" s="27" t="n">
        <f aca="false">'Sales &amp; marketing'!T34</f>
        <v>44.4718330800101</v>
      </c>
      <c r="U9" s="27" t="n">
        <f aca="false">'Sales &amp; marketing'!U34</f>
        <v>45.0185430648107</v>
      </c>
      <c r="V9" s="27" t="n">
        <f aca="false">'Sales &amp; marketing'!V34</f>
        <v>45.5980556486993</v>
      </c>
      <c r="W9" s="27" t="n">
        <f aca="false">'Sales &amp; marketing'!W34</f>
        <v>68.9323389876212</v>
      </c>
      <c r="X9" s="27" t="n">
        <f aca="false">'Sales &amp; marketing'!X34</f>
        <v>69.7994793268785</v>
      </c>
      <c r="Y9" s="27" t="n">
        <f aca="false">'Sales &amp; marketing'!Y34</f>
        <v>75.5186480864912</v>
      </c>
      <c r="Z9" s="27" t="n">
        <f aca="false">'Sales &amp; marketing'!Z34</f>
        <v>76.4929669716807</v>
      </c>
      <c r="AA9" s="27" t="n">
        <f aca="false">'Sales &amp; marketing'!AA34</f>
        <v>77.5257449899815</v>
      </c>
      <c r="AB9" s="27" t="n">
        <f aca="false">'Sales &amp; marketing'!AB34</f>
        <v>78.6204896893804</v>
      </c>
      <c r="AC9" s="27" t="n">
        <f aca="false">'Sales &amp; marketing'!AC34</f>
        <v>100.820919070743</v>
      </c>
      <c r="AD9" s="27" t="n">
        <f aca="false">'Sales &amp; marketing'!AD34</f>
        <v>102.050974214988</v>
      </c>
      <c r="AE9" s="27" t="n">
        <f aca="false">'Sales &amp; marketing'!AE34</f>
        <v>108.154832667887</v>
      </c>
      <c r="AF9" s="27" t="n">
        <f aca="false">'Sales &amp; marketing'!AF34</f>
        <v>109.53692262796</v>
      </c>
      <c r="AG9" s="27" t="n">
        <f aca="false">'Sales &amp; marketing'!AG34</f>
        <v>111.001937985638</v>
      </c>
      <c r="AH9" s="27" t="n">
        <f aca="false">'Sales &amp; marketing'!AH34</f>
        <v>112.554854264776</v>
      </c>
      <c r="AI9" s="27" t="n">
        <f aca="false">'Sales &amp; marketing'!AI34</f>
        <v>119.000945520663</v>
      </c>
      <c r="AJ9" s="27" t="n">
        <f aca="false">'Sales &amp; marketing'!AJ34</f>
        <v>120.745802251903</v>
      </c>
      <c r="AK9" s="27" t="n">
        <f aca="false">'Sales &amp; marketing'!AK34</f>
        <v>122.595350387017</v>
      </c>
      <c r="AL9" s="27" t="n">
        <f aca="false">'Sales &amp; marketing'!AL34</f>
        <v>124.555871410238</v>
      </c>
      <c r="AM9" s="27" t="n">
        <f aca="false">'Sales &amp; marketing'!AM34</f>
        <v>131.434023694852</v>
      </c>
      <c r="AN9" s="27" t="n">
        <f aca="false">'Sales &amp; marketing'!AN34</f>
        <v>133.636865116543</v>
      </c>
      <c r="AO9" s="27" t="n">
        <f aca="false">'Sales &amp; marketing'!AO34</f>
        <v>150.771877023536</v>
      </c>
      <c r="AP9" s="27" t="n">
        <f aca="false">'Sales &amp; marketing'!AP34</f>
        <v>158.046989644948</v>
      </c>
      <c r="AQ9" s="27" t="n">
        <f aca="false">'Sales &amp; marketing'!AQ34</f>
        <v>160.670609023645</v>
      </c>
      <c r="AR9" s="27" t="n">
        <f aca="false">'Sales &amp; marketing'!AR34</f>
        <v>163.451645565064</v>
      </c>
      <c r="AS9" s="27" t="n">
        <f aca="false">'Sales &amp; marketing'!AS34</f>
        <v>171.199544298967</v>
      </c>
      <c r="AT9" s="27" t="n">
        <f aca="false">'Sales &amp; marketing'!AT34</f>
        <v>174.324316956905</v>
      </c>
      <c r="AU9" s="27" t="n">
        <f aca="false">'Sales &amp; marketing'!AU34</f>
        <v>177.63657597432</v>
      </c>
      <c r="AV9" s="27" t="n">
        <f aca="false">'Sales &amp; marketing'!AV34</f>
        <v>190.267570532779</v>
      </c>
      <c r="AW9" s="27" t="n">
        <f aca="false">'Sales &amp; marketing'!AW34</f>
        <v>192.617778666541</v>
      </c>
      <c r="AX9" s="27" t="n">
        <f aca="false">'Sales &amp; marketing'!AX34</f>
        <v>198.400445386534</v>
      </c>
      <c r="AY9" s="27" t="n">
        <f aca="false">'Sales &amp; marketing'!AY34</f>
        <v>199.442072109726</v>
      </c>
      <c r="AZ9" s="27" t="n">
        <f aca="false">'Sales &amp; marketing'!AZ34</f>
        <v>200.546196436309</v>
      </c>
      <c r="BA9" s="27" t="n">
        <f aca="false">'Sales &amp; marketing'!BA34</f>
        <v>221.396568222488</v>
      </c>
      <c r="BB9" s="27" t="n">
        <f aca="false">'Sales &amp; marketing'!BB34</f>
        <v>222.637162315837</v>
      </c>
      <c r="BC9" s="27" t="n">
        <f aca="false">'Sales &amp; marketing'!BC34</f>
        <v>228.752192054787</v>
      </c>
      <c r="BD9" s="27" t="n">
        <f aca="false">'Sales &amp; marketing'!BD34</f>
        <v>230.146123578074</v>
      </c>
      <c r="BE9" s="27" t="n">
        <f aca="false">'Sales &amp; marketing'!BE34</f>
        <v>235.943690992759</v>
      </c>
      <c r="BF9" s="27" t="n">
        <f aca="false">'Sales &amp; marketing'!BF34</f>
        <v>242.309912452324</v>
      </c>
      <c r="BG9" s="27" t="n">
        <f aca="false">'Sales &amp; marketing'!BG34</f>
        <v>243.970107199464</v>
      </c>
      <c r="BH9" s="27" t="n">
        <f aca="false">'Sales &amp; marketing'!BH34</f>
        <v>250.529913631432</v>
      </c>
      <c r="BI9" s="27" t="n">
        <f aca="false">'Sales &amp; marketing'!BI34</f>
        <v>256.715308449318</v>
      </c>
      <c r="BJ9" s="27" t="n">
        <f aca="false">'Sales &amp; marketing'!BJ34</f>
        <v>263.492626956277</v>
      </c>
      <c r="BK9" s="27" t="n">
        <f aca="false">'Sales &amp; marketing'!BK34</f>
        <v>264.56</v>
      </c>
      <c r="BL9" s="27" t="n">
        <f aca="false">'Sales &amp; marketing'!BL34</f>
        <v>269.36</v>
      </c>
    </row>
    <row r="10" customFormat="false" ht="15" hidden="false" customHeight="true" outlineLevel="0" collapsed="false">
      <c r="A10" s="13" t="s">
        <v>1212</v>
      </c>
      <c r="B10" s="15" t="s">
        <v>89</v>
      </c>
      <c r="D10" s="58" t="n">
        <f aca="false">SUM(E10:BL10)</f>
        <v>3711.12025559881</v>
      </c>
      <c r="E10" s="27" t="n">
        <f aca="false">'Sales &amp; marketing'!E35</f>
        <v>0</v>
      </c>
      <c r="F10" s="27" t="n">
        <f aca="false">'Sales &amp; marketing'!F35</f>
        <v>0</v>
      </c>
      <c r="G10" s="27" t="n">
        <f aca="false">'Sales &amp; marketing'!G35</f>
        <v>0</v>
      </c>
      <c r="H10" s="27" t="n">
        <f aca="false">'Sales &amp; marketing'!H35</f>
        <v>0</v>
      </c>
      <c r="I10" s="27" t="n">
        <f aca="false">'Sales &amp; marketing'!I35</f>
        <v>14.84</v>
      </c>
      <c r="J10" s="27" t="n">
        <f aca="false">'Sales &amp; marketing'!J35</f>
        <v>14.984</v>
      </c>
      <c r="K10" s="27" t="n">
        <f aca="false">'Sales &amp; marketing'!K35</f>
        <v>15.13664</v>
      </c>
      <c r="L10" s="27" t="n">
        <f aca="false">'Sales &amp; marketing'!L35</f>
        <v>15.2984384</v>
      </c>
      <c r="M10" s="27" t="n">
        <f aca="false">'Sales &amp; marketing'!M35</f>
        <v>15.469944704</v>
      </c>
      <c r="N10" s="27" t="n">
        <f aca="false">'Sales &amp; marketing'!N35</f>
        <v>15.65174138624</v>
      </c>
      <c r="O10" s="27" t="n">
        <f aca="false">'Sales &amp; marketing'!O35</f>
        <v>15.8444458694144</v>
      </c>
      <c r="P10" s="27" t="n">
        <f aca="false">'Sales &amp; marketing'!P35</f>
        <v>16.0487126215793</v>
      </c>
      <c r="Q10" s="27" t="n">
        <f aca="false">'Sales &amp; marketing'!Q35</f>
        <v>21.505235378874</v>
      </c>
      <c r="R10" s="27" t="n">
        <f aca="false">'Sales &amp; marketing'!R35</f>
        <v>21.7347495016065</v>
      </c>
      <c r="S10" s="27" t="n">
        <f aca="false">'Sales &amp; marketing'!S35</f>
        <v>21.9780344717029</v>
      </c>
      <c r="T10" s="27" t="n">
        <f aca="false">'Sales &amp; marketing'!T35</f>
        <v>22.235916540005</v>
      </c>
      <c r="U10" s="27" t="n">
        <f aca="false">'Sales &amp; marketing'!U35</f>
        <v>22.5092715324053</v>
      </c>
      <c r="V10" s="27" t="n">
        <f aca="false">'Sales &amp; marketing'!V35</f>
        <v>22.7990278243496</v>
      </c>
      <c r="W10" s="27" t="n">
        <f aca="false">'Sales &amp; marketing'!W35</f>
        <v>34.4661694938106</v>
      </c>
      <c r="X10" s="27" t="n">
        <f aca="false">'Sales &amp; marketing'!X35</f>
        <v>34.8997396634393</v>
      </c>
      <c r="Y10" s="27" t="n">
        <f aca="false">'Sales &amp; marketing'!Y35</f>
        <v>37.7593240432456</v>
      </c>
      <c r="Z10" s="27" t="n">
        <f aca="false">'Sales &amp; marketing'!Z35</f>
        <v>38.2464834858404</v>
      </c>
      <c r="AA10" s="27" t="n">
        <f aca="false">'Sales &amp; marketing'!AA35</f>
        <v>38.7628724949908</v>
      </c>
      <c r="AB10" s="27" t="n">
        <f aca="false">'Sales &amp; marketing'!AB35</f>
        <v>39.3102448446902</v>
      </c>
      <c r="AC10" s="27" t="n">
        <f aca="false">'Sales &amp; marketing'!AC35</f>
        <v>50.4104595353716</v>
      </c>
      <c r="AD10" s="27" t="n">
        <f aca="false">'Sales &amp; marketing'!AD35</f>
        <v>51.0254871074939</v>
      </c>
      <c r="AE10" s="27" t="n">
        <f aca="false">'Sales &amp; marketing'!AE35</f>
        <v>54.0774163339436</v>
      </c>
      <c r="AF10" s="27" t="n">
        <f aca="false">'Sales &amp; marketing'!AF35</f>
        <v>54.7684613139802</v>
      </c>
      <c r="AG10" s="27" t="n">
        <f aca="false">'Sales &amp; marketing'!AG35</f>
        <v>55.500968992819</v>
      </c>
      <c r="AH10" s="27" t="n">
        <f aca="false">'Sales &amp; marketing'!AH35</f>
        <v>56.2774271323881</v>
      </c>
      <c r="AI10" s="27" t="n">
        <f aca="false">'Sales &amp; marketing'!AI35</f>
        <v>59.5004727603314</v>
      </c>
      <c r="AJ10" s="27" t="n">
        <f aca="false">'Sales &amp; marketing'!AJ35</f>
        <v>60.3729011259513</v>
      </c>
      <c r="AK10" s="27" t="n">
        <f aca="false">'Sales &amp; marketing'!AK35</f>
        <v>61.2976751935084</v>
      </c>
      <c r="AL10" s="27" t="n">
        <f aca="false">'Sales &amp; marketing'!AL35</f>
        <v>62.2779357051189</v>
      </c>
      <c r="AM10" s="27" t="n">
        <f aca="false">'Sales &amp; marketing'!AM35</f>
        <v>65.717011847426</v>
      </c>
      <c r="AN10" s="27" t="n">
        <f aca="false">'Sales &amp; marketing'!AN35</f>
        <v>66.8184325582716</v>
      </c>
      <c r="AO10" s="27" t="n">
        <f aca="false">'Sales &amp; marketing'!AO35</f>
        <v>75.3859385117679</v>
      </c>
      <c r="AP10" s="27" t="n">
        <f aca="false">'Sales &amp; marketing'!AP35</f>
        <v>79.023494822474</v>
      </c>
      <c r="AQ10" s="27" t="n">
        <f aca="false">'Sales &amp; marketing'!AQ35</f>
        <v>80.3353045118224</v>
      </c>
      <c r="AR10" s="27" t="n">
        <f aca="false">'Sales &amp; marketing'!AR35</f>
        <v>81.7258227825318</v>
      </c>
      <c r="AS10" s="27" t="n">
        <f aca="false">'Sales &amp; marketing'!AS35</f>
        <v>85.5997721494837</v>
      </c>
      <c r="AT10" s="27" t="n">
        <f aca="false">'Sales &amp; marketing'!AT35</f>
        <v>87.1621584784527</v>
      </c>
      <c r="AU10" s="27" t="n">
        <f aca="false">'Sales &amp; marketing'!AU35</f>
        <v>88.8182879871599</v>
      </c>
      <c r="AV10" s="27" t="n">
        <f aca="false">'Sales &amp; marketing'!AV35</f>
        <v>95.1337852663894</v>
      </c>
      <c r="AW10" s="27" t="n">
        <f aca="false">'Sales &amp; marketing'!AW35</f>
        <v>96.3088893332706</v>
      </c>
      <c r="AX10" s="27" t="n">
        <f aca="false">'Sales &amp; marketing'!AX35</f>
        <v>99.2002226932668</v>
      </c>
      <c r="AY10" s="27" t="n">
        <f aca="false">'Sales &amp; marketing'!AY35</f>
        <v>99.7210360548628</v>
      </c>
      <c r="AZ10" s="27" t="n">
        <f aca="false">'Sales &amp; marketing'!AZ35</f>
        <v>100.273098218155</v>
      </c>
      <c r="BA10" s="27" t="n">
        <f aca="false">'Sales &amp; marketing'!BA35</f>
        <v>110.698284111244</v>
      </c>
      <c r="BB10" s="27" t="n">
        <f aca="false">'Sales &amp; marketing'!BB35</f>
        <v>111.318581157919</v>
      </c>
      <c r="BC10" s="27" t="n">
        <f aca="false">'Sales &amp; marketing'!BC35</f>
        <v>114.376096027394</v>
      </c>
      <c r="BD10" s="27" t="n">
        <f aca="false">'Sales &amp; marketing'!BD35</f>
        <v>115.073061789037</v>
      </c>
      <c r="BE10" s="27" t="n">
        <f aca="false">'Sales &amp; marketing'!BE35</f>
        <v>117.971845496379</v>
      </c>
      <c r="BF10" s="27" t="n">
        <f aca="false">'Sales &amp; marketing'!BF35</f>
        <v>121.154956226162</v>
      </c>
      <c r="BG10" s="27" t="n">
        <f aca="false">'Sales &amp; marketing'!BG35</f>
        <v>121.985053599732</v>
      </c>
      <c r="BH10" s="27" t="n">
        <f aca="false">'Sales &amp; marketing'!BH35</f>
        <v>125.264956815716</v>
      </c>
      <c r="BI10" s="27" t="n">
        <f aca="false">'Sales &amp; marketing'!BI35</f>
        <v>128.357654224659</v>
      </c>
      <c r="BJ10" s="27" t="n">
        <f aca="false">'Sales &amp; marketing'!BJ35</f>
        <v>131.746313478138</v>
      </c>
      <c r="BK10" s="27" t="n">
        <f aca="false">'Sales &amp; marketing'!BK35</f>
        <v>132.28</v>
      </c>
      <c r="BL10" s="27" t="n">
        <f aca="false">'Sales &amp; marketing'!BL35</f>
        <v>134.68</v>
      </c>
    </row>
    <row r="11" customFormat="false" ht="15" hidden="false" customHeight="true" outlineLevel="0" collapsed="false">
      <c r="A11" s="13" t="s">
        <v>1213</v>
      </c>
      <c r="B11" s="15" t="s">
        <v>89</v>
      </c>
      <c r="D11" s="58" t="n">
        <f aca="false">SUM(E11:BL11)</f>
        <v>1237.0400851996</v>
      </c>
      <c r="E11" s="27" t="n">
        <f aca="false">'Sales &amp; marketing'!E36</f>
        <v>0</v>
      </c>
      <c r="F11" s="27" t="n">
        <f aca="false">'Sales &amp; marketing'!F36</f>
        <v>0</v>
      </c>
      <c r="G11" s="27" t="n">
        <f aca="false">'Sales &amp; marketing'!G36</f>
        <v>0</v>
      </c>
      <c r="H11" s="27" t="n">
        <f aca="false">'Sales &amp; marketing'!H36</f>
        <v>0</v>
      </c>
      <c r="I11" s="27" t="n">
        <f aca="false">'Sales &amp; marketing'!I36</f>
        <v>4.94666666666667</v>
      </c>
      <c r="J11" s="27" t="n">
        <f aca="false">'Sales &amp; marketing'!J36</f>
        <v>4.99466666666667</v>
      </c>
      <c r="K11" s="27" t="n">
        <f aca="false">'Sales &amp; marketing'!K36</f>
        <v>5.04554666666667</v>
      </c>
      <c r="L11" s="27" t="n">
        <f aca="false">'Sales &amp; marketing'!L36</f>
        <v>5.09947946666667</v>
      </c>
      <c r="M11" s="27" t="n">
        <f aca="false">'Sales &amp; marketing'!M36</f>
        <v>5.15664823466667</v>
      </c>
      <c r="N11" s="27" t="n">
        <f aca="false">'Sales &amp; marketing'!N36</f>
        <v>5.21724712874667</v>
      </c>
      <c r="O11" s="27" t="n">
        <f aca="false">'Sales &amp; marketing'!O36</f>
        <v>5.28148195647147</v>
      </c>
      <c r="P11" s="27" t="n">
        <f aca="false">'Sales &amp; marketing'!P36</f>
        <v>5.34957087385976</v>
      </c>
      <c r="Q11" s="27" t="n">
        <f aca="false">'Sales &amp; marketing'!Q36</f>
        <v>7.16841179295801</v>
      </c>
      <c r="R11" s="27" t="n">
        <f aca="false">'Sales &amp; marketing'!R36</f>
        <v>7.24491650053549</v>
      </c>
      <c r="S11" s="27" t="n">
        <f aca="false">'Sales &amp; marketing'!S36</f>
        <v>7.32601149056762</v>
      </c>
      <c r="T11" s="27" t="n">
        <f aca="false">'Sales &amp; marketing'!T36</f>
        <v>7.41197218000168</v>
      </c>
      <c r="U11" s="27" t="n">
        <f aca="false">'Sales &amp; marketing'!U36</f>
        <v>7.50309051080178</v>
      </c>
      <c r="V11" s="27" t="n">
        <f aca="false">'Sales &amp; marketing'!V36</f>
        <v>7.59967594144988</v>
      </c>
      <c r="W11" s="27" t="n">
        <f aca="false">'Sales &amp; marketing'!W36</f>
        <v>11.4887231646035</v>
      </c>
      <c r="X11" s="27" t="n">
        <f aca="false">'Sales &amp; marketing'!X36</f>
        <v>11.6332465544798</v>
      </c>
      <c r="Y11" s="27" t="n">
        <f aca="false">'Sales &amp; marketing'!Y36</f>
        <v>12.5864413477485</v>
      </c>
      <c r="Z11" s="27" t="n">
        <f aca="false">'Sales &amp; marketing'!Z36</f>
        <v>12.7488278286135</v>
      </c>
      <c r="AA11" s="27" t="n">
        <f aca="false">'Sales &amp; marketing'!AA36</f>
        <v>12.9209574983303</v>
      </c>
      <c r="AB11" s="27" t="n">
        <f aca="false">'Sales &amp; marketing'!AB36</f>
        <v>13.1034149482301</v>
      </c>
      <c r="AC11" s="27" t="n">
        <f aca="false">'Sales &amp; marketing'!AC36</f>
        <v>16.8034865117905</v>
      </c>
      <c r="AD11" s="27" t="n">
        <f aca="false">'Sales &amp; marketing'!AD36</f>
        <v>17.008495702498</v>
      </c>
      <c r="AE11" s="27" t="n">
        <f aca="false">'Sales &amp; marketing'!AE36</f>
        <v>18.0258054446479</v>
      </c>
      <c r="AF11" s="27" t="n">
        <f aca="false">'Sales &amp; marketing'!AF36</f>
        <v>18.2561537713267</v>
      </c>
      <c r="AG11" s="27" t="n">
        <f aca="false">'Sales &amp; marketing'!AG36</f>
        <v>18.5003229976063</v>
      </c>
      <c r="AH11" s="27" t="n">
        <f aca="false">'Sales &amp; marketing'!AH36</f>
        <v>18.7591423774627</v>
      </c>
      <c r="AI11" s="27" t="n">
        <f aca="false">'Sales &amp; marketing'!AI36</f>
        <v>19.8334909201105</v>
      </c>
      <c r="AJ11" s="27" t="n">
        <f aca="false">'Sales &amp; marketing'!AJ36</f>
        <v>20.1243003753171</v>
      </c>
      <c r="AK11" s="27" t="n">
        <f aca="false">'Sales &amp; marketing'!AK36</f>
        <v>20.4325583978361</v>
      </c>
      <c r="AL11" s="27" t="n">
        <f aca="false">'Sales &amp; marketing'!AL36</f>
        <v>20.7593119017063</v>
      </c>
      <c r="AM11" s="27" t="n">
        <f aca="false">'Sales &amp; marketing'!AM36</f>
        <v>21.9056706158087</v>
      </c>
      <c r="AN11" s="27" t="n">
        <f aca="false">'Sales &amp; marketing'!AN36</f>
        <v>22.2728108527572</v>
      </c>
      <c r="AO11" s="27" t="n">
        <f aca="false">'Sales &amp; marketing'!AO36</f>
        <v>25.1286461705893</v>
      </c>
      <c r="AP11" s="27" t="n">
        <f aca="false">'Sales &amp; marketing'!AP36</f>
        <v>26.3411649408247</v>
      </c>
      <c r="AQ11" s="27" t="n">
        <f aca="false">'Sales &amp; marketing'!AQ36</f>
        <v>26.7784348372741</v>
      </c>
      <c r="AR11" s="27" t="n">
        <f aca="false">'Sales &amp; marketing'!AR36</f>
        <v>27.2419409275106</v>
      </c>
      <c r="AS11" s="27" t="n">
        <f aca="false">'Sales &amp; marketing'!AS36</f>
        <v>28.5332573831612</v>
      </c>
      <c r="AT11" s="27" t="n">
        <f aca="false">'Sales &amp; marketing'!AT36</f>
        <v>29.0540528261509</v>
      </c>
      <c r="AU11" s="27" t="n">
        <f aca="false">'Sales &amp; marketing'!AU36</f>
        <v>29.60609599572</v>
      </c>
      <c r="AV11" s="27" t="n">
        <f aca="false">'Sales &amp; marketing'!AV36</f>
        <v>31.7112617554632</v>
      </c>
      <c r="AW11" s="27" t="n">
        <f aca="false">'Sales &amp; marketing'!AW36</f>
        <v>32.1029631110902</v>
      </c>
      <c r="AX11" s="27" t="n">
        <f aca="false">'Sales &amp; marketing'!AX36</f>
        <v>33.0667408977556</v>
      </c>
      <c r="AY11" s="27" t="n">
        <f aca="false">'Sales &amp; marketing'!AY36</f>
        <v>33.2403453516209</v>
      </c>
      <c r="AZ11" s="27" t="n">
        <f aca="false">'Sales &amp; marketing'!AZ36</f>
        <v>33.4243660727182</v>
      </c>
      <c r="BA11" s="27" t="n">
        <f aca="false">'Sales &amp; marketing'!BA36</f>
        <v>36.8994280370813</v>
      </c>
      <c r="BB11" s="27" t="n">
        <f aca="false">'Sales &amp; marketing'!BB36</f>
        <v>37.1061937193062</v>
      </c>
      <c r="BC11" s="27" t="n">
        <f aca="false">'Sales &amp; marketing'!BC36</f>
        <v>38.1253653424645</v>
      </c>
      <c r="BD11" s="27" t="n">
        <f aca="false">'Sales &amp; marketing'!BD36</f>
        <v>38.3576872630124</v>
      </c>
      <c r="BE11" s="27" t="n">
        <f aca="false">'Sales &amp; marketing'!BE36</f>
        <v>39.3239484987932</v>
      </c>
      <c r="BF11" s="27" t="n">
        <f aca="false">'Sales &amp; marketing'!BF36</f>
        <v>40.3849854087207</v>
      </c>
      <c r="BG11" s="27" t="n">
        <f aca="false">'Sales &amp; marketing'!BG36</f>
        <v>40.661684533244</v>
      </c>
      <c r="BH11" s="27" t="n">
        <f aca="false">'Sales &amp; marketing'!BH36</f>
        <v>41.7549856052386</v>
      </c>
      <c r="BI11" s="27" t="n">
        <f aca="false">'Sales &amp; marketing'!BI36</f>
        <v>42.785884741553</v>
      </c>
      <c r="BJ11" s="27" t="n">
        <f aca="false">'Sales &amp; marketing'!BJ36</f>
        <v>43.9154378260461</v>
      </c>
      <c r="BK11" s="27" t="n">
        <f aca="false">'Sales &amp; marketing'!BK36</f>
        <v>44.0933333333333</v>
      </c>
      <c r="BL11" s="27" t="n">
        <f aca="false">'Sales &amp; marketing'!BL36</f>
        <v>44.8933333333333</v>
      </c>
    </row>
    <row r="13" customFormat="false" ht="15" hidden="false" customHeight="true" outlineLevel="0" collapsed="false">
      <c r="A13" s="11" t="s">
        <v>1214</v>
      </c>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row>
    <row r="14" customFormat="false" ht="15" hidden="false" customHeight="true" outlineLevel="0" collapsed="false">
      <c r="A14" s="13" t="s">
        <v>1215</v>
      </c>
      <c r="B14" s="15" t="s">
        <v>89</v>
      </c>
      <c r="D14" s="56" t="n">
        <f aca="false">BL14</f>
        <v>5331.58339326924</v>
      </c>
      <c r="E14" s="33" t="n">
        <f aca="false">E9</f>
        <v>0</v>
      </c>
      <c r="F14" s="33" t="n">
        <f aca="false">E14*(1-Churn_Petite)+F9</f>
        <v>0</v>
      </c>
      <c r="G14" s="33" t="n">
        <f aca="false">F14*(1-Churn_Petite)+G9</f>
        <v>0</v>
      </c>
      <c r="H14" s="33" t="n">
        <f aca="false">G14*(1-Churn_Petite)+H9</f>
        <v>0</v>
      </c>
      <c r="I14" s="33" t="n">
        <f aca="false">H14*(1-Churn_Petite)+I9</f>
        <v>29.68</v>
      </c>
      <c r="J14" s="33" t="n">
        <f aca="false">I14*(1-Churn_Petite)+J9</f>
        <v>59.0544</v>
      </c>
      <c r="K14" s="33" t="n">
        <f aca="false">J14*(1-Churn_Petite)+K9</f>
        <v>88.146592</v>
      </c>
      <c r="L14" s="33" t="n">
        <f aca="false">K14*(1-Churn_Petite)+L9</f>
        <v>116.98053696</v>
      </c>
      <c r="M14" s="33" t="n">
        <f aca="false">L14*(1-Churn_Petite)+M9</f>
        <v>145.5808156288</v>
      </c>
      <c r="N14" s="33" t="n">
        <f aca="false">M14*(1-Churn_Petite)+N9</f>
        <v>173.972682088704</v>
      </c>
      <c r="O14" s="33" t="n">
        <f aca="false">N14*(1-Churn_Petite)+O9</f>
        <v>202.182120185759</v>
      </c>
      <c r="P14" s="33" t="n">
        <f aca="false">O14*(1-Churn_Petite)+P9</f>
        <v>230.235903025202</v>
      </c>
      <c r="Q14" s="33" t="n">
        <f aca="false">P14*(1-Churn_Petite)+Q9</f>
        <v>268.641655722446</v>
      </c>
      <c r="R14" s="33" t="n">
        <f aca="false">Q14*(1-Churn_Petite)+R9</f>
        <v>306.73832161121</v>
      </c>
      <c r="S14" s="33" t="n">
        <f aca="false">R14*(1-Churn_Petite)+S9</f>
        <v>344.559624122392</v>
      </c>
      <c r="T14" s="33" t="n">
        <f aca="false">S14*(1-Churn_Petite)+T9</f>
        <v>382.140264719954</v>
      </c>
      <c r="U14" s="33" t="n">
        <f aca="false">T14*(1-Churn_Petite)+U9</f>
        <v>419.516002490365</v>
      </c>
      <c r="V14" s="33" t="n">
        <f aca="false">U14*(1-Churn_Petite)+V9</f>
        <v>456.723738089257</v>
      </c>
      <c r="W14" s="33" t="n">
        <f aca="false">V14*(1-Churn_Petite)+W9</f>
        <v>516.521602315094</v>
      </c>
      <c r="X14" s="33" t="n">
        <f aca="false">W14*(1-Churn_Petite)+X9</f>
        <v>575.99064959567</v>
      </c>
      <c r="Y14" s="33" t="n">
        <f aca="false">X14*(1-Churn_Petite)+Y9</f>
        <v>639.989484690248</v>
      </c>
      <c r="Z14" s="33" t="n">
        <f aca="false">Y14*(1-Churn_Petite)+Z9</f>
        <v>703.682661968124</v>
      </c>
      <c r="AA14" s="33" t="n">
        <f aca="false">Z14*(1-Churn_Petite)+AA9</f>
        <v>767.134753718743</v>
      </c>
      <c r="AB14" s="33" t="n">
        <f aca="false">AA14*(1-Churn_Petite)+AB9</f>
        <v>830.412548333748</v>
      </c>
      <c r="AC14" s="33" t="n">
        <f aca="false">AB14*(1-Churn_Petite)+AC9</f>
        <v>914.625216437817</v>
      </c>
      <c r="AD14" s="33" t="n">
        <f aca="false">AC14*(1-Churn_Petite)+AD9</f>
        <v>998.383686324048</v>
      </c>
      <c r="AE14" s="33" t="n">
        <f aca="false">AD14*(1-Churn_Petite)+AE9</f>
        <v>1086.57084526545</v>
      </c>
      <c r="AF14" s="33" t="n">
        <f aca="false">AE14*(1-Churn_Petite)+AF9</f>
        <v>1174.37635098811</v>
      </c>
      <c r="AG14" s="33" t="n">
        <f aca="false">AF14*(1-Churn_Petite)+AG9</f>
        <v>1261.89076195398</v>
      </c>
      <c r="AH14" s="33" t="n">
        <f aca="false">AG14*(1-Churn_Petite)+AH9</f>
        <v>1349.20780097968</v>
      </c>
      <c r="AI14" s="33" t="n">
        <f aca="false">AH14*(1-Churn_Petite)+AI9</f>
        <v>1441.22459048075</v>
      </c>
      <c r="AJ14" s="33" t="n">
        <f aca="false">AI14*(1-Churn_Petite)+AJ9</f>
        <v>1533.14590092303</v>
      </c>
      <c r="AK14" s="33" t="n">
        <f aca="false">AJ14*(1-Churn_Petite)+AK9</f>
        <v>1625.07833329159</v>
      </c>
      <c r="AL14" s="33" t="n">
        <f aca="false">AK14*(1-Churn_Petite)+AL9</f>
        <v>1717.132638036</v>
      </c>
      <c r="AM14" s="33" t="n">
        <f aca="false">AL14*(1-Churn_Petite)+AM9</f>
        <v>1814.22400897013</v>
      </c>
      <c r="AN14" s="33" t="n">
        <f aca="false">AM14*(1-Churn_Petite)+AN9</f>
        <v>1911.57639390727</v>
      </c>
      <c r="AO14" s="33" t="n">
        <f aca="false">AN14*(1-Churn_Petite)+AO9</f>
        <v>2024.11674305266</v>
      </c>
      <c r="AP14" s="33" t="n">
        <f aca="false">AO14*(1-Churn_Petite)+AP9</f>
        <v>2141.68139783655</v>
      </c>
      <c r="AQ14" s="33" t="n">
        <f aca="false">AP14*(1-Churn_Petite)+AQ9</f>
        <v>2259.51837890347</v>
      </c>
      <c r="AR14" s="33" t="n">
        <f aca="false">AQ14*(1-Churn_Petite)+AR9</f>
        <v>2377.77965689046</v>
      </c>
      <c r="AS14" s="33" t="n">
        <f aca="false">AR14*(1-Churn_Petite)+AS9</f>
        <v>2501.42360805162</v>
      </c>
      <c r="AT14" s="33" t="n">
        <f aca="false">AS14*(1-Churn_Petite)+AT9</f>
        <v>2625.71945284749</v>
      </c>
      <c r="AU14" s="33" t="n">
        <f aca="false">AT14*(1-Churn_Petite)+AU9</f>
        <v>2750.84163976486</v>
      </c>
      <c r="AV14" s="33" t="n">
        <f aca="false">AU14*(1-Churn_Petite)+AV9</f>
        <v>2886.09237750235</v>
      </c>
      <c r="AW14" s="33" t="n">
        <f aca="false">AV14*(1-Churn_Petite)+AW9</f>
        <v>3020.98830861884</v>
      </c>
      <c r="AX14" s="33" t="n">
        <f aca="false">AW14*(1-Churn_Petite)+AX9</f>
        <v>3158.968987833</v>
      </c>
      <c r="AY14" s="33" t="n">
        <f aca="false">AX14*(1-Churn_Petite)+AY9</f>
        <v>3295.23168018606</v>
      </c>
      <c r="AZ14" s="33" t="n">
        <f aca="false">AY14*(1-Churn_Petite)+AZ9</f>
        <v>3429.87324301865</v>
      </c>
      <c r="BA14" s="33" t="n">
        <f aca="false">AZ14*(1-Churn_Petite)+BA9</f>
        <v>3582.67234638076</v>
      </c>
      <c r="BB14" s="33" t="n">
        <f aca="false">BA14*(1-Churn_Petite)+BB9</f>
        <v>3733.65606176899</v>
      </c>
      <c r="BC14" s="33" t="n">
        <f aca="false">BB14*(1-Churn_Petite)+BC9</f>
        <v>3887.73513258839</v>
      </c>
      <c r="BD14" s="33" t="n">
        <f aca="false">BC14*(1-Churn_Petite)+BD9</f>
        <v>4040.1265535147</v>
      </c>
      <c r="BE14" s="33" t="n">
        <f aca="false">BD14*(1-Churn_Petite)+BE9</f>
        <v>4195.26771343716</v>
      </c>
      <c r="BF14" s="33" t="n">
        <f aca="false">BE14*(1-Churn_Petite)+BF9</f>
        <v>4353.67227162075</v>
      </c>
      <c r="BG14" s="33" t="n">
        <f aca="false">BF14*(1-Churn_Petite)+BG9</f>
        <v>4510.56893338779</v>
      </c>
      <c r="BH14" s="33" t="n">
        <f aca="false">BG14*(1-Churn_Petite)+BH9</f>
        <v>4670.88746835147</v>
      </c>
      <c r="BI14" s="33" t="n">
        <f aca="false">BH14*(1-Churn_Petite)+BI9</f>
        <v>4834.18502743376</v>
      </c>
      <c r="BJ14" s="33" t="n">
        <f aca="false">BI14*(1-Churn_Petite)+BJ9</f>
        <v>5000.99395384136</v>
      </c>
      <c r="BK14" s="33" t="n">
        <f aca="false">BJ14*(1-Churn_Petite)+BK9</f>
        <v>5165.53407476453</v>
      </c>
      <c r="BL14" s="33" t="n">
        <f aca="false">BK14*(1-Churn_Petite)+BL9</f>
        <v>5331.58339326924</v>
      </c>
    </row>
    <row r="15" customFormat="false" ht="15" hidden="false" customHeight="true" outlineLevel="0" collapsed="false">
      <c r="A15" s="13" t="s">
        <v>1216</v>
      </c>
      <c r="B15" s="15" t="s">
        <v>89</v>
      </c>
      <c r="D15" s="56" t="n">
        <f aca="false">BL15</f>
        <v>2996.26833359742</v>
      </c>
      <c r="E15" s="33" t="n">
        <f aca="false">E10</f>
        <v>0</v>
      </c>
      <c r="F15" s="33" t="n">
        <f aca="false">E15*(1-Churn_Moyenne)+F10</f>
        <v>0</v>
      </c>
      <c r="G15" s="33" t="n">
        <f aca="false">F15*(1-Churn_Moyenne)+G10</f>
        <v>0</v>
      </c>
      <c r="H15" s="33" t="n">
        <f aca="false">G15*(1-Churn_Moyenne)+H10</f>
        <v>0</v>
      </c>
      <c r="I15" s="33" t="n">
        <f aca="false">H15*(1-Churn_Moyenne)+I10</f>
        <v>14.84</v>
      </c>
      <c r="J15" s="33" t="n">
        <f aca="false">I15*(1-Churn_Moyenne)+J10</f>
        <v>29.6385</v>
      </c>
      <c r="K15" s="33" t="n">
        <f aca="false">J15*(1-Churn_Moyenne)+K10</f>
        <v>44.40465875</v>
      </c>
      <c r="L15" s="33" t="n">
        <f aca="false">K15*(1-Churn_Moyenne)+L10</f>
        <v>59.148038915625</v>
      </c>
      <c r="M15" s="33" t="n">
        <f aca="false">L15*(1-Churn_Moyenne)+M10</f>
        <v>73.8786331331797</v>
      </c>
      <c r="N15" s="33" t="n">
        <f aca="false">M15*(1-Churn_Moyenne)+N10</f>
        <v>88.606891605255</v>
      </c>
      <c r="O15" s="33" t="n">
        <f aca="false">N15*(1-Churn_Moyenne)+O10</f>
        <v>103.343751329604</v>
      </c>
      <c r="P15" s="33" t="n">
        <f aca="false">O15*(1-Churn_Moyenne)+P10</f>
        <v>118.100667059563</v>
      </c>
      <c r="Q15" s="33" t="n">
        <f aca="false">P15*(1-Churn_Moyenne)+Q10</f>
        <v>138.129644100192</v>
      </c>
      <c r="R15" s="33" t="n">
        <f aca="false">Q15*(1-Churn_Moyenne)+R10</f>
        <v>158.137773050546</v>
      </c>
      <c r="S15" s="33" t="n">
        <f aca="false">R15*(1-Churn_Moyenne)+S10</f>
        <v>178.139085359117</v>
      </c>
      <c r="T15" s="33" t="n">
        <f aca="false">S15*(1-Churn_Moyenne)+T10</f>
        <v>198.148263332134</v>
      </c>
      <c r="U15" s="33" t="n">
        <f aca="false">T15*(1-Churn_Moyenne)+U10</f>
        <v>218.180681572887</v>
      </c>
      <c r="V15" s="33" t="n">
        <f aca="false">U15*(1-Churn_Moyenne)+V10</f>
        <v>238.252450877576</v>
      </c>
      <c r="W15" s="33" t="n">
        <f aca="false">V15*(1-Churn_Moyenne)+W10</f>
        <v>269.740464735417</v>
      </c>
      <c r="X15" s="33" t="n">
        <f aca="false">W15*(1-Churn_Moyenne)+X10</f>
        <v>301.268448589663</v>
      </c>
      <c r="Y15" s="33" t="n">
        <f aca="false">X15*(1-Churn_Moyenne)+Y10</f>
        <v>335.261917025538</v>
      </c>
      <c r="Z15" s="33" t="n">
        <f aca="false">Y15*(1-Churn_Moyenne)+Z10</f>
        <v>369.317626548559</v>
      </c>
      <c r="AA15" s="33" t="n">
        <f aca="false">Z15*(1-Churn_Moyenne)+AA10</f>
        <v>403.464028711693</v>
      </c>
      <c r="AB15" s="33" t="n">
        <f aca="false">AA15*(1-Churn_Moyenne)+AB10</f>
        <v>437.730973197487</v>
      </c>
      <c r="AC15" s="33" t="n">
        <f aca="false">AB15*(1-Churn_Moyenne)+AC10</f>
        <v>482.66979556789</v>
      </c>
      <c r="AD15" s="33" t="n">
        <f aca="false">AC15*(1-Churn_Moyenne)+AD10</f>
        <v>527.661910230786</v>
      </c>
      <c r="AE15" s="33" t="n">
        <f aca="false">AD15*(1-Churn_Moyenne)+AE10</f>
        <v>575.143552686844</v>
      </c>
      <c r="AF15" s="33" t="n">
        <f aca="false">AE15*(1-Churn_Moyenne)+AF10</f>
        <v>622.722719592239</v>
      </c>
      <c r="AG15" s="33" t="n">
        <f aca="false">AF15*(1-Churn_Moyenne)+AG10</f>
        <v>670.439654590155</v>
      </c>
      <c r="AH15" s="33" t="n">
        <f aca="false">AG15*(1-Churn_Moyenne)+AH10</f>
        <v>718.336586040166</v>
      </c>
      <c r="AI15" s="33" t="n">
        <f aca="false">AH15*(1-Churn_Moyenne)+AI10</f>
        <v>768.857851474996</v>
      </c>
      <c r="AJ15" s="33" t="n">
        <f aca="false">AI15*(1-Churn_Moyenne)+AJ10</f>
        <v>819.620029457509</v>
      </c>
      <c r="AK15" s="33" t="n">
        <f aca="false">AJ15*(1-Churn_Moyenne)+AK10</f>
        <v>870.672454282799</v>
      </c>
      <c r="AL15" s="33" t="n">
        <f aca="false">AK15*(1-Churn_Moyenne)+AL10</f>
        <v>922.066984309383</v>
      </c>
      <c r="AM15" s="33" t="n">
        <f aca="false">AL15*(1-Churn_Moyenne)+AM10</f>
        <v>976.258158852942</v>
      </c>
      <c r="AN15" s="33" t="n">
        <f aca="false">AM15*(1-Churn_Moyenne)+AN10</f>
        <v>1030.87336442555</v>
      </c>
      <c r="AO15" s="33" t="n">
        <f aca="false">AN15*(1-Churn_Moyenne)+AO10</f>
        <v>1093.373385882</v>
      </c>
      <c r="AP15" s="33" t="n">
        <f aca="false">AO15*(1-Churn_Moyenne)+AP10</f>
        <v>1158.72971338095</v>
      </c>
      <c r="AQ15" s="33" t="n">
        <f aca="false">AP15*(1-Churn_Moyenne)+AQ10</f>
        <v>1224.58089647551</v>
      </c>
      <c r="AR15" s="33" t="n">
        <f aca="false">AQ15*(1-Churn_Moyenne)+AR10</f>
        <v>1290.9994580521</v>
      </c>
      <c r="AS15" s="33" t="n">
        <f aca="false">AR15*(1-Churn_Moyenne)+AS10</f>
        <v>1360.46173697593</v>
      </c>
      <c r="AT15" s="33" t="n">
        <f aca="false">AS15*(1-Churn_Moyenne)+AT10</f>
        <v>1430.61812374218</v>
      </c>
      <c r="AU15" s="33" t="n">
        <f aca="false">AT15*(1-Churn_Moyenne)+AU10</f>
        <v>1501.55368518257</v>
      </c>
      <c r="AV15" s="33" t="n">
        <f aca="false">AU15*(1-Churn_Moyenne)+AV10</f>
        <v>1577.91804938417</v>
      </c>
      <c r="AW15" s="33" t="n">
        <f aca="false">AV15*(1-Churn_Moyenne)+AW10</f>
        <v>1654.50296310014</v>
      </c>
      <c r="AX15" s="33" t="n">
        <f aca="false">AW15*(1-Churn_Moyenne)+AX10</f>
        <v>1733.02189875466</v>
      </c>
      <c r="AY15" s="33" t="n">
        <f aca="false">AX15*(1-Churn_Moyenne)+AY10</f>
        <v>1811.08016107509</v>
      </c>
      <c r="AZ15" s="33" t="n">
        <f aca="false">AY15*(1-Churn_Moyenne)+AZ10</f>
        <v>1888.7147572798</v>
      </c>
      <c r="BA15" s="33" t="n">
        <f aca="false">AZ15*(1-Churn_Moyenne)+BA10</f>
        <v>1975.80410692505</v>
      </c>
      <c r="BB15" s="33" t="n">
        <f aca="false">BA15*(1-Churn_Moyenne)+BB10</f>
        <v>2062.42513674641</v>
      </c>
      <c r="BC15" s="33" t="n">
        <f aca="false">BB15*(1-Churn_Moyenne)+BC10</f>
        <v>2151.02091856447</v>
      </c>
      <c r="BD15" s="33" t="n">
        <f aca="false">BC15*(1-Churn_Moyenne)+BD10</f>
        <v>2239.20621887145</v>
      </c>
      <c r="BE15" s="33" t="n">
        <f aca="false">BD15*(1-Churn_Moyenne)+BE10</f>
        <v>2329.18798663194</v>
      </c>
      <c r="BF15" s="33" t="n">
        <f aca="false">BE15*(1-Churn_Moyenne)+BF10</f>
        <v>2421.2280930252</v>
      </c>
      <c r="BG15" s="33" t="n">
        <f aca="false">BF15*(1-Churn_Moyenne)+BG10</f>
        <v>2512.94779546212</v>
      </c>
      <c r="BH15" s="33" t="n">
        <f aca="false">BG15*(1-Churn_Moyenne)+BH10</f>
        <v>2606.80090483456</v>
      </c>
      <c r="BI15" s="33" t="n">
        <f aca="false">BH15*(1-Churn_Moyenne)+BI10</f>
        <v>2702.57354774878</v>
      </c>
      <c r="BJ15" s="33" t="n">
        <f aca="false">BI15*(1-Churn_Moyenne)+BJ10</f>
        <v>2800.53769188006</v>
      </c>
      <c r="BK15" s="33" t="n">
        <f aca="false">BJ15*(1-Churn_Moyenne)+BK10</f>
        <v>2897.81097073156</v>
      </c>
      <c r="BL15" s="33" t="n">
        <f aca="false">BK15*(1-Churn_Moyenne)+BL10</f>
        <v>2996.26833359742</v>
      </c>
    </row>
    <row r="16" customFormat="false" ht="15" hidden="false" customHeight="true" outlineLevel="0" collapsed="false">
      <c r="A16" s="13" t="s">
        <v>1217</v>
      </c>
      <c r="B16" s="15" t="s">
        <v>89</v>
      </c>
      <c r="D16" s="56" t="n">
        <f aca="false">BL16</f>
        <v>1084.75854410087</v>
      </c>
      <c r="E16" s="33" t="n">
        <f aca="false">E11</f>
        <v>0</v>
      </c>
      <c r="F16" s="33" t="n">
        <f aca="false">E16*(1-Churn_Grande)+F11</f>
        <v>0</v>
      </c>
      <c r="G16" s="33" t="n">
        <f aca="false">F16*(1-Churn_Grande)+G11</f>
        <v>0</v>
      </c>
      <c r="H16" s="33" t="n">
        <f aca="false">G16*(1-Churn_Grande)+H11</f>
        <v>0</v>
      </c>
      <c r="I16" s="33" t="n">
        <f aca="false">H16*(1-Churn_Grande)+I11</f>
        <v>4.94666666666667</v>
      </c>
      <c r="J16" s="33" t="n">
        <f aca="false">I16*(1-Churn_Grande)+J11</f>
        <v>9.90423333333333</v>
      </c>
      <c r="K16" s="33" t="n">
        <f aca="false">J16*(1-Churn_Grande)+K11</f>
        <v>14.87549825</v>
      </c>
      <c r="L16" s="33" t="n">
        <f aca="false">K16*(1-Churn_Grande)+L11</f>
        <v>19.8634114797917</v>
      </c>
      <c r="M16" s="33" t="n">
        <f aca="false">L16*(1-Churn_Grande)+M11</f>
        <v>24.8710841283599</v>
      </c>
      <c r="N16" s="33" t="n">
        <f aca="false">M16*(1-Churn_Grande)+N11</f>
        <v>29.9017981261439</v>
      </c>
      <c r="O16" s="33" t="n">
        <f aca="false">N16*(1-Churn_Grande)+O11</f>
        <v>34.9590165966693</v>
      </c>
      <c r="P16" s="33" t="n">
        <f aca="false">O16*(1-Churn_Grande)+P11</f>
        <v>40.046394846054</v>
      </c>
      <c r="Q16" s="33" t="n">
        <f aca="false">P16*(1-Churn_Grande)+Q11</f>
        <v>46.9144586776666</v>
      </c>
      <c r="R16" s="33" t="n">
        <f aca="false">Q16*(1-Churn_Grande)+R11</f>
        <v>53.8075167381196</v>
      </c>
      <c r="S16" s="33" t="n">
        <f aca="false">R16*(1-Churn_Grande)+S11</f>
        <v>60.7299718531513</v>
      </c>
      <c r="T16" s="33" t="n">
        <f aca="false">S16*(1-Churn_Grande)+T11</f>
        <v>67.6864692442544</v>
      </c>
      <c r="U16" s="33" t="n">
        <f aca="false">T16*(1-Churn_Grande)+U11</f>
        <v>74.6819112357242</v>
      </c>
      <c r="V16" s="33" t="n">
        <f aca="false">U16*(1-Churn_Grande)+V11</f>
        <v>81.7214728429062</v>
      </c>
      <c r="W16" s="33" t="n">
        <f aca="false">V16*(1-Churn_Grande)+W11</f>
        <v>92.5972849611879</v>
      </c>
      <c r="X16" s="33" t="n">
        <f aca="false">W16*(1-Churn_Grande)+X11</f>
        <v>103.536051878459</v>
      </c>
      <c r="Y16" s="33" t="n">
        <f aca="false">X16*(1-Churn_Grande)+Y11</f>
        <v>115.345972837119</v>
      </c>
      <c r="Z16" s="33" t="n">
        <f aca="false">Y16*(1-Churn_Grande)+Z11</f>
        <v>127.229705869454</v>
      </c>
      <c r="AA16" s="33" t="n">
        <f aca="false">Z16*(1-Churn_Grande)+AA11</f>
        <v>139.196440573763</v>
      </c>
      <c r="AB16" s="33" t="n">
        <f aca="false">AA16*(1-Churn_Grande)+AB11</f>
        <v>151.25588221769</v>
      </c>
      <c r="AC16" s="33" t="n">
        <f aca="false">AB16*(1-Churn_Grande)+AC11</f>
        <v>166.924949612848</v>
      </c>
      <c r="AD16" s="33" t="n">
        <f aca="false">AC16*(1-Churn_Grande)+AD11</f>
        <v>182.68150819325</v>
      </c>
      <c r="AE16" s="33" t="n">
        <f aca="false">AD16*(1-Churn_Grande)+AE11</f>
        <v>199.337202326448</v>
      </c>
      <c r="AF16" s="33" t="n">
        <f aca="false">AE16*(1-Churn_Grande)+AF11</f>
        <v>216.098327080327</v>
      </c>
      <c r="AG16" s="33" t="n">
        <f aca="false">AF16*(1-Churn_Grande)+AG11</f>
        <v>232.97791262483</v>
      </c>
      <c r="AH16" s="33" t="n">
        <f aca="false">AG16*(1-Churn_Grande)+AH11</f>
        <v>249.989720657607</v>
      </c>
      <c r="AI16" s="33" t="n">
        <f aca="false">AH16*(1-Churn_Grande)+AI11</f>
        <v>267.948288672785</v>
      </c>
      <c r="AJ16" s="33" t="n">
        <f aca="false">AI16*(1-Churn_Grande)+AJ11</f>
        <v>286.062976883057</v>
      </c>
      <c r="AK16" s="33" t="n">
        <f aca="false">AJ16*(1-Churn_Grande)+AK11</f>
        <v>304.35006295427</v>
      </c>
      <c r="AL16" s="33" t="n">
        <f aca="false">AK16*(1-Churn_Grande)+AL11</f>
        <v>322.826749383819</v>
      </c>
      <c r="AM16" s="33" t="n">
        <f aca="false">AL16*(1-Churn_Grande)+AM11</f>
        <v>342.311219379249</v>
      </c>
      <c r="AN16" s="33" t="n">
        <f aca="false">AM16*(1-Churn_Grande)+AN11</f>
        <v>362.016696086662</v>
      </c>
      <c r="AO16" s="33" t="n">
        <f aca="false">AN16*(1-Churn_Grande)+AO11</f>
        <v>384.430217036601</v>
      </c>
      <c r="AP16" s="33" t="n">
        <f aca="false">AO16*(1-Churn_Grande)+AP11</f>
        <v>407.888155349652</v>
      </c>
      <c r="AQ16" s="33" t="n">
        <f aca="false">AP16*(1-Churn_Grande)+AQ11</f>
        <v>431.607429021803</v>
      </c>
      <c r="AR16" s="33" t="n">
        <f aca="false">AQ16*(1-Churn_Grande)+AR11</f>
        <v>455.61231423165</v>
      </c>
      <c r="AS16" s="33" t="n">
        <f aca="false">AR16*(1-Churn_Grande)+AS11</f>
        <v>480.728479258074</v>
      </c>
      <c r="AT16" s="33" t="n">
        <f aca="false">AS16*(1-Churn_Grande)+AT11</f>
        <v>506.17706848979</v>
      </c>
      <c r="AU16" s="33" t="n">
        <f aca="false">AT16*(1-Churn_Grande)+AU11</f>
        <v>531.986836471836</v>
      </c>
      <c r="AV16" s="33" t="n">
        <f aca="false">AU16*(1-Churn_Grande)+AV11</f>
        <v>559.708196953761</v>
      </c>
      <c r="AW16" s="33" t="n">
        <f aca="false">AV16*(1-Churn_Grande)+AW11</f>
        <v>587.613348587698</v>
      </c>
      <c r="AX16" s="33" t="n">
        <f aca="false">AW16*(1-Churn_Grande)+AX11</f>
        <v>616.272989371045</v>
      </c>
      <c r="AY16" s="33" t="n">
        <f aca="false">AX16*(1-Churn_Grande)+AY11</f>
        <v>644.891287302384</v>
      </c>
      <c r="AZ16" s="33" t="n">
        <f aca="false">AY16*(1-Churn_Grande)+AZ11</f>
        <v>673.478968720334</v>
      </c>
      <c r="BA16" s="33" t="n">
        <f aca="false">AZ16*(1-Churn_Grande)+BA11</f>
        <v>705.327304492013</v>
      </c>
      <c r="BB16" s="33" t="n">
        <f aca="false">BA16*(1-Churn_Grande)+BB11</f>
        <v>737.143543427629</v>
      </c>
      <c r="BC16" s="33" t="n">
        <f aca="false">BB16*(1-Churn_Grande)+BC11</f>
        <v>769.740332194386</v>
      </c>
      <c r="BD16" s="33" t="n">
        <f aca="false">BC16*(1-Churn_Grande)+BD11</f>
        <v>802.324966965941</v>
      </c>
      <c r="BE16" s="33" t="n">
        <f aca="false">BD16*(1-Churn_Grande)+BE11</f>
        <v>835.631478212489</v>
      </c>
      <c r="BF16" s="33" t="n">
        <f aca="false">BE16*(1-Churn_Grande)+BF11</f>
        <v>869.749227534616</v>
      </c>
      <c r="BG16" s="33" t="n">
        <f aca="false">BF16*(1-Churn_Grande)+BG11</f>
        <v>903.887792861351</v>
      </c>
      <c r="BH16" s="33" t="n">
        <f aca="false">BG16*(1-Churn_Grande)+BH11</f>
        <v>938.863620020129</v>
      </c>
      <c r="BI16" s="33" t="n">
        <f aca="false">BH16*(1-Churn_Grande)+BI11</f>
        <v>974.608027611531</v>
      </c>
      <c r="BJ16" s="33" t="n">
        <f aca="false">BI16*(1-Churn_Grande)+BJ11</f>
        <v>1011.21390523049</v>
      </c>
      <c r="BK16" s="33" t="n">
        <f aca="false">BJ16*(1-Churn_Grande)+BK11</f>
        <v>1047.7231342746</v>
      </c>
      <c r="BL16" s="33" t="n">
        <f aca="false">BK16*(1-Churn_Grande)+BL11</f>
        <v>1084.75854410087</v>
      </c>
    </row>
    <row r="17" customFormat="false" ht="15" hidden="false" customHeight="true" outlineLevel="0" collapsed="false">
      <c r="A17" s="9" t="s">
        <v>1218</v>
      </c>
      <c r="B17" s="15" t="s">
        <v>89</v>
      </c>
      <c r="D17" s="56" t="n">
        <f aca="false">BL17</f>
        <v>9412.61027096753</v>
      </c>
      <c r="E17" s="17" t="n">
        <f aca="false">E14+E15+E16</f>
        <v>0</v>
      </c>
      <c r="F17" s="17" t="n">
        <f aca="false">F14+F15+F16</f>
        <v>0</v>
      </c>
      <c r="G17" s="17" t="n">
        <f aca="false">G14+G15+G16</f>
        <v>0</v>
      </c>
      <c r="H17" s="17" t="n">
        <f aca="false">H14+H15+H16</f>
        <v>0</v>
      </c>
      <c r="I17" s="17" t="n">
        <f aca="false">I14+I15+I16</f>
        <v>49.4666666666667</v>
      </c>
      <c r="J17" s="17" t="n">
        <f aca="false">J14+J15+J16</f>
        <v>98.5971333333334</v>
      </c>
      <c r="K17" s="17" t="n">
        <f aca="false">K14+K15+K16</f>
        <v>147.426749</v>
      </c>
      <c r="L17" s="17" t="n">
        <f aca="false">L14+L15+L16</f>
        <v>195.991987355417</v>
      </c>
      <c r="M17" s="17" t="n">
        <f aca="false">M14+M15+M16</f>
        <v>244.33053289034</v>
      </c>
      <c r="N17" s="17" t="n">
        <f aca="false">N14+N15+N16</f>
        <v>292.481371820103</v>
      </c>
      <c r="O17" s="17" t="n">
        <f aca="false">O14+O15+O16</f>
        <v>340.484888112032</v>
      </c>
      <c r="P17" s="17" t="n">
        <f aca="false">P14+P15+P16</f>
        <v>388.382964930819</v>
      </c>
      <c r="Q17" s="17" t="n">
        <f aca="false">Q14+Q15+Q16</f>
        <v>453.685758500305</v>
      </c>
      <c r="R17" s="17" t="n">
        <f aca="false">R14+R15+R16</f>
        <v>518.683611399876</v>
      </c>
      <c r="S17" s="17" t="n">
        <f aca="false">S14+S15+S16</f>
        <v>583.42868133466</v>
      </c>
      <c r="T17" s="17" t="n">
        <f aca="false">T14+T15+T16</f>
        <v>647.974997296342</v>
      </c>
      <c r="U17" s="17" t="n">
        <f aca="false">U14+U15+U16</f>
        <v>712.378595298977</v>
      </c>
      <c r="V17" s="17" t="n">
        <f aca="false">V14+V15+V16</f>
        <v>776.697661809739</v>
      </c>
      <c r="W17" s="17" t="n">
        <f aca="false">W14+W15+W16</f>
        <v>878.859352011698</v>
      </c>
      <c r="X17" s="17" t="n">
        <f aca="false">X14+X15+X16</f>
        <v>980.795150063792</v>
      </c>
      <c r="Y17" s="17" t="n">
        <f aca="false">Y14+Y15+Y16</f>
        <v>1090.59737455291</v>
      </c>
      <c r="Z17" s="17" t="n">
        <f aca="false">Z14+Z15+Z16</f>
        <v>1200.22999438614</v>
      </c>
      <c r="AA17" s="17" t="n">
        <f aca="false">AA14+AA15+AA16</f>
        <v>1309.7952230042</v>
      </c>
      <c r="AB17" s="17" t="n">
        <f aca="false">AB14+AB15+AB16</f>
        <v>1419.39940374893</v>
      </c>
      <c r="AC17" s="17" t="n">
        <f aca="false">AC14+AC15+AC16</f>
        <v>1564.21996161855</v>
      </c>
      <c r="AD17" s="17" t="n">
        <f aca="false">AD14+AD15+AD16</f>
        <v>1708.72710474808</v>
      </c>
      <c r="AE17" s="17" t="n">
        <f aca="false">AE14+AE15+AE16</f>
        <v>1861.05160027875</v>
      </c>
      <c r="AF17" s="17" t="n">
        <f aca="false">AF14+AF15+AF16</f>
        <v>2013.19739766067</v>
      </c>
      <c r="AG17" s="17" t="n">
        <f aca="false">AG14+AG15+AG16</f>
        <v>2165.30832916897</v>
      </c>
      <c r="AH17" s="17" t="n">
        <f aca="false">AH14+AH15+AH16</f>
        <v>2317.53410767745</v>
      </c>
      <c r="AI17" s="17" t="n">
        <f aca="false">AI14+AI15+AI16</f>
        <v>2478.03073062853</v>
      </c>
      <c r="AJ17" s="17" t="n">
        <f aca="false">AJ14+AJ15+AJ16</f>
        <v>2638.8289072636</v>
      </c>
      <c r="AK17" s="17" t="n">
        <f aca="false">AK14+AK15+AK16</f>
        <v>2800.10085052866</v>
      </c>
      <c r="AL17" s="17" t="n">
        <f aca="false">AL14+AL15+AL16</f>
        <v>2962.0263717292</v>
      </c>
      <c r="AM17" s="17" t="n">
        <f aca="false">AM14+AM15+AM16</f>
        <v>3132.79338720232</v>
      </c>
      <c r="AN17" s="17" t="n">
        <f aca="false">AN14+AN15+AN16</f>
        <v>3304.46645441948</v>
      </c>
      <c r="AO17" s="17" t="n">
        <f aca="false">AO14+AO15+AO16</f>
        <v>3501.92034597126</v>
      </c>
      <c r="AP17" s="17" t="n">
        <f aca="false">AP14+AP15+AP16</f>
        <v>3708.29926656716</v>
      </c>
      <c r="AQ17" s="17" t="n">
        <f aca="false">AQ14+AQ15+AQ16</f>
        <v>3915.70670440078</v>
      </c>
      <c r="AR17" s="17" t="n">
        <f aca="false">AR14+AR15+AR16</f>
        <v>4124.39142917421</v>
      </c>
      <c r="AS17" s="17" t="n">
        <f aca="false">AS14+AS15+AS16</f>
        <v>4342.61382428562</v>
      </c>
      <c r="AT17" s="17" t="n">
        <f aca="false">AT14+AT15+AT16</f>
        <v>4562.51464507947</v>
      </c>
      <c r="AU17" s="17" t="n">
        <f aca="false">AU14+AU15+AU16</f>
        <v>4784.38216141927</v>
      </c>
      <c r="AV17" s="17" t="n">
        <f aca="false">AV14+AV15+AV16</f>
        <v>5023.71862384028</v>
      </c>
      <c r="AW17" s="17" t="n">
        <f aca="false">AW14+AW15+AW16</f>
        <v>5263.10462030668</v>
      </c>
      <c r="AX17" s="17" t="n">
        <f aca="false">AX14+AX15+AX16</f>
        <v>5508.2638759587</v>
      </c>
      <c r="AY17" s="17" t="n">
        <f aca="false">AY14+AY15+AY16</f>
        <v>5751.20312856353</v>
      </c>
      <c r="AZ17" s="17" t="n">
        <f aca="false">AZ14+AZ15+AZ16</f>
        <v>5992.06696901879</v>
      </c>
      <c r="BA17" s="17" t="n">
        <f aca="false">BA14+BA15+BA16</f>
        <v>6263.80375779783</v>
      </c>
      <c r="BB17" s="17" t="n">
        <f aca="false">BB14+BB15+BB16</f>
        <v>6533.22474194302</v>
      </c>
      <c r="BC17" s="17" t="n">
        <f aca="false">BC14+BC15+BC16</f>
        <v>6808.49638334725</v>
      </c>
      <c r="BD17" s="17" t="n">
        <f aca="false">BD14+BD15+BD16</f>
        <v>7081.65773935209</v>
      </c>
      <c r="BE17" s="17" t="n">
        <f aca="false">BE14+BE15+BE16</f>
        <v>7360.08717828159</v>
      </c>
      <c r="BF17" s="17" t="n">
        <f aca="false">BF14+BF15+BF16</f>
        <v>7644.64959218056</v>
      </c>
      <c r="BG17" s="17" t="n">
        <f aca="false">BG14+BG15+BG16</f>
        <v>7927.40452171126</v>
      </c>
      <c r="BH17" s="17" t="n">
        <f aca="false">BH14+BH15+BH16</f>
        <v>8216.55199320616</v>
      </c>
      <c r="BI17" s="17" t="n">
        <f aca="false">BI14+BI15+BI16</f>
        <v>8511.36660279407</v>
      </c>
      <c r="BJ17" s="17" t="n">
        <f aca="false">BJ14+BJ15+BJ16</f>
        <v>8812.74555095191</v>
      </c>
      <c r="BK17" s="17" t="n">
        <f aca="false">BK14+BK15+BK16</f>
        <v>9111.06817977069</v>
      </c>
      <c r="BL17" s="17" t="n">
        <f aca="false">BL14+BL15+BL16</f>
        <v>9412.61027096753</v>
      </c>
    </row>
    <row r="18" customFormat="false" ht="15" hidden="false" customHeight="true" outlineLevel="0" collapsed="false">
      <c r="A18" s="13" t="s">
        <v>1219</v>
      </c>
      <c r="B18" s="15" t="s">
        <v>96</v>
      </c>
      <c r="E18" s="34" t="n">
        <f aca="false">Mix_Petite*Churn_Petite+Mix_Moyenne*Churn_Moyenne+Mix_Grande*Churn_Grande</f>
        <v>0.0165</v>
      </c>
      <c r="F18" s="34" t="n">
        <f aca="false">Mix_Petite*Churn_Petite+Mix_Moyenne*Churn_Moyenne+Mix_Grande*Churn_Grande</f>
        <v>0.0165</v>
      </c>
      <c r="G18" s="34" t="n">
        <f aca="false">Mix_Petite*Churn_Petite+Mix_Moyenne*Churn_Moyenne+Mix_Grande*Churn_Grande</f>
        <v>0.0165</v>
      </c>
      <c r="H18" s="34" t="n">
        <f aca="false">Mix_Petite*Churn_Petite+Mix_Moyenne*Churn_Moyenne+Mix_Grande*Churn_Grande</f>
        <v>0.0165</v>
      </c>
      <c r="I18" s="34" t="n">
        <f aca="false">Mix_Petite*Churn_Petite+Mix_Moyenne*Churn_Moyenne+Mix_Grande*Churn_Grande</f>
        <v>0.0165</v>
      </c>
      <c r="J18" s="34" t="n">
        <f aca="false">Mix_Petite*Churn_Petite+Mix_Moyenne*Churn_Moyenne+Mix_Grande*Churn_Grande</f>
        <v>0.0165</v>
      </c>
      <c r="K18" s="34" t="n">
        <f aca="false">Mix_Petite*Churn_Petite+Mix_Moyenne*Churn_Moyenne+Mix_Grande*Churn_Grande</f>
        <v>0.0165</v>
      </c>
      <c r="L18" s="34" t="n">
        <f aca="false">Mix_Petite*Churn_Petite+Mix_Moyenne*Churn_Moyenne+Mix_Grande*Churn_Grande</f>
        <v>0.0165</v>
      </c>
      <c r="M18" s="34" t="n">
        <f aca="false">Mix_Petite*Churn_Petite+Mix_Moyenne*Churn_Moyenne+Mix_Grande*Churn_Grande</f>
        <v>0.0165</v>
      </c>
      <c r="N18" s="34" t="n">
        <f aca="false">Mix_Petite*Churn_Petite+Mix_Moyenne*Churn_Moyenne+Mix_Grande*Churn_Grande</f>
        <v>0.0165</v>
      </c>
      <c r="O18" s="34" t="n">
        <f aca="false">Mix_Petite*Churn_Petite+Mix_Moyenne*Churn_Moyenne+Mix_Grande*Churn_Grande</f>
        <v>0.0165</v>
      </c>
      <c r="P18" s="34" t="n">
        <f aca="false">Mix_Petite*Churn_Petite+Mix_Moyenne*Churn_Moyenne+Mix_Grande*Churn_Grande</f>
        <v>0.0165</v>
      </c>
      <c r="Q18" s="34" t="n">
        <f aca="false">Mix_Petite*Churn_Petite+Mix_Moyenne*Churn_Moyenne+Mix_Grande*Churn_Grande</f>
        <v>0.0165</v>
      </c>
      <c r="R18" s="34" t="n">
        <f aca="false">Mix_Petite*Churn_Petite+Mix_Moyenne*Churn_Moyenne+Mix_Grande*Churn_Grande</f>
        <v>0.0165</v>
      </c>
      <c r="S18" s="34" t="n">
        <f aca="false">Mix_Petite*Churn_Petite+Mix_Moyenne*Churn_Moyenne+Mix_Grande*Churn_Grande</f>
        <v>0.0165</v>
      </c>
      <c r="T18" s="34" t="n">
        <f aca="false">Mix_Petite*Churn_Petite+Mix_Moyenne*Churn_Moyenne+Mix_Grande*Churn_Grande</f>
        <v>0.0165</v>
      </c>
      <c r="U18" s="34" t="n">
        <f aca="false">Mix_Petite*Churn_Petite+Mix_Moyenne*Churn_Moyenne+Mix_Grande*Churn_Grande</f>
        <v>0.0165</v>
      </c>
      <c r="V18" s="34" t="n">
        <f aca="false">Mix_Petite*Churn_Petite+Mix_Moyenne*Churn_Moyenne+Mix_Grande*Churn_Grande</f>
        <v>0.0165</v>
      </c>
      <c r="W18" s="34" t="n">
        <f aca="false">Mix_Petite*Churn_Petite+Mix_Moyenne*Churn_Moyenne+Mix_Grande*Churn_Grande</f>
        <v>0.0165</v>
      </c>
      <c r="X18" s="34" t="n">
        <f aca="false">Mix_Petite*Churn_Petite+Mix_Moyenne*Churn_Moyenne+Mix_Grande*Churn_Grande</f>
        <v>0.0165</v>
      </c>
      <c r="Y18" s="34" t="n">
        <f aca="false">Mix_Petite*Churn_Petite+Mix_Moyenne*Churn_Moyenne+Mix_Grande*Churn_Grande</f>
        <v>0.0165</v>
      </c>
      <c r="Z18" s="34" t="n">
        <f aca="false">Mix_Petite*Churn_Petite+Mix_Moyenne*Churn_Moyenne+Mix_Grande*Churn_Grande</f>
        <v>0.0165</v>
      </c>
      <c r="AA18" s="34" t="n">
        <f aca="false">Mix_Petite*Churn_Petite+Mix_Moyenne*Churn_Moyenne+Mix_Grande*Churn_Grande</f>
        <v>0.0165</v>
      </c>
      <c r="AB18" s="34" t="n">
        <f aca="false">Mix_Petite*Churn_Petite+Mix_Moyenne*Churn_Moyenne+Mix_Grande*Churn_Grande</f>
        <v>0.0165</v>
      </c>
      <c r="AC18" s="34" t="n">
        <f aca="false">Mix_Petite*Churn_Petite+Mix_Moyenne*Churn_Moyenne+Mix_Grande*Churn_Grande</f>
        <v>0.0165</v>
      </c>
      <c r="AD18" s="34" t="n">
        <f aca="false">Mix_Petite*Churn_Petite+Mix_Moyenne*Churn_Moyenne+Mix_Grande*Churn_Grande</f>
        <v>0.0165</v>
      </c>
      <c r="AE18" s="34" t="n">
        <f aca="false">Mix_Petite*Churn_Petite+Mix_Moyenne*Churn_Moyenne+Mix_Grande*Churn_Grande</f>
        <v>0.0165</v>
      </c>
      <c r="AF18" s="34" t="n">
        <f aca="false">Mix_Petite*Churn_Petite+Mix_Moyenne*Churn_Moyenne+Mix_Grande*Churn_Grande</f>
        <v>0.0165</v>
      </c>
      <c r="AG18" s="34" t="n">
        <f aca="false">Mix_Petite*Churn_Petite+Mix_Moyenne*Churn_Moyenne+Mix_Grande*Churn_Grande</f>
        <v>0.0165</v>
      </c>
      <c r="AH18" s="34" t="n">
        <f aca="false">Mix_Petite*Churn_Petite+Mix_Moyenne*Churn_Moyenne+Mix_Grande*Churn_Grande</f>
        <v>0.0165</v>
      </c>
      <c r="AI18" s="34" t="n">
        <f aca="false">Mix_Petite*Churn_Petite+Mix_Moyenne*Churn_Moyenne+Mix_Grande*Churn_Grande</f>
        <v>0.0165</v>
      </c>
      <c r="AJ18" s="34" t="n">
        <f aca="false">Mix_Petite*Churn_Petite+Mix_Moyenne*Churn_Moyenne+Mix_Grande*Churn_Grande</f>
        <v>0.0165</v>
      </c>
      <c r="AK18" s="34" t="n">
        <f aca="false">Mix_Petite*Churn_Petite+Mix_Moyenne*Churn_Moyenne+Mix_Grande*Churn_Grande</f>
        <v>0.0165</v>
      </c>
      <c r="AL18" s="34" t="n">
        <f aca="false">Mix_Petite*Churn_Petite+Mix_Moyenne*Churn_Moyenne+Mix_Grande*Churn_Grande</f>
        <v>0.0165</v>
      </c>
      <c r="AM18" s="34" t="n">
        <f aca="false">Mix_Petite*Churn_Petite+Mix_Moyenne*Churn_Moyenne+Mix_Grande*Churn_Grande</f>
        <v>0.0165</v>
      </c>
      <c r="AN18" s="34" t="n">
        <f aca="false">Mix_Petite*Churn_Petite+Mix_Moyenne*Churn_Moyenne+Mix_Grande*Churn_Grande</f>
        <v>0.0165</v>
      </c>
      <c r="AO18" s="34" t="n">
        <f aca="false">Mix_Petite*Churn_Petite+Mix_Moyenne*Churn_Moyenne+Mix_Grande*Churn_Grande</f>
        <v>0.0165</v>
      </c>
      <c r="AP18" s="34" t="n">
        <f aca="false">Mix_Petite*Churn_Petite+Mix_Moyenne*Churn_Moyenne+Mix_Grande*Churn_Grande</f>
        <v>0.0165</v>
      </c>
      <c r="AQ18" s="34" t="n">
        <f aca="false">Mix_Petite*Churn_Petite+Mix_Moyenne*Churn_Moyenne+Mix_Grande*Churn_Grande</f>
        <v>0.0165</v>
      </c>
      <c r="AR18" s="34" t="n">
        <f aca="false">Mix_Petite*Churn_Petite+Mix_Moyenne*Churn_Moyenne+Mix_Grande*Churn_Grande</f>
        <v>0.0165</v>
      </c>
      <c r="AS18" s="34" t="n">
        <f aca="false">Mix_Petite*Churn_Petite+Mix_Moyenne*Churn_Moyenne+Mix_Grande*Churn_Grande</f>
        <v>0.0165</v>
      </c>
      <c r="AT18" s="34" t="n">
        <f aca="false">Mix_Petite*Churn_Petite+Mix_Moyenne*Churn_Moyenne+Mix_Grande*Churn_Grande</f>
        <v>0.0165</v>
      </c>
      <c r="AU18" s="34" t="n">
        <f aca="false">Mix_Petite*Churn_Petite+Mix_Moyenne*Churn_Moyenne+Mix_Grande*Churn_Grande</f>
        <v>0.0165</v>
      </c>
      <c r="AV18" s="34" t="n">
        <f aca="false">Mix_Petite*Churn_Petite+Mix_Moyenne*Churn_Moyenne+Mix_Grande*Churn_Grande</f>
        <v>0.0165</v>
      </c>
      <c r="AW18" s="34" t="n">
        <f aca="false">Mix_Petite*Churn_Petite+Mix_Moyenne*Churn_Moyenne+Mix_Grande*Churn_Grande</f>
        <v>0.0165</v>
      </c>
      <c r="AX18" s="34" t="n">
        <f aca="false">Mix_Petite*Churn_Petite+Mix_Moyenne*Churn_Moyenne+Mix_Grande*Churn_Grande</f>
        <v>0.0165</v>
      </c>
      <c r="AY18" s="34" t="n">
        <f aca="false">Mix_Petite*Churn_Petite+Mix_Moyenne*Churn_Moyenne+Mix_Grande*Churn_Grande</f>
        <v>0.0165</v>
      </c>
      <c r="AZ18" s="34" t="n">
        <f aca="false">Mix_Petite*Churn_Petite+Mix_Moyenne*Churn_Moyenne+Mix_Grande*Churn_Grande</f>
        <v>0.0165</v>
      </c>
      <c r="BA18" s="34" t="n">
        <f aca="false">Mix_Petite*Churn_Petite+Mix_Moyenne*Churn_Moyenne+Mix_Grande*Churn_Grande</f>
        <v>0.0165</v>
      </c>
      <c r="BB18" s="34" t="n">
        <f aca="false">Mix_Petite*Churn_Petite+Mix_Moyenne*Churn_Moyenne+Mix_Grande*Churn_Grande</f>
        <v>0.0165</v>
      </c>
      <c r="BC18" s="34" t="n">
        <f aca="false">Mix_Petite*Churn_Petite+Mix_Moyenne*Churn_Moyenne+Mix_Grande*Churn_Grande</f>
        <v>0.0165</v>
      </c>
      <c r="BD18" s="34" t="n">
        <f aca="false">Mix_Petite*Churn_Petite+Mix_Moyenne*Churn_Moyenne+Mix_Grande*Churn_Grande</f>
        <v>0.0165</v>
      </c>
      <c r="BE18" s="34" t="n">
        <f aca="false">Mix_Petite*Churn_Petite+Mix_Moyenne*Churn_Moyenne+Mix_Grande*Churn_Grande</f>
        <v>0.0165</v>
      </c>
      <c r="BF18" s="34" t="n">
        <f aca="false">Mix_Petite*Churn_Petite+Mix_Moyenne*Churn_Moyenne+Mix_Grande*Churn_Grande</f>
        <v>0.0165</v>
      </c>
      <c r="BG18" s="34" t="n">
        <f aca="false">Mix_Petite*Churn_Petite+Mix_Moyenne*Churn_Moyenne+Mix_Grande*Churn_Grande</f>
        <v>0.0165</v>
      </c>
      <c r="BH18" s="34" t="n">
        <f aca="false">Mix_Petite*Churn_Petite+Mix_Moyenne*Churn_Moyenne+Mix_Grande*Churn_Grande</f>
        <v>0.0165</v>
      </c>
      <c r="BI18" s="34" t="n">
        <f aca="false">Mix_Petite*Churn_Petite+Mix_Moyenne*Churn_Moyenne+Mix_Grande*Churn_Grande</f>
        <v>0.0165</v>
      </c>
      <c r="BJ18" s="34" t="n">
        <f aca="false">Mix_Petite*Churn_Petite+Mix_Moyenne*Churn_Moyenne+Mix_Grande*Churn_Grande</f>
        <v>0.0165</v>
      </c>
      <c r="BK18" s="34" t="n">
        <f aca="false">Mix_Petite*Churn_Petite+Mix_Moyenne*Churn_Moyenne+Mix_Grande*Churn_Grande</f>
        <v>0.0165</v>
      </c>
      <c r="BL18" s="34" t="n">
        <f aca="false">Mix_Petite*Churn_Petite+Mix_Moyenne*Churn_Moyenne+Mix_Grande*Churn_Grande</f>
        <v>0.0165</v>
      </c>
    </row>
    <row r="19" customFormat="false" ht="15" hidden="false" customHeight="true" outlineLevel="0" collapsed="false">
      <c r="A19" s="13" t="s">
        <v>1220</v>
      </c>
      <c r="B19" s="15" t="s">
        <v>89</v>
      </c>
      <c r="D19" s="56" t="n">
        <f aca="false">BL19</f>
        <v>6381.32536714945</v>
      </c>
      <c r="E19" s="33" t="n">
        <f aca="false">'Sales &amp; marketing'!E31</f>
        <v>0</v>
      </c>
      <c r="F19" s="33" t="n">
        <f aca="false">E19*(1-F18)+'Sales &amp; marketing'!F31</f>
        <v>0</v>
      </c>
      <c r="G19" s="33" t="n">
        <f aca="false">F19*(1-G18)+'Sales &amp; marketing'!G31</f>
        <v>0</v>
      </c>
      <c r="H19" s="33" t="n">
        <f aca="false">G19*(1-H18)+'Sales &amp; marketing'!H31</f>
        <v>0</v>
      </c>
      <c r="I19" s="33" t="n">
        <f aca="false">H19*(1-I18)+'Sales &amp; marketing'!I31</f>
        <v>49.4666666666667</v>
      </c>
      <c r="J19" s="33" t="n">
        <f aca="false">I19*(1-J18)+'Sales &amp; marketing'!J31</f>
        <v>98.5971333333334</v>
      </c>
      <c r="K19" s="33" t="n">
        <f aca="false">J19*(1-K18)+'Sales &amp; marketing'!K31</f>
        <v>147.4257473</v>
      </c>
      <c r="L19" s="33" t="n">
        <f aca="false">K19*(1-L18)+'Sales &amp; marketing'!L31</f>
        <v>195.988017136217</v>
      </c>
      <c r="M19" s="33" t="n">
        <f aca="false">L19*(1-M18)+'Sales &amp; marketing'!M31</f>
        <v>244.320697200136</v>
      </c>
      <c r="N19" s="33" t="n">
        <f aca="false">M19*(1-N18)+'Sales &amp; marketing'!N31</f>
        <v>292.4618769838</v>
      </c>
      <c r="O19" s="33" t="n">
        <f aca="false">N19*(1-O18)+'Sales &amp; marketing'!O31</f>
        <v>340.451075578282</v>
      </c>
      <c r="P19" s="33" t="n">
        <f aca="false">O19*(1-P18)+'Sales &amp; marketing'!P31</f>
        <v>388.329341569838</v>
      </c>
      <c r="Q19" s="33" t="n">
        <f aca="false">P19*(1-Q18)+'Sales &amp; marketing'!Q31</f>
        <v>453.606025363516</v>
      </c>
      <c r="R19" s="33" t="n">
        <f aca="false">Q19*(1-R18)+'Sales &amp; marketing'!R31</f>
        <v>518.570690950373</v>
      </c>
      <c r="S19" s="33" t="n">
        <f aca="false">R19*(1-S18)+'Sales &amp; marketing'!S31</f>
        <v>583.274389455368</v>
      </c>
      <c r="T19" s="33" t="n">
        <f aca="false">S19*(1-T18)+'Sales &amp; marketing'!T31</f>
        <v>647.770083829371</v>
      </c>
      <c r="U19" s="33" t="n">
        <f aca="false">T19*(1-U18)+'Sales &amp; marketing'!U31</f>
        <v>712.112782554204</v>
      </c>
      <c r="V19" s="33" t="n">
        <f aca="false">U19*(1-V18)+'Sales &amp; marketing'!V31</f>
        <v>776.359681056558</v>
      </c>
      <c r="W19" s="33" t="n">
        <f aca="false">V19*(1-W18)+'Sales &amp; marketing'!W31</f>
        <v>840.570311298494</v>
      </c>
      <c r="X19" s="33" t="n">
        <f aca="false">W19*(1-X18)+'Sales &amp; marketing'!X31</f>
        <v>904.8067000402</v>
      </c>
      <c r="Y19" s="33" t="n">
        <f aca="false">X19*(1-Y18)+'Sales &amp; marketing'!Y31</f>
        <v>977.133536300355</v>
      </c>
      <c r="Z19" s="33" t="n">
        <f aca="false">Y19*(1-Z18)+'Sales &amp; marketing'!Z31</f>
        <v>1049.48634857087</v>
      </c>
      <c r="AA19" s="33" t="n">
        <f aca="false">Z19*(1-AA18)+'Sales &amp; marketing'!AA31</f>
        <v>1121.93787037608</v>
      </c>
      <c r="AB19" s="33" t="n">
        <f aca="false">AA19*(1-AB18)+'Sales &amp; marketing'!AB31</f>
        <v>1194.56402486491</v>
      </c>
      <c r="AC19" s="33" t="n">
        <f aca="false">AB19*(1-AC18)+'Sales &amp; marketing'!AC31</f>
        <v>1285.04413556568</v>
      </c>
      <c r="AD19" s="33" t="n">
        <f aca="false">AC19*(1-AD18)+'Sales &amp; marketing'!AD31</f>
        <v>1375.57074946654</v>
      </c>
      <c r="AE19" s="33" t="n">
        <f aca="false">AD19*(1-AE18)+'Sales &amp; marketing'!AE31</f>
        <v>1474.2354647663</v>
      </c>
      <c r="AF19" s="33" t="n">
        <f aca="false">AE19*(1-AF18)+'Sales &amp; marketing'!AF31</f>
        <v>1573.00191022358</v>
      </c>
      <c r="AG19" s="33" t="n">
        <f aca="false">AF19*(1-AG18)+'Sales &amp; marketing'!AG31</f>
        <v>1671.97218916836</v>
      </c>
      <c r="AH19" s="33" t="n">
        <f aca="false">AG19*(1-AH18)+'Sales &amp; marketing'!AH31</f>
        <v>1771.25294713837</v>
      </c>
      <c r="AI19" s="33" t="n">
        <f aca="false">AH19*(1-AI18)+'Sales &amp; marketing'!AI31</f>
        <v>1878.95567054734</v>
      </c>
      <c r="AJ19" s="33" t="n">
        <f aca="false">AI19*(1-AJ18)+'Sales &amp; marketing'!AJ31</f>
        <v>1987.06500284227</v>
      </c>
      <c r="AK19" s="33" t="n">
        <f aca="false">AJ19*(1-AK18)+'Sales &amp; marketing'!AK31</f>
        <v>2095.70525720588</v>
      </c>
      <c r="AL19" s="33" t="n">
        <f aca="false">AK19*(1-AL18)+'Sales &amp; marketing'!AL31</f>
        <v>2205.00655698711</v>
      </c>
      <c r="AM19" s="33" t="n">
        <f aca="false">AL19*(1-AM18)+'Sales &amp; marketing'!AM31</f>
        <v>2323.10521151346</v>
      </c>
      <c r="AN19" s="33" t="n">
        <f aca="false">AM19*(1-AN18)+'Sales &amp; marketing'!AN31</f>
        <v>2442.01211400313</v>
      </c>
      <c r="AO19" s="33" t="n">
        <f aca="false">AN19*(1-AO18)+'Sales &amp; marketing'!AO31</f>
        <v>2570.54600757716</v>
      </c>
      <c r="AP19" s="33" t="n">
        <f aca="false">AO19*(1-AP18)+'Sales &amp; marketing'!AP31</f>
        <v>2708.05671751453</v>
      </c>
      <c r="AQ19" s="33" t="n">
        <f aca="false">AP19*(1-AQ18)+'Sales &amp; marketing'!AQ31</f>
        <v>2846.58198388167</v>
      </c>
      <c r="AR19" s="33" t="n">
        <f aca="false">AQ19*(1-AR18)+'Sales &amp; marketing'!AR31</f>
        <v>2986.30207548612</v>
      </c>
      <c r="AS19" s="33" t="n">
        <f aca="false">AR19*(1-AS18)+'Sales &amp; marketing'!AS31</f>
        <v>3135.40610723941</v>
      </c>
      <c r="AT19" s="33" t="n">
        <f aca="false">AS19*(1-AT18)+'Sales &amp; marketing'!AT31</f>
        <v>3285.96060342869</v>
      </c>
      <c r="AU19" s="33" t="n">
        <f aca="false">AT19*(1-AU18)+'Sales &amp; marketing'!AU31</f>
        <v>3438.17627224838</v>
      </c>
      <c r="AV19" s="33" t="n">
        <f aca="false">AU19*(1-AV18)+'Sales &amp; marketing'!AV31</f>
        <v>3600.27442365912</v>
      </c>
      <c r="AW19" s="33" t="n">
        <f aca="false">AV19*(1-AW18)+'Sales &amp; marketing'!AW31</f>
        <v>3762.06989566875</v>
      </c>
      <c r="AX19" s="33" t="n">
        <f aca="false">AW19*(1-AX18)+'Sales &amp; marketing'!AX31</f>
        <v>3929.19574239021</v>
      </c>
      <c r="AY19" s="33" t="n">
        <f aca="false">AX19*(1-AY18)+'Sales &amp; marketing'!AY31</f>
        <v>4093.56401264077</v>
      </c>
      <c r="AZ19" s="33" t="n">
        <f aca="false">AY19*(1-AZ18)+'Sales &amp; marketing'!AZ31</f>
        <v>4255.2202064322</v>
      </c>
      <c r="BA19" s="33" t="n">
        <f aca="false">AZ19*(1-BA18)+'Sales &amp; marketing'!BA31</f>
        <v>4431.00907302607</v>
      </c>
      <c r="BB19" s="33" t="n">
        <f aca="false">BA19*(1-BB18)+'Sales &amp; marketing'!BB31</f>
        <v>4603.89742332114</v>
      </c>
      <c r="BC19" s="33" t="n">
        <f aca="false">BB19*(1-BC18)+'Sales &amp; marketing'!BC31</f>
        <v>4781.93311583634</v>
      </c>
      <c r="BD19" s="33" t="n">
        <f aca="false">BC19*(1-BD18)+'Sales &amp; marketing'!BD31</f>
        <v>4957.03121942504</v>
      </c>
      <c r="BE19" s="33" t="n">
        <f aca="false">BD19*(1-BE18)+'Sales &amp; marketing'!BE31</f>
        <v>5129.24020430453</v>
      </c>
      <c r="BF19" s="33" t="n">
        <f aca="false">BE19*(1-BF18)+'Sales &amp; marketing'!BF31</f>
        <v>5306.6077409335</v>
      </c>
      <c r="BG19" s="33" t="n">
        <f aca="false">BF19*(1-BG18)+'Sales &amp; marketing'!BG31</f>
        <v>5481.0487132081</v>
      </c>
      <c r="BH19" s="33" t="n">
        <f aca="false">BG19*(1-BH18)+'Sales &amp; marketing'!BH31</f>
        <v>5660.61140944017</v>
      </c>
      <c r="BI19" s="33" t="n">
        <f aca="false">BH19*(1-BI18)+'Sales &amp; marketing'!BI31</f>
        <v>5837.2113211844</v>
      </c>
      <c r="BJ19" s="33" t="n">
        <f aca="false">BI19*(1-BJ18)+'Sales &amp; marketing'!BJ31</f>
        <v>6018.89733438486</v>
      </c>
      <c r="BK19" s="33" t="n">
        <f aca="false">BJ19*(1-BK18)+'Sales &amp; marketing'!BK31</f>
        <v>6197.58552836751</v>
      </c>
      <c r="BL19" s="33" t="n">
        <f aca="false">BK19*(1-BL18)+'Sales &amp; marketing'!BL31</f>
        <v>6381.32536714945</v>
      </c>
    </row>
    <row r="20" customFormat="false" ht="15" hidden="false" customHeight="true" outlineLevel="0" collapsed="false">
      <c r="A20" s="13" t="s">
        <v>1221</v>
      </c>
      <c r="B20" s="15" t="s">
        <v>89</v>
      </c>
      <c r="D20" s="56" t="n">
        <f aca="false">BL20</f>
        <v>2993.14600653526</v>
      </c>
      <c r="E20" s="33" t="n">
        <f aca="false">'Sales &amp; marketing'!E32</f>
        <v>0</v>
      </c>
      <c r="F20" s="33" t="n">
        <f aca="false">E20*(1-F18)+'Sales &amp; marketing'!F32</f>
        <v>0</v>
      </c>
      <c r="G20" s="33" t="n">
        <f aca="false">F20*(1-G18)+'Sales &amp; marketing'!G32</f>
        <v>0</v>
      </c>
      <c r="H20" s="33" t="n">
        <f aca="false">G20*(1-H18)+'Sales &amp; marketing'!H32</f>
        <v>0</v>
      </c>
      <c r="I20" s="33" t="n">
        <f aca="false">H20*(1-I18)+'Sales &amp; marketing'!I32</f>
        <v>0</v>
      </c>
      <c r="J20" s="33" t="n">
        <f aca="false">I20*(1-J18)+'Sales &amp; marketing'!J32</f>
        <v>0</v>
      </c>
      <c r="K20" s="33" t="n">
        <f aca="false">J20*(1-K18)+'Sales &amp; marketing'!K32</f>
        <v>0</v>
      </c>
      <c r="L20" s="33" t="n">
        <f aca="false">K20*(1-L18)+'Sales &amp; marketing'!L32</f>
        <v>0</v>
      </c>
      <c r="M20" s="33" t="n">
        <f aca="false">L20*(1-M18)+'Sales &amp; marketing'!M32</f>
        <v>0</v>
      </c>
      <c r="N20" s="33" t="n">
        <f aca="false">M20*(1-N18)+'Sales &amp; marketing'!N32</f>
        <v>0</v>
      </c>
      <c r="O20" s="33" t="n">
        <f aca="false">N20*(1-O18)+'Sales &amp; marketing'!O32</f>
        <v>0</v>
      </c>
      <c r="P20" s="33" t="n">
        <f aca="false">O20*(1-P18)+'Sales &amp; marketing'!P32</f>
        <v>0</v>
      </c>
      <c r="Q20" s="33" t="n">
        <f aca="false">P20*(1-Q18)+'Sales &amp; marketing'!Q32</f>
        <v>0</v>
      </c>
      <c r="R20" s="33" t="n">
        <f aca="false">Q20*(1-R18)+'Sales &amp; marketing'!R32</f>
        <v>0</v>
      </c>
      <c r="S20" s="33" t="n">
        <f aca="false">R20*(1-S18)+'Sales &amp; marketing'!S32</f>
        <v>0</v>
      </c>
      <c r="T20" s="33" t="n">
        <f aca="false">S20*(1-T18)+'Sales &amp; marketing'!T32</f>
        <v>0</v>
      </c>
      <c r="U20" s="33" t="n">
        <f aca="false">T20*(1-U18)+'Sales &amp; marketing'!U32</f>
        <v>0</v>
      </c>
      <c r="V20" s="33" t="n">
        <f aca="false">U20*(1-V18)+'Sales &amp; marketing'!V32</f>
        <v>0</v>
      </c>
      <c r="W20" s="33" t="n">
        <f aca="false">V20*(1-W18)+'Sales &amp; marketing'!W32</f>
        <v>37.8666666666667</v>
      </c>
      <c r="X20" s="33" t="n">
        <f aca="false">W20*(1-X18)+'Sales &amp; marketing'!X32</f>
        <v>75.4685333333333</v>
      </c>
      <c r="Y20" s="33" t="n">
        <f aca="false">X20*(1-Y18)+'Sales &amp; marketing'!Y32</f>
        <v>112.8315692</v>
      </c>
      <c r="Z20" s="33" t="n">
        <f aca="false">Y20*(1-Z18)+'Sales &amp; marketing'!Z32</f>
        <v>149.982610974867</v>
      </c>
      <c r="AA20" s="33" t="n">
        <f aca="false">Z20*(1-AA18)+'Sales &amp; marketing'!AA32</f>
        <v>186.949426320448</v>
      </c>
      <c r="AB20" s="33" t="n">
        <f aca="false">AA20*(1-AB18)+'Sales &amp; marketing'!AB32</f>
        <v>223.760780918427</v>
      </c>
      <c r="AC20" s="33" t="n">
        <f aca="false">AB20*(1-AC18)+'Sales &amp; marketing'!AC32</f>
        <v>277.913176040143</v>
      </c>
      <c r="AD20" s="33" t="n">
        <f aca="false">AC20*(1-AD18)+'Sales &amp; marketing'!AD32</f>
        <v>331.682723522762</v>
      </c>
      <c r="AE20" s="33" t="n">
        <f aca="false">AD20*(1-AE18)+'Sales &amp; marketing'!AE32</f>
        <v>385.106380365155</v>
      </c>
      <c r="AF20" s="33" t="n">
        <f aca="false">AE20*(1-AF18)+'Sales &amp; marketing'!AF32</f>
        <v>438.222332176479</v>
      </c>
      <c r="AG20" s="33" t="n">
        <f aca="false">AF20*(1-AG18)+'Sales &amp; marketing'!AG32</f>
        <v>491.070083208158</v>
      </c>
      <c r="AH20" s="33" t="n">
        <f aca="false">AG20*(1-AH18)+'Sales &amp; marketing'!AH32</f>
        <v>543.690551518569</v>
      </c>
      <c r="AI20" s="33" t="n">
        <f aca="false">AH20*(1-AI18)+'Sales &amp; marketing'!AI32</f>
        <v>596.126169582859</v>
      </c>
      <c r="AJ20" s="33" t="n">
        <f aca="false">AI20*(1-AJ18)+'Sales &amp; marketing'!AJ32</f>
        <v>648.42099067895</v>
      </c>
      <c r="AK20" s="33" t="n">
        <f aca="false">AJ20*(1-AK18)+'Sales &amp; marketing'!AK32</f>
        <v>700.620801400607</v>
      </c>
      <c r="AL20" s="33" t="n">
        <f aca="false">AK20*(1-AL18)+'Sales &amp; marketing'!AL32</f>
        <v>752.773240669428</v>
      </c>
      <c r="AM20" s="33" t="n">
        <f aca="false">AL20*(1-AM18)+'Sales &amp; marketing'!AM32</f>
        <v>804.92792563983</v>
      </c>
      <c r="AN20" s="33" t="n">
        <f aca="false">AM20*(1-AN18)+'Sales &amp; marketing'!AN32</f>
        <v>857.136584914707</v>
      </c>
      <c r="AO20" s="33" t="n">
        <f aca="false">AN20*(1-AO18)+'Sales &amp; marketing'!AO32</f>
        <v>925.453199514425</v>
      </c>
      <c r="AP20" s="33" t="n">
        <f aca="false">AO20*(1-AP18)+'Sales &amp; marketing'!AP32</f>
        <v>993.670152068296</v>
      </c>
      <c r="AQ20" s="33" t="n">
        <f aca="false">AP20*(1-AQ18)+'Sales &amp; marketing'!AQ32</f>
        <v>1061.85074072578</v>
      </c>
      <c r="AR20" s="33" t="n">
        <f aca="false">AQ20*(1-AR18)+'Sales &amp; marketing'!AR32</f>
        <v>1130.06091844041</v>
      </c>
      <c r="AS20" s="33" t="n">
        <f aca="false">AR20*(1-AS18)+'Sales &amp; marketing'!AS32</f>
        <v>1198.36947111895</v>
      </c>
      <c r="AT20" s="33" t="n">
        <f aca="false">AS20*(1-AT18)+'Sales &amp; marketing'!AT32</f>
        <v>1266.84820614826</v>
      </c>
      <c r="AU20" s="33" t="n">
        <f aca="false">AT20*(1-AU18)+'Sales &amp; marketing'!AU32</f>
        <v>1335.57215192775</v>
      </c>
      <c r="AV20" s="33" t="n">
        <f aca="false">AU20*(1-AV18)+'Sales &amp; marketing'!AV32</f>
        <v>1411.81976907274</v>
      </c>
      <c r="AW20" s="33" t="n">
        <f aca="false">AV20*(1-AW18)+'Sales &amp; marketing'!AW32</f>
        <v>1488.35437399394</v>
      </c>
      <c r="AX20" s="33" t="n">
        <f aca="false">AW20*(1-AX18)+'Sales &amp; marketing'!AX32</f>
        <v>1565.26393580059</v>
      </c>
      <c r="AY20" s="33" t="n">
        <f aca="false">AX20*(1-AY18)+'Sales &amp; marketing'!AY32</f>
        <v>1642.64053437609</v>
      </c>
      <c r="AZ20" s="33" t="n">
        <f aca="false">AY20*(1-AZ18)+'Sales &amp; marketing'!AZ32</f>
        <v>1720.58062628607</v>
      </c>
      <c r="BA20" s="33" t="n">
        <f aca="false">AZ20*(1-BA18)+'Sales &amp; marketing'!BA32</f>
        <v>1815.18532632316</v>
      </c>
      <c r="BB20" s="33" t="n">
        <f aca="false">BA20*(1-BB18)+'Sales &amp; marketing'!BB32</f>
        <v>1910.29670563189</v>
      </c>
      <c r="BC20" s="33" t="n">
        <f aca="false">BB20*(1-BC18)+'Sales &amp; marketing'!BC32</f>
        <v>2006.03046341361</v>
      </c>
      <c r="BD20" s="33" t="n">
        <f aca="false">BC20*(1-BD18)+'Sales &amp; marketing'!BD32</f>
        <v>2102.50783339741</v>
      </c>
      <c r="BE20" s="33" t="n">
        <f aca="false">BD20*(1-BE18)+'Sales &amp; marketing'!BE32</f>
        <v>2207.05593913429</v>
      </c>
      <c r="BF20" s="33" t="n">
        <f aca="false">BE20*(1-BF18)+'Sales &amp; marketing'!BF32</f>
        <v>2312.48937022578</v>
      </c>
      <c r="BG20" s="33" t="n">
        <f aca="false">BF20*(1-BG18)+'Sales &amp; marketing'!BG32</f>
        <v>2418.95014094949</v>
      </c>
      <c r="BH20" s="33" t="n">
        <f aca="false">BG20*(1-BH18)+'Sales &amp; marketing'!BH32</f>
        <v>2526.58731967621</v>
      </c>
      <c r="BI20" s="33" t="n">
        <f aca="false">BH20*(1-BI18)+'Sales &amp; marketing'!BI32</f>
        <v>2642.75747631708</v>
      </c>
      <c r="BJ20" s="33" t="n">
        <f aca="false">BI20*(1-BJ18)+'Sales &amp; marketing'!BJ32</f>
        <v>2760.30635621831</v>
      </c>
      <c r="BK20" s="33" t="n">
        <f aca="false">BJ20*(1-BK18)+'Sales &amp; marketing'!BK32</f>
        <v>2877.69463467404</v>
      </c>
      <c r="BL20" s="33" t="n">
        <f aca="false">BK20*(1-BL18)+'Sales &amp; marketing'!BL32</f>
        <v>2993.14600653526</v>
      </c>
    </row>
    <row r="22" customFormat="false" ht="15" hidden="false" customHeight="true" outlineLevel="0" collapsed="false">
      <c r="A22" s="11" t="s">
        <v>1222</v>
      </c>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row>
    <row r="23" customFormat="false" ht="15" hidden="false" customHeight="true" outlineLevel="0" collapsed="false">
      <c r="A23" s="13" t="s">
        <v>1223</v>
      </c>
      <c r="B23" s="15" t="s">
        <v>89</v>
      </c>
      <c r="E23" s="33" t="n">
        <f aca="true">IF(Free_Months&lt;=0,0,SUM(OFFSET(E9,0,1-MIN(Free_Months,E$3),1,MIN(Free_Months,E$3))))</f>
        <v>0</v>
      </c>
      <c r="F23" s="33" t="n">
        <f aca="true">IF(Free_Months&lt;=0,0,SUM(OFFSET(F9,0,1-MIN(Free_Months,F$3),1,MIN(Free_Months,F$3))))</f>
        <v>0</v>
      </c>
      <c r="G23" s="33" t="n">
        <f aca="true">IF(Free_Months&lt;=0,0,SUM(OFFSET(G9,0,1-MIN(Free_Months,G$3),1,MIN(Free_Months,G$3))))</f>
        <v>0</v>
      </c>
      <c r="H23" s="33" t="n">
        <f aca="true">IF(Free_Months&lt;=0,0,SUM(OFFSET(H9,0,1-MIN(Free_Months,H$3),1,MIN(Free_Months,H$3))))</f>
        <v>0</v>
      </c>
      <c r="I23" s="33" t="n">
        <f aca="true">IF(Free_Months&lt;=0,0,SUM(OFFSET(I9,0,1-MIN(Free_Months,I$3),1,MIN(Free_Months,I$3))))</f>
        <v>29.68</v>
      </c>
      <c r="J23" s="33" t="n">
        <f aca="true">IF(Free_Months&lt;=0,0,SUM(OFFSET(J9,0,1-MIN(Free_Months,J$3),1,MIN(Free_Months,J$3))))</f>
        <v>29.968</v>
      </c>
      <c r="K23" s="33" t="n">
        <f aca="true">IF(Free_Months&lt;=0,0,SUM(OFFSET(K9,0,1-MIN(Free_Months,K$3),1,MIN(Free_Months,K$3))))</f>
        <v>30.27328</v>
      </c>
      <c r="L23" s="33" t="n">
        <f aca="true">IF(Free_Months&lt;=0,0,SUM(OFFSET(L9,0,1-MIN(Free_Months,L$3),1,MIN(Free_Months,L$3))))</f>
        <v>30.5968768</v>
      </c>
      <c r="M23" s="33" t="n">
        <f aca="true">IF(Free_Months&lt;=0,0,SUM(OFFSET(M9,0,1-MIN(Free_Months,M$3),1,MIN(Free_Months,M$3))))</f>
        <v>30.939889408</v>
      </c>
      <c r="N23" s="33" t="n">
        <f aca="true">IF(Free_Months&lt;=0,0,SUM(OFFSET(N9,0,1-MIN(Free_Months,N$3),1,MIN(Free_Months,N$3))))</f>
        <v>31.30348277248</v>
      </c>
      <c r="O23" s="33" t="n">
        <f aca="true">IF(Free_Months&lt;=0,0,SUM(OFFSET(O9,0,1-MIN(Free_Months,O$3),1,MIN(Free_Months,O$3))))</f>
        <v>31.6888917388288</v>
      </c>
      <c r="P23" s="33" t="n">
        <f aca="true">IF(Free_Months&lt;=0,0,SUM(OFFSET(P9,0,1-MIN(Free_Months,P$3),1,MIN(Free_Months,P$3))))</f>
        <v>32.0974252431585</v>
      </c>
      <c r="Q23" s="33" t="n">
        <f aca="true">IF(Free_Months&lt;=0,0,SUM(OFFSET(Q9,0,1-MIN(Free_Months,Q$3),1,MIN(Free_Months,Q$3))))</f>
        <v>43.010470757748</v>
      </c>
      <c r="R23" s="33" t="n">
        <f aca="true">IF(Free_Months&lt;=0,0,SUM(OFFSET(R9,0,1-MIN(Free_Months,R$3),1,MIN(Free_Months,R$3))))</f>
        <v>43.4694990032129</v>
      </c>
      <c r="S23" s="33" t="n">
        <f aca="true">IF(Free_Months&lt;=0,0,SUM(OFFSET(S9,0,1-MIN(Free_Months,S$3),1,MIN(Free_Months,S$3))))</f>
        <v>43.9560689434057</v>
      </c>
      <c r="T23" s="33" t="n">
        <f aca="true">IF(Free_Months&lt;=0,0,SUM(OFFSET(T9,0,1-MIN(Free_Months,T$3),1,MIN(Free_Months,T$3))))</f>
        <v>44.4718330800101</v>
      </c>
      <c r="U23" s="33" t="n">
        <f aca="true">IF(Free_Months&lt;=0,0,SUM(OFFSET(U9,0,1-MIN(Free_Months,U$3),1,MIN(Free_Months,U$3))))</f>
        <v>45.0185430648107</v>
      </c>
      <c r="V23" s="33" t="n">
        <f aca="true">IF(Free_Months&lt;=0,0,SUM(OFFSET(V9,0,1-MIN(Free_Months,V$3),1,MIN(Free_Months,V$3))))</f>
        <v>45.5980556486993</v>
      </c>
      <c r="W23" s="33" t="n">
        <f aca="true">IF(Free_Months&lt;=0,0,SUM(OFFSET(W9,0,1-MIN(Free_Months,W$3),1,MIN(Free_Months,W$3))))</f>
        <v>68.9323389876212</v>
      </c>
      <c r="X23" s="33" t="n">
        <f aca="true">IF(Free_Months&lt;=0,0,SUM(OFFSET(X9,0,1-MIN(Free_Months,X$3),1,MIN(Free_Months,X$3))))</f>
        <v>69.7994793268785</v>
      </c>
      <c r="Y23" s="33" t="n">
        <f aca="true">IF(Free_Months&lt;=0,0,SUM(OFFSET(Y9,0,1-MIN(Free_Months,Y$3),1,MIN(Free_Months,Y$3))))</f>
        <v>75.5186480864912</v>
      </c>
      <c r="Z23" s="33" t="n">
        <f aca="true">IF(Free_Months&lt;=0,0,SUM(OFFSET(Z9,0,1-MIN(Free_Months,Z$3),1,MIN(Free_Months,Z$3))))</f>
        <v>76.4929669716807</v>
      </c>
      <c r="AA23" s="33" t="n">
        <f aca="true">IF(Free_Months&lt;=0,0,SUM(OFFSET(AA9,0,1-MIN(Free_Months,AA$3),1,MIN(Free_Months,AA$3))))</f>
        <v>77.5257449899815</v>
      </c>
      <c r="AB23" s="33" t="n">
        <f aca="true">IF(Free_Months&lt;=0,0,SUM(OFFSET(AB9,0,1-MIN(Free_Months,AB$3),1,MIN(Free_Months,AB$3))))</f>
        <v>78.6204896893804</v>
      </c>
      <c r="AC23" s="33" t="n">
        <f aca="true">IF(Free_Months&lt;=0,0,SUM(OFFSET(AC9,0,1-MIN(Free_Months,AC$3),1,MIN(Free_Months,AC$3))))</f>
        <v>100.820919070743</v>
      </c>
      <c r="AD23" s="33" t="n">
        <f aca="true">IF(Free_Months&lt;=0,0,SUM(OFFSET(AD9,0,1-MIN(Free_Months,AD$3),1,MIN(Free_Months,AD$3))))</f>
        <v>102.050974214988</v>
      </c>
      <c r="AE23" s="33" t="n">
        <f aca="true">IF(Free_Months&lt;=0,0,SUM(OFFSET(AE9,0,1-MIN(Free_Months,AE$3),1,MIN(Free_Months,AE$3))))</f>
        <v>108.154832667887</v>
      </c>
      <c r="AF23" s="33" t="n">
        <f aca="true">IF(Free_Months&lt;=0,0,SUM(OFFSET(AF9,0,1-MIN(Free_Months,AF$3),1,MIN(Free_Months,AF$3))))</f>
        <v>109.53692262796</v>
      </c>
      <c r="AG23" s="33" t="n">
        <f aca="true">IF(Free_Months&lt;=0,0,SUM(OFFSET(AG9,0,1-MIN(Free_Months,AG$3),1,MIN(Free_Months,AG$3))))</f>
        <v>111.001937985638</v>
      </c>
      <c r="AH23" s="33" t="n">
        <f aca="true">IF(Free_Months&lt;=0,0,SUM(OFFSET(AH9,0,1-MIN(Free_Months,AH$3),1,MIN(Free_Months,AH$3))))</f>
        <v>112.554854264776</v>
      </c>
      <c r="AI23" s="33" t="n">
        <f aca="true">IF(Free_Months&lt;=0,0,SUM(OFFSET(AI9,0,1-MIN(Free_Months,AI$3),1,MIN(Free_Months,AI$3))))</f>
        <v>119.000945520663</v>
      </c>
      <c r="AJ23" s="33" t="n">
        <f aca="true">IF(Free_Months&lt;=0,0,SUM(OFFSET(AJ9,0,1-MIN(Free_Months,AJ$3),1,MIN(Free_Months,AJ$3))))</f>
        <v>120.745802251903</v>
      </c>
      <c r="AK23" s="33" t="n">
        <f aca="true">IF(Free_Months&lt;=0,0,SUM(OFFSET(AK9,0,1-MIN(Free_Months,AK$3),1,MIN(Free_Months,AK$3))))</f>
        <v>122.595350387017</v>
      </c>
      <c r="AL23" s="33" t="n">
        <f aca="true">IF(Free_Months&lt;=0,0,SUM(OFFSET(AL9,0,1-MIN(Free_Months,AL$3),1,MIN(Free_Months,AL$3))))</f>
        <v>124.555871410238</v>
      </c>
      <c r="AM23" s="33" t="n">
        <f aca="true">IF(Free_Months&lt;=0,0,SUM(OFFSET(AM9,0,1-MIN(Free_Months,AM$3),1,MIN(Free_Months,AM$3))))</f>
        <v>131.434023694852</v>
      </c>
      <c r="AN23" s="33" t="n">
        <f aca="true">IF(Free_Months&lt;=0,0,SUM(OFFSET(AN9,0,1-MIN(Free_Months,AN$3),1,MIN(Free_Months,AN$3))))</f>
        <v>133.636865116543</v>
      </c>
      <c r="AO23" s="33" t="n">
        <f aca="true">IF(Free_Months&lt;=0,0,SUM(OFFSET(AO9,0,1-MIN(Free_Months,AO$3),1,MIN(Free_Months,AO$3))))</f>
        <v>150.771877023536</v>
      </c>
      <c r="AP23" s="33" t="n">
        <f aca="true">IF(Free_Months&lt;=0,0,SUM(OFFSET(AP9,0,1-MIN(Free_Months,AP$3),1,MIN(Free_Months,AP$3))))</f>
        <v>158.046989644948</v>
      </c>
      <c r="AQ23" s="33" t="n">
        <f aca="true">IF(Free_Months&lt;=0,0,SUM(OFFSET(AQ9,0,1-MIN(Free_Months,AQ$3),1,MIN(Free_Months,AQ$3))))</f>
        <v>160.670609023645</v>
      </c>
      <c r="AR23" s="33" t="n">
        <f aca="true">IF(Free_Months&lt;=0,0,SUM(OFFSET(AR9,0,1-MIN(Free_Months,AR$3),1,MIN(Free_Months,AR$3))))</f>
        <v>163.451645565064</v>
      </c>
      <c r="AS23" s="33" t="n">
        <f aca="true">IF(Free_Months&lt;=0,0,SUM(OFFSET(AS9,0,1-MIN(Free_Months,AS$3),1,MIN(Free_Months,AS$3))))</f>
        <v>171.199544298967</v>
      </c>
      <c r="AT23" s="33" t="n">
        <f aca="true">IF(Free_Months&lt;=0,0,SUM(OFFSET(AT9,0,1-MIN(Free_Months,AT$3),1,MIN(Free_Months,AT$3))))</f>
        <v>174.324316956905</v>
      </c>
      <c r="AU23" s="33" t="n">
        <f aca="true">IF(Free_Months&lt;=0,0,SUM(OFFSET(AU9,0,1-MIN(Free_Months,AU$3),1,MIN(Free_Months,AU$3))))</f>
        <v>177.63657597432</v>
      </c>
      <c r="AV23" s="33" t="n">
        <f aca="true">IF(Free_Months&lt;=0,0,SUM(OFFSET(AV9,0,1-MIN(Free_Months,AV$3),1,MIN(Free_Months,AV$3))))</f>
        <v>190.267570532779</v>
      </c>
      <c r="AW23" s="33" t="n">
        <f aca="true">IF(Free_Months&lt;=0,0,SUM(OFFSET(AW9,0,1-MIN(Free_Months,AW$3),1,MIN(Free_Months,AW$3))))</f>
        <v>192.617778666541</v>
      </c>
      <c r="AX23" s="33" t="n">
        <f aca="true">IF(Free_Months&lt;=0,0,SUM(OFFSET(AX9,0,1-MIN(Free_Months,AX$3),1,MIN(Free_Months,AX$3))))</f>
        <v>198.400445386534</v>
      </c>
      <c r="AY23" s="33" t="n">
        <f aca="true">IF(Free_Months&lt;=0,0,SUM(OFFSET(AY9,0,1-MIN(Free_Months,AY$3),1,MIN(Free_Months,AY$3))))</f>
        <v>199.442072109726</v>
      </c>
      <c r="AZ23" s="33" t="n">
        <f aca="true">IF(Free_Months&lt;=0,0,SUM(OFFSET(AZ9,0,1-MIN(Free_Months,AZ$3),1,MIN(Free_Months,AZ$3))))</f>
        <v>200.546196436309</v>
      </c>
      <c r="BA23" s="33" t="n">
        <f aca="true">IF(Free_Months&lt;=0,0,SUM(OFFSET(BA9,0,1-MIN(Free_Months,BA$3),1,MIN(Free_Months,BA$3))))</f>
        <v>221.396568222488</v>
      </c>
      <c r="BB23" s="33" t="n">
        <f aca="true">IF(Free_Months&lt;=0,0,SUM(OFFSET(BB9,0,1-MIN(Free_Months,BB$3),1,MIN(Free_Months,BB$3))))</f>
        <v>222.637162315837</v>
      </c>
      <c r="BC23" s="33" t="n">
        <f aca="true">IF(Free_Months&lt;=0,0,SUM(OFFSET(BC9,0,1-MIN(Free_Months,BC$3),1,MIN(Free_Months,BC$3))))</f>
        <v>228.752192054787</v>
      </c>
      <c r="BD23" s="33" t="n">
        <f aca="true">IF(Free_Months&lt;=0,0,SUM(OFFSET(BD9,0,1-MIN(Free_Months,BD$3),1,MIN(Free_Months,BD$3))))</f>
        <v>230.146123578074</v>
      </c>
      <c r="BE23" s="33" t="n">
        <f aca="true">IF(Free_Months&lt;=0,0,SUM(OFFSET(BE9,0,1-MIN(Free_Months,BE$3),1,MIN(Free_Months,BE$3))))</f>
        <v>235.943690992759</v>
      </c>
      <c r="BF23" s="33" t="n">
        <f aca="true">IF(Free_Months&lt;=0,0,SUM(OFFSET(BF9,0,1-MIN(Free_Months,BF$3),1,MIN(Free_Months,BF$3))))</f>
        <v>242.309912452324</v>
      </c>
      <c r="BG23" s="33" t="n">
        <f aca="true">IF(Free_Months&lt;=0,0,SUM(OFFSET(BG9,0,1-MIN(Free_Months,BG$3),1,MIN(Free_Months,BG$3))))</f>
        <v>243.970107199464</v>
      </c>
      <c r="BH23" s="33" t="n">
        <f aca="true">IF(Free_Months&lt;=0,0,SUM(OFFSET(BH9,0,1-MIN(Free_Months,BH$3),1,MIN(Free_Months,BH$3))))</f>
        <v>250.529913631432</v>
      </c>
      <c r="BI23" s="33" t="n">
        <f aca="true">IF(Free_Months&lt;=0,0,SUM(OFFSET(BI9,0,1-MIN(Free_Months,BI$3),1,MIN(Free_Months,BI$3))))</f>
        <v>256.715308449318</v>
      </c>
      <c r="BJ23" s="33" t="n">
        <f aca="true">IF(Free_Months&lt;=0,0,SUM(OFFSET(BJ9,0,1-MIN(Free_Months,BJ$3),1,MIN(Free_Months,BJ$3))))</f>
        <v>263.492626956277</v>
      </c>
      <c r="BK23" s="33" t="n">
        <f aca="true">IF(Free_Months&lt;=0,0,SUM(OFFSET(BK9,0,1-MIN(Free_Months,BK$3),1,MIN(Free_Months,BK$3))))</f>
        <v>264.56</v>
      </c>
      <c r="BL23" s="33" t="n">
        <f aca="true">IF(Free_Months&lt;=0,0,SUM(OFFSET(BL9,0,1-MIN(Free_Months,BL$3),1,MIN(Free_Months,BL$3))))</f>
        <v>269.36</v>
      </c>
    </row>
    <row r="24" customFormat="false" ht="15" hidden="false" customHeight="true" outlineLevel="0" collapsed="false">
      <c r="A24" s="13" t="s">
        <v>1224</v>
      </c>
      <c r="B24" s="15" t="s">
        <v>89</v>
      </c>
      <c r="E24" s="33" t="n">
        <f aca="true">IF(Free_Months&lt;=0,0,SUM(OFFSET(E10,0,1-MIN(Free_Months,E$3),1,MIN(Free_Months,E$3))))</f>
        <v>0</v>
      </c>
      <c r="F24" s="33" t="n">
        <f aca="true">IF(Free_Months&lt;=0,0,SUM(OFFSET(F10,0,1-MIN(Free_Months,F$3),1,MIN(Free_Months,F$3))))</f>
        <v>0</v>
      </c>
      <c r="G24" s="33" t="n">
        <f aca="true">IF(Free_Months&lt;=0,0,SUM(OFFSET(G10,0,1-MIN(Free_Months,G$3),1,MIN(Free_Months,G$3))))</f>
        <v>0</v>
      </c>
      <c r="H24" s="33" t="n">
        <f aca="true">IF(Free_Months&lt;=0,0,SUM(OFFSET(H10,0,1-MIN(Free_Months,H$3),1,MIN(Free_Months,H$3))))</f>
        <v>0</v>
      </c>
      <c r="I24" s="33" t="n">
        <f aca="true">IF(Free_Months&lt;=0,0,SUM(OFFSET(I10,0,1-MIN(Free_Months,I$3),1,MIN(Free_Months,I$3))))</f>
        <v>14.84</v>
      </c>
      <c r="J24" s="33" t="n">
        <f aca="true">IF(Free_Months&lt;=0,0,SUM(OFFSET(J10,0,1-MIN(Free_Months,J$3),1,MIN(Free_Months,J$3))))</f>
        <v>14.984</v>
      </c>
      <c r="K24" s="33" t="n">
        <f aca="true">IF(Free_Months&lt;=0,0,SUM(OFFSET(K10,0,1-MIN(Free_Months,K$3),1,MIN(Free_Months,K$3))))</f>
        <v>15.13664</v>
      </c>
      <c r="L24" s="33" t="n">
        <f aca="true">IF(Free_Months&lt;=0,0,SUM(OFFSET(L10,0,1-MIN(Free_Months,L$3),1,MIN(Free_Months,L$3))))</f>
        <v>15.2984384</v>
      </c>
      <c r="M24" s="33" t="n">
        <f aca="true">IF(Free_Months&lt;=0,0,SUM(OFFSET(M10,0,1-MIN(Free_Months,M$3),1,MIN(Free_Months,M$3))))</f>
        <v>15.469944704</v>
      </c>
      <c r="N24" s="33" t="n">
        <f aca="true">IF(Free_Months&lt;=0,0,SUM(OFFSET(N10,0,1-MIN(Free_Months,N$3),1,MIN(Free_Months,N$3))))</f>
        <v>15.65174138624</v>
      </c>
      <c r="O24" s="33" t="n">
        <f aca="true">IF(Free_Months&lt;=0,0,SUM(OFFSET(O10,0,1-MIN(Free_Months,O$3),1,MIN(Free_Months,O$3))))</f>
        <v>15.8444458694144</v>
      </c>
      <c r="P24" s="33" t="n">
        <f aca="true">IF(Free_Months&lt;=0,0,SUM(OFFSET(P10,0,1-MIN(Free_Months,P$3),1,MIN(Free_Months,P$3))))</f>
        <v>16.0487126215793</v>
      </c>
      <c r="Q24" s="33" t="n">
        <f aca="true">IF(Free_Months&lt;=0,0,SUM(OFFSET(Q10,0,1-MIN(Free_Months,Q$3),1,MIN(Free_Months,Q$3))))</f>
        <v>21.505235378874</v>
      </c>
      <c r="R24" s="33" t="n">
        <f aca="true">IF(Free_Months&lt;=0,0,SUM(OFFSET(R10,0,1-MIN(Free_Months,R$3),1,MIN(Free_Months,R$3))))</f>
        <v>21.7347495016065</v>
      </c>
      <c r="S24" s="33" t="n">
        <f aca="true">IF(Free_Months&lt;=0,0,SUM(OFFSET(S10,0,1-MIN(Free_Months,S$3),1,MIN(Free_Months,S$3))))</f>
        <v>21.9780344717029</v>
      </c>
      <c r="T24" s="33" t="n">
        <f aca="true">IF(Free_Months&lt;=0,0,SUM(OFFSET(T10,0,1-MIN(Free_Months,T$3),1,MIN(Free_Months,T$3))))</f>
        <v>22.235916540005</v>
      </c>
      <c r="U24" s="33" t="n">
        <f aca="true">IF(Free_Months&lt;=0,0,SUM(OFFSET(U10,0,1-MIN(Free_Months,U$3),1,MIN(Free_Months,U$3))))</f>
        <v>22.5092715324053</v>
      </c>
      <c r="V24" s="33" t="n">
        <f aca="true">IF(Free_Months&lt;=0,0,SUM(OFFSET(V10,0,1-MIN(Free_Months,V$3),1,MIN(Free_Months,V$3))))</f>
        <v>22.7990278243496</v>
      </c>
      <c r="W24" s="33" t="n">
        <f aca="true">IF(Free_Months&lt;=0,0,SUM(OFFSET(W10,0,1-MIN(Free_Months,W$3),1,MIN(Free_Months,W$3))))</f>
        <v>34.4661694938106</v>
      </c>
      <c r="X24" s="33" t="n">
        <f aca="true">IF(Free_Months&lt;=0,0,SUM(OFFSET(X10,0,1-MIN(Free_Months,X$3),1,MIN(Free_Months,X$3))))</f>
        <v>34.8997396634393</v>
      </c>
      <c r="Y24" s="33" t="n">
        <f aca="true">IF(Free_Months&lt;=0,0,SUM(OFFSET(Y10,0,1-MIN(Free_Months,Y$3),1,MIN(Free_Months,Y$3))))</f>
        <v>37.7593240432456</v>
      </c>
      <c r="Z24" s="33" t="n">
        <f aca="true">IF(Free_Months&lt;=0,0,SUM(OFFSET(Z10,0,1-MIN(Free_Months,Z$3),1,MIN(Free_Months,Z$3))))</f>
        <v>38.2464834858404</v>
      </c>
      <c r="AA24" s="33" t="n">
        <f aca="true">IF(Free_Months&lt;=0,0,SUM(OFFSET(AA10,0,1-MIN(Free_Months,AA$3),1,MIN(Free_Months,AA$3))))</f>
        <v>38.7628724949908</v>
      </c>
      <c r="AB24" s="33" t="n">
        <f aca="true">IF(Free_Months&lt;=0,0,SUM(OFFSET(AB10,0,1-MIN(Free_Months,AB$3),1,MIN(Free_Months,AB$3))))</f>
        <v>39.3102448446902</v>
      </c>
      <c r="AC24" s="33" t="n">
        <f aca="true">IF(Free_Months&lt;=0,0,SUM(OFFSET(AC10,0,1-MIN(Free_Months,AC$3),1,MIN(Free_Months,AC$3))))</f>
        <v>50.4104595353716</v>
      </c>
      <c r="AD24" s="33" t="n">
        <f aca="true">IF(Free_Months&lt;=0,0,SUM(OFFSET(AD10,0,1-MIN(Free_Months,AD$3),1,MIN(Free_Months,AD$3))))</f>
        <v>51.0254871074939</v>
      </c>
      <c r="AE24" s="33" t="n">
        <f aca="true">IF(Free_Months&lt;=0,0,SUM(OFFSET(AE10,0,1-MIN(Free_Months,AE$3),1,MIN(Free_Months,AE$3))))</f>
        <v>54.0774163339436</v>
      </c>
      <c r="AF24" s="33" t="n">
        <f aca="true">IF(Free_Months&lt;=0,0,SUM(OFFSET(AF10,0,1-MIN(Free_Months,AF$3),1,MIN(Free_Months,AF$3))))</f>
        <v>54.7684613139802</v>
      </c>
      <c r="AG24" s="33" t="n">
        <f aca="true">IF(Free_Months&lt;=0,0,SUM(OFFSET(AG10,0,1-MIN(Free_Months,AG$3),1,MIN(Free_Months,AG$3))))</f>
        <v>55.500968992819</v>
      </c>
      <c r="AH24" s="33" t="n">
        <f aca="true">IF(Free_Months&lt;=0,0,SUM(OFFSET(AH10,0,1-MIN(Free_Months,AH$3),1,MIN(Free_Months,AH$3))))</f>
        <v>56.2774271323881</v>
      </c>
      <c r="AI24" s="33" t="n">
        <f aca="true">IF(Free_Months&lt;=0,0,SUM(OFFSET(AI10,0,1-MIN(Free_Months,AI$3),1,MIN(Free_Months,AI$3))))</f>
        <v>59.5004727603314</v>
      </c>
      <c r="AJ24" s="33" t="n">
        <f aca="true">IF(Free_Months&lt;=0,0,SUM(OFFSET(AJ10,0,1-MIN(Free_Months,AJ$3),1,MIN(Free_Months,AJ$3))))</f>
        <v>60.3729011259513</v>
      </c>
      <c r="AK24" s="33" t="n">
        <f aca="true">IF(Free_Months&lt;=0,0,SUM(OFFSET(AK10,0,1-MIN(Free_Months,AK$3),1,MIN(Free_Months,AK$3))))</f>
        <v>61.2976751935084</v>
      </c>
      <c r="AL24" s="33" t="n">
        <f aca="true">IF(Free_Months&lt;=0,0,SUM(OFFSET(AL10,0,1-MIN(Free_Months,AL$3),1,MIN(Free_Months,AL$3))))</f>
        <v>62.2779357051189</v>
      </c>
      <c r="AM24" s="33" t="n">
        <f aca="true">IF(Free_Months&lt;=0,0,SUM(OFFSET(AM10,0,1-MIN(Free_Months,AM$3),1,MIN(Free_Months,AM$3))))</f>
        <v>65.717011847426</v>
      </c>
      <c r="AN24" s="33" t="n">
        <f aca="true">IF(Free_Months&lt;=0,0,SUM(OFFSET(AN10,0,1-MIN(Free_Months,AN$3),1,MIN(Free_Months,AN$3))))</f>
        <v>66.8184325582716</v>
      </c>
      <c r="AO24" s="33" t="n">
        <f aca="true">IF(Free_Months&lt;=0,0,SUM(OFFSET(AO10,0,1-MIN(Free_Months,AO$3),1,MIN(Free_Months,AO$3))))</f>
        <v>75.3859385117679</v>
      </c>
      <c r="AP24" s="33" t="n">
        <f aca="true">IF(Free_Months&lt;=0,0,SUM(OFFSET(AP10,0,1-MIN(Free_Months,AP$3),1,MIN(Free_Months,AP$3))))</f>
        <v>79.023494822474</v>
      </c>
      <c r="AQ24" s="33" t="n">
        <f aca="true">IF(Free_Months&lt;=0,0,SUM(OFFSET(AQ10,0,1-MIN(Free_Months,AQ$3),1,MIN(Free_Months,AQ$3))))</f>
        <v>80.3353045118224</v>
      </c>
      <c r="AR24" s="33" t="n">
        <f aca="true">IF(Free_Months&lt;=0,0,SUM(OFFSET(AR10,0,1-MIN(Free_Months,AR$3),1,MIN(Free_Months,AR$3))))</f>
        <v>81.7258227825318</v>
      </c>
      <c r="AS24" s="33" t="n">
        <f aca="true">IF(Free_Months&lt;=0,0,SUM(OFFSET(AS10,0,1-MIN(Free_Months,AS$3),1,MIN(Free_Months,AS$3))))</f>
        <v>85.5997721494837</v>
      </c>
      <c r="AT24" s="33" t="n">
        <f aca="true">IF(Free_Months&lt;=0,0,SUM(OFFSET(AT10,0,1-MIN(Free_Months,AT$3),1,MIN(Free_Months,AT$3))))</f>
        <v>87.1621584784527</v>
      </c>
      <c r="AU24" s="33" t="n">
        <f aca="true">IF(Free_Months&lt;=0,0,SUM(OFFSET(AU10,0,1-MIN(Free_Months,AU$3),1,MIN(Free_Months,AU$3))))</f>
        <v>88.8182879871599</v>
      </c>
      <c r="AV24" s="33" t="n">
        <f aca="true">IF(Free_Months&lt;=0,0,SUM(OFFSET(AV10,0,1-MIN(Free_Months,AV$3),1,MIN(Free_Months,AV$3))))</f>
        <v>95.1337852663894</v>
      </c>
      <c r="AW24" s="33" t="n">
        <f aca="true">IF(Free_Months&lt;=0,0,SUM(OFFSET(AW10,0,1-MIN(Free_Months,AW$3),1,MIN(Free_Months,AW$3))))</f>
        <v>96.3088893332706</v>
      </c>
      <c r="AX24" s="33" t="n">
        <f aca="true">IF(Free_Months&lt;=0,0,SUM(OFFSET(AX10,0,1-MIN(Free_Months,AX$3),1,MIN(Free_Months,AX$3))))</f>
        <v>99.2002226932668</v>
      </c>
      <c r="AY24" s="33" t="n">
        <f aca="true">IF(Free_Months&lt;=0,0,SUM(OFFSET(AY10,0,1-MIN(Free_Months,AY$3),1,MIN(Free_Months,AY$3))))</f>
        <v>99.7210360548628</v>
      </c>
      <c r="AZ24" s="33" t="n">
        <f aca="true">IF(Free_Months&lt;=0,0,SUM(OFFSET(AZ10,0,1-MIN(Free_Months,AZ$3),1,MIN(Free_Months,AZ$3))))</f>
        <v>100.273098218155</v>
      </c>
      <c r="BA24" s="33" t="n">
        <f aca="true">IF(Free_Months&lt;=0,0,SUM(OFFSET(BA10,0,1-MIN(Free_Months,BA$3),1,MIN(Free_Months,BA$3))))</f>
        <v>110.698284111244</v>
      </c>
      <c r="BB24" s="33" t="n">
        <f aca="true">IF(Free_Months&lt;=0,0,SUM(OFFSET(BB10,0,1-MIN(Free_Months,BB$3),1,MIN(Free_Months,BB$3))))</f>
        <v>111.318581157919</v>
      </c>
      <c r="BC24" s="33" t="n">
        <f aca="true">IF(Free_Months&lt;=0,0,SUM(OFFSET(BC10,0,1-MIN(Free_Months,BC$3),1,MIN(Free_Months,BC$3))))</f>
        <v>114.376096027394</v>
      </c>
      <c r="BD24" s="33" t="n">
        <f aca="true">IF(Free_Months&lt;=0,0,SUM(OFFSET(BD10,0,1-MIN(Free_Months,BD$3),1,MIN(Free_Months,BD$3))))</f>
        <v>115.073061789037</v>
      </c>
      <c r="BE24" s="33" t="n">
        <f aca="true">IF(Free_Months&lt;=0,0,SUM(OFFSET(BE10,0,1-MIN(Free_Months,BE$3),1,MIN(Free_Months,BE$3))))</f>
        <v>117.971845496379</v>
      </c>
      <c r="BF24" s="33" t="n">
        <f aca="true">IF(Free_Months&lt;=0,0,SUM(OFFSET(BF10,0,1-MIN(Free_Months,BF$3),1,MIN(Free_Months,BF$3))))</f>
        <v>121.154956226162</v>
      </c>
      <c r="BG24" s="33" t="n">
        <f aca="true">IF(Free_Months&lt;=0,0,SUM(OFFSET(BG10,0,1-MIN(Free_Months,BG$3),1,MIN(Free_Months,BG$3))))</f>
        <v>121.985053599732</v>
      </c>
      <c r="BH24" s="33" t="n">
        <f aca="true">IF(Free_Months&lt;=0,0,SUM(OFFSET(BH10,0,1-MIN(Free_Months,BH$3),1,MIN(Free_Months,BH$3))))</f>
        <v>125.264956815716</v>
      </c>
      <c r="BI24" s="33" t="n">
        <f aca="true">IF(Free_Months&lt;=0,0,SUM(OFFSET(BI10,0,1-MIN(Free_Months,BI$3),1,MIN(Free_Months,BI$3))))</f>
        <v>128.357654224659</v>
      </c>
      <c r="BJ24" s="33" t="n">
        <f aca="true">IF(Free_Months&lt;=0,0,SUM(OFFSET(BJ10,0,1-MIN(Free_Months,BJ$3),1,MIN(Free_Months,BJ$3))))</f>
        <v>131.746313478138</v>
      </c>
      <c r="BK24" s="33" t="n">
        <f aca="true">IF(Free_Months&lt;=0,0,SUM(OFFSET(BK10,0,1-MIN(Free_Months,BK$3),1,MIN(Free_Months,BK$3))))</f>
        <v>132.28</v>
      </c>
      <c r="BL24" s="33" t="n">
        <f aca="true">IF(Free_Months&lt;=0,0,SUM(OFFSET(BL10,0,1-MIN(Free_Months,BL$3),1,MIN(Free_Months,BL$3))))</f>
        <v>134.68</v>
      </c>
    </row>
    <row r="25" customFormat="false" ht="15" hidden="false" customHeight="true" outlineLevel="0" collapsed="false">
      <c r="A25" s="13" t="s">
        <v>1225</v>
      </c>
      <c r="B25" s="15" t="s">
        <v>89</v>
      </c>
      <c r="E25" s="33" t="n">
        <f aca="true">IF(Free_Months&lt;=0,0,SUM(OFFSET(E11,0,1-MIN(Free_Months,E$3),1,MIN(Free_Months,E$3))))</f>
        <v>0</v>
      </c>
      <c r="F25" s="33" t="n">
        <f aca="true">IF(Free_Months&lt;=0,0,SUM(OFFSET(F11,0,1-MIN(Free_Months,F$3),1,MIN(Free_Months,F$3))))</f>
        <v>0</v>
      </c>
      <c r="G25" s="33" t="n">
        <f aca="true">IF(Free_Months&lt;=0,0,SUM(OFFSET(G11,0,1-MIN(Free_Months,G$3),1,MIN(Free_Months,G$3))))</f>
        <v>0</v>
      </c>
      <c r="H25" s="33" t="n">
        <f aca="true">IF(Free_Months&lt;=0,0,SUM(OFFSET(H11,0,1-MIN(Free_Months,H$3),1,MIN(Free_Months,H$3))))</f>
        <v>0</v>
      </c>
      <c r="I25" s="33" t="n">
        <f aca="true">IF(Free_Months&lt;=0,0,SUM(OFFSET(I11,0,1-MIN(Free_Months,I$3),1,MIN(Free_Months,I$3))))</f>
        <v>4.94666666666667</v>
      </c>
      <c r="J25" s="33" t="n">
        <f aca="true">IF(Free_Months&lt;=0,0,SUM(OFFSET(J11,0,1-MIN(Free_Months,J$3),1,MIN(Free_Months,J$3))))</f>
        <v>4.99466666666667</v>
      </c>
      <c r="K25" s="33" t="n">
        <f aca="true">IF(Free_Months&lt;=0,0,SUM(OFFSET(K11,0,1-MIN(Free_Months,K$3),1,MIN(Free_Months,K$3))))</f>
        <v>5.04554666666667</v>
      </c>
      <c r="L25" s="33" t="n">
        <f aca="true">IF(Free_Months&lt;=0,0,SUM(OFFSET(L11,0,1-MIN(Free_Months,L$3),1,MIN(Free_Months,L$3))))</f>
        <v>5.09947946666667</v>
      </c>
      <c r="M25" s="33" t="n">
        <f aca="true">IF(Free_Months&lt;=0,0,SUM(OFFSET(M11,0,1-MIN(Free_Months,M$3),1,MIN(Free_Months,M$3))))</f>
        <v>5.15664823466667</v>
      </c>
      <c r="N25" s="33" t="n">
        <f aca="true">IF(Free_Months&lt;=0,0,SUM(OFFSET(N11,0,1-MIN(Free_Months,N$3),1,MIN(Free_Months,N$3))))</f>
        <v>5.21724712874667</v>
      </c>
      <c r="O25" s="33" t="n">
        <f aca="true">IF(Free_Months&lt;=0,0,SUM(OFFSET(O11,0,1-MIN(Free_Months,O$3),1,MIN(Free_Months,O$3))))</f>
        <v>5.28148195647147</v>
      </c>
      <c r="P25" s="33" t="n">
        <f aca="true">IF(Free_Months&lt;=0,0,SUM(OFFSET(P11,0,1-MIN(Free_Months,P$3),1,MIN(Free_Months,P$3))))</f>
        <v>5.34957087385976</v>
      </c>
      <c r="Q25" s="33" t="n">
        <f aca="true">IF(Free_Months&lt;=0,0,SUM(OFFSET(Q11,0,1-MIN(Free_Months,Q$3),1,MIN(Free_Months,Q$3))))</f>
        <v>7.16841179295801</v>
      </c>
      <c r="R25" s="33" t="n">
        <f aca="true">IF(Free_Months&lt;=0,0,SUM(OFFSET(R11,0,1-MIN(Free_Months,R$3),1,MIN(Free_Months,R$3))))</f>
        <v>7.24491650053549</v>
      </c>
      <c r="S25" s="33" t="n">
        <f aca="true">IF(Free_Months&lt;=0,0,SUM(OFFSET(S11,0,1-MIN(Free_Months,S$3),1,MIN(Free_Months,S$3))))</f>
        <v>7.32601149056762</v>
      </c>
      <c r="T25" s="33" t="n">
        <f aca="true">IF(Free_Months&lt;=0,0,SUM(OFFSET(T11,0,1-MIN(Free_Months,T$3),1,MIN(Free_Months,T$3))))</f>
        <v>7.41197218000168</v>
      </c>
      <c r="U25" s="33" t="n">
        <f aca="true">IF(Free_Months&lt;=0,0,SUM(OFFSET(U11,0,1-MIN(Free_Months,U$3),1,MIN(Free_Months,U$3))))</f>
        <v>7.50309051080178</v>
      </c>
      <c r="V25" s="33" t="n">
        <f aca="true">IF(Free_Months&lt;=0,0,SUM(OFFSET(V11,0,1-MIN(Free_Months,V$3),1,MIN(Free_Months,V$3))))</f>
        <v>7.59967594144988</v>
      </c>
      <c r="W25" s="33" t="n">
        <f aca="true">IF(Free_Months&lt;=0,0,SUM(OFFSET(W11,0,1-MIN(Free_Months,W$3),1,MIN(Free_Months,W$3))))</f>
        <v>11.4887231646035</v>
      </c>
      <c r="X25" s="33" t="n">
        <f aca="true">IF(Free_Months&lt;=0,0,SUM(OFFSET(X11,0,1-MIN(Free_Months,X$3),1,MIN(Free_Months,X$3))))</f>
        <v>11.6332465544798</v>
      </c>
      <c r="Y25" s="33" t="n">
        <f aca="true">IF(Free_Months&lt;=0,0,SUM(OFFSET(Y11,0,1-MIN(Free_Months,Y$3),1,MIN(Free_Months,Y$3))))</f>
        <v>12.5864413477485</v>
      </c>
      <c r="Z25" s="33" t="n">
        <f aca="true">IF(Free_Months&lt;=0,0,SUM(OFFSET(Z11,0,1-MIN(Free_Months,Z$3),1,MIN(Free_Months,Z$3))))</f>
        <v>12.7488278286135</v>
      </c>
      <c r="AA25" s="33" t="n">
        <f aca="true">IF(Free_Months&lt;=0,0,SUM(OFFSET(AA11,0,1-MIN(Free_Months,AA$3),1,MIN(Free_Months,AA$3))))</f>
        <v>12.9209574983303</v>
      </c>
      <c r="AB25" s="33" t="n">
        <f aca="true">IF(Free_Months&lt;=0,0,SUM(OFFSET(AB11,0,1-MIN(Free_Months,AB$3),1,MIN(Free_Months,AB$3))))</f>
        <v>13.1034149482301</v>
      </c>
      <c r="AC25" s="33" t="n">
        <f aca="true">IF(Free_Months&lt;=0,0,SUM(OFFSET(AC11,0,1-MIN(Free_Months,AC$3),1,MIN(Free_Months,AC$3))))</f>
        <v>16.8034865117905</v>
      </c>
      <c r="AD25" s="33" t="n">
        <f aca="true">IF(Free_Months&lt;=0,0,SUM(OFFSET(AD11,0,1-MIN(Free_Months,AD$3),1,MIN(Free_Months,AD$3))))</f>
        <v>17.008495702498</v>
      </c>
      <c r="AE25" s="33" t="n">
        <f aca="true">IF(Free_Months&lt;=0,0,SUM(OFFSET(AE11,0,1-MIN(Free_Months,AE$3),1,MIN(Free_Months,AE$3))))</f>
        <v>18.0258054446479</v>
      </c>
      <c r="AF25" s="33" t="n">
        <f aca="true">IF(Free_Months&lt;=0,0,SUM(OFFSET(AF11,0,1-MIN(Free_Months,AF$3),1,MIN(Free_Months,AF$3))))</f>
        <v>18.2561537713267</v>
      </c>
      <c r="AG25" s="33" t="n">
        <f aca="true">IF(Free_Months&lt;=0,0,SUM(OFFSET(AG11,0,1-MIN(Free_Months,AG$3),1,MIN(Free_Months,AG$3))))</f>
        <v>18.5003229976063</v>
      </c>
      <c r="AH25" s="33" t="n">
        <f aca="true">IF(Free_Months&lt;=0,0,SUM(OFFSET(AH11,0,1-MIN(Free_Months,AH$3),1,MIN(Free_Months,AH$3))))</f>
        <v>18.7591423774627</v>
      </c>
      <c r="AI25" s="33" t="n">
        <f aca="true">IF(Free_Months&lt;=0,0,SUM(OFFSET(AI11,0,1-MIN(Free_Months,AI$3),1,MIN(Free_Months,AI$3))))</f>
        <v>19.8334909201105</v>
      </c>
      <c r="AJ25" s="33" t="n">
        <f aca="true">IF(Free_Months&lt;=0,0,SUM(OFFSET(AJ11,0,1-MIN(Free_Months,AJ$3),1,MIN(Free_Months,AJ$3))))</f>
        <v>20.1243003753171</v>
      </c>
      <c r="AK25" s="33" t="n">
        <f aca="true">IF(Free_Months&lt;=0,0,SUM(OFFSET(AK11,0,1-MIN(Free_Months,AK$3),1,MIN(Free_Months,AK$3))))</f>
        <v>20.4325583978361</v>
      </c>
      <c r="AL25" s="33" t="n">
        <f aca="true">IF(Free_Months&lt;=0,0,SUM(OFFSET(AL11,0,1-MIN(Free_Months,AL$3),1,MIN(Free_Months,AL$3))))</f>
        <v>20.7593119017063</v>
      </c>
      <c r="AM25" s="33" t="n">
        <f aca="true">IF(Free_Months&lt;=0,0,SUM(OFFSET(AM11,0,1-MIN(Free_Months,AM$3),1,MIN(Free_Months,AM$3))))</f>
        <v>21.9056706158087</v>
      </c>
      <c r="AN25" s="33" t="n">
        <f aca="true">IF(Free_Months&lt;=0,0,SUM(OFFSET(AN11,0,1-MIN(Free_Months,AN$3),1,MIN(Free_Months,AN$3))))</f>
        <v>22.2728108527572</v>
      </c>
      <c r="AO25" s="33" t="n">
        <f aca="true">IF(Free_Months&lt;=0,0,SUM(OFFSET(AO11,0,1-MIN(Free_Months,AO$3),1,MIN(Free_Months,AO$3))))</f>
        <v>25.1286461705893</v>
      </c>
      <c r="AP25" s="33" t="n">
        <f aca="true">IF(Free_Months&lt;=0,0,SUM(OFFSET(AP11,0,1-MIN(Free_Months,AP$3),1,MIN(Free_Months,AP$3))))</f>
        <v>26.3411649408247</v>
      </c>
      <c r="AQ25" s="33" t="n">
        <f aca="true">IF(Free_Months&lt;=0,0,SUM(OFFSET(AQ11,0,1-MIN(Free_Months,AQ$3),1,MIN(Free_Months,AQ$3))))</f>
        <v>26.7784348372741</v>
      </c>
      <c r="AR25" s="33" t="n">
        <f aca="true">IF(Free_Months&lt;=0,0,SUM(OFFSET(AR11,0,1-MIN(Free_Months,AR$3),1,MIN(Free_Months,AR$3))))</f>
        <v>27.2419409275106</v>
      </c>
      <c r="AS25" s="33" t="n">
        <f aca="true">IF(Free_Months&lt;=0,0,SUM(OFFSET(AS11,0,1-MIN(Free_Months,AS$3),1,MIN(Free_Months,AS$3))))</f>
        <v>28.5332573831612</v>
      </c>
      <c r="AT25" s="33" t="n">
        <f aca="true">IF(Free_Months&lt;=0,0,SUM(OFFSET(AT11,0,1-MIN(Free_Months,AT$3),1,MIN(Free_Months,AT$3))))</f>
        <v>29.0540528261509</v>
      </c>
      <c r="AU25" s="33" t="n">
        <f aca="true">IF(Free_Months&lt;=0,0,SUM(OFFSET(AU11,0,1-MIN(Free_Months,AU$3),1,MIN(Free_Months,AU$3))))</f>
        <v>29.60609599572</v>
      </c>
      <c r="AV25" s="33" t="n">
        <f aca="true">IF(Free_Months&lt;=0,0,SUM(OFFSET(AV11,0,1-MIN(Free_Months,AV$3),1,MIN(Free_Months,AV$3))))</f>
        <v>31.7112617554632</v>
      </c>
      <c r="AW25" s="33" t="n">
        <f aca="true">IF(Free_Months&lt;=0,0,SUM(OFFSET(AW11,0,1-MIN(Free_Months,AW$3),1,MIN(Free_Months,AW$3))))</f>
        <v>32.1029631110902</v>
      </c>
      <c r="AX25" s="33" t="n">
        <f aca="true">IF(Free_Months&lt;=0,0,SUM(OFFSET(AX11,0,1-MIN(Free_Months,AX$3),1,MIN(Free_Months,AX$3))))</f>
        <v>33.0667408977556</v>
      </c>
      <c r="AY25" s="33" t="n">
        <f aca="true">IF(Free_Months&lt;=0,0,SUM(OFFSET(AY11,0,1-MIN(Free_Months,AY$3),1,MIN(Free_Months,AY$3))))</f>
        <v>33.2403453516209</v>
      </c>
      <c r="AZ25" s="33" t="n">
        <f aca="true">IF(Free_Months&lt;=0,0,SUM(OFFSET(AZ11,0,1-MIN(Free_Months,AZ$3),1,MIN(Free_Months,AZ$3))))</f>
        <v>33.4243660727182</v>
      </c>
      <c r="BA25" s="33" t="n">
        <f aca="true">IF(Free_Months&lt;=0,0,SUM(OFFSET(BA11,0,1-MIN(Free_Months,BA$3),1,MIN(Free_Months,BA$3))))</f>
        <v>36.8994280370813</v>
      </c>
      <c r="BB25" s="33" t="n">
        <f aca="true">IF(Free_Months&lt;=0,0,SUM(OFFSET(BB11,0,1-MIN(Free_Months,BB$3),1,MIN(Free_Months,BB$3))))</f>
        <v>37.1061937193062</v>
      </c>
      <c r="BC25" s="33" t="n">
        <f aca="true">IF(Free_Months&lt;=0,0,SUM(OFFSET(BC11,0,1-MIN(Free_Months,BC$3),1,MIN(Free_Months,BC$3))))</f>
        <v>38.1253653424645</v>
      </c>
      <c r="BD25" s="33" t="n">
        <f aca="true">IF(Free_Months&lt;=0,0,SUM(OFFSET(BD11,0,1-MIN(Free_Months,BD$3),1,MIN(Free_Months,BD$3))))</f>
        <v>38.3576872630124</v>
      </c>
      <c r="BE25" s="33" t="n">
        <f aca="true">IF(Free_Months&lt;=0,0,SUM(OFFSET(BE11,0,1-MIN(Free_Months,BE$3),1,MIN(Free_Months,BE$3))))</f>
        <v>39.3239484987932</v>
      </c>
      <c r="BF25" s="33" t="n">
        <f aca="true">IF(Free_Months&lt;=0,0,SUM(OFFSET(BF11,0,1-MIN(Free_Months,BF$3),1,MIN(Free_Months,BF$3))))</f>
        <v>40.3849854087207</v>
      </c>
      <c r="BG25" s="33" t="n">
        <f aca="true">IF(Free_Months&lt;=0,0,SUM(OFFSET(BG11,0,1-MIN(Free_Months,BG$3),1,MIN(Free_Months,BG$3))))</f>
        <v>40.661684533244</v>
      </c>
      <c r="BH25" s="33" t="n">
        <f aca="true">IF(Free_Months&lt;=0,0,SUM(OFFSET(BH11,0,1-MIN(Free_Months,BH$3),1,MIN(Free_Months,BH$3))))</f>
        <v>41.7549856052386</v>
      </c>
      <c r="BI25" s="33" t="n">
        <f aca="true">IF(Free_Months&lt;=0,0,SUM(OFFSET(BI11,0,1-MIN(Free_Months,BI$3),1,MIN(Free_Months,BI$3))))</f>
        <v>42.785884741553</v>
      </c>
      <c r="BJ25" s="33" t="n">
        <f aca="true">IF(Free_Months&lt;=0,0,SUM(OFFSET(BJ11,0,1-MIN(Free_Months,BJ$3),1,MIN(Free_Months,BJ$3))))</f>
        <v>43.9154378260461</v>
      </c>
      <c r="BK25" s="33" t="n">
        <f aca="true">IF(Free_Months&lt;=0,0,SUM(OFFSET(BK11,0,1-MIN(Free_Months,BK$3),1,MIN(Free_Months,BK$3))))</f>
        <v>44.0933333333333</v>
      </c>
      <c r="BL25" s="33" t="n">
        <f aca="true">IF(Free_Months&lt;=0,0,SUM(OFFSET(BL11,0,1-MIN(Free_Months,BL$3),1,MIN(Free_Months,BL$3))))</f>
        <v>44.8933333333333</v>
      </c>
    </row>
    <row r="26" customFormat="false" ht="15" hidden="false" customHeight="true" outlineLevel="0" collapsed="false">
      <c r="A26" s="13" t="s">
        <v>1226</v>
      </c>
      <c r="B26" s="15" t="s">
        <v>89</v>
      </c>
      <c r="D26" s="56" t="n">
        <f aca="false">BL26</f>
        <v>5062.22339326924</v>
      </c>
      <c r="E26" s="33" t="n">
        <f aca="false">MAX(0,E14-E23)</f>
        <v>0</v>
      </c>
      <c r="F26" s="33" t="n">
        <f aca="false">MAX(0,F14-F23)</f>
        <v>0</v>
      </c>
      <c r="G26" s="33" t="n">
        <f aca="false">MAX(0,G14-G23)</f>
        <v>0</v>
      </c>
      <c r="H26" s="33" t="n">
        <f aca="false">MAX(0,H14-H23)</f>
        <v>0</v>
      </c>
      <c r="I26" s="33" t="n">
        <f aca="false">MAX(0,I14-I23)</f>
        <v>0</v>
      </c>
      <c r="J26" s="33" t="n">
        <f aca="false">MAX(0,J14-J23)</f>
        <v>29.0864</v>
      </c>
      <c r="K26" s="33" t="n">
        <f aca="false">MAX(0,K14-K23)</f>
        <v>57.873312</v>
      </c>
      <c r="L26" s="33" t="n">
        <f aca="false">MAX(0,L14-L23)</f>
        <v>86.38366016</v>
      </c>
      <c r="M26" s="33" t="n">
        <f aca="false">MAX(0,M14-M23)</f>
        <v>114.6409262208</v>
      </c>
      <c r="N26" s="33" t="n">
        <f aca="false">MAX(0,N14-N23)</f>
        <v>142.669199316224</v>
      </c>
      <c r="O26" s="33" t="n">
        <f aca="false">MAX(0,O14-O23)</f>
        <v>170.49322844693</v>
      </c>
      <c r="P26" s="33" t="n">
        <f aca="false">MAX(0,P14-P23)</f>
        <v>198.138477782044</v>
      </c>
      <c r="Q26" s="33" t="n">
        <f aca="false">MAX(0,Q14-Q23)</f>
        <v>225.631184964698</v>
      </c>
      <c r="R26" s="33" t="n">
        <f aca="false">MAX(0,R14-R23)</f>
        <v>263.268822607997</v>
      </c>
      <c r="S26" s="33" t="n">
        <f aca="false">MAX(0,S14-S23)</f>
        <v>300.603555178986</v>
      </c>
      <c r="T26" s="33" t="n">
        <f aca="false">MAX(0,T14-T23)</f>
        <v>337.668431639944</v>
      </c>
      <c r="U26" s="33" t="n">
        <f aca="false">MAX(0,U14-U23)</f>
        <v>374.497459425555</v>
      </c>
      <c r="V26" s="33" t="n">
        <f aca="false">MAX(0,V14-V23)</f>
        <v>411.125682440558</v>
      </c>
      <c r="W26" s="33" t="n">
        <f aca="false">MAX(0,W14-W23)</f>
        <v>447.589263327472</v>
      </c>
      <c r="X26" s="33" t="n">
        <f aca="false">MAX(0,X14-X23)</f>
        <v>506.191170268792</v>
      </c>
      <c r="Y26" s="33" t="n">
        <f aca="false">MAX(0,Y14-Y23)</f>
        <v>564.470836603757</v>
      </c>
      <c r="Z26" s="33" t="n">
        <f aca="false">MAX(0,Z14-Z23)</f>
        <v>627.189694996443</v>
      </c>
      <c r="AA26" s="33" t="n">
        <f aca="false">MAX(0,AA14-AA23)</f>
        <v>689.609008728761</v>
      </c>
      <c r="AB26" s="33" t="n">
        <f aca="false">MAX(0,AB14-AB23)</f>
        <v>751.792058644368</v>
      </c>
      <c r="AC26" s="33" t="n">
        <f aca="false">MAX(0,AC14-AC23)</f>
        <v>813.804297367073</v>
      </c>
      <c r="AD26" s="33" t="n">
        <f aca="false">MAX(0,AD14-AD23)</f>
        <v>896.33271210906</v>
      </c>
      <c r="AE26" s="33" t="n">
        <f aca="false">MAX(0,AE14-AE23)</f>
        <v>978.416012597567</v>
      </c>
      <c r="AF26" s="33" t="n">
        <f aca="false">MAX(0,AF14-AF23)</f>
        <v>1064.83942836015</v>
      </c>
      <c r="AG26" s="33" t="n">
        <f aca="false">MAX(0,AG14-AG23)</f>
        <v>1150.88882396834</v>
      </c>
      <c r="AH26" s="33" t="n">
        <f aca="false">MAX(0,AH14-AH23)</f>
        <v>1236.6529467149</v>
      </c>
      <c r="AI26" s="33" t="n">
        <f aca="false">MAX(0,AI14-AI23)</f>
        <v>1322.22364496008</v>
      </c>
      <c r="AJ26" s="33" t="n">
        <f aca="false">MAX(0,AJ14-AJ23)</f>
        <v>1412.40009867113</v>
      </c>
      <c r="AK26" s="33" t="n">
        <f aca="false">MAX(0,AK14-AK23)</f>
        <v>1502.48298290457</v>
      </c>
      <c r="AL26" s="33" t="n">
        <f aca="false">MAX(0,AL14-AL23)</f>
        <v>1592.57676662576</v>
      </c>
      <c r="AM26" s="33" t="n">
        <f aca="false">MAX(0,AM14-AM23)</f>
        <v>1682.78998527528</v>
      </c>
      <c r="AN26" s="33" t="n">
        <f aca="false">MAX(0,AN14-AN23)</f>
        <v>1777.93952879073</v>
      </c>
      <c r="AO26" s="33" t="n">
        <f aca="false">MAX(0,AO14-AO23)</f>
        <v>1873.34486602912</v>
      </c>
      <c r="AP26" s="33" t="n">
        <f aca="false">MAX(0,AP14-AP23)</f>
        <v>1983.63440819161</v>
      </c>
      <c r="AQ26" s="33" t="n">
        <f aca="false">MAX(0,AQ14-AQ23)</f>
        <v>2098.84776987982</v>
      </c>
      <c r="AR26" s="33" t="n">
        <f aca="false">MAX(0,AR14-AR23)</f>
        <v>2214.3280113254</v>
      </c>
      <c r="AS26" s="33" t="n">
        <f aca="false">MAX(0,AS14-AS23)</f>
        <v>2330.22406375265</v>
      </c>
      <c r="AT26" s="33" t="n">
        <f aca="false">MAX(0,AT14-AT23)</f>
        <v>2451.39513589059</v>
      </c>
      <c r="AU26" s="33" t="n">
        <f aca="false">MAX(0,AU14-AU23)</f>
        <v>2573.20506379054</v>
      </c>
      <c r="AV26" s="33" t="n">
        <f aca="false">MAX(0,AV14-AV23)</f>
        <v>2695.82480696957</v>
      </c>
      <c r="AW26" s="33" t="n">
        <f aca="false">MAX(0,AW14-AW23)</f>
        <v>2828.3705299523</v>
      </c>
      <c r="AX26" s="33" t="n">
        <f aca="false">MAX(0,AX14-AX23)</f>
        <v>2960.56854244646</v>
      </c>
      <c r="AY26" s="33" t="n">
        <f aca="false">MAX(0,AY14-AY23)</f>
        <v>3095.78960807634</v>
      </c>
      <c r="AZ26" s="33" t="n">
        <f aca="false">MAX(0,AZ14-AZ23)</f>
        <v>3229.32704658234</v>
      </c>
      <c r="BA26" s="33" t="n">
        <f aca="false">MAX(0,BA14-BA23)</f>
        <v>3361.27577815828</v>
      </c>
      <c r="BB26" s="33" t="n">
        <f aca="false">MAX(0,BB14-BB23)</f>
        <v>3511.01889945315</v>
      </c>
      <c r="BC26" s="33" t="n">
        <f aca="false">MAX(0,BC14-BC23)</f>
        <v>3658.98294053361</v>
      </c>
      <c r="BD26" s="33" t="n">
        <f aca="false">MAX(0,BD14-BD23)</f>
        <v>3809.98042993663</v>
      </c>
      <c r="BE26" s="33" t="n">
        <f aca="false">MAX(0,BE14-BE23)</f>
        <v>3959.32402244441</v>
      </c>
      <c r="BF26" s="33" t="n">
        <f aca="false">MAX(0,BF14-BF23)</f>
        <v>4111.36235916842</v>
      </c>
      <c r="BG26" s="33" t="n">
        <f aca="false">MAX(0,BG14-BG23)</f>
        <v>4266.59882618833</v>
      </c>
      <c r="BH26" s="33" t="n">
        <f aca="false">MAX(0,BH14-BH23)</f>
        <v>4420.35755472004</v>
      </c>
      <c r="BI26" s="33" t="n">
        <f aca="false">MAX(0,BI14-BI23)</f>
        <v>4577.46971898444</v>
      </c>
      <c r="BJ26" s="33" t="n">
        <f aca="false">MAX(0,BJ14-BJ23)</f>
        <v>4737.50132688508</v>
      </c>
      <c r="BK26" s="33" t="n">
        <f aca="false">MAX(0,BK14-BK23)</f>
        <v>4900.97407476453</v>
      </c>
      <c r="BL26" s="33" t="n">
        <f aca="false">MAX(0,BL14-BL23)</f>
        <v>5062.22339326924</v>
      </c>
    </row>
    <row r="27" customFormat="false" ht="15" hidden="false" customHeight="true" outlineLevel="0" collapsed="false">
      <c r="A27" s="13" t="s">
        <v>1227</v>
      </c>
      <c r="B27" s="15" t="s">
        <v>89</v>
      </c>
      <c r="D27" s="56" t="n">
        <f aca="false">BL27</f>
        <v>2861.58833359742</v>
      </c>
      <c r="E27" s="33" t="n">
        <f aca="false">MAX(0,E15-E24)</f>
        <v>0</v>
      </c>
      <c r="F27" s="33" t="n">
        <f aca="false">MAX(0,F15-F24)</f>
        <v>0</v>
      </c>
      <c r="G27" s="33" t="n">
        <f aca="false">MAX(0,G15-G24)</f>
        <v>0</v>
      </c>
      <c r="H27" s="33" t="n">
        <f aca="false">MAX(0,H15-H24)</f>
        <v>0</v>
      </c>
      <c r="I27" s="33" t="n">
        <f aca="false">MAX(0,I15-I24)</f>
        <v>0</v>
      </c>
      <c r="J27" s="33" t="n">
        <f aca="false">MAX(0,J15-J24)</f>
        <v>14.6545</v>
      </c>
      <c r="K27" s="33" t="n">
        <f aca="false">MAX(0,K15-K24)</f>
        <v>29.26801875</v>
      </c>
      <c r="L27" s="33" t="n">
        <f aca="false">MAX(0,L15-L24)</f>
        <v>43.849600515625</v>
      </c>
      <c r="M27" s="33" t="n">
        <f aca="false">MAX(0,M15-M24)</f>
        <v>58.4086884291797</v>
      </c>
      <c r="N27" s="33" t="n">
        <f aca="false">MAX(0,N15-N24)</f>
        <v>72.955150219015</v>
      </c>
      <c r="O27" s="33" t="n">
        <f aca="false">MAX(0,O15-O24)</f>
        <v>87.4993054601893</v>
      </c>
      <c r="P27" s="33" t="n">
        <f aca="false">MAX(0,P15-P24)</f>
        <v>102.051954437984</v>
      </c>
      <c r="Q27" s="33" t="n">
        <f aca="false">MAX(0,Q15-Q24)</f>
        <v>116.624408721318</v>
      </c>
      <c r="R27" s="33" t="n">
        <f aca="false">MAX(0,R15-R24)</f>
        <v>136.40302354894</v>
      </c>
      <c r="S27" s="33" t="n">
        <f aca="false">MAX(0,S15-S24)</f>
        <v>156.161050887415</v>
      </c>
      <c r="T27" s="33" t="n">
        <f aca="false">MAX(0,T15-T24)</f>
        <v>175.912346792129</v>
      </c>
      <c r="U27" s="33" t="n">
        <f aca="false">MAX(0,U15-U24)</f>
        <v>195.671410040482</v>
      </c>
      <c r="V27" s="33" t="n">
        <f aca="false">MAX(0,V15-V24)</f>
        <v>215.453423053226</v>
      </c>
      <c r="W27" s="33" t="n">
        <f aca="false">MAX(0,W15-W24)</f>
        <v>235.274295241606</v>
      </c>
      <c r="X27" s="33" t="n">
        <f aca="false">MAX(0,X15-X24)</f>
        <v>266.368708926224</v>
      </c>
      <c r="Y27" s="33" t="n">
        <f aca="false">MAX(0,Y15-Y24)</f>
        <v>297.502592982293</v>
      </c>
      <c r="Z27" s="33" t="n">
        <f aca="false">MAX(0,Z15-Z24)</f>
        <v>331.071143062719</v>
      </c>
      <c r="AA27" s="33" t="n">
        <f aca="false">MAX(0,AA15-AA24)</f>
        <v>364.701156216702</v>
      </c>
      <c r="AB27" s="33" t="n">
        <f aca="false">MAX(0,AB15-AB24)</f>
        <v>398.420728352797</v>
      </c>
      <c r="AC27" s="33" t="n">
        <f aca="false">MAX(0,AC15-AC24)</f>
        <v>432.259336032519</v>
      </c>
      <c r="AD27" s="33" t="n">
        <f aca="false">MAX(0,AD15-AD24)</f>
        <v>476.636423123292</v>
      </c>
      <c r="AE27" s="33" t="n">
        <f aca="false">MAX(0,AE15-AE24)</f>
        <v>521.066136352901</v>
      </c>
      <c r="AF27" s="33" t="n">
        <f aca="false">MAX(0,AF15-AF24)</f>
        <v>567.954258278259</v>
      </c>
      <c r="AG27" s="33" t="n">
        <f aca="false">MAX(0,AG15-AG24)</f>
        <v>614.938685597336</v>
      </c>
      <c r="AH27" s="33" t="n">
        <f aca="false">MAX(0,AH15-AH24)</f>
        <v>662.059158907778</v>
      </c>
      <c r="AI27" s="33" t="n">
        <f aca="false">MAX(0,AI15-AI24)</f>
        <v>709.357378714664</v>
      </c>
      <c r="AJ27" s="33" t="n">
        <f aca="false">MAX(0,AJ15-AJ24)</f>
        <v>759.247128331558</v>
      </c>
      <c r="AK27" s="33" t="n">
        <f aca="false">MAX(0,AK15-AK24)</f>
        <v>809.374779089291</v>
      </c>
      <c r="AL27" s="33" t="n">
        <f aca="false">MAX(0,AL15-AL24)</f>
        <v>859.789048604264</v>
      </c>
      <c r="AM27" s="33" t="n">
        <f aca="false">MAX(0,AM15-AM24)</f>
        <v>910.541147005516</v>
      </c>
      <c r="AN27" s="33" t="n">
        <f aca="false">MAX(0,AN15-AN24)</f>
        <v>964.05493186728</v>
      </c>
      <c r="AO27" s="33" t="n">
        <f aca="false">MAX(0,AO15-AO24)</f>
        <v>1017.98744737023</v>
      </c>
      <c r="AP27" s="33" t="n">
        <f aca="false">MAX(0,AP15-AP24)</f>
        <v>1079.70621855848</v>
      </c>
      <c r="AQ27" s="33" t="n">
        <f aca="false">MAX(0,AQ15-AQ24)</f>
        <v>1144.24559196369</v>
      </c>
      <c r="AR27" s="33" t="n">
        <f aca="false">MAX(0,AR15-AR24)</f>
        <v>1209.27363526957</v>
      </c>
      <c r="AS27" s="33" t="n">
        <f aca="false">MAX(0,AS15-AS24)</f>
        <v>1274.86196482645</v>
      </c>
      <c r="AT27" s="33" t="n">
        <f aca="false">MAX(0,AT15-AT24)</f>
        <v>1343.45596526373</v>
      </c>
      <c r="AU27" s="33" t="n">
        <f aca="false">MAX(0,AU15-AU24)</f>
        <v>1412.73539719541</v>
      </c>
      <c r="AV27" s="33" t="n">
        <f aca="false">MAX(0,AV15-AV24)</f>
        <v>1482.78426411778</v>
      </c>
      <c r="AW27" s="33" t="n">
        <f aca="false">MAX(0,AW15-AW24)</f>
        <v>1558.19407376687</v>
      </c>
      <c r="AX27" s="33" t="n">
        <f aca="false">MAX(0,AX15-AX24)</f>
        <v>1633.82167606139</v>
      </c>
      <c r="AY27" s="33" t="n">
        <f aca="false">MAX(0,AY15-AY24)</f>
        <v>1711.35912502022</v>
      </c>
      <c r="AZ27" s="33" t="n">
        <f aca="false">MAX(0,AZ15-AZ24)</f>
        <v>1788.44165906165</v>
      </c>
      <c r="BA27" s="33" t="n">
        <f aca="false">MAX(0,BA15-BA24)</f>
        <v>1865.10582281381</v>
      </c>
      <c r="BB27" s="33" t="n">
        <f aca="false">MAX(0,BB15-BB24)</f>
        <v>1951.10655558849</v>
      </c>
      <c r="BC27" s="33" t="n">
        <f aca="false">MAX(0,BC15-BC24)</f>
        <v>2036.64482253708</v>
      </c>
      <c r="BD27" s="33" t="n">
        <f aca="false">MAX(0,BD15-BD24)</f>
        <v>2124.13315708241</v>
      </c>
      <c r="BE27" s="33" t="n">
        <f aca="false">MAX(0,BE15-BE24)</f>
        <v>2211.21614113556</v>
      </c>
      <c r="BF27" s="33" t="n">
        <f aca="false">MAX(0,BF15-BF24)</f>
        <v>2300.07313679904</v>
      </c>
      <c r="BG27" s="33" t="n">
        <f aca="false">MAX(0,BG15-BG24)</f>
        <v>2390.96274186239</v>
      </c>
      <c r="BH27" s="33" t="n">
        <f aca="false">MAX(0,BH15-BH24)</f>
        <v>2481.53594801884</v>
      </c>
      <c r="BI27" s="33" t="n">
        <f aca="false">MAX(0,BI15-BI24)</f>
        <v>2574.21589352412</v>
      </c>
      <c r="BJ27" s="33" t="n">
        <f aca="false">MAX(0,BJ15-BJ24)</f>
        <v>2668.79137840192</v>
      </c>
      <c r="BK27" s="33" t="n">
        <f aca="false">MAX(0,BK15-BK24)</f>
        <v>2765.53097073156</v>
      </c>
      <c r="BL27" s="33" t="n">
        <f aca="false">MAX(0,BL15-BL24)</f>
        <v>2861.58833359742</v>
      </c>
    </row>
    <row r="28" customFormat="false" ht="15" hidden="false" customHeight="true" outlineLevel="0" collapsed="false">
      <c r="A28" s="13" t="s">
        <v>1228</v>
      </c>
      <c r="B28" s="15" t="s">
        <v>89</v>
      </c>
      <c r="D28" s="56" t="n">
        <f aca="false">BL28</f>
        <v>1039.86521076754</v>
      </c>
      <c r="E28" s="33" t="n">
        <f aca="false">MAX(0,E16-E25)</f>
        <v>0</v>
      </c>
      <c r="F28" s="33" t="n">
        <f aca="false">MAX(0,F16-F25)</f>
        <v>0</v>
      </c>
      <c r="G28" s="33" t="n">
        <f aca="false">MAX(0,G16-G25)</f>
        <v>0</v>
      </c>
      <c r="H28" s="33" t="n">
        <f aca="false">MAX(0,H16-H25)</f>
        <v>0</v>
      </c>
      <c r="I28" s="33" t="n">
        <f aca="false">MAX(0,I16-I25)</f>
        <v>0</v>
      </c>
      <c r="J28" s="33" t="n">
        <f aca="false">MAX(0,J16-J25)</f>
        <v>4.90956666666667</v>
      </c>
      <c r="K28" s="33" t="n">
        <f aca="false">MAX(0,K16-K25)</f>
        <v>9.82995158333334</v>
      </c>
      <c r="L28" s="33" t="n">
        <f aca="false">MAX(0,L16-L25)</f>
        <v>14.763932013125</v>
      </c>
      <c r="M28" s="33" t="n">
        <f aca="false">MAX(0,M16-M25)</f>
        <v>19.7144358936932</v>
      </c>
      <c r="N28" s="33" t="n">
        <f aca="false">MAX(0,N16-N25)</f>
        <v>24.6845509973972</v>
      </c>
      <c r="O28" s="33" t="n">
        <f aca="false">MAX(0,O16-O25)</f>
        <v>29.6775346401978</v>
      </c>
      <c r="P28" s="33" t="n">
        <f aca="false">MAX(0,P16-P25)</f>
        <v>34.6968239721942</v>
      </c>
      <c r="Q28" s="33" t="n">
        <f aca="false">MAX(0,Q16-Q25)</f>
        <v>39.7460468847086</v>
      </c>
      <c r="R28" s="33" t="n">
        <f aca="false">MAX(0,R16-R25)</f>
        <v>46.5626002375841</v>
      </c>
      <c r="S28" s="33" t="n">
        <f aca="false">MAX(0,S16-S25)</f>
        <v>53.4039603625837</v>
      </c>
      <c r="T28" s="33" t="n">
        <f aca="false">MAX(0,T16-T25)</f>
        <v>60.2744970642527</v>
      </c>
      <c r="U28" s="33" t="n">
        <f aca="false">MAX(0,U16-U25)</f>
        <v>67.1788207249225</v>
      </c>
      <c r="V28" s="33" t="n">
        <f aca="false">MAX(0,V16-V25)</f>
        <v>74.1217969014563</v>
      </c>
      <c r="W28" s="33" t="n">
        <f aca="false">MAX(0,W16-W25)</f>
        <v>81.1085617965844</v>
      </c>
      <c r="X28" s="33" t="n">
        <f aca="false">MAX(0,X16-X25)</f>
        <v>91.902805323979</v>
      </c>
      <c r="Y28" s="33" t="n">
        <f aca="false">MAX(0,Y16-Y25)</f>
        <v>102.75953148937</v>
      </c>
      <c r="Z28" s="33" t="n">
        <f aca="false">MAX(0,Z16-Z25)</f>
        <v>114.48087804084</v>
      </c>
      <c r="AA28" s="33" t="n">
        <f aca="false">MAX(0,AA16-AA25)</f>
        <v>126.275483075433</v>
      </c>
      <c r="AB28" s="33" t="n">
        <f aca="false">MAX(0,AB16-AB25)</f>
        <v>138.15246726946</v>
      </c>
      <c r="AC28" s="33" t="n">
        <f aca="false">MAX(0,AC16-AC25)</f>
        <v>150.121463101058</v>
      </c>
      <c r="AD28" s="33" t="n">
        <f aca="false">MAX(0,AD16-AD25)</f>
        <v>165.673012490752</v>
      </c>
      <c r="AE28" s="33" t="n">
        <f aca="false">MAX(0,AE16-AE25)</f>
        <v>181.3113968818</v>
      </c>
      <c r="AF28" s="33" t="n">
        <f aca="false">MAX(0,AF16-AF25)</f>
        <v>197.842173309</v>
      </c>
      <c r="AG28" s="33" t="n">
        <f aca="false">MAX(0,AG16-AG25)</f>
        <v>214.477589627224</v>
      </c>
      <c r="AH28" s="33" t="n">
        <f aca="false">MAX(0,AH16-AH25)</f>
        <v>231.230578280144</v>
      </c>
      <c r="AI28" s="33" t="n">
        <f aca="false">MAX(0,AI16-AI25)</f>
        <v>248.114797752675</v>
      </c>
      <c r="AJ28" s="33" t="n">
        <f aca="false">MAX(0,AJ16-AJ25)</f>
        <v>265.938676507739</v>
      </c>
      <c r="AK28" s="33" t="n">
        <f aca="false">MAX(0,AK16-AK25)</f>
        <v>283.917504556434</v>
      </c>
      <c r="AL28" s="33" t="n">
        <f aca="false">MAX(0,AL16-AL25)</f>
        <v>302.067437482113</v>
      </c>
      <c r="AM28" s="33" t="n">
        <f aca="false">MAX(0,AM16-AM25)</f>
        <v>320.405548763441</v>
      </c>
      <c r="AN28" s="33" t="n">
        <f aca="false">MAX(0,AN16-AN25)</f>
        <v>339.743885233905</v>
      </c>
      <c r="AO28" s="33" t="n">
        <f aca="false">MAX(0,AO16-AO25)</f>
        <v>359.301570866012</v>
      </c>
      <c r="AP28" s="33" t="n">
        <f aca="false">MAX(0,AP16-AP25)</f>
        <v>381.546990408827</v>
      </c>
      <c r="AQ28" s="33" t="n">
        <f aca="false">MAX(0,AQ16-AQ25)</f>
        <v>404.828994184529</v>
      </c>
      <c r="AR28" s="33" t="n">
        <f aca="false">MAX(0,AR16-AR25)</f>
        <v>428.37037330414</v>
      </c>
      <c r="AS28" s="33" t="n">
        <f aca="false">MAX(0,AS16-AS25)</f>
        <v>452.195221874913</v>
      </c>
      <c r="AT28" s="33" t="n">
        <f aca="false">MAX(0,AT16-AT25)</f>
        <v>477.123015663639</v>
      </c>
      <c r="AU28" s="33" t="n">
        <f aca="false">MAX(0,AU16-AU25)</f>
        <v>502.380740476116</v>
      </c>
      <c r="AV28" s="33" t="n">
        <f aca="false">MAX(0,AV16-AV25)</f>
        <v>527.996935198297</v>
      </c>
      <c r="AW28" s="33" t="n">
        <f aca="false">MAX(0,AW16-AW25)</f>
        <v>555.510385476607</v>
      </c>
      <c r="AX28" s="33" t="n">
        <f aca="false">MAX(0,AX16-AX25)</f>
        <v>583.20624847329</v>
      </c>
      <c r="AY28" s="33" t="n">
        <f aca="false">MAX(0,AY16-AY25)</f>
        <v>611.650941950763</v>
      </c>
      <c r="AZ28" s="33" t="n">
        <f aca="false">MAX(0,AZ16-AZ25)</f>
        <v>640.054602647616</v>
      </c>
      <c r="BA28" s="33" t="n">
        <f aca="false">MAX(0,BA16-BA25)</f>
        <v>668.427876454931</v>
      </c>
      <c r="BB28" s="33" t="n">
        <f aca="false">MAX(0,BB16-BB25)</f>
        <v>700.037349708323</v>
      </c>
      <c r="BC28" s="33" t="n">
        <f aca="false">MAX(0,BC16-BC25)</f>
        <v>731.614966851922</v>
      </c>
      <c r="BD28" s="33" t="n">
        <f aca="false">MAX(0,BD16-BD25)</f>
        <v>763.967279702928</v>
      </c>
      <c r="BE28" s="33" t="n">
        <f aca="false">MAX(0,BE16-BE25)</f>
        <v>796.307529713696</v>
      </c>
      <c r="BF28" s="33" t="n">
        <f aca="false">MAX(0,BF16-BF25)</f>
        <v>829.364242125896</v>
      </c>
      <c r="BG28" s="33" t="n">
        <f aca="false">MAX(0,BG16-BG25)</f>
        <v>863.226108328107</v>
      </c>
      <c r="BH28" s="33" t="n">
        <f aca="false">MAX(0,BH16-BH25)</f>
        <v>897.108634414891</v>
      </c>
      <c r="BI28" s="33" t="n">
        <f aca="false">MAX(0,BI16-BI25)</f>
        <v>931.822142869978</v>
      </c>
      <c r="BJ28" s="33" t="n">
        <f aca="false">MAX(0,BJ16-BJ25)</f>
        <v>967.298467404445</v>
      </c>
      <c r="BK28" s="33" t="n">
        <f aca="false">MAX(0,BK16-BK25)</f>
        <v>1003.62980094126</v>
      </c>
      <c r="BL28" s="33" t="n">
        <f aca="false">MAX(0,BL16-BL25)</f>
        <v>1039.86521076754</v>
      </c>
    </row>
    <row r="30" customFormat="false" ht="15" hidden="false" customHeight="true" outlineLevel="0" collapsed="false">
      <c r="A30" s="11" t="s">
        <v>1229</v>
      </c>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row>
    <row r="31" customFormat="false" ht="15" hidden="false" customHeight="true" outlineLevel="0" collapsed="false">
      <c r="A31" s="13" t="s">
        <v>1230</v>
      </c>
      <c r="B31" s="15" t="s">
        <v>92</v>
      </c>
      <c r="D31" s="56" t="n">
        <f aca="false">BL31</f>
        <v>231735.650598386</v>
      </c>
      <c r="E31" s="33" t="n">
        <f aca="false">E14*Emp_Petite+E15*Emp_Moyenne+E16*Emp_Grande</f>
        <v>0</v>
      </c>
      <c r="F31" s="33" t="n">
        <f aca="false">F14*Emp_Petite+F15*Emp_Moyenne+F16*Emp_Grande</f>
        <v>0</v>
      </c>
      <c r="G31" s="33" t="n">
        <f aca="false">G14*Emp_Petite+G15*Emp_Moyenne+G16*Emp_Grande</f>
        <v>0</v>
      </c>
      <c r="H31" s="33" t="n">
        <f aca="false">H14*Emp_Petite+H15*Emp_Moyenne+H16*Emp_Grande</f>
        <v>0</v>
      </c>
      <c r="I31" s="33" t="n">
        <f aca="false">I14*Emp_Petite+I15*Emp_Moyenne+I16*Emp_Grande</f>
        <v>1113</v>
      </c>
      <c r="J31" s="33" t="n">
        <f aca="false">J14*Emp_Petite+J15*Emp_Moyenne+J16*Emp_Grande</f>
        <v>2224.7425</v>
      </c>
      <c r="K31" s="33" t="n">
        <f aca="false">K14*Emp_Petite+K15*Emp_Moyenne+K16*Emp_Grande</f>
        <v>3335.90921875</v>
      </c>
      <c r="L31" s="33" t="n">
        <f aca="false">L14*Emp_Petite+L15*Emp_Moyenne+L16*Emp_Grande</f>
        <v>4447.21303526563</v>
      </c>
      <c r="M31" s="33" t="n">
        <f aca="false">M14*Emp_Petite+M15*Emp_Moyenne+M16*Emp_Grande</f>
        <v>5559.40000187668</v>
      </c>
      <c r="N31" s="33" t="n">
        <f aca="false">N14*Emp_Petite+N15*Emp_Moyenne+N16*Emp_Grande</f>
        <v>6673.25147571216</v>
      </c>
      <c r="O31" s="33" t="n">
        <f aca="false">O14*Emp_Petite+O15*Emp_Moyenne+O16*Emp_Grande</f>
        <v>7789.5863757692</v>
      </c>
      <c r="P31" s="33" t="n">
        <f aca="false">P14*Emp_Petite+P15*Emp_Moyenne+P16*Emp_Grande</f>
        <v>8909.26357314156</v>
      </c>
      <c r="Q31" s="33" t="n">
        <f aca="false">Q14*Emp_Petite+Q15*Emp_Moyenne+Q16*Emp_Grande</f>
        <v>10426.184422437</v>
      </c>
      <c r="R31" s="33" t="n">
        <f aca="false">R14*Emp_Petite+R15*Emp_Moyenne+R16*Emp_Grande</f>
        <v>11944.0379428941</v>
      </c>
      <c r="S31" s="33" t="n">
        <f aca="false">S14*Emp_Petite+S15*Emp_Moyenne+S16*Emp_Grande</f>
        <v>13463.8718769681</v>
      </c>
      <c r="T31" s="33" t="n">
        <f aca="false">T14*Emp_Petite+T15*Emp_Moyenne+T16*Emp_Grande</f>
        <v>14986.7842162136</v>
      </c>
      <c r="U31" s="33" t="n">
        <f aca="false">U14*Emp_Petite+U15*Emp_Moyenne+U16*Emp_Grande</f>
        <v>16513.9264000609</v>
      </c>
      <c r="V31" s="33" t="n">
        <f aca="false">V14*Emp_Petite+V15*Emp_Moyenne+V16*Emp_Grande</f>
        <v>18046.5067035344</v>
      </c>
      <c r="W31" s="33" t="n">
        <f aca="false">W14*Emp_Petite+W15*Emp_Moyenne+W16*Emp_Grande</f>
        <v>20437.7938253034</v>
      </c>
      <c r="X31" s="33" t="n">
        <f aca="false">X14*Emp_Petite+X15*Emp_Moyenne+X16*Emp_Grande</f>
        <v>22835.990688135</v>
      </c>
      <c r="Y31" s="33" t="n">
        <f aca="false">Y14*Emp_Petite+Y15*Emp_Moyenne+Y16*Emp_Grande</f>
        <v>25423.012089544</v>
      </c>
      <c r="Z31" s="33" t="n">
        <f aca="false">Z14*Emp_Petite+Z15*Emp_Moyenne+Z16*Emp_Grande</f>
        <v>28018.9186778891</v>
      </c>
      <c r="AA31" s="33" t="n">
        <f aca="false">AA14*Emp_Petite+AA15*Emp_Moyenne+AA16*Emp_Grande</f>
        <v>30625.8473552376</v>
      </c>
      <c r="AB31" s="33" t="n">
        <f aca="false">AB14*Emp_Petite+AB15*Emp_Moyenne+AB16*Emp_Grande</f>
        <v>33246.0429377287</v>
      </c>
      <c r="AC31" s="33" t="n">
        <f aca="false">AC14*Emp_Petite+AC15*Emp_Moyenne+AC16*Emp_Grande</f>
        <v>36670.8649249281</v>
      </c>
      <c r="AD31" s="33" t="n">
        <f aca="false">AD14*Emp_Petite+AD15*Emp_Moyenne+AD16*Emp_Grande</f>
        <v>40105.2471705798</v>
      </c>
      <c r="AE31" s="33" t="n">
        <f aca="false">AE14*Emp_Petite+AE15*Emp_Moyenne+AE16*Emp_Grande</f>
        <v>43731.9073226722</v>
      </c>
      <c r="AF31" s="33" t="n">
        <f aca="false">AF14*Emp_Petite+AF15*Emp_Moyenne+AF16*Emp_Grande</f>
        <v>47371.7489943857</v>
      </c>
      <c r="AG31" s="33" t="n">
        <f aca="false">AG14*Emp_Petite+AG15*Emp_Moyenne+AG16*Emp_Grande</f>
        <v>51027.7946895034</v>
      </c>
      <c r="AH31" s="33" t="n">
        <f aca="false">AH14*Emp_Petite+AH15*Emp_Moyenne+AH16*Emp_Grande</f>
        <v>54703.2201348154</v>
      </c>
      <c r="AI31" s="33" t="n">
        <f aca="false">AI14*Emp_Petite+AI15*Emp_Moyenne+AI16*Emp_Grande</f>
        <v>58581.3638800129</v>
      </c>
      <c r="AJ31" s="33" t="n">
        <f aca="false">AJ14*Emp_Petite+AJ15*Emp_Moyenne+AJ16*Emp_Grande</f>
        <v>62483.7874670197</v>
      </c>
      <c r="AK31" s="33" t="n">
        <f aca="false">AK14*Emp_Petite+AK15*Emp_Moyenne+AK16*Emp_Grande</f>
        <v>66414.2105780403</v>
      </c>
      <c r="AL31" s="33" t="n">
        <f aca="false">AL14*Emp_Petite+AL15*Emp_Moyenne+AL16*Emp_Grande</f>
        <v>70376.5477239729</v>
      </c>
      <c r="AM31" s="33" t="n">
        <f aca="false">AM14*Emp_Petite+AM15*Emp_Moyenne+AM16*Emp_Grande</f>
        <v>74554.9203416841</v>
      </c>
      <c r="AN31" s="33" t="n">
        <f aca="false">AN14*Emp_Petite+AN15*Emp_Moyenne+AN16*Emp_Grande</f>
        <v>78771.7196105746</v>
      </c>
      <c r="AO31" s="33" t="n">
        <f aca="false">AO14*Emp_Petite+AO15*Emp_Moyenne+AO16*Emp_Grande</f>
        <v>83586.5444067055</v>
      </c>
      <c r="AP31" s="33" t="n">
        <f aca="false">AP14*Emp_Petite+AP15*Emp_Moyenne+AP16*Emp_Grande</f>
        <v>88623.2284656647</v>
      </c>
      <c r="AQ31" s="33" t="n">
        <f aca="false">AQ14*Emp_Petite+AQ15*Emp_Moyenne+AQ16*Emp_Grande</f>
        <v>93705.0057890215</v>
      </c>
      <c r="AR31" s="33" t="n">
        <f aca="false">AR14*Emp_Petite+AR15*Emp_Moyenne+AR16*Emp_Grande</f>
        <v>98837.3624435528</v>
      </c>
      <c r="AS31" s="33" t="n">
        <f aca="false">AS14*Emp_Petite+AS15*Emp_Moyenne+AS16*Emp_Grande</f>
        <v>104206.078975625</v>
      </c>
      <c r="AT31" s="33" t="n">
        <f aca="false">AT14*Emp_Petite+AT15*Emp_Moyenne+AT16*Emp_Grande</f>
        <v>109635.298576567</v>
      </c>
      <c r="AU31" s="33" t="n">
        <f aca="false">AU14*Emp_Petite+AU15*Emp_Moyenne+AU16*Emp_Grande</f>
        <v>115131.470705009</v>
      </c>
      <c r="AV31" s="33" t="n">
        <f aca="false">AV14*Emp_Petite+AV15*Emp_Moyenne+AV16*Emp_Grande</f>
        <v>121043.396756567</v>
      </c>
      <c r="AW31" s="33" t="n">
        <f aca="false">AW14*Emp_Petite+AW15*Emp_Moyenne+AW16*Emp_Grande</f>
        <v>126981.117451121</v>
      </c>
      <c r="AX31" s="33" t="n">
        <f aca="false">AX14*Emp_Petite+AX15*Emp_Moyenne+AX16*Emp_Grande</f>
        <v>133073.151132557</v>
      </c>
      <c r="AY31" s="33" t="n">
        <f aca="false">AY14*Emp_Petite+AY15*Emp_Moyenne+AY16*Emp_Grande</f>
        <v>139140.116904094</v>
      </c>
      <c r="AZ31" s="33" t="n">
        <f aca="false">AZ14*Emp_Petite+AZ15*Emp_Moyenne+AZ16*Emp_Grande</f>
        <v>145184.711393528</v>
      </c>
      <c r="BA31" s="33" t="n">
        <f aca="false">BA14*Emp_Petite+BA15*Emp_Moyenne+BA16*Emp_Grande</f>
        <v>151947.740944072</v>
      </c>
      <c r="BB31" s="33" t="n">
        <f aca="false">BB14*Emp_Petite+BB15*Emp_Moyenne+BB16*Emp_Grande</f>
        <v>158686.133938821</v>
      </c>
      <c r="BC31" s="33" t="n">
        <f aca="false">BC14*Emp_Petite+BC15*Emp_Moyenne+BC16*Emp_Grande</f>
        <v>165583.03849038</v>
      </c>
      <c r="BD31" s="33" t="n">
        <f aca="false">BD14*Emp_Petite+BD15*Emp_Moyenne+BD16*Emp_Grande</f>
        <v>172459.784275273</v>
      </c>
      <c r="BE31" s="33" t="n">
        <f aca="false">BE14*Emp_Petite+BE15*Emp_Moyenne+BE16*Emp_Grande</f>
        <v>179481.815618483</v>
      </c>
      <c r="BF31" s="33" t="n">
        <f aca="false">BF14*Emp_Petite+BF15*Emp_Moyenne+BF16*Emp_Grande</f>
        <v>186668.970987888</v>
      </c>
      <c r="BG31" s="33" t="n">
        <f aca="false">BG14*Emp_Petite+BG15*Emp_Moyenne+BG16*Emp_Grande</f>
        <v>193843.074696854</v>
      </c>
      <c r="BH31" s="33" t="n">
        <f aca="false">BH14*Emp_Petite+BH15*Emp_Moyenne+BH16*Emp_Grande</f>
        <v>201188.094365037</v>
      </c>
      <c r="BI31" s="33" t="n">
        <f aca="false">BI14*Emp_Petite+BI15*Emp_Moyenne+BI16*Emp_Grande</f>
        <v>208688.227144272</v>
      </c>
      <c r="BJ31" s="33" t="n">
        <f aca="false">BJ14*Emp_Petite+BJ15*Emp_Moyenne+BJ16*Emp_Grande</f>
        <v>216364.080693867</v>
      </c>
      <c r="BK31" s="33" t="n">
        <f aca="false">BK14*Emp_Petite+BK15*Emp_Moyenne+BK16*Emp_Grande</f>
        <v>223999.720755063</v>
      </c>
      <c r="BL31" s="33" t="n">
        <f aca="false">BL14*Emp_Petite+BL15*Emp_Moyenne+BL16*Emp_Grande</f>
        <v>231735.650598386</v>
      </c>
    </row>
    <row r="32" customFormat="false" ht="15" hidden="false" customHeight="true" outlineLevel="0" collapsed="false">
      <c r="A32" s="13" t="s">
        <v>1231</v>
      </c>
      <c r="B32" s="15" t="s">
        <v>745</v>
      </c>
      <c r="D32" s="56" t="n">
        <f aca="false">BL32</f>
        <v>46347.1301196772</v>
      </c>
      <c r="E32" s="33" t="n">
        <f aca="false">IF(E$3&gt;=EmpAcc_Start,E31*EmpAcc_Adoption,0)</f>
        <v>0</v>
      </c>
      <c r="F32" s="33" t="n">
        <f aca="false">IF(F$3&gt;=EmpAcc_Start,F31*EmpAcc_Adoption,0)</f>
        <v>0</v>
      </c>
      <c r="G32" s="33" t="n">
        <f aca="false">IF(G$3&gt;=EmpAcc_Start,G31*EmpAcc_Adoption,0)</f>
        <v>0</v>
      </c>
      <c r="H32" s="33" t="n">
        <f aca="false">IF(H$3&gt;=EmpAcc_Start,H31*EmpAcc_Adoption,0)</f>
        <v>0</v>
      </c>
      <c r="I32" s="33" t="n">
        <f aca="false">IF(I$3&gt;=EmpAcc_Start,I31*EmpAcc_Adoption,0)</f>
        <v>0</v>
      </c>
      <c r="J32" s="33" t="n">
        <f aca="false">IF(J$3&gt;=EmpAcc_Start,J31*EmpAcc_Adoption,0)</f>
        <v>0</v>
      </c>
      <c r="K32" s="33" t="n">
        <f aca="false">IF(K$3&gt;=EmpAcc_Start,K31*EmpAcc_Adoption,0)</f>
        <v>0</v>
      </c>
      <c r="L32" s="33" t="n">
        <f aca="false">IF(L$3&gt;=EmpAcc_Start,L31*EmpAcc_Adoption,0)</f>
        <v>0</v>
      </c>
      <c r="M32" s="33" t="n">
        <f aca="false">IF(M$3&gt;=EmpAcc_Start,M31*EmpAcc_Adoption,0)</f>
        <v>0</v>
      </c>
      <c r="N32" s="33" t="n">
        <f aca="false">IF(N$3&gt;=EmpAcc_Start,N31*EmpAcc_Adoption,0)</f>
        <v>0</v>
      </c>
      <c r="O32" s="33" t="n">
        <f aca="false">IF(O$3&gt;=EmpAcc_Start,O31*EmpAcc_Adoption,0)</f>
        <v>0</v>
      </c>
      <c r="P32" s="33" t="n">
        <f aca="false">IF(P$3&gt;=EmpAcc_Start,P31*EmpAcc_Adoption,0)</f>
        <v>0</v>
      </c>
      <c r="Q32" s="33" t="n">
        <f aca="false">IF(Q$3&gt;=EmpAcc_Start,Q31*EmpAcc_Adoption,0)</f>
        <v>0</v>
      </c>
      <c r="R32" s="33" t="n">
        <f aca="false">IF(R$3&gt;=EmpAcc_Start,R31*EmpAcc_Adoption,0)</f>
        <v>0</v>
      </c>
      <c r="S32" s="33" t="n">
        <f aca="false">IF(S$3&gt;=EmpAcc_Start,S31*EmpAcc_Adoption,0)</f>
        <v>0</v>
      </c>
      <c r="T32" s="33" t="n">
        <f aca="false">IF(T$3&gt;=EmpAcc_Start,T31*EmpAcc_Adoption,0)</f>
        <v>0</v>
      </c>
      <c r="U32" s="33" t="n">
        <f aca="false">IF(U$3&gt;=EmpAcc_Start,U31*EmpAcc_Adoption,0)</f>
        <v>0</v>
      </c>
      <c r="V32" s="33" t="n">
        <f aca="false">IF(V$3&gt;=EmpAcc_Start,V31*EmpAcc_Adoption,0)</f>
        <v>0</v>
      </c>
      <c r="W32" s="33" t="n">
        <f aca="false">IF(W$3&gt;=EmpAcc_Start,W31*EmpAcc_Adoption,0)</f>
        <v>0</v>
      </c>
      <c r="X32" s="33" t="n">
        <f aca="false">IF(X$3&gt;=EmpAcc_Start,X31*EmpAcc_Adoption,0)</f>
        <v>0</v>
      </c>
      <c r="Y32" s="33" t="n">
        <f aca="false">IF(Y$3&gt;=EmpAcc_Start,Y31*EmpAcc_Adoption,0)</f>
        <v>0</v>
      </c>
      <c r="Z32" s="33" t="n">
        <f aca="false">IF(Z$3&gt;=EmpAcc_Start,Z31*EmpAcc_Adoption,0)</f>
        <v>0</v>
      </c>
      <c r="AA32" s="33" t="n">
        <f aca="false">IF(AA$3&gt;=EmpAcc_Start,AA31*EmpAcc_Adoption,0)</f>
        <v>0</v>
      </c>
      <c r="AB32" s="33" t="n">
        <f aca="false">IF(AB$3&gt;=EmpAcc_Start,AB31*EmpAcc_Adoption,0)</f>
        <v>0</v>
      </c>
      <c r="AC32" s="33" t="n">
        <f aca="false">IF(AC$3&gt;=EmpAcc_Start,AC31*EmpAcc_Adoption,0)</f>
        <v>0</v>
      </c>
      <c r="AD32" s="33" t="n">
        <f aca="false">IF(AD$3&gt;=EmpAcc_Start,AD31*EmpAcc_Adoption,0)</f>
        <v>0</v>
      </c>
      <c r="AE32" s="33" t="n">
        <f aca="false">IF(AE$3&gt;=EmpAcc_Start,AE31*EmpAcc_Adoption,0)</f>
        <v>0</v>
      </c>
      <c r="AF32" s="33" t="n">
        <f aca="false">IF(AF$3&gt;=EmpAcc_Start,AF31*EmpAcc_Adoption,0)</f>
        <v>0</v>
      </c>
      <c r="AG32" s="33" t="n">
        <f aca="false">IF(AG$3&gt;=EmpAcc_Start,AG31*EmpAcc_Adoption,0)</f>
        <v>10205.5589379007</v>
      </c>
      <c r="AH32" s="33" t="n">
        <f aca="false">IF(AH$3&gt;=EmpAcc_Start,AH31*EmpAcc_Adoption,0)</f>
        <v>10940.6440269631</v>
      </c>
      <c r="AI32" s="33" t="n">
        <f aca="false">IF(AI$3&gt;=EmpAcc_Start,AI31*EmpAcc_Adoption,0)</f>
        <v>11716.2727760026</v>
      </c>
      <c r="AJ32" s="33" t="n">
        <f aca="false">IF(AJ$3&gt;=EmpAcc_Start,AJ31*EmpAcc_Adoption,0)</f>
        <v>12496.7574934039</v>
      </c>
      <c r="AK32" s="33" t="n">
        <f aca="false">IF(AK$3&gt;=EmpAcc_Start,AK31*EmpAcc_Adoption,0)</f>
        <v>13282.8421156081</v>
      </c>
      <c r="AL32" s="33" t="n">
        <f aca="false">IF(AL$3&gt;=EmpAcc_Start,AL31*EmpAcc_Adoption,0)</f>
        <v>14075.3095447946</v>
      </c>
      <c r="AM32" s="33" t="n">
        <f aca="false">IF(AM$3&gt;=EmpAcc_Start,AM31*EmpAcc_Adoption,0)</f>
        <v>14910.9840683368</v>
      </c>
      <c r="AN32" s="33" t="n">
        <f aca="false">IF(AN$3&gt;=EmpAcc_Start,AN31*EmpAcc_Adoption,0)</f>
        <v>15754.3439221149</v>
      </c>
      <c r="AO32" s="33" t="n">
        <f aca="false">IF(AO$3&gt;=EmpAcc_Start,AO31*EmpAcc_Adoption,0)</f>
        <v>16717.3088813411</v>
      </c>
      <c r="AP32" s="33" t="n">
        <f aca="false">IF(AP$3&gt;=EmpAcc_Start,AP31*EmpAcc_Adoption,0)</f>
        <v>17724.6456931329</v>
      </c>
      <c r="AQ32" s="33" t="n">
        <f aca="false">IF(AQ$3&gt;=EmpAcc_Start,AQ31*EmpAcc_Adoption,0)</f>
        <v>18741.0011578043</v>
      </c>
      <c r="AR32" s="33" t="n">
        <f aca="false">IF(AR$3&gt;=EmpAcc_Start,AR31*EmpAcc_Adoption,0)</f>
        <v>19767.4724887106</v>
      </c>
      <c r="AS32" s="33" t="n">
        <f aca="false">IF(AS$3&gt;=EmpAcc_Start,AS31*EmpAcc_Adoption,0)</f>
        <v>20841.2157951251</v>
      </c>
      <c r="AT32" s="33" t="n">
        <f aca="false">IF(AT$3&gt;=EmpAcc_Start,AT31*EmpAcc_Adoption,0)</f>
        <v>21927.0597153134</v>
      </c>
      <c r="AU32" s="33" t="n">
        <f aca="false">IF(AU$3&gt;=EmpAcc_Start,AU31*EmpAcc_Adoption,0)</f>
        <v>23026.2941410018</v>
      </c>
      <c r="AV32" s="33" t="n">
        <f aca="false">IF(AV$3&gt;=EmpAcc_Start,AV31*EmpAcc_Adoption,0)</f>
        <v>24208.6793513135</v>
      </c>
      <c r="AW32" s="33" t="n">
        <f aca="false">IF(AW$3&gt;=EmpAcc_Start,AW31*EmpAcc_Adoption,0)</f>
        <v>25396.2234902243</v>
      </c>
      <c r="AX32" s="33" t="n">
        <f aca="false">IF(AX$3&gt;=EmpAcc_Start,AX31*EmpAcc_Adoption,0)</f>
        <v>26614.6302265114</v>
      </c>
      <c r="AY32" s="33" t="n">
        <f aca="false">IF(AY$3&gt;=EmpAcc_Start,AY31*EmpAcc_Adoption,0)</f>
        <v>27828.0233808187</v>
      </c>
      <c r="AZ32" s="33" t="n">
        <f aca="false">IF(AZ$3&gt;=EmpAcc_Start,AZ31*EmpAcc_Adoption,0)</f>
        <v>29036.9422787057</v>
      </c>
      <c r="BA32" s="33" t="n">
        <f aca="false">IF(BA$3&gt;=EmpAcc_Start,BA31*EmpAcc_Adoption,0)</f>
        <v>30389.5481888143</v>
      </c>
      <c r="BB32" s="33" t="n">
        <f aca="false">IF(BB$3&gt;=EmpAcc_Start,BB31*EmpAcc_Adoption,0)</f>
        <v>31737.2267877641</v>
      </c>
      <c r="BC32" s="33" t="n">
        <f aca="false">IF(BC$3&gt;=EmpAcc_Start,BC31*EmpAcc_Adoption,0)</f>
        <v>33116.607698076</v>
      </c>
      <c r="BD32" s="33" t="n">
        <f aca="false">IF(BD$3&gt;=EmpAcc_Start,BD31*EmpAcc_Adoption,0)</f>
        <v>34491.9568550545</v>
      </c>
      <c r="BE32" s="33" t="n">
        <f aca="false">IF(BE$3&gt;=EmpAcc_Start,BE31*EmpAcc_Adoption,0)</f>
        <v>35896.3631236966</v>
      </c>
      <c r="BF32" s="33" t="n">
        <f aca="false">IF(BF$3&gt;=EmpAcc_Start,BF31*EmpAcc_Adoption,0)</f>
        <v>37333.7941975775</v>
      </c>
      <c r="BG32" s="33" t="n">
        <f aca="false">IF(BG$3&gt;=EmpAcc_Start,BG31*EmpAcc_Adoption,0)</f>
        <v>38768.6149393708</v>
      </c>
      <c r="BH32" s="33" t="n">
        <f aca="false">IF(BH$3&gt;=EmpAcc_Start,BH31*EmpAcc_Adoption,0)</f>
        <v>40237.6188730074</v>
      </c>
      <c r="BI32" s="33" t="n">
        <f aca="false">IF(BI$3&gt;=EmpAcc_Start,BI31*EmpAcc_Adoption,0)</f>
        <v>41737.6454288544</v>
      </c>
      <c r="BJ32" s="33" t="n">
        <f aca="false">IF(BJ$3&gt;=EmpAcc_Start,BJ31*EmpAcc_Adoption,0)</f>
        <v>43272.8161387735</v>
      </c>
      <c r="BK32" s="33" t="n">
        <f aca="false">IF(BK$3&gt;=EmpAcc_Start,BK31*EmpAcc_Adoption,0)</f>
        <v>44799.9441510126</v>
      </c>
      <c r="BL32" s="33" t="n">
        <f aca="false">IF(BL$3&gt;=EmpAcc_Start,BL31*EmpAcc_Adoption,0)</f>
        <v>46347.1301196772</v>
      </c>
    </row>
    <row r="33" customFormat="false" ht="15" hidden="false" customHeight="true" outlineLevel="0" collapsed="false">
      <c r="A33" s="13" t="s">
        <v>1232</v>
      </c>
      <c r="B33" s="15" t="s">
        <v>523</v>
      </c>
      <c r="D33" s="58" t="n">
        <f aca="false">SUM(E33:BL33)</f>
        <v>14844.4810223953</v>
      </c>
      <c r="E33" s="43" t="n">
        <f aca="false">E9*Cards_New_Petite+E10*Cards_New_Moyenne+E11*Cards_New_Grande</f>
        <v>0</v>
      </c>
      <c r="F33" s="43" t="n">
        <f aca="false">F9*Cards_New_Petite+F10*Cards_New_Moyenne+F11*Cards_New_Grande</f>
        <v>0</v>
      </c>
      <c r="G33" s="43" t="n">
        <f aca="false">G9*Cards_New_Petite+G10*Cards_New_Moyenne+G11*Cards_New_Grande</f>
        <v>0</v>
      </c>
      <c r="H33" s="43" t="n">
        <f aca="false">H9*Cards_New_Petite+H10*Cards_New_Moyenne+H11*Cards_New_Grande</f>
        <v>0</v>
      </c>
      <c r="I33" s="43" t="n">
        <f aca="false">I9*Cards_New_Petite+I10*Cards_New_Moyenne+I11*Cards_New_Grande</f>
        <v>59.36</v>
      </c>
      <c r="J33" s="43" t="n">
        <f aca="false">J9*Cards_New_Petite+J10*Cards_New_Moyenne+J11*Cards_New_Grande</f>
        <v>59.936</v>
      </c>
      <c r="K33" s="43" t="n">
        <f aca="false">K9*Cards_New_Petite+K10*Cards_New_Moyenne+K11*Cards_New_Grande</f>
        <v>60.54656</v>
      </c>
      <c r="L33" s="43" t="n">
        <f aca="false">L9*Cards_New_Petite+L10*Cards_New_Moyenne+L11*Cards_New_Grande</f>
        <v>61.1937536</v>
      </c>
      <c r="M33" s="43" t="n">
        <f aca="false">M9*Cards_New_Petite+M10*Cards_New_Moyenne+M11*Cards_New_Grande</f>
        <v>61.879778816</v>
      </c>
      <c r="N33" s="43" t="n">
        <f aca="false">N9*Cards_New_Petite+N10*Cards_New_Moyenne+N11*Cards_New_Grande</f>
        <v>62.60696554496</v>
      </c>
      <c r="O33" s="43" t="n">
        <f aca="false">O9*Cards_New_Petite+O10*Cards_New_Moyenne+O11*Cards_New_Grande</f>
        <v>63.3777834776576</v>
      </c>
      <c r="P33" s="43" t="n">
        <f aca="false">P9*Cards_New_Petite+P10*Cards_New_Moyenne+P11*Cards_New_Grande</f>
        <v>64.1948504863171</v>
      </c>
      <c r="Q33" s="43" t="n">
        <f aca="false">Q9*Cards_New_Petite+Q10*Cards_New_Moyenne+Q11*Cards_New_Grande</f>
        <v>86.0209415154961</v>
      </c>
      <c r="R33" s="43" t="n">
        <f aca="false">R9*Cards_New_Petite+R10*Cards_New_Moyenne+R11*Cards_New_Grande</f>
        <v>86.9389980064259</v>
      </c>
      <c r="S33" s="43" t="n">
        <f aca="false">S9*Cards_New_Petite+S10*Cards_New_Moyenne+S11*Cards_New_Grande</f>
        <v>87.9121378868114</v>
      </c>
      <c r="T33" s="43" t="n">
        <f aca="false">T9*Cards_New_Petite+T10*Cards_New_Moyenne+T11*Cards_New_Grande</f>
        <v>88.9436661600201</v>
      </c>
      <c r="U33" s="43" t="n">
        <f aca="false">U9*Cards_New_Petite+U10*Cards_New_Moyenne+U11*Cards_New_Grande</f>
        <v>90.0370861296213</v>
      </c>
      <c r="V33" s="43" t="n">
        <f aca="false">V9*Cards_New_Petite+V10*Cards_New_Moyenne+V11*Cards_New_Grande</f>
        <v>91.1961112973986</v>
      </c>
      <c r="W33" s="43" t="n">
        <f aca="false">W9*Cards_New_Petite+W10*Cards_New_Moyenne+W11*Cards_New_Grande</f>
        <v>137.864677975243</v>
      </c>
      <c r="X33" s="43" t="n">
        <f aca="false">X9*Cards_New_Petite+X10*Cards_New_Moyenne+X11*Cards_New_Grande</f>
        <v>139.598958653757</v>
      </c>
      <c r="Y33" s="43" t="n">
        <f aca="false">Y9*Cards_New_Petite+Y10*Cards_New_Moyenne+Y11*Cards_New_Grande</f>
        <v>151.037296172982</v>
      </c>
      <c r="Z33" s="43" t="n">
        <f aca="false">Z9*Cards_New_Petite+Z10*Cards_New_Moyenne+Z11*Cards_New_Grande</f>
        <v>152.985933943361</v>
      </c>
      <c r="AA33" s="43" t="n">
        <f aca="false">AA9*Cards_New_Petite+AA10*Cards_New_Moyenne+AA11*Cards_New_Grande</f>
        <v>155.051489979963</v>
      </c>
      <c r="AB33" s="43" t="n">
        <f aca="false">AB9*Cards_New_Petite+AB10*Cards_New_Moyenne+AB11*Cards_New_Grande</f>
        <v>157.240979378761</v>
      </c>
      <c r="AC33" s="43" t="n">
        <f aca="false">AC9*Cards_New_Petite+AC10*Cards_New_Moyenne+AC11*Cards_New_Grande</f>
        <v>201.641838141487</v>
      </c>
      <c r="AD33" s="43" t="n">
        <f aca="false">AD9*Cards_New_Petite+AD10*Cards_New_Moyenne+AD11*Cards_New_Grande</f>
        <v>204.101948429976</v>
      </c>
      <c r="AE33" s="43" t="n">
        <f aca="false">AE9*Cards_New_Petite+AE10*Cards_New_Moyenne+AE11*Cards_New_Grande</f>
        <v>216.309665335774</v>
      </c>
      <c r="AF33" s="43" t="n">
        <f aca="false">AF9*Cards_New_Petite+AF10*Cards_New_Moyenne+AF11*Cards_New_Grande</f>
        <v>219.073845255921</v>
      </c>
      <c r="AG33" s="43" t="n">
        <f aca="false">AG9*Cards_New_Petite+AG10*Cards_New_Moyenne+AG11*Cards_New_Grande</f>
        <v>222.003875971276</v>
      </c>
      <c r="AH33" s="43" t="n">
        <f aca="false">AH9*Cards_New_Petite+AH10*Cards_New_Moyenne+AH11*Cards_New_Grande</f>
        <v>225.109708529553</v>
      </c>
      <c r="AI33" s="43" t="n">
        <f aca="false">AI9*Cards_New_Petite+AI10*Cards_New_Moyenne+AI11*Cards_New_Grande</f>
        <v>238.001891041326</v>
      </c>
      <c r="AJ33" s="43" t="n">
        <f aca="false">AJ9*Cards_New_Petite+AJ10*Cards_New_Moyenne+AJ11*Cards_New_Grande</f>
        <v>241.491604503805</v>
      </c>
      <c r="AK33" s="43" t="n">
        <f aca="false">AK9*Cards_New_Petite+AK10*Cards_New_Moyenne+AK11*Cards_New_Grande</f>
        <v>245.190700774034</v>
      </c>
      <c r="AL33" s="43" t="n">
        <f aca="false">AL9*Cards_New_Petite+AL10*Cards_New_Moyenne+AL11*Cards_New_Grande</f>
        <v>249.111742820476</v>
      </c>
      <c r="AM33" s="43" t="n">
        <f aca="false">AM9*Cards_New_Petite+AM10*Cards_New_Moyenne+AM11*Cards_New_Grande</f>
        <v>262.868047389704</v>
      </c>
      <c r="AN33" s="43" t="n">
        <f aca="false">AN9*Cards_New_Petite+AN10*Cards_New_Moyenne+AN11*Cards_New_Grande</f>
        <v>267.273730233086</v>
      </c>
      <c r="AO33" s="43" t="n">
        <f aca="false">AO9*Cards_New_Petite+AO10*Cards_New_Moyenne+AO11*Cards_New_Grande</f>
        <v>301.543754047072</v>
      </c>
      <c r="AP33" s="43" t="n">
        <f aca="false">AP9*Cards_New_Petite+AP10*Cards_New_Moyenne+AP11*Cards_New_Grande</f>
        <v>316.093979289896</v>
      </c>
      <c r="AQ33" s="43" t="n">
        <f aca="false">AQ9*Cards_New_Petite+AQ10*Cards_New_Moyenne+AQ11*Cards_New_Grande</f>
        <v>321.34121804729</v>
      </c>
      <c r="AR33" s="43" t="n">
        <f aca="false">AR9*Cards_New_Petite+AR10*Cards_New_Moyenne+AR11*Cards_New_Grande</f>
        <v>326.903291130127</v>
      </c>
      <c r="AS33" s="43" t="n">
        <f aca="false">AS9*Cards_New_Petite+AS10*Cards_New_Moyenne+AS11*Cards_New_Grande</f>
        <v>342.399088597935</v>
      </c>
      <c r="AT33" s="43" t="n">
        <f aca="false">AT9*Cards_New_Petite+AT10*Cards_New_Moyenne+AT11*Cards_New_Grande</f>
        <v>348.648633913811</v>
      </c>
      <c r="AU33" s="43" t="n">
        <f aca="false">AU9*Cards_New_Petite+AU10*Cards_New_Moyenne+AU11*Cards_New_Grande</f>
        <v>355.273151948639</v>
      </c>
      <c r="AV33" s="43" t="n">
        <f aca="false">AV9*Cards_New_Petite+AV10*Cards_New_Moyenne+AV11*Cards_New_Grande</f>
        <v>380.535141065558</v>
      </c>
      <c r="AW33" s="43" t="n">
        <f aca="false">AW9*Cards_New_Petite+AW10*Cards_New_Moyenne+AW11*Cards_New_Grande</f>
        <v>385.235557333082</v>
      </c>
      <c r="AX33" s="43" t="n">
        <f aca="false">AX9*Cards_New_Petite+AX10*Cards_New_Moyenne+AX11*Cards_New_Grande</f>
        <v>396.800890773067</v>
      </c>
      <c r="AY33" s="43" t="n">
        <f aca="false">AY9*Cards_New_Petite+AY10*Cards_New_Moyenne+AY11*Cards_New_Grande</f>
        <v>398.884144219451</v>
      </c>
      <c r="AZ33" s="43" t="n">
        <f aca="false">AZ9*Cards_New_Petite+AZ10*Cards_New_Moyenne+AZ11*Cards_New_Grande</f>
        <v>401.092392872618</v>
      </c>
      <c r="BA33" s="43" t="n">
        <f aca="false">BA9*Cards_New_Petite+BA10*Cards_New_Moyenne+BA11*Cards_New_Grande</f>
        <v>442.793136444975</v>
      </c>
      <c r="BB33" s="43" t="n">
        <f aca="false">BB9*Cards_New_Petite+BB10*Cards_New_Moyenne+BB11*Cards_New_Grande</f>
        <v>445.274324631674</v>
      </c>
      <c r="BC33" s="43" t="n">
        <f aca="false">BC9*Cards_New_Petite+BC10*Cards_New_Moyenne+BC11*Cards_New_Grande</f>
        <v>457.504384109574</v>
      </c>
      <c r="BD33" s="43" t="n">
        <f aca="false">BD9*Cards_New_Petite+BD10*Cards_New_Moyenne+BD11*Cards_New_Grande</f>
        <v>460.292247156149</v>
      </c>
      <c r="BE33" s="43" t="n">
        <f aca="false">BE9*Cards_New_Petite+BE10*Cards_New_Moyenne+BE11*Cards_New_Grande</f>
        <v>471.887381985518</v>
      </c>
      <c r="BF33" s="43" t="n">
        <f aca="false">BF9*Cards_New_Petite+BF10*Cards_New_Moyenne+BF11*Cards_New_Grande</f>
        <v>484.619824904649</v>
      </c>
      <c r="BG33" s="43" t="n">
        <f aca="false">BG9*Cards_New_Petite+BG10*Cards_New_Moyenne+BG11*Cards_New_Grande</f>
        <v>487.940214398928</v>
      </c>
      <c r="BH33" s="43" t="n">
        <f aca="false">BH9*Cards_New_Petite+BH10*Cards_New_Moyenne+BH11*Cards_New_Grande</f>
        <v>501.059827262864</v>
      </c>
      <c r="BI33" s="43" t="n">
        <f aca="false">BI9*Cards_New_Petite+BI10*Cards_New_Moyenne+BI11*Cards_New_Grande</f>
        <v>513.430616898635</v>
      </c>
      <c r="BJ33" s="43" t="n">
        <f aca="false">BJ9*Cards_New_Petite+BJ10*Cards_New_Moyenne+BJ11*Cards_New_Grande</f>
        <v>526.985253912553</v>
      </c>
      <c r="BK33" s="43" t="n">
        <f aca="false">BK9*Cards_New_Petite+BK10*Cards_New_Moyenne+BK11*Cards_New_Grande</f>
        <v>529.12</v>
      </c>
      <c r="BL33" s="43" t="n">
        <f aca="false">BL9*Cards_New_Petite+BL10*Cards_New_Moyenne+BL11*Cards_New_Grande</f>
        <v>538.72</v>
      </c>
    </row>
    <row r="34" customFormat="false" ht="15" hidden="false" customHeight="true" outlineLevel="0" collapsed="false">
      <c r="A34" s="13" t="s">
        <v>1233</v>
      </c>
      <c r="B34" s="15" t="s">
        <v>523</v>
      </c>
      <c r="D34" s="58" t="n">
        <f aca="false">SUM(E34:BL34)</f>
        <v>2474.08017039921</v>
      </c>
      <c r="E34" s="43" t="n">
        <f aca="false">E9*MAX(0,Cards_New_Petite-Cards_Phys_Incl_Petite)+E10*MAX(0,Cards_New_Moyenne-Cards_Phys_Incl_Moyenne)+E11*MAX(0,Cards_New_Grande-Cards_Phys_Incl_Grande)</f>
        <v>0</v>
      </c>
      <c r="F34" s="43" t="n">
        <f aca="false">F9*MAX(0,Cards_New_Petite-Cards_Phys_Incl_Petite)+F10*MAX(0,Cards_New_Moyenne-Cards_Phys_Incl_Moyenne)+F11*MAX(0,Cards_New_Grande-Cards_Phys_Incl_Grande)</f>
        <v>0</v>
      </c>
      <c r="G34" s="43" t="n">
        <f aca="false">G9*MAX(0,Cards_New_Petite-Cards_Phys_Incl_Petite)+G10*MAX(0,Cards_New_Moyenne-Cards_Phys_Incl_Moyenne)+G11*MAX(0,Cards_New_Grande-Cards_Phys_Incl_Grande)</f>
        <v>0</v>
      </c>
      <c r="H34" s="43" t="n">
        <f aca="false">H9*MAX(0,Cards_New_Petite-Cards_Phys_Incl_Petite)+H10*MAX(0,Cards_New_Moyenne-Cards_Phys_Incl_Moyenne)+H11*MAX(0,Cards_New_Grande-Cards_Phys_Incl_Grande)</f>
        <v>0</v>
      </c>
      <c r="I34" s="43" t="n">
        <f aca="false">I9*MAX(0,Cards_New_Petite-Cards_Phys_Incl_Petite)+I10*MAX(0,Cards_New_Moyenne-Cards_Phys_Incl_Moyenne)+I11*MAX(0,Cards_New_Grande-Cards_Phys_Incl_Grande)</f>
        <v>9.89333333333333</v>
      </c>
      <c r="J34" s="43" t="n">
        <f aca="false">J9*MAX(0,Cards_New_Petite-Cards_Phys_Incl_Petite)+J10*MAX(0,Cards_New_Moyenne-Cards_Phys_Incl_Moyenne)+J11*MAX(0,Cards_New_Grande-Cards_Phys_Incl_Grande)</f>
        <v>9.98933333333334</v>
      </c>
      <c r="K34" s="43" t="n">
        <f aca="false">K9*MAX(0,Cards_New_Petite-Cards_Phys_Incl_Petite)+K10*MAX(0,Cards_New_Moyenne-Cards_Phys_Incl_Moyenne)+K11*MAX(0,Cards_New_Grande-Cards_Phys_Incl_Grande)</f>
        <v>10.0910933333333</v>
      </c>
      <c r="L34" s="43" t="n">
        <f aca="false">L9*MAX(0,Cards_New_Petite-Cards_Phys_Incl_Petite)+L10*MAX(0,Cards_New_Moyenne-Cards_Phys_Incl_Moyenne)+L11*MAX(0,Cards_New_Grande-Cards_Phys_Incl_Grande)</f>
        <v>10.1989589333333</v>
      </c>
      <c r="M34" s="43" t="n">
        <f aca="false">M9*MAX(0,Cards_New_Petite-Cards_Phys_Incl_Petite)+M10*MAX(0,Cards_New_Moyenne-Cards_Phys_Incl_Moyenne)+M11*MAX(0,Cards_New_Grande-Cards_Phys_Incl_Grande)</f>
        <v>10.3132964693333</v>
      </c>
      <c r="N34" s="43" t="n">
        <f aca="false">N9*MAX(0,Cards_New_Petite-Cards_Phys_Incl_Petite)+N10*MAX(0,Cards_New_Moyenne-Cards_Phys_Incl_Moyenne)+N11*MAX(0,Cards_New_Grande-Cards_Phys_Incl_Grande)</f>
        <v>10.4344942574933</v>
      </c>
      <c r="O34" s="43" t="n">
        <f aca="false">O9*MAX(0,Cards_New_Petite-Cards_Phys_Incl_Petite)+O10*MAX(0,Cards_New_Moyenne-Cards_Phys_Incl_Moyenne)+O11*MAX(0,Cards_New_Grande-Cards_Phys_Incl_Grande)</f>
        <v>10.5629639129429</v>
      </c>
      <c r="P34" s="43" t="n">
        <f aca="false">P9*MAX(0,Cards_New_Petite-Cards_Phys_Incl_Petite)+P10*MAX(0,Cards_New_Moyenne-Cards_Phys_Incl_Moyenne)+P11*MAX(0,Cards_New_Grande-Cards_Phys_Incl_Grande)</f>
        <v>10.6991417477195</v>
      </c>
      <c r="Q34" s="43" t="n">
        <f aca="false">Q9*MAX(0,Cards_New_Petite-Cards_Phys_Incl_Petite)+Q10*MAX(0,Cards_New_Moyenne-Cards_Phys_Incl_Moyenne)+Q11*MAX(0,Cards_New_Grande-Cards_Phys_Incl_Grande)</f>
        <v>14.336823585916</v>
      </c>
      <c r="R34" s="43" t="n">
        <f aca="false">R9*MAX(0,Cards_New_Petite-Cards_Phys_Incl_Petite)+R10*MAX(0,Cards_New_Moyenne-Cards_Phys_Incl_Moyenne)+R11*MAX(0,Cards_New_Grande-Cards_Phys_Incl_Grande)</f>
        <v>14.489833001071</v>
      </c>
      <c r="S34" s="43" t="n">
        <f aca="false">S9*MAX(0,Cards_New_Petite-Cards_Phys_Incl_Petite)+S10*MAX(0,Cards_New_Moyenne-Cards_Phys_Incl_Moyenne)+S11*MAX(0,Cards_New_Grande-Cards_Phys_Incl_Grande)</f>
        <v>14.6520229811352</v>
      </c>
      <c r="T34" s="43" t="n">
        <f aca="false">T9*MAX(0,Cards_New_Petite-Cards_Phys_Incl_Petite)+T10*MAX(0,Cards_New_Moyenne-Cards_Phys_Incl_Moyenne)+T11*MAX(0,Cards_New_Grande-Cards_Phys_Incl_Grande)</f>
        <v>14.8239443600034</v>
      </c>
      <c r="U34" s="43" t="n">
        <f aca="false">U9*MAX(0,Cards_New_Petite-Cards_Phys_Incl_Petite)+U10*MAX(0,Cards_New_Moyenne-Cards_Phys_Incl_Moyenne)+U11*MAX(0,Cards_New_Grande-Cards_Phys_Incl_Grande)</f>
        <v>15.0061810216036</v>
      </c>
      <c r="V34" s="43" t="n">
        <f aca="false">V9*MAX(0,Cards_New_Petite-Cards_Phys_Incl_Petite)+V10*MAX(0,Cards_New_Moyenne-Cards_Phys_Incl_Moyenne)+V11*MAX(0,Cards_New_Grande-Cards_Phys_Incl_Grande)</f>
        <v>15.1993518828998</v>
      </c>
      <c r="W34" s="43" t="n">
        <f aca="false">W9*MAX(0,Cards_New_Petite-Cards_Phys_Incl_Petite)+W10*MAX(0,Cards_New_Moyenne-Cards_Phys_Incl_Moyenne)+W11*MAX(0,Cards_New_Grande-Cards_Phys_Incl_Grande)</f>
        <v>22.9774463292071</v>
      </c>
      <c r="X34" s="43" t="n">
        <f aca="false">X9*MAX(0,Cards_New_Petite-Cards_Phys_Incl_Petite)+X10*MAX(0,Cards_New_Moyenne-Cards_Phys_Incl_Moyenne)+X11*MAX(0,Cards_New_Grande-Cards_Phys_Incl_Grande)</f>
        <v>23.2664931089595</v>
      </c>
      <c r="Y34" s="43" t="n">
        <f aca="false">Y9*MAX(0,Cards_New_Petite-Cards_Phys_Incl_Petite)+Y10*MAX(0,Cards_New_Moyenne-Cards_Phys_Incl_Moyenne)+Y11*MAX(0,Cards_New_Grande-Cards_Phys_Incl_Grande)</f>
        <v>25.1728826954971</v>
      </c>
      <c r="Z34" s="43" t="n">
        <f aca="false">Z9*MAX(0,Cards_New_Petite-Cards_Phys_Incl_Petite)+Z10*MAX(0,Cards_New_Moyenne-Cards_Phys_Incl_Moyenne)+Z11*MAX(0,Cards_New_Grande-Cards_Phys_Incl_Grande)</f>
        <v>25.4976556572269</v>
      </c>
      <c r="AA34" s="43" t="n">
        <f aca="false">AA9*MAX(0,Cards_New_Petite-Cards_Phys_Incl_Petite)+AA10*MAX(0,Cards_New_Moyenne-Cards_Phys_Incl_Moyenne)+AA11*MAX(0,Cards_New_Grande-Cards_Phys_Incl_Grande)</f>
        <v>25.8419149966605</v>
      </c>
      <c r="AB34" s="43" t="n">
        <f aca="false">AB9*MAX(0,Cards_New_Petite-Cards_Phys_Incl_Petite)+AB10*MAX(0,Cards_New_Moyenne-Cards_Phys_Incl_Moyenne)+AB11*MAX(0,Cards_New_Grande-Cards_Phys_Incl_Grande)</f>
        <v>26.2068298964602</v>
      </c>
      <c r="AC34" s="43" t="n">
        <f aca="false">AC9*MAX(0,Cards_New_Petite-Cards_Phys_Incl_Petite)+AC10*MAX(0,Cards_New_Moyenne-Cards_Phys_Incl_Moyenne)+AC11*MAX(0,Cards_New_Grande-Cards_Phys_Incl_Grande)</f>
        <v>33.6069730235811</v>
      </c>
      <c r="AD34" s="43" t="n">
        <f aca="false">AD9*MAX(0,Cards_New_Petite-Cards_Phys_Incl_Petite)+AD10*MAX(0,Cards_New_Moyenne-Cards_Phys_Incl_Moyenne)+AD11*MAX(0,Cards_New_Grande-Cards_Phys_Incl_Grande)</f>
        <v>34.016991404996</v>
      </c>
      <c r="AE34" s="43" t="n">
        <f aca="false">AE9*MAX(0,Cards_New_Petite-Cards_Phys_Incl_Petite)+AE10*MAX(0,Cards_New_Moyenne-Cards_Phys_Incl_Moyenne)+AE11*MAX(0,Cards_New_Grande-Cards_Phys_Incl_Grande)</f>
        <v>36.0516108892957</v>
      </c>
      <c r="AF34" s="43" t="n">
        <f aca="false">AF9*MAX(0,Cards_New_Petite-Cards_Phys_Incl_Petite)+AF10*MAX(0,Cards_New_Moyenne-Cards_Phys_Incl_Moyenne)+AF11*MAX(0,Cards_New_Grande-Cards_Phys_Incl_Grande)</f>
        <v>36.5123075426535</v>
      </c>
      <c r="AG34" s="43" t="n">
        <f aca="false">AG9*MAX(0,Cards_New_Petite-Cards_Phys_Incl_Petite)+AG10*MAX(0,Cards_New_Moyenne-Cards_Phys_Incl_Moyenne)+AG11*MAX(0,Cards_New_Grande-Cards_Phys_Incl_Grande)</f>
        <v>37.0006459952127</v>
      </c>
      <c r="AH34" s="43" t="n">
        <f aca="false">AH9*MAX(0,Cards_New_Petite-Cards_Phys_Incl_Petite)+AH10*MAX(0,Cards_New_Moyenne-Cards_Phys_Incl_Moyenne)+AH11*MAX(0,Cards_New_Grande-Cards_Phys_Incl_Grande)</f>
        <v>37.5182847549254</v>
      </c>
      <c r="AI34" s="43" t="n">
        <f aca="false">AI9*MAX(0,Cards_New_Petite-Cards_Phys_Incl_Petite)+AI10*MAX(0,Cards_New_Moyenne-Cards_Phys_Incl_Moyenne)+AI11*MAX(0,Cards_New_Grande-Cards_Phys_Incl_Grande)</f>
        <v>39.666981840221</v>
      </c>
      <c r="AJ34" s="43" t="n">
        <f aca="false">AJ9*MAX(0,Cards_New_Petite-Cards_Phys_Incl_Petite)+AJ10*MAX(0,Cards_New_Moyenne-Cards_Phys_Incl_Moyenne)+AJ11*MAX(0,Cards_New_Grande-Cards_Phys_Incl_Grande)</f>
        <v>40.2486007506342</v>
      </c>
      <c r="AK34" s="43" t="n">
        <f aca="false">AK9*MAX(0,Cards_New_Petite-Cards_Phys_Incl_Petite)+AK10*MAX(0,Cards_New_Moyenne-Cards_Phys_Incl_Moyenne)+AK11*MAX(0,Cards_New_Grande-Cards_Phys_Incl_Grande)</f>
        <v>40.8651167956723</v>
      </c>
      <c r="AL34" s="43" t="n">
        <f aca="false">AL9*MAX(0,Cards_New_Petite-Cards_Phys_Incl_Petite)+AL10*MAX(0,Cards_New_Moyenne-Cards_Phys_Incl_Moyenne)+AL11*MAX(0,Cards_New_Grande-Cards_Phys_Incl_Grande)</f>
        <v>41.5186238034126</v>
      </c>
      <c r="AM34" s="43" t="n">
        <f aca="false">AM9*MAX(0,Cards_New_Petite-Cards_Phys_Incl_Petite)+AM10*MAX(0,Cards_New_Moyenne-Cards_Phys_Incl_Moyenne)+AM11*MAX(0,Cards_New_Grande-Cards_Phys_Incl_Grande)</f>
        <v>43.8113412316174</v>
      </c>
      <c r="AN34" s="43" t="n">
        <f aca="false">AN9*MAX(0,Cards_New_Petite-Cards_Phys_Incl_Petite)+AN10*MAX(0,Cards_New_Moyenne-Cards_Phys_Incl_Moyenne)+AN11*MAX(0,Cards_New_Grande-Cards_Phys_Incl_Grande)</f>
        <v>44.5456217055144</v>
      </c>
      <c r="AO34" s="43" t="n">
        <f aca="false">AO9*MAX(0,Cards_New_Petite-Cards_Phys_Incl_Petite)+AO10*MAX(0,Cards_New_Moyenne-Cards_Phys_Incl_Moyenne)+AO11*MAX(0,Cards_New_Grande-Cards_Phys_Incl_Grande)</f>
        <v>50.2572923411786</v>
      </c>
      <c r="AP34" s="43" t="n">
        <f aca="false">AP9*MAX(0,Cards_New_Petite-Cards_Phys_Incl_Petite)+AP10*MAX(0,Cards_New_Moyenne-Cards_Phys_Incl_Moyenne)+AP11*MAX(0,Cards_New_Grande-Cards_Phys_Incl_Grande)</f>
        <v>52.6823298816493</v>
      </c>
      <c r="AQ34" s="43" t="n">
        <f aca="false">AQ9*MAX(0,Cards_New_Petite-Cards_Phys_Incl_Petite)+AQ10*MAX(0,Cards_New_Moyenne-Cards_Phys_Incl_Moyenne)+AQ11*MAX(0,Cards_New_Grande-Cards_Phys_Incl_Grande)</f>
        <v>53.5568696745483</v>
      </c>
      <c r="AR34" s="43" t="n">
        <f aca="false">AR9*MAX(0,Cards_New_Petite-Cards_Phys_Incl_Petite)+AR10*MAX(0,Cards_New_Moyenne-Cards_Phys_Incl_Moyenne)+AR11*MAX(0,Cards_New_Grande-Cards_Phys_Incl_Grande)</f>
        <v>54.4838818550212</v>
      </c>
      <c r="AS34" s="43" t="n">
        <f aca="false">AS9*MAX(0,Cards_New_Petite-Cards_Phys_Incl_Petite)+AS10*MAX(0,Cards_New_Moyenne-Cards_Phys_Incl_Moyenne)+AS11*MAX(0,Cards_New_Grande-Cards_Phys_Incl_Grande)</f>
        <v>57.0665147663224</v>
      </c>
      <c r="AT34" s="43" t="n">
        <f aca="false">AT9*MAX(0,Cards_New_Petite-Cards_Phys_Incl_Petite)+AT10*MAX(0,Cards_New_Moyenne-Cards_Phys_Incl_Moyenne)+AT11*MAX(0,Cards_New_Grande-Cards_Phys_Incl_Grande)</f>
        <v>58.1081056523018</v>
      </c>
      <c r="AU34" s="43" t="n">
        <f aca="false">AU9*MAX(0,Cards_New_Petite-Cards_Phys_Incl_Petite)+AU10*MAX(0,Cards_New_Moyenne-Cards_Phys_Incl_Moyenne)+AU11*MAX(0,Cards_New_Grande-Cards_Phys_Incl_Grande)</f>
        <v>59.2121919914399</v>
      </c>
      <c r="AV34" s="43" t="n">
        <f aca="false">AV9*MAX(0,Cards_New_Petite-Cards_Phys_Incl_Petite)+AV10*MAX(0,Cards_New_Moyenne-Cards_Phys_Incl_Moyenne)+AV11*MAX(0,Cards_New_Grande-Cards_Phys_Incl_Grande)</f>
        <v>63.4225235109263</v>
      </c>
      <c r="AW34" s="43" t="n">
        <f aca="false">AW9*MAX(0,Cards_New_Petite-Cards_Phys_Incl_Petite)+AW10*MAX(0,Cards_New_Moyenne-Cards_Phys_Incl_Moyenne)+AW11*MAX(0,Cards_New_Grande-Cards_Phys_Incl_Grande)</f>
        <v>64.2059262221804</v>
      </c>
      <c r="AX34" s="43" t="n">
        <f aca="false">AX9*MAX(0,Cards_New_Petite-Cards_Phys_Incl_Petite)+AX10*MAX(0,Cards_New_Moyenne-Cards_Phys_Incl_Moyenne)+AX11*MAX(0,Cards_New_Grande-Cards_Phys_Incl_Grande)</f>
        <v>66.1334817955112</v>
      </c>
      <c r="AY34" s="43" t="n">
        <f aca="false">AY9*MAX(0,Cards_New_Petite-Cards_Phys_Incl_Petite)+AY10*MAX(0,Cards_New_Moyenne-Cards_Phys_Incl_Moyenne)+AY11*MAX(0,Cards_New_Grande-Cards_Phys_Incl_Grande)</f>
        <v>66.4806907032419</v>
      </c>
      <c r="AZ34" s="43" t="n">
        <f aca="false">AZ9*MAX(0,Cards_New_Petite-Cards_Phys_Incl_Petite)+AZ10*MAX(0,Cards_New_Moyenne-Cards_Phys_Incl_Moyenne)+AZ11*MAX(0,Cards_New_Grande-Cards_Phys_Incl_Grande)</f>
        <v>66.8487321454364</v>
      </c>
      <c r="BA34" s="43" t="n">
        <f aca="false">BA9*MAX(0,Cards_New_Petite-Cards_Phys_Incl_Petite)+BA10*MAX(0,Cards_New_Moyenne-Cards_Phys_Incl_Moyenne)+BA11*MAX(0,Cards_New_Grande-Cards_Phys_Incl_Grande)</f>
        <v>73.7988560741626</v>
      </c>
      <c r="BB34" s="43" t="n">
        <f aca="false">BB9*MAX(0,Cards_New_Petite-Cards_Phys_Incl_Petite)+BB10*MAX(0,Cards_New_Moyenne-Cards_Phys_Incl_Moyenne)+BB11*MAX(0,Cards_New_Grande-Cards_Phys_Incl_Grande)</f>
        <v>74.2123874386123</v>
      </c>
      <c r="BC34" s="43" t="n">
        <f aca="false">BC9*MAX(0,Cards_New_Petite-Cards_Phys_Incl_Petite)+BC10*MAX(0,Cards_New_Moyenne-Cards_Phys_Incl_Moyenne)+BC11*MAX(0,Cards_New_Grande-Cards_Phys_Incl_Grande)</f>
        <v>76.2507306849291</v>
      </c>
      <c r="BD34" s="43" t="n">
        <f aca="false">BD9*MAX(0,Cards_New_Petite-Cards_Phys_Incl_Petite)+BD10*MAX(0,Cards_New_Moyenne-Cards_Phys_Incl_Moyenne)+BD11*MAX(0,Cards_New_Grande-Cards_Phys_Incl_Grande)</f>
        <v>76.7153745260248</v>
      </c>
      <c r="BE34" s="43" t="n">
        <f aca="false">BE9*MAX(0,Cards_New_Petite-Cards_Phys_Incl_Petite)+BE10*MAX(0,Cards_New_Moyenne-Cards_Phys_Incl_Moyenne)+BE11*MAX(0,Cards_New_Grande-Cards_Phys_Incl_Grande)</f>
        <v>78.6478969975863</v>
      </c>
      <c r="BF34" s="43" t="n">
        <f aca="false">BF9*MAX(0,Cards_New_Petite-Cards_Phys_Incl_Petite)+BF10*MAX(0,Cards_New_Moyenne-Cards_Phys_Incl_Moyenne)+BF11*MAX(0,Cards_New_Grande-Cards_Phys_Incl_Grande)</f>
        <v>80.7699708174415</v>
      </c>
      <c r="BG34" s="43" t="n">
        <f aca="false">BG9*MAX(0,Cards_New_Petite-Cards_Phys_Incl_Petite)+BG10*MAX(0,Cards_New_Moyenne-Cards_Phys_Incl_Moyenne)+BG11*MAX(0,Cards_New_Grande-Cards_Phys_Incl_Grande)</f>
        <v>81.323369066488</v>
      </c>
      <c r="BH34" s="43" t="n">
        <f aca="false">BH9*MAX(0,Cards_New_Petite-Cards_Phys_Incl_Petite)+BH10*MAX(0,Cards_New_Moyenne-Cards_Phys_Incl_Moyenne)+BH11*MAX(0,Cards_New_Grande-Cards_Phys_Incl_Grande)</f>
        <v>83.5099712104773</v>
      </c>
      <c r="BI34" s="43" t="n">
        <f aca="false">BI9*MAX(0,Cards_New_Petite-Cards_Phys_Incl_Petite)+BI10*MAX(0,Cards_New_Moyenne-Cards_Phys_Incl_Moyenne)+BI11*MAX(0,Cards_New_Grande-Cards_Phys_Incl_Grande)</f>
        <v>85.5717694831059</v>
      </c>
      <c r="BJ34" s="43" t="n">
        <f aca="false">BJ9*MAX(0,Cards_New_Petite-Cards_Phys_Incl_Petite)+BJ10*MAX(0,Cards_New_Moyenne-Cards_Phys_Incl_Moyenne)+BJ11*MAX(0,Cards_New_Grande-Cards_Phys_Incl_Grande)</f>
        <v>87.8308756520923</v>
      </c>
      <c r="BK34" s="43" t="n">
        <f aca="false">BK9*MAX(0,Cards_New_Petite-Cards_Phys_Incl_Petite)+BK10*MAX(0,Cards_New_Moyenne-Cards_Phys_Incl_Moyenne)+BK11*MAX(0,Cards_New_Grande-Cards_Phys_Incl_Grande)</f>
        <v>88.1866666666667</v>
      </c>
      <c r="BL34" s="43" t="n">
        <f aca="false">BL9*MAX(0,Cards_New_Petite-Cards_Phys_Incl_Petite)+BL10*MAX(0,Cards_New_Moyenne-Cards_Phys_Incl_Moyenne)+BL11*MAX(0,Cards_New_Grande-Cards_Phys_Incl_Grande)</f>
        <v>89.7866666666667</v>
      </c>
    </row>
    <row r="35" customFormat="false" ht="15" hidden="false" customHeight="true" outlineLevel="0" collapsed="false">
      <c r="A35" s="13" t="s">
        <v>1234</v>
      </c>
      <c r="B35" s="15" t="s">
        <v>523</v>
      </c>
      <c r="D35" s="56" t="n">
        <f aca="false">BL35</f>
        <v>39488.3622291317</v>
      </c>
      <c r="E35" s="33" t="n">
        <f aca="false">E14*Cards_Act_Petite+E15*Cards_Act_Moyenne+E16*Cards_Act_Grande</f>
        <v>0</v>
      </c>
      <c r="F35" s="33" t="n">
        <f aca="false">F14*Cards_Act_Petite+F15*Cards_Act_Moyenne+F16*Cards_Act_Grande</f>
        <v>0</v>
      </c>
      <c r="G35" s="33" t="n">
        <f aca="false">G14*Cards_Act_Petite+G15*Cards_Act_Moyenne+G16*Cards_Act_Grande</f>
        <v>0</v>
      </c>
      <c r="H35" s="33" t="n">
        <f aca="false">H14*Cards_Act_Petite+H15*Cards_Act_Moyenne+H16*Cards_Act_Grande</f>
        <v>0</v>
      </c>
      <c r="I35" s="33" t="n">
        <f aca="false">I14*Cards_Act_Petite+I15*Cards_Act_Moyenne+I16*Cards_Act_Grande</f>
        <v>197.866666666667</v>
      </c>
      <c r="J35" s="33" t="n">
        <f aca="false">J14*Cards_Act_Petite+J15*Cards_Act_Moyenne+J16*Cards_Act_Grande</f>
        <v>394.982133333333</v>
      </c>
      <c r="K35" s="33" t="n">
        <f aca="false">K14*Cards_Act_Petite+K15*Cards_Act_Moyenne+K16*Cards_Act_Grande</f>
        <v>591.476119</v>
      </c>
      <c r="L35" s="33" t="n">
        <f aca="false">L14*Cards_Act_Petite+L15*Cards_Act_Moyenne+L16*Cards_Act_Grande</f>
        <v>787.483422211667</v>
      </c>
      <c r="M35" s="33" t="n">
        <f aca="false">M14*Cards_Act_Petite+M15*Cards_Act_Moyenne+M16*Cards_Act_Grande</f>
        <v>983.144271340277</v>
      </c>
      <c r="N35" s="33" t="n">
        <f aca="false">N14*Cards_Act_Petite+N15*Cards_Act_Moyenne+N16*Cards_Act_Grande</f>
        <v>1178.60469507038</v>
      </c>
      <c r="O35" s="33" t="n">
        <f aca="false">O14*Cards_Act_Petite+O15*Cards_Act_Moyenne+O16*Cards_Act_Grande</f>
        <v>1374.01691431583</v>
      </c>
      <c r="P35" s="33" t="n">
        <f aca="false">P14*Cards_Act_Petite+P15*Cards_Act_Moyenne+P16*Cards_Act_Grande</f>
        <v>1569.53975686832</v>
      </c>
      <c r="Q35" s="33" t="n">
        <f aca="false">Q14*Cards_Act_Petite+Q15*Cards_Act_Moyenne+Q16*Cards_Act_Grande</f>
        <v>1835.20576282271</v>
      </c>
      <c r="R35" s="33" t="n">
        <f aca="false">R14*Cards_Act_Petite+R15*Cards_Act_Moyenne+R16*Cards_Act_Grande</f>
        <v>2100.3784489069</v>
      </c>
      <c r="S35" s="33" t="n">
        <f aca="false">S14*Cards_Act_Petite+S15*Cards_Act_Moyenne+S16*Cards_Act_Grande</f>
        <v>2365.253478931</v>
      </c>
      <c r="T35" s="33" t="n">
        <f aca="false">T14*Cards_Act_Petite+T15*Cards_Act_Moyenne+T16*Cards_Act_Grande</f>
        <v>2630.03480187525</v>
      </c>
      <c r="U35" s="33" t="n">
        <f aca="false">U14*Cards_Act_Petite+U15*Cards_Act_Moyenne+U16*Cards_Act_Grande</f>
        <v>2894.9352067753</v>
      </c>
      <c r="V35" s="33" t="n">
        <f aca="false">V14*Cards_Act_Petite+V15*Cards_Act_Moyenne+V16*Cards_Act_Grande</f>
        <v>3160.17690987303</v>
      </c>
      <c r="W35" s="33" t="n">
        <f aca="false">W14*Cards_Act_Petite+W15*Cards_Act_Moyenne+W16*Cards_Act_Grande</f>
        <v>3577.45884265457</v>
      </c>
      <c r="X35" s="33" t="n">
        <f aca="false">X14*Cards_Act_Petite+X15*Cards_Act_Moyenne+X16*Cards_Act_Grande</f>
        <v>3994.95250951391</v>
      </c>
      <c r="Y35" s="33" t="n">
        <f aca="false">Y14*Cards_Act_Petite+Y15*Cards_Act_Moyenne+Y16*Cards_Act_Grande</f>
        <v>4445.01019990491</v>
      </c>
      <c r="Z35" s="33" t="n">
        <f aca="false">Z14*Cards_Act_Petite+Z15*Cards_Act_Moyenne+Z16*Cards_Act_Grande</f>
        <v>4895.56814192214</v>
      </c>
      <c r="AA35" s="33" t="n">
        <f aca="false">AA14*Cards_Act_Petite+AA15*Cards_Act_Moyenne+AA16*Cards_Act_Grande</f>
        <v>5347.01808544528</v>
      </c>
      <c r="AB35" s="33" t="n">
        <f aca="false">AB14*Cards_Act_Petite+AB15*Cards_Act_Moyenne+AB16*Cards_Act_Grande</f>
        <v>5799.76975802932</v>
      </c>
      <c r="AC35" s="33" t="n">
        <f aca="false">AC14*Cards_Act_Petite+AC15*Cards_Act_Moyenne+AC16*Cards_Act_Grande</f>
        <v>6394.51870241145</v>
      </c>
      <c r="AD35" s="33" t="n">
        <f aca="false">AD14*Cards_Act_Petite+AD15*Cards_Act_Moyenne+AD16*Cards_Act_Grande</f>
        <v>6989.55391596531</v>
      </c>
      <c r="AE35" s="33" t="n">
        <f aca="false">AE14*Cards_Act_Petite+AE15*Cards_Act_Moyenne+AE16*Cards_Act_Grande</f>
        <v>7617.37502991646</v>
      </c>
      <c r="AF35" s="33" t="n">
        <f aca="false">AF14*Cards_Act_Petite+AF15*Cards_Act_Moyenne+AF16*Cards_Act_Grande</f>
        <v>8246.07229033291</v>
      </c>
      <c r="AG35" s="33" t="n">
        <f aca="false">AG14*Cards_Act_Petite+AG15*Cards_Act_Moyenne+AG16*Cards_Act_Grande</f>
        <v>8876.1985776972</v>
      </c>
      <c r="AH35" s="33" t="n">
        <f aca="false">AH14*Cards_Act_Petite+AH15*Cards_Act_Moyenne+AH16*Cards_Act_Grande</f>
        <v>9508.33232477642</v>
      </c>
      <c r="AI35" s="33" t="n">
        <f aca="false">AI14*Cards_Act_Petite+AI15*Cards_Act_Moyenne+AI16*Cards_Act_Grande</f>
        <v>10175.0791765393</v>
      </c>
      <c r="AJ35" s="33" t="n">
        <f aca="false">AJ14*Cards_Act_Petite+AJ15*Cards_Act_Moyenne+AJ16*Cards_Act_Grande</f>
        <v>10844.6417474217</v>
      </c>
      <c r="AK35" s="33" t="n">
        <f aca="false">AK14*Cards_Act_Petite+AK15*Cards_Act_Moyenne+AK16*Cards_Act_Grande</f>
        <v>11517.6920218227</v>
      </c>
      <c r="AL35" s="33" t="n">
        <f aca="false">AL14*Cards_Act_Petite+AL15*Cards_Act_Moyenne+AL16*Cards_Act_Grande</f>
        <v>12194.9346757665</v>
      </c>
      <c r="AM35" s="33" t="n">
        <f aca="false">AM14*Cards_Act_Petite+AM15*Cards_Act_Moyenne+AM16*Cards_Act_Grande</f>
        <v>12909.1091648504</v>
      </c>
      <c r="AN35" s="33" t="n">
        <f aca="false">AN14*Cards_Act_Petite+AN15*Cards_Act_Moyenne+AN16*Cards_Act_Grande</f>
        <v>13628.5599352345</v>
      </c>
      <c r="AO35" s="33" t="n">
        <f aca="false">AO14*Cards_Act_Petite+AO15*Cards_Act_Moyenne+AO16*Cards_Act_Grande</f>
        <v>14452.7759717633</v>
      </c>
      <c r="AP35" s="33" t="n">
        <f aca="false">AP14*Cards_Act_Petite+AP15*Cards_Act_Moyenne+AP16*Cards_Act_Grande</f>
        <v>15314.6226294553</v>
      </c>
      <c r="AQ35" s="33" t="n">
        <f aca="false">AQ14*Cards_Act_Petite+AQ15*Cards_Act_Moyenne+AQ16*Cards_Act_Grande</f>
        <v>16182.596426878</v>
      </c>
      <c r="AR35" s="33" t="n">
        <f aca="false">AR14*Cards_Act_Petite+AR15*Cards_Act_Moyenne+AR16*Cards_Act_Grande</f>
        <v>17057.67920441</v>
      </c>
      <c r="AS35" s="33" t="n">
        <f aca="false">AS14*Cards_Act_Petite+AS15*Cards_Act_Moyenne+AS16*Cards_Act_Grande</f>
        <v>17972.9024305396</v>
      </c>
      <c r="AT35" s="33" t="n">
        <f aca="false">AT14*Cards_Act_Petite+AT15*Cards_Act_Moyenne+AT16*Cards_Act_Grande</f>
        <v>18896.918333046</v>
      </c>
      <c r="AU35" s="33" t="n">
        <f aca="false">AU14*Cards_Act_Petite+AU15*Cards_Act_Moyenne+AU16*Cards_Act_Grande</f>
        <v>19830.8737553435</v>
      </c>
      <c r="AV35" s="33" t="n">
        <f aca="false">AV14*Cards_Act_Petite+AV15*Cards_Act_Moyenne+AV16*Cards_Act_Grande</f>
        <v>20836.7750208473</v>
      </c>
      <c r="AW35" s="33" t="n">
        <f aca="false">AW14*Cards_Act_Petite+AW15*Cards_Act_Moyenne+AW16*Cards_Act_Grande</f>
        <v>21845.1278817155</v>
      </c>
      <c r="AX35" s="33" t="n">
        <f aca="false">AX14*Cards_Act_Petite+AX15*Cards_Act_Moyenne+AX16*Cards_Act_Grande</f>
        <v>22878.7992619044</v>
      </c>
      <c r="AY35" s="33" t="n">
        <f aca="false">AY14*Cards_Act_Petite+AY15*Cards_Act_Moyenne+AY16*Cards_Act_Grande</f>
        <v>23905.8571998465</v>
      </c>
      <c r="AZ35" s="33" t="n">
        <f aca="false">AZ14*Cards_Act_Petite+AZ15*Cards_Act_Moyenne+AZ16*Cards_Act_Grande</f>
        <v>24926.8247169195</v>
      </c>
      <c r="BA35" s="33" t="n">
        <f aca="false">BA14*Cards_Act_Petite+BA15*Cards_Act_Moyenne+BA16*Cards_Act_Grande</f>
        <v>26073.442379232</v>
      </c>
      <c r="BB35" s="33" t="n">
        <f aca="false">BB14*Cards_Act_Petite+BB15*Cards_Act_Moyenne+BB16*Cards_Act_Grande</f>
        <v>27213.2983782927</v>
      </c>
      <c r="BC35" s="33" t="n">
        <f aca="false">BC14*Cards_Act_Petite+BC15*Cards_Act_Moyenne+BC16*Cards_Act_Grande</f>
        <v>28378.9990985075</v>
      </c>
      <c r="BD35" s="33" t="n">
        <f aca="false">BD14*Cards_Act_Petite+BD15*Cards_Act_Moyenne+BD16*Cards_Act_Grande</f>
        <v>29538.7400899175</v>
      </c>
      <c r="BE35" s="33" t="n">
        <f aca="false">BE14*Cards_Act_Petite+BE15*Cards_Act_Moyenne+BE16*Cards_Act_Grande</f>
        <v>30721.9781287908</v>
      </c>
      <c r="BF35" s="33" t="n">
        <f aca="false">BF14*Cards_Act_Petite+BF15*Cards_Act_Moyenne+BF16*Cards_Act_Grande</f>
        <v>31932.2053767389</v>
      </c>
      <c r="BG35" s="33" t="n">
        <f aca="false">BG14*Cards_Act_Petite+BG15*Cards_Act_Moyenne+BG16*Cards_Act_Grande</f>
        <v>33137.7025681618</v>
      </c>
      <c r="BH35" s="33" t="n">
        <f aca="false">BH14*Cards_Act_Petite+BH15*Cards_Act_Moyenne+BH16*Cards_Act_Grande</f>
        <v>34371.2165659116</v>
      </c>
      <c r="BI35" s="33" t="n">
        <f aca="false">BI14*Cards_Act_Petite+BI15*Cards_Act_Moyenne+BI16*Cards_Act_Grande</f>
        <v>35629.8916174755</v>
      </c>
      <c r="BJ35" s="33" t="n">
        <f aca="false">BJ14*Cards_Act_Petite+BJ15*Cards_Act_Moyenne+BJ16*Cards_Act_Grande</f>
        <v>36917.353111268</v>
      </c>
      <c r="BK35" s="33" t="n">
        <f aca="false">BK14*Cards_Act_Petite+BK15*Cards_Act_Moyenne+BK16*Cards_Act_Grande</f>
        <v>38195.1653166644</v>
      </c>
      <c r="BL35" s="33" t="n">
        <f aca="false">BL14*Cards_Act_Petite+BL15*Cards_Act_Moyenne+BL16*Cards_Act_Grande</f>
        <v>39488.3622291317</v>
      </c>
    </row>
    <row r="36" customFormat="false" ht="15" hidden="false" customHeight="true" outlineLevel="0" collapsed="false">
      <c r="A36" s="13" t="s">
        <v>227</v>
      </c>
      <c r="B36" s="15" t="s">
        <v>77</v>
      </c>
      <c r="D36" s="56" t="n">
        <f aca="false">SUM(E36:BL36)</f>
        <v>134579279521.705</v>
      </c>
      <c r="E36" s="33" t="n">
        <f aca="false">E14*Spend_Dom_Petite+E15*Spend_Dom_Moyenne+E16*Spend_Dom_Grande</f>
        <v>0</v>
      </c>
      <c r="F36" s="33" t="n">
        <f aca="false">F14*Spend_Dom_Petite+F15*Spend_Dom_Moyenne+F16*Spend_Dom_Grande</f>
        <v>0</v>
      </c>
      <c r="G36" s="33" t="n">
        <f aca="false">G14*Spend_Dom_Petite+G15*Spend_Dom_Moyenne+G16*Spend_Dom_Grande</f>
        <v>0</v>
      </c>
      <c r="H36" s="33" t="n">
        <f aca="false">H14*Spend_Dom_Petite+H15*Spend_Dom_Moyenne+H16*Spend_Dom_Grande</f>
        <v>0</v>
      </c>
      <c r="I36" s="33" t="n">
        <f aca="false">I14*Spend_Dom_Petite+I15*Spend_Dom_Moyenne+I16*Spend_Dom_Grande</f>
        <v>33142666.6666667</v>
      </c>
      <c r="J36" s="33" t="n">
        <f aca="false">J14*Spend_Dom_Petite+J15*Spend_Dom_Moyenne+J16*Spend_Dom_Grande</f>
        <v>66187703.3333333</v>
      </c>
      <c r="K36" s="33" t="n">
        <f aca="false">K14*Spend_Dom_Petite+K15*Spend_Dom_Moyenne+K16*Spend_Dom_Grande</f>
        <v>99156450.225</v>
      </c>
      <c r="L36" s="33" t="n">
        <f aca="false">L14*Spend_Dom_Petite+L15*Spend_Dom_Moyenne+L16*Spend_Dom_Grande</f>
        <v>132071120.919979</v>
      </c>
      <c r="M36" s="33" t="n">
        <f aca="false">M14*Spend_Dom_Petite+M15*Spend_Dom_Moyenne+M16*Spend_Dom_Grande</f>
        <v>164954861.516084</v>
      </c>
      <c r="N36" s="33" t="n">
        <f aca="false">N14*Spend_Dom_Petite+N15*Spend_Dom_Moyenne+N16*Spend_Dom_Grande</f>
        <v>197831813.226175</v>
      </c>
      <c r="O36" s="33" t="n">
        <f aca="false">O14*Spend_Dom_Petite+O15*Spend_Dom_Moyenne+O16*Spend_Dom_Grande</f>
        <v>230727178.611084</v>
      </c>
      <c r="P36" s="33" t="n">
        <f aca="false">P14*Spend_Dom_Petite+P15*Spend_Dom_Moyenne+P16*Spend_Dom_Grande</f>
        <v>263667291.670346</v>
      </c>
      <c r="Q36" s="33" t="n">
        <f aca="false">Q14*Spend_Dom_Petite+Q15*Spend_Dom_Moyenne+Q16*Spend_Dom_Grande</f>
        <v>308382358.691054</v>
      </c>
      <c r="R36" s="33" t="n">
        <f aca="false">R14*Spend_Dom_Petite+R15*Spend_Dom_Moyenne+R16*Spend_Dom_Grande</f>
        <v>353050506.769099</v>
      </c>
      <c r="S36" s="33" t="n">
        <f aca="false">S14*Spend_Dom_Petite+S15*Spend_Dom_Moyenne+S16*Spend_Dom_Grande</f>
        <v>397704085.15689</v>
      </c>
      <c r="T36" s="33" t="n">
        <f aca="false">T14*Spend_Dom_Petite+T15*Spend_Dom_Moyenne+T16*Spend_Dom_Grande</f>
        <v>442376863.192329</v>
      </c>
      <c r="U36" s="33" t="n">
        <f aca="false">U14*Spend_Dom_Petite+U15*Spend_Dom_Moyenne+U16*Spend_Dom_Grande</f>
        <v>487104124.09473</v>
      </c>
      <c r="V36" s="33" t="n">
        <f aca="false">V14*Spend_Dom_Petite+V15*Spend_Dom_Moyenne+V16*Spend_Dom_Grande</f>
        <v>531922764.236103</v>
      </c>
      <c r="W36" s="33" t="n">
        <f aca="false">W14*Spend_Dom_Petite+W15*Spend_Dom_Moyenne+W16*Spend_Dom_Grande</f>
        <v>602242064.885831</v>
      </c>
      <c r="X36" s="33" t="n">
        <f aca="false">X14*Spend_Dom_Petite+X15*Spend_Dom_Moyenne+X16*Spend_Dom_Grande</f>
        <v>672652083.446579</v>
      </c>
      <c r="Y36" s="33" t="n">
        <f aca="false">Y14*Spend_Dom_Petite+Y15*Spend_Dom_Moyenne+Y16*Spend_Dom_Grande</f>
        <v>748571311.120302</v>
      </c>
      <c r="Z36" s="33" t="n">
        <f aca="false">Z14*Spend_Dom_Petite+Z15*Spend_Dom_Moyenne+Z16*Spend_Dom_Grande</f>
        <v>824633164.502919</v>
      </c>
      <c r="AA36" s="33" t="n">
        <f aca="false">AA14*Spend_Dom_Petite+AA15*Spend_Dom_Moyenne+AA16*Spend_Dom_Grande</f>
        <v>900902750.519386</v>
      </c>
      <c r="AB36" s="33" t="n">
        <f aca="false">AB14*Spend_Dom_Petite+AB15*Spend_Dom_Moyenne+AB16*Spend_Dom_Grande</f>
        <v>977448248.60234</v>
      </c>
      <c r="AC36" s="33" t="n">
        <f aca="false">AC14*Spend_Dom_Petite+AC15*Spend_Dom_Moyenne+AC16*Spend_Dom_Grande</f>
        <v>1077835775.41778</v>
      </c>
      <c r="AD36" s="33" t="n">
        <f aca="false">AD14*Spend_Dom_Petite+AD15*Spend_Dom_Moyenne+AD16*Spend_Dom_Grande</f>
        <v>1178348404.56497</v>
      </c>
      <c r="AE36" s="33" t="n">
        <f aca="false">AE14*Spend_Dom_Petite+AE15*Spend_Dom_Moyenne+AE16*Spend_Dom_Grande</f>
        <v>1284429101.54523</v>
      </c>
      <c r="AF36" s="33" t="n">
        <f aca="false">AF14*Spend_Dom_Petite+AF15*Spend_Dom_Moyenne+AF16*Spend_Dom_Grande</f>
        <v>1390736898.67104</v>
      </c>
      <c r="AG36" s="33" t="n">
        <f aca="false">AG14*Spend_Dom_Petite+AG15*Spend_Dom_Moyenne+AG16*Spend_Dom_Grande</f>
        <v>1497363733.82039</v>
      </c>
      <c r="AH36" s="33" t="n">
        <f aca="false">AH14*Spend_Dom_Petite+AH15*Spend_Dom_Moyenne+AH16*Spend_Dom_Grande</f>
        <v>1604405910.77005</v>
      </c>
      <c r="AI36" s="33" t="n">
        <f aca="false">AI14*Spend_Dom_Petite+AI15*Spend_Dom_Moyenne+AI16*Spend_Dom_Grande</f>
        <v>1717324380.00618</v>
      </c>
      <c r="AJ36" s="33" t="n">
        <f aca="false">AJ14*Spend_Dom_Petite+AJ15*Spend_Dom_Moyenne+AJ16*Spend_Dom_Grande</f>
        <v>1830797236.05056</v>
      </c>
      <c r="AK36" s="33" t="n">
        <f aca="false">AK14*Spend_Dom_Petite+AK15*Spend_Dom_Moyenne+AK16*Spend_Dom_Grande</f>
        <v>1944936620.79939</v>
      </c>
      <c r="AL36" s="33" t="n">
        <f aca="false">AL14*Spend_Dom_Petite+AL15*Spend_Dom_Moyenne+AL16*Spend_Dom_Grande</f>
        <v>2059860252.31785</v>
      </c>
      <c r="AM36" s="33" t="n">
        <f aca="false">AM14*Spend_Dom_Petite+AM15*Spend_Dom_Moyenne+AM16*Spend_Dom_Grande</f>
        <v>2181051778.22151</v>
      </c>
      <c r="AN36" s="33" t="n">
        <f aca="false">AN14*Spend_Dom_Petite+AN15*Spend_Dom_Moyenne+AN16*Spend_Dom_Grande</f>
        <v>2303213349.92928</v>
      </c>
      <c r="AO36" s="33" t="n">
        <f aca="false">AO14*Spend_Dom_Petite+AO15*Spend_Dom_Moyenne+AO16*Spend_Dom_Grande</f>
        <v>2443009274.2129</v>
      </c>
      <c r="AP36" s="33" t="n">
        <f aca="false">AP14*Spend_Dom_Petite+AP15*Spend_Dom_Moyenne+AP16*Spend_Dom_Grande</f>
        <v>2589208578.42985</v>
      </c>
      <c r="AQ36" s="33" t="n">
        <f aca="false">AQ14*Spend_Dom_Petite+AQ15*Spend_Dom_Moyenne+AQ16*Spend_Dom_Grande</f>
        <v>2736538803.40596</v>
      </c>
      <c r="AR36" s="33" t="n">
        <f aca="false">AR14*Spend_Dom_Petite+AR15*Spend_Dom_Moyenne+AR16*Spend_Dom_Grande</f>
        <v>2885164249.08794</v>
      </c>
      <c r="AS36" s="33" t="n">
        <f aca="false">AS14*Spend_Dom_Petite+AS15*Spend_Dom_Moyenne+AS16*Spend_Dom_Grande</f>
        <v>3040617670.14142</v>
      </c>
      <c r="AT36" s="33" t="n">
        <f aca="false">AT14*Spend_Dom_Petite+AT15*Spend_Dom_Moyenne+AT16*Spend_Dom_Grande</f>
        <v>3197653006.07247</v>
      </c>
      <c r="AU36" s="33" t="n">
        <f aca="false">AU14*Spend_Dom_Petite+AU15*Spend_Dom_Moyenne+AU16*Spend_Dom_Grande</f>
        <v>3356462531.2551</v>
      </c>
      <c r="AV36" s="33" t="n">
        <f aca="false">AV14*Spend_Dom_Petite+AV15*Spend_Dom_Moyenne+AV16*Spend_Dom_Grande</f>
        <v>3527432645.14244</v>
      </c>
      <c r="AW36" s="33" t="n">
        <f aca="false">AW14*Spend_Dom_Petite+AW15*Spend_Dom_Moyenne+AW16*Spend_Dom_Grande</f>
        <v>3698932234.53501</v>
      </c>
      <c r="AX36" s="33" t="n">
        <f aca="false">AX14*Spend_Dom_Petite+AX15*Spend_Dom_Moyenne+AX16*Spend_Dom_Grande</f>
        <v>3874790688.78124</v>
      </c>
      <c r="AY36" s="33" t="n">
        <f aca="false">AY14*Spend_Dom_Petite+AY15*Spend_Dom_Moyenne+AY16*Spend_Dom_Grande</f>
        <v>4049661851.17185</v>
      </c>
      <c r="AZ36" s="33" t="n">
        <f aca="false">AZ14*Spend_Dom_Petite+AZ15*Spend_Dom_Moyenne+AZ16*Spend_Dom_Grande</f>
        <v>4223631200.53027</v>
      </c>
      <c r="BA36" s="33" t="n">
        <f aca="false">BA14*Spend_Dom_Petite+BA15*Spend_Dom_Moyenne+BA16*Spend_Dom_Grande</f>
        <v>4418763250.6843</v>
      </c>
      <c r="BB36" s="33" t="n">
        <f aca="false">BB14*Spend_Dom_Petite+BB15*Spend_Dom_Moyenne+BB16*Spend_Dom_Grande</f>
        <v>4612895786.49689</v>
      </c>
      <c r="BC36" s="33" t="n">
        <f aca="false">BC14*Spend_Dom_Petite+BC15*Spend_Dom_Moyenne+BC16*Spend_Dom_Grande</f>
        <v>4811488105.11406</v>
      </c>
      <c r="BD36" s="33" t="n">
        <f aca="false">BD14*Spend_Dom_Petite+BD15*Spend_Dom_Moyenne+BD16*Spend_Dom_Grande</f>
        <v>5009215358.56642</v>
      </c>
      <c r="BE36" s="33" t="n">
        <f aca="false">BE14*Spend_Dom_Petite+BE15*Spend_Dom_Moyenne+BE16*Spend_Dom_Grande</f>
        <v>5211009398.86792</v>
      </c>
      <c r="BF36" s="33" t="n">
        <f aca="false">BF14*Spend_Dom_Petite+BF15*Spend_Dom_Moyenne+BF16*Spend_Dom_Grande</f>
        <v>5417457224.74292</v>
      </c>
      <c r="BG36" s="33" t="n">
        <f aca="false">BG14*Spend_Dom_Petite+BG15*Spend_Dom_Moyenne+BG16*Spend_Dom_Grande</f>
        <v>5623248398.53941</v>
      </c>
      <c r="BH36" s="33" t="n">
        <f aca="false">BH14*Spend_Dom_Petite+BH15*Spend_Dom_Moyenne+BH16*Spend_Dom_Grande</f>
        <v>5833866014.42341</v>
      </c>
      <c r="BI36" s="33" t="n">
        <f aca="false">BI14*Spend_Dom_Petite+BI15*Spend_Dom_Moyenne+BI16*Spend_Dom_Grande</f>
        <v>6048834415.45798</v>
      </c>
      <c r="BJ36" s="33" t="n">
        <f aca="false">BJ14*Spend_Dom_Petite+BJ15*Spend_Dom_Moyenne+BJ16*Spend_Dom_Grande</f>
        <v>6268763102.73269</v>
      </c>
      <c r="BK36" s="33" t="n">
        <f aca="false">BK14*Spend_Dom_Petite+BK15*Spend_Dom_Moyenne+BK16*Spend_Dom_Grande</f>
        <v>6487216834.7011</v>
      </c>
      <c r="BL36" s="33" t="n">
        <f aca="false">BL14*Spend_Dom_Petite+BL15*Spend_Dom_Moyenne+BL16*Spend_Dom_Grande</f>
        <v>6708386045.11088</v>
      </c>
    </row>
    <row r="37" customFormat="false" ht="15" hidden="false" customHeight="true" outlineLevel="0" collapsed="false">
      <c r="A37" s="13" t="s">
        <v>1235</v>
      </c>
      <c r="B37" s="15" t="s">
        <v>77</v>
      </c>
      <c r="D37" s="56" t="n">
        <f aca="false">SUM(E37:BL37)</f>
        <v>180042012383.121</v>
      </c>
      <c r="E37" s="33" t="n">
        <f aca="false">(E14*Spend_For_Petite+E15*Spend_For_Moyenne+E16*Spend_For_Grande)*Foreign_Spend_Factor</f>
        <v>0</v>
      </c>
      <c r="F37" s="33" t="n">
        <f aca="false">(F14*Spend_For_Petite+F15*Spend_For_Moyenne+F16*Spend_For_Grande)*Foreign_Spend_Factor</f>
        <v>0</v>
      </c>
      <c r="G37" s="33" t="n">
        <f aca="false">(G14*Spend_For_Petite+G15*Spend_For_Moyenne+G16*Spend_For_Grande)*Foreign_Spend_Factor</f>
        <v>0</v>
      </c>
      <c r="H37" s="33" t="n">
        <f aca="false">(H14*Spend_For_Petite+H15*Spend_For_Moyenne+H16*Spend_For_Grande)*Foreign_Spend_Factor</f>
        <v>0</v>
      </c>
      <c r="I37" s="33" t="n">
        <f aca="false">(I14*Spend_For_Petite+I15*Spend_For_Moyenne+I16*Spend_For_Grande)*Foreign_Spend_Factor</f>
        <v>44025333.3333333</v>
      </c>
      <c r="J37" s="33" t="n">
        <f aca="false">(J14*Spend_For_Petite+J15*Spend_For_Moyenne+J16*Spend_For_Grande)*Foreign_Spend_Factor</f>
        <v>87947336.6666667</v>
      </c>
      <c r="K37" s="33" t="n">
        <f aca="false">(K14*Spend_For_Petite+K15*Spend_For_Moyenne+K16*Spend_For_Grande)*Foreign_Spend_Factor</f>
        <v>131793811.975</v>
      </c>
      <c r="L37" s="33" t="n">
        <f aca="false">(L14*Spend_For_Petite+L15*Spend_For_Moyenne+L16*Spend_For_Grande)*Foreign_Spend_Factor</f>
        <v>175593747.966021</v>
      </c>
      <c r="M37" s="33" t="n">
        <f aca="false">(M14*Spend_For_Petite+M15*Spend_For_Moyenne+M16*Spend_For_Grande)*Foreign_Spend_Factor</f>
        <v>219377398.897715</v>
      </c>
      <c r="N37" s="33" t="n">
        <f aca="false">(N14*Spend_For_Petite+N15*Spend_For_Moyenne+N16*Spend_For_Grande)*Foreign_Spend_Factor</f>
        <v>263176367.994421</v>
      </c>
      <c r="O37" s="33" t="n">
        <f aca="false">(O14*Spend_For_Petite+O15*Spend_For_Moyenne+O16*Spend_For_Grande)*Foreign_Spend_Factor</f>
        <v>307023695.739594</v>
      </c>
      <c r="P37" s="33" t="n">
        <f aca="false">(P14*Spend_For_Petite+P15*Spend_For_Moyenne+P16*Spend_For_Grande)*Foreign_Spend_Factor</f>
        <v>350953953.340225</v>
      </c>
      <c r="Q37" s="33" t="n">
        <f aca="false">(Q14*Spend_For_Petite+Q15*Spend_For_Moyenne+Q16*Spend_For_Grande)*Foreign_Spend_Factor</f>
        <v>410548675.008798</v>
      </c>
      <c r="R37" s="33" t="n">
        <f aca="false">(R14*Spend_For_Petite+R15*Spend_For_Moyenne+R16*Spend_For_Grande)*Foreign_Spend_Factor</f>
        <v>470113132.727437</v>
      </c>
      <c r="S37" s="33" t="n">
        <f aca="false">(S14*Spend_For_Petite+S15*Spend_For_Moyenne+S16*Spend_For_Grande)*Foreign_Spend_Factor</f>
        <v>529689691.153688</v>
      </c>
      <c r="T37" s="33" t="n">
        <f aca="false">(T14*Spend_For_Petite+T15*Spend_For_Moyenne+T16*Spend_For_Grande)*Foreign_Spend_Factor</f>
        <v>589322637.769437</v>
      </c>
      <c r="U37" s="33" t="n">
        <f aca="false">(U14*Spend_For_Petite+U15*Spend_For_Moyenne+U16*Spend_For_Grande)*Foreign_Spend_Factor</f>
        <v>649058307.959609</v>
      </c>
      <c r="V37" s="33" t="n">
        <f aca="false">(V14*Spend_For_Petite+V15*Spend_For_Moyenne+V16*Spend_For_Grande)*Foreign_Spend_Factor</f>
        <v>708945217.43004</v>
      </c>
      <c r="W37" s="33" t="n">
        <f aca="false">(W14*Spend_For_Petite+W15*Spend_For_Moyenne+W16*Spend_For_Grande)*Foreign_Spend_Factor</f>
        <v>802735535.741186</v>
      </c>
      <c r="X37" s="33" t="n">
        <f aca="false">(X14*Spend_For_Petite+X15*Spend_For_Moyenne+X16*Spend_For_Grande)*Foreign_Spend_Factor</f>
        <v>896695514.760903</v>
      </c>
      <c r="Y37" s="33" t="n">
        <f aca="false">(Y14*Spend_For_Petite+Y15*Spend_For_Moyenne+Y16*Spend_For_Grande)*Foreign_Spend_Factor</f>
        <v>998022050.767636</v>
      </c>
      <c r="Z37" s="33" t="n">
        <f aca="false">(Z14*Spend_For_Petite+Z15*Spend_For_Moyenne+Z16*Spend_For_Grande)*Foreign_Spend_Factor</f>
        <v>1099589920.9918</v>
      </c>
      <c r="AA37" s="33" t="n">
        <f aca="false">(AA14*Spend_For_Petite+AA15*Spend_For_Moyenne+AA16*Spend_For_Grande)*Foreign_Spend_Factor</f>
        <v>1201484802.57783</v>
      </c>
      <c r="AB37" s="33" t="n">
        <f aca="false">(AB14*Spend_For_Petite+AB15*Spend_For_Moyenne+AB16*Spend_For_Grande)*Foreign_Spend_Factor</f>
        <v>1303796520.09902</v>
      </c>
      <c r="AC37" s="33" t="n">
        <f aca="false">(AC14*Spend_For_Petite+AC15*Spend_For_Moyenne+AC16*Spend_For_Grande)*Foreign_Spend_Factor</f>
        <v>1437828643.25778</v>
      </c>
      <c r="AD37" s="33" t="n">
        <f aca="false">(AD14*Spend_For_Petite+AD15*Spend_For_Moyenne+AD16*Spend_For_Grande)*Foreign_Spend_Factor</f>
        <v>1572094676.85053</v>
      </c>
      <c r="AE37" s="33" t="n">
        <f aca="false">(AE14*Spend_For_Petite+AE15*Spend_For_Moyenne+AE16*Spend_For_Grande)*Foreign_Spend_Factor</f>
        <v>1713823724.94642</v>
      </c>
      <c r="AF37" s="33" t="n">
        <f aca="false">(AF14*Spend_For_Petite+AF15*Spend_For_Moyenne+AF16*Spend_For_Grande)*Foreign_Spend_Factor</f>
        <v>1855924313.58826</v>
      </c>
      <c r="AG37" s="33" t="n">
        <f aca="false">(AG14*Spend_For_Petite+AG15*Spend_For_Moyenne+AG16*Spend_For_Grande)*Foreign_Spend_Factor</f>
        <v>1998517508.28129</v>
      </c>
      <c r="AH37" s="33" t="n">
        <f aca="false">(AH14*Spend_For_Petite+AH15*Spend_For_Moyenne+AH16*Spend_For_Grande)*Foreign_Spend_Factor</f>
        <v>2141730265.84373</v>
      </c>
      <c r="AI37" s="33" t="n">
        <f aca="false">(AI14*Spend_For_Petite+AI15*Spend_For_Moyenne+AI16*Spend_For_Grande)*Foreign_Spend_Factor</f>
        <v>2292815809.26897</v>
      </c>
      <c r="AJ37" s="33" t="n">
        <f aca="false">(AJ14*Spend_For_Petite+AJ15*Spend_For_Moyenne+AJ16*Spend_For_Grande)*Foreign_Spend_Factor</f>
        <v>2444708224.71662</v>
      </c>
      <c r="AK37" s="33" t="n">
        <f aca="false">(AK14*Spend_For_Petite+AK15*Spend_For_Moyenne+AK16*Spend_For_Grande)*Foreign_Spend_Factor</f>
        <v>2597555665.46678</v>
      </c>
      <c r="AL37" s="33" t="n">
        <f aca="false">(AL14*Spend_For_Petite+AL15*Spend_For_Moyenne+AL16*Spend_For_Grande)*Foreign_Spend_Factor</f>
        <v>2751513795.42543</v>
      </c>
      <c r="AM37" s="33" t="n">
        <f aca="false">(AM14*Spend_For_Petite+AM15*Spend_For_Moyenne+AM16*Spend_For_Grande)*Foreign_Spend_Factor</f>
        <v>2913866261.14194</v>
      </c>
      <c r="AN37" s="33" t="n">
        <f aca="false">(AN14*Spend_For_Petite+AN15*Spend_For_Moyenne+AN16*Spend_For_Grande)*Foreign_Spend_Factor</f>
        <v>3077579391.78616</v>
      </c>
      <c r="AO37" s="33" t="n">
        <f aca="false">(AO14*Spend_For_Petite+AO15*Spend_For_Moyenne+AO16*Spend_For_Grande)*Foreign_Spend_Factor</f>
        <v>3264788845.6023</v>
      </c>
      <c r="AP37" s="33" t="n">
        <f aca="false">(AP14*Spend_For_Petite+AP15*Spend_For_Moyenne+AP16*Spend_For_Grande)*Foreign_Spend_Factor</f>
        <v>3460588619.13189</v>
      </c>
      <c r="AQ37" s="33" t="n">
        <f aca="false">(AQ14*Spend_For_Petite+AQ15*Spend_For_Moyenne+AQ16*Spend_For_Grande)*Foreign_Spend_Factor</f>
        <v>3657978591.01796</v>
      </c>
      <c r="AR37" s="33" t="n">
        <f aca="false">(AR14*Spend_For_Petite+AR15*Spend_For_Moyenne+AR16*Spend_For_Grande)*Foreign_Spend_Factor</f>
        <v>3857176346.54043</v>
      </c>
      <c r="AS37" s="33" t="n">
        <f aca="false">(AS14*Spend_For_Petite+AS15*Spend_For_Moyenne+AS16*Spend_For_Grande)*Foreign_Spend_Factor</f>
        <v>4065530844.18986</v>
      </c>
      <c r="AT37" s="33" t="n">
        <f aca="false">(AT14*Spend_For_Petite+AT15*Spend_For_Moyenne+AT16*Spend_For_Grande)*Foreign_Spend_Factor</f>
        <v>4276077324.05913</v>
      </c>
      <c r="AU37" s="33" t="n">
        <f aca="false">(AU14*Spend_For_Petite+AU15*Spend_For_Moyenne+AU16*Spend_For_Grande)*Foreign_Spend_Factor</f>
        <v>4489070841.79997</v>
      </c>
      <c r="AV37" s="33" t="n">
        <f aca="false">(AV14*Spend_For_Petite+AV15*Spend_For_Moyenne+AV16*Spend_For_Grande)*Foreign_Spend_Factor</f>
        <v>4718308061.84987</v>
      </c>
      <c r="AW37" s="33" t="n">
        <f aca="false">(AW14*Spend_For_Petite+AW15*Spend_For_Moyenne+AW16*Spend_For_Grande)*Foreign_Spend_Factor</f>
        <v>4948346768.36276</v>
      </c>
      <c r="AX37" s="33" t="n">
        <f aca="false">(AX14*Spend_For_Petite+AX15*Spend_For_Moyenne+AX16*Spend_For_Grande)*Foreign_Spend_Factor</f>
        <v>5184272437.65415</v>
      </c>
      <c r="AY37" s="33" t="n">
        <f aca="false">(AY14*Spend_For_Petite+AY15*Spend_For_Moyenne+AY16*Spend_For_Grande)*Foreign_Spend_Factor</f>
        <v>5418985202.90427</v>
      </c>
      <c r="AZ37" s="33" t="n">
        <f aca="false">(AZ14*Spend_For_Petite+AZ15*Spend_For_Moyenne+AZ16*Spend_For_Grande)*Foreign_Spend_Factor</f>
        <v>5652596072.16253</v>
      </c>
      <c r="BA37" s="33" t="n">
        <f aca="false">(BA14*Spend_For_Petite+BA15*Spend_For_Moyenne+BA16*Spend_For_Grande)*Foreign_Spend_Factor</f>
        <v>5914412197.94633</v>
      </c>
      <c r="BB37" s="33" t="n">
        <f aca="false">(BB14*Spend_For_Petite+BB15*Spend_For_Moyenne+BB16*Spend_For_Grande)*Foreign_Spend_Factor</f>
        <v>6175009384.62308</v>
      </c>
      <c r="BC37" s="33" t="n">
        <f aca="false">(BC14*Spend_For_Petite+BC15*Spend_For_Moyenne+BC16*Spend_For_Grande)*Foreign_Spend_Factor</f>
        <v>6441636804.73423</v>
      </c>
      <c r="BD37" s="33" t="n">
        <f aca="false">(BD14*Spend_For_Petite+BD15*Spend_For_Moyenne+BD16*Spend_For_Grande)*Foreign_Spend_Factor</f>
        <v>6707222813.08094</v>
      </c>
      <c r="BE37" s="33" t="n">
        <f aca="false">(BE14*Spend_For_Petite+BE15*Spend_For_Moyenne+BE16*Spend_For_Grande)*Foreign_Spend_Factor</f>
        <v>6978316071.73319</v>
      </c>
      <c r="BF37" s="33" t="n">
        <f aca="false">(BF14*Spend_For_Petite+BF15*Spend_For_Moyenne+BF16*Spend_For_Grande)*Foreign_Spend_Factor</f>
        <v>7255697689.48762</v>
      </c>
      <c r="BG37" s="33" t="n">
        <f aca="false">(BG14*Spend_For_Petite+BG15*Spend_For_Moyenne+BG16*Spend_For_Grande)*Foreign_Spend_Factor</f>
        <v>7532315309.58561</v>
      </c>
      <c r="BH37" s="33" t="n">
        <f aca="false">(BH14*Spend_For_Petite+BH15*Spend_For_Moyenne+BH16*Spend_For_Grande)*Foreign_Spend_Factor</f>
        <v>7815449996.37736</v>
      </c>
      <c r="BI37" s="33" t="n">
        <f aca="false">(BI14*Spend_For_Petite+BI15*Spend_For_Moyenne+BI16*Spend_For_Grande)*Foreign_Spend_Factor</f>
        <v>8104471862.16903</v>
      </c>
      <c r="BJ37" s="33" t="n">
        <f aca="false">(BJ14*Spend_For_Petite+BJ15*Spend_For_Moyenne+BJ16*Spend_For_Grande)*Foreign_Spend_Factor</f>
        <v>8400192084.7152</v>
      </c>
      <c r="BK37" s="33" t="n">
        <f aca="false">(BK14*Spend_For_Petite+BK15*Spend_For_Moyenne+BK16*Spend_For_Grande)*Foreign_Spend_Factor</f>
        <v>8694064357.26832</v>
      </c>
      <c r="BL37" s="33" t="n">
        <f aca="false">(BL14*Spend_For_Petite+BL15*Spend_For_Moyenne+BL16*Spend_For_Grande)*Foreign_Spend_Factor</f>
        <v>8991651922.65072</v>
      </c>
    </row>
    <row r="38" customFormat="false" ht="15" hidden="false" customHeight="true" outlineLevel="0" collapsed="false">
      <c r="A38" s="13" t="s">
        <v>1236</v>
      </c>
      <c r="B38" s="15" t="s">
        <v>77</v>
      </c>
      <c r="D38" s="56" t="n">
        <f aca="false">BL38</f>
        <v>89347775279.8167</v>
      </c>
      <c r="E38" s="33" t="n">
        <f aca="false">E14*Balance_Petite+E15*Balance_Moyenne+E16*Balance_Grande</f>
        <v>0</v>
      </c>
      <c r="F38" s="33" t="n">
        <f aca="false">F14*Balance_Petite+F15*Balance_Moyenne+F16*Balance_Grande</f>
        <v>0</v>
      </c>
      <c r="G38" s="33" t="n">
        <f aca="false">G14*Balance_Petite+G15*Balance_Moyenne+G16*Balance_Grande</f>
        <v>0</v>
      </c>
      <c r="H38" s="33" t="n">
        <f aca="false">H14*Balance_Petite+H15*Balance_Moyenne+H16*Balance_Grande</f>
        <v>0</v>
      </c>
      <c r="I38" s="33" t="n">
        <f aca="false">I14*Balance_Petite+I15*Balance_Moyenne+I16*Balance_Grande</f>
        <v>435306666.666667</v>
      </c>
      <c r="J38" s="33" t="n">
        <f aca="false">J14*Balance_Petite+J15*Balance_Moyenne+J16*Balance_Grande</f>
        <v>869717533.333333</v>
      </c>
      <c r="K38" s="33" t="n">
        <f aca="false">K14*Balance_Petite+K15*Balance_Moyenne+K16*Balance_Grande</f>
        <v>1303506293.5</v>
      </c>
      <c r="L38" s="33" t="n">
        <f aca="false">L14*Balance_Petite+L15*Balance_Moyenne+L16*Balance_Grande</f>
        <v>1736958459.22792</v>
      </c>
      <c r="M38" s="33" t="n">
        <f aca="false">M14*Balance_Petite+M15*Balance_Moyenne+M16*Balance_Grande</f>
        <v>2170372143.35259</v>
      </c>
      <c r="N38" s="33" t="n">
        <f aca="false">N14*Balance_Petite+N15*Balance_Moyenne+N16*Balance_Grande</f>
        <v>2604058887.36442</v>
      </c>
      <c r="O38" s="33" t="n">
        <f aca="false">O14*Balance_Petite+O15*Balance_Moyenne+O16*Balance_Grande</f>
        <v>3038344537.72008</v>
      </c>
      <c r="P38" s="33" t="n">
        <f aca="false">P14*Balance_Petite+P15*Balance_Moyenne+P16*Balance_Grande</f>
        <v>3473570173.5134</v>
      </c>
      <c r="Q38" s="33" t="n">
        <f aca="false">Q14*Balance_Petite+Q15*Balance_Moyenne+Q16*Balance_Grande</f>
        <v>4063799755.27593</v>
      </c>
      <c r="R38" s="33" t="n">
        <f aca="false">R14*Balance_Petite+R15*Balance_Moyenne+R16*Balance_Grande</f>
        <v>4653893364.86388</v>
      </c>
      <c r="S38" s="33" t="n">
        <f aca="false">S14*Balance_Petite+S15*Balance_Moyenne+S16*Balance_Grande</f>
        <v>5244268600.0844</v>
      </c>
      <c r="T38" s="33" t="n">
        <f aca="false">T14*Balance_Petite+T15*Balance_Moyenne+T16*Balance_Grande</f>
        <v>5835362197.25137</v>
      </c>
      <c r="U38" s="33" t="n">
        <f aca="false">U14*Balance_Petite+U15*Balance_Moyenne+U16*Balance_Grande</f>
        <v>6427631272.62894</v>
      </c>
      <c r="V38" s="33" t="n">
        <f aca="false">V14*Balance_Petite+V15*Balance_Moyenne+V16*Balance_Grande</f>
        <v>7021554636.75978</v>
      </c>
      <c r="W38" s="33" t="n">
        <f aca="false">W14*Balance_Petite+W15*Balance_Moyenne+W16*Balance_Grande</f>
        <v>7950860852.74696</v>
      </c>
      <c r="X38" s="33" t="n">
        <f aca="false">X14*Balance_Petite+X15*Balance_Moyenne+X16*Balance_Grande</f>
        <v>8882098509.822</v>
      </c>
      <c r="Y38" s="33" t="n">
        <f aca="false">Y14*Balance_Petite+Y15*Balance_Moyenne+Y16*Balance_Grande</f>
        <v>9886426537.81088</v>
      </c>
      <c r="Z38" s="33" t="n">
        <f aca="false">Z14*Balance_Petite+Z15*Balance_Moyenne+Z16*Balance_Grande</f>
        <v>10893412486.1681</v>
      </c>
      <c r="AA38" s="33" t="n">
        <f aca="false">AA14*Balance_Petite+AA15*Balance_Moyenne+AA16*Balance_Grande</f>
        <v>11903902171.2237</v>
      </c>
      <c r="AB38" s="33" t="n">
        <f aca="false">AB14*Balance_Petite+AB15*Balance_Moyenne+AB16*Balance_Grande</f>
        <v>12918782665.6837</v>
      </c>
      <c r="AC38" s="33" t="n">
        <f aca="false">AC14*Balance_Petite+AC15*Balance_Moyenne+AC16*Balance_Grande</f>
        <v>14247571589.5063</v>
      </c>
      <c r="AD38" s="33" t="n">
        <f aca="false">AD14*Balance_Petite+AD15*Balance_Moyenne+AD16*Balance_Grande</f>
        <v>15579030489.01</v>
      </c>
      <c r="AE38" s="33" t="n">
        <f aca="false">AE14*Balance_Petite+AE15*Balance_Moyenne+AE16*Balance_Grande</f>
        <v>16984636155.7227</v>
      </c>
      <c r="AF38" s="33" t="n">
        <f aca="false">AF14*Balance_Petite+AF15*Balance_Moyenne+AF16*Balance_Grande</f>
        <v>18394289332.0998</v>
      </c>
      <c r="AG38" s="33" t="n">
        <f aca="false">AG14*Balance_Petite+AG15*Balance_Moyenne+AG16*Balance_Grande</f>
        <v>19809185336.7567</v>
      </c>
      <c r="AH38" s="33" t="n">
        <f aca="false">AH14*Balance_Petite+AH15*Balance_Moyenne+AH16*Balance_Grande</f>
        <v>21230578089.645</v>
      </c>
      <c r="AI38" s="33" t="n">
        <f aca="false">AI14*Balance_Petite+AI15*Balance_Moyenne+AI16*Balance_Grande</f>
        <v>22730183833.1036</v>
      </c>
      <c r="AJ38" s="33" t="n">
        <f aca="false">AJ14*Balance_Petite+AJ15*Balance_Moyenne+AJ16*Balance_Grande</f>
        <v>24238157072.6665</v>
      </c>
      <c r="AK38" s="33" t="n">
        <f aca="false">AK14*Balance_Petite+AK15*Balance_Moyenne+AK16*Balance_Grande</f>
        <v>25755962060.8736</v>
      </c>
      <c r="AL38" s="33" t="n">
        <f aca="false">AL14*Balance_Petite+AL15*Balance_Moyenne+AL16*Balance_Grande</f>
        <v>27285137732.5546</v>
      </c>
      <c r="AM38" s="33" t="n">
        <f aca="false">AM14*Balance_Petite+AM15*Balance_Moyenne+AM16*Balance_Grande</f>
        <v>28897702390.6098</v>
      </c>
      <c r="AN38" s="33" t="n">
        <f aca="false">AN14*Balance_Petite+AN15*Balance_Moyenne+AN16*Balance_Grande</f>
        <v>30524130669.4438</v>
      </c>
      <c r="AO38" s="33" t="n">
        <f aca="false">AO14*Balance_Petite+AO15*Balance_Moyenne+AO16*Balance_Grande</f>
        <v>32383292769.442</v>
      </c>
      <c r="AP38" s="33" t="n">
        <f aca="false">AP14*Balance_Petite+AP15*Balance_Moyenne+AP16*Balance_Grande</f>
        <v>34327867541.3052</v>
      </c>
      <c r="AQ38" s="33" t="n">
        <f aca="false">AQ14*Balance_Petite+AQ15*Balance_Moyenne+AQ16*Balance_Grande</f>
        <v>36288661262.3376</v>
      </c>
      <c r="AR38" s="33" t="n">
        <f aca="false">AR14*Balance_Petite+AR15*Balance_Moyenne+AR16*Balance_Grande</f>
        <v>38267826120.4584</v>
      </c>
      <c r="AS38" s="33" t="n">
        <f aca="false">AS14*Balance_Petite+AS15*Balance_Moyenne+AS16*Balance_Grande</f>
        <v>40338027364.2371</v>
      </c>
      <c r="AT38" s="33" t="n">
        <f aca="false">AT14*Balance_Petite+AT15*Balance_Moyenne+AT16*Balance_Grande</f>
        <v>42430422335.5559</v>
      </c>
      <c r="AU38" s="33" t="n">
        <f aca="false">AU14*Balance_Petite+AU15*Balance_Moyenne+AU16*Balance_Grande</f>
        <v>44547535229.9937</v>
      </c>
      <c r="AV38" s="33" t="n">
        <f aca="false">AV14*Balance_Petite+AV15*Balance_Moyenne+AV16*Balance_Grande</f>
        <v>46825785504.4992</v>
      </c>
      <c r="AW38" s="33" t="n">
        <f aca="false">AW14*Balance_Petite+AW15*Balance_Moyenne+AW16*Balance_Grande</f>
        <v>49112528500.3658</v>
      </c>
      <c r="AX38" s="33" t="n">
        <f aca="false">AX14*Balance_Petite+AX15*Balance_Moyenne+AX16*Balance_Grande</f>
        <v>51458045525.8874</v>
      </c>
      <c r="AY38" s="33" t="n">
        <f aca="false">AY14*Balance_Petite+AY15*Balance_Moyenne+AY16*Balance_Grande</f>
        <v>53792148143.4044</v>
      </c>
      <c r="AZ38" s="33" t="n">
        <f aca="false">AZ14*Balance_Petite+AZ15*Balance_Moyenne+AZ16*Balance_Grande</f>
        <v>56115926050.6673</v>
      </c>
      <c r="BA38" s="33" t="n">
        <f aca="false">BA14*Balance_Petite+BA15*Balance_Moyenne+BA16*Balance_Grande</f>
        <v>58719150288.0733</v>
      </c>
      <c r="BB38" s="33" t="n">
        <f aca="false">BB14*Balance_Petite+BB15*Balance_Moyenne+BB16*Balance_Grande</f>
        <v>61310961289.8762</v>
      </c>
      <c r="BC38" s="33" t="n">
        <f aca="false">BC14*Balance_Petite+BC15*Balance_Moyenne+BC16*Balance_Grande</f>
        <v>63963027871.1853</v>
      </c>
      <c r="BD38" s="33" t="n">
        <f aca="false">BD14*Balance_Petite+BD15*Balance_Moyenne+BD16*Balance_Grande</f>
        <v>66605440527.8962</v>
      </c>
      <c r="BE38" s="33" t="n">
        <f aca="false">BE14*Balance_Petite+BE15*Balance_Moyenne+BE16*Balance_Grande</f>
        <v>69302942135.1304</v>
      </c>
      <c r="BF38" s="33" t="n">
        <f aca="false">BF14*Balance_Petite+BF15*Balance_Moyenne+BF16*Balance_Grande</f>
        <v>72063266846.4989</v>
      </c>
      <c r="BG38" s="33" t="n">
        <f aca="false">BG14*Balance_Petite+BG15*Balance_Moyenne+BG16*Balance_Grande</f>
        <v>74816696469.2386</v>
      </c>
      <c r="BH38" s="33" t="n">
        <f aca="false">BH14*Balance_Petite+BH15*Balance_Moyenne+BH16*Balance_Grande</f>
        <v>77635216254.2051</v>
      </c>
      <c r="BI38" s="33" t="n">
        <f aca="false">BI14*Balance_Petite+BI15*Balance_Moyenne+BI16*Balance_Grande</f>
        <v>80512611664.2504</v>
      </c>
      <c r="BJ38" s="33" t="n">
        <f aca="false">BJ14*Balance_Petite+BJ15*Balance_Moyenne+BJ16*Balance_Grande</f>
        <v>83456914989.5443</v>
      </c>
      <c r="BK38" s="33" t="n">
        <f aca="false">BK14*Balance_Petite+BK15*Balance_Moyenne+BK16*Balance_Grande</f>
        <v>86383637302.5931</v>
      </c>
      <c r="BL38" s="33" t="n">
        <f aca="false">BL14*Balance_Petite+BL15*Balance_Moyenne+BL16*Balance_Grande</f>
        <v>89347775279.8167</v>
      </c>
    </row>
    <row r="39" customFormat="false" ht="15" hidden="false" customHeight="true" outlineLevel="0" collapsed="false">
      <c r="A39" s="13" t="s">
        <v>1237</v>
      </c>
      <c r="B39" s="15" t="s">
        <v>77</v>
      </c>
      <c r="D39" s="56" t="n">
        <f aca="false">SUM(E39:BL39)</f>
        <v>924121686332.612</v>
      </c>
      <c r="E39" s="33" t="n">
        <f aca="false">E31*Avg_Salary</f>
        <v>0</v>
      </c>
      <c r="F39" s="33" t="n">
        <f aca="false">F31*Avg_Salary</f>
        <v>0</v>
      </c>
      <c r="G39" s="33" t="n">
        <f aca="false">G31*Avg_Salary</f>
        <v>0</v>
      </c>
      <c r="H39" s="33" t="n">
        <f aca="false">H31*Avg_Salary</f>
        <v>0</v>
      </c>
      <c r="I39" s="33" t="n">
        <f aca="false">I31*Avg_Salary</f>
        <v>222600000</v>
      </c>
      <c r="J39" s="33" t="n">
        <f aca="false">J31*Avg_Salary</f>
        <v>444948500</v>
      </c>
      <c r="K39" s="33" t="n">
        <f aca="false">K31*Avg_Salary</f>
        <v>667181843.75</v>
      </c>
      <c r="L39" s="33" t="n">
        <f aca="false">L31*Avg_Salary</f>
        <v>889442607.053125</v>
      </c>
      <c r="M39" s="33" t="n">
        <f aca="false">M31*Avg_Salary</f>
        <v>1111880000.37534</v>
      </c>
      <c r="N39" s="33" t="n">
        <f aca="false">N31*Avg_Salary</f>
        <v>1334650295.14243</v>
      </c>
      <c r="O39" s="33" t="n">
        <f aca="false">O31*Avg_Salary</f>
        <v>1557917275.15384</v>
      </c>
      <c r="P39" s="33" t="n">
        <f aca="false">P31*Avg_Salary</f>
        <v>1781852714.62831</v>
      </c>
      <c r="Q39" s="33" t="n">
        <f aca="false">Q31*Avg_Salary</f>
        <v>2085236884.48741</v>
      </c>
      <c r="R39" s="33" t="n">
        <f aca="false">R31*Avg_Salary</f>
        <v>2388807588.57881</v>
      </c>
      <c r="S39" s="33" t="n">
        <f aca="false">S31*Avg_Salary</f>
        <v>2692774375.39361</v>
      </c>
      <c r="T39" s="33" t="n">
        <f aca="false">T31*Avg_Salary</f>
        <v>2997356843.24273</v>
      </c>
      <c r="U39" s="33" t="n">
        <f aca="false">U31*Avg_Salary</f>
        <v>3302785280.01218</v>
      </c>
      <c r="V39" s="33" t="n">
        <f aca="false">V31*Avg_Salary</f>
        <v>3609301340.70688</v>
      </c>
      <c r="W39" s="33" t="n">
        <f aca="false">W31*Avg_Salary</f>
        <v>4087558765.06069</v>
      </c>
      <c r="X39" s="33" t="n">
        <f aca="false">X31*Avg_Salary</f>
        <v>4567198137.627</v>
      </c>
      <c r="Y39" s="33" t="n">
        <f aca="false">Y31*Avg_Salary</f>
        <v>5084602417.90879</v>
      </c>
      <c r="Z39" s="33" t="n">
        <f aca="false">Z31*Avg_Salary</f>
        <v>5603783735.57781</v>
      </c>
      <c r="AA39" s="33" t="n">
        <f aca="false">AA31*Avg_Salary</f>
        <v>6125169471.04753</v>
      </c>
      <c r="AB39" s="33" t="n">
        <f aca="false">AB31*Avg_Salary</f>
        <v>6649208587.54575</v>
      </c>
      <c r="AC39" s="33" t="n">
        <f aca="false">AC31*Avg_Salary</f>
        <v>7334172984.98562</v>
      </c>
      <c r="AD39" s="33" t="n">
        <f aca="false">AD31*Avg_Salary</f>
        <v>8021049434.11597</v>
      </c>
      <c r="AE39" s="33" t="n">
        <f aca="false">AE31*Avg_Salary</f>
        <v>8746381464.53443</v>
      </c>
      <c r="AF39" s="33" t="n">
        <f aca="false">AF31*Avg_Salary</f>
        <v>9474349798.87714</v>
      </c>
      <c r="AG39" s="33" t="n">
        <f aca="false">AG31*Avg_Salary</f>
        <v>10205558937.9007</v>
      </c>
      <c r="AH39" s="33" t="n">
        <f aca="false">AH31*Avg_Salary</f>
        <v>10940644026.9631</v>
      </c>
      <c r="AI39" s="33" t="n">
        <f aca="false">AI31*Avg_Salary</f>
        <v>11716272776.0026</v>
      </c>
      <c r="AJ39" s="33" t="n">
        <f aca="false">AJ31*Avg_Salary</f>
        <v>12496757493.4039</v>
      </c>
      <c r="AK39" s="33" t="n">
        <f aca="false">AK31*Avg_Salary</f>
        <v>13282842115.6081</v>
      </c>
      <c r="AL39" s="33" t="n">
        <f aca="false">AL31*Avg_Salary</f>
        <v>14075309544.7946</v>
      </c>
      <c r="AM39" s="33" t="n">
        <f aca="false">AM31*Avg_Salary</f>
        <v>14910984068.3368</v>
      </c>
      <c r="AN39" s="33" t="n">
        <f aca="false">AN31*Avg_Salary</f>
        <v>15754343922.1149</v>
      </c>
      <c r="AO39" s="33" t="n">
        <f aca="false">AO31*Avg_Salary</f>
        <v>16717308881.3411</v>
      </c>
      <c r="AP39" s="33" t="n">
        <f aca="false">AP31*Avg_Salary</f>
        <v>17724645693.1329</v>
      </c>
      <c r="AQ39" s="33" t="n">
        <f aca="false">AQ31*Avg_Salary</f>
        <v>18741001157.8043</v>
      </c>
      <c r="AR39" s="33" t="n">
        <f aca="false">AR31*Avg_Salary</f>
        <v>19767472488.7106</v>
      </c>
      <c r="AS39" s="33" t="n">
        <f aca="false">AS31*Avg_Salary</f>
        <v>20841215795.1251</v>
      </c>
      <c r="AT39" s="33" t="n">
        <f aca="false">AT31*Avg_Salary</f>
        <v>21927059715.3134</v>
      </c>
      <c r="AU39" s="33" t="n">
        <f aca="false">AU31*Avg_Salary</f>
        <v>23026294141.0018</v>
      </c>
      <c r="AV39" s="33" t="n">
        <f aca="false">AV31*Avg_Salary</f>
        <v>24208679351.3135</v>
      </c>
      <c r="AW39" s="33" t="n">
        <f aca="false">AW31*Avg_Salary</f>
        <v>25396223490.2243</v>
      </c>
      <c r="AX39" s="33" t="n">
        <f aca="false">AX31*Avg_Salary</f>
        <v>26614630226.5114</v>
      </c>
      <c r="AY39" s="33" t="n">
        <f aca="false">AY31*Avg_Salary</f>
        <v>27828023380.8187</v>
      </c>
      <c r="AZ39" s="33" t="n">
        <f aca="false">AZ31*Avg_Salary</f>
        <v>29036942278.7057</v>
      </c>
      <c r="BA39" s="33" t="n">
        <f aca="false">BA31*Avg_Salary</f>
        <v>30389548188.8143</v>
      </c>
      <c r="BB39" s="33" t="n">
        <f aca="false">BB31*Avg_Salary</f>
        <v>31737226787.7641</v>
      </c>
      <c r="BC39" s="33" t="n">
        <f aca="false">BC31*Avg_Salary</f>
        <v>33116607698.076</v>
      </c>
      <c r="BD39" s="33" t="n">
        <f aca="false">BD31*Avg_Salary</f>
        <v>34491956855.0545</v>
      </c>
      <c r="BE39" s="33" t="n">
        <f aca="false">BE31*Avg_Salary</f>
        <v>35896363123.6966</v>
      </c>
      <c r="BF39" s="33" t="n">
        <f aca="false">BF31*Avg_Salary</f>
        <v>37333794197.5775</v>
      </c>
      <c r="BG39" s="33" t="n">
        <f aca="false">BG31*Avg_Salary</f>
        <v>38768614939.3708</v>
      </c>
      <c r="BH39" s="33" t="n">
        <f aca="false">BH31*Avg_Salary</f>
        <v>40237618873.0074</v>
      </c>
      <c r="BI39" s="33" t="n">
        <f aca="false">BI31*Avg_Salary</f>
        <v>41737645428.8544</v>
      </c>
      <c r="BJ39" s="33" t="n">
        <f aca="false">BJ31*Avg_Salary</f>
        <v>43272816138.7735</v>
      </c>
      <c r="BK39" s="33" t="n">
        <f aca="false">BK31*Avg_Salary</f>
        <v>44799944151.0126</v>
      </c>
      <c r="BL39" s="33" t="n">
        <f aca="false">BL31*Avg_Salary</f>
        <v>46347130119.6772</v>
      </c>
    </row>
    <row r="40" customFormat="false" ht="15" hidden="false" customHeight="true" outlineLevel="0" collapsed="false">
      <c r="A40" s="13" t="s">
        <v>1238</v>
      </c>
      <c r="B40" s="15" t="s">
        <v>516</v>
      </c>
      <c r="D40" s="56" t="n">
        <f aca="false">SUM(E40:BL40)</f>
        <v>6714365.88023511</v>
      </c>
      <c r="E40" s="33" t="n">
        <f aca="false">E14*Supplier_Petite+E15*Supplier_Moyenne+E16*Supplier_Grande</f>
        <v>0</v>
      </c>
      <c r="F40" s="33" t="n">
        <f aca="false">F14*Supplier_Petite+F15*Supplier_Moyenne+F16*Supplier_Grande</f>
        <v>0</v>
      </c>
      <c r="G40" s="33" t="n">
        <f aca="false">G14*Supplier_Petite+G15*Supplier_Moyenne+G16*Supplier_Grande</f>
        <v>0</v>
      </c>
      <c r="H40" s="33" t="n">
        <f aca="false">H14*Supplier_Petite+H15*Supplier_Moyenne+H16*Supplier_Grande</f>
        <v>0</v>
      </c>
      <c r="I40" s="33" t="n">
        <f aca="false">I14*Supplier_Petite+I15*Supplier_Moyenne+I16*Supplier_Grande</f>
        <v>1632.4</v>
      </c>
      <c r="J40" s="33" t="n">
        <f aca="false">J14*Supplier_Petite+J15*Supplier_Moyenne+J16*Supplier_Grande</f>
        <v>3261.719</v>
      </c>
      <c r="K40" s="33" t="n">
        <f aca="false">K14*Supplier_Petite+K15*Supplier_Moyenne+K16*Supplier_Grande</f>
        <v>4888.9770075</v>
      </c>
      <c r="L40" s="33" t="n">
        <f aca="false">L14*Supplier_Petite+L15*Supplier_Moyenne+L16*Supplier_Grande</f>
        <v>6515.23864819375</v>
      </c>
      <c r="M40" s="33" t="n">
        <f aca="false">M14*Supplier_Petite+M15*Supplier_Moyenne+M16*Supplier_Grande</f>
        <v>8141.61610086917</v>
      </c>
      <c r="N40" s="33" t="n">
        <f aca="false">N14*Supplier_Petite+N15*Supplier_Moyenne+N16*Supplier_Grande</f>
        <v>9769.27220401882</v>
      </c>
      <c r="O40" s="33" t="n">
        <f aca="false">O14*Supplier_Petite+O15*Supplier_Moyenne+O16*Supplier_Grande</f>
        <v>11399.4237445421</v>
      </c>
      <c r="P40" s="33" t="n">
        <f aca="false">P14*Supplier_Petite+P15*Supplier_Moyenne+P16*Supplier_Grande</f>
        <v>13033.3449395426</v>
      </c>
      <c r="Q40" s="33" t="n">
        <f aca="false">Q14*Supplier_Petite+Q15*Supplier_Moyenne+Q16*Supplier_Grande</f>
        <v>15248.7711228821</v>
      </c>
      <c r="R40" s="33" t="n">
        <f aca="false">R14*Supplier_Petite+R15*Supplier_Moyenne+R16*Supplier_Grande</f>
        <v>17464.0216488519</v>
      </c>
      <c r="S40" s="33" t="n">
        <f aca="false">S14*Supplier_Petite+S15*Supplier_Moyenne+S16*Supplier_Grande</f>
        <v>19680.6554335613</v>
      </c>
      <c r="T40" s="33" t="n">
        <f aca="false">T14*Supplier_Petite+T15*Supplier_Moyenne+T16*Supplier_Grande</f>
        <v>21900.303567123</v>
      </c>
      <c r="U40" s="33" t="n">
        <f aca="false">U14*Supplier_Petite+U15*Supplier_Moyenne+U16*Supplier_Grande</f>
        <v>24124.6739731778</v>
      </c>
      <c r="V40" s="33" t="n">
        <f aca="false">V14*Supplier_Petite+V15*Supplier_Moyenne+V16*Supplier_Grande</f>
        <v>26355.5563424315</v>
      </c>
      <c r="W40" s="33" t="n">
        <f aca="false">W14*Supplier_Petite+W15*Supplier_Moyenne+W16*Supplier_Grande</f>
        <v>29844.4273567458</v>
      </c>
      <c r="X40" s="33" t="n">
        <f aca="false">X14*Supplier_Petite+X15*Supplier_Moyenne+X16*Supplier_Grande</f>
        <v>33341.0522213121</v>
      </c>
      <c r="Y40" s="33" t="n">
        <f aca="false">Y14*Supplier_Petite+Y15*Supplier_Moyenne+Y16*Supplier_Grande</f>
        <v>37112.2674534918</v>
      </c>
      <c r="Z40" s="33" t="n">
        <f aca="false">Z14*Supplier_Petite+Z15*Supplier_Moyenne+Z16*Supplier_Grande</f>
        <v>40893.9875620417</v>
      </c>
      <c r="AA40" s="33" t="n">
        <f aca="false">AA14*Supplier_Petite+AA15*Supplier_Moyenne+AA16*Supplier_Grande</f>
        <v>44689.3747717197</v>
      </c>
      <c r="AB40" s="33" t="n">
        <f aca="false">AB14*Supplier_Petite+AB15*Supplier_Moyenne+AB16*Supplier_Grande</f>
        <v>48501.7467438905</v>
      </c>
      <c r="AC40" s="33" t="n">
        <f aca="false">AC14*Supplier_Petite+AC15*Supplier_Moyenne+AC16*Supplier_Grande</f>
        <v>53491.786429021</v>
      </c>
      <c r="AD40" s="33" t="n">
        <f aca="false">AD14*Supplier_Petite+AD15*Supplier_Moyenne+AD16*Supplier_Grande</f>
        <v>58492.5395014593</v>
      </c>
      <c r="AE40" s="33" t="n">
        <f aca="false">AE14*Supplier_Petite+AE15*Supplier_Moyenne+AE16*Supplier_Grande</f>
        <v>63772.0309090955</v>
      </c>
      <c r="AF40" s="33" t="n">
        <f aca="false">AF14*Supplier_Petite+AF15*Supplier_Moyenne+AF16*Supplier_Grande</f>
        <v>69067.4213556196</v>
      </c>
      <c r="AG40" s="33" t="n">
        <f aca="false">AG14*Supplier_Petite+AG15*Supplier_Moyenne+AG16*Supplier_Grande</f>
        <v>74383.1806968706</v>
      </c>
      <c r="AH40" s="33" t="n">
        <f aca="false">AH14*Supplier_Petite+AH15*Supplier_Moyenne+AH16*Supplier_Grande</f>
        <v>79723.9995500445</v>
      </c>
      <c r="AI40" s="33" t="n">
        <f aca="false">AI14*Supplier_Petite+AI15*Supplier_Moyenne+AI16*Supplier_Grande</f>
        <v>85358.8032647251</v>
      </c>
      <c r="AJ40" s="33" t="n">
        <f aca="false">AJ14*Supplier_Petite+AJ15*Supplier_Moyenne+AJ16*Supplier_Grande</f>
        <v>91025.7067199892</v>
      </c>
      <c r="AK40" s="33" t="n">
        <f aca="false">AK14*Supplier_Petite+AK15*Supplier_Moyenne+AK16*Supplier_Grande</f>
        <v>96730.1909473683</v>
      </c>
      <c r="AL40" s="33" t="n">
        <f aca="false">AL14*Supplier_Petite+AL15*Supplier_Moyenne+AL16*Supplier_Grande</f>
        <v>102478.018160308</v>
      </c>
      <c r="AM40" s="33" t="n">
        <f aca="false">AM14*Supplier_Petite+AM15*Supplier_Moyenne+AM16*Supplier_Grande</f>
        <v>108539.249350706</v>
      </c>
      <c r="AN40" s="33" t="n">
        <f aca="false">AN14*Supplier_Petite+AN15*Supplier_Moyenne+AN16*Supplier_Grande</f>
        <v>114653.202929094</v>
      </c>
      <c r="AO40" s="33" t="n">
        <f aca="false">AO14*Supplier_Petite+AO15*Supplier_Moyenne+AO16*Supplier_Grande</f>
        <v>121640.635421297</v>
      </c>
      <c r="AP40" s="33" t="n">
        <f aca="false">AP14*Supplier_Petite+AP15*Supplier_Moyenne+AP16*Supplier_Grande</f>
        <v>128949.225816051</v>
      </c>
      <c r="AQ40" s="33" t="n">
        <f aca="false">AQ14*Supplier_Petite+AQ15*Supplier_Moyenne+AQ16*Supplier_Grande</f>
        <v>136319.534001326</v>
      </c>
      <c r="AR40" s="33" t="n">
        <f aca="false">AR14*Supplier_Petite+AR15*Supplier_Moyenne+AR16*Supplier_Grande</f>
        <v>143759.622025736</v>
      </c>
      <c r="AS40" s="33" t="n">
        <f aca="false">AS14*Supplier_Petite+AS15*Supplier_Moyenne+AS16*Supplier_Grande</f>
        <v>151541.977448265</v>
      </c>
      <c r="AT40" s="33" t="n">
        <f aca="false">AT14*Supplier_Petite+AT15*Supplier_Moyenne+AT16*Supplier_Grande</f>
        <v>159408.479751631</v>
      </c>
      <c r="AU40" s="33" t="n">
        <f aca="false">AU14*Supplier_Petite+AU15*Supplier_Moyenne+AU16*Supplier_Grande</f>
        <v>167368.589275727</v>
      </c>
      <c r="AV40" s="33" t="n">
        <f aca="false">AV14*Supplier_Petite+AV15*Supplier_Moyenne+AV16*Supplier_Grande</f>
        <v>175933.875293455</v>
      </c>
      <c r="AW40" s="33" t="n">
        <f aca="false">AW14*Supplier_Petite+AW15*Supplier_Moyenne+AW16*Supplier_Grande</f>
        <v>184532.003898349</v>
      </c>
      <c r="AX40" s="33" t="n">
        <f aca="false">AX14*Supplier_Petite+AX15*Supplier_Moyenne+AX16*Supplier_Grande</f>
        <v>193351.514234173</v>
      </c>
      <c r="AY40" s="33" t="n">
        <f aca="false">AY14*Supplier_Petite+AY15*Supplier_Moyenne+AY16*Supplier_Grande</f>
        <v>202129.216340222</v>
      </c>
      <c r="AZ40" s="33" t="n">
        <f aca="false">AZ14*Supplier_Petite+AZ15*Supplier_Moyenne+AZ16*Supplier_Grande</f>
        <v>210869.168029429</v>
      </c>
      <c r="BA40" s="33" t="n">
        <f aca="false">BA14*Supplier_Petite+BA15*Supplier_Moyenne+BA16*Supplier_Grande</f>
        <v>220657.983414612</v>
      </c>
      <c r="BB40" s="33" t="n">
        <f aca="false">BB14*Supplier_Petite+BB15*Supplier_Moyenne+BB16*Supplier_Grande</f>
        <v>230405.09760169</v>
      </c>
      <c r="BC40" s="33" t="n">
        <f aca="false">BC14*Supplier_Petite+BC15*Supplier_Moyenne+BC16*Supplier_Grande</f>
        <v>240379.237897621</v>
      </c>
      <c r="BD40" s="33" t="n">
        <f aca="false">BD14*Supplier_Petite+BD15*Supplier_Moyenne+BD16*Supplier_Grande</f>
        <v>250318.259334896</v>
      </c>
      <c r="BE40" s="33" t="n">
        <f aca="false">BE14*Supplier_Petite+BE15*Supplier_Moyenne+BE16*Supplier_Grande</f>
        <v>260464.918331523</v>
      </c>
      <c r="BF40" s="33" t="n">
        <f aca="false">BF14*Supplier_Petite+BF15*Supplier_Moyenne+BF16*Supplier_Grande</f>
        <v>270848.230567408</v>
      </c>
      <c r="BG40" s="33" t="n">
        <f aca="false">BG14*Supplier_Petite+BG15*Supplier_Moyenne+BG16*Supplier_Grande</f>
        <v>281206.770081565</v>
      </c>
      <c r="BH40" s="33" t="n">
        <f aca="false">BH14*Supplier_Petite+BH15*Supplier_Moyenne+BH16*Supplier_Grande</f>
        <v>291810.453879916</v>
      </c>
      <c r="BI40" s="33" t="n">
        <f aca="false">BI14*Supplier_Petite+BI15*Supplier_Moyenne+BI16*Supplier_Grande</f>
        <v>302635.996326019</v>
      </c>
      <c r="BJ40" s="33" t="n">
        <f aca="false">BJ14*Supplier_Petite+BJ15*Supplier_Moyenne+BJ16*Supplier_Grande</f>
        <v>313713.53299819</v>
      </c>
      <c r="BK40" s="33" t="n">
        <f aca="false">BK14*Supplier_Petite+BK15*Supplier_Moyenne+BK16*Supplier_Grande</f>
        <v>324726.249718097</v>
      </c>
      <c r="BL40" s="33" t="n">
        <f aca="false">BL14*Supplier_Petite+BL15*Supplier_Moyenne+BL16*Supplier_Grande</f>
        <v>335880.34889172</v>
      </c>
    </row>
    <row r="41" customFormat="false" ht="15" hidden="false" customHeight="true" outlineLevel="0" collapsed="false">
      <c r="A41" s="13" t="s">
        <v>315</v>
      </c>
      <c r="B41" s="15" t="s">
        <v>516</v>
      </c>
      <c r="D41" s="56" t="n">
        <f aca="false">SUM(E41:BL41)</f>
        <v>5689141.83267503</v>
      </c>
      <c r="E41" s="33" t="n">
        <f aca="false">E31*Wallet_Share+E40*Sup_Wallet_Share</f>
        <v>0</v>
      </c>
      <c r="F41" s="33" t="n">
        <f aca="false">F31*Wallet_Share+F40*Sup_Wallet_Share</f>
        <v>0</v>
      </c>
      <c r="G41" s="33" t="n">
        <f aca="false">G31*Wallet_Share+G40*Sup_Wallet_Share</f>
        <v>0</v>
      </c>
      <c r="H41" s="33" t="n">
        <f aca="false">H31*Wallet_Share+H40*Sup_Wallet_Share</f>
        <v>0</v>
      </c>
      <c r="I41" s="33" t="n">
        <f aca="false">I31*Wallet_Share+I40*Sup_Wallet_Share</f>
        <v>1376.41</v>
      </c>
      <c r="J41" s="33" t="n">
        <f aca="false">J31*Wallet_Share+J40*Sup_Wallet_Share</f>
        <v>2750.770225</v>
      </c>
      <c r="K41" s="33" t="n">
        <f aca="false">K31*Wallet_Share+K40*Sup_Wallet_Share</f>
        <v>4123.9317951875</v>
      </c>
      <c r="L41" s="33" t="n">
        <f aca="false">L31*Wallet_Share+L40*Sup_Wallet_Share</f>
        <v>5496.78393220016</v>
      </c>
      <c r="M41" s="33" t="n">
        <f aca="false">M31*Wallet_Share+M40*Sup_Wallet_Share</f>
        <v>6870.25644156751</v>
      </c>
      <c r="N41" s="33" t="n">
        <f aca="false">N31*Wallet_Share+N40*Sup_Wallet_Share</f>
        <v>8245.32234082043</v>
      </c>
      <c r="O41" s="33" t="n">
        <f aca="false">O31*Wallet_Share+O40*Sup_Wallet_Share</f>
        <v>9623.00064206683</v>
      </c>
      <c r="P41" s="33" t="n">
        <f aca="false">P31*Wallet_Share+P40*Sup_Wallet_Share</f>
        <v>11004.3592983591</v>
      </c>
      <c r="Q41" s="33" t="n">
        <f aca="false">Q31*Wallet_Share+Q40*Sup_Wallet_Share</f>
        <v>12876.5283237369</v>
      </c>
      <c r="R41" s="33" t="n">
        <f aca="false">R31*Wallet_Share+R40*Sup_Wallet_Share</f>
        <v>14749.2333224219</v>
      </c>
      <c r="S41" s="33" t="n">
        <f aca="false">S31*Wallet_Share+S40*Sup_Wallet_Share</f>
        <v>16623.7788934538</v>
      </c>
      <c r="T41" s="33" t="n">
        <f aca="false">T31*Wallet_Share+T40*Sup_Wallet_Share</f>
        <v>18501.5311673881</v>
      </c>
      <c r="U41" s="33" t="n">
        <f aca="false">U31*Wallet_Share+U40*Sup_Wallet_Share</f>
        <v>20383.9217493107</v>
      </c>
      <c r="V41" s="33" t="n">
        <f aca="false">V31*Wallet_Share+V40*Sup_Wallet_Share</f>
        <v>22272.45189427</v>
      </c>
      <c r="W41" s="33" t="n">
        <f aca="false">W31*Wallet_Share+W40*Sup_Wallet_Share</f>
        <v>25222.3369291456</v>
      </c>
      <c r="X41" s="33" t="n">
        <f aca="false">X31*Wallet_Share+X40*Sup_Wallet_Share</f>
        <v>28179.8148358126</v>
      </c>
      <c r="Y41" s="33" t="n">
        <f aca="false">Y31*Wallet_Share+Y40*Sup_Wallet_Share</f>
        <v>31369.8648396003</v>
      </c>
      <c r="Z41" s="33" t="n">
        <f aca="false">Z31*Wallet_Share+Z40*Sup_Wallet_Share</f>
        <v>34569.8921654446</v>
      </c>
      <c r="AA41" s="33" t="n">
        <f aca="false">AA31*Wallet_Share+AA40*Sup_Wallet_Share</f>
        <v>37782.5506895923</v>
      </c>
      <c r="AB41" s="33" t="n">
        <f aca="false">AB31*Wallet_Share+AB40*Sup_Wallet_Share</f>
        <v>41010.6266070799</v>
      </c>
      <c r="AC41" s="33" t="n">
        <f aca="false">AC31*Wallet_Share+AC40*Sup_Wallet_Share</f>
        <v>45232.7767728117</v>
      </c>
      <c r="AD41" s="33" t="n">
        <f aca="false">AD31*Wallet_Share+AD40*Sup_Wallet_Share</f>
        <v>49465.4264614606</v>
      </c>
      <c r="AE41" s="33" t="n">
        <f aca="false">AE31*Wallet_Share+AE40*Sup_Wallet_Share</f>
        <v>53934.5521233751</v>
      </c>
      <c r="AF41" s="33" t="n">
        <f aca="false">AF31*Wallet_Share+AF40*Sup_Wallet_Share</f>
        <v>58418.6053885985</v>
      </c>
      <c r="AG41" s="33" t="n">
        <f aca="false">AG31*Wallet_Share+AG40*Sup_Wallet_Share</f>
        <v>62921.3388269255</v>
      </c>
      <c r="AH41" s="33" t="n">
        <f aca="false">AH31*Wallet_Share+AH40*Sup_Wallet_Share</f>
        <v>67446.6929076478</v>
      </c>
      <c r="AI41" s="33" t="n">
        <f aca="false">AI31*Wallet_Share+AI40*Sup_Wallet_Share</f>
        <v>72221.4078278984</v>
      </c>
      <c r="AJ41" s="33" t="n">
        <f aca="false">AJ31*Wallet_Share+AJ40*Sup_Wallet_Share</f>
        <v>77024.7445415585</v>
      </c>
      <c r="AK41" s="33" t="n">
        <f aca="false">AK31*Wallet_Share+AK40*Sup_Wallet_Share</f>
        <v>81861.3132546735</v>
      </c>
      <c r="AL41" s="33" t="n">
        <f aca="false">AL31*Wallet_Share+AL40*Sup_Wallet_Share</f>
        <v>86735.9632847056</v>
      </c>
      <c r="AM41" s="33" t="n">
        <f aca="false">AM31*Wallet_Share+AM40*Sup_Wallet_Share</f>
        <v>91876.3979623772</v>
      </c>
      <c r="AN41" s="33" t="n">
        <f aca="false">AN31*Wallet_Share+AN40*Sup_Wallet_Share</f>
        <v>97062.8989185111</v>
      </c>
      <c r="AO41" s="33" t="n">
        <f aca="false">AO31*Wallet_Share+AO40*Sup_Wallet_Share</f>
        <v>102987.508032877</v>
      </c>
      <c r="AP41" s="33" t="n">
        <f aca="false">AP31*Wallet_Share+AP40*Sup_Wallet_Share</f>
        <v>109184.788829103</v>
      </c>
      <c r="AQ41" s="33" t="n">
        <f aca="false">AQ31*Wallet_Share+AQ40*Sup_Wallet_Share</f>
        <v>115436.067363394</v>
      </c>
      <c r="AR41" s="33" t="n">
        <f aca="false">AR31*Wallet_Share+AR40*Sup_Wallet_Share</f>
        <v>121748.134398604</v>
      </c>
      <c r="AS41" s="33" t="n">
        <f aca="false">AS31*Wallet_Share+AS40*Sup_Wallet_Share</f>
        <v>128350.742313462</v>
      </c>
      <c r="AT41" s="33" t="n">
        <f aca="false">AT31*Wallet_Share+AT40*Sup_Wallet_Share</f>
        <v>135026.335975421</v>
      </c>
      <c r="AU41" s="33" t="n">
        <f aca="false">AU31*Wallet_Share+AU40*Sup_Wallet_Share</f>
        <v>141782.891668546</v>
      </c>
      <c r="AV41" s="33" t="n">
        <f aca="false">AV31*Wallet_Share+AV40*Sup_Wallet_Share</f>
        <v>149051.758009151</v>
      </c>
      <c r="AW41" s="33" t="n">
        <f aca="false">AW31*Wallet_Share+AW40*Sup_Wallet_Share</f>
        <v>156350.527902568</v>
      </c>
      <c r="AX41" s="33" t="n">
        <f aca="false">AX31*Wallet_Share+AX40*Sup_Wallet_Share</f>
        <v>163838.153929831</v>
      </c>
      <c r="AY41" s="33" t="n">
        <f aca="false">AY31*Wallet_Share+AY40*Sup_Wallet_Share</f>
        <v>171292.762523749</v>
      </c>
      <c r="AZ41" s="33" t="n">
        <f aca="false">AZ31*Wallet_Share+AZ40*Sup_Wallet_Share</f>
        <v>178717.729617565</v>
      </c>
      <c r="BA41" s="33" t="n">
        <f aca="false">BA31*Wallet_Share+BA40*Sup_Wallet_Share</f>
        <v>187029.224979491</v>
      </c>
      <c r="BB41" s="33" t="n">
        <f aca="false">BB31*Wallet_Share+BB40*Sup_Wallet_Share</f>
        <v>195308.02610091</v>
      </c>
      <c r="BC41" s="33" t="n">
        <f aca="false">BC31*Wallet_Share+BC40*Sup_Wallet_Share</f>
        <v>203780.670177795</v>
      </c>
      <c r="BD41" s="33" t="n">
        <f aca="false">BD31*Wallet_Share+BD40*Sup_Wallet_Share</f>
        <v>212226.163512886</v>
      </c>
      <c r="BE41" s="33" t="n">
        <f aca="false">BE31*Wallet_Share+BE40*Sup_Wallet_Share</f>
        <v>220849.147484623</v>
      </c>
      <c r="BF41" s="33" t="n">
        <f aca="false">BF31*Wallet_Share+BF40*Sup_Wallet_Share</f>
        <v>229674.12336909</v>
      </c>
      <c r="BG41" s="33" t="n">
        <f aca="false">BG31*Wallet_Share+BG40*Sup_Wallet_Share</f>
        <v>238480.706585581</v>
      </c>
      <c r="BH41" s="33" t="n">
        <f aca="false">BH31*Wallet_Share+BH40*Sup_Wallet_Share</f>
        <v>247496.44288924</v>
      </c>
      <c r="BI41" s="33" t="n">
        <f aca="false">BI31*Wallet_Share+BI40*Sup_Wallet_Share</f>
        <v>256701.746174184</v>
      </c>
      <c r="BJ41" s="33" t="n">
        <f aca="false">BJ31*Wallet_Share+BJ40*Sup_Wallet_Share</f>
        <v>266122.06565029</v>
      </c>
      <c r="BK41" s="33" t="n">
        <f aca="false">BK31*Wallet_Share+BK40*Sup_Wallet_Share</f>
        <v>275490.31837803</v>
      </c>
      <c r="BL41" s="33" t="n">
        <f aca="false">BL31*Wallet_Share+BL40*Sup_Wallet_Share</f>
        <v>284980.312445639</v>
      </c>
    </row>
    <row r="42" customFormat="false" ht="15" hidden="false" customHeight="true" outlineLevel="0" collapsed="false">
      <c r="A42" s="13" t="s">
        <v>1239</v>
      </c>
      <c r="B42" s="15" t="s">
        <v>77</v>
      </c>
      <c r="D42" s="56" t="n">
        <f aca="false">SUM(E42:BL42)</f>
        <v>802110072523.251</v>
      </c>
      <c r="E42" s="33" t="n">
        <f aca="false">E39*Wallet_Share+E40*Sup_Wallet_Share*Sup_Avg_Amount</f>
        <v>0</v>
      </c>
      <c r="F42" s="33" t="n">
        <f aca="false">F39*Wallet_Share+F40*Sup_Wallet_Share*Sup_Avg_Amount</f>
        <v>0</v>
      </c>
      <c r="G42" s="33" t="n">
        <f aca="false">G39*Wallet_Share+G40*Sup_Wallet_Share*Sup_Avg_Amount</f>
        <v>0</v>
      </c>
      <c r="H42" s="33" t="n">
        <f aca="false">H39*Wallet_Share+H40*Sup_Wallet_Share*Sup_Avg_Amount</f>
        <v>0</v>
      </c>
      <c r="I42" s="33" t="n">
        <f aca="false">I39*Wallet_Share+I40*Sup_Wallet_Share*Sup_Avg_Amount</f>
        <v>193662000</v>
      </c>
      <c r="J42" s="33" t="n">
        <f aca="false">J39*Wallet_Share+J40*Sup_Wallet_Share*Sup_Avg_Amount</f>
        <v>387068095</v>
      </c>
      <c r="K42" s="33" t="n">
        <f aca="false">K39*Wallet_Share+K40*Sup_Wallet_Share*Sup_Avg_Amount</f>
        <v>580337508.6625</v>
      </c>
      <c r="L42" s="33" t="n">
        <f aca="false">L39*Wallet_Share+L40*Sup_Wallet_Share*Sup_Avg_Amount</f>
        <v>773594854.030344</v>
      </c>
      <c r="M42" s="33" t="n">
        <f aca="false">M39*Wallet_Share+M40*Sup_Wallet_Share*Sup_Avg_Amount</f>
        <v>966970483.270044</v>
      </c>
      <c r="N42" s="33" t="n">
        <f aca="false">N39*Wallet_Share+N40*Sup_Wallet_Share*Sup_Avg_Amount</f>
        <v>1160600857.96315</v>
      </c>
      <c r="O42" s="33" t="n">
        <f aca="false">O39*Wallet_Share+O40*Sup_Wallet_Share*Sup_Avg_Amount</f>
        <v>1354628941.18626</v>
      </c>
      <c r="P42" s="33" t="n">
        <f aca="false">P39*Wallet_Share+P40*Sup_Wallet_Share*Sup_Avg_Amount</f>
        <v>1549204612.69468</v>
      </c>
      <c r="Q42" s="33" t="n">
        <f aca="false">Q39*Wallet_Share+Q40*Sup_Wallet_Share*Sup_Avg_Amount</f>
        <v>1812867108.60328</v>
      </c>
      <c r="R42" s="33" t="n">
        <f aca="false">R39*Wallet_Share+R40*Sup_Wallet_Share*Sup_Avg_Amount</f>
        <v>2076645582.04179</v>
      </c>
      <c r="S42" s="33" t="n">
        <f aca="false">S39*Wallet_Share+S40*Sup_Wallet_Share*Sup_Avg_Amount</f>
        <v>2340723007.01269</v>
      </c>
      <c r="T42" s="33" t="n">
        <f aca="false">T39*Wallet_Share+T40*Sup_Wallet_Share*Sup_Avg_Amount</f>
        <v>2605291055.12146</v>
      </c>
      <c r="U42" s="33" t="n">
        <f aca="false">U39*Wallet_Share+U40*Sup_Wallet_Share*Sup_Avg_Amount</f>
        <v>2870550651.20325</v>
      </c>
      <c r="V42" s="33" t="n">
        <f aca="false">V39*Wallet_Share+V40*Sup_Wallet_Share*Sup_Avg_Amount</f>
        <v>3136712561.73242</v>
      </c>
      <c r="W42" s="33" t="n">
        <f aca="false">W39*Wallet_Share+W40*Sup_Wallet_Share*Sup_Avg_Amount</f>
        <v>3552246017.99182</v>
      </c>
      <c r="X42" s="33" t="n">
        <f aca="false">X39*Wallet_Share+X40*Sup_Wallet_Share*Sup_Avg_Amount</f>
        <v>3968910356.09691</v>
      </c>
      <c r="Y42" s="33" t="n">
        <f aca="false">Y39*Wallet_Share+Y40*Sup_Wallet_Share*Sup_Avg_Amount</f>
        <v>4418359595.24547</v>
      </c>
      <c r="Z42" s="33" t="n">
        <f aca="false">Z39*Wallet_Share+Z40*Sup_Wallet_Share*Sup_Avg_Amount</f>
        <v>4869279054.98683</v>
      </c>
      <c r="AA42" s="33" t="n">
        <f aca="false">AA39*Wallet_Share+AA40*Sup_Wallet_Share*Sup_Avg_Amount</f>
        <v>5322041399.33248</v>
      </c>
      <c r="AB42" s="33" t="n">
        <f aca="false">AB39*Wallet_Share+AB40*Sup_Wallet_Share*Sup_Avg_Amount</f>
        <v>5777037984.22145</v>
      </c>
      <c r="AC42" s="33" t="n">
        <f aca="false">AC39*Wallet_Share+AC40*Sup_Wallet_Share*Sup_Avg_Amount</f>
        <v>6371966033.11128</v>
      </c>
      <c r="AD42" s="33" t="n">
        <f aca="false">AD39*Wallet_Share+AD40*Sup_Wallet_Share*Sup_Avg_Amount</f>
        <v>6968458317.21916</v>
      </c>
      <c r="AE42" s="33" t="n">
        <f aca="false">AE39*Wallet_Share+AE40*Sup_Wallet_Share*Sup_Avg_Amount</f>
        <v>7598308879.22025</v>
      </c>
      <c r="AF42" s="33" t="n">
        <f aca="false">AF39*Wallet_Share+AF40*Sup_Wallet_Share*Sup_Avg_Amount</f>
        <v>8230350009.93873</v>
      </c>
      <c r="AG42" s="33" t="n">
        <f aca="false">AG39*Wallet_Share+AG40*Sup_Wallet_Share*Sup_Avg_Amount</f>
        <v>8865108730.54156</v>
      </c>
      <c r="AH42" s="33" t="n">
        <f aca="false">AH39*Wallet_Share+AH40*Sup_Wallet_Share*Sup_Avg_Amount</f>
        <v>9503138604.02733</v>
      </c>
      <c r="AI42" s="33" t="n">
        <f aca="false">AI39*Wallet_Share+AI40*Sup_Wallet_Share*Sup_Avg_Amount</f>
        <v>10176341402.3434</v>
      </c>
      <c r="AJ42" s="33" t="n">
        <f aca="false">AJ39*Wallet_Share+AJ40*Sup_Wallet_Share*Sup_Avg_Amount</f>
        <v>10853663572.3122</v>
      </c>
      <c r="AK42" s="33" t="n">
        <f aca="false">AK39*Wallet_Share+AK40*Sup_Wallet_Share*Sup_Avg_Amount</f>
        <v>11535753103.5663</v>
      </c>
      <c r="AL42" s="33" t="n">
        <f aca="false">AL39*Wallet_Share+AL40*Sup_Wallet_Share*Sup_Avg_Amount</f>
        <v>12223291748.9257</v>
      </c>
      <c r="AM42" s="33" t="n">
        <f aca="false">AM39*Wallet_Share+AM40*Sup_Wallet_Share*Sup_Avg_Amount</f>
        <v>12948317124.9401</v>
      </c>
      <c r="AN42" s="33" t="n">
        <f aca="false">AN39*Wallet_Share+AN40*Sup_Wallet_Share*Sup_Avg_Amount</f>
        <v>13679919637.2475</v>
      </c>
      <c r="AO42" s="33" t="n">
        <f aca="false">AO39*Wallet_Share+AO40*Sup_Wallet_Share*Sup_Avg_Amount</f>
        <v>14515469835.5106</v>
      </c>
      <c r="AP42" s="33" t="n">
        <f aca="false">AP39*Wallet_Share+AP40*Sup_Wallet_Share*Sup_Avg_Amount</f>
        <v>15389496475.0179</v>
      </c>
      <c r="AQ42" s="33" t="n">
        <f aca="false">AQ39*Wallet_Share+AQ40*Sup_Wallet_Share*Sup_Avg_Amount</f>
        <v>16271236772.6126</v>
      </c>
      <c r="AR42" s="33" t="n">
        <f aca="false">AR39*Wallet_Share+AR40*Sup_Wallet_Share*Sup_Avg_Amount</f>
        <v>17161645778.4339</v>
      </c>
      <c r="AS42" s="33" t="n">
        <f aca="false">AS39*Wallet_Share+AS40*Sup_Wallet_Share*Sup_Avg_Amount</f>
        <v>18093049590.2792</v>
      </c>
      <c r="AT42" s="33" t="n">
        <f aca="false">AT39*Wallet_Share+AT40*Sup_Wallet_Share*Sup_Avg_Amount</f>
        <v>19034843207.5026</v>
      </c>
      <c r="AU42" s="33" t="n">
        <f aca="false">AU39*Wallet_Share+AU40*Sup_Wallet_Share*Sup_Avg_Amount</f>
        <v>19988148869.9229</v>
      </c>
      <c r="AV42" s="33" t="n">
        <f aca="false">AV39*Wallet_Share+AV40*Sup_Wallet_Share*Sup_Avg_Amount</f>
        <v>21013657837.1574</v>
      </c>
      <c r="AW42" s="33" t="n">
        <f aca="false">AW39*Wallet_Share+AW40*Sup_Wallet_Share*Sup_Avg_Amount</f>
        <v>22043505385.5963</v>
      </c>
      <c r="AX42" s="33" t="n">
        <f aca="false">AX39*Wallet_Share+AX40*Sup_Wallet_Share*Sup_Avg_Amount</f>
        <v>23100055074.2576</v>
      </c>
      <c r="AY42" s="33" t="n">
        <f aca="false">AY39*Wallet_Share+AY40*Sup_Wallet_Share*Sup_Avg_Amount</f>
        <v>24152091687.7388</v>
      </c>
      <c r="AZ42" s="33" t="n">
        <f aca="false">AZ39*Wallet_Share+AZ40*Sup_Wallet_Share*Sup_Avg_Amount</f>
        <v>25200087522.0416</v>
      </c>
      <c r="BA42" s="33" t="n">
        <f aca="false">BA39*Wallet_Share+BA40*Sup_Wallet_Share*Sup_Avg_Amount</f>
        <v>26372945825.1677</v>
      </c>
      <c r="BB42" s="33" t="n">
        <f aca="false">BB39*Wallet_Share+BB40*Sup_Wallet_Share*Sup_Avg_Amount</f>
        <v>27541350340.0974</v>
      </c>
      <c r="BC42" s="33" t="n">
        <f aca="false">BC39*Wallet_Share+BC40*Sup_Wallet_Share*Sup_Avg_Amount</f>
        <v>28737172140.678</v>
      </c>
      <c r="BD42" s="33" t="n">
        <f aca="false">BD39*Wallet_Share+BD40*Sup_Wallet_Share*Sup_Avg_Amount</f>
        <v>29929319735.8323</v>
      </c>
      <c r="BE42" s="33" t="n">
        <f aca="false">BE39*Wallet_Share+BE40*Sup_Wallet_Share*Sup_Avg_Amount</f>
        <v>31146583580.3485</v>
      </c>
      <c r="BF42" s="33" t="n">
        <f aca="false">BF39*Wallet_Share+BF40*Sup_Wallet_Share*Sup_Avg_Amount</f>
        <v>32392413145.4476</v>
      </c>
      <c r="BG42" s="33" t="n">
        <f aca="false">BG39*Wallet_Share+BG40*Sup_Wallet_Share*Sup_Avg_Amount</f>
        <v>33635802813.038</v>
      </c>
      <c r="BH42" s="33" t="n">
        <f aca="false">BH39*Wallet_Share+BH40*Sup_Wallet_Share*Sup_Avg_Amount</f>
        <v>34908765883.8523</v>
      </c>
      <c r="BI42" s="33" t="n">
        <f aca="false">BI39*Wallet_Share+BI40*Sup_Wallet_Share*Sup_Avg_Amount</f>
        <v>36208549418.5359</v>
      </c>
      <c r="BJ42" s="33" t="n">
        <f aca="false">BJ39*Wallet_Share+BJ40*Sup_Wallet_Share*Sup_Avg_Amount</f>
        <v>37538736480.1484</v>
      </c>
      <c r="BK42" s="33" t="n">
        <f aca="false">BK39*Wallet_Share+BK40*Sup_Wallet_Share*Sup_Avg_Amount</f>
        <v>38861751189.7011</v>
      </c>
      <c r="BL42" s="33" t="n">
        <f aca="false">BL39*Wallet_Share+BL40*Sup_Wallet_Share*Sup_Avg_Amount</f>
        <v>40202045044.5418</v>
      </c>
    </row>
    <row r="43" customFormat="false" ht="15" hidden="false" customHeight="true" outlineLevel="0" collapsed="false">
      <c r="A43" s="13" t="s">
        <v>990</v>
      </c>
      <c r="B43" s="15" t="s">
        <v>516</v>
      </c>
      <c r="D43" s="56" t="n">
        <f aca="false">SUM(E43:BL43)</f>
        <v>302584.407486084</v>
      </c>
      <c r="E43" s="33" t="n">
        <f aca="false">(E14*Overage_Petite+E15*Overage_Moyenne+E16*Overage_Grande)*(1-Sup_Wallet_Share)</f>
        <v>0</v>
      </c>
      <c r="F43" s="33" t="n">
        <f aca="false">(F14*Overage_Petite+F15*Overage_Moyenne+F16*Overage_Grande)*(1-Sup_Wallet_Share)</f>
        <v>0</v>
      </c>
      <c r="G43" s="33" t="n">
        <f aca="false">(G14*Overage_Petite+G15*Overage_Moyenne+G16*Overage_Grande)*(1-Sup_Wallet_Share)</f>
        <v>0</v>
      </c>
      <c r="H43" s="33" t="n">
        <f aca="false">(H14*Overage_Petite+H15*Overage_Moyenne+H16*Overage_Grande)*(1-Sup_Wallet_Share)</f>
        <v>0</v>
      </c>
      <c r="I43" s="33" t="n">
        <f aca="false">(I14*Overage_Petite+I15*Overage_Moyenne+I16*Overage_Grande)*(1-Sup_Wallet_Share)</f>
        <v>74.2</v>
      </c>
      <c r="J43" s="33" t="n">
        <f aca="false">(J14*Overage_Petite+J15*Overage_Moyenne+J16*Overage_Grande)*(1-Sup_Wallet_Share)</f>
        <v>148.20734</v>
      </c>
      <c r="K43" s="33" t="n">
        <f aca="false">(K14*Overage_Petite+K15*Overage_Moyenne+K16*Overage_Grande)*(1-Sup_Wallet_Share)</f>
        <v>222.06933045</v>
      </c>
      <c r="L43" s="33" t="n">
        <f aca="false">(L14*Overage_Petite+L15*Overage_Moyenne+L16*Overage_Grande)*(1-Sup_Wallet_Share)</f>
        <v>295.835261102875</v>
      </c>
      <c r="M43" s="33" t="n">
        <f aca="false">(M14*Overage_Petite+M15*Overage_Moyenne+M16*Overage_Grande)*(1-Sup_Wallet_Share)</f>
        <v>369.556533787163</v>
      </c>
      <c r="N43" s="33" t="n">
        <f aca="false">(N14*Overage_Petite+N15*Overage_Moyenne+N16*Overage_Grande)*(1-Sup_Wallet_Share)</f>
        <v>443.286802899545</v>
      </c>
      <c r="O43" s="33" t="n">
        <f aca="false">(O14*Overage_Petite+O15*Overage_Moyenne+O16*Overage_Grande)*(1-Sup_Wallet_Share)</f>
        <v>517.082124084757</v>
      </c>
      <c r="P43" s="33" t="n">
        <f aca="false">(P14*Overage_Petite+P15*Overage_Moyenne+P16*Overage_Grande)*(1-Sup_Wallet_Share)</f>
        <v>591.001111598658</v>
      </c>
      <c r="Q43" s="33" t="n">
        <f aca="false">(Q14*Overage_Petite+Q15*Overage_Moyenne+Q16*Overage_Grande)*(1-Sup_Wallet_Share)</f>
        <v>691.305104879814</v>
      </c>
      <c r="R43" s="33" t="n">
        <f aca="false">(R14*Overage_Petite+R15*Overage_Moyenne+R16*Overage_Grande)*(1-Sup_Wallet_Share)</f>
        <v>791.536084886427</v>
      </c>
      <c r="S43" s="33" t="n">
        <f aca="false">(S14*Overage_Petite+S15*Overage_Moyenne+S16*Overage_Grande)*(1-Sup_Wallet_Share)</f>
        <v>891.765959238754</v>
      </c>
      <c r="T43" s="33" t="n">
        <f aca="false">(T14*Overage_Petite+T15*Overage_Moyenne+T16*Overage_Grande)*(1-Sup_Wallet_Share)</f>
        <v>992.069848295339</v>
      </c>
      <c r="U43" s="33" t="n">
        <f aca="false">(U14*Overage_Petite+U15*Overage_Moyenne+U16*Overage_Grande)*(1-Sup_Wallet_Share)</f>
        <v>1092.52629573976</v>
      </c>
      <c r="V43" s="33" t="n">
        <f aca="false">(V14*Overage_Petite+V15*Overage_Moyenne+V16*Overage_Grande)*(1-Sup_Wallet_Share)</f>
        <v>1193.21749149063</v>
      </c>
      <c r="W43" s="33" t="n">
        <f aca="false">(W14*Overage_Petite+W15*Overage_Moyenne+W16*Overage_Grande)*(1-Sup_Wallet_Share)</f>
        <v>1351.02950767993</v>
      </c>
      <c r="X43" s="33" t="n">
        <f aca="false">(X14*Overage_Petite+X15*Overage_Moyenne+X16*Overage_Grande)*(1-Sup_Wallet_Share)</f>
        <v>1509.09390848955</v>
      </c>
      <c r="Y43" s="33" t="n">
        <f aca="false">(Y14*Overage_Petite+Y15*Overage_Moyenne+Y16*Overage_Grande)*(1-Sup_Wallet_Share)</f>
        <v>1679.54097848283</v>
      </c>
      <c r="Z43" s="33" t="n">
        <f aca="false">(Z14*Overage_Petite+Z15*Overage_Moyenne+Z16*Overage_Grande)*(1-Sup_Wallet_Share)</f>
        <v>1850.359560185</v>
      </c>
      <c r="AA43" s="33" t="n">
        <f aca="false">(AA14*Overage_Petite+AA15*Overage_Moyenne+AA16*Overage_Grande)*(1-Sup_Wallet_Share)</f>
        <v>2021.69474735487</v>
      </c>
      <c r="AB43" s="33" t="n">
        <f aca="false">(AB14*Overage_Petite+AB15*Overage_Moyenne+AB16*Overage_Grande)*(1-Sup_Wallet_Share)</f>
        <v>2193.69857406187</v>
      </c>
      <c r="AC43" s="33" t="n">
        <f aca="false">(AC14*Overage_Petite+AC15*Overage_Moyenne+AC16*Overage_Grande)*(1-Sup_Wallet_Share)</f>
        <v>2419.13045956198</v>
      </c>
      <c r="AD43" s="33" t="n">
        <f aca="false">(AD14*Overage_Petite+AD15*Overage_Moyenne+AD16*Overage_Grande)*(1-Sup_Wallet_Share)</f>
        <v>2644.91069936934</v>
      </c>
      <c r="AE43" s="33" t="n">
        <f aca="false">(AE14*Overage_Petite+AE15*Overage_Moyenne+AE16*Overage_Grande)*(1-Sup_Wallet_Share)</f>
        <v>2883.22411595428</v>
      </c>
      <c r="AF43" s="33" t="n">
        <f aca="false">(AF14*Overage_Petite+AF15*Overage_Moyenne+AF16*Overage_Grande)*(1-Sup_Wallet_Share)</f>
        <v>3122.11666834085</v>
      </c>
      <c r="AG43" s="33" t="n">
        <f aca="false">(AG14*Overage_Petite+AG15*Overage_Moyenne+AG16*Overage_Grande)*(1-Sup_Wallet_Share)</f>
        <v>3361.79331118365</v>
      </c>
      <c r="AH43" s="33" t="n">
        <f aca="false">(AH14*Overage_Petite+AH15*Overage_Moyenne+AH16*Overage_Grande)*(1-Sup_Wallet_Share)</f>
        <v>3602.46885940575</v>
      </c>
      <c r="AI43" s="33" t="n">
        <f aca="false">(AI14*Overage_Petite+AI15*Overage_Moyenne+AI16*Overage_Grande)*(1-Sup_Wallet_Share)</f>
        <v>3856.36861898015</v>
      </c>
      <c r="AJ43" s="33" t="n">
        <f aca="false">(AJ14*Overage_Petite+AJ15*Overage_Moyenne+AJ16*Overage_Grande)*(1-Sup_Wallet_Share)</f>
        <v>4111.58145487568</v>
      </c>
      <c r="AK43" s="33" t="n">
        <f aca="false">(AK14*Overage_Petite+AK15*Overage_Moyenne+AK16*Overage_Grande)*(1-Sup_Wallet_Share)</f>
        <v>4368.35779540961</v>
      </c>
      <c r="AL43" s="33" t="n">
        <f aca="false">(AL14*Overage_Petite+AL15*Overage_Moyenne+AL16*Overage_Grande)*(1-Sup_Wallet_Share)</f>
        <v>4626.9606508814</v>
      </c>
      <c r="AM43" s="33" t="n">
        <f aca="false">(AM14*Overage_Petite+AM15*Overage_Moyenne+AM16*Overage_Grande)*(1-Sup_Wallet_Share)</f>
        <v>4899.66640759287</v>
      </c>
      <c r="AN43" s="33" t="n">
        <f aca="false">(AN14*Overage_Petite+AN15*Overage_Moyenne+AN16*Overage_Grande)*(1-Sup_Wallet_Share)</f>
        <v>5174.61806883033</v>
      </c>
      <c r="AO43" s="33" t="n">
        <f aca="false">(AO14*Overage_Petite+AO15*Overage_Moyenne+AO16*Overage_Grande)*(1-Sup_Wallet_Share)</f>
        <v>5489.1234426388</v>
      </c>
      <c r="AP43" s="33" t="n">
        <f aca="false">(AP14*Overage_Petite+AP15*Overage_Moyenne+AP16*Overage_Grande)*(1-Sup_Wallet_Share)</f>
        <v>5818.05125488555</v>
      </c>
      <c r="AQ43" s="33" t="n">
        <f aca="false">(AQ14*Overage_Petite+AQ15*Overage_Moyenne+AQ16*Overage_Grande)*(1-Sup_Wallet_Share)</f>
        <v>6149.60121512882</v>
      </c>
      <c r="AR43" s="33" t="n">
        <f aca="false">(AR14*Overage_Petite+AR15*Overage_Moyenne+AR16*Overage_Grande)*(1-Sup_Wallet_Share)</f>
        <v>6484.14070401796</v>
      </c>
      <c r="AS43" s="33" t="n">
        <f aca="false">(AS14*Overage_Petite+AS15*Overage_Moyenne+AS16*Overage_Grande)*(1-Sup_Wallet_Share)</f>
        <v>6834.05616693609</v>
      </c>
      <c r="AT43" s="33" t="n">
        <f aca="false">(AT14*Overage_Petite+AT15*Overage_Moyenne+AT16*Overage_Grande)*(1-Sup_Wallet_Share)</f>
        <v>7187.60670538316</v>
      </c>
      <c r="AU43" s="33" t="n">
        <f aca="false">(AU14*Overage_Petite+AU15*Overage_Moyenne+AU16*Overage_Grande)*(1-Sup_Wallet_Share)</f>
        <v>7545.22263601855</v>
      </c>
      <c r="AV43" s="33" t="n">
        <f aca="false">(AV14*Overage_Petite+AV15*Overage_Moyenne+AV16*Overage_Grande)*(1-Sup_Wallet_Share)</f>
        <v>7930.15709711548</v>
      </c>
      <c r="AW43" s="33" t="n">
        <f aca="false">(AW14*Overage_Petite+AW15*Overage_Moyenne+AW16*Overage_Grande)*(1-Sup_Wallet_Share)</f>
        <v>8316.37841027774</v>
      </c>
      <c r="AX43" s="33" t="n">
        <f aca="false">(AX14*Overage_Petite+AX15*Overage_Moyenne+AX16*Overage_Grande)*(1-Sup_Wallet_Share)</f>
        <v>8712.45874668445</v>
      </c>
      <c r="AY43" s="33" t="n">
        <f aca="false">(AY14*Overage_Petite+AY15*Overage_Moyenne+AY16*Overage_Grande)*(1-Sup_Wallet_Share)</f>
        <v>9106.4310218611</v>
      </c>
      <c r="AZ43" s="33" t="n">
        <f aca="false">(AZ14*Overage_Petite+AZ15*Overage_Moyenne+AZ16*Overage_Grande)*(1-Sup_Wallet_Share)</f>
        <v>9498.48432123684</v>
      </c>
      <c r="BA43" s="33" t="n">
        <f aca="false">(BA14*Overage_Petite+BA15*Overage_Moyenne+BA16*Overage_Grande)*(1-Sup_Wallet_Share)</f>
        <v>9938.01462724562</v>
      </c>
      <c r="BB43" s="33" t="n">
        <f aca="false">(BB14*Overage_Petite+BB15*Overage_Moyenne+BB16*Overage_Grande)*(1-Sup_Wallet_Share)</f>
        <v>10375.4201437707</v>
      </c>
      <c r="BC43" s="33" t="n">
        <f aca="false">(BC14*Overage_Petite+BC15*Overage_Moyenne+BC16*Overage_Grande)*(1-Sup_Wallet_Share)</f>
        <v>10822.9207261354</v>
      </c>
      <c r="BD43" s="33" t="n">
        <f aca="false">(BD14*Overage_Petite+BD15*Overage_Moyenne+BD16*Overage_Grande)*(1-Sup_Wallet_Share)</f>
        <v>11268.5969278731</v>
      </c>
      <c r="BE43" s="33" t="n">
        <f aca="false">(BE14*Overage_Petite+BE15*Overage_Moyenne+BE16*Overage_Grande)*(1-Sup_Wallet_Share)</f>
        <v>11723.4878732747</v>
      </c>
      <c r="BF43" s="33" t="n">
        <f aca="false">(BF14*Overage_Petite+BF15*Overage_Moyenne+BF16*Overage_Grande)*(1-Sup_Wallet_Share)</f>
        <v>12188.9092956255</v>
      </c>
      <c r="BG43" s="33" t="n">
        <f aca="false">(BG14*Overage_Petite+BG15*Overage_Moyenne+BG16*Overage_Grande)*(1-Sup_Wallet_Share)</f>
        <v>12652.9741490326</v>
      </c>
      <c r="BH43" s="33" t="n">
        <f aca="false">(BH14*Overage_Petite+BH15*Overage_Moyenne+BH16*Overage_Grande)*(1-Sup_Wallet_Share)</f>
        <v>13127.9558298339</v>
      </c>
      <c r="BI43" s="33" t="n">
        <f aca="false">(BI14*Overage_Petite+BI15*Overage_Moyenne+BI16*Overage_Grande)*(1-Sup_Wallet_Share)</f>
        <v>13612.7915680773</v>
      </c>
      <c r="BJ43" s="33" t="n">
        <f aca="false">(BJ14*Overage_Petite+BJ15*Overage_Moyenne+BJ16*Overage_Grande)*(1-Sup_Wallet_Share)</f>
        <v>14108.8476490719</v>
      </c>
      <c r="BK43" s="33" t="n">
        <f aca="false">(BK14*Overage_Petite+BK15*Overage_Moyenne+BK16*Overage_Grande)*(1-Sup_Wallet_Share)</f>
        <v>14601.7189978231</v>
      </c>
      <c r="BL43" s="33" t="n">
        <f aca="false">(BL14*Overage_Petite+BL15*Overage_Moyenne+BL16*Overage_Grande)*(1-Sup_Wallet_Share)</f>
        <v>15100.7843010421</v>
      </c>
    </row>
    <row r="44" customFormat="false" ht="15" hidden="false" customHeight="true" outlineLevel="0" collapsed="false">
      <c r="A44" s="13" t="s">
        <v>1240</v>
      </c>
      <c r="B44" s="15" t="s">
        <v>511</v>
      </c>
      <c r="D44" s="56" t="n">
        <f aca="false">BL44</f>
        <v>5165.78542179916</v>
      </c>
      <c r="E44" s="33" t="n">
        <f aca="false">E14*MAX(0,Users_Petite-Users_Incl_Petite)+E15*MAX(0,Users_Moyenne-Users_Incl_Moyenne)+E16*MAX(0,Users_Grande-Users_Incl_Grande)</f>
        <v>0</v>
      </c>
      <c r="F44" s="33" t="n">
        <f aca="false">F14*MAX(0,Users_Petite-Users_Incl_Petite)+F15*MAX(0,Users_Moyenne-Users_Incl_Moyenne)+F16*MAX(0,Users_Grande-Users_Incl_Grande)</f>
        <v>0</v>
      </c>
      <c r="G44" s="33" t="n">
        <f aca="false">G14*MAX(0,Users_Petite-Users_Incl_Petite)+G15*MAX(0,Users_Moyenne-Users_Incl_Moyenne)+G16*MAX(0,Users_Grande-Users_Incl_Grande)</f>
        <v>0</v>
      </c>
      <c r="H44" s="33" t="n">
        <f aca="false">H14*MAX(0,Users_Petite-Users_Incl_Petite)+H15*MAX(0,Users_Moyenne-Users_Incl_Moyenne)+H16*MAX(0,Users_Grande-Users_Incl_Grande)</f>
        <v>0</v>
      </c>
      <c r="I44" s="33" t="n">
        <f aca="false">I14*MAX(0,Users_Petite-Users_Incl_Petite)+I15*MAX(0,Users_Moyenne-Users_Incl_Moyenne)+I16*MAX(0,Users_Grande-Users_Incl_Grande)</f>
        <v>24.7333333333333</v>
      </c>
      <c r="J44" s="33" t="n">
        <f aca="false">J14*MAX(0,Users_Petite-Users_Incl_Petite)+J15*MAX(0,Users_Moyenne-Users_Incl_Moyenne)+J16*MAX(0,Users_Grande-Users_Incl_Grande)</f>
        <v>49.4469666666667</v>
      </c>
      <c r="K44" s="33" t="n">
        <f aca="false">K14*MAX(0,Users_Petite-Users_Incl_Petite)+K15*MAX(0,Users_Moyenne-Users_Incl_Moyenne)+K16*MAX(0,Users_Grande-Users_Incl_Grande)</f>
        <v>74.15565525</v>
      </c>
      <c r="L44" s="33" t="n">
        <f aca="false">L14*MAX(0,Users_Petite-Users_Incl_Petite)+L15*MAX(0,Users_Moyenne-Users_Incl_Moyenne)+L16*MAX(0,Users_Grande-Users_Incl_Grande)</f>
        <v>98.8748618752084</v>
      </c>
      <c r="M44" s="33" t="n">
        <f aca="false">M14*MAX(0,Users_Petite-Users_Incl_Petite)+M15*MAX(0,Users_Moyenne-Users_Incl_Moyenne)+M16*MAX(0,Users_Grande-Users_Incl_Grande)</f>
        <v>123.6208013899</v>
      </c>
      <c r="N44" s="33" t="n">
        <f aca="false">N14*MAX(0,Users_Petite-Users_Incl_Petite)+N15*MAX(0,Users_Moyenne-Users_Incl_Moyenne)+N16*MAX(0,Users_Grande-Users_Incl_Grande)</f>
        <v>148.410487857543</v>
      </c>
      <c r="O44" s="33" t="n">
        <f aca="false">O14*MAX(0,Users_Petite-Users_Incl_Petite)+O15*MAX(0,Users_Moyenne-Users_Incl_Moyenne)+O16*MAX(0,Users_Grande-Users_Incl_Grande)</f>
        <v>173.261784522942</v>
      </c>
      <c r="P44" s="33" t="n">
        <f aca="false">P14*MAX(0,Users_Petite-Users_Incl_Petite)+P15*MAX(0,Users_Moyenne-Users_Incl_Moyenne)+P16*MAX(0,Users_Grande-Users_Incl_Grande)</f>
        <v>198.193456751671</v>
      </c>
      <c r="Q44" s="33" t="n">
        <f aca="false">Q14*MAX(0,Users_Petite-Users_Incl_Petite)+Q15*MAX(0,Users_Moyenne-Users_Incl_Moyenne)+Q16*MAX(0,Users_Grande-Users_Incl_Grande)</f>
        <v>231.958561455526</v>
      </c>
      <c r="R44" s="33" t="n">
        <f aca="false">R14*MAX(0,Users_Petite-Users_Incl_Petite)+R15*MAX(0,Users_Moyenne-Users_Incl_Moyenne)+R16*MAX(0,Users_Grande-Users_Incl_Grande)</f>
        <v>265.752806526786</v>
      </c>
      <c r="S44" s="33" t="n">
        <f aca="false">S14*MAX(0,Users_Petite-Users_Incl_Petite)+S15*MAX(0,Users_Moyenne-Users_Incl_Moyenne)+S16*MAX(0,Users_Grande-Users_Incl_Grande)</f>
        <v>299.59902906542</v>
      </c>
      <c r="T44" s="33" t="n">
        <f aca="false">T14*MAX(0,Users_Petite-Users_Incl_Petite)+T15*MAX(0,Users_Moyenne-Users_Incl_Moyenne)+T16*MAX(0,Users_Grande-Users_Incl_Grande)</f>
        <v>333.521201820642</v>
      </c>
      <c r="U44" s="33" t="n">
        <f aca="false">U14*MAX(0,Users_Petite-Users_Incl_Petite)+U15*MAX(0,Users_Moyenne-Users_Incl_Moyenne)+U16*MAX(0,Users_Grande-Users_Incl_Grande)</f>
        <v>367.544504044336</v>
      </c>
      <c r="V44" s="33" t="n">
        <f aca="false">V14*MAX(0,Users_Petite-Users_Incl_Petite)+V15*MAX(0,Users_Moyenne-Users_Incl_Moyenne)+V16*MAX(0,Users_Grande-Users_Incl_Grande)</f>
        <v>401.695396563388</v>
      </c>
      <c r="W44" s="33" t="n">
        <f aca="false">W14*MAX(0,Users_Petite-Users_Incl_Petite)+W15*MAX(0,Users_Moyenne-Users_Incl_Moyenne)+W16*MAX(0,Users_Grande-Users_Incl_Grande)</f>
        <v>454.935034657793</v>
      </c>
      <c r="X44" s="33" t="n">
        <f aca="false">X14*MAX(0,Users_Petite-Users_Incl_Petite)+X15*MAX(0,Users_Moyenne-Users_Incl_Moyenne)+X16*MAX(0,Users_Grande-Users_Incl_Grande)</f>
        <v>508.340552346581</v>
      </c>
      <c r="Y44" s="33" t="n">
        <f aca="false">Y14*MAX(0,Users_Petite-Users_Incl_Petite)+Y15*MAX(0,Users_Moyenne-Users_Incl_Moyenne)+Y16*MAX(0,Users_Grande-Users_Incl_Grande)</f>
        <v>565.953862699776</v>
      </c>
      <c r="Z44" s="33" t="n">
        <f aca="false">Z14*MAX(0,Users_Petite-Users_Incl_Petite)+Z15*MAX(0,Users_Moyenne-Users_Incl_Moyenne)+Z16*MAX(0,Users_Grande-Users_Incl_Grande)</f>
        <v>623.777038287467</v>
      </c>
      <c r="AA44" s="33" t="n">
        <f aca="false">AA14*MAX(0,Users_Petite-Users_Incl_Petite)+AA15*MAX(0,Users_Moyenne-Users_Incl_Moyenne)+AA16*MAX(0,Users_Grande-Users_Incl_Grande)</f>
        <v>681.85690985922</v>
      </c>
      <c r="AB44" s="33" t="n">
        <f aca="false">AB14*MAX(0,Users_Petite-Users_Incl_Petite)+AB15*MAX(0,Users_Moyenne-Users_Incl_Moyenne)+AB16*MAX(0,Users_Grande-Users_Incl_Grande)</f>
        <v>740.242737632867</v>
      </c>
      <c r="AC44" s="33" t="n">
        <f aca="false">AC14*MAX(0,Users_Petite-Users_Incl_Petite)+AC15*MAX(0,Users_Moyenne-Users_Incl_Moyenne)+AC16*MAX(0,Users_Grande-Users_Incl_Grande)</f>
        <v>816.519694793586</v>
      </c>
      <c r="AD44" s="33" t="n">
        <f aca="false">AD14*MAX(0,Users_Petite-Users_Incl_Petite)+AD15*MAX(0,Users_Moyenne-Users_Incl_Moyenne)+AD16*MAX(0,Users_Grande-Users_Incl_Grande)</f>
        <v>893.024926617285</v>
      </c>
      <c r="AE44" s="33" t="n">
        <f aca="false">AE14*MAX(0,Users_Petite-Users_Incl_Petite)+AE15*MAX(0,Users_Moyenne-Users_Incl_Moyenne)+AE16*MAX(0,Users_Grande-Users_Incl_Grande)</f>
        <v>973.817957339741</v>
      </c>
      <c r="AF44" s="33" t="n">
        <f aca="false">AF14*MAX(0,Users_Petite-Users_Incl_Petite)+AF15*MAX(0,Users_Moyenne-Users_Incl_Moyenne)+AF16*MAX(0,Users_Grande-Users_Incl_Grande)</f>
        <v>1054.91937375289</v>
      </c>
      <c r="AG44" s="33" t="n">
        <f aca="false">AG14*MAX(0,Users_Petite-Users_Incl_Petite)+AG15*MAX(0,Users_Moyenne-Users_Incl_Moyenne)+AG16*MAX(0,Users_Grande-Users_Incl_Grande)</f>
        <v>1136.39547983982</v>
      </c>
      <c r="AH44" s="33" t="n">
        <f aca="false">AH14*MAX(0,Users_Petite-Users_Incl_Petite)+AH15*MAX(0,Users_Moyenne-Users_Incl_Moyenne)+AH16*MAX(0,Users_Grande-Users_Incl_Grande)</f>
        <v>1218.31602735538</v>
      </c>
      <c r="AI44" s="33" t="n">
        <f aca="false">AI14*MAX(0,Users_Petite-Users_Incl_Petite)+AI15*MAX(0,Users_Moyenne-Users_Incl_Moyenne)+AI16*MAX(0,Users_Grande-Users_Incl_Grande)</f>
        <v>1304.75442882057</v>
      </c>
      <c r="AJ44" s="33" t="n">
        <f aca="false">AJ14*MAX(0,Users_Petite-Users_Incl_Petite)+AJ15*MAX(0,Users_Moyenne-Users_Incl_Moyenne)+AJ16*MAX(0,Users_Grande-Users_Incl_Grande)</f>
        <v>1391.74598322362</v>
      </c>
      <c r="AK44" s="33" t="n">
        <f aca="false">AK14*MAX(0,Users_Petite-Users_Incl_Petite)+AK15*MAX(0,Users_Moyenne-Users_Incl_Moyenne)+AK16*MAX(0,Users_Grande-Users_Incl_Grande)</f>
        <v>1479.37258019134</v>
      </c>
      <c r="AL44" s="33" t="n">
        <f aca="false">AL14*MAX(0,Users_Petite-Users_Incl_Petite)+AL15*MAX(0,Users_Moyenne-Users_Incl_Moyenne)+AL16*MAX(0,Users_Grande-Users_Incl_Grande)</f>
        <v>1567.72048307702</v>
      </c>
      <c r="AM44" s="33" t="n">
        <f aca="false">AM14*MAX(0,Users_Petite-Users_Incl_Petite)+AM15*MAX(0,Users_Moyenne-Users_Incl_Moyenne)+AM16*MAX(0,Users_Grande-Users_Incl_Grande)</f>
        <v>1660.88059761144</v>
      </c>
      <c r="AN44" s="33" t="n">
        <f aca="false">AN14*MAX(0,Users_Petite-Users_Incl_Petite)+AN15*MAX(0,Users_Moyenne-Users_Incl_Moyenne)+AN16*MAX(0,Users_Grande-Users_Incl_Grande)</f>
        <v>1754.90675659888</v>
      </c>
      <c r="AO44" s="33" t="n">
        <f aca="false">AO14*MAX(0,Users_Petite-Users_Incl_Petite)+AO15*MAX(0,Users_Moyenne-Users_Incl_Moyenne)+AO16*MAX(0,Users_Grande-Users_Incl_Grande)</f>
        <v>1862.2338199552</v>
      </c>
      <c r="AP44" s="33" t="n">
        <f aca="false">AP14*MAX(0,Users_Petite-Users_Incl_Petite)+AP15*MAX(0,Users_Moyenne-Users_Incl_Moyenne)+AP16*MAX(0,Users_Grande-Users_Incl_Grande)</f>
        <v>1974.50602408025</v>
      </c>
      <c r="AQ44" s="33" t="n">
        <f aca="false">AQ14*MAX(0,Users_Petite-Users_Incl_Petite)+AQ15*MAX(0,Users_Moyenne-Users_Incl_Moyenne)+AQ16*MAX(0,Users_Grande-Users_Incl_Grande)</f>
        <v>2087.79575451912</v>
      </c>
      <c r="AR44" s="33" t="n">
        <f aca="false">AR14*MAX(0,Users_Petite-Users_Incl_Petite)+AR15*MAX(0,Users_Moyenne-Users_Incl_Moyenne)+AR16*MAX(0,Users_Grande-Users_Incl_Grande)</f>
        <v>2202.2240865154</v>
      </c>
      <c r="AS44" s="33" t="n">
        <f aca="false">AS14*MAX(0,Users_Petite-Users_Incl_Petite)+AS15*MAX(0,Users_Moyenne-Users_Incl_Moyenne)+AS16*MAX(0,Users_Grande-Users_Incl_Grande)</f>
        <v>2321.91869549208</v>
      </c>
      <c r="AT44" s="33" t="n">
        <f aca="false">AT14*MAX(0,Users_Petite-Users_Incl_Petite)+AT15*MAX(0,Users_Moyenne-Users_Incl_Moyenne)+AT16*MAX(0,Users_Grande-Users_Incl_Grande)</f>
        <v>2442.97226072176</v>
      </c>
      <c r="AU44" s="33" t="n">
        <f aca="false">AU14*MAX(0,Users_Petite-Users_Incl_Petite)+AU15*MAX(0,Users_Moyenne-Users_Incl_Moyenne)+AU16*MAX(0,Users_Grande-Users_Incl_Grande)</f>
        <v>2565.52735812624</v>
      </c>
      <c r="AV44" s="33" t="n">
        <f aca="false">AV14*MAX(0,Users_Petite-Users_Incl_Petite)+AV15*MAX(0,Users_Moyenne-Users_Incl_Moyenne)+AV16*MAX(0,Users_Grande-Users_Incl_Grande)</f>
        <v>2697.3344432917</v>
      </c>
      <c r="AW44" s="33" t="n">
        <f aca="false">AW14*MAX(0,Users_Petite-Users_Incl_Petite)+AW15*MAX(0,Users_Moyenne-Users_Incl_Moyenne)+AW16*MAX(0,Users_Grande-Users_Incl_Grande)</f>
        <v>2829.72966027554</v>
      </c>
      <c r="AX44" s="33" t="n">
        <f aca="false">AX14*MAX(0,Users_Petite-Users_Incl_Petite)+AX15*MAX(0,Users_Moyenne-Users_Incl_Moyenne)+AX16*MAX(0,Users_Grande-Users_Incl_Grande)</f>
        <v>2965.56787749675</v>
      </c>
      <c r="AY44" s="33" t="n">
        <f aca="false">AY14*MAX(0,Users_Petite-Users_Incl_Petite)+AY15*MAX(0,Users_Moyenne-Users_Incl_Moyenne)+AY16*MAX(0,Users_Grande-Users_Incl_Grande)</f>
        <v>3100.86273567985</v>
      </c>
      <c r="AZ44" s="33" t="n">
        <f aca="false">AZ14*MAX(0,Users_Petite-Users_Incl_Petite)+AZ15*MAX(0,Users_Moyenne-Users_Incl_Moyenne)+AZ16*MAX(0,Users_Grande-Users_Incl_Grande)</f>
        <v>3235.67269472047</v>
      </c>
      <c r="BA44" s="33" t="n">
        <f aca="false">BA14*MAX(0,Users_Petite-Users_Incl_Petite)+BA15*MAX(0,Users_Moyenne-Users_Incl_Moyenne)+BA16*MAX(0,Users_Grande-Users_Incl_Grande)</f>
        <v>3386.45871590908</v>
      </c>
      <c r="BB44" s="33" t="n">
        <f aca="false">BB14*MAX(0,Users_Petite-Users_Incl_Petite)+BB15*MAX(0,Users_Moyenne-Users_Incl_Moyenne)+BB16*MAX(0,Users_Grande-Users_Incl_Grande)</f>
        <v>3536.71222360166</v>
      </c>
      <c r="BC44" s="33" t="n">
        <f aca="false">BC14*MAX(0,Users_Petite-Users_Incl_Petite)+BC15*MAX(0,Users_Moyenne-Users_Incl_Moyenne)+BC16*MAX(0,Users_Grande-Users_Incl_Grande)</f>
        <v>3690.50158295324</v>
      </c>
      <c r="BD44" s="33" t="n">
        <f aca="false">BD14*MAX(0,Users_Petite-Users_Incl_Petite)+BD15*MAX(0,Users_Moyenne-Users_Incl_Moyenne)+BD16*MAX(0,Users_Grande-Users_Incl_Grande)</f>
        <v>3843.85615280333</v>
      </c>
      <c r="BE44" s="33" t="n">
        <f aca="false">BE14*MAX(0,Users_Petite-Users_Incl_Petite)+BE15*MAX(0,Users_Moyenne-Users_Incl_Moyenne)+BE16*MAX(0,Users_Grande-Users_Incl_Grande)</f>
        <v>4000.45094305692</v>
      </c>
      <c r="BF44" s="33" t="n">
        <f aca="false">BF14*MAX(0,Users_Petite-Users_Incl_Petite)+BF15*MAX(0,Users_Moyenne-Users_Incl_Moyenne)+BF16*MAX(0,Users_Grande-Users_Incl_Grande)</f>
        <v>4160.72654809443</v>
      </c>
      <c r="BG44" s="33" t="n">
        <f aca="false">BG14*MAX(0,Users_Petite-Users_Incl_Petite)+BG15*MAX(0,Users_Moyenne-Users_Incl_Moyenne)+BG16*MAX(0,Users_Grande-Users_Incl_Grande)</f>
        <v>4320.72338118482</v>
      </c>
      <c r="BH44" s="33" t="n">
        <f aca="false">BH14*MAX(0,Users_Petite-Users_Incl_Petite)+BH15*MAX(0,Users_Moyenne-Users_Incl_Moyenne)+BH16*MAX(0,Users_Grande-Users_Incl_Grande)</f>
        <v>4484.52814487482</v>
      </c>
      <c r="BI44" s="33" t="n">
        <f aca="false">BI14*MAX(0,Users_Petite-Users_Incl_Petite)+BI15*MAX(0,Users_Moyenne-Users_Incl_Moyenne)+BI16*MAX(0,Users_Grande-Users_Incl_Grande)</f>
        <v>4651.78960297185</v>
      </c>
      <c r="BJ44" s="33" t="n">
        <f aca="false">BJ14*MAX(0,Users_Petite-Users_Incl_Petite)+BJ15*MAX(0,Users_Moyenne-Users_Incl_Moyenne)+BJ16*MAX(0,Users_Grande-Users_Incl_Grande)</f>
        <v>4822.96550234104</v>
      </c>
      <c r="BK44" s="33" t="n">
        <f aca="false">BK14*MAX(0,Users_Petite-Users_Incl_Petite)+BK15*MAX(0,Users_Moyenne-Users_Incl_Moyenne)+BK16*MAX(0,Users_Grande-Users_Incl_Grande)</f>
        <v>4993.25723928075</v>
      </c>
      <c r="BL44" s="33" t="n">
        <f aca="false">BL14*MAX(0,Users_Petite-Users_Incl_Petite)+BL15*MAX(0,Users_Moyenne-Users_Incl_Moyenne)+BL16*MAX(0,Users_Grande-Users_Incl_Grande)</f>
        <v>5165.78542179916</v>
      </c>
    </row>
    <row r="45" customFormat="false" ht="15" hidden="false" customHeight="true" outlineLevel="0" collapsed="false">
      <c r="A45" s="13" t="s">
        <v>1241</v>
      </c>
      <c r="B45" s="15" t="s">
        <v>523</v>
      </c>
      <c r="D45" s="56" t="n">
        <f aca="false">BL45</f>
        <v>2169.51708820174</v>
      </c>
      <c r="E45" s="33" t="n">
        <f aca="false">E14*MAX(0,Cards_New_Petite-Cards_Phys_Incl_Petite)+E15*MAX(0,Cards_New_Moyenne-Cards_Phys_Incl_Moyenne)+E16*MAX(0,Cards_New_Grande-Cards_Phys_Incl_Grande)</f>
        <v>0</v>
      </c>
      <c r="F45" s="33" t="n">
        <f aca="false">F14*MAX(0,Cards_New_Petite-Cards_Phys_Incl_Petite)+F15*MAX(0,Cards_New_Moyenne-Cards_Phys_Incl_Moyenne)+F16*MAX(0,Cards_New_Grande-Cards_Phys_Incl_Grande)</f>
        <v>0</v>
      </c>
      <c r="G45" s="33" t="n">
        <f aca="false">G14*MAX(0,Cards_New_Petite-Cards_Phys_Incl_Petite)+G15*MAX(0,Cards_New_Moyenne-Cards_Phys_Incl_Moyenne)+G16*MAX(0,Cards_New_Grande-Cards_Phys_Incl_Grande)</f>
        <v>0</v>
      </c>
      <c r="H45" s="33" t="n">
        <f aca="false">H14*MAX(0,Cards_New_Petite-Cards_Phys_Incl_Petite)+H15*MAX(0,Cards_New_Moyenne-Cards_Phys_Incl_Moyenne)+H16*MAX(0,Cards_New_Grande-Cards_Phys_Incl_Grande)</f>
        <v>0</v>
      </c>
      <c r="I45" s="33" t="n">
        <f aca="false">I14*MAX(0,Cards_New_Petite-Cards_Phys_Incl_Petite)+I15*MAX(0,Cards_New_Moyenne-Cards_Phys_Incl_Moyenne)+I16*MAX(0,Cards_New_Grande-Cards_Phys_Incl_Grande)</f>
        <v>9.89333333333333</v>
      </c>
      <c r="J45" s="33" t="n">
        <f aca="false">J14*MAX(0,Cards_New_Petite-Cards_Phys_Incl_Petite)+J15*MAX(0,Cards_New_Moyenne-Cards_Phys_Incl_Moyenne)+J16*MAX(0,Cards_New_Grande-Cards_Phys_Incl_Grande)</f>
        <v>19.8084666666667</v>
      </c>
      <c r="K45" s="33" t="n">
        <f aca="false">K14*MAX(0,Cards_New_Petite-Cards_Phys_Incl_Petite)+K15*MAX(0,Cards_New_Moyenne-Cards_Phys_Incl_Moyenne)+K16*MAX(0,Cards_New_Grande-Cards_Phys_Incl_Grande)</f>
        <v>29.7509965</v>
      </c>
      <c r="L45" s="33" t="n">
        <f aca="false">L14*MAX(0,Cards_New_Petite-Cards_Phys_Incl_Petite)+L15*MAX(0,Cards_New_Moyenne-Cards_Phys_Incl_Moyenne)+L16*MAX(0,Cards_New_Grande-Cards_Phys_Incl_Grande)</f>
        <v>39.7268229595833</v>
      </c>
      <c r="M45" s="33" t="n">
        <f aca="false">M14*MAX(0,Cards_New_Petite-Cards_Phys_Incl_Petite)+M15*MAX(0,Cards_New_Moyenne-Cards_Phys_Incl_Moyenne)+M16*MAX(0,Cards_New_Grande-Cards_Phys_Incl_Grande)</f>
        <v>49.7421682567198</v>
      </c>
      <c r="N45" s="33" t="n">
        <f aca="false">N14*MAX(0,Cards_New_Petite-Cards_Phys_Incl_Petite)+N15*MAX(0,Cards_New_Moyenne-Cards_Phys_Incl_Moyenne)+N16*MAX(0,Cards_New_Grande-Cards_Phys_Incl_Grande)</f>
        <v>59.8035962522877</v>
      </c>
      <c r="O45" s="33" t="n">
        <f aca="false">O14*MAX(0,Cards_New_Petite-Cards_Phys_Incl_Petite)+O15*MAX(0,Cards_New_Moyenne-Cards_Phys_Incl_Moyenne)+O16*MAX(0,Cards_New_Grande-Cards_Phys_Incl_Grande)</f>
        <v>69.9180331933385</v>
      </c>
      <c r="P45" s="33" t="n">
        <f aca="false">P14*MAX(0,Cards_New_Petite-Cards_Phys_Incl_Petite)+P15*MAX(0,Cards_New_Moyenne-Cards_Phys_Incl_Moyenne)+P16*MAX(0,Cards_New_Grande-Cards_Phys_Incl_Grande)</f>
        <v>80.092789692108</v>
      </c>
      <c r="Q45" s="33" t="n">
        <f aca="false">Q14*MAX(0,Cards_New_Petite-Cards_Phys_Incl_Petite)+Q15*MAX(0,Cards_New_Moyenne-Cards_Phys_Incl_Moyenne)+Q16*MAX(0,Cards_New_Grande-Cards_Phys_Incl_Grande)</f>
        <v>93.8289173553332</v>
      </c>
      <c r="R45" s="33" t="n">
        <f aca="false">R14*MAX(0,Cards_New_Petite-Cards_Phys_Incl_Petite)+R15*MAX(0,Cards_New_Moyenne-Cards_Phys_Incl_Moyenne)+R16*MAX(0,Cards_New_Grande-Cards_Phys_Incl_Grande)</f>
        <v>107.615033476239</v>
      </c>
      <c r="S45" s="33" t="n">
        <f aca="false">S14*MAX(0,Cards_New_Petite-Cards_Phys_Incl_Petite)+S15*MAX(0,Cards_New_Moyenne-Cards_Phys_Incl_Moyenne)+S16*MAX(0,Cards_New_Grande-Cards_Phys_Incl_Grande)</f>
        <v>121.459943706303</v>
      </c>
      <c r="T45" s="33" t="n">
        <f aca="false">T14*MAX(0,Cards_New_Petite-Cards_Phys_Incl_Petite)+T15*MAX(0,Cards_New_Moyenne-Cards_Phys_Incl_Moyenne)+T16*MAX(0,Cards_New_Grande-Cards_Phys_Incl_Grande)</f>
        <v>135.372938488509</v>
      </c>
      <c r="U45" s="33" t="n">
        <f aca="false">U14*MAX(0,Cards_New_Petite-Cards_Phys_Incl_Petite)+U15*MAX(0,Cards_New_Moyenne-Cards_Phys_Incl_Moyenne)+U16*MAX(0,Cards_New_Grande-Cards_Phys_Incl_Grande)</f>
        <v>149.363822471448</v>
      </c>
      <c r="V45" s="33" t="n">
        <f aca="false">V14*MAX(0,Cards_New_Petite-Cards_Phys_Incl_Petite)+V15*MAX(0,Cards_New_Moyenne-Cards_Phys_Incl_Moyenne)+V16*MAX(0,Cards_New_Grande-Cards_Phys_Incl_Grande)</f>
        <v>163.442945685812</v>
      </c>
      <c r="W45" s="33" t="n">
        <f aca="false">W14*MAX(0,Cards_New_Petite-Cards_Phys_Incl_Petite)+W15*MAX(0,Cards_New_Moyenne-Cards_Phys_Incl_Moyenne)+W16*MAX(0,Cards_New_Grande-Cards_Phys_Incl_Grande)</f>
        <v>185.194569922376</v>
      </c>
      <c r="X45" s="33" t="n">
        <f aca="false">X14*MAX(0,Cards_New_Petite-Cards_Phys_Incl_Petite)+X15*MAX(0,Cards_New_Moyenne-Cards_Phys_Incl_Moyenne)+X16*MAX(0,Cards_New_Grande-Cards_Phys_Incl_Grande)</f>
        <v>207.072103756918</v>
      </c>
      <c r="Y45" s="33" t="n">
        <f aca="false">Y14*MAX(0,Cards_New_Petite-Cards_Phys_Incl_Petite)+Y15*MAX(0,Cards_New_Moyenne-Cards_Phys_Incl_Moyenne)+Y16*MAX(0,Cards_New_Grande-Cards_Phys_Incl_Grande)</f>
        <v>230.691945674238</v>
      </c>
      <c r="Z45" s="33" t="n">
        <f aca="false">Z14*MAX(0,Cards_New_Petite-Cards_Phys_Incl_Petite)+Z15*MAX(0,Cards_New_Moyenne-Cards_Phys_Incl_Moyenne)+Z16*MAX(0,Cards_New_Grande-Cards_Phys_Incl_Grande)</f>
        <v>254.459411738908</v>
      </c>
      <c r="AA45" s="33" t="n">
        <f aca="false">AA14*MAX(0,Cards_New_Petite-Cards_Phys_Incl_Petite)+AA15*MAX(0,Cards_New_Moyenne-Cards_Phys_Incl_Moyenne)+AA16*MAX(0,Cards_New_Grande-Cards_Phys_Incl_Grande)</f>
        <v>278.392881147527</v>
      </c>
      <c r="AB45" s="33" t="n">
        <f aca="false">AB14*MAX(0,Cards_New_Petite-Cards_Phys_Incl_Petite)+AB15*MAX(0,Cards_New_Moyenne-Cards_Phys_Incl_Moyenne)+AB16*MAX(0,Cards_New_Grande-Cards_Phys_Incl_Grande)</f>
        <v>302.51176443538</v>
      </c>
      <c r="AC45" s="33" t="n">
        <f aca="false">AC14*MAX(0,Cards_New_Petite-Cards_Phys_Incl_Petite)+AC15*MAX(0,Cards_New_Moyenne-Cards_Phys_Incl_Moyenne)+AC16*MAX(0,Cards_New_Grande-Cards_Phys_Incl_Grande)</f>
        <v>333.849899225696</v>
      </c>
      <c r="AD45" s="33" t="n">
        <f aca="false">AD14*MAX(0,Cards_New_Petite-Cards_Phys_Incl_Petite)+AD15*MAX(0,Cards_New_Moyenne-Cards_Phys_Incl_Moyenne)+AD16*MAX(0,Cards_New_Grande-Cards_Phys_Incl_Grande)</f>
        <v>365.363016386499</v>
      </c>
      <c r="AE45" s="33" t="n">
        <f aca="false">AE14*MAX(0,Cards_New_Petite-Cards_Phys_Incl_Petite)+AE15*MAX(0,Cards_New_Moyenne-Cards_Phys_Incl_Moyenne)+AE16*MAX(0,Cards_New_Grande-Cards_Phys_Incl_Grande)</f>
        <v>398.674404652896</v>
      </c>
      <c r="AF45" s="33" t="n">
        <f aca="false">AF14*MAX(0,Cards_New_Petite-Cards_Phys_Incl_Petite)+AF15*MAX(0,Cards_New_Moyenne-Cards_Phys_Incl_Moyenne)+AF16*MAX(0,Cards_New_Grande-Cards_Phys_Incl_Grande)</f>
        <v>432.196654160653</v>
      </c>
      <c r="AG45" s="33" t="n">
        <f aca="false">AG14*MAX(0,Cards_New_Petite-Cards_Phys_Incl_Petite)+AG15*MAX(0,Cards_New_Moyenne-Cards_Phys_Incl_Moyenne)+AG16*MAX(0,Cards_New_Grande-Cards_Phys_Incl_Grande)</f>
        <v>465.955825249661</v>
      </c>
      <c r="AH45" s="33" t="n">
        <f aca="false">AH14*MAX(0,Cards_New_Petite-Cards_Phys_Incl_Petite)+AH15*MAX(0,Cards_New_Moyenne-Cards_Phys_Incl_Moyenne)+AH16*MAX(0,Cards_New_Grande-Cards_Phys_Incl_Grande)</f>
        <v>499.979441315214</v>
      </c>
      <c r="AI45" s="33" t="n">
        <f aca="false">AI14*MAX(0,Cards_New_Petite-Cards_Phys_Incl_Petite)+AI15*MAX(0,Cards_New_Moyenne-Cards_Phys_Incl_Moyenne)+AI16*MAX(0,Cards_New_Grande-Cards_Phys_Incl_Grande)</f>
        <v>535.896577345571</v>
      </c>
      <c r="AJ45" s="33" t="n">
        <f aca="false">AJ14*MAX(0,Cards_New_Petite-Cards_Phys_Incl_Petite)+AJ15*MAX(0,Cards_New_Moyenne-Cards_Phys_Incl_Moyenne)+AJ16*MAX(0,Cards_New_Grande-Cards_Phys_Incl_Grande)</f>
        <v>572.125953766113</v>
      </c>
      <c r="AK45" s="33" t="n">
        <f aca="false">AK14*MAX(0,Cards_New_Petite-Cards_Phys_Incl_Petite)+AK15*MAX(0,Cards_New_Moyenne-Cards_Phys_Incl_Moyenne)+AK16*MAX(0,Cards_New_Grande-Cards_Phys_Incl_Grande)</f>
        <v>608.70012590854</v>
      </c>
      <c r="AL45" s="33" t="n">
        <f aca="false">AL14*MAX(0,Cards_New_Petite-Cards_Phys_Incl_Petite)+AL15*MAX(0,Cards_New_Moyenne-Cards_Phys_Incl_Moyenne)+AL16*MAX(0,Cards_New_Grande-Cards_Phys_Incl_Grande)</f>
        <v>645.653498767638</v>
      </c>
      <c r="AM45" s="33" t="n">
        <f aca="false">AM14*MAX(0,Cards_New_Petite-Cards_Phys_Incl_Petite)+AM15*MAX(0,Cards_New_Moyenne-Cards_Phys_Incl_Moyenne)+AM16*MAX(0,Cards_New_Grande-Cards_Phys_Incl_Grande)</f>
        <v>684.622438758498</v>
      </c>
      <c r="AN45" s="33" t="n">
        <f aca="false">AN14*MAX(0,Cards_New_Petite-Cards_Phys_Incl_Petite)+AN15*MAX(0,Cards_New_Moyenne-Cards_Phys_Incl_Moyenne)+AN16*MAX(0,Cards_New_Grande-Cards_Phys_Incl_Grande)</f>
        <v>724.033392173324</v>
      </c>
      <c r="AO45" s="33" t="n">
        <f aca="false">AO14*MAX(0,Cards_New_Petite-Cards_Phys_Incl_Petite)+AO15*MAX(0,Cards_New_Moyenne-Cards_Phys_Incl_Moyenne)+AO16*MAX(0,Cards_New_Grande-Cards_Phys_Incl_Grande)</f>
        <v>768.860434073203</v>
      </c>
      <c r="AP45" s="33" t="n">
        <f aca="false">AP14*MAX(0,Cards_New_Petite-Cards_Phys_Incl_Petite)+AP15*MAX(0,Cards_New_Moyenne-Cards_Phys_Incl_Moyenne)+AP16*MAX(0,Cards_New_Grande-Cards_Phys_Incl_Grande)</f>
        <v>815.776310699303</v>
      </c>
      <c r="AQ45" s="33" t="n">
        <f aca="false">AQ14*MAX(0,Cards_New_Petite-Cards_Phys_Incl_Petite)+AQ15*MAX(0,Cards_New_Moyenne-Cards_Phys_Incl_Moyenne)+AQ16*MAX(0,Cards_New_Grande-Cards_Phys_Incl_Grande)</f>
        <v>863.214858043607</v>
      </c>
      <c r="AR45" s="33" t="n">
        <f aca="false">AR14*MAX(0,Cards_New_Petite-Cards_Phys_Incl_Petite)+AR15*MAX(0,Cards_New_Moyenne-Cards_Phys_Incl_Moyenne)+AR16*MAX(0,Cards_New_Grande-Cards_Phys_Incl_Grande)</f>
        <v>911.224628463301</v>
      </c>
      <c r="AS45" s="33" t="n">
        <f aca="false">AS14*MAX(0,Cards_New_Petite-Cards_Phys_Incl_Petite)+AS15*MAX(0,Cards_New_Moyenne-Cards_Phys_Incl_Moyenne)+AS16*MAX(0,Cards_New_Grande-Cards_Phys_Incl_Grande)</f>
        <v>961.456958516149</v>
      </c>
      <c r="AT45" s="33" t="n">
        <f aca="false">AT14*MAX(0,Cards_New_Petite-Cards_Phys_Incl_Petite)+AT15*MAX(0,Cards_New_Moyenne-Cards_Phys_Incl_Moyenne)+AT16*MAX(0,Cards_New_Grande-Cards_Phys_Incl_Grande)</f>
        <v>1012.35413697958</v>
      </c>
      <c r="AU45" s="33" t="n">
        <f aca="false">AU14*MAX(0,Cards_New_Petite-Cards_Phys_Incl_Petite)+AU15*MAX(0,Cards_New_Moyenne-Cards_Phys_Incl_Moyenne)+AU16*MAX(0,Cards_New_Grande-Cards_Phys_Incl_Grande)</f>
        <v>1063.97367294367</v>
      </c>
      <c r="AV45" s="33" t="n">
        <f aca="false">AV14*MAX(0,Cards_New_Petite-Cards_Phys_Incl_Petite)+AV15*MAX(0,Cards_New_Moyenne-Cards_Phys_Incl_Moyenne)+AV16*MAX(0,Cards_New_Grande-Cards_Phys_Incl_Grande)</f>
        <v>1119.41639390752</v>
      </c>
      <c r="AW45" s="33" t="n">
        <f aca="false">AW14*MAX(0,Cards_New_Petite-Cards_Phys_Incl_Petite)+AW15*MAX(0,Cards_New_Moyenne-Cards_Phys_Incl_Moyenne)+AW16*MAX(0,Cards_New_Grande-Cards_Phys_Incl_Grande)</f>
        <v>1175.2266971754</v>
      </c>
      <c r="AX45" s="33" t="n">
        <f aca="false">AX14*MAX(0,Cards_New_Petite-Cards_Phys_Incl_Petite)+AX15*MAX(0,Cards_New_Moyenne-Cards_Phys_Incl_Moyenne)+AX16*MAX(0,Cards_New_Grande-Cards_Phys_Incl_Grande)</f>
        <v>1232.54597874209</v>
      </c>
      <c r="AY45" s="33" t="n">
        <f aca="false">AY14*MAX(0,Cards_New_Petite-Cards_Phys_Incl_Petite)+AY15*MAX(0,Cards_New_Moyenne-Cards_Phys_Incl_Moyenne)+AY16*MAX(0,Cards_New_Grande-Cards_Phys_Incl_Grande)</f>
        <v>1289.78257460477</v>
      </c>
      <c r="AZ45" s="33" t="n">
        <f aca="false">AZ14*MAX(0,Cards_New_Petite-Cards_Phys_Incl_Petite)+AZ15*MAX(0,Cards_New_Moyenne-Cards_Phys_Incl_Moyenne)+AZ16*MAX(0,Cards_New_Grande-Cards_Phys_Incl_Grande)</f>
        <v>1346.95793744067</v>
      </c>
      <c r="BA45" s="33" t="n">
        <f aca="false">BA14*MAX(0,Cards_New_Petite-Cards_Phys_Incl_Petite)+BA15*MAX(0,Cards_New_Moyenne-Cards_Phys_Incl_Moyenne)+BA16*MAX(0,Cards_New_Grande-Cards_Phys_Incl_Grande)</f>
        <v>1410.65460898403</v>
      </c>
      <c r="BB45" s="33" t="n">
        <f aca="false">BB14*MAX(0,Cards_New_Petite-Cards_Phys_Incl_Petite)+BB15*MAX(0,Cards_New_Moyenne-Cards_Phys_Incl_Moyenne)+BB16*MAX(0,Cards_New_Grande-Cards_Phys_Incl_Grande)</f>
        <v>1474.28708685526</v>
      </c>
      <c r="BC45" s="33" t="n">
        <f aca="false">BC14*MAX(0,Cards_New_Petite-Cards_Phys_Incl_Petite)+BC15*MAX(0,Cards_New_Moyenne-Cards_Phys_Incl_Moyenne)+BC16*MAX(0,Cards_New_Grande-Cards_Phys_Incl_Grande)</f>
        <v>1539.48066438877</v>
      </c>
      <c r="BD45" s="33" t="n">
        <f aca="false">BD14*MAX(0,Cards_New_Petite-Cards_Phys_Incl_Petite)+BD15*MAX(0,Cards_New_Moyenne-Cards_Phys_Incl_Moyenne)+BD16*MAX(0,Cards_New_Grande-Cards_Phys_Incl_Grande)</f>
        <v>1604.64993393188</v>
      </c>
      <c r="BE45" s="33" t="n">
        <f aca="false">BE14*MAX(0,Cards_New_Petite-Cards_Phys_Incl_Petite)+BE15*MAX(0,Cards_New_Moyenne-Cards_Phys_Incl_Moyenne)+BE16*MAX(0,Cards_New_Grande-Cards_Phys_Incl_Grande)</f>
        <v>1671.26295642498</v>
      </c>
      <c r="BF45" s="33" t="n">
        <f aca="false">BF14*MAX(0,Cards_New_Petite-Cards_Phys_Incl_Petite)+BF15*MAX(0,Cards_New_Moyenne-Cards_Phys_Incl_Moyenne)+BF16*MAX(0,Cards_New_Grande-Cards_Phys_Incl_Grande)</f>
        <v>1739.49845506923</v>
      </c>
      <c r="BG45" s="33" t="n">
        <f aca="false">BG14*MAX(0,Cards_New_Petite-Cards_Phys_Incl_Petite)+BG15*MAX(0,Cards_New_Moyenne-Cards_Phys_Incl_Moyenne)+BG16*MAX(0,Cards_New_Grande-Cards_Phys_Incl_Grande)</f>
        <v>1807.7755857227</v>
      </c>
      <c r="BH45" s="33" t="n">
        <f aca="false">BH14*MAX(0,Cards_New_Petite-Cards_Phys_Incl_Petite)+BH15*MAX(0,Cards_New_Moyenne-Cards_Phys_Incl_Moyenne)+BH16*MAX(0,Cards_New_Grande-Cards_Phys_Incl_Grande)</f>
        <v>1877.72724004026</v>
      </c>
      <c r="BI45" s="33" t="n">
        <f aca="false">BI14*MAX(0,Cards_New_Petite-Cards_Phys_Incl_Petite)+BI15*MAX(0,Cards_New_Moyenne-Cards_Phys_Incl_Moyenne)+BI16*MAX(0,Cards_New_Grande-Cards_Phys_Incl_Grande)</f>
        <v>1949.21605522306</v>
      </c>
      <c r="BJ45" s="33" t="n">
        <f aca="false">BJ14*MAX(0,Cards_New_Petite-Cards_Phys_Incl_Petite)+BJ15*MAX(0,Cards_New_Moyenne-Cards_Phys_Incl_Moyenne)+BJ16*MAX(0,Cards_New_Grande-Cards_Phys_Incl_Grande)</f>
        <v>2022.42781046098</v>
      </c>
      <c r="BK45" s="33" t="n">
        <f aca="false">BK14*MAX(0,Cards_New_Petite-Cards_Phys_Incl_Petite)+BK15*MAX(0,Cards_New_Moyenne-Cards_Phys_Incl_Moyenne)+BK16*MAX(0,Cards_New_Grande-Cards_Phys_Incl_Grande)</f>
        <v>2095.44626854919</v>
      </c>
      <c r="BL45" s="33" t="n">
        <f aca="false">BL14*MAX(0,Cards_New_Petite-Cards_Phys_Incl_Petite)+BL15*MAX(0,Cards_New_Moyenne-Cards_Phys_Incl_Moyenne)+BL16*MAX(0,Cards_New_Grande-Cards_Phys_Incl_Grande)</f>
        <v>2169.51708820174</v>
      </c>
    </row>
    <row r="46" customFormat="false" ht="15" hidden="false" customHeight="true" outlineLevel="0" collapsed="false">
      <c r="A46" s="13" t="s">
        <v>1242</v>
      </c>
      <c r="B46" s="15" t="s">
        <v>77</v>
      </c>
      <c r="D46" s="56" t="n">
        <f aca="false">SUM(E46:BL46)</f>
        <v>613007942451.942</v>
      </c>
      <c r="E46" s="33" t="n">
        <f aca="false">E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E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E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F46" s="33" t="n">
        <f aca="false">F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F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F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G46" s="33" t="n">
        <f aca="false">G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G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G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H46" s="33" t="n">
        <f aca="false">H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H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H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0</v>
      </c>
      <c r="I46" s="33" t="n">
        <f aca="false">I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I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I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148152666.666667</v>
      </c>
      <c r="J46" s="33" t="n">
        <f aca="false">J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J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J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296097548.333333</v>
      </c>
      <c r="K46" s="33" t="n">
        <f aca="false">K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K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K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443926040.2625</v>
      </c>
      <c r="L46" s="33" t="n">
        <f aca="false">L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L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L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591733650.323761</v>
      </c>
      <c r="M46" s="33" t="n">
        <f aca="false">M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M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M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739620266.369304</v>
      </c>
      <c r="N46" s="33" t="n">
        <f aca="false">N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N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N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887690439.30943</v>
      </c>
      <c r="O46" s="33" t="n">
        <f aca="false">O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O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O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1036053682.83616</v>
      </c>
      <c r="P46" s="33" t="n">
        <f aca="false">P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P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P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1184824790.79981</v>
      </c>
      <c r="Q46" s="33" t="n">
        <f aca="false">Q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Q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Q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1386436839.97026</v>
      </c>
      <c r="R46" s="33" t="n">
        <f aca="false">R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R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R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1588122560.9784</v>
      </c>
      <c r="S46" s="33" t="n">
        <f aca="false">S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S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S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1790022137.56333</v>
      </c>
      <c r="T46" s="33" t="n">
        <f aca="false">T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T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T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1992282392.62407</v>
      </c>
      <c r="U46" s="33" t="n">
        <f aca="false">U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U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U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2195057212.95367</v>
      </c>
      <c r="V46" s="33" t="n">
        <f aca="false">V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V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V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2398507999.02246</v>
      </c>
      <c r="W46" s="33" t="n">
        <f aca="false">W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W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W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2716214807.98745</v>
      </c>
      <c r="X46" s="33" t="n">
        <f aca="false">X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X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X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3034763518.19582</v>
      </c>
      <c r="Y46" s="33" t="n">
        <f aca="false">Y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Y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Y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3378369917.09629</v>
      </c>
      <c r="Z46" s="33" t="n">
        <f aca="false">Z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Z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Z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3723076366.69738</v>
      </c>
      <c r="AA46" s="33" t="n">
        <f aca="false">AA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A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A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4069168217.00822</v>
      </c>
      <c r="AB46" s="33" t="n">
        <f aca="false">AB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B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B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4416945090.26876</v>
      </c>
      <c r="AC46" s="33" t="n">
        <f aca="false">AC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C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C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4871746446.19159</v>
      </c>
      <c r="AD46" s="33" t="n">
        <f aca="false">AD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D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D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5327712128.75732</v>
      </c>
      <c r="AE46" s="33" t="n">
        <f aca="false">AE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E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E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5809165145.84807</v>
      </c>
      <c r="AF46" s="33" t="n">
        <f aca="false">AF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F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F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6292260384.74723</v>
      </c>
      <c r="AG46" s="33" t="n">
        <f aca="false">AG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G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G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6777401360.43646</v>
      </c>
      <c r="AH46" s="33" t="n">
        <f aca="false">AH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H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H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7265011854.5032</v>
      </c>
      <c r="AI46" s="33" t="n">
        <f aca="false">AI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I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I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7779497189.40835</v>
      </c>
      <c r="AJ46" s="33" t="n">
        <f aca="false">AJ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J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J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8297099478.25484</v>
      </c>
      <c r="AK46" s="33" t="n">
        <f aca="false">AK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K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K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8818314667.85383</v>
      </c>
      <c r="AL46" s="33" t="n">
        <f aca="false">AL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L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L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9343664490.09004</v>
      </c>
      <c r="AM46" s="33" t="n">
        <f aca="false">AM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M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M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9897658067.39691</v>
      </c>
      <c r="AN46" s="33" t="n">
        <f aca="false">AN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N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N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10456647513.6072</v>
      </c>
      <c r="AO46" s="33" t="n">
        <f aca="false">AO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O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O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11095122015.8351</v>
      </c>
      <c r="AP46" s="33" t="n">
        <f aca="false">AP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P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P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11762989705.3214</v>
      </c>
      <c r="AQ46" s="33" t="n">
        <f aca="false">AQ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Q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Q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12436715055.2473</v>
      </c>
      <c r="AR46" s="33" t="n">
        <f aca="false">AR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R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R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13117028817.8455</v>
      </c>
      <c r="AS46" s="33" t="n">
        <f aca="false">AS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S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S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13828660735.4026</v>
      </c>
      <c r="AT46" s="33" t="n">
        <f aca="false">AT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T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T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14548195850.742</v>
      </c>
      <c r="AU46" s="33" t="n">
        <f aca="false">AU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U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U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15276492674.4282</v>
      </c>
      <c r="AV46" s="33" t="n">
        <f aca="false">AV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V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V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16059980327.5039</v>
      </c>
      <c r="AW46" s="33" t="n">
        <f aca="false">AW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W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W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16846738017.8339</v>
      </c>
      <c r="AX46" s="33" t="n">
        <f aca="false">AX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X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X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17653874431.0811</v>
      </c>
      <c r="AY46" s="33" t="n">
        <f aca="false">AY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Y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Y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18457508754.1146</v>
      </c>
      <c r="AZ46" s="33" t="n">
        <f aca="false">AZ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AZ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AZ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19258003272.5564</v>
      </c>
      <c r="BA46" s="33" t="n">
        <f aca="false">BA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A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A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20153970726.5064</v>
      </c>
      <c r="BB46" s="33" t="n">
        <f aca="false">BB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B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B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21046476273.859</v>
      </c>
      <c r="BC46" s="33" t="n">
        <f aca="false">BC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C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C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21959902534.6239</v>
      </c>
      <c r="BD46" s="33" t="n">
        <f aca="false">BD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D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D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22870463371.4282</v>
      </c>
      <c r="BE46" s="33" t="n">
        <f aca="false">BE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E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E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23800184659.9666</v>
      </c>
      <c r="BF46" s="33" t="n">
        <f aca="false">BF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F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F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24751704460.4252</v>
      </c>
      <c r="BG46" s="33" t="n">
        <f aca="false">BG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G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G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25701302266.5915</v>
      </c>
      <c r="BH46" s="33" t="n">
        <f aca="false">BH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H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H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26673469385.2468</v>
      </c>
      <c r="BI46" s="33" t="n">
        <f aca="false">BI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I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I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27666098727.2427</v>
      </c>
      <c r="BJ46" s="33" t="n">
        <f aca="false">BJ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J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J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28681930471.3477</v>
      </c>
      <c r="BK46" s="33" t="n">
        <f aca="false">BK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K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K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29692217732.6437</v>
      </c>
      <c r="BL46" s="33" t="n">
        <f aca="false">BL14*(MM_Low_Share*MAX(0,0.5*(Emp_Petite*Avg_Salary*Wallet_Share+Supplier_Petite*Sup_Wallet_Share*Sup_Avg_Amount)-MM_Free_Petite)+MM_Mid_Share*MAX(0,(Emp_Petite*Avg_Salary*Wallet_Share+Supplier_Petite*Sup_Wallet_Share*Sup_Avg_Amount)-MM_Free_Petite)+(1-MM_Low_Share-MM_Mid_Share)*MAX(0,2.25*(Emp_Petite*Avg_Salary*Wallet_Share+Supplier_Petite*Sup_Wallet_Share*Sup_Avg_Amount)-MM_Free_Petite))+BL15*(MM_Low_Share*MAX(0,0.5*(Emp_Moyenne*Avg_Salary*Wallet_Share+Supplier_Moyenne*Sup_Wallet_Share*Sup_Avg_Amount)-MM_Free_Moyenne)+MM_Mid_Share*MAX(0,(Emp_Moyenne*Avg_Salary*Wallet_Share+Supplier_Moyenne*Sup_Wallet_Share*Sup_Avg_Amount)-MM_Free_Moyenne)+(1-MM_Low_Share-MM_Mid_Share)*MAX(0,2.25*(Emp_Moyenne*Avg_Salary*Wallet_Share+Supplier_Moyenne*Sup_Wallet_Share*Sup_Avg_Amount)-MM_Free_Moyenne))+BL16*(MM_Low_Share*MAX(0,0.5*(Emp_Grande*Avg_Salary*Wallet_Share+Supplier_Grande*Sup_Wallet_Share*Sup_Avg_Amount)-MM_Free_Grande)+MM_Mid_Share*MAX(0,(Emp_Grande*Avg_Salary*Wallet_Share+Supplier_Grande*Sup_Wallet_Share*Sup_Avg_Amount)-MM_Free_Grande)+(1-MM_Low_Share-MM_Mid_Share)*MAX(0,2.25*(Emp_Grande*Avg_Salary*Wallet_Share+Supplier_Grande*Sup_Wallet_Share*Sup_Avg_Amount)-MM_Free_Grande))</f>
        <v>30715667311.7861</v>
      </c>
    </row>
    <row r="47" customFormat="false" ht="15" hidden="false" customHeight="true" outlineLevel="0" collapsed="false">
      <c r="A47" s="13" t="s">
        <v>1243</v>
      </c>
      <c r="B47" s="15" t="s">
        <v>1244</v>
      </c>
      <c r="D47" s="56" t="n">
        <f aca="false">SUM(E47:BL47)</f>
        <v>1811052.03645918</v>
      </c>
      <c r="E47" s="33" t="n">
        <f aca="false">IF(E$3&gt;=Payroll_Mod_Start,MIN(1,(E$3-Payroll_Mod_Start+1)/Payroll_Mod_Ramp)*Payroll_Mod_Uptake,0)*E31</f>
        <v>0</v>
      </c>
      <c r="F47" s="33" t="n">
        <f aca="false">IF(F$3&gt;=Payroll_Mod_Start,MIN(1,(F$3-Payroll_Mod_Start+1)/Payroll_Mod_Ramp)*Payroll_Mod_Uptake,0)*F31</f>
        <v>0</v>
      </c>
      <c r="G47" s="33" t="n">
        <f aca="false">IF(G$3&gt;=Payroll_Mod_Start,MIN(1,(G$3-Payroll_Mod_Start+1)/Payroll_Mod_Ramp)*Payroll_Mod_Uptake,0)*G31</f>
        <v>0</v>
      </c>
      <c r="H47" s="33" t="n">
        <f aca="false">IF(H$3&gt;=Payroll_Mod_Start,MIN(1,(H$3-Payroll_Mod_Start+1)/Payroll_Mod_Ramp)*Payroll_Mod_Uptake,0)*H31</f>
        <v>0</v>
      </c>
      <c r="I47" s="33" t="n">
        <f aca="false">IF(I$3&gt;=Payroll_Mod_Start,MIN(1,(I$3-Payroll_Mod_Start+1)/Payroll_Mod_Ramp)*Payroll_Mod_Uptake,0)*I31</f>
        <v>0</v>
      </c>
      <c r="J47" s="33" t="n">
        <f aca="false">IF(J$3&gt;=Payroll_Mod_Start,MIN(1,(J$3-Payroll_Mod_Start+1)/Payroll_Mod_Ramp)*Payroll_Mod_Uptake,0)*J31</f>
        <v>0</v>
      </c>
      <c r="K47" s="33" t="n">
        <f aca="false">IF(K$3&gt;=Payroll_Mod_Start,MIN(1,(K$3-Payroll_Mod_Start+1)/Payroll_Mod_Ramp)*Payroll_Mod_Uptake,0)*K31</f>
        <v>0</v>
      </c>
      <c r="L47" s="33" t="n">
        <f aca="false">IF(L$3&gt;=Payroll_Mod_Start,MIN(1,(L$3-Payroll_Mod_Start+1)/Payroll_Mod_Ramp)*Payroll_Mod_Uptake,0)*L31</f>
        <v>0</v>
      </c>
      <c r="M47" s="33" t="n">
        <f aca="false">IF(M$3&gt;=Payroll_Mod_Start,MIN(1,(M$3-Payroll_Mod_Start+1)/Payroll_Mod_Ramp)*Payroll_Mod_Uptake,0)*M31</f>
        <v>0</v>
      </c>
      <c r="N47" s="33" t="n">
        <f aca="false">IF(N$3&gt;=Payroll_Mod_Start,MIN(1,(N$3-Payroll_Mod_Start+1)/Payroll_Mod_Ramp)*Payroll_Mod_Uptake,0)*N31</f>
        <v>0</v>
      </c>
      <c r="O47" s="33" t="n">
        <f aca="false">IF(O$3&gt;=Payroll_Mod_Start,MIN(1,(O$3-Payroll_Mod_Start+1)/Payroll_Mod_Ramp)*Payroll_Mod_Uptake,0)*O31</f>
        <v>259.652879192307</v>
      </c>
      <c r="P47" s="33" t="n">
        <f aca="false">IF(P$3&gt;=Payroll_Mod_Start,MIN(1,(P$3-Payroll_Mod_Start+1)/Payroll_Mod_Ramp)*Payroll_Mod_Uptake,0)*P31</f>
        <v>593.950904876104</v>
      </c>
      <c r="Q47" s="33" t="n">
        <f aca="false">IF(Q$3&gt;=Payroll_Mod_Start,MIN(1,(Q$3-Payroll_Mod_Start+1)/Payroll_Mod_Ramp)*Payroll_Mod_Uptake,0)*Q31</f>
        <v>1042.6184422437</v>
      </c>
      <c r="R47" s="33" t="n">
        <f aca="false">IF(R$3&gt;=Payroll_Mod_Start,MIN(1,(R$3-Payroll_Mod_Start+1)/Payroll_Mod_Ramp)*Payroll_Mod_Uptake,0)*R31</f>
        <v>1592.53839238588</v>
      </c>
      <c r="S47" s="33" t="n">
        <f aca="false">IF(S$3&gt;=Payroll_Mod_Start,MIN(1,(S$3-Payroll_Mod_Start+1)/Payroll_Mod_Ramp)*Payroll_Mod_Uptake,0)*S31</f>
        <v>2243.97864616134</v>
      </c>
      <c r="T47" s="33" t="n">
        <f aca="false">IF(T$3&gt;=Payroll_Mod_Start,MIN(1,(T$3-Payroll_Mod_Start+1)/Payroll_Mod_Ramp)*Payroll_Mod_Uptake,0)*T31</f>
        <v>2997.35684324273</v>
      </c>
      <c r="U47" s="33" t="n">
        <f aca="false">IF(U$3&gt;=Payroll_Mod_Start,MIN(1,(U$3-Payroll_Mod_Start+1)/Payroll_Mod_Ramp)*Payroll_Mod_Uptake,0)*U31</f>
        <v>3853.24949334755</v>
      </c>
      <c r="V47" s="33" t="n">
        <f aca="false">IF(V$3&gt;=Payroll_Mod_Start,MIN(1,(V$3-Payroll_Mod_Start+1)/Payroll_Mod_Ramp)*Payroll_Mod_Uptake,0)*V31</f>
        <v>4812.40178760918</v>
      </c>
      <c r="W47" s="33" t="n">
        <f aca="false">IF(W$3&gt;=Payroll_Mod_Start,MIN(1,(W$3-Payroll_Mod_Start+1)/Payroll_Mod_Ramp)*Payroll_Mod_Uptake,0)*W31</f>
        <v>6131.33814759103</v>
      </c>
      <c r="X47" s="33" t="n">
        <f aca="false">IF(X$3&gt;=Payroll_Mod_Start,MIN(1,(X$3-Payroll_Mod_Start+1)/Payroll_Mod_Ramp)*Payroll_Mod_Uptake,0)*X31</f>
        <v>7611.996896045</v>
      </c>
      <c r="Y47" s="33" t="n">
        <f aca="false">IF(Y$3&gt;=Payroll_Mod_Start,MIN(1,(Y$3-Payroll_Mod_Start+1)/Payroll_Mod_Ramp)*Payroll_Mod_Uptake,0)*Y31</f>
        <v>9321.77109949945</v>
      </c>
      <c r="Z47" s="33" t="n">
        <f aca="false">IF(Z$3&gt;=Payroll_Mod_Start,MIN(1,(Z$3-Payroll_Mod_Start+1)/Payroll_Mod_Ramp)*Payroll_Mod_Uptake,0)*Z31</f>
        <v>11207.5674711556</v>
      </c>
      <c r="AA47" s="33" t="n">
        <f aca="false">IF(AA$3&gt;=Payroll_Mod_Start,MIN(1,(AA$3-Payroll_Mod_Start+1)/Payroll_Mod_Ramp)*Payroll_Mod_Uptake,0)*AA31</f>
        <v>12250.3389420951</v>
      </c>
      <c r="AB47" s="33" t="n">
        <f aca="false">IF(AB$3&gt;=Payroll_Mod_Start,MIN(1,(AB$3-Payroll_Mod_Start+1)/Payroll_Mod_Ramp)*Payroll_Mod_Uptake,0)*AB31</f>
        <v>13298.4171750915</v>
      </c>
      <c r="AC47" s="33" t="n">
        <f aca="false">IF(AC$3&gt;=Payroll_Mod_Start,MIN(1,(AC$3-Payroll_Mod_Start+1)/Payroll_Mod_Ramp)*Payroll_Mod_Uptake,0)*AC31</f>
        <v>14668.3459699712</v>
      </c>
      <c r="AD47" s="33" t="n">
        <f aca="false">IF(AD$3&gt;=Payroll_Mod_Start,MIN(1,(AD$3-Payroll_Mod_Start+1)/Payroll_Mod_Ramp)*Payroll_Mod_Uptake,0)*AD31</f>
        <v>16042.0988682319</v>
      </c>
      <c r="AE47" s="33" t="n">
        <f aca="false">IF(AE$3&gt;=Payroll_Mod_Start,MIN(1,(AE$3-Payroll_Mod_Start+1)/Payroll_Mod_Ramp)*Payroll_Mod_Uptake,0)*AE31</f>
        <v>17492.7629290689</v>
      </c>
      <c r="AF47" s="33" t="n">
        <f aca="false">IF(AF$3&gt;=Payroll_Mod_Start,MIN(1,(AF$3-Payroll_Mod_Start+1)/Payroll_Mod_Ramp)*Payroll_Mod_Uptake,0)*AF31</f>
        <v>18948.6995977543</v>
      </c>
      <c r="AG47" s="33" t="n">
        <f aca="false">IF(AG$3&gt;=Payroll_Mod_Start,MIN(1,(AG$3-Payroll_Mod_Start+1)/Payroll_Mod_Ramp)*Payroll_Mod_Uptake,0)*AG31</f>
        <v>20411.1178758014</v>
      </c>
      <c r="AH47" s="33" t="n">
        <f aca="false">IF(AH$3&gt;=Payroll_Mod_Start,MIN(1,(AH$3-Payroll_Mod_Start+1)/Payroll_Mod_Ramp)*Payroll_Mod_Uptake,0)*AH31</f>
        <v>21881.2880539262</v>
      </c>
      <c r="AI47" s="33" t="n">
        <f aca="false">IF(AI$3&gt;=Payroll_Mod_Start,MIN(1,(AI$3-Payroll_Mod_Start+1)/Payroll_Mod_Ramp)*Payroll_Mod_Uptake,0)*AI31</f>
        <v>23432.5455520051</v>
      </c>
      <c r="AJ47" s="33" t="n">
        <f aca="false">IF(AJ$3&gt;=Payroll_Mod_Start,MIN(1,(AJ$3-Payroll_Mod_Start+1)/Payroll_Mod_Ramp)*Payroll_Mod_Uptake,0)*AJ31</f>
        <v>24993.5149868079</v>
      </c>
      <c r="AK47" s="33" t="n">
        <f aca="false">IF(AK$3&gt;=Payroll_Mod_Start,MIN(1,(AK$3-Payroll_Mod_Start+1)/Payroll_Mod_Ramp)*Payroll_Mod_Uptake,0)*AK31</f>
        <v>26565.6842312161</v>
      </c>
      <c r="AL47" s="33" t="n">
        <f aca="false">IF(AL$3&gt;=Payroll_Mod_Start,MIN(1,(AL$3-Payroll_Mod_Start+1)/Payroll_Mod_Ramp)*Payroll_Mod_Uptake,0)*AL31</f>
        <v>28150.6190895891</v>
      </c>
      <c r="AM47" s="33" t="n">
        <f aca="false">IF(AM$3&gt;=Payroll_Mod_Start,MIN(1,(AM$3-Payroll_Mod_Start+1)/Payroll_Mod_Ramp)*Payroll_Mod_Uptake,0)*AM31</f>
        <v>29821.9681366736</v>
      </c>
      <c r="AN47" s="33" t="n">
        <f aca="false">IF(AN$3&gt;=Payroll_Mod_Start,MIN(1,(AN$3-Payroll_Mod_Start+1)/Payroll_Mod_Ramp)*Payroll_Mod_Uptake,0)*AN31</f>
        <v>31508.6878442298</v>
      </c>
      <c r="AO47" s="33" t="n">
        <f aca="false">IF(AO$3&gt;=Payroll_Mod_Start,MIN(1,(AO$3-Payroll_Mod_Start+1)/Payroll_Mod_Ramp)*Payroll_Mod_Uptake,0)*AO31</f>
        <v>33434.6177626822</v>
      </c>
      <c r="AP47" s="33" t="n">
        <f aca="false">IF(AP$3&gt;=Payroll_Mod_Start,MIN(1,(AP$3-Payroll_Mod_Start+1)/Payroll_Mod_Ramp)*Payroll_Mod_Uptake,0)*AP31</f>
        <v>35449.2913862659</v>
      </c>
      <c r="AQ47" s="33" t="n">
        <f aca="false">IF(AQ$3&gt;=Payroll_Mod_Start,MIN(1,(AQ$3-Payroll_Mod_Start+1)/Payroll_Mod_Ramp)*Payroll_Mod_Uptake,0)*AQ31</f>
        <v>37482.0023156086</v>
      </c>
      <c r="AR47" s="33" t="n">
        <f aca="false">IF(AR$3&gt;=Payroll_Mod_Start,MIN(1,(AR$3-Payroll_Mod_Start+1)/Payroll_Mod_Ramp)*Payroll_Mod_Uptake,0)*AR31</f>
        <v>39534.9449774211</v>
      </c>
      <c r="AS47" s="33" t="n">
        <f aca="false">IF(AS$3&gt;=Payroll_Mod_Start,MIN(1,(AS$3-Payroll_Mod_Start+1)/Payroll_Mod_Ramp)*Payroll_Mod_Uptake,0)*AS31</f>
        <v>41682.4315902501</v>
      </c>
      <c r="AT47" s="33" t="n">
        <f aca="false">IF(AT$3&gt;=Payroll_Mod_Start,MIN(1,(AT$3-Payroll_Mod_Start+1)/Payroll_Mod_Ramp)*Payroll_Mod_Uptake,0)*AT31</f>
        <v>43854.1194306267</v>
      </c>
      <c r="AU47" s="33" t="n">
        <f aca="false">IF(AU$3&gt;=Payroll_Mod_Start,MIN(1,(AU$3-Payroll_Mod_Start+1)/Payroll_Mod_Ramp)*Payroll_Mod_Uptake,0)*AU31</f>
        <v>46052.5882820035</v>
      </c>
      <c r="AV47" s="33" t="n">
        <f aca="false">IF(AV$3&gt;=Payroll_Mod_Start,MIN(1,(AV$3-Payroll_Mod_Start+1)/Payroll_Mod_Ramp)*Payroll_Mod_Uptake,0)*AV31</f>
        <v>48417.3587026269</v>
      </c>
      <c r="AW47" s="33" t="n">
        <f aca="false">IF(AW$3&gt;=Payroll_Mod_Start,MIN(1,(AW$3-Payroll_Mod_Start+1)/Payroll_Mod_Ramp)*Payroll_Mod_Uptake,0)*AW31</f>
        <v>50792.4469804486</v>
      </c>
      <c r="AX47" s="33" t="n">
        <f aca="false">IF(AX$3&gt;=Payroll_Mod_Start,MIN(1,(AX$3-Payroll_Mod_Start+1)/Payroll_Mod_Ramp)*Payroll_Mod_Uptake,0)*AX31</f>
        <v>53229.2604530227</v>
      </c>
      <c r="AY47" s="33" t="n">
        <f aca="false">IF(AY$3&gt;=Payroll_Mod_Start,MIN(1,(AY$3-Payroll_Mod_Start+1)/Payroll_Mod_Ramp)*Payroll_Mod_Uptake,0)*AY31</f>
        <v>55656.0467616374</v>
      </c>
      <c r="AZ47" s="33" t="n">
        <f aca="false">IF(AZ$3&gt;=Payroll_Mod_Start,MIN(1,(AZ$3-Payroll_Mod_Start+1)/Payroll_Mod_Ramp)*Payroll_Mod_Uptake,0)*AZ31</f>
        <v>58073.8845574114</v>
      </c>
      <c r="BA47" s="33" t="n">
        <f aca="false">IF(BA$3&gt;=Payroll_Mod_Start,MIN(1,(BA$3-Payroll_Mod_Start+1)/Payroll_Mod_Ramp)*Payroll_Mod_Uptake,0)*BA31</f>
        <v>60779.0963776286</v>
      </c>
      <c r="BB47" s="33" t="n">
        <f aca="false">IF(BB$3&gt;=Payroll_Mod_Start,MIN(1,(BB$3-Payroll_Mod_Start+1)/Payroll_Mod_Ramp)*Payroll_Mod_Uptake,0)*BB31</f>
        <v>63474.4535755282</v>
      </c>
      <c r="BC47" s="33" t="n">
        <f aca="false">IF(BC$3&gt;=Payroll_Mod_Start,MIN(1,(BC$3-Payroll_Mod_Start+1)/Payroll_Mod_Ramp)*Payroll_Mod_Uptake,0)*BC31</f>
        <v>66233.215396152</v>
      </c>
      <c r="BD47" s="33" t="n">
        <f aca="false">IF(BD$3&gt;=Payroll_Mod_Start,MIN(1,(BD$3-Payroll_Mod_Start+1)/Payroll_Mod_Ramp)*Payroll_Mod_Uptake,0)*BD31</f>
        <v>68983.9137101091</v>
      </c>
      <c r="BE47" s="33" t="n">
        <f aca="false">IF(BE$3&gt;=Payroll_Mod_Start,MIN(1,(BE$3-Payroll_Mod_Start+1)/Payroll_Mod_Ramp)*Payroll_Mod_Uptake,0)*BE31</f>
        <v>71792.7262473932</v>
      </c>
      <c r="BF47" s="33" t="n">
        <f aca="false">IF(BF$3&gt;=Payroll_Mod_Start,MIN(1,(BF$3-Payroll_Mod_Start+1)/Payroll_Mod_Ramp)*Payroll_Mod_Uptake,0)*BF31</f>
        <v>74667.5883951551</v>
      </c>
      <c r="BG47" s="33" t="n">
        <f aca="false">IF(BG$3&gt;=Payroll_Mod_Start,MIN(1,(BG$3-Payroll_Mod_Start+1)/Payroll_Mod_Ramp)*Payroll_Mod_Uptake,0)*BG31</f>
        <v>77537.2298787416</v>
      </c>
      <c r="BH47" s="33" t="n">
        <f aca="false">IF(BH$3&gt;=Payroll_Mod_Start,MIN(1,(BH$3-Payroll_Mod_Start+1)/Payroll_Mod_Ramp)*Payroll_Mod_Uptake,0)*BH31</f>
        <v>80475.2377460147</v>
      </c>
      <c r="BI47" s="33" t="n">
        <f aca="false">IF(BI$3&gt;=Payroll_Mod_Start,MIN(1,(BI$3-Payroll_Mod_Start+1)/Payroll_Mod_Ramp)*Payroll_Mod_Uptake,0)*BI31</f>
        <v>83475.2908577089</v>
      </c>
      <c r="BJ47" s="33" t="n">
        <f aca="false">IF(BJ$3&gt;=Payroll_Mod_Start,MIN(1,(BJ$3-Payroll_Mod_Start+1)/Payroll_Mod_Ramp)*Payroll_Mod_Uptake,0)*BJ31</f>
        <v>86545.6322775469</v>
      </c>
      <c r="BK47" s="33" t="n">
        <f aca="false">IF(BK$3&gt;=Payroll_Mod_Start,MIN(1,(BK$3-Payroll_Mod_Start+1)/Payroll_Mod_Ramp)*Payroll_Mod_Uptake,0)*BK31</f>
        <v>89599.8883020253</v>
      </c>
      <c r="BL47" s="33" t="n">
        <f aca="false">IF(BL$3&gt;=Payroll_Mod_Start,MIN(1,(BL$3-Payroll_Mod_Start+1)/Payroll_Mod_Ramp)*Payroll_Mod_Uptake,0)*BL31</f>
        <v>92694.2602393544</v>
      </c>
    </row>
    <row r="48" customFormat="false" ht="15" hidden="false" customHeight="true" outlineLevel="0" collapsed="false">
      <c r="A48" s="13" t="s">
        <v>1245</v>
      </c>
      <c r="B48" s="15" t="s">
        <v>77</v>
      </c>
      <c r="D48" s="56" t="n">
        <f aca="false">SUM(E48:BL48)</f>
        <v>56377016478.1723</v>
      </c>
      <c r="E48" s="33" t="n">
        <f aca="false">IF(E$3&gt;=Intl_Start,MIN(1,(E$3-Intl_Start+1)/Intl_Ramp)*Intl_Uptake,0)*(E14*Intl_Vol_Petite+E15*Intl_Vol_Moyenne+E16*Intl_Vol_Grande)</f>
        <v>0</v>
      </c>
      <c r="F48" s="33" t="n">
        <f aca="false">IF(F$3&gt;=Intl_Start,MIN(1,(F$3-Intl_Start+1)/Intl_Ramp)*Intl_Uptake,0)*(F14*Intl_Vol_Petite+F15*Intl_Vol_Moyenne+F16*Intl_Vol_Grande)</f>
        <v>0</v>
      </c>
      <c r="G48" s="33" t="n">
        <f aca="false">IF(G$3&gt;=Intl_Start,MIN(1,(G$3-Intl_Start+1)/Intl_Ramp)*Intl_Uptake,0)*(G14*Intl_Vol_Petite+G15*Intl_Vol_Moyenne+G16*Intl_Vol_Grande)</f>
        <v>0</v>
      </c>
      <c r="H48" s="33" t="n">
        <f aca="false">IF(H$3&gt;=Intl_Start,MIN(1,(H$3-Intl_Start+1)/Intl_Ramp)*Intl_Uptake,0)*(H14*Intl_Vol_Petite+H15*Intl_Vol_Moyenne+H16*Intl_Vol_Grande)</f>
        <v>0</v>
      </c>
      <c r="I48" s="33" t="n">
        <f aca="false">IF(I$3&gt;=Intl_Start,MIN(1,(I$3-Intl_Start+1)/Intl_Ramp)*Intl_Uptake,0)*(I14*Intl_Vol_Petite+I15*Intl_Vol_Moyenne+I16*Intl_Vol_Grande)</f>
        <v>0</v>
      </c>
      <c r="J48" s="33" t="n">
        <f aca="false">IF(J$3&gt;=Intl_Start,MIN(1,(J$3-Intl_Start+1)/Intl_Ramp)*Intl_Uptake,0)*(J14*Intl_Vol_Petite+J15*Intl_Vol_Moyenne+J16*Intl_Vol_Grande)</f>
        <v>0</v>
      </c>
      <c r="K48" s="33" t="n">
        <f aca="false">IF(K$3&gt;=Intl_Start,MIN(1,(K$3-Intl_Start+1)/Intl_Ramp)*Intl_Uptake,0)*(K14*Intl_Vol_Petite+K15*Intl_Vol_Moyenne+K16*Intl_Vol_Grande)</f>
        <v>0</v>
      </c>
      <c r="L48" s="33" t="n">
        <f aca="false">IF(L$3&gt;=Intl_Start,MIN(1,(L$3-Intl_Start+1)/Intl_Ramp)*Intl_Uptake,0)*(L14*Intl_Vol_Petite+L15*Intl_Vol_Moyenne+L16*Intl_Vol_Grande)</f>
        <v>0</v>
      </c>
      <c r="M48" s="33" t="n">
        <f aca="false">IF(M$3&gt;=Intl_Start,MIN(1,(M$3-Intl_Start+1)/Intl_Ramp)*Intl_Uptake,0)*(M14*Intl_Vol_Petite+M15*Intl_Vol_Moyenne+M16*Intl_Vol_Grande)</f>
        <v>0</v>
      </c>
      <c r="N48" s="33" t="n">
        <f aca="false">IF(N$3&gt;=Intl_Start,MIN(1,(N$3-Intl_Start+1)/Intl_Ramp)*Intl_Uptake,0)*(N14*Intl_Vol_Petite+N15*Intl_Vol_Moyenne+N16*Intl_Vol_Grande)</f>
        <v>0</v>
      </c>
      <c r="O48" s="33" t="n">
        <f aca="false">IF(O$3&gt;=Intl_Start,MIN(1,(O$3-Intl_Start+1)/Intl_Ramp)*Intl_Uptake,0)*(O14*Intl_Vol_Petite+O15*Intl_Vol_Moyenne+O16*Intl_Vol_Grande)</f>
        <v>0</v>
      </c>
      <c r="P48" s="33" t="n">
        <f aca="false">IF(P$3&gt;=Intl_Start,MIN(1,(P$3-Intl_Start+1)/Intl_Ramp)*Intl_Uptake,0)*(P14*Intl_Vol_Petite+P15*Intl_Vol_Moyenne+P16*Intl_Vol_Grande)</f>
        <v>0</v>
      </c>
      <c r="Q48" s="33" t="n">
        <f aca="false">IF(Q$3&gt;=Intl_Start,MIN(1,(Q$3-Intl_Start+1)/Intl_Ramp)*Intl_Uptake,0)*(Q14*Intl_Vol_Petite+Q15*Intl_Vol_Moyenne+Q16*Intl_Vol_Grande)</f>
        <v>11054971.5739313</v>
      </c>
      <c r="R48" s="33" t="n">
        <f aca="false">IF(R$3&gt;=Intl_Start,MIN(1,(R$3-Intl_Start+1)/Intl_Ramp)*Intl_Uptake,0)*(R14*Intl_Vol_Petite+R15*Intl_Vol_Moyenne+R16*Intl_Vol_Grande)</f>
        <v>25314388.9683941</v>
      </c>
      <c r="S48" s="33" t="n">
        <f aca="false">IF(S$3&gt;=Intl_Start,MIN(1,(S$3-Intl_Start+1)/Intl_Ramp)*Intl_Uptake,0)*(S14*Intl_Vol_Petite+S15*Intl_Vol_Moyenne+S16*Intl_Vol_Grande)</f>
        <v>42777610.7418569</v>
      </c>
      <c r="T48" s="33" t="n">
        <f aca="false">IF(T$3&gt;=Intl_Start,MIN(1,(T$3-Intl_Start+1)/Intl_Ramp)*Intl_Uptake,0)*(T14*Intl_Vol_Petite+T15*Intl_Vol_Moyenne+T16*Intl_Vol_Grande)</f>
        <v>63448825.5021131</v>
      </c>
      <c r="U48" s="33" t="n">
        <f aca="false">IF(U$3&gt;=Intl_Start,MIN(1,(U$3-Intl_Start+1)/Intl_Ramp)*Intl_Uptake,0)*(U14*Intl_Vol_Petite+U15*Intl_Vol_Moyenne+U16*Intl_Vol_Grande)</f>
        <v>87337324.2827012</v>
      </c>
      <c r="V48" s="33" t="n">
        <f aca="false">IF(V$3&gt;=Intl_Start,MIN(1,(V$3-Intl_Start+1)/Intl_Ramp)*Intl_Uptake,0)*(V14*Intl_Vol_Petite+V15*Intl_Vol_Moyenne+V16*Intl_Vol_Grande)</f>
        <v>114457794.313182</v>
      </c>
      <c r="W48" s="33" t="n">
        <f aca="false">IF(W$3&gt;=Intl_Start,MIN(1,(W$3-Intl_Start+1)/Intl_Ramp)*Intl_Uptake,0)*(W14*Intl_Vol_Petite+W15*Intl_Vol_Moyenne+W16*Intl_Vol_Grande)</f>
        <v>151192235.643757</v>
      </c>
      <c r="X48" s="33" t="n">
        <f aca="false">IF(X$3&gt;=Intl_Start,MIN(1,(X$3-Intl_Start+1)/Intl_Ramp)*Intl_Uptake,0)*(X14*Intl_Vol_Petite+X15*Intl_Vol_Moyenne+X16*Intl_Vol_Grande)</f>
        <v>193001720.852324</v>
      </c>
      <c r="Y48" s="33" t="n">
        <f aca="false">IF(Y$3&gt;=Intl_Start,MIN(1,(Y$3-Intl_Start+1)/Intl_Ramp)*Intl_Uptake,0)*(Y14*Intl_Vol_Petite+Y15*Intl_Vol_Moyenne+Y16*Intl_Vol_Grande)</f>
        <v>241644281.641452</v>
      </c>
      <c r="Z48" s="33" t="n">
        <f aca="false">IF(Z$3&gt;=Intl_Start,MIN(1,(Z$3-Intl_Start+1)/Intl_Ramp)*Intl_Uptake,0)*(Z14*Intl_Vol_Petite+Z15*Intl_Vol_Moyenne+Z16*Intl_Vol_Grande)</f>
        <v>295791400.886474</v>
      </c>
      <c r="AA48" s="33" t="n">
        <f aca="false">IF(AA$3&gt;=Intl_Start,MIN(1,(AA$3-Intl_Start+1)/Intl_Ramp)*Intl_Uptake,0)*(AA14*Intl_Vol_Petite+AA15*Intl_Vol_Moyenne+AA16*Intl_Vol_Grande)</f>
        <v>355485584.011672</v>
      </c>
      <c r="AB48" s="33" t="n">
        <f aca="false">IF(AB$3&gt;=Intl_Start,MIN(1,(AB$3-Intl_Start+1)/Intl_Ramp)*Intl_Uptake,0)*(AB14*Intl_Vol_Petite+AB15*Intl_Vol_Moyenne+AB16*Intl_Vol_Grande)</f>
        <v>420779981.903862</v>
      </c>
      <c r="AC48" s="33" t="n">
        <f aca="false">IF(AC$3&gt;=Intl_Start,MIN(1,(AC$3-Intl_Start+1)/Intl_Ramp)*Intl_Uptake,0)*(AC14*Intl_Vol_Petite+AC15*Intl_Vol_Moyenne+AC16*Intl_Vol_Grande)</f>
        <v>464012156.342701</v>
      </c>
      <c r="AD48" s="33" t="n">
        <f aca="false">IF(AD$3&gt;=Intl_Start,MIN(1,(AD$3-Intl_Start+1)/Intl_Ramp)*Intl_Uptake,0)*(AD14*Intl_Vol_Petite+AD15*Intl_Vol_Moyenne+AD16*Intl_Vol_Grande)</f>
        <v>507306262.123261</v>
      </c>
      <c r="AE48" s="33" t="n">
        <f aca="false">IF(AE$3&gt;=Intl_Start,MIN(1,(AE$3-Intl_Start+1)/Intl_Ramp)*Intl_Uptake,0)*(AE14*Intl_Vol_Petite+AE15*Intl_Vol_Moyenne+AE16*Intl_Vol_Grande)</f>
        <v>553001918.4823</v>
      </c>
      <c r="AF48" s="33" t="n">
        <f aca="false">IF(AF$3&gt;=Intl_Start,MIN(1,(AF$3-Intl_Start+1)/Intl_Ramp)*Intl_Uptake,0)*(AF14*Intl_Vol_Petite+AF15*Intl_Vol_Moyenne+AF16*Intl_Vol_Grande)</f>
        <v>598803734.002517</v>
      </c>
      <c r="AG48" s="33" t="n">
        <f aca="false">IF(AG$3&gt;=Intl_Start,MIN(1,(AG$3-Intl_Start+1)/Intl_Ramp)*Intl_Uptake,0)*(AG14*Intl_Vol_Petite+AG15*Intl_Vol_Moyenne+AG16*Intl_Vol_Grande)</f>
        <v>644751190.580861</v>
      </c>
      <c r="AH48" s="33" t="n">
        <f aca="false">IF(AH$3&gt;=Intl_Start,MIN(1,(AH$3-Intl_Start+1)/Intl_Ramp)*Intl_Uptake,0)*(AH14*Intl_Vol_Petite+AH15*Intl_Vol_Moyenne+AH16*Intl_Vol_Grande)</f>
        <v>690885654.728536</v>
      </c>
      <c r="AI48" s="33" t="n">
        <f aca="false">IF(AI$3&gt;=Intl_Start,MIN(1,(AI$3-Intl_Start+1)/Intl_Ramp)*Intl_Uptake,0)*(AI14*Intl_Vol_Petite+AI15*Intl_Vol_Moyenne+AI16*Intl_Vol_Grande)</f>
        <v>739554498.612338</v>
      </c>
      <c r="AJ48" s="33" t="n">
        <f aca="false">IF(AJ$3&gt;=Intl_Start,MIN(1,(AJ$3-Intl_Start+1)/Intl_Ramp)*Intl_Uptake,0)*(AJ14*Intl_Vol_Petite+AJ15*Intl_Vol_Moyenne+AJ16*Intl_Vol_Grande)</f>
        <v>788470548.216915</v>
      </c>
      <c r="AK48" s="33" t="n">
        <f aca="false">IF(AK$3&gt;=Intl_Start,MIN(1,(AK$3-Intl_Start+1)/Intl_Ramp)*Intl_Uptake,0)*(AK14*Intl_Vol_Petite+AK15*Intl_Vol_Moyenne+AK16*Intl_Vol_Grande)</f>
        <v>837681995.15787</v>
      </c>
      <c r="AL48" s="33" t="n">
        <f aca="false">IF(AL$3&gt;=Intl_Start,MIN(1,(AL$3-Intl_Start+1)/Intl_Ramp)*Intl_Uptake,0)*(AL14*Intl_Vol_Petite+AL15*Intl_Vol_Moyenne+AL16*Intl_Vol_Grande)</f>
        <v>887239437.498077</v>
      </c>
      <c r="AM48" s="33" t="n">
        <f aca="false">IF(AM$3&gt;=Intl_Start,MIN(1,(AM$3-Intl_Start+1)/Intl_Ramp)*Intl_Uptake,0)*(AM14*Intl_Vol_Petite+AM15*Intl_Vol_Moyenne+AM16*Intl_Vol_Grande)</f>
        <v>939500032.077098</v>
      </c>
      <c r="AN48" s="33" t="n">
        <f aca="false">IF(AN$3&gt;=Intl_Start,MIN(1,(AN$3-Intl_Start+1)/Intl_Ramp)*Intl_Uptake,0)*(AN14*Intl_Vol_Petite+AN15*Intl_Vol_Moyenne+AN16*Intl_Vol_Grande)</f>
        <v>992186975.839605</v>
      </c>
      <c r="AO48" s="33" t="n">
        <f aca="false">IF(AO$3&gt;=Intl_Start,MIN(1,(AO$3-Intl_Start+1)/Intl_Ramp)*Intl_Uptake,0)*(AO14*Intl_Vol_Petite+AO15*Intl_Vol_Moyenne+AO16*Intl_Vol_Grande)</f>
        <v>1052463452.80537</v>
      </c>
      <c r="AP48" s="33" t="n">
        <f aca="false">IF(AP$3&gt;=Intl_Start,MIN(1,(AP$3-Intl_Start+1)/Intl_Ramp)*Intl_Uptake,0)*(AP14*Intl_Vol_Petite+AP15*Intl_Vol_Moyenne+AP16*Intl_Vol_Grande)</f>
        <v>1115503282.15262</v>
      </c>
      <c r="AQ48" s="33" t="n">
        <f aca="false">IF(AQ$3&gt;=Intl_Start,MIN(1,(AQ$3-Intl_Start+1)/Intl_Ramp)*Intl_Uptake,0)*(AQ14*Intl_Vol_Petite+AQ15*Intl_Vol_Moyenne+AQ16*Intl_Vol_Grande)</f>
        <v>1179040573.02627</v>
      </c>
      <c r="AR48" s="33" t="n">
        <f aca="false">IF(AR$3&gt;=Intl_Start,MIN(1,(AR$3-Intl_Start+1)/Intl_Ramp)*Intl_Uptake,0)*(AR14*Intl_Vol_Petite+AR15*Intl_Vol_Moyenne+AR16*Intl_Vol_Grande)</f>
        <v>1243145969.88937</v>
      </c>
      <c r="AS48" s="33" t="n">
        <f aca="false">IF(AS$3&gt;=Intl_Start,MIN(1,(AS$3-Intl_Start+1)/Intl_Ramp)*Intl_Uptake,0)*(AS14*Intl_Vol_Petite+AS15*Intl_Vol_Moyenne+AS16*Intl_Vol_Grande)</f>
        <v>1310197765.24918</v>
      </c>
      <c r="AT48" s="33" t="n">
        <f aca="false">IF(AT$3&gt;=Intl_Start,MIN(1,(AT$3-Intl_Start+1)/Intl_Ramp)*Intl_Uptake,0)*(AT14*Intl_Vol_Petite+AT15*Intl_Vol_Moyenne+AT16*Intl_Vol_Grande)</f>
        <v>1377941448.18058</v>
      </c>
      <c r="AU48" s="33" t="n">
        <f aca="false">IF(AU$3&gt;=Intl_Start,MIN(1,(AU$3-Intl_Start+1)/Intl_Ramp)*Intl_Uptake,0)*(AU14*Intl_Vol_Petite+AU15*Intl_Vol_Moyenne+AU16*Intl_Vol_Grande)</f>
        <v>1446459722.49041</v>
      </c>
      <c r="AV48" s="33" t="n">
        <f aca="false">IF(AV$3&gt;=Intl_Start,MIN(1,(AV$3-Intl_Start+1)/Intl_Ramp)*Intl_Uptake,0)*(AV14*Intl_Vol_Petite+AV15*Intl_Vol_Moyenne+AV16*Intl_Vol_Grande)</f>
        <v>1520217260.23507</v>
      </c>
      <c r="AW48" s="33" t="n">
        <f aca="false">IF(AW$3&gt;=Intl_Start,MIN(1,(AW$3-Intl_Start+1)/Intl_Ramp)*Intl_Uptake,0)*(AW14*Intl_Vol_Petite+AW15*Intl_Vol_Moyenne+AW16*Intl_Vol_Grande)</f>
        <v>1594215387.35573</v>
      </c>
      <c r="AX48" s="33" t="n">
        <f aca="false">IF(AX$3&gt;=Intl_Start,MIN(1,(AX$3-Intl_Start+1)/Intl_Ramp)*Intl_Uptake,0)*(AX14*Intl_Vol_Petite+AX15*Intl_Vol_Moyenne+AX16*Intl_Vol_Grande)</f>
        <v>1670100125.28994</v>
      </c>
      <c r="AY48" s="33" t="n">
        <f aca="false">IF(AY$3&gt;=Intl_Start,MIN(1,(AY$3-Intl_Start+1)/Intl_Ramp)*Intl_Uptake,0)*(AY14*Intl_Vol_Petite+AY15*Intl_Vol_Moyenne+AY16*Intl_Vol_Grande)</f>
        <v>1745573711.50957</v>
      </c>
      <c r="AZ48" s="33" t="n">
        <f aca="false">IF(AZ$3&gt;=Intl_Start,MIN(1,(AZ$3-Intl_Start+1)/Intl_Ramp)*Intl_Uptake,0)*(AZ14*Intl_Vol_Petite+AZ15*Intl_Vol_Moyenne+AZ16*Intl_Vol_Grande)</f>
        <v>1820672711.24077</v>
      </c>
      <c r="BA48" s="33" t="n">
        <f aca="false">IF(BA$3&gt;=Intl_Start,MIN(1,(BA$3-Intl_Start+1)/Intl_Ramp)*Intl_Uptake,0)*(BA14*Intl_Vol_Petite+BA15*Intl_Vol_Moyenne+BA16*Intl_Vol_Grande)</f>
        <v>1904881402.49743</v>
      </c>
      <c r="BB48" s="33" t="n">
        <f aca="false">IF(BB$3&gt;=Intl_Start,MIN(1,(BB$3-Intl_Start+1)/Intl_Ramp)*Intl_Uptake,0)*(BB14*Intl_Vol_Petite+BB15*Intl_Vol_Moyenne+BB16*Intl_Vol_Grande)</f>
        <v>1988675081.16704</v>
      </c>
      <c r="BC48" s="33" t="n">
        <f aca="false">IF(BC$3&gt;=Intl_Start,MIN(1,(BC$3-Intl_Start+1)/Intl_Ramp)*Intl_Uptake,0)*(BC14*Intl_Vol_Petite+BC15*Intl_Vol_Moyenne+BC16*Intl_Vol_Grande)</f>
        <v>2074400241.4391</v>
      </c>
      <c r="BD48" s="33" t="n">
        <f aca="false">IF(BD$3&gt;=Intl_Start,MIN(1,(BD$3-Intl_Start+1)/Intl_Ramp)*Intl_Uptake,0)*(BD14*Intl_Vol_Petite+BD15*Intl_Vol_Moyenne+BD16*Intl_Vol_Grande)</f>
        <v>2159768277.97748</v>
      </c>
      <c r="BE48" s="33" t="n">
        <f aca="false">IF(BE$3&gt;=Intl_Start,MIN(1,(BE$3-Intl_Start+1)/Intl_Ramp)*Intl_Uptake,0)*(BE14*Intl_Vol_Petite+BE15*Intl_Vol_Moyenne+BE16*Intl_Vol_Grande)</f>
        <v>2246898972.5914</v>
      </c>
      <c r="BF48" s="33" t="n">
        <f aca="false">IF(BF$3&gt;=Intl_Start,MIN(1,(BF$3-Intl_Start+1)/Intl_Ramp)*Intl_Uptake,0)*(BF14*Intl_Vol_Petite+BF15*Intl_Vol_Moyenne+BF16*Intl_Vol_Grande)</f>
        <v>2336044896.2598</v>
      </c>
      <c r="BG48" s="33" t="n">
        <f aca="false">IF(BG$3&gt;=Intl_Start,MIN(1,(BG$3-Intl_Start+1)/Intl_Ramp)*Intl_Uptake,0)*(BG14*Intl_Vol_Petite+BG15*Intl_Vol_Moyenne+BG16*Intl_Vol_Grande)</f>
        <v>2424923651.41267</v>
      </c>
      <c r="BH48" s="33" t="n">
        <f aca="false">IF(BH$3&gt;=Intl_Start,MIN(1,(BH$3-Intl_Start+1)/Intl_Ramp)*Intl_Uptake,0)*(BH14*Intl_Vol_Petite+BH15*Intl_Vol_Moyenne+BH16*Intl_Vol_Grande)</f>
        <v>2515891986.36021</v>
      </c>
      <c r="BI48" s="33" t="n">
        <f aca="false">IF(BI$3&gt;=Intl_Start,MIN(1,(BI$3-Intl_Start+1)/Intl_Ramp)*Intl_Uptake,0)*(BI14*Intl_Vol_Petite+BI15*Intl_Vol_Moyenne+BI16*Intl_Vol_Grande)</f>
        <v>2608745751.02486</v>
      </c>
      <c r="BJ48" s="33" t="n">
        <f aca="false">IF(BJ$3&gt;=Intl_Start,MIN(1,(BJ$3-Intl_Start+1)/Intl_Ramp)*Intl_Uptake,0)*(BJ14*Intl_Vol_Petite+BJ15*Intl_Vol_Moyenne+BJ16*Intl_Vol_Grande)</f>
        <v>2703747207.83999</v>
      </c>
      <c r="BK48" s="33" t="n">
        <f aca="false">IF(BK$3&gt;=Intl_Start,MIN(1,(BK$3-Intl_Start+1)/Intl_Ramp)*Intl_Uptake,0)*(BK14*Intl_Vol_Petite+BK15*Intl_Vol_Moyenne+BK16*Intl_Vol_Grande)</f>
        <v>2798130482.06837</v>
      </c>
      <c r="BL48" s="33" t="n">
        <f aca="false">IF(BL$3&gt;=Intl_Start,MIN(1,(BL$3-Intl_Start+1)/Intl_Ramp)*Intl_Uptake,0)*(BL14*Intl_Vol_Petite+BL15*Intl_Vol_Moyenne+BL16*Intl_Vol_Grande)</f>
        <v>2893696594.12527</v>
      </c>
    </row>
    <row r="49" customFormat="false" ht="15" hidden="false" customHeight="true" outlineLevel="0" collapsed="false">
      <c r="A49" s="13" t="s">
        <v>1246</v>
      </c>
      <c r="B49" s="15" t="s">
        <v>96</v>
      </c>
      <c r="E49" s="35" t="n">
        <f aca="false">IF(E$3&gt;=PayLinks_Start,MIN(1,(E$3-PayLinks_Start+1)/PL_Ramp)*PL_Adoption,0)</f>
        <v>0</v>
      </c>
      <c r="F49" s="35" t="n">
        <f aca="false">IF(F$3&gt;=PayLinks_Start,MIN(1,(F$3-PayLinks_Start+1)/PL_Ramp)*PL_Adoption,0)</f>
        <v>0</v>
      </c>
      <c r="G49" s="35" t="n">
        <f aca="false">IF(G$3&gt;=PayLinks_Start,MIN(1,(G$3-PayLinks_Start+1)/PL_Ramp)*PL_Adoption,0)</f>
        <v>0</v>
      </c>
      <c r="H49" s="35" t="n">
        <f aca="false">IF(H$3&gt;=PayLinks_Start,MIN(1,(H$3-PayLinks_Start+1)/PL_Ramp)*PL_Adoption,0)</f>
        <v>0</v>
      </c>
      <c r="I49" s="35" t="n">
        <f aca="false">IF(I$3&gt;=PayLinks_Start,MIN(1,(I$3-PayLinks_Start+1)/PL_Ramp)*PL_Adoption,0)</f>
        <v>0</v>
      </c>
      <c r="J49" s="35" t="n">
        <f aca="false">IF(J$3&gt;=PayLinks_Start,MIN(1,(J$3-PayLinks_Start+1)/PL_Ramp)*PL_Adoption,0)</f>
        <v>0</v>
      </c>
      <c r="K49" s="35" t="n">
        <f aca="false">IF(K$3&gt;=PayLinks_Start,MIN(1,(K$3-PayLinks_Start+1)/PL_Ramp)*PL_Adoption,0)</f>
        <v>0</v>
      </c>
      <c r="L49" s="35" t="n">
        <f aca="false">IF(L$3&gt;=PayLinks_Start,MIN(1,(L$3-PayLinks_Start+1)/PL_Ramp)*PL_Adoption,0)</f>
        <v>0</v>
      </c>
      <c r="M49" s="35" t="n">
        <f aca="false">IF(M$3&gt;=PayLinks_Start,MIN(1,(M$3-PayLinks_Start+1)/PL_Ramp)*PL_Adoption,0)</f>
        <v>0</v>
      </c>
      <c r="N49" s="35" t="n">
        <f aca="false">IF(N$3&gt;=PayLinks_Start,MIN(1,(N$3-PayLinks_Start+1)/PL_Ramp)*PL_Adoption,0)</f>
        <v>0</v>
      </c>
      <c r="O49" s="35" t="n">
        <f aca="false">IF(O$3&gt;=PayLinks_Start,MIN(1,(O$3-PayLinks_Start+1)/PL_Ramp)*PL_Adoption,0)</f>
        <v>0</v>
      </c>
      <c r="P49" s="35" t="n">
        <f aca="false">IF(P$3&gt;=PayLinks_Start,MIN(1,(P$3-PayLinks_Start+1)/PL_Ramp)*PL_Adoption,0)</f>
        <v>0</v>
      </c>
      <c r="Q49" s="35" t="n">
        <f aca="false">IF(Q$3&gt;=PayLinks_Start,MIN(1,(Q$3-PayLinks_Start+1)/PL_Ramp)*PL_Adoption,0)</f>
        <v>0</v>
      </c>
      <c r="R49" s="35" t="n">
        <f aca="false">IF(R$3&gt;=PayLinks_Start,MIN(1,(R$3-PayLinks_Start+1)/PL_Ramp)*PL_Adoption,0)</f>
        <v>0</v>
      </c>
      <c r="S49" s="35" t="n">
        <f aca="false">IF(S$3&gt;=PayLinks_Start,MIN(1,(S$3-PayLinks_Start+1)/PL_Ramp)*PL_Adoption,0)</f>
        <v>0</v>
      </c>
      <c r="T49" s="35" t="n">
        <f aca="false">IF(T$3&gt;=PayLinks_Start,MIN(1,(T$3-PayLinks_Start+1)/PL_Ramp)*PL_Adoption,0)</f>
        <v>0</v>
      </c>
      <c r="U49" s="35" t="n">
        <f aca="false">IF(U$3&gt;=PayLinks_Start,MIN(1,(U$3-PayLinks_Start+1)/PL_Ramp)*PL_Adoption,0)</f>
        <v>0</v>
      </c>
      <c r="V49" s="35" t="n">
        <f aca="false">IF(V$3&gt;=PayLinks_Start,MIN(1,(V$3-PayLinks_Start+1)/PL_Ramp)*PL_Adoption,0)</f>
        <v>0.0208333333333333</v>
      </c>
      <c r="W49" s="35" t="n">
        <f aca="false">IF(W$3&gt;=PayLinks_Start,MIN(1,(W$3-PayLinks_Start+1)/PL_Ramp)*PL_Adoption,0)</f>
        <v>0.0416666666666667</v>
      </c>
      <c r="X49" s="35" t="n">
        <f aca="false">IF(X$3&gt;=PayLinks_Start,MIN(1,(X$3-PayLinks_Start+1)/PL_Ramp)*PL_Adoption,0)</f>
        <v>0.0625</v>
      </c>
      <c r="Y49" s="35" t="n">
        <f aca="false">IF(Y$3&gt;=PayLinks_Start,MIN(1,(Y$3-PayLinks_Start+1)/PL_Ramp)*PL_Adoption,0)</f>
        <v>0.0833333333333333</v>
      </c>
      <c r="Z49" s="35" t="n">
        <f aca="false">IF(Z$3&gt;=PayLinks_Start,MIN(1,(Z$3-PayLinks_Start+1)/PL_Ramp)*PL_Adoption,0)</f>
        <v>0.104166666666667</v>
      </c>
      <c r="AA49" s="35" t="n">
        <f aca="false">IF(AA$3&gt;=PayLinks_Start,MIN(1,(AA$3-PayLinks_Start+1)/PL_Ramp)*PL_Adoption,0)</f>
        <v>0.125</v>
      </c>
      <c r="AB49" s="35" t="n">
        <f aca="false">IF(AB$3&gt;=PayLinks_Start,MIN(1,(AB$3-PayLinks_Start+1)/PL_Ramp)*PL_Adoption,0)</f>
        <v>0.145833333333333</v>
      </c>
      <c r="AC49" s="35" t="n">
        <f aca="false">IF(AC$3&gt;=PayLinks_Start,MIN(1,(AC$3-PayLinks_Start+1)/PL_Ramp)*PL_Adoption,0)</f>
        <v>0.166666666666667</v>
      </c>
      <c r="AD49" s="35" t="n">
        <f aca="false">IF(AD$3&gt;=PayLinks_Start,MIN(1,(AD$3-PayLinks_Start+1)/PL_Ramp)*PL_Adoption,0)</f>
        <v>0.1875</v>
      </c>
      <c r="AE49" s="35" t="n">
        <f aca="false">IF(AE$3&gt;=PayLinks_Start,MIN(1,(AE$3-PayLinks_Start+1)/PL_Ramp)*PL_Adoption,0)</f>
        <v>0.208333333333333</v>
      </c>
      <c r="AF49" s="35" t="n">
        <f aca="false">IF(AF$3&gt;=PayLinks_Start,MIN(1,(AF$3-PayLinks_Start+1)/PL_Ramp)*PL_Adoption,0)</f>
        <v>0.229166666666667</v>
      </c>
      <c r="AG49" s="35" t="n">
        <f aca="false">IF(AG$3&gt;=PayLinks_Start,MIN(1,(AG$3-PayLinks_Start+1)/PL_Ramp)*PL_Adoption,0)</f>
        <v>0.25</v>
      </c>
      <c r="AH49" s="35" t="n">
        <f aca="false">IF(AH$3&gt;=PayLinks_Start,MIN(1,(AH$3-PayLinks_Start+1)/PL_Ramp)*PL_Adoption,0)</f>
        <v>0.25</v>
      </c>
      <c r="AI49" s="35" t="n">
        <f aca="false">IF(AI$3&gt;=PayLinks_Start,MIN(1,(AI$3-PayLinks_Start+1)/PL_Ramp)*PL_Adoption,0)</f>
        <v>0.25</v>
      </c>
      <c r="AJ49" s="35" t="n">
        <f aca="false">IF(AJ$3&gt;=PayLinks_Start,MIN(1,(AJ$3-PayLinks_Start+1)/PL_Ramp)*PL_Adoption,0)</f>
        <v>0.25</v>
      </c>
      <c r="AK49" s="35" t="n">
        <f aca="false">IF(AK$3&gt;=PayLinks_Start,MIN(1,(AK$3-PayLinks_Start+1)/PL_Ramp)*PL_Adoption,0)</f>
        <v>0.25</v>
      </c>
      <c r="AL49" s="35" t="n">
        <f aca="false">IF(AL$3&gt;=PayLinks_Start,MIN(1,(AL$3-PayLinks_Start+1)/PL_Ramp)*PL_Adoption,0)</f>
        <v>0.25</v>
      </c>
      <c r="AM49" s="35" t="n">
        <f aca="false">IF(AM$3&gt;=PayLinks_Start,MIN(1,(AM$3-PayLinks_Start+1)/PL_Ramp)*PL_Adoption,0)</f>
        <v>0.25</v>
      </c>
      <c r="AN49" s="35" t="n">
        <f aca="false">IF(AN$3&gt;=PayLinks_Start,MIN(1,(AN$3-PayLinks_Start+1)/PL_Ramp)*PL_Adoption,0)</f>
        <v>0.25</v>
      </c>
      <c r="AO49" s="35" t="n">
        <f aca="false">IF(AO$3&gt;=PayLinks_Start,MIN(1,(AO$3-PayLinks_Start+1)/PL_Ramp)*PL_Adoption,0)</f>
        <v>0.25</v>
      </c>
      <c r="AP49" s="35" t="n">
        <f aca="false">IF(AP$3&gt;=PayLinks_Start,MIN(1,(AP$3-PayLinks_Start+1)/PL_Ramp)*PL_Adoption,0)</f>
        <v>0.25</v>
      </c>
      <c r="AQ49" s="35" t="n">
        <f aca="false">IF(AQ$3&gt;=PayLinks_Start,MIN(1,(AQ$3-PayLinks_Start+1)/PL_Ramp)*PL_Adoption,0)</f>
        <v>0.25</v>
      </c>
      <c r="AR49" s="35" t="n">
        <f aca="false">IF(AR$3&gt;=PayLinks_Start,MIN(1,(AR$3-PayLinks_Start+1)/PL_Ramp)*PL_Adoption,0)</f>
        <v>0.25</v>
      </c>
      <c r="AS49" s="35" t="n">
        <f aca="false">IF(AS$3&gt;=PayLinks_Start,MIN(1,(AS$3-PayLinks_Start+1)/PL_Ramp)*PL_Adoption,0)</f>
        <v>0.25</v>
      </c>
      <c r="AT49" s="35" t="n">
        <f aca="false">IF(AT$3&gt;=PayLinks_Start,MIN(1,(AT$3-PayLinks_Start+1)/PL_Ramp)*PL_Adoption,0)</f>
        <v>0.25</v>
      </c>
      <c r="AU49" s="35" t="n">
        <f aca="false">IF(AU$3&gt;=PayLinks_Start,MIN(1,(AU$3-PayLinks_Start+1)/PL_Ramp)*PL_Adoption,0)</f>
        <v>0.25</v>
      </c>
      <c r="AV49" s="35" t="n">
        <f aca="false">IF(AV$3&gt;=PayLinks_Start,MIN(1,(AV$3-PayLinks_Start+1)/PL_Ramp)*PL_Adoption,0)</f>
        <v>0.25</v>
      </c>
      <c r="AW49" s="35" t="n">
        <f aca="false">IF(AW$3&gt;=PayLinks_Start,MIN(1,(AW$3-PayLinks_Start+1)/PL_Ramp)*PL_Adoption,0)</f>
        <v>0.25</v>
      </c>
      <c r="AX49" s="35" t="n">
        <f aca="false">IF(AX$3&gt;=PayLinks_Start,MIN(1,(AX$3-PayLinks_Start+1)/PL_Ramp)*PL_Adoption,0)</f>
        <v>0.25</v>
      </c>
      <c r="AY49" s="35" t="n">
        <f aca="false">IF(AY$3&gt;=PayLinks_Start,MIN(1,(AY$3-PayLinks_Start+1)/PL_Ramp)*PL_Adoption,0)</f>
        <v>0.25</v>
      </c>
      <c r="AZ49" s="35" t="n">
        <f aca="false">IF(AZ$3&gt;=PayLinks_Start,MIN(1,(AZ$3-PayLinks_Start+1)/PL_Ramp)*PL_Adoption,0)</f>
        <v>0.25</v>
      </c>
      <c r="BA49" s="35" t="n">
        <f aca="false">IF(BA$3&gt;=PayLinks_Start,MIN(1,(BA$3-PayLinks_Start+1)/PL_Ramp)*PL_Adoption,0)</f>
        <v>0.25</v>
      </c>
      <c r="BB49" s="35" t="n">
        <f aca="false">IF(BB$3&gt;=PayLinks_Start,MIN(1,(BB$3-PayLinks_Start+1)/PL_Ramp)*PL_Adoption,0)</f>
        <v>0.25</v>
      </c>
      <c r="BC49" s="35" t="n">
        <f aca="false">IF(BC$3&gt;=PayLinks_Start,MIN(1,(BC$3-PayLinks_Start+1)/PL_Ramp)*PL_Adoption,0)</f>
        <v>0.25</v>
      </c>
      <c r="BD49" s="35" t="n">
        <f aca="false">IF(BD$3&gt;=PayLinks_Start,MIN(1,(BD$3-PayLinks_Start+1)/PL_Ramp)*PL_Adoption,0)</f>
        <v>0.25</v>
      </c>
      <c r="BE49" s="35" t="n">
        <f aca="false">IF(BE$3&gt;=PayLinks_Start,MIN(1,(BE$3-PayLinks_Start+1)/PL_Ramp)*PL_Adoption,0)</f>
        <v>0.25</v>
      </c>
      <c r="BF49" s="35" t="n">
        <f aca="false">IF(BF$3&gt;=PayLinks_Start,MIN(1,(BF$3-PayLinks_Start+1)/PL_Ramp)*PL_Adoption,0)</f>
        <v>0.25</v>
      </c>
      <c r="BG49" s="35" t="n">
        <f aca="false">IF(BG$3&gt;=PayLinks_Start,MIN(1,(BG$3-PayLinks_Start+1)/PL_Ramp)*PL_Adoption,0)</f>
        <v>0.25</v>
      </c>
      <c r="BH49" s="35" t="n">
        <f aca="false">IF(BH$3&gt;=PayLinks_Start,MIN(1,(BH$3-PayLinks_Start+1)/PL_Ramp)*PL_Adoption,0)</f>
        <v>0.25</v>
      </c>
      <c r="BI49" s="35" t="n">
        <f aca="false">IF(BI$3&gt;=PayLinks_Start,MIN(1,(BI$3-PayLinks_Start+1)/PL_Ramp)*PL_Adoption,0)</f>
        <v>0.25</v>
      </c>
      <c r="BJ49" s="35" t="n">
        <f aca="false">IF(BJ$3&gt;=PayLinks_Start,MIN(1,(BJ$3-PayLinks_Start+1)/PL_Ramp)*PL_Adoption,0)</f>
        <v>0.25</v>
      </c>
      <c r="BK49" s="35" t="n">
        <f aca="false">IF(BK$3&gt;=PayLinks_Start,MIN(1,(BK$3-PayLinks_Start+1)/PL_Ramp)*PL_Adoption,0)</f>
        <v>0.25</v>
      </c>
      <c r="BL49" s="35" t="n">
        <f aca="false">IF(BL$3&gt;=PayLinks_Start,MIN(1,(BL$3-PayLinks_Start+1)/PL_Ramp)*PL_Adoption,0)</f>
        <v>0.25</v>
      </c>
    </row>
    <row r="50" customFormat="false" ht="15" hidden="false" customHeight="true" outlineLevel="0" collapsed="false">
      <c r="A50" s="13" t="s">
        <v>1247</v>
      </c>
      <c r="B50" s="15" t="s">
        <v>77</v>
      </c>
      <c r="D50" s="56" t="n">
        <f aca="false">SUM(E50:BL50)</f>
        <v>113904306082.737</v>
      </c>
      <c r="E50" s="33" t="n">
        <f aca="false">(E14*PL_Coll_Petite+E15*PL_Coll_Moyenne+E16*PL_Coll_Grande)*E49</f>
        <v>0</v>
      </c>
      <c r="F50" s="33" t="n">
        <f aca="false">(F14*PL_Coll_Petite+F15*PL_Coll_Moyenne+F16*PL_Coll_Grande)*F49</f>
        <v>0</v>
      </c>
      <c r="G50" s="33" t="n">
        <f aca="false">(G14*PL_Coll_Petite+G15*PL_Coll_Moyenne+G16*PL_Coll_Grande)*G49</f>
        <v>0</v>
      </c>
      <c r="H50" s="33" t="n">
        <f aca="false">(H14*PL_Coll_Petite+H15*PL_Coll_Moyenne+H16*PL_Coll_Grande)*H49</f>
        <v>0</v>
      </c>
      <c r="I50" s="33" t="n">
        <f aca="false">(I14*PL_Coll_Petite+I15*PL_Coll_Moyenne+I16*PL_Coll_Grande)*I49</f>
        <v>0</v>
      </c>
      <c r="J50" s="33" t="n">
        <f aca="false">(J14*PL_Coll_Petite+J15*PL_Coll_Moyenne+J16*PL_Coll_Grande)*J49</f>
        <v>0</v>
      </c>
      <c r="K50" s="33" t="n">
        <f aca="false">(K14*PL_Coll_Petite+K15*PL_Coll_Moyenne+K16*PL_Coll_Grande)*K49</f>
        <v>0</v>
      </c>
      <c r="L50" s="33" t="n">
        <f aca="false">(L14*PL_Coll_Petite+L15*PL_Coll_Moyenne+L16*PL_Coll_Grande)*L49</f>
        <v>0</v>
      </c>
      <c r="M50" s="33" t="n">
        <f aca="false">(M14*PL_Coll_Petite+M15*PL_Coll_Moyenne+M16*PL_Coll_Grande)*M49</f>
        <v>0</v>
      </c>
      <c r="N50" s="33" t="n">
        <f aca="false">(N14*PL_Coll_Petite+N15*PL_Coll_Moyenne+N16*PL_Coll_Grande)*N49</f>
        <v>0</v>
      </c>
      <c r="O50" s="33" t="n">
        <f aca="false">(O14*PL_Coll_Petite+O15*PL_Coll_Moyenne+O16*PL_Coll_Grande)*O49</f>
        <v>0</v>
      </c>
      <c r="P50" s="33" t="n">
        <f aca="false">(P14*PL_Coll_Petite+P15*PL_Coll_Moyenne+P16*PL_Coll_Grande)*P49</f>
        <v>0</v>
      </c>
      <c r="Q50" s="33" t="n">
        <f aca="false">(Q14*PL_Coll_Petite+Q15*PL_Coll_Moyenne+Q16*PL_Coll_Grande)*Q49</f>
        <v>0</v>
      </c>
      <c r="R50" s="33" t="n">
        <f aca="false">(R14*PL_Coll_Petite+R15*PL_Coll_Moyenne+R16*PL_Coll_Grande)*R49</f>
        <v>0</v>
      </c>
      <c r="S50" s="33" t="n">
        <f aca="false">(S14*PL_Coll_Petite+S15*PL_Coll_Moyenne+S16*PL_Coll_Grande)*S49</f>
        <v>0</v>
      </c>
      <c r="T50" s="33" t="n">
        <f aca="false">(T14*PL_Coll_Petite+T15*PL_Coll_Moyenne+T16*PL_Coll_Grande)*T49</f>
        <v>0</v>
      </c>
      <c r="U50" s="33" t="n">
        <f aca="false">(U14*PL_Coll_Petite+U15*PL_Coll_Moyenne+U16*PL_Coll_Grande)*U49</f>
        <v>0</v>
      </c>
      <c r="V50" s="33" t="n">
        <f aca="false">(V14*PL_Coll_Petite+V15*PL_Coll_Moyenne+V16*PL_Coll_Grande)*V49</f>
        <v>39528147.3236082</v>
      </c>
      <c r="W50" s="33" t="n">
        <f aca="false">(W14*PL_Coll_Petite+W15*PL_Coll_Moyenne+W16*PL_Coll_Grande)*W49</f>
        <v>89517146.9029252</v>
      </c>
      <c r="X50" s="33" t="n">
        <f aca="false">(X14*PL_Coll_Petite+X15*PL_Coll_Moyenne+X16*PL_Coll_Grande)*X49</f>
        <v>149997399.014382</v>
      </c>
      <c r="Y50" s="33" t="n">
        <f aca="false">(Y14*PL_Coll_Petite+Y15*PL_Coll_Moyenne+Y16*PL_Coll_Grande)*Y49</f>
        <v>222603088.933333</v>
      </c>
      <c r="Z50" s="33" t="n">
        <f aca="false">(Z14*PL_Coll_Petite+Z15*PL_Coll_Moyenne+Z16*PL_Coll_Grande)*Z49</f>
        <v>306582923.741116</v>
      </c>
      <c r="AA50" s="33" t="n">
        <f aca="false">(AA14*PL_Coll_Petite+AA15*PL_Coll_Moyenne+AA16*PL_Coll_Grande)*AA49</f>
        <v>402008036.855963</v>
      </c>
      <c r="AB50" s="33" t="n">
        <f aca="false">(AB14*PL_Coll_Petite+AB15*PL_Coll_Moyenne+AB16*PL_Coll_Grande)*AB49</f>
        <v>508970259.646969</v>
      </c>
      <c r="AC50" s="33" t="n">
        <f aca="false">(AC14*PL_Coll_Petite+AC15*PL_Coll_Moyenne+AC16*PL_Coll_Grande)*AC49</f>
        <v>641493175.997067</v>
      </c>
      <c r="AD50" s="33" t="n">
        <f aca="false">(AD14*PL_Coll_Petite+AD15*PL_Coll_Moyenne+AD16*PL_Coll_Grande)*AD49</f>
        <v>789095205.315767</v>
      </c>
      <c r="AE50" s="33" t="n">
        <f aca="false">(AE14*PL_Coll_Petite+AE15*PL_Coll_Moyenne+AE16*PL_Coll_Grande)*AE49</f>
        <v>955845699.486954</v>
      </c>
      <c r="AF50" s="33" t="n">
        <f aca="false">(AF14*PL_Coll_Petite+AF15*PL_Coll_Moyenne+AF16*PL_Coll_Grande)*AF49</f>
        <v>1138649533.62657</v>
      </c>
      <c r="AG50" s="33" t="n">
        <f aca="false">(AG14*PL_Coll_Petite+AG15*PL_Coll_Moyenne+AG16*PL_Coll_Grande)*AG49</f>
        <v>1337652674.89549</v>
      </c>
      <c r="AH50" s="33" t="n">
        <f aca="false">(AH14*PL_Coll_Petite+AH15*PL_Coll_Moyenne+AH16*PL_Coll_Grande)*AH49</f>
        <v>1433568301.37008</v>
      </c>
      <c r="AI50" s="33" t="n">
        <f aca="false">(AI14*PL_Coll_Petite+AI15*PL_Coll_Moyenne+AI16*PL_Coll_Grande)*AI49</f>
        <v>1534759028.38436</v>
      </c>
      <c r="AJ50" s="33" t="n">
        <f aca="false">(AJ14*PL_Coll_Petite+AJ15*PL_Coll_Moyenne+AJ16*PL_Coll_Grande)*AJ49</f>
        <v>1636501644.48538</v>
      </c>
      <c r="AK50" s="33" t="n">
        <f aca="false">(AK14*PL_Coll_Petite+AK15*PL_Coll_Moyenne+AK16*PL_Coll_Grande)*AK49</f>
        <v>1738895164.75609</v>
      </c>
      <c r="AL50" s="33" t="n">
        <f aca="false">(AL14*PL_Coll_Petite+AL15*PL_Coll_Moyenne+AL16*PL_Coll_Grande)*AL49</f>
        <v>1842043639.29878</v>
      </c>
      <c r="AM50" s="33" t="n">
        <f aca="false">(AM14*PL_Coll_Petite+AM15*PL_Coll_Moyenne+AM16*PL_Coll_Grande)*AM49</f>
        <v>1950816469.38186</v>
      </c>
      <c r="AN50" s="33" t="n">
        <f aca="false">(AN14*PL_Coll_Petite+AN15*PL_Coll_Moyenne+AN16*PL_Coll_Grande)*AN49</f>
        <v>2060512042.31727</v>
      </c>
      <c r="AO50" s="33" t="n">
        <f aca="false">(AO14*PL_Coll_Petite+AO15*PL_Coll_Moyenne+AO16*PL_Coll_Grande)*AO49</f>
        <v>2185928930.61354</v>
      </c>
      <c r="AP50" s="33" t="n">
        <f aca="false">(AP14*PL_Coll_Petite+AP15*PL_Coll_Moyenne+AP16*PL_Coll_Grande)*AP49</f>
        <v>2317103952.97715</v>
      </c>
      <c r="AQ50" s="33" t="n">
        <f aca="false">(AQ14*PL_Coll_Petite+AQ15*PL_Coll_Moyenne+AQ16*PL_Coll_Grande)*AQ49</f>
        <v>2449357920.69183</v>
      </c>
      <c r="AR50" s="33" t="n">
        <f aca="false">(AR14*PL_Coll_Petite+AR15*PL_Coll_Moyenne+AR16*PL_Coll_Grande)*AR49</f>
        <v>2582836310.49629</v>
      </c>
      <c r="AS50" s="33" t="n">
        <f aca="false">(AS14*PL_Coll_Petite+AS15*PL_Coll_Moyenne+AS16*PL_Coll_Grande)*AS49</f>
        <v>2722452222.48746</v>
      </c>
      <c r="AT50" s="33" t="n">
        <f aca="false">(AT14*PL_Coll_Petite+AT15*PL_Coll_Moyenne+AT16*PL_Coll_Grande)*AT49</f>
        <v>2863550154.60061</v>
      </c>
      <c r="AU50" s="33" t="n">
        <f aca="false">(AU14*PL_Coll_Petite+AU15*PL_Coll_Moyenne+AU16*PL_Coll_Grande)*AU49</f>
        <v>3006300683.01949</v>
      </c>
      <c r="AV50" s="33" t="n">
        <f aca="false">(AV14*PL_Coll_Petite+AV15*PL_Coll_Moyenne+AV16*PL_Coll_Grande)*AV49</f>
        <v>3159927504.923</v>
      </c>
      <c r="AW50" s="33" t="n">
        <f aca="false">(AW14*PL_Coll_Petite+AW15*PL_Coll_Moyenne+AW16*PL_Coll_Grande)*AW49</f>
        <v>3314108255.51812</v>
      </c>
      <c r="AX50" s="33" t="n">
        <f aca="false">(AX14*PL_Coll_Petite+AX15*PL_Coll_Moyenne+AX16*PL_Coll_Grande)*AX49</f>
        <v>3472242695.06021</v>
      </c>
      <c r="AY50" s="33" t="n">
        <f aca="false">(AY14*PL_Coll_Petite+AY15*PL_Coll_Moyenne+AY16*PL_Coll_Grande)*AY49</f>
        <v>3629584675.09949</v>
      </c>
      <c r="AZ50" s="33" t="n">
        <f aca="false">(AZ14*PL_Coll_Petite+AZ15*PL_Coll_Moyenne+AZ16*PL_Coll_Grande)*AZ49</f>
        <v>3786208138.36442</v>
      </c>
      <c r="BA50" s="33" t="n">
        <f aca="false">(BA14*PL_Coll_Petite+BA15*PL_Coll_Moyenne+BA16*PL_Coll_Grande)*BA49</f>
        <v>3961705810.69997</v>
      </c>
      <c r="BB50" s="33" t="n">
        <f aca="false">(BB14*PL_Coll_Petite+BB15*PL_Coll_Moyenne+BB16*PL_Coll_Grande)*BB49</f>
        <v>4136408923.48267</v>
      </c>
      <c r="BC50" s="33" t="n">
        <f aca="false">(BC14*PL_Coll_Petite+BC15*PL_Coll_Moyenne+BC16*PL_Coll_Grande)*BC49</f>
        <v>4315163545.927</v>
      </c>
      <c r="BD50" s="33" t="n">
        <f aca="false">(BD14*PL_Coll_Petite+BD15*PL_Coll_Moyenne+BD16*PL_Coll_Grande)*BD49</f>
        <v>4493242392.27138</v>
      </c>
      <c r="BE50" s="33" t="n">
        <f aca="false">(BE14*PL_Coll_Petite+BE15*PL_Coll_Moyenne+BE16*PL_Coll_Grande)*BE49</f>
        <v>4675023228.19261</v>
      </c>
      <c r="BF50" s="33" t="n">
        <f aca="false">(BF14*PL_Coll_Petite+BF15*PL_Coll_Moyenne+BF16*PL_Coll_Grande)*BF49</f>
        <v>4861028592.92959</v>
      </c>
      <c r="BG50" s="33" t="n">
        <f aca="false">(BG14*PL_Coll_Petite+BG15*PL_Coll_Moyenne+BG16*PL_Coll_Grande)*BG49</f>
        <v>5046544115.42752</v>
      </c>
      <c r="BH50" s="33" t="n">
        <f aca="false">(BH14*PL_Coll_Petite+BH15*PL_Coll_Moyenne+BH16*PL_Coll_Grande)*BH49</f>
        <v>5236437222.34654</v>
      </c>
      <c r="BI50" s="33" t="n">
        <f aca="false">(BI14*PL_Coll_Petite+BI15*PL_Coll_Moyenne+BI16*PL_Coll_Grande)*BI49</f>
        <v>5430287235.32717</v>
      </c>
      <c r="BJ50" s="33" t="n">
        <f aca="false">(BJ14*PL_Coll_Petite+BJ15*PL_Coll_Moyenne+BJ16*PL_Coll_Grande)*BJ49</f>
        <v>5628636822.75455</v>
      </c>
      <c r="BK50" s="33" t="n">
        <f aca="false">(BK14*PL_Coll_Petite+BK15*PL_Coll_Moyenne+BK16*PL_Coll_Grande)*BK49</f>
        <v>5825772878.68807</v>
      </c>
      <c r="BL50" s="33" t="n">
        <f aca="false">(BL14*PL_Coll_Petite+BL15*PL_Coll_Moyenne+BL16*PL_Coll_Grande)*BL49</f>
        <v>6025414289.10409</v>
      </c>
    </row>
    <row r="52" customFormat="false" ht="15" hidden="false" customHeight="true" outlineLevel="0" collapsed="false">
      <c r="A52" s="11" t="s">
        <v>1248</v>
      </c>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row>
    <row r="53" customFormat="false" ht="15" hidden="false" customHeight="true" outlineLevel="0" collapsed="false">
      <c r="A53" s="13" t="s">
        <v>1249</v>
      </c>
      <c r="B53" s="15" t="s">
        <v>464</v>
      </c>
      <c r="E53" s="60" t="n">
        <f aca="false">(1+Price_Increase)^(E$5-1)*(1-Annual_Share*Annual_Free/12)</f>
        <v>0.95</v>
      </c>
      <c r="F53" s="60" t="n">
        <f aca="false">(1+Price_Increase)^(F$5-1)*(1-Annual_Share*Annual_Free/12)</f>
        <v>0.95</v>
      </c>
      <c r="G53" s="60" t="n">
        <f aca="false">(1+Price_Increase)^(G$5-1)*(1-Annual_Share*Annual_Free/12)</f>
        <v>0.95</v>
      </c>
      <c r="H53" s="60" t="n">
        <f aca="false">(1+Price_Increase)^(H$5-1)*(1-Annual_Share*Annual_Free/12)</f>
        <v>0.95</v>
      </c>
      <c r="I53" s="60" t="n">
        <f aca="false">(1+Price_Increase)^(I$5-1)*(1-Annual_Share*Annual_Free/12)</f>
        <v>0.95</v>
      </c>
      <c r="J53" s="60" t="n">
        <f aca="false">(1+Price_Increase)^(J$5-1)*(1-Annual_Share*Annual_Free/12)</f>
        <v>0.95</v>
      </c>
      <c r="K53" s="60" t="n">
        <f aca="false">(1+Price_Increase)^(K$5-1)*(1-Annual_Share*Annual_Free/12)</f>
        <v>0.95</v>
      </c>
      <c r="L53" s="60" t="n">
        <f aca="false">(1+Price_Increase)^(L$5-1)*(1-Annual_Share*Annual_Free/12)</f>
        <v>0.95</v>
      </c>
      <c r="M53" s="60" t="n">
        <f aca="false">(1+Price_Increase)^(M$5-1)*(1-Annual_Share*Annual_Free/12)</f>
        <v>0.95</v>
      </c>
      <c r="N53" s="60" t="n">
        <f aca="false">(1+Price_Increase)^(N$5-1)*(1-Annual_Share*Annual_Free/12)</f>
        <v>0.95</v>
      </c>
      <c r="O53" s="60" t="n">
        <f aca="false">(1+Price_Increase)^(O$5-1)*(1-Annual_Share*Annual_Free/12)</f>
        <v>0.95</v>
      </c>
      <c r="P53" s="60" t="n">
        <f aca="false">(1+Price_Increase)^(P$5-1)*(1-Annual_Share*Annual_Free/12)</f>
        <v>0.95</v>
      </c>
      <c r="Q53" s="60" t="n">
        <f aca="false">(1+Price_Increase)^(Q$5-1)*(1-Annual_Share*Annual_Free/12)</f>
        <v>0.95</v>
      </c>
      <c r="R53" s="60" t="n">
        <f aca="false">(1+Price_Increase)^(R$5-1)*(1-Annual_Share*Annual_Free/12)</f>
        <v>0.95</v>
      </c>
      <c r="S53" s="60" t="n">
        <f aca="false">(1+Price_Increase)^(S$5-1)*(1-Annual_Share*Annual_Free/12)</f>
        <v>0.95</v>
      </c>
      <c r="T53" s="60" t="n">
        <f aca="false">(1+Price_Increase)^(T$5-1)*(1-Annual_Share*Annual_Free/12)</f>
        <v>0.95</v>
      </c>
      <c r="U53" s="60" t="n">
        <f aca="false">(1+Price_Increase)^(U$5-1)*(1-Annual_Share*Annual_Free/12)</f>
        <v>0.95</v>
      </c>
      <c r="V53" s="60" t="n">
        <f aca="false">(1+Price_Increase)^(V$5-1)*(1-Annual_Share*Annual_Free/12)</f>
        <v>0.95</v>
      </c>
      <c r="W53" s="60" t="n">
        <f aca="false">(1+Price_Increase)^(W$5-1)*(1-Annual_Share*Annual_Free/12)</f>
        <v>0.95</v>
      </c>
      <c r="X53" s="60" t="n">
        <f aca="false">(1+Price_Increase)^(X$5-1)*(1-Annual_Share*Annual_Free/12)</f>
        <v>0.95</v>
      </c>
      <c r="Y53" s="60" t="n">
        <f aca="false">(1+Price_Increase)^(Y$5-1)*(1-Annual_Share*Annual_Free/12)</f>
        <v>0.95</v>
      </c>
      <c r="Z53" s="60" t="n">
        <f aca="false">(1+Price_Increase)^(Z$5-1)*(1-Annual_Share*Annual_Free/12)</f>
        <v>0.95</v>
      </c>
      <c r="AA53" s="60" t="n">
        <f aca="false">(1+Price_Increase)^(AA$5-1)*(1-Annual_Share*Annual_Free/12)</f>
        <v>0.95</v>
      </c>
      <c r="AB53" s="60" t="n">
        <f aca="false">(1+Price_Increase)^(AB$5-1)*(1-Annual_Share*Annual_Free/12)</f>
        <v>0.95</v>
      </c>
      <c r="AC53" s="60" t="n">
        <f aca="false">(1+Price_Increase)^(AC$5-1)*(1-Annual_Share*Annual_Free/12)</f>
        <v>0.95</v>
      </c>
      <c r="AD53" s="60" t="n">
        <f aca="false">(1+Price_Increase)^(AD$5-1)*(1-Annual_Share*Annual_Free/12)</f>
        <v>0.95</v>
      </c>
      <c r="AE53" s="60" t="n">
        <f aca="false">(1+Price_Increase)^(AE$5-1)*(1-Annual_Share*Annual_Free/12)</f>
        <v>0.95</v>
      </c>
      <c r="AF53" s="60" t="n">
        <f aca="false">(1+Price_Increase)^(AF$5-1)*(1-Annual_Share*Annual_Free/12)</f>
        <v>0.95</v>
      </c>
      <c r="AG53" s="60" t="n">
        <f aca="false">(1+Price_Increase)^(AG$5-1)*(1-Annual_Share*Annual_Free/12)</f>
        <v>0.95</v>
      </c>
      <c r="AH53" s="60" t="n">
        <f aca="false">(1+Price_Increase)^(AH$5-1)*(1-Annual_Share*Annual_Free/12)</f>
        <v>0.95</v>
      </c>
      <c r="AI53" s="60" t="n">
        <f aca="false">(1+Price_Increase)^(AI$5-1)*(1-Annual_Share*Annual_Free/12)</f>
        <v>0.95</v>
      </c>
      <c r="AJ53" s="60" t="n">
        <f aca="false">(1+Price_Increase)^(AJ$5-1)*(1-Annual_Share*Annual_Free/12)</f>
        <v>0.95</v>
      </c>
      <c r="AK53" s="60" t="n">
        <f aca="false">(1+Price_Increase)^(AK$5-1)*(1-Annual_Share*Annual_Free/12)</f>
        <v>0.95</v>
      </c>
      <c r="AL53" s="60" t="n">
        <f aca="false">(1+Price_Increase)^(AL$5-1)*(1-Annual_Share*Annual_Free/12)</f>
        <v>0.95</v>
      </c>
      <c r="AM53" s="60" t="n">
        <f aca="false">(1+Price_Increase)^(AM$5-1)*(1-Annual_Share*Annual_Free/12)</f>
        <v>0.95</v>
      </c>
      <c r="AN53" s="60" t="n">
        <f aca="false">(1+Price_Increase)^(AN$5-1)*(1-Annual_Share*Annual_Free/12)</f>
        <v>0.95</v>
      </c>
      <c r="AO53" s="60" t="n">
        <f aca="false">(1+Price_Increase)^(AO$5-1)*(1-Annual_Share*Annual_Free/12)</f>
        <v>0.95</v>
      </c>
      <c r="AP53" s="60" t="n">
        <f aca="false">(1+Price_Increase)^(AP$5-1)*(1-Annual_Share*Annual_Free/12)</f>
        <v>0.95</v>
      </c>
      <c r="AQ53" s="60" t="n">
        <f aca="false">(1+Price_Increase)^(AQ$5-1)*(1-Annual_Share*Annual_Free/12)</f>
        <v>0.95</v>
      </c>
      <c r="AR53" s="60" t="n">
        <f aca="false">(1+Price_Increase)^(AR$5-1)*(1-Annual_Share*Annual_Free/12)</f>
        <v>0.95</v>
      </c>
      <c r="AS53" s="60" t="n">
        <f aca="false">(1+Price_Increase)^(AS$5-1)*(1-Annual_Share*Annual_Free/12)</f>
        <v>0.95</v>
      </c>
      <c r="AT53" s="60" t="n">
        <f aca="false">(1+Price_Increase)^(AT$5-1)*(1-Annual_Share*Annual_Free/12)</f>
        <v>0.95</v>
      </c>
      <c r="AU53" s="60" t="n">
        <f aca="false">(1+Price_Increase)^(AU$5-1)*(1-Annual_Share*Annual_Free/12)</f>
        <v>0.95</v>
      </c>
      <c r="AV53" s="60" t="n">
        <f aca="false">(1+Price_Increase)^(AV$5-1)*(1-Annual_Share*Annual_Free/12)</f>
        <v>0.95</v>
      </c>
      <c r="AW53" s="60" t="n">
        <f aca="false">(1+Price_Increase)^(AW$5-1)*(1-Annual_Share*Annual_Free/12)</f>
        <v>0.95</v>
      </c>
      <c r="AX53" s="60" t="n">
        <f aca="false">(1+Price_Increase)^(AX$5-1)*(1-Annual_Share*Annual_Free/12)</f>
        <v>0.95</v>
      </c>
      <c r="AY53" s="60" t="n">
        <f aca="false">(1+Price_Increase)^(AY$5-1)*(1-Annual_Share*Annual_Free/12)</f>
        <v>0.95</v>
      </c>
      <c r="AZ53" s="60" t="n">
        <f aca="false">(1+Price_Increase)^(AZ$5-1)*(1-Annual_Share*Annual_Free/12)</f>
        <v>0.95</v>
      </c>
      <c r="BA53" s="60" t="n">
        <f aca="false">(1+Price_Increase)^(BA$5-1)*(1-Annual_Share*Annual_Free/12)</f>
        <v>0.95</v>
      </c>
      <c r="BB53" s="60" t="n">
        <f aca="false">(1+Price_Increase)^(BB$5-1)*(1-Annual_Share*Annual_Free/12)</f>
        <v>0.95</v>
      </c>
      <c r="BC53" s="60" t="n">
        <f aca="false">(1+Price_Increase)^(BC$5-1)*(1-Annual_Share*Annual_Free/12)</f>
        <v>0.95</v>
      </c>
      <c r="BD53" s="60" t="n">
        <f aca="false">(1+Price_Increase)^(BD$5-1)*(1-Annual_Share*Annual_Free/12)</f>
        <v>0.95</v>
      </c>
      <c r="BE53" s="60" t="n">
        <f aca="false">(1+Price_Increase)^(BE$5-1)*(1-Annual_Share*Annual_Free/12)</f>
        <v>0.95</v>
      </c>
      <c r="BF53" s="60" t="n">
        <f aca="false">(1+Price_Increase)^(BF$5-1)*(1-Annual_Share*Annual_Free/12)</f>
        <v>0.95</v>
      </c>
      <c r="BG53" s="60" t="n">
        <f aca="false">(1+Price_Increase)^(BG$5-1)*(1-Annual_Share*Annual_Free/12)</f>
        <v>0.95</v>
      </c>
      <c r="BH53" s="60" t="n">
        <f aca="false">(1+Price_Increase)^(BH$5-1)*(1-Annual_Share*Annual_Free/12)</f>
        <v>0.95</v>
      </c>
      <c r="BI53" s="60" t="n">
        <f aca="false">(1+Price_Increase)^(BI$5-1)*(1-Annual_Share*Annual_Free/12)</f>
        <v>0.95</v>
      </c>
      <c r="BJ53" s="60" t="n">
        <f aca="false">(1+Price_Increase)^(BJ$5-1)*(1-Annual_Share*Annual_Free/12)</f>
        <v>0.95</v>
      </c>
      <c r="BK53" s="60" t="n">
        <f aca="false">(1+Price_Increase)^(BK$5-1)*(1-Annual_Share*Annual_Free/12)</f>
        <v>0.95</v>
      </c>
      <c r="BL53" s="60" t="n">
        <f aca="false">(1+Price_Increase)^(BL$5-1)*(1-Annual_Share*Annual_Free/12)</f>
        <v>0.95</v>
      </c>
    </row>
    <row r="54" customFormat="false" ht="15" hidden="false" customHeight="true" outlineLevel="0" collapsed="false">
      <c r="A54" s="13" t="s">
        <v>1250</v>
      </c>
      <c r="B54" s="15" t="s">
        <v>77</v>
      </c>
      <c r="D54" s="56" t="n">
        <f aca="false">SUM(E54:BL54)</f>
        <v>963468879.511707</v>
      </c>
      <c r="E54" s="33" t="n">
        <f aca="false">E26*Price_Petite*E53</f>
        <v>0</v>
      </c>
      <c r="F54" s="33" t="n">
        <f aca="false">F26*Price_Petite*F53</f>
        <v>0</v>
      </c>
      <c r="G54" s="33" t="n">
        <f aca="false">G26*Price_Petite*G53</f>
        <v>0</v>
      </c>
      <c r="H54" s="33" t="n">
        <f aca="false">H26*Price_Petite*H53</f>
        <v>0</v>
      </c>
      <c r="I54" s="33" t="n">
        <f aca="false">I26*Price_Petite*I53</f>
        <v>0</v>
      </c>
      <c r="J54" s="33" t="n">
        <f aca="false">J26*Price_Petite*J53</f>
        <v>273557.592</v>
      </c>
      <c r="K54" s="33" t="n">
        <f aca="false">K26*Price_Petite*K53</f>
        <v>544298.49936</v>
      </c>
      <c r="L54" s="33" t="n">
        <f aca="false">L26*Price_Petite*L53</f>
        <v>812438.3238048</v>
      </c>
      <c r="M54" s="33" t="n">
        <f aca="false">M26*Price_Petite*M53</f>
        <v>1078197.91110662</v>
      </c>
      <c r="N54" s="33" t="n">
        <f aca="false">N26*Price_Petite*N53</f>
        <v>1341803.81956909</v>
      </c>
      <c r="O54" s="33" t="n">
        <f aca="false">O26*Price_Petite*O53</f>
        <v>1603488.81354338</v>
      </c>
      <c r="P54" s="33" t="n">
        <f aca="false">P26*Price_Petite*P53</f>
        <v>1863492.38354012</v>
      </c>
      <c r="Q54" s="33" t="n">
        <f aca="false">Q26*Price_Petite*Q53</f>
        <v>2122061.29459299</v>
      </c>
      <c r="R54" s="33" t="n">
        <f aca="false">R26*Price_Petite*R53</f>
        <v>2476043.27662821</v>
      </c>
      <c r="S54" s="33" t="n">
        <f aca="false">S26*Price_Petite*S53</f>
        <v>2827176.43645836</v>
      </c>
      <c r="T54" s="33" t="n">
        <f aca="false">T26*Price_Petite*T53</f>
        <v>3175771.59957367</v>
      </c>
      <c r="U54" s="33" t="n">
        <f aca="false">U26*Price_Petite*U53</f>
        <v>3522148.60589734</v>
      </c>
      <c r="V54" s="33" t="n">
        <f aca="false">V26*Price_Petite*V53</f>
        <v>3866637.04335345</v>
      </c>
      <c r="W54" s="33" t="n">
        <f aca="false">W26*Price_Petite*W53</f>
        <v>4209577.02159488</v>
      </c>
      <c r="X54" s="33" t="n">
        <f aca="false">X26*Price_Petite*X53</f>
        <v>4760727.95637799</v>
      </c>
      <c r="Y54" s="33" t="n">
        <f aca="false">Y26*Price_Petite*Y53</f>
        <v>5308848.21825833</v>
      </c>
      <c r="Z54" s="33" t="n">
        <f aca="false">Z26*Price_Petite*Z53</f>
        <v>5898719.08144155</v>
      </c>
      <c r="AA54" s="33" t="n">
        <f aca="false">AA26*Price_Petite*AA53</f>
        <v>6485772.727094</v>
      </c>
      <c r="AB54" s="33" t="n">
        <f aca="false">AB26*Price_Petite*AB53</f>
        <v>7070604.31155028</v>
      </c>
      <c r="AC54" s="33" t="n">
        <f aca="false">AC26*Price_Petite*AC53</f>
        <v>7653829.41673733</v>
      </c>
      <c r="AD54" s="33" t="n">
        <f aca="false">AD26*Price_Petite*AD53</f>
        <v>8430009.15738571</v>
      </c>
      <c r="AE54" s="33" t="n">
        <f aca="false">AE26*Price_Petite*AE53</f>
        <v>9202002.59848012</v>
      </c>
      <c r="AF54" s="33" t="n">
        <f aca="false">AF26*Price_Petite*AF53</f>
        <v>10014814.8237272</v>
      </c>
      <c r="AG54" s="33" t="n">
        <f aca="false">AG26*Price_Petite*AG53</f>
        <v>10824109.3894223</v>
      </c>
      <c r="AH54" s="33" t="n">
        <f aca="false">AH26*Price_Petite*AH53</f>
        <v>11630720.9638537</v>
      </c>
      <c r="AI54" s="33" t="n">
        <f aca="false">AI26*Price_Petite*AI53</f>
        <v>12435513.3808496</v>
      </c>
      <c r="AJ54" s="33" t="n">
        <f aca="false">AJ26*Price_Petite*AJ53</f>
        <v>13283622.928002</v>
      </c>
      <c r="AK54" s="33" t="n">
        <f aca="false">AK26*Price_Petite*AK53</f>
        <v>14130852.4542175</v>
      </c>
      <c r="AL54" s="33" t="n">
        <f aca="false">AL26*Price_Petite*AL53</f>
        <v>14978184.4901153</v>
      </c>
      <c r="AM54" s="33" t="n">
        <f aca="false">AM26*Price_Petite*AM53</f>
        <v>15826639.811514</v>
      </c>
      <c r="AN54" s="33" t="n">
        <f aca="false">AN26*Price_Petite*AN53</f>
        <v>16721521.2682768</v>
      </c>
      <c r="AO54" s="33" t="n">
        <f aca="false">AO26*Price_Petite*AO53</f>
        <v>17618808.4650039</v>
      </c>
      <c r="AP54" s="33" t="n">
        <f aca="false">AP26*Price_Petite*AP53</f>
        <v>18656081.6090421</v>
      </c>
      <c r="AQ54" s="33" t="n">
        <f aca="false">AQ26*Price_Petite*AQ53</f>
        <v>19739663.2757197</v>
      </c>
      <c r="AR54" s="33" t="n">
        <f aca="false">AR26*Price_Petite*AR53</f>
        <v>20825754.9465154</v>
      </c>
      <c r="AS54" s="33" t="n">
        <f aca="false">AS26*Price_Petite*AS53</f>
        <v>21915757.3195937</v>
      </c>
      <c r="AT54" s="33" t="n">
        <f aca="false">AT26*Price_Petite*AT53</f>
        <v>23055371.253051</v>
      </c>
      <c r="AU54" s="33" t="n">
        <f aca="false">AU26*Price_Petite*AU53</f>
        <v>24200993.6249501</v>
      </c>
      <c r="AV54" s="33" t="n">
        <f aca="false">AV26*Price_Petite*AV53</f>
        <v>25354232.3095488</v>
      </c>
      <c r="AW54" s="33" t="n">
        <f aca="false">AW26*Price_Petite*AW53</f>
        <v>26600824.8342014</v>
      </c>
      <c r="AX54" s="33" t="n">
        <f aca="false">AX26*Price_Petite*AX53</f>
        <v>27844147.141709</v>
      </c>
      <c r="AY54" s="33" t="n">
        <f aca="false">AY26*Price_Petite*AY53</f>
        <v>29115901.2639579</v>
      </c>
      <c r="AZ54" s="33" t="n">
        <f aca="false">AZ26*Price_Petite*AZ53</f>
        <v>30371820.8731069</v>
      </c>
      <c r="BA54" s="33" t="n">
        <f aca="false">BA26*Price_Petite*BA53</f>
        <v>31612798.6935786</v>
      </c>
      <c r="BB54" s="33" t="n">
        <f aca="false">BB26*Price_Petite*BB53</f>
        <v>33021132.7493569</v>
      </c>
      <c r="BC54" s="33" t="n">
        <f aca="false">BC26*Price_Petite*BC53</f>
        <v>34412734.5557186</v>
      </c>
      <c r="BD54" s="33" t="n">
        <f aca="false">BD26*Price_Petite*BD53</f>
        <v>35832865.943554</v>
      </c>
      <c r="BE54" s="33" t="n">
        <f aca="false">BE26*Price_Petite*BE53</f>
        <v>37237442.4310896</v>
      </c>
      <c r="BF54" s="33" t="n">
        <f aca="false">BF26*Price_Petite*BF53</f>
        <v>38667362.987979</v>
      </c>
      <c r="BG54" s="33" t="n">
        <f aca="false">BG26*Price_Petite*BG53</f>
        <v>40127361.9603013</v>
      </c>
      <c r="BH54" s="33" t="n">
        <f aca="false">BH26*Price_Petite*BH53</f>
        <v>41573462.802142</v>
      </c>
      <c r="BI54" s="33" t="n">
        <f aca="false">BI26*Price_Petite*BI53</f>
        <v>43051102.7070487</v>
      </c>
      <c r="BJ54" s="33" t="n">
        <f aca="false">BJ26*Price_Petite*BJ53</f>
        <v>44556199.9793542</v>
      </c>
      <c r="BK54" s="33" t="n">
        <f aca="false">BK26*Price_Petite*BK53</f>
        <v>46093661.1731604</v>
      </c>
      <c r="BL54" s="33" t="n">
        <f aca="false">BL26*Price_Petite*BL53</f>
        <v>47610211.0136972</v>
      </c>
    </row>
    <row r="55" customFormat="false" ht="15" hidden="false" customHeight="true" outlineLevel="0" collapsed="false">
      <c r="A55" s="13" t="s">
        <v>1251</v>
      </c>
      <c r="B55" s="15" t="s">
        <v>77</v>
      </c>
      <c r="D55" s="56" t="n">
        <f aca="false">SUM(E55:BL55)</f>
        <v>1046167916.551</v>
      </c>
      <c r="E55" s="33" t="n">
        <f aca="false">E27*Price_Moyenne*E53</f>
        <v>0</v>
      </c>
      <c r="F55" s="33" t="n">
        <f aca="false">F27*Price_Moyenne*F53</f>
        <v>0</v>
      </c>
      <c r="G55" s="33" t="n">
        <f aca="false">G27*Price_Moyenne*G53</f>
        <v>0</v>
      </c>
      <c r="H55" s="33" t="n">
        <f aca="false">H27*Price_Moyenne*H53</f>
        <v>0</v>
      </c>
      <c r="I55" s="33" t="n">
        <f aca="false">I27*Price_Moyenne*I53</f>
        <v>0</v>
      </c>
      <c r="J55" s="33" t="n">
        <f aca="false">J27*Price_Moyenne*J53</f>
        <v>271474.6125</v>
      </c>
      <c r="K55" s="33" t="n">
        <f aca="false">K27*Price_Moyenne*K53</f>
        <v>542190.04734375</v>
      </c>
      <c r="L55" s="33" t="n">
        <f aca="false">L27*Price_Moyenne*L53</f>
        <v>812313.849551953</v>
      </c>
      <c r="M55" s="33" t="n">
        <f aca="false">M27*Price_Moyenne*M53</f>
        <v>1082020.95315055</v>
      </c>
      <c r="N55" s="33" t="n">
        <f aca="false">N27*Price_Moyenne*N53</f>
        <v>1351494.15780725</v>
      </c>
      <c r="O55" s="33" t="n">
        <f aca="false">O27*Price_Moyenne*O53</f>
        <v>1620924.63365001</v>
      </c>
      <c r="P55" s="33" t="n">
        <f aca="false">P27*Price_Moyenne*P53</f>
        <v>1890512.45596365</v>
      </c>
      <c r="Q55" s="33" t="n">
        <f aca="false">Q27*Price_Moyenne*Q53</f>
        <v>2160467.17156242</v>
      </c>
      <c r="R55" s="33" t="n">
        <f aca="false">R27*Price_Moyenne*R53</f>
        <v>2526866.01124411</v>
      </c>
      <c r="S55" s="33" t="n">
        <f aca="false">S27*Price_Moyenne*S53</f>
        <v>2892883.46768936</v>
      </c>
      <c r="T55" s="33" t="n">
        <f aca="false">T27*Price_Moyenne*T53</f>
        <v>3258776.22432418</v>
      </c>
      <c r="U55" s="33" t="n">
        <f aca="false">U27*Price_Moyenne*U53</f>
        <v>3624812.87099993</v>
      </c>
      <c r="V55" s="33" t="n">
        <f aca="false">V27*Price_Moyenne*V53</f>
        <v>3991274.66206101</v>
      </c>
      <c r="W55" s="33" t="n">
        <f aca="false">W27*Price_Moyenne*W53</f>
        <v>4358456.31935075</v>
      </c>
      <c r="X55" s="33" t="n">
        <f aca="false">X27*Price_Moyenne*X53</f>
        <v>4934480.3328583</v>
      </c>
      <c r="Y55" s="33" t="n">
        <f aca="false">Y27*Price_Moyenne*Y53</f>
        <v>5511235.53499697</v>
      </c>
      <c r="Z55" s="33" t="n">
        <f aca="false">Z27*Price_Moyenne*Z53</f>
        <v>6133092.92523687</v>
      </c>
      <c r="AA55" s="33" t="n">
        <f aca="false">AA27*Price_Moyenne*AA53</f>
        <v>6756088.91891441</v>
      </c>
      <c r="AB55" s="33" t="n">
        <f aca="false">AB27*Price_Moyenne*AB53</f>
        <v>7380743.99273556</v>
      </c>
      <c r="AC55" s="33" t="n">
        <f aca="false">AC27*Price_Moyenne*AC53</f>
        <v>8007604.20000241</v>
      </c>
      <c r="AD55" s="33" t="n">
        <f aca="false">AD27*Price_Moyenne*AD53</f>
        <v>8829689.73835898</v>
      </c>
      <c r="AE55" s="33" t="n">
        <f aca="false">AE27*Price_Moyenne*AE53</f>
        <v>9652750.17593749</v>
      </c>
      <c r="AF55" s="33" t="n">
        <f aca="false">AF27*Price_Moyenne*AF53</f>
        <v>10521352.6346047</v>
      </c>
      <c r="AG55" s="33" t="n">
        <f aca="false">AG27*Price_Moyenne*AG53</f>
        <v>11391739.1506906</v>
      </c>
      <c r="AH55" s="33" t="n">
        <f aca="false">AH27*Price_Moyenne*AH53</f>
        <v>12264645.9187666</v>
      </c>
      <c r="AI55" s="33" t="n">
        <f aca="false">AI27*Price_Moyenne*AI53</f>
        <v>13140845.4406892</v>
      </c>
      <c r="AJ55" s="33" t="n">
        <f aca="false">AJ27*Price_Moyenne*AJ53</f>
        <v>14065053.0523421</v>
      </c>
      <c r="AK55" s="33" t="n">
        <f aca="false">AK27*Price_Moyenne*AK53</f>
        <v>14993667.7826291</v>
      </c>
      <c r="AL55" s="33" t="n">
        <f aca="false">AL27*Price_Moyenne*AL53</f>
        <v>15927592.125394</v>
      </c>
      <c r="AM55" s="33" t="n">
        <f aca="false">AM27*Price_Moyenne*AM53</f>
        <v>16867774.7482772</v>
      </c>
      <c r="AN55" s="33" t="n">
        <f aca="false">AN27*Price_Moyenne*AN53</f>
        <v>17859117.6128414</v>
      </c>
      <c r="AO55" s="33" t="n">
        <f aca="false">AO27*Price_Moyenne*AO53</f>
        <v>18858217.4625336</v>
      </c>
      <c r="AP55" s="33" t="n">
        <f aca="false">AP27*Price_Moyenne*AP53</f>
        <v>20001557.6987957</v>
      </c>
      <c r="AQ55" s="33" t="n">
        <f aca="false">AQ27*Price_Moyenne*AQ53</f>
        <v>21197149.5911273</v>
      </c>
      <c r="AR55" s="33" t="n">
        <f aca="false">AR27*Price_Moyenne*AR53</f>
        <v>22401794.0933687</v>
      </c>
      <c r="AS55" s="33" t="n">
        <f aca="false">AS27*Price_Moyenne*AS53</f>
        <v>23616817.8984099</v>
      </c>
      <c r="AT55" s="33" t="n">
        <f aca="false">AT27*Price_Moyenne*AT53</f>
        <v>24887521.7565106</v>
      </c>
      <c r="AU55" s="33" t="n">
        <f aca="false">AU27*Price_Moyenne*AU53</f>
        <v>26170923.2330449</v>
      </c>
      <c r="AV55" s="33" t="n">
        <f aca="false">AV27*Price_Moyenne*AV53</f>
        <v>27468578.492782</v>
      </c>
      <c r="AW55" s="33" t="n">
        <f aca="false">AW27*Price_Moyenne*AW53</f>
        <v>28865545.2165313</v>
      </c>
      <c r="AX55" s="33" t="n">
        <f aca="false">AX27*Price_Moyenne*AX53</f>
        <v>30266546.5490373</v>
      </c>
      <c r="AY55" s="33" t="n">
        <f aca="false">AY27*Price_Moyenne*AY53</f>
        <v>31702927.7909997</v>
      </c>
      <c r="AZ55" s="33" t="n">
        <f aca="false">AZ27*Price_Moyenne*AZ53</f>
        <v>33130881.734117</v>
      </c>
      <c r="BA55" s="33" t="n">
        <f aca="false">BA27*Price_Moyenne*BA53</f>
        <v>34551085.3676258</v>
      </c>
      <c r="BB55" s="33" t="n">
        <f aca="false">BB27*Price_Moyenne*BB53</f>
        <v>36144248.9422767</v>
      </c>
      <c r="BC55" s="33" t="n">
        <f aca="false">BC27*Price_Moyenne*BC53</f>
        <v>37728845.3374993</v>
      </c>
      <c r="BD55" s="33" t="n">
        <f aca="false">BD27*Price_Moyenne*BD53</f>
        <v>39349566.7349517</v>
      </c>
      <c r="BE55" s="33" t="n">
        <f aca="false">BE27*Price_Moyenne*BE53</f>
        <v>40962779.0145362</v>
      </c>
      <c r="BF55" s="33" t="n">
        <f aca="false">BF27*Price_Moyenne*BF53</f>
        <v>42608854.8592022</v>
      </c>
      <c r="BG55" s="33" t="n">
        <f aca="false">BG27*Price_Moyenne*BG53</f>
        <v>44292584.7930007</v>
      </c>
      <c r="BH55" s="33" t="n">
        <f aca="false">BH27*Price_Moyenne*BH53</f>
        <v>45970453.437049</v>
      </c>
      <c r="BI55" s="33" t="n">
        <f aca="false">BI27*Price_Moyenne*BI53</f>
        <v>47687349.4275344</v>
      </c>
      <c r="BJ55" s="33" t="n">
        <f aca="false">BJ27*Price_Moyenne*BJ53</f>
        <v>49439360.2848956</v>
      </c>
      <c r="BK55" s="33" t="n">
        <f aca="false">BK27*Price_Moyenne*BK53</f>
        <v>51231461.2328022</v>
      </c>
      <c r="BL55" s="33" t="n">
        <f aca="false">BL27*Price_Moyenne*BL53</f>
        <v>53010923.8798922</v>
      </c>
    </row>
    <row r="56" customFormat="false" ht="15" hidden="false" customHeight="true" outlineLevel="0" collapsed="false">
      <c r="A56" s="13" t="s">
        <v>1252</v>
      </c>
      <c r="B56" s="15" t="s">
        <v>77</v>
      </c>
      <c r="D56" s="56" t="n">
        <f aca="false">SUM(E56:BL56)</f>
        <v>1330530778.05483</v>
      </c>
      <c r="E56" s="33" t="n">
        <f aca="false">E28*Price_Grande*E53</f>
        <v>0</v>
      </c>
      <c r="F56" s="33" t="n">
        <f aca="false">F28*Price_Grande*F53</f>
        <v>0</v>
      </c>
      <c r="G56" s="33" t="n">
        <f aca="false">G28*Price_Grande*G53</f>
        <v>0</v>
      </c>
      <c r="H56" s="33" t="n">
        <f aca="false">H28*Price_Grande*H53</f>
        <v>0</v>
      </c>
      <c r="I56" s="33" t="n">
        <f aca="false">I28*Price_Grande*I53</f>
        <v>0</v>
      </c>
      <c r="J56" s="33" t="n">
        <f aca="false">J28*Price_Grande*J53</f>
        <v>324154.139166667</v>
      </c>
      <c r="K56" s="33" t="n">
        <f aca="false">K28*Price_Grande*K53</f>
        <v>649022.553289583</v>
      </c>
      <c r="L56" s="33" t="n">
        <f aca="false">L28*Price_Grande*L53</f>
        <v>974788.611166578</v>
      </c>
      <c r="M56" s="33" t="n">
        <f aca="false">M28*Price_Grande*M53</f>
        <v>1301645.6298811</v>
      </c>
      <c r="N56" s="33" t="n">
        <f aca="false">N28*Price_Grande*N53</f>
        <v>1629797.47960315</v>
      </c>
      <c r="O56" s="33" t="n">
        <f aca="false">O28*Price_Grande*O53</f>
        <v>1959459.22461906</v>
      </c>
      <c r="P56" s="33" t="n">
        <f aca="false">P28*Price_Grande*P53</f>
        <v>2290857.80276412</v>
      </c>
      <c r="Q56" s="33" t="n">
        <f aca="false">Q28*Price_Grande*Q53</f>
        <v>2624232.74556288</v>
      </c>
      <c r="R56" s="33" t="n">
        <f aca="false">R28*Price_Grande*R53</f>
        <v>3074295.68068649</v>
      </c>
      <c r="S56" s="33" t="n">
        <f aca="false">S28*Price_Grande*S53</f>
        <v>3525996.48293959</v>
      </c>
      <c r="T56" s="33" t="n">
        <f aca="false">T28*Price_Grande*T53</f>
        <v>3979623.66866728</v>
      </c>
      <c r="U56" s="33" t="n">
        <f aca="false">U28*Price_Grande*U53</f>
        <v>4435481.638363</v>
      </c>
      <c r="V56" s="33" t="n">
        <f aca="false">V28*Price_Grande*V53</f>
        <v>4893891.64041865</v>
      </c>
      <c r="W56" s="33" t="n">
        <f aca="false">W28*Price_Grande*W53</f>
        <v>5355192.79261948</v>
      </c>
      <c r="X56" s="33" t="n">
        <f aca="false">X28*Price_Grande*X53</f>
        <v>6067882.72151571</v>
      </c>
      <c r="Y56" s="33" t="n">
        <f aca="false">Y28*Price_Grande*Y53</f>
        <v>6784698.06658568</v>
      </c>
      <c r="Z56" s="33" t="n">
        <f aca="false">Z28*Price_Grande*Z53</f>
        <v>7558599.97264649</v>
      </c>
      <c r="AA56" s="33" t="n">
        <f aca="false">AA28*Price_Grande*AA53</f>
        <v>8337338.77005547</v>
      </c>
      <c r="AB56" s="33" t="n">
        <f aca="false">AB28*Price_Grande*AB53</f>
        <v>9121516.6514661</v>
      </c>
      <c r="AC56" s="33" t="n">
        <f aca="false">AC28*Price_Grande*AC53</f>
        <v>9911769.60124732</v>
      </c>
      <c r="AD56" s="33" t="n">
        <f aca="false">AD28*Price_Grande*AD53</f>
        <v>10938560.6497019</v>
      </c>
      <c r="AE56" s="33" t="n">
        <f aca="false">AE28*Price_Grande*AE53</f>
        <v>11971084.9791209</v>
      </c>
      <c r="AF56" s="33" t="n">
        <f aca="false">AF28*Price_Grande*AF53</f>
        <v>13062529.4927267</v>
      </c>
      <c r="AG56" s="33" t="n">
        <f aca="false">AG28*Price_Grande*AG53</f>
        <v>14160882.8551375</v>
      </c>
      <c r="AH56" s="33" t="n">
        <f aca="false">AH28*Price_Grande*AH53</f>
        <v>15266998.9309465</v>
      </c>
      <c r="AI56" s="33" t="n">
        <f aca="false">AI28*Price_Grande*AI53</f>
        <v>16381779.5216204</v>
      </c>
      <c r="AJ56" s="33" t="n">
        <f aca="false">AJ28*Price_Grande*AJ53</f>
        <v>17558601.1164235</v>
      </c>
      <c r="AK56" s="33" t="n">
        <f aca="false">AK28*Price_Grande*AK53</f>
        <v>18745653.2383385</v>
      </c>
      <c r="AL56" s="33" t="n">
        <f aca="false">AL28*Price_Grande*AL53</f>
        <v>19944002.5597565</v>
      </c>
      <c r="AM56" s="33" t="n">
        <f aca="false">AM28*Price_Grande*AM53</f>
        <v>21154776.3571062</v>
      </c>
      <c r="AN56" s="33" t="n">
        <f aca="false">AN28*Price_Grande*AN53</f>
        <v>22431590.0225686</v>
      </c>
      <c r="AO56" s="33" t="n">
        <f aca="false">AO28*Price_Grande*AO53</f>
        <v>23722886.2164284</v>
      </c>
      <c r="AP56" s="33" t="n">
        <f aca="false">AP28*Price_Grande*AP53</f>
        <v>25191640.0417428</v>
      </c>
      <c r="AQ56" s="33" t="n">
        <f aca="false">AQ28*Price_Grande*AQ53</f>
        <v>26728834.3410335</v>
      </c>
      <c r="AR56" s="33" t="n">
        <f aca="false">AR28*Price_Grande*AR53</f>
        <v>28283153.8974058</v>
      </c>
      <c r="AS56" s="33" t="n">
        <f aca="false">AS28*Price_Grande*AS53</f>
        <v>29856189.5242911</v>
      </c>
      <c r="AT56" s="33" t="n">
        <f aca="false">AT28*Price_Grande*AT53</f>
        <v>31502047.1091918</v>
      </c>
      <c r="AU56" s="33" t="n">
        <f aca="false">AU28*Price_Grande*AU53</f>
        <v>33169688.3899356</v>
      </c>
      <c r="AV56" s="33" t="n">
        <f aca="false">AV28*Price_Grande*AV53</f>
        <v>34860997.6464676</v>
      </c>
      <c r="AW56" s="33" t="n">
        <f aca="false">AW28*Price_Grande*AW53</f>
        <v>36677573.201093</v>
      </c>
      <c r="AX56" s="33" t="n">
        <f aca="false">AX28*Price_Grande*AX53</f>
        <v>38506192.555449</v>
      </c>
      <c r="AY56" s="33" t="n">
        <f aca="false">AY28*Price_Grande*AY53</f>
        <v>40384253.4422991</v>
      </c>
      <c r="AZ56" s="33" t="n">
        <f aca="false">AZ28*Price_Grande*AZ53</f>
        <v>42259605.1398088</v>
      </c>
      <c r="BA56" s="33" t="n">
        <f aca="false">BA28*Price_Grande*BA53</f>
        <v>44132950.5429368</v>
      </c>
      <c r="BB56" s="33" t="n">
        <f aca="false">BB28*Price_Grande*BB53</f>
        <v>46219966.014492</v>
      </c>
      <c r="BC56" s="33" t="n">
        <f aca="false">BC28*Price_Grande*BC53</f>
        <v>48304878.1863981</v>
      </c>
      <c r="BD56" s="33" t="n">
        <f aca="false">BD28*Price_Grande*BD53</f>
        <v>50440939.6423858</v>
      </c>
      <c r="BE56" s="33" t="n">
        <f aca="false">BE28*Price_Grande*BE53</f>
        <v>52576204.6493468</v>
      </c>
      <c r="BF56" s="33" t="n">
        <f aca="false">BF28*Price_Grande*BF53</f>
        <v>54758774.0863623</v>
      </c>
      <c r="BG56" s="33" t="n">
        <f aca="false">BG28*Price_Grande*BG53</f>
        <v>56994503.8023633</v>
      </c>
      <c r="BH56" s="33" t="n">
        <f aca="false">BH28*Price_Grande*BH53</f>
        <v>59231597.5872432</v>
      </c>
      <c r="BI56" s="33" t="n">
        <f aca="false">BI28*Price_Grande*BI53</f>
        <v>61523556.9829903</v>
      </c>
      <c r="BJ56" s="33" t="n">
        <f aca="false">BJ28*Price_Grande*BJ53</f>
        <v>63865881.3103785</v>
      </c>
      <c r="BK56" s="33" t="n">
        <f aca="false">BK28*Price_Grande*BK53</f>
        <v>66264657.6071468</v>
      </c>
      <c r="BL56" s="33" t="n">
        <f aca="false">BL28*Price_Grande*BL53</f>
        <v>68657100.5409266</v>
      </c>
    </row>
    <row r="57" customFormat="false" ht="15" hidden="false" customHeight="true" outlineLevel="0" collapsed="false">
      <c r="A57" s="9" t="s">
        <v>1253</v>
      </c>
      <c r="B57" s="15" t="s">
        <v>77</v>
      </c>
      <c r="D57" s="56" t="n">
        <f aca="false">SUM(E57:BL57)</f>
        <v>3340167574.11753</v>
      </c>
      <c r="E57" s="17" t="n">
        <f aca="false">E54+E55+E56</f>
        <v>0</v>
      </c>
      <c r="F57" s="17" t="n">
        <f aca="false">F54+F55+F56</f>
        <v>0</v>
      </c>
      <c r="G57" s="17" t="n">
        <f aca="false">G54+G55+G56</f>
        <v>0</v>
      </c>
      <c r="H57" s="17" t="n">
        <f aca="false">H54+H55+H56</f>
        <v>0</v>
      </c>
      <c r="I57" s="17" t="n">
        <f aca="false">I54+I55+I56</f>
        <v>0</v>
      </c>
      <c r="J57" s="17" t="n">
        <f aca="false">J54+J55+J56</f>
        <v>869186.343666667</v>
      </c>
      <c r="K57" s="17" t="n">
        <f aca="false">K54+K55+K56</f>
        <v>1735511.09999333</v>
      </c>
      <c r="L57" s="17" t="n">
        <f aca="false">L54+L55+L56</f>
        <v>2599540.78452333</v>
      </c>
      <c r="M57" s="17" t="n">
        <f aca="false">M54+M55+M56</f>
        <v>3461864.49413827</v>
      </c>
      <c r="N57" s="17" t="n">
        <f aca="false">N54+N55+N56</f>
        <v>4323095.45697949</v>
      </c>
      <c r="O57" s="17" t="n">
        <f aca="false">O54+O55+O56</f>
        <v>5183872.67181244</v>
      </c>
      <c r="P57" s="17" t="n">
        <f aca="false">P54+P55+P56</f>
        <v>6044862.64226789</v>
      </c>
      <c r="Q57" s="17" t="n">
        <f aca="false">Q54+Q55+Q56</f>
        <v>6906761.21171829</v>
      </c>
      <c r="R57" s="17" t="n">
        <f aca="false">R54+R55+R56</f>
        <v>8077204.96855882</v>
      </c>
      <c r="S57" s="17" t="n">
        <f aca="false">S54+S55+S56</f>
        <v>9246056.38708731</v>
      </c>
      <c r="T57" s="17" t="n">
        <f aca="false">T54+T55+T56</f>
        <v>10414171.4925651</v>
      </c>
      <c r="U57" s="17" t="n">
        <f aca="false">U54+U55+U56</f>
        <v>11582443.1152603</v>
      </c>
      <c r="V57" s="17" t="n">
        <f aca="false">V54+V55+V56</f>
        <v>12751803.3458331</v>
      </c>
      <c r="W57" s="17" t="n">
        <f aca="false">W54+W55+W56</f>
        <v>13923226.1335651</v>
      </c>
      <c r="X57" s="17" t="n">
        <f aca="false">X54+X55+X56</f>
        <v>15763091.010752</v>
      </c>
      <c r="Y57" s="17" t="n">
        <f aca="false">Y54+Y55+Y56</f>
        <v>17604781.819841</v>
      </c>
      <c r="Z57" s="17" t="n">
        <f aca="false">Z54+Z55+Z56</f>
        <v>19590411.9793249</v>
      </c>
      <c r="AA57" s="17" t="n">
        <f aca="false">AA54+AA55+AA56</f>
        <v>21579200.4160639</v>
      </c>
      <c r="AB57" s="17" t="n">
        <f aca="false">AB54+AB55+AB56</f>
        <v>23572864.9557519</v>
      </c>
      <c r="AC57" s="17" t="n">
        <f aca="false">AC54+AC55+AC56</f>
        <v>25573203.2179871</v>
      </c>
      <c r="AD57" s="17" t="n">
        <f aca="false">AD54+AD55+AD56</f>
        <v>28198259.5454466</v>
      </c>
      <c r="AE57" s="17" t="n">
        <f aca="false">AE54+AE55+AE56</f>
        <v>30825837.7535385</v>
      </c>
      <c r="AF57" s="17" t="n">
        <f aca="false">AF54+AF55+AF56</f>
        <v>33598696.9510586</v>
      </c>
      <c r="AG57" s="17" t="n">
        <f aca="false">AG54+AG55+AG56</f>
        <v>36376731.3952504</v>
      </c>
      <c r="AH57" s="17" t="n">
        <f aca="false">AH54+AH55+AH56</f>
        <v>39162365.8135668</v>
      </c>
      <c r="AI57" s="17" t="n">
        <f aca="false">AI54+AI55+AI56</f>
        <v>41958138.3431591</v>
      </c>
      <c r="AJ57" s="17" t="n">
        <f aca="false">AJ54+AJ55+AJ56</f>
        <v>44907277.0967676</v>
      </c>
      <c r="AK57" s="17" t="n">
        <f aca="false">AK54+AK55+AK56</f>
        <v>47870173.4751852</v>
      </c>
      <c r="AL57" s="17" t="n">
        <f aca="false">AL54+AL55+AL56</f>
        <v>50849779.1752658</v>
      </c>
      <c r="AM57" s="17" t="n">
        <f aca="false">AM54+AM55+AM56</f>
        <v>53849190.9168973</v>
      </c>
      <c r="AN57" s="17" t="n">
        <f aca="false">AN54+AN55+AN56</f>
        <v>57012228.9036867</v>
      </c>
      <c r="AO57" s="17" t="n">
        <f aca="false">AO54+AO55+AO56</f>
        <v>60199912.1439659</v>
      </c>
      <c r="AP57" s="17" t="n">
        <f aca="false">AP54+AP55+AP56</f>
        <v>63849279.3495806</v>
      </c>
      <c r="AQ57" s="17" t="n">
        <f aca="false">AQ54+AQ55+AQ56</f>
        <v>67665647.2078806</v>
      </c>
      <c r="AR57" s="17" t="n">
        <f aca="false">AR54+AR55+AR56</f>
        <v>71510702.9372899</v>
      </c>
      <c r="AS57" s="17" t="n">
        <f aca="false">AS54+AS55+AS56</f>
        <v>75388764.7422948</v>
      </c>
      <c r="AT57" s="17" t="n">
        <f aca="false">AT54+AT55+AT56</f>
        <v>79444940.1187533</v>
      </c>
      <c r="AU57" s="17" t="n">
        <f aca="false">AU54+AU55+AU56</f>
        <v>83541605.2479305</v>
      </c>
      <c r="AV57" s="17" t="n">
        <f aca="false">AV54+AV55+AV56</f>
        <v>87683808.4487983</v>
      </c>
      <c r="AW57" s="17" t="n">
        <f aca="false">AW54+AW55+AW56</f>
        <v>92143943.2518257</v>
      </c>
      <c r="AX57" s="17" t="n">
        <f aca="false">AX54+AX55+AX56</f>
        <v>96616886.2461952</v>
      </c>
      <c r="AY57" s="17" t="n">
        <f aca="false">AY54+AY55+AY56</f>
        <v>101203082.497257</v>
      </c>
      <c r="AZ57" s="17" t="n">
        <f aca="false">AZ54+AZ55+AZ56</f>
        <v>105762307.747033</v>
      </c>
      <c r="BA57" s="17" t="n">
        <f aca="false">BA54+BA55+BA56</f>
        <v>110296834.604141</v>
      </c>
      <c r="BB57" s="17" t="n">
        <f aca="false">BB54+BB55+BB56</f>
        <v>115385347.706126</v>
      </c>
      <c r="BC57" s="17" t="n">
        <f aca="false">BC54+BC55+BC56</f>
        <v>120446458.079616</v>
      </c>
      <c r="BD57" s="17" t="n">
        <f aca="false">BD54+BD55+BD56</f>
        <v>125623372.320892</v>
      </c>
      <c r="BE57" s="17" t="n">
        <f aca="false">BE54+BE55+BE56</f>
        <v>130776426.094973</v>
      </c>
      <c r="BF57" s="17" t="n">
        <f aca="false">BF54+BF55+BF56</f>
        <v>136034991.933543</v>
      </c>
      <c r="BG57" s="17" t="n">
        <f aca="false">BG54+BG55+BG56</f>
        <v>141414450.555665</v>
      </c>
      <c r="BH57" s="17" t="n">
        <f aca="false">BH54+BH55+BH56</f>
        <v>146775513.826434</v>
      </c>
      <c r="BI57" s="17" t="n">
        <f aca="false">BI54+BI55+BI56</f>
        <v>152262009.117573</v>
      </c>
      <c r="BJ57" s="17" t="n">
        <f aca="false">BJ54+BJ55+BJ56</f>
        <v>157861441.574628</v>
      </c>
      <c r="BK57" s="17" t="n">
        <f aca="false">BK54+BK55+BK56</f>
        <v>163589780.013109</v>
      </c>
      <c r="BL57" s="17" t="n">
        <f aca="false">BL54+BL55+BL56</f>
        <v>169278235.434516</v>
      </c>
    </row>
    <row r="58" customFormat="false" ht="15" hidden="false" customHeight="true" outlineLevel="0" collapsed="false">
      <c r="A58" s="13" t="s">
        <v>988</v>
      </c>
      <c r="B58" s="15" t="s">
        <v>77</v>
      </c>
      <c r="D58" s="56" t="n">
        <f aca="false">SUM(E58:BL58)</f>
        <v>6841596470.5586</v>
      </c>
      <c r="E58" s="33" t="n">
        <f aca="false">E37*(FX_Fee+FX_Fixed_Fee/FX_Avg_Txn)</f>
        <v>0</v>
      </c>
      <c r="F58" s="33" t="n">
        <f aca="false">F37*(FX_Fee+FX_Fixed_Fee/FX_Avg_Txn)</f>
        <v>0</v>
      </c>
      <c r="G58" s="33" t="n">
        <f aca="false">G37*(FX_Fee+FX_Fixed_Fee/FX_Avg_Txn)</f>
        <v>0</v>
      </c>
      <c r="H58" s="33" t="n">
        <f aca="false">H37*(FX_Fee+FX_Fixed_Fee/FX_Avg_Txn)</f>
        <v>0</v>
      </c>
      <c r="I58" s="33" t="n">
        <f aca="false">I37*(FX_Fee+FX_Fixed_Fee/FX_Avg_Txn)</f>
        <v>1672962.66666667</v>
      </c>
      <c r="J58" s="33" t="n">
        <f aca="false">J37*(FX_Fee+FX_Fixed_Fee/FX_Avg_Txn)</f>
        <v>3341998.79333333</v>
      </c>
      <c r="K58" s="33" t="n">
        <f aca="false">K37*(FX_Fee+FX_Fixed_Fee/FX_Avg_Txn)</f>
        <v>5008164.85505</v>
      </c>
      <c r="L58" s="33" t="n">
        <f aca="false">L37*(FX_Fee+FX_Fixed_Fee/FX_Avg_Txn)</f>
        <v>6672562.42270879</v>
      </c>
      <c r="M58" s="33" t="n">
        <f aca="false">M37*(FX_Fee+FX_Fixed_Fee/FX_Avg_Txn)</f>
        <v>8336341.15811318</v>
      </c>
      <c r="N58" s="33" t="n">
        <f aca="false">N37*(FX_Fee+FX_Fixed_Fee/FX_Avg_Txn)</f>
        <v>10000701.983788</v>
      </c>
      <c r="O58" s="33" t="n">
        <f aca="false">O37*(FX_Fee+FX_Fixed_Fee/FX_Avg_Txn)</f>
        <v>11666900.4381046</v>
      </c>
      <c r="P58" s="33" t="n">
        <f aca="false">P37*(FX_Fee+FX_Fixed_Fee/FX_Avg_Txn)</f>
        <v>13336250.2269286</v>
      </c>
      <c r="Q58" s="33" t="n">
        <f aca="false">Q37*(FX_Fee+FX_Fixed_Fee/FX_Avg_Txn)</f>
        <v>15600849.6503343</v>
      </c>
      <c r="R58" s="33" t="n">
        <f aca="false">R37*(FX_Fee+FX_Fixed_Fee/FX_Avg_Txn)</f>
        <v>17864299.0436426</v>
      </c>
      <c r="S58" s="33" t="n">
        <f aca="false">S37*(FX_Fee+FX_Fixed_Fee/FX_Avg_Txn)</f>
        <v>20128208.2638401</v>
      </c>
      <c r="T58" s="33" t="n">
        <f aca="false">T37*(FX_Fee+FX_Fixed_Fee/FX_Avg_Txn)</f>
        <v>22394260.2352386</v>
      </c>
      <c r="U58" s="33" t="n">
        <f aca="false">U37*(FX_Fee+FX_Fixed_Fee/FX_Avg_Txn)</f>
        <v>24664215.7024651</v>
      </c>
      <c r="V58" s="33" t="n">
        <f aca="false">V37*(FX_Fee+FX_Fixed_Fee/FX_Avg_Txn)</f>
        <v>26939918.2623415</v>
      </c>
      <c r="W58" s="33" t="n">
        <f aca="false">W37*(FX_Fee+FX_Fixed_Fee/FX_Avg_Txn)</f>
        <v>30503950.3581651</v>
      </c>
      <c r="X58" s="33" t="n">
        <f aca="false">X37*(FX_Fee+FX_Fixed_Fee/FX_Avg_Txn)</f>
        <v>34074429.5609143</v>
      </c>
      <c r="Y58" s="33" t="n">
        <f aca="false">Y37*(FX_Fee+FX_Fixed_Fee/FX_Avg_Txn)</f>
        <v>37924837.9291702</v>
      </c>
      <c r="Z58" s="33" t="n">
        <f aca="false">Z37*(FX_Fee+FX_Fixed_Fee/FX_Avg_Txn)</f>
        <v>41784416.9976883</v>
      </c>
      <c r="AA58" s="33" t="n">
        <f aca="false">AA37*(FX_Fee+FX_Fixed_Fee/FX_Avg_Txn)</f>
        <v>45656422.4979574</v>
      </c>
      <c r="AB58" s="33" t="n">
        <f aca="false">AB37*(FX_Fee+FX_Fixed_Fee/FX_Avg_Txn)</f>
        <v>49544267.7637629</v>
      </c>
      <c r="AC58" s="33" t="n">
        <f aca="false">AC37*(FX_Fee+FX_Fixed_Fee/FX_Avg_Txn)</f>
        <v>54637488.4437957</v>
      </c>
      <c r="AD58" s="33" t="n">
        <f aca="false">AD37*(FX_Fee+FX_Fixed_Fee/FX_Avg_Txn)</f>
        <v>59739597.7203202</v>
      </c>
      <c r="AE58" s="33" t="n">
        <f aca="false">AE37*(FX_Fee+FX_Fixed_Fee/FX_Avg_Txn)</f>
        <v>65125301.5479639</v>
      </c>
      <c r="AF58" s="33" t="n">
        <f aca="false">AF37*(FX_Fee+FX_Fixed_Fee/FX_Avg_Txn)</f>
        <v>70525123.9163539</v>
      </c>
      <c r="AG58" s="33" t="n">
        <f aca="false">AG37*(FX_Fee+FX_Fixed_Fee/FX_Avg_Txn)</f>
        <v>75943665.3146889</v>
      </c>
      <c r="AH58" s="33" t="n">
        <f aca="false">AH37*(FX_Fee+FX_Fixed_Fee/FX_Avg_Txn)</f>
        <v>81385750.1020616</v>
      </c>
      <c r="AI58" s="33" t="n">
        <f aca="false">AI37*(FX_Fee+FX_Fixed_Fee/FX_Avg_Txn)</f>
        <v>87127000.7522208</v>
      </c>
      <c r="AJ58" s="33" t="n">
        <f aca="false">AJ37*(FX_Fee+FX_Fixed_Fee/FX_Avg_Txn)</f>
        <v>92898912.5392315</v>
      </c>
      <c r="AK58" s="33" t="n">
        <f aca="false">AK37*(FX_Fee+FX_Fixed_Fee/FX_Avg_Txn)</f>
        <v>98707115.2877376</v>
      </c>
      <c r="AL58" s="33" t="n">
        <f aca="false">AL37*(FX_Fee+FX_Fixed_Fee/FX_Avg_Txn)</f>
        <v>104557524.226166</v>
      </c>
      <c r="AM58" s="33" t="n">
        <f aca="false">AM37*(FX_Fee+FX_Fixed_Fee/FX_Avg_Txn)</f>
        <v>110726917.923394</v>
      </c>
      <c r="AN58" s="33" t="n">
        <f aca="false">AN37*(FX_Fee+FX_Fixed_Fee/FX_Avg_Txn)</f>
        <v>116948016.887874</v>
      </c>
      <c r="AO58" s="33" t="n">
        <f aca="false">AO37*(FX_Fee+FX_Fixed_Fee/FX_Avg_Txn)</f>
        <v>124061976.132888</v>
      </c>
      <c r="AP58" s="33" t="n">
        <f aca="false">AP37*(FX_Fee+FX_Fixed_Fee/FX_Avg_Txn)</f>
        <v>131502367.527012</v>
      </c>
      <c r="AQ58" s="33" t="n">
        <f aca="false">AQ37*(FX_Fee+FX_Fixed_Fee/FX_Avg_Txn)</f>
        <v>139003186.458683</v>
      </c>
      <c r="AR58" s="33" t="n">
        <f aca="false">AR37*(FX_Fee+FX_Fixed_Fee/FX_Avg_Txn)</f>
        <v>146572701.168536</v>
      </c>
      <c r="AS58" s="33" t="n">
        <f aca="false">AS37*(FX_Fee+FX_Fixed_Fee/FX_Avg_Txn)</f>
        <v>154490172.079215</v>
      </c>
      <c r="AT58" s="33" t="n">
        <f aca="false">AT37*(FX_Fee+FX_Fixed_Fee/FX_Avg_Txn)</f>
        <v>162490938.314247</v>
      </c>
      <c r="AU58" s="33" t="n">
        <f aca="false">AU37*(FX_Fee+FX_Fixed_Fee/FX_Avg_Txn)</f>
        <v>170584691.988399</v>
      </c>
      <c r="AV58" s="33" t="n">
        <f aca="false">AV37*(FX_Fee+FX_Fixed_Fee/FX_Avg_Txn)</f>
        <v>179295706.350295</v>
      </c>
      <c r="AW58" s="33" t="n">
        <f aca="false">AW37*(FX_Fee+FX_Fixed_Fee/FX_Avg_Txn)</f>
        <v>188037177.197785</v>
      </c>
      <c r="AX58" s="33" t="n">
        <f aca="false">AX37*(FX_Fee+FX_Fixed_Fee/FX_Avg_Txn)</f>
        <v>197002352.630858</v>
      </c>
      <c r="AY58" s="33" t="n">
        <f aca="false">AY37*(FX_Fee+FX_Fixed_Fee/FX_Avg_Txn)</f>
        <v>205921437.710362</v>
      </c>
      <c r="AZ58" s="33" t="n">
        <f aca="false">AZ37*(FX_Fee+FX_Fixed_Fee/FX_Avg_Txn)</f>
        <v>214798650.742176</v>
      </c>
      <c r="BA58" s="33" t="n">
        <f aca="false">BA37*(FX_Fee+FX_Fixed_Fee/FX_Avg_Txn)</f>
        <v>224747663.521961</v>
      </c>
      <c r="BB58" s="33" t="n">
        <f aca="false">BB37*(FX_Fee+FX_Fixed_Fee/FX_Avg_Txn)</f>
        <v>234650356.615677</v>
      </c>
      <c r="BC58" s="33" t="n">
        <f aca="false">BC37*(FX_Fee+FX_Fixed_Fee/FX_Avg_Txn)</f>
        <v>244782198.579901</v>
      </c>
      <c r="BD58" s="33" t="n">
        <f aca="false">BD37*(FX_Fee+FX_Fixed_Fee/FX_Avg_Txn)</f>
        <v>254874466.897076</v>
      </c>
      <c r="BE58" s="33" t="n">
        <f aca="false">BE37*(FX_Fee+FX_Fixed_Fee/FX_Avg_Txn)</f>
        <v>265176010.725861</v>
      </c>
      <c r="BF58" s="33" t="n">
        <f aca="false">BF37*(FX_Fee+FX_Fixed_Fee/FX_Avg_Txn)</f>
        <v>275716512.20053</v>
      </c>
      <c r="BG58" s="33" t="n">
        <f aca="false">BG37*(FX_Fee+FX_Fixed_Fee/FX_Avg_Txn)</f>
        <v>286227981.764253</v>
      </c>
      <c r="BH58" s="33" t="n">
        <f aca="false">BH37*(FX_Fee+FX_Fixed_Fee/FX_Avg_Txn)</f>
        <v>296987099.86234</v>
      </c>
      <c r="BI58" s="33" t="n">
        <f aca="false">BI37*(FX_Fee+FX_Fixed_Fee/FX_Avg_Txn)</f>
        <v>307969930.762423</v>
      </c>
      <c r="BJ58" s="33" t="n">
        <f aca="false">BJ37*(FX_Fee+FX_Fixed_Fee/FX_Avg_Txn)</f>
        <v>319207299.219178</v>
      </c>
      <c r="BK58" s="33" t="n">
        <f aca="false">BK37*(FX_Fee+FX_Fixed_Fee/FX_Avg_Txn)</f>
        <v>330374445.576196</v>
      </c>
      <c r="BL58" s="33" t="n">
        <f aca="false">BL37*(FX_Fee+FX_Fixed_Fee/FX_Avg_Txn)</f>
        <v>341682773.060727</v>
      </c>
    </row>
    <row r="59" customFormat="false" ht="15" hidden="false" customHeight="true" outlineLevel="0" collapsed="false">
      <c r="A59" s="13" t="s">
        <v>1254</v>
      </c>
      <c r="B59" s="15" t="s">
        <v>77</v>
      </c>
      <c r="D59" s="56" t="n">
        <f aca="false">SUM(E59:BL59)</f>
        <v>0</v>
      </c>
      <c r="E59" s="33" t="n">
        <f aca="false">E36*Interchange_Share</f>
        <v>0</v>
      </c>
      <c r="F59" s="33" t="n">
        <f aca="false">F36*Interchange_Share</f>
        <v>0</v>
      </c>
      <c r="G59" s="33" t="n">
        <f aca="false">G36*Interchange_Share</f>
        <v>0</v>
      </c>
      <c r="H59" s="33" t="n">
        <f aca="false">H36*Interchange_Share</f>
        <v>0</v>
      </c>
      <c r="I59" s="33" t="n">
        <f aca="false">I36*Interchange_Share</f>
        <v>0</v>
      </c>
      <c r="J59" s="33" t="n">
        <f aca="false">J36*Interchange_Share</f>
        <v>0</v>
      </c>
      <c r="K59" s="33" t="n">
        <f aca="false">K36*Interchange_Share</f>
        <v>0</v>
      </c>
      <c r="L59" s="33" t="n">
        <f aca="false">L36*Interchange_Share</f>
        <v>0</v>
      </c>
      <c r="M59" s="33" t="n">
        <f aca="false">M36*Interchange_Share</f>
        <v>0</v>
      </c>
      <c r="N59" s="33" t="n">
        <f aca="false">N36*Interchange_Share</f>
        <v>0</v>
      </c>
      <c r="O59" s="33" t="n">
        <f aca="false">O36*Interchange_Share</f>
        <v>0</v>
      </c>
      <c r="P59" s="33" t="n">
        <f aca="false">P36*Interchange_Share</f>
        <v>0</v>
      </c>
      <c r="Q59" s="33" t="n">
        <f aca="false">Q36*Interchange_Share</f>
        <v>0</v>
      </c>
      <c r="R59" s="33" t="n">
        <f aca="false">R36*Interchange_Share</f>
        <v>0</v>
      </c>
      <c r="S59" s="33" t="n">
        <f aca="false">S36*Interchange_Share</f>
        <v>0</v>
      </c>
      <c r="T59" s="33" t="n">
        <f aca="false">T36*Interchange_Share</f>
        <v>0</v>
      </c>
      <c r="U59" s="33" t="n">
        <f aca="false">U36*Interchange_Share</f>
        <v>0</v>
      </c>
      <c r="V59" s="33" t="n">
        <f aca="false">V36*Interchange_Share</f>
        <v>0</v>
      </c>
      <c r="W59" s="33" t="n">
        <f aca="false">W36*Interchange_Share</f>
        <v>0</v>
      </c>
      <c r="X59" s="33" t="n">
        <f aca="false">X36*Interchange_Share</f>
        <v>0</v>
      </c>
      <c r="Y59" s="33" t="n">
        <f aca="false">Y36*Interchange_Share</f>
        <v>0</v>
      </c>
      <c r="Z59" s="33" t="n">
        <f aca="false">Z36*Interchange_Share</f>
        <v>0</v>
      </c>
      <c r="AA59" s="33" t="n">
        <f aca="false">AA36*Interchange_Share</f>
        <v>0</v>
      </c>
      <c r="AB59" s="33" t="n">
        <f aca="false">AB36*Interchange_Share</f>
        <v>0</v>
      </c>
      <c r="AC59" s="33" t="n">
        <f aca="false">AC36*Interchange_Share</f>
        <v>0</v>
      </c>
      <c r="AD59" s="33" t="n">
        <f aca="false">AD36*Interchange_Share</f>
        <v>0</v>
      </c>
      <c r="AE59" s="33" t="n">
        <f aca="false">AE36*Interchange_Share</f>
        <v>0</v>
      </c>
      <c r="AF59" s="33" t="n">
        <f aca="false">AF36*Interchange_Share</f>
        <v>0</v>
      </c>
      <c r="AG59" s="33" t="n">
        <f aca="false">AG36*Interchange_Share</f>
        <v>0</v>
      </c>
      <c r="AH59" s="33" t="n">
        <f aca="false">AH36*Interchange_Share</f>
        <v>0</v>
      </c>
      <c r="AI59" s="33" t="n">
        <f aca="false">AI36*Interchange_Share</f>
        <v>0</v>
      </c>
      <c r="AJ59" s="33" t="n">
        <f aca="false">AJ36*Interchange_Share</f>
        <v>0</v>
      </c>
      <c r="AK59" s="33" t="n">
        <f aca="false">AK36*Interchange_Share</f>
        <v>0</v>
      </c>
      <c r="AL59" s="33" t="n">
        <f aca="false">AL36*Interchange_Share</f>
        <v>0</v>
      </c>
      <c r="AM59" s="33" t="n">
        <f aca="false">AM36*Interchange_Share</f>
        <v>0</v>
      </c>
      <c r="AN59" s="33" t="n">
        <f aca="false">AN36*Interchange_Share</f>
        <v>0</v>
      </c>
      <c r="AO59" s="33" t="n">
        <f aca="false">AO36*Interchange_Share</f>
        <v>0</v>
      </c>
      <c r="AP59" s="33" t="n">
        <f aca="false">AP36*Interchange_Share</f>
        <v>0</v>
      </c>
      <c r="AQ59" s="33" t="n">
        <f aca="false">AQ36*Interchange_Share</f>
        <v>0</v>
      </c>
      <c r="AR59" s="33" t="n">
        <f aca="false">AR36*Interchange_Share</f>
        <v>0</v>
      </c>
      <c r="AS59" s="33" t="n">
        <f aca="false">AS36*Interchange_Share</f>
        <v>0</v>
      </c>
      <c r="AT59" s="33" t="n">
        <f aca="false">AT36*Interchange_Share</f>
        <v>0</v>
      </c>
      <c r="AU59" s="33" t="n">
        <f aca="false">AU36*Interchange_Share</f>
        <v>0</v>
      </c>
      <c r="AV59" s="33" t="n">
        <f aca="false">AV36*Interchange_Share</f>
        <v>0</v>
      </c>
      <c r="AW59" s="33" t="n">
        <f aca="false">AW36*Interchange_Share</f>
        <v>0</v>
      </c>
      <c r="AX59" s="33" t="n">
        <f aca="false">AX36*Interchange_Share</f>
        <v>0</v>
      </c>
      <c r="AY59" s="33" t="n">
        <f aca="false">AY36*Interchange_Share</f>
        <v>0</v>
      </c>
      <c r="AZ59" s="33" t="n">
        <f aca="false">AZ36*Interchange_Share</f>
        <v>0</v>
      </c>
      <c r="BA59" s="33" t="n">
        <f aca="false">BA36*Interchange_Share</f>
        <v>0</v>
      </c>
      <c r="BB59" s="33" t="n">
        <f aca="false">BB36*Interchange_Share</f>
        <v>0</v>
      </c>
      <c r="BC59" s="33" t="n">
        <f aca="false">BC36*Interchange_Share</f>
        <v>0</v>
      </c>
      <c r="BD59" s="33" t="n">
        <f aca="false">BD36*Interchange_Share</f>
        <v>0</v>
      </c>
      <c r="BE59" s="33" t="n">
        <f aca="false">BE36*Interchange_Share</f>
        <v>0</v>
      </c>
      <c r="BF59" s="33" t="n">
        <f aca="false">BF36*Interchange_Share</f>
        <v>0</v>
      </c>
      <c r="BG59" s="33" t="n">
        <f aca="false">BG36*Interchange_Share</f>
        <v>0</v>
      </c>
      <c r="BH59" s="33" t="n">
        <f aca="false">BH36*Interchange_Share</f>
        <v>0</v>
      </c>
      <c r="BI59" s="33" t="n">
        <f aca="false">BI36*Interchange_Share</f>
        <v>0</v>
      </c>
      <c r="BJ59" s="33" t="n">
        <f aca="false">BJ36*Interchange_Share</f>
        <v>0</v>
      </c>
      <c r="BK59" s="33" t="n">
        <f aca="false">BK36*Interchange_Share</f>
        <v>0</v>
      </c>
      <c r="BL59" s="33" t="n">
        <f aca="false">BL36*Interchange_Share</f>
        <v>0</v>
      </c>
    </row>
    <row r="60" customFormat="false" ht="15" hidden="false" customHeight="true" outlineLevel="0" collapsed="false">
      <c r="A60" s="13" t="s">
        <v>1255</v>
      </c>
      <c r="B60" s="15" t="s">
        <v>77</v>
      </c>
      <c r="D60" s="56" t="n">
        <f aca="false">SUM(E60:BL60)</f>
        <v>0</v>
      </c>
      <c r="E60" s="33" t="n">
        <f aca="false">E38*Deposit_Share/12</f>
        <v>0</v>
      </c>
      <c r="F60" s="33" t="n">
        <f aca="false">F38*Deposit_Share/12</f>
        <v>0</v>
      </c>
      <c r="G60" s="33" t="n">
        <f aca="false">G38*Deposit_Share/12</f>
        <v>0</v>
      </c>
      <c r="H60" s="33" t="n">
        <f aca="false">H38*Deposit_Share/12</f>
        <v>0</v>
      </c>
      <c r="I60" s="33" t="n">
        <f aca="false">I38*Deposit_Share/12</f>
        <v>0</v>
      </c>
      <c r="J60" s="33" t="n">
        <f aca="false">J38*Deposit_Share/12</f>
        <v>0</v>
      </c>
      <c r="K60" s="33" t="n">
        <f aca="false">K38*Deposit_Share/12</f>
        <v>0</v>
      </c>
      <c r="L60" s="33" t="n">
        <f aca="false">L38*Deposit_Share/12</f>
        <v>0</v>
      </c>
      <c r="M60" s="33" t="n">
        <f aca="false">M38*Deposit_Share/12</f>
        <v>0</v>
      </c>
      <c r="N60" s="33" t="n">
        <f aca="false">N38*Deposit_Share/12</f>
        <v>0</v>
      </c>
      <c r="O60" s="33" t="n">
        <f aca="false">O38*Deposit_Share/12</f>
        <v>0</v>
      </c>
      <c r="P60" s="33" t="n">
        <f aca="false">P38*Deposit_Share/12</f>
        <v>0</v>
      </c>
      <c r="Q60" s="33" t="n">
        <f aca="false">Q38*Deposit_Share/12</f>
        <v>0</v>
      </c>
      <c r="R60" s="33" t="n">
        <f aca="false">R38*Deposit_Share/12</f>
        <v>0</v>
      </c>
      <c r="S60" s="33" t="n">
        <f aca="false">S38*Deposit_Share/12</f>
        <v>0</v>
      </c>
      <c r="T60" s="33" t="n">
        <f aca="false">T38*Deposit_Share/12</f>
        <v>0</v>
      </c>
      <c r="U60" s="33" t="n">
        <f aca="false">U38*Deposit_Share/12</f>
        <v>0</v>
      </c>
      <c r="V60" s="33" t="n">
        <f aca="false">V38*Deposit_Share/12</f>
        <v>0</v>
      </c>
      <c r="W60" s="33" t="n">
        <f aca="false">W38*Deposit_Share/12</f>
        <v>0</v>
      </c>
      <c r="X60" s="33" t="n">
        <f aca="false">X38*Deposit_Share/12</f>
        <v>0</v>
      </c>
      <c r="Y60" s="33" t="n">
        <f aca="false">Y38*Deposit_Share/12</f>
        <v>0</v>
      </c>
      <c r="Z60" s="33" t="n">
        <f aca="false">Z38*Deposit_Share/12</f>
        <v>0</v>
      </c>
      <c r="AA60" s="33" t="n">
        <f aca="false">AA38*Deposit_Share/12</f>
        <v>0</v>
      </c>
      <c r="AB60" s="33" t="n">
        <f aca="false">AB38*Deposit_Share/12</f>
        <v>0</v>
      </c>
      <c r="AC60" s="33" t="n">
        <f aca="false">AC38*Deposit_Share/12</f>
        <v>0</v>
      </c>
      <c r="AD60" s="33" t="n">
        <f aca="false">AD38*Deposit_Share/12</f>
        <v>0</v>
      </c>
      <c r="AE60" s="33" t="n">
        <f aca="false">AE38*Deposit_Share/12</f>
        <v>0</v>
      </c>
      <c r="AF60" s="33" t="n">
        <f aca="false">AF38*Deposit_Share/12</f>
        <v>0</v>
      </c>
      <c r="AG60" s="33" t="n">
        <f aca="false">AG38*Deposit_Share/12</f>
        <v>0</v>
      </c>
      <c r="AH60" s="33" t="n">
        <f aca="false">AH38*Deposit_Share/12</f>
        <v>0</v>
      </c>
      <c r="AI60" s="33" t="n">
        <f aca="false">AI38*Deposit_Share/12</f>
        <v>0</v>
      </c>
      <c r="AJ60" s="33" t="n">
        <f aca="false">AJ38*Deposit_Share/12</f>
        <v>0</v>
      </c>
      <c r="AK60" s="33" t="n">
        <f aca="false">AK38*Deposit_Share/12</f>
        <v>0</v>
      </c>
      <c r="AL60" s="33" t="n">
        <f aca="false">AL38*Deposit_Share/12</f>
        <v>0</v>
      </c>
      <c r="AM60" s="33" t="n">
        <f aca="false">AM38*Deposit_Share/12</f>
        <v>0</v>
      </c>
      <c r="AN60" s="33" t="n">
        <f aca="false">AN38*Deposit_Share/12</f>
        <v>0</v>
      </c>
      <c r="AO60" s="33" t="n">
        <f aca="false">AO38*Deposit_Share/12</f>
        <v>0</v>
      </c>
      <c r="AP60" s="33" t="n">
        <f aca="false">AP38*Deposit_Share/12</f>
        <v>0</v>
      </c>
      <c r="AQ60" s="33" t="n">
        <f aca="false">AQ38*Deposit_Share/12</f>
        <v>0</v>
      </c>
      <c r="AR60" s="33" t="n">
        <f aca="false">AR38*Deposit_Share/12</f>
        <v>0</v>
      </c>
      <c r="AS60" s="33" t="n">
        <f aca="false">AS38*Deposit_Share/12</f>
        <v>0</v>
      </c>
      <c r="AT60" s="33" t="n">
        <f aca="false">AT38*Deposit_Share/12</f>
        <v>0</v>
      </c>
      <c r="AU60" s="33" t="n">
        <f aca="false">AU38*Deposit_Share/12</f>
        <v>0</v>
      </c>
      <c r="AV60" s="33" t="n">
        <f aca="false">AV38*Deposit_Share/12</f>
        <v>0</v>
      </c>
      <c r="AW60" s="33" t="n">
        <f aca="false">AW38*Deposit_Share/12</f>
        <v>0</v>
      </c>
      <c r="AX60" s="33" t="n">
        <f aca="false">AX38*Deposit_Share/12</f>
        <v>0</v>
      </c>
      <c r="AY60" s="33" t="n">
        <f aca="false">AY38*Deposit_Share/12</f>
        <v>0</v>
      </c>
      <c r="AZ60" s="33" t="n">
        <f aca="false">AZ38*Deposit_Share/12</f>
        <v>0</v>
      </c>
      <c r="BA60" s="33" t="n">
        <f aca="false">BA38*Deposit_Share/12</f>
        <v>0</v>
      </c>
      <c r="BB60" s="33" t="n">
        <f aca="false">BB38*Deposit_Share/12</f>
        <v>0</v>
      </c>
      <c r="BC60" s="33" t="n">
        <f aca="false">BC38*Deposit_Share/12</f>
        <v>0</v>
      </c>
      <c r="BD60" s="33" t="n">
        <f aca="false">BD38*Deposit_Share/12</f>
        <v>0</v>
      </c>
      <c r="BE60" s="33" t="n">
        <f aca="false">BE38*Deposit_Share/12</f>
        <v>0</v>
      </c>
      <c r="BF60" s="33" t="n">
        <f aca="false">BF38*Deposit_Share/12</f>
        <v>0</v>
      </c>
      <c r="BG60" s="33" t="n">
        <f aca="false">BG38*Deposit_Share/12</f>
        <v>0</v>
      </c>
      <c r="BH60" s="33" t="n">
        <f aca="false">BH38*Deposit_Share/12</f>
        <v>0</v>
      </c>
      <c r="BI60" s="33" t="n">
        <f aca="false">BI38*Deposit_Share/12</f>
        <v>0</v>
      </c>
      <c r="BJ60" s="33" t="n">
        <f aca="false">BJ38*Deposit_Share/12</f>
        <v>0</v>
      </c>
      <c r="BK60" s="33" t="n">
        <f aca="false">BK38*Deposit_Share/12</f>
        <v>0</v>
      </c>
      <c r="BL60" s="33" t="n">
        <f aca="false">BL38*Deposit_Share/12</f>
        <v>0</v>
      </c>
    </row>
    <row r="61" customFormat="false" ht="15" hidden="false" customHeight="true" outlineLevel="0" collapsed="false">
      <c r="A61" s="13" t="s">
        <v>1256</v>
      </c>
      <c r="B61" s="15" t="s">
        <v>77</v>
      </c>
      <c r="D61" s="56" t="n">
        <f aca="false">SUM(E61:BL61)</f>
        <v>16081521.1075949</v>
      </c>
      <c r="E61" s="33" t="n">
        <f aca="false">E34*Card_Fee</f>
        <v>0</v>
      </c>
      <c r="F61" s="33" t="n">
        <f aca="false">F34*Card_Fee</f>
        <v>0</v>
      </c>
      <c r="G61" s="33" t="n">
        <f aca="false">G34*Card_Fee</f>
        <v>0</v>
      </c>
      <c r="H61" s="33" t="n">
        <f aca="false">H34*Card_Fee</f>
        <v>0</v>
      </c>
      <c r="I61" s="33" t="n">
        <f aca="false">I34*Card_Fee</f>
        <v>64306.6666666667</v>
      </c>
      <c r="J61" s="33" t="n">
        <f aca="false">J34*Card_Fee</f>
        <v>64930.6666666667</v>
      </c>
      <c r="K61" s="33" t="n">
        <f aca="false">K34*Card_Fee</f>
        <v>65592.1066666667</v>
      </c>
      <c r="L61" s="33" t="n">
        <f aca="false">L34*Card_Fee</f>
        <v>66293.2330666667</v>
      </c>
      <c r="M61" s="33" t="n">
        <f aca="false">M34*Card_Fee</f>
        <v>67036.4270506667</v>
      </c>
      <c r="N61" s="33" t="n">
        <f aca="false">N34*Card_Fee</f>
        <v>67824.2126737067</v>
      </c>
      <c r="O61" s="33" t="n">
        <f aca="false">O34*Card_Fee</f>
        <v>68659.2654341291</v>
      </c>
      <c r="P61" s="33" t="n">
        <f aca="false">P34*Card_Fee</f>
        <v>69544.4213601768</v>
      </c>
      <c r="Q61" s="33" t="n">
        <f aca="false">Q34*Card_Fee</f>
        <v>93189.3533084541</v>
      </c>
      <c r="R61" s="33" t="n">
        <f aca="false">R34*Card_Fee</f>
        <v>94183.9145069613</v>
      </c>
      <c r="S61" s="33" t="n">
        <f aca="false">S34*Card_Fee</f>
        <v>95238.149377379</v>
      </c>
      <c r="T61" s="33" t="n">
        <f aca="false">T34*Card_Fee</f>
        <v>96355.6383400218</v>
      </c>
      <c r="U61" s="33" t="n">
        <f aca="false">U34*Card_Fee</f>
        <v>97540.1766404231</v>
      </c>
      <c r="V61" s="33" t="n">
        <f aca="false">V34*Card_Fee</f>
        <v>98795.7872388484</v>
      </c>
      <c r="W61" s="33" t="n">
        <f aca="false">W34*Card_Fee</f>
        <v>149353.401139846</v>
      </c>
      <c r="X61" s="33" t="n">
        <f aca="false">X34*Card_Fee</f>
        <v>151232.205208237</v>
      </c>
      <c r="Y61" s="33" t="n">
        <f aca="false">Y34*Card_Fee</f>
        <v>163623.737520731</v>
      </c>
      <c r="Z61" s="33" t="n">
        <f aca="false">Z34*Card_Fee</f>
        <v>165734.761771975</v>
      </c>
      <c r="AA61" s="33" t="n">
        <f aca="false">AA34*Card_Fee</f>
        <v>167972.447478293</v>
      </c>
      <c r="AB61" s="33" t="n">
        <f aca="false">AB34*Card_Fee</f>
        <v>170344.394326991</v>
      </c>
      <c r="AC61" s="33" t="n">
        <f aca="false">AC34*Card_Fee</f>
        <v>218445.324653277</v>
      </c>
      <c r="AD61" s="33" t="n">
        <f aca="false">AD34*Card_Fee</f>
        <v>221110.444132474</v>
      </c>
      <c r="AE61" s="33" t="n">
        <f aca="false">AE34*Card_Fee</f>
        <v>234335.470780422</v>
      </c>
      <c r="AF61" s="33" t="n">
        <f aca="false">AF34*Card_Fee</f>
        <v>237329.999027247</v>
      </c>
      <c r="AG61" s="33" t="n">
        <f aca="false">AG34*Card_Fee</f>
        <v>240504.198968882</v>
      </c>
      <c r="AH61" s="33" t="n">
        <f aca="false">AH34*Card_Fee</f>
        <v>243868.850907015</v>
      </c>
      <c r="AI61" s="33" t="n">
        <f aca="false">AI34*Card_Fee</f>
        <v>257835.381961436</v>
      </c>
      <c r="AJ61" s="33" t="n">
        <f aca="false">AJ34*Card_Fee</f>
        <v>261615.904879122</v>
      </c>
      <c r="AK61" s="33" t="n">
        <f aca="false">AK34*Card_Fee</f>
        <v>265623.25917187</v>
      </c>
      <c r="AL61" s="33" t="n">
        <f aca="false">AL34*Card_Fee</f>
        <v>269871.054722182</v>
      </c>
      <c r="AM61" s="33" t="n">
        <f aca="false">AM34*Card_Fee</f>
        <v>284773.718005513</v>
      </c>
      <c r="AN61" s="33" t="n">
        <f aca="false">AN34*Card_Fee</f>
        <v>289546.541085844</v>
      </c>
      <c r="AO61" s="33" t="n">
        <f aca="false">AO34*Card_Fee</f>
        <v>326672.400217661</v>
      </c>
      <c r="AP61" s="33" t="n">
        <f aca="false">AP34*Card_Fee</f>
        <v>342435.144230721</v>
      </c>
      <c r="AQ61" s="33" t="n">
        <f aca="false">AQ34*Card_Fee</f>
        <v>348119.652884564</v>
      </c>
      <c r="AR61" s="33" t="n">
        <f aca="false">AR34*Card_Fee</f>
        <v>354145.232057638</v>
      </c>
      <c r="AS61" s="33" t="n">
        <f aca="false">AS34*Card_Fee</f>
        <v>370932.345981096</v>
      </c>
      <c r="AT61" s="33" t="n">
        <f aca="false">AT34*Card_Fee</f>
        <v>377702.686739962</v>
      </c>
      <c r="AU61" s="33" t="n">
        <f aca="false">AU34*Card_Fee</f>
        <v>384879.247944359</v>
      </c>
      <c r="AV61" s="33" t="n">
        <f aca="false">AV34*Card_Fee</f>
        <v>412246.402821021</v>
      </c>
      <c r="AW61" s="33" t="n">
        <f aca="false">AW34*Card_Fee</f>
        <v>417338.520444173</v>
      </c>
      <c r="AX61" s="33" t="n">
        <f aca="false">AX34*Card_Fee</f>
        <v>429867.631670823</v>
      </c>
      <c r="AY61" s="33" t="n">
        <f aca="false">AY34*Card_Fee</f>
        <v>432124.489571072</v>
      </c>
      <c r="AZ61" s="33" t="n">
        <f aca="false">AZ34*Card_Fee</f>
        <v>434516.758945337</v>
      </c>
      <c r="BA61" s="33" t="n">
        <f aca="false">BA34*Card_Fee</f>
        <v>479692.564482057</v>
      </c>
      <c r="BB61" s="33" t="n">
        <f aca="false">BB34*Card_Fee</f>
        <v>482380.51835098</v>
      </c>
      <c r="BC61" s="33" t="n">
        <f aca="false">BC34*Card_Fee</f>
        <v>495629.749452039</v>
      </c>
      <c r="BD61" s="33" t="n">
        <f aca="false">BD34*Card_Fee</f>
        <v>498649.934419161</v>
      </c>
      <c r="BE61" s="33" t="n">
        <f aca="false">BE34*Card_Fee</f>
        <v>511211.330484311</v>
      </c>
      <c r="BF61" s="33" t="n">
        <f aca="false">BF34*Card_Fee</f>
        <v>525004.81031337</v>
      </c>
      <c r="BG61" s="33" t="n">
        <f aca="false">BG34*Card_Fee</f>
        <v>528601.898932172</v>
      </c>
      <c r="BH61" s="33" t="n">
        <f aca="false">BH34*Card_Fee</f>
        <v>542814.812868102</v>
      </c>
      <c r="BI61" s="33" t="n">
        <f aca="false">BI34*Card_Fee</f>
        <v>556216.501640188</v>
      </c>
      <c r="BJ61" s="33" t="n">
        <f aca="false">BJ34*Card_Fee</f>
        <v>570900.6917386</v>
      </c>
      <c r="BK61" s="33" t="n">
        <f aca="false">BK34*Card_Fee</f>
        <v>573213.333333333</v>
      </c>
      <c r="BL61" s="33" t="n">
        <f aca="false">BL34*Card_Fee</f>
        <v>583613.333333333</v>
      </c>
    </row>
    <row r="62" customFormat="false" ht="15" hidden="false" customHeight="true" outlineLevel="0" collapsed="false">
      <c r="A62" s="13" t="s">
        <v>1257</v>
      </c>
      <c r="B62" s="15" t="s">
        <v>77</v>
      </c>
      <c r="D62" s="56" t="n">
        <f aca="false">SUM(E62:BL62)</f>
        <v>136162983.368738</v>
      </c>
      <c r="E62" s="33" t="n">
        <f aca="false">E43*Overage_Fee</f>
        <v>0</v>
      </c>
      <c r="F62" s="33" t="n">
        <f aca="false">F43*Overage_Fee</f>
        <v>0</v>
      </c>
      <c r="G62" s="33" t="n">
        <f aca="false">G43*Overage_Fee</f>
        <v>0</v>
      </c>
      <c r="H62" s="33" t="n">
        <f aca="false">H43*Overage_Fee</f>
        <v>0</v>
      </c>
      <c r="I62" s="33" t="n">
        <f aca="false">I43*Overage_Fee</f>
        <v>33390</v>
      </c>
      <c r="J62" s="33" t="n">
        <f aca="false">J43*Overage_Fee</f>
        <v>66693.303</v>
      </c>
      <c r="K62" s="33" t="n">
        <f aca="false">K43*Overage_Fee</f>
        <v>99931.1987025</v>
      </c>
      <c r="L62" s="33" t="n">
        <f aca="false">L43*Overage_Fee</f>
        <v>133125.867496294</v>
      </c>
      <c r="M62" s="33" t="n">
        <f aca="false">M43*Overage_Fee</f>
        <v>166300.440204223</v>
      </c>
      <c r="N62" s="33" t="n">
        <f aca="false">N43*Overage_Fee</f>
        <v>199479.061304795</v>
      </c>
      <c r="O62" s="33" t="n">
        <f aca="false">O43*Overage_Fee</f>
        <v>232686.955838141</v>
      </c>
      <c r="P62" s="33" t="n">
        <f aca="false">P43*Overage_Fee</f>
        <v>265950.500219396</v>
      </c>
      <c r="Q62" s="33" t="n">
        <f aca="false">Q43*Overage_Fee</f>
        <v>311087.297195916</v>
      </c>
      <c r="R62" s="33" t="n">
        <f aca="false">R43*Overage_Fee</f>
        <v>356191.238198892</v>
      </c>
      <c r="S62" s="33" t="n">
        <f aca="false">S43*Overage_Fee</f>
        <v>401294.681657439</v>
      </c>
      <c r="T62" s="33" t="n">
        <f aca="false">T43*Overage_Fee</f>
        <v>446431.431732902</v>
      </c>
      <c r="U62" s="33" t="n">
        <f aca="false">U43*Overage_Fee</f>
        <v>491636.833082893</v>
      </c>
      <c r="V62" s="33" t="n">
        <f aca="false">V43*Overage_Fee</f>
        <v>536947.871170783</v>
      </c>
      <c r="W62" s="33" t="n">
        <f aca="false">W43*Overage_Fee</f>
        <v>607963.27845597</v>
      </c>
      <c r="X62" s="33" t="n">
        <f aca="false">X43*Overage_Fee</f>
        <v>679092.258820297</v>
      </c>
      <c r="Y62" s="33" t="n">
        <f aca="false">Y43*Overage_Fee</f>
        <v>755793.440317274</v>
      </c>
      <c r="Z62" s="33" t="n">
        <f aca="false">Z43*Overage_Fee</f>
        <v>832661.802083252</v>
      </c>
      <c r="AA62" s="33" t="n">
        <f aca="false">AA43*Overage_Fee</f>
        <v>909762.636309693</v>
      </c>
      <c r="AB62" s="33" t="n">
        <f aca="false">AB43*Overage_Fee</f>
        <v>987164.35832784</v>
      </c>
      <c r="AC62" s="33" t="n">
        <f aca="false">AC43*Overage_Fee</f>
        <v>1088608.70680289</v>
      </c>
      <c r="AD62" s="33" t="n">
        <f aca="false">AD43*Overage_Fee</f>
        <v>1190209.8147162</v>
      </c>
      <c r="AE62" s="33" t="n">
        <f aca="false">AE43*Overage_Fee</f>
        <v>1297450.85217943</v>
      </c>
      <c r="AF62" s="33" t="n">
        <f aca="false">AF43*Overage_Fee</f>
        <v>1404952.50075338</v>
      </c>
      <c r="AG62" s="33" t="n">
        <f aca="false">AG43*Overage_Fee</f>
        <v>1512806.99003264</v>
      </c>
      <c r="AH62" s="33" t="n">
        <f aca="false">AH43*Overage_Fee</f>
        <v>1621110.98673259</v>
      </c>
      <c r="AI62" s="33" t="n">
        <f aca="false">AI43*Overage_Fee</f>
        <v>1735365.87854107</v>
      </c>
      <c r="AJ62" s="33" t="n">
        <f aca="false">AJ43*Overage_Fee</f>
        <v>1850211.65469405</v>
      </c>
      <c r="AK62" s="33" t="n">
        <f aca="false">AK43*Overage_Fee</f>
        <v>1965761.00793433</v>
      </c>
      <c r="AL62" s="33" t="n">
        <f aca="false">AL43*Overage_Fee</f>
        <v>2082132.29289663</v>
      </c>
      <c r="AM62" s="33" t="n">
        <f aca="false">AM43*Overage_Fee</f>
        <v>2204849.88341679</v>
      </c>
      <c r="AN62" s="33" t="n">
        <f aca="false">AN43*Overage_Fee</f>
        <v>2328578.13097365</v>
      </c>
      <c r="AO62" s="33" t="n">
        <f aca="false">AO43*Overage_Fee</f>
        <v>2470105.54918746</v>
      </c>
      <c r="AP62" s="33" t="n">
        <f aca="false">AP43*Overage_Fee</f>
        <v>2618123.0646985</v>
      </c>
      <c r="AQ62" s="33" t="n">
        <f aca="false">AQ43*Overage_Fee</f>
        <v>2767320.54680797</v>
      </c>
      <c r="AR62" s="33" t="n">
        <f aca="false">AR43*Overage_Fee</f>
        <v>2917863.31680808</v>
      </c>
      <c r="AS62" s="33" t="n">
        <f aca="false">AS43*Overage_Fee</f>
        <v>3075325.27512124</v>
      </c>
      <c r="AT62" s="33" t="n">
        <f aca="false">AT43*Overage_Fee</f>
        <v>3234423.01742242</v>
      </c>
      <c r="AU62" s="33" t="n">
        <f aca="false">AU43*Overage_Fee</f>
        <v>3395350.18620835</v>
      </c>
      <c r="AV62" s="33" t="n">
        <f aca="false">AV43*Overage_Fee</f>
        <v>3568570.69370197</v>
      </c>
      <c r="AW62" s="33" t="n">
        <f aca="false">AW43*Overage_Fee</f>
        <v>3742370.28462499</v>
      </c>
      <c r="AX62" s="33" t="n">
        <f aca="false">AX43*Overage_Fee</f>
        <v>3920606.436008</v>
      </c>
      <c r="AY62" s="33" t="n">
        <f aca="false">AY43*Overage_Fee</f>
        <v>4097893.95983749</v>
      </c>
      <c r="AZ62" s="33" t="n">
        <f aca="false">AZ43*Overage_Fee</f>
        <v>4274317.94455658</v>
      </c>
      <c r="BA62" s="33" t="n">
        <f aca="false">BA43*Overage_Fee</f>
        <v>4472106.58226053</v>
      </c>
      <c r="BB62" s="33" t="n">
        <f aca="false">BB43*Overage_Fee</f>
        <v>4668939.06469681</v>
      </c>
      <c r="BC62" s="33" t="n">
        <f aca="false">BC43*Overage_Fee</f>
        <v>4870314.32676093</v>
      </c>
      <c r="BD62" s="33" t="n">
        <f aca="false">BD43*Overage_Fee</f>
        <v>5070868.61754288</v>
      </c>
      <c r="BE62" s="33" t="n">
        <f aca="false">BE43*Overage_Fee</f>
        <v>5275569.54297363</v>
      </c>
      <c r="BF62" s="33" t="n">
        <f aca="false">BF43*Overage_Fee</f>
        <v>5485009.18303148</v>
      </c>
      <c r="BG62" s="33" t="n">
        <f aca="false">BG43*Overage_Fee</f>
        <v>5693838.36706467</v>
      </c>
      <c r="BH62" s="33" t="n">
        <f aca="false">BH43*Overage_Fee</f>
        <v>5907580.12342524</v>
      </c>
      <c r="BI62" s="33" t="n">
        <f aca="false">BI43*Overage_Fee</f>
        <v>6125756.20563476</v>
      </c>
      <c r="BJ62" s="33" t="n">
        <f aca="false">BJ43*Overage_Fee</f>
        <v>6348981.44208234</v>
      </c>
      <c r="BK62" s="33" t="n">
        <f aca="false">BK43*Overage_Fee</f>
        <v>6570773.5490204</v>
      </c>
      <c r="BL62" s="33" t="n">
        <f aca="false">BL43*Overage_Fee</f>
        <v>6795352.93546895</v>
      </c>
    </row>
    <row r="63" customFormat="false" ht="15" hidden="false" customHeight="true" outlineLevel="0" collapsed="false">
      <c r="A63" s="13" t="s">
        <v>1258</v>
      </c>
      <c r="B63" s="15" t="s">
        <v>77</v>
      </c>
      <c r="D63" s="56" t="n">
        <f aca="false">SUM(E63:BL63)</f>
        <v>956796171.094988</v>
      </c>
      <c r="E63" s="33" t="n">
        <f aca="false">E50*PL_Momo_Share*PL_Fee</f>
        <v>0</v>
      </c>
      <c r="F63" s="33" t="n">
        <f aca="false">F50*PL_Momo_Share*PL_Fee</f>
        <v>0</v>
      </c>
      <c r="G63" s="33" t="n">
        <f aca="false">G50*PL_Momo_Share*PL_Fee</f>
        <v>0</v>
      </c>
      <c r="H63" s="33" t="n">
        <f aca="false">H50*PL_Momo_Share*PL_Fee</f>
        <v>0</v>
      </c>
      <c r="I63" s="33" t="n">
        <f aca="false">I50*PL_Momo_Share*PL_Fee</f>
        <v>0</v>
      </c>
      <c r="J63" s="33" t="n">
        <f aca="false">J50*PL_Momo_Share*PL_Fee</f>
        <v>0</v>
      </c>
      <c r="K63" s="33" t="n">
        <f aca="false">K50*PL_Momo_Share*PL_Fee</f>
        <v>0</v>
      </c>
      <c r="L63" s="33" t="n">
        <f aca="false">L50*PL_Momo_Share*PL_Fee</f>
        <v>0</v>
      </c>
      <c r="M63" s="33" t="n">
        <f aca="false">M50*PL_Momo_Share*PL_Fee</f>
        <v>0</v>
      </c>
      <c r="N63" s="33" t="n">
        <f aca="false">N50*PL_Momo_Share*PL_Fee</f>
        <v>0</v>
      </c>
      <c r="O63" s="33" t="n">
        <f aca="false">O50*PL_Momo_Share*PL_Fee</f>
        <v>0</v>
      </c>
      <c r="P63" s="33" t="n">
        <f aca="false">P50*PL_Momo_Share*PL_Fee</f>
        <v>0</v>
      </c>
      <c r="Q63" s="33" t="n">
        <f aca="false">Q50*PL_Momo_Share*PL_Fee</f>
        <v>0</v>
      </c>
      <c r="R63" s="33" t="n">
        <f aca="false">R50*PL_Momo_Share*PL_Fee</f>
        <v>0</v>
      </c>
      <c r="S63" s="33" t="n">
        <f aca="false">S50*PL_Momo_Share*PL_Fee</f>
        <v>0</v>
      </c>
      <c r="T63" s="33" t="n">
        <f aca="false">T50*PL_Momo_Share*PL_Fee</f>
        <v>0</v>
      </c>
      <c r="U63" s="33" t="n">
        <f aca="false">U50*PL_Momo_Share*PL_Fee</f>
        <v>0</v>
      </c>
      <c r="V63" s="33" t="n">
        <f aca="false">V50*PL_Momo_Share*PL_Fee</f>
        <v>332036.437518309</v>
      </c>
      <c r="W63" s="33" t="n">
        <f aca="false">W50*PL_Momo_Share*PL_Fee</f>
        <v>751944.033984571</v>
      </c>
      <c r="X63" s="33" t="n">
        <f aca="false">X50*PL_Momo_Share*PL_Fee</f>
        <v>1259978.15172081</v>
      </c>
      <c r="Y63" s="33" t="n">
        <f aca="false">Y50*PL_Momo_Share*PL_Fee</f>
        <v>1869865.94704</v>
      </c>
      <c r="Z63" s="33" t="n">
        <f aca="false">Z50*PL_Momo_Share*PL_Fee</f>
        <v>2575296.55942538</v>
      </c>
      <c r="AA63" s="33" t="n">
        <f aca="false">AA50*PL_Momo_Share*PL_Fee</f>
        <v>3376867.50959009</v>
      </c>
      <c r="AB63" s="33" t="n">
        <f aca="false">AB50*PL_Momo_Share*PL_Fee</f>
        <v>4275350.18103454</v>
      </c>
      <c r="AC63" s="33" t="n">
        <f aca="false">AC50*PL_Momo_Share*PL_Fee</f>
        <v>5388542.67837536</v>
      </c>
      <c r="AD63" s="33" t="n">
        <f aca="false">AD50*PL_Momo_Share*PL_Fee</f>
        <v>6628399.72465244</v>
      </c>
      <c r="AE63" s="33" t="n">
        <f aca="false">AE50*PL_Momo_Share*PL_Fee</f>
        <v>8029103.87569041</v>
      </c>
      <c r="AF63" s="33" t="n">
        <f aca="false">AF50*PL_Momo_Share*PL_Fee</f>
        <v>9564656.08246315</v>
      </c>
      <c r="AG63" s="33" t="n">
        <f aca="false">AG50*PL_Momo_Share*PL_Fee</f>
        <v>11236282.4691221</v>
      </c>
      <c r="AH63" s="33" t="n">
        <f aca="false">AH50*PL_Momo_Share*PL_Fee</f>
        <v>12041973.7315087</v>
      </c>
      <c r="AI63" s="33" t="n">
        <f aca="false">AI50*PL_Momo_Share*PL_Fee</f>
        <v>12891975.8384286</v>
      </c>
      <c r="AJ63" s="33" t="n">
        <f aca="false">AJ50*PL_Momo_Share*PL_Fee</f>
        <v>13746613.8136772</v>
      </c>
      <c r="AK63" s="33" t="n">
        <f aca="false">AK50*PL_Momo_Share*PL_Fee</f>
        <v>14606719.3839512</v>
      </c>
      <c r="AL63" s="33" t="n">
        <f aca="false">AL50*PL_Momo_Share*PL_Fee</f>
        <v>15473166.5701098</v>
      </c>
      <c r="AM63" s="33" t="n">
        <f aca="false">AM50*PL_Momo_Share*PL_Fee</f>
        <v>16386858.3428076</v>
      </c>
      <c r="AN63" s="33" t="n">
        <f aca="false">AN50*PL_Momo_Share*PL_Fee</f>
        <v>17308301.1554651</v>
      </c>
      <c r="AO63" s="33" t="n">
        <f aca="false">AO50*PL_Momo_Share*PL_Fee</f>
        <v>18361803.0171537</v>
      </c>
      <c r="AP63" s="33" t="n">
        <f aca="false">AP50*PL_Momo_Share*PL_Fee</f>
        <v>19463673.2050081</v>
      </c>
      <c r="AQ63" s="33" t="n">
        <f aca="false">AQ50*PL_Momo_Share*PL_Fee</f>
        <v>20574606.5338114</v>
      </c>
      <c r="AR63" s="33" t="n">
        <f aca="false">AR50*PL_Momo_Share*PL_Fee</f>
        <v>21695825.0081689</v>
      </c>
      <c r="AS63" s="33" t="n">
        <f aca="false">AS50*PL_Momo_Share*PL_Fee</f>
        <v>22868598.6688946</v>
      </c>
      <c r="AT63" s="33" t="n">
        <f aca="false">AT50*PL_Momo_Share*PL_Fee</f>
        <v>24053821.2986451</v>
      </c>
      <c r="AU63" s="33" t="n">
        <f aca="false">AU50*PL_Momo_Share*PL_Fee</f>
        <v>25252925.7373637</v>
      </c>
      <c r="AV63" s="33" t="n">
        <f aca="false">AV50*PL_Momo_Share*PL_Fee</f>
        <v>26543391.0413532</v>
      </c>
      <c r="AW63" s="33" t="n">
        <f aca="false">AW50*PL_Momo_Share*PL_Fee</f>
        <v>27838509.3463522</v>
      </c>
      <c r="AX63" s="33" t="n">
        <f aca="false">AX50*PL_Momo_Share*PL_Fee</f>
        <v>29166838.6385057</v>
      </c>
      <c r="AY63" s="33" t="n">
        <f aca="false">AY50*PL_Momo_Share*PL_Fee</f>
        <v>30488511.2708357</v>
      </c>
      <c r="AZ63" s="33" t="n">
        <f aca="false">AZ50*PL_Momo_Share*PL_Fee</f>
        <v>31804148.3622611</v>
      </c>
      <c r="BA63" s="33" t="n">
        <f aca="false">BA50*PL_Momo_Share*PL_Fee</f>
        <v>33278328.8098798</v>
      </c>
      <c r="BB63" s="33" t="n">
        <f aca="false">BB50*PL_Momo_Share*PL_Fee</f>
        <v>34745834.9572545</v>
      </c>
      <c r="BC63" s="33" t="n">
        <f aca="false">BC50*PL_Momo_Share*PL_Fee</f>
        <v>36247373.7857868</v>
      </c>
      <c r="BD63" s="33" t="n">
        <f aca="false">BD50*PL_Momo_Share*PL_Fee</f>
        <v>37743236.0950796</v>
      </c>
      <c r="BE63" s="33" t="n">
        <f aca="false">BE50*PL_Momo_Share*PL_Fee</f>
        <v>39270195.1168179</v>
      </c>
      <c r="BF63" s="33" t="n">
        <f aca="false">BF50*PL_Momo_Share*PL_Fee</f>
        <v>40832640.1806086</v>
      </c>
      <c r="BG63" s="33" t="n">
        <f aca="false">BG50*PL_Momo_Share*PL_Fee</f>
        <v>42390970.5695912</v>
      </c>
      <c r="BH63" s="33" t="n">
        <f aca="false">BH50*PL_Momo_Share*PL_Fee</f>
        <v>43986072.6677109</v>
      </c>
      <c r="BI63" s="33" t="n">
        <f aca="false">BI50*PL_Momo_Share*PL_Fee</f>
        <v>45614412.7767482</v>
      </c>
      <c r="BJ63" s="33" t="n">
        <f aca="false">BJ50*PL_Momo_Share*PL_Fee</f>
        <v>47280549.3111382</v>
      </c>
      <c r="BK63" s="33" t="n">
        <f aca="false">BK50*PL_Momo_Share*PL_Fee</f>
        <v>48936492.1809798</v>
      </c>
      <c r="BL63" s="33" t="n">
        <f aca="false">BL50*PL_Momo_Share*PL_Fee</f>
        <v>50613480.0284743</v>
      </c>
    </row>
    <row r="64" customFormat="false" ht="15" hidden="false" customHeight="true" outlineLevel="0" collapsed="false">
      <c r="A64" s="13" t="s">
        <v>994</v>
      </c>
      <c r="B64" s="15" t="s">
        <v>77</v>
      </c>
      <c r="D64" s="56" t="n">
        <f aca="false">SUM(E64:BL64)</f>
        <v>257405875.353935</v>
      </c>
      <c r="E64" s="33" t="n">
        <f aca="false">E44*Extra_User_Fee</f>
        <v>0</v>
      </c>
      <c r="F64" s="33" t="n">
        <f aca="false">F44*Extra_User_Fee</f>
        <v>0</v>
      </c>
      <c r="G64" s="33" t="n">
        <f aca="false">G44*Extra_User_Fee</f>
        <v>0</v>
      </c>
      <c r="H64" s="33" t="n">
        <f aca="false">H44*Extra_User_Fee</f>
        <v>0</v>
      </c>
      <c r="I64" s="33" t="n">
        <f aca="false">I44*Extra_User_Fee</f>
        <v>61833.3333333333</v>
      </c>
      <c r="J64" s="33" t="n">
        <f aca="false">J44*Extra_User_Fee</f>
        <v>123617.416666667</v>
      </c>
      <c r="K64" s="33" t="n">
        <f aca="false">K44*Extra_User_Fee</f>
        <v>185389.138125</v>
      </c>
      <c r="L64" s="33" t="n">
        <f aca="false">L44*Extra_User_Fee</f>
        <v>247187.154688021</v>
      </c>
      <c r="M64" s="33" t="n">
        <f aca="false">M44*Extra_User_Fee</f>
        <v>309052.003474749</v>
      </c>
      <c r="N64" s="33" t="n">
        <f aca="false">N44*Extra_User_Fee</f>
        <v>371026.219643857</v>
      </c>
      <c r="O64" s="33" t="n">
        <f aca="false">O44*Extra_User_Fee</f>
        <v>433154.461307356</v>
      </c>
      <c r="P64" s="33" t="n">
        <f aca="false">P44*Extra_User_Fee</f>
        <v>495483.641879177</v>
      </c>
      <c r="Q64" s="33" t="n">
        <f aca="false">Q44*Extra_User_Fee</f>
        <v>579896.403638814</v>
      </c>
      <c r="R64" s="33" t="n">
        <f aca="false">R44*Extra_User_Fee</f>
        <v>664382.016316964</v>
      </c>
      <c r="S64" s="33" t="n">
        <f aca="false">S44*Extra_User_Fee</f>
        <v>748997.57266355</v>
      </c>
      <c r="T64" s="33" t="n">
        <f aca="false">T44*Extra_User_Fee</f>
        <v>833803.004551606</v>
      </c>
      <c r="U64" s="33" t="n">
        <f aca="false">U44*Extra_User_Fee</f>
        <v>918861.260110839</v>
      </c>
      <c r="V64" s="33" t="n">
        <f aca="false">V44*Extra_User_Fee</f>
        <v>1004238.49140847</v>
      </c>
      <c r="W64" s="33" t="n">
        <f aca="false">W44*Extra_User_Fee</f>
        <v>1137337.58664448</v>
      </c>
      <c r="X64" s="33" t="n">
        <f aca="false">X44*Extra_User_Fee</f>
        <v>1270851.38086645</v>
      </c>
      <c r="Y64" s="33" t="n">
        <f aca="false">Y44*Extra_User_Fee</f>
        <v>1414884.65674944</v>
      </c>
      <c r="Z64" s="33" t="n">
        <f aca="false">Z44*Extra_User_Fee</f>
        <v>1559442.59571867</v>
      </c>
      <c r="AA64" s="33" t="n">
        <f aca="false">AA44*Extra_User_Fee</f>
        <v>1704642.27464805</v>
      </c>
      <c r="AB64" s="33" t="n">
        <f aca="false">AB44*Extra_User_Fee</f>
        <v>1850606.84408217</v>
      </c>
      <c r="AC64" s="33" t="n">
        <f aca="false">AC44*Extra_User_Fee</f>
        <v>2041299.23698397</v>
      </c>
      <c r="AD64" s="33" t="n">
        <f aca="false">AD44*Extra_User_Fee</f>
        <v>2232562.31654321</v>
      </c>
      <c r="AE64" s="33" t="n">
        <f aca="false">AE44*Extra_User_Fee</f>
        <v>2434544.89334935</v>
      </c>
      <c r="AF64" s="33" t="n">
        <f aca="false">AF44*Extra_User_Fee</f>
        <v>2637298.43438223</v>
      </c>
      <c r="AG64" s="33" t="n">
        <f aca="false">AG44*Extra_User_Fee</f>
        <v>2840988.69959954</v>
      </c>
      <c r="AH64" s="33" t="n">
        <f aca="false">AH44*Extra_User_Fee</f>
        <v>3045790.06838845</v>
      </c>
      <c r="AI64" s="33" t="n">
        <f aca="false">AI44*Extra_User_Fee</f>
        <v>3261886.07205142</v>
      </c>
      <c r="AJ64" s="33" t="n">
        <f aca="false">AJ44*Extra_User_Fee</f>
        <v>3479364.95805906</v>
      </c>
      <c r="AK64" s="33" t="n">
        <f aca="false">AK44*Extra_User_Fee</f>
        <v>3698431.45047835</v>
      </c>
      <c r="AL64" s="33" t="n">
        <f aca="false">AL44*Extra_User_Fee</f>
        <v>3919301.20769255</v>
      </c>
      <c r="AM64" s="33" t="n">
        <f aca="false">AM44*Extra_User_Fee</f>
        <v>4152201.4940286</v>
      </c>
      <c r="AN64" s="33" t="n">
        <f aca="false">AN44*Extra_User_Fee</f>
        <v>4387266.89149719</v>
      </c>
      <c r="AO64" s="33" t="n">
        <f aca="false">AO44*Extra_User_Fee</f>
        <v>4655584.54988801</v>
      </c>
      <c r="AP64" s="33" t="n">
        <f aca="false">AP44*Extra_User_Fee</f>
        <v>4936265.06020063</v>
      </c>
      <c r="AQ64" s="33" t="n">
        <f aca="false">AQ44*Extra_User_Fee</f>
        <v>5219489.38629779</v>
      </c>
      <c r="AR64" s="33" t="n">
        <f aca="false">AR44*Extra_User_Fee</f>
        <v>5505560.2162885</v>
      </c>
      <c r="AS64" s="33" t="n">
        <f aca="false">AS44*Extra_User_Fee</f>
        <v>5804796.7387302</v>
      </c>
      <c r="AT64" s="33" t="n">
        <f aca="false">AT44*Extra_User_Fee</f>
        <v>6107430.65180441</v>
      </c>
      <c r="AU64" s="33" t="n">
        <f aca="false">AU44*Extra_User_Fee</f>
        <v>6413818.3953156</v>
      </c>
      <c r="AV64" s="33" t="n">
        <f aca="false">AV44*Extra_User_Fee</f>
        <v>6743336.10822924</v>
      </c>
      <c r="AW64" s="33" t="n">
        <f aca="false">AW44*Extra_User_Fee</f>
        <v>7074324.15068885</v>
      </c>
      <c r="AX64" s="33" t="n">
        <f aca="false">AX44*Extra_User_Fee</f>
        <v>7413919.69374187</v>
      </c>
      <c r="AY64" s="33" t="n">
        <f aca="false">AY44*Extra_User_Fee</f>
        <v>7752156.83919964</v>
      </c>
      <c r="AZ64" s="33" t="n">
        <f aca="false">AZ44*Extra_User_Fee</f>
        <v>8089181.73680118</v>
      </c>
      <c r="BA64" s="33" t="n">
        <f aca="false">BA44*Extra_User_Fee</f>
        <v>8466146.78977269</v>
      </c>
      <c r="BB64" s="33" t="n">
        <f aca="false">BB44*Extra_User_Fee</f>
        <v>8841780.55900416</v>
      </c>
      <c r="BC64" s="33" t="n">
        <f aca="false">BC44*Extra_User_Fee</f>
        <v>9226253.9573831</v>
      </c>
      <c r="BD64" s="33" t="n">
        <f aca="false">BD44*Extra_User_Fee</f>
        <v>9609640.38200833</v>
      </c>
      <c r="BE64" s="33" t="n">
        <f aca="false">BE44*Extra_User_Fee</f>
        <v>10001127.3576423</v>
      </c>
      <c r="BF64" s="33" t="n">
        <f aca="false">BF44*Extra_User_Fee</f>
        <v>10401816.3702361</v>
      </c>
      <c r="BG64" s="33" t="n">
        <f aca="false">BG44*Extra_User_Fee</f>
        <v>10801808.452962</v>
      </c>
      <c r="BH64" s="33" t="n">
        <f aca="false">BH44*Extra_User_Fee</f>
        <v>11211320.362187</v>
      </c>
      <c r="BI64" s="33" t="n">
        <f aca="false">BI44*Extra_User_Fee</f>
        <v>11629474.0074296</v>
      </c>
      <c r="BJ64" s="33" t="n">
        <f aca="false">BJ44*Extra_User_Fee</f>
        <v>12057413.7558526</v>
      </c>
      <c r="BK64" s="33" t="n">
        <f aca="false">BK44*Extra_User_Fee</f>
        <v>12483143.0982019</v>
      </c>
      <c r="BL64" s="33" t="n">
        <f aca="false">BL44*Extra_User_Fee</f>
        <v>12914463.5544979</v>
      </c>
    </row>
    <row r="65" customFormat="false" ht="15" hidden="false" customHeight="true" outlineLevel="0" collapsed="false">
      <c r="A65" s="13" t="s">
        <v>1259</v>
      </c>
      <c r="B65" s="15" t="s">
        <v>77</v>
      </c>
      <c r="D65" s="56" t="n">
        <f aca="false">SUM(E65:BL65)</f>
        <v>0</v>
      </c>
      <c r="E65" s="33" t="n">
        <f aca="false">E45*Extra_Card_Fee</f>
        <v>0</v>
      </c>
      <c r="F65" s="33" t="n">
        <f aca="false">F45*Extra_Card_Fee</f>
        <v>0</v>
      </c>
      <c r="G65" s="33" t="n">
        <f aca="false">G45*Extra_Card_Fee</f>
        <v>0</v>
      </c>
      <c r="H65" s="33" t="n">
        <f aca="false">H45*Extra_Card_Fee</f>
        <v>0</v>
      </c>
      <c r="I65" s="33" t="n">
        <f aca="false">I45*Extra_Card_Fee</f>
        <v>0</v>
      </c>
      <c r="J65" s="33" t="n">
        <f aca="false">J45*Extra_Card_Fee</f>
        <v>0</v>
      </c>
      <c r="K65" s="33" t="n">
        <f aca="false">K45*Extra_Card_Fee</f>
        <v>0</v>
      </c>
      <c r="L65" s="33" t="n">
        <f aca="false">L45*Extra_Card_Fee</f>
        <v>0</v>
      </c>
      <c r="M65" s="33" t="n">
        <f aca="false">M45*Extra_Card_Fee</f>
        <v>0</v>
      </c>
      <c r="N65" s="33" t="n">
        <f aca="false">N45*Extra_Card_Fee</f>
        <v>0</v>
      </c>
      <c r="O65" s="33" t="n">
        <f aca="false">O45*Extra_Card_Fee</f>
        <v>0</v>
      </c>
      <c r="P65" s="33" t="n">
        <f aca="false">P45*Extra_Card_Fee</f>
        <v>0</v>
      </c>
      <c r="Q65" s="33" t="n">
        <f aca="false">Q45*Extra_Card_Fee</f>
        <v>0</v>
      </c>
      <c r="R65" s="33" t="n">
        <f aca="false">R45*Extra_Card_Fee</f>
        <v>0</v>
      </c>
      <c r="S65" s="33" t="n">
        <f aca="false">S45*Extra_Card_Fee</f>
        <v>0</v>
      </c>
      <c r="T65" s="33" t="n">
        <f aca="false">T45*Extra_Card_Fee</f>
        <v>0</v>
      </c>
      <c r="U65" s="33" t="n">
        <f aca="false">U45*Extra_Card_Fee</f>
        <v>0</v>
      </c>
      <c r="V65" s="33" t="n">
        <f aca="false">V45*Extra_Card_Fee</f>
        <v>0</v>
      </c>
      <c r="W65" s="33" t="n">
        <f aca="false">W45*Extra_Card_Fee</f>
        <v>0</v>
      </c>
      <c r="X65" s="33" t="n">
        <f aca="false">X45*Extra_Card_Fee</f>
        <v>0</v>
      </c>
      <c r="Y65" s="33" t="n">
        <f aca="false">Y45*Extra_Card_Fee</f>
        <v>0</v>
      </c>
      <c r="Z65" s="33" t="n">
        <f aca="false">Z45*Extra_Card_Fee</f>
        <v>0</v>
      </c>
      <c r="AA65" s="33" t="n">
        <f aca="false">AA45*Extra_Card_Fee</f>
        <v>0</v>
      </c>
      <c r="AB65" s="33" t="n">
        <f aca="false">AB45*Extra_Card_Fee</f>
        <v>0</v>
      </c>
      <c r="AC65" s="33" t="n">
        <f aca="false">AC45*Extra_Card_Fee</f>
        <v>0</v>
      </c>
      <c r="AD65" s="33" t="n">
        <f aca="false">AD45*Extra_Card_Fee</f>
        <v>0</v>
      </c>
      <c r="AE65" s="33" t="n">
        <f aca="false">AE45*Extra_Card_Fee</f>
        <v>0</v>
      </c>
      <c r="AF65" s="33" t="n">
        <f aca="false">AF45*Extra_Card_Fee</f>
        <v>0</v>
      </c>
      <c r="AG65" s="33" t="n">
        <f aca="false">AG45*Extra_Card_Fee</f>
        <v>0</v>
      </c>
      <c r="AH65" s="33" t="n">
        <f aca="false">AH45*Extra_Card_Fee</f>
        <v>0</v>
      </c>
      <c r="AI65" s="33" t="n">
        <f aca="false">AI45*Extra_Card_Fee</f>
        <v>0</v>
      </c>
      <c r="AJ65" s="33" t="n">
        <f aca="false">AJ45*Extra_Card_Fee</f>
        <v>0</v>
      </c>
      <c r="AK65" s="33" t="n">
        <f aca="false">AK45*Extra_Card_Fee</f>
        <v>0</v>
      </c>
      <c r="AL65" s="33" t="n">
        <f aca="false">AL45*Extra_Card_Fee</f>
        <v>0</v>
      </c>
      <c r="AM65" s="33" t="n">
        <f aca="false">AM45*Extra_Card_Fee</f>
        <v>0</v>
      </c>
      <c r="AN65" s="33" t="n">
        <f aca="false">AN45*Extra_Card_Fee</f>
        <v>0</v>
      </c>
      <c r="AO65" s="33" t="n">
        <f aca="false">AO45*Extra_Card_Fee</f>
        <v>0</v>
      </c>
      <c r="AP65" s="33" t="n">
        <f aca="false">AP45*Extra_Card_Fee</f>
        <v>0</v>
      </c>
      <c r="AQ65" s="33" t="n">
        <f aca="false">AQ45*Extra_Card_Fee</f>
        <v>0</v>
      </c>
      <c r="AR65" s="33" t="n">
        <f aca="false">AR45*Extra_Card_Fee</f>
        <v>0</v>
      </c>
      <c r="AS65" s="33" t="n">
        <f aca="false">AS45*Extra_Card_Fee</f>
        <v>0</v>
      </c>
      <c r="AT65" s="33" t="n">
        <f aca="false">AT45*Extra_Card_Fee</f>
        <v>0</v>
      </c>
      <c r="AU65" s="33" t="n">
        <f aca="false">AU45*Extra_Card_Fee</f>
        <v>0</v>
      </c>
      <c r="AV65" s="33" t="n">
        <f aca="false">AV45*Extra_Card_Fee</f>
        <v>0</v>
      </c>
      <c r="AW65" s="33" t="n">
        <f aca="false">AW45*Extra_Card_Fee</f>
        <v>0</v>
      </c>
      <c r="AX65" s="33" t="n">
        <f aca="false">AX45*Extra_Card_Fee</f>
        <v>0</v>
      </c>
      <c r="AY65" s="33" t="n">
        <f aca="false">AY45*Extra_Card_Fee</f>
        <v>0</v>
      </c>
      <c r="AZ65" s="33" t="n">
        <f aca="false">AZ45*Extra_Card_Fee</f>
        <v>0</v>
      </c>
      <c r="BA65" s="33" t="n">
        <f aca="false">BA45*Extra_Card_Fee</f>
        <v>0</v>
      </c>
      <c r="BB65" s="33" t="n">
        <f aca="false">BB45*Extra_Card_Fee</f>
        <v>0</v>
      </c>
      <c r="BC65" s="33" t="n">
        <f aca="false">BC45*Extra_Card_Fee</f>
        <v>0</v>
      </c>
      <c r="BD65" s="33" t="n">
        <f aca="false">BD45*Extra_Card_Fee</f>
        <v>0</v>
      </c>
      <c r="BE65" s="33" t="n">
        <f aca="false">BE45*Extra_Card_Fee</f>
        <v>0</v>
      </c>
      <c r="BF65" s="33" t="n">
        <f aca="false">BF45*Extra_Card_Fee</f>
        <v>0</v>
      </c>
      <c r="BG65" s="33" t="n">
        <f aca="false">BG45*Extra_Card_Fee</f>
        <v>0</v>
      </c>
      <c r="BH65" s="33" t="n">
        <f aca="false">BH45*Extra_Card_Fee</f>
        <v>0</v>
      </c>
      <c r="BI65" s="33" t="n">
        <f aca="false">BI45*Extra_Card_Fee</f>
        <v>0</v>
      </c>
      <c r="BJ65" s="33" t="n">
        <f aca="false">BJ45*Extra_Card_Fee</f>
        <v>0</v>
      </c>
      <c r="BK65" s="33" t="n">
        <f aca="false">BK45*Extra_Card_Fee</f>
        <v>0</v>
      </c>
      <c r="BL65" s="33" t="n">
        <f aca="false">BL45*Extra_Card_Fee</f>
        <v>0</v>
      </c>
    </row>
    <row r="66" customFormat="false" ht="15" hidden="false" customHeight="true" outlineLevel="0" collapsed="false">
      <c r="A66" s="13" t="s">
        <v>1242</v>
      </c>
      <c r="B66" s="15" t="s">
        <v>77</v>
      </c>
      <c r="D66" s="56" t="n">
        <f aca="false">SUM(E66:BL66)</f>
        <v>7662599280.64928</v>
      </c>
      <c r="E66" s="33" t="n">
        <f aca="false">E46*MM_Fee</f>
        <v>0</v>
      </c>
      <c r="F66" s="33" t="n">
        <f aca="false">F46*MM_Fee</f>
        <v>0</v>
      </c>
      <c r="G66" s="33" t="n">
        <f aca="false">G46*MM_Fee</f>
        <v>0</v>
      </c>
      <c r="H66" s="33" t="n">
        <f aca="false">H46*MM_Fee</f>
        <v>0</v>
      </c>
      <c r="I66" s="33" t="n">
        <f aca="false">I46*MM_Fee</f>
        <v>1851908.33333333</v>
      </c>
      <c r="J66" s="33" t="n">
        <f aca="false">J46*MM_Fee</f>
        <v>3701219.35416667</v>
      </c>
      <c r="K66" s="33" t="n">
        <f aca="false">K46*MM_Fee</f>
        <v>5549075.50328125</v>
      </c>
      <c r="L66" s="33" t="n">
        <f aca="false">L46*MM_Fee</f>
        <v>7396670.62904701</v>
      </c>
      <c r="M66" s="33" t="n">
        <f aca="false">M46*MM_Fee</f>
        <v>9245253.32961631</v>
      </c>
      <c r="N66" s="33" t="n">
        <f aca="false">N46*MM_Fee</f>
        <v>11096130.4913679</v>
      </c>
      <c r="O66" s="33" t="n">
        <f aca="false">O46*MM_Fee</f>
        <v>12950671.035452</v>
      </c>
      <c r="P66" s="33" t="n">
        <f aca="false">P46*MM_Fee</f>
        <v>14810309.8849976</v>
      </c>
      <c r="Q66" s="33" t="n">
        <f aca="false">Q46*MM_Fee</f>
        <v>17330460.4996283</v>
      </c>
      <c r="R66" s="33" t="n">
        <f aca="false">R46*MM_Fee</f>
        <v>19851532.01223</v>
      </c>
      <c r="S66" s="33" t="n">
        <f aca="false">S46*MM_Fee</f>
        <v>22375276.7195417</v>
      </c>
      <c r="T66" s="33" t="n">
        <f aca="false">T46*MM_Fee</f>
        <v>24903529.9078008</v>
      </c>
      <c r="U66" s="33" t="n">
        <f aca="false">U46*MM_Fee</f>
        <v>27438215.1619209</v>
      </c>
      <c r="V66" s="33" t="n">
        <f aca="false">V46*MM_Fee</f>
        <v>29981349.9877808</v>
      </c>
      <c r="W66" s="33" t="n">
        <f aca="false">W46*MM_Fee</f>
        <v>33952685.0998431</v>
      </c>
      <c r="X66" s="33" t="n">
        <f aca="false">X46*MM_Fee</f>
        <v>37934543.9774477</v>
      </c>
      <c r="Y66" s="33" t="n">
        <f aca="false">Y46*MM_Fee</f>
        <v>42229623.9637036</v>
      </c>
      <c r="Z66" s="33" t="n">
        <f aca="false">Z46*MM_Fee</f>
        <v>46538454.5837172</v>
      </c>
      <c r="AA66" s="33" t="n">
        <f aca="false">AA46*MM_Fee</f>
        <v>50864602.7126028</v>
      </c>
      <c r="AB66" s="33" t="n">
        <f aca="false">AB46*MM_Fee</f>
        <v>55211813.6283596</v>
      </c>
      <c r="AC66" s="33" t="n">
        <f aca="false">AC46*MM_Fee</f>
        <v>60896830.5773949</v>
      </c>
      <c r="AD66" s="33" t="n">
        <f aca="false">AD46*MM_Fee</f>
        <v>66596401.6094664</v>
      </c>
      <c r="AE66" s="33" t="n">
        <f aca="false">AE46*MM_Fee</f>
        <v>72614564.3231009</v>
      </c>
      <c r="AF66" s="33" t="n">
        <f aca="false">AF46*MM_Fee</f>
        <v>78653254.8093404</v>
      </c>
      <c r="AG66" s="33" t="n">
        <f aca="false">AG46*MM_Fee</f>
        <v>84717517.0054558</v>
      </c>
      <c r="AH66" s="33" t="n">
        <f aca="false">AH46*MM_Fee</f>
        <v>90812648.18129</v>
      </c>
      <c r="AI66" s="33" t="n">
        <f aca="false">AI46*MM_Fee</f>
        <v>97243714.8676044</v>
      </c>
      <c r="AJ66" s="33" t="n">
        <f aca="false">AJ46*MM_Fee</f>
        <v>103713743.478185</v>
      </c>
      <c r="AK66" s="33" t="n">
        <f aca="false">AK46*MM_Fee</f>
        <v>110228933.348173</v>
      </c>
      <c r="AL66" s="33" t="n">
        <f aca="false">AL46*MM_Fee</f>
        <v>116795806.126125</v>
      </c>
      <c r="AM66" s="33" t="n">
        <f aca="false">AM46*MM_Fee</f>
        <v>123720725.842461</v>
      </c>
      <c r="AN66" s="33" t="n">
        <f aca="false">AN46*MM_Fee</f>
        <v>130708093.92009</v>
      </c>
      <c r="AO66" s="33" t="n">
        <f aca="false">AO46*MM_Fee</f>
        <v>138689025.197938</v>
      </c>
      <c r="AP66" s="33" t="n">
        <f aca="false">AP46*MM_Fee</f>
        <v>147037371.316518</v>
      </c>
      <c r="AQ66" s="33" t="n">
        <f aca="false">AQ46*MM_Fee</f>
        <v>155458938.190592</v>
      </c>
      <c r="AR66" s="33" t="n">
        <f aca="false">AR46*MM_Fee</f>
        <v>163962860.223069</v>
      </c>
      <c r="AS66" s="33" t="n">
        <f aca="false">AS46*MM_Fee</f>
        <v>172858259.192532</v>
      </c>
      <c r="AT66" s="33" t="n">
        <f aca="false">AT46*MM_Fee</f>
        <v>181852448.134275</v>
      </c>
      <c r="AU66" s="33" t="n">
        <f aca="false">AU46*MM_Fee</f>
        <v>190956158.430353</v>
      </c>
      <c r="AV66" s="33" t="n">
        <f aca="false">AV46*MM_Fee</f>
        <v>200749754.093799</v>
      </c>
      <c r="AW66" s="33" t="n">
        <f aca="false">AW46*MM_Fee</f>
        <v>210584225.222923</v>
      </c>
      <c r="AX66" s="33" t="n">
        <f aca="false">AX46*MM_Fee</f>
        <v>220673430.388514</v>
      </c>
      <c r="AY66" s="33" t="n">
        <f aca="false">AY46*MM_Fee</f>
        <v>230718859.426432</v>
      </c>
      <c r="AZ66" s="33" t="n">
        <f aca="false">AZ46*MM_Fee</f>
        <v>240725040.906954</v>
      </c>
      <c r="BA66" s="33" t="n">
        <f aca="false">BA46*MM_Fee</f>
        <v>251924634.08133</v>
      </c>
      <c r="BB66" s="33" t="n">
        <f aca="false">BB46*MM_Fee</f>
        <v>263080953.423238</v>
      </c>
      <c r="BC66" s="33" t="n">
        <f aca="false">BC46*MM_Fee</f>
        <v>274498781.682799</v>
      </c>
      <c r="BD66" s="33" t="n">
        <f aca="false">BD46*MM_Fee</f>
        <v>285880792.142853</v>
      </c>
      <c r="BE66" s="33" t="n">
        <f aca="false">BE46*MM_Fee</f>
        <v>297502308.249583</v>
      </c>
      <c r="BF66" s="33" t="n">
        <f aca="false">BF46*MM_Fee</f>
        <v>309396305.755315</v>
      </c>
      <c r="BG66" s="33" t="n">
        <f aca="false">BG46*MM_Fee</f>
        <v>321266278.332394</v>
      </c>
      <c r="BH66" s="33" t="n">
        <f aca="false">BH46*MM_Fee</f>
        <v>333418367.315585</v>
      </c>
      <c r="BI66" s="33" t="n">
        <f aca="false">BI46*MM_Fee</f>
        <v>345826234.090534</v>
      </c>
      <c r="BJ66" s="33" t="n">
        <f aca="false">BJ46*MM_Fee</f>
        <v>358524130.891846</v>
      </c>
      <c r="BK66" s="33" t="n">
        <f aca="false">BK46*MM_Fee</f>
        <v>371152721.658046</v>
      </c>
      <c r="BL66" s="33" t="n">
        <f aca="false">BL46*MM_Fee</f>
        <v>383945841.397327</v>
      </c>
    </row>
    <row r="67" customFormat="false" ht="15" hidden="false" customHeight="true" outlineLevel="0" collapsed="false">
      <c r="A67" s="13" t="s">
        <v>174</v>
      </c>
      <c r="B67" s="15" t="s">
        <v>77</v>
      </c>
      <c r="D67" s="56" t="n">
        <f aca="false">SUM(E67:BL67)</f>
        <v>1629946832.81326</v>
      </c>
      <c r="E67" s="33" t="n">
        <f aca="false">E47*Payslip_Fee</f>
        <v>0</v>
      </c>
      <c r="F67" s="33" t="n">
        <f aca="false">F47*Payslip_Fee</f>
        <v>0</v>
      </c>
      <c r="G67" s="33" t="n">
        <f aca="false">G47*Payslip_Fee</f>
        <v>0</v>
      </c>
      <c r="H67" s="33" t="n">
        <f aca="false">H47*Payslip_Fee</f>
        <v>0</v>
      </c>
      <c r="I67" s="33" t="n">
        <f aca="false">I47*Payslip_Fee</f>
        <v>0</v>
      </c>
      <c r="J67" s="33" t="n">
        <f aca="false">J47*Payslip_Fee</f>
        <v>0</v>
      </c>
      <c r="K67" s="33" t="n">
        <f aca="false">K47*Payslip_Fee</f>
        <v>0</v>
      </c>
      <c r="L67" s="33" t="n">
        <f aca="false">L47*Payslip_Fee</f>
        <v>0</v>
      </c>
      <c r="M67" s="33" t="n">
        <f aca="false">M47*Payslip_Fee</f>
        <v>0</v>
      </c>
      <c r="N67" s="33" t="n">
        <f aca="false">N47*Payslip_Fee</f>
        <v>0</v>
      </c>
      <c r="O67" s="33" t="n">
        <f aca="false">O47*Payslip_Fee</f>
        <v>233687.591273076</v>
      </c>
      <c r="P67" s="33" t="n">
        <f aca="false">P47*Payslip_Fee</f>
        <v>534555.814388494</v>
      </c>
      <c r="Q67" s="33" t="n">
        <f aca="false">Q47*Payslip_Fee</f>
        <v>938356.598019333</v>
      </c>
      <c r="R67" s="33" t="n">
        <f aca="false">R47*Payslip_Fee</f>
        <v>1433284.55314729</v>
      </c>
      <c r="S67" s="33" t="n">
        <f aca="false">S47*Payslip_Fee</f>
        <v>2019580.78154521</v>
      </c>
      <c r="T67" s="33" t="n">
        <f aca="false">T47*Payslip_Fee</f>
        <v>2697621.15891845</v>
      </c>
      <c r="U67" s="33" t="n">
        <f aca="false">U47*Payslip_Fee</f>
        <v>3467924.54401279</v>
      </c>
      <c r="V67" s="33" t="n">
        <f aca="false">V47*Payslip_Fee</f>
        <v>4331161.60884826</v>
      </c>
      <c r="W67" s="33" t="n">
        <f aca="false">W47*Payslip_Fee</f>
        <v>5518204.33283193</v>
      </c>
      <c r="X67" s="33" t="n">
        <f aca="false">X47*Payslip_Fee</f>
        <v>6850797.2064405</v>
      </c>
      <c r="Y67" s="33" t="n">
        <f aca="false">Y47*Payslip_Fee</f>
        <v>8389593.98954951</v>
      </c>
      <c r="Z67" s="33" t="n">
        <f aca="false">Z47*Payslip_Fee</f>
        <v>10086810.7240401</v>
      </c>
      <c r="AA67" s="33" t="n">
        <f aca="false">AA47*Payslip_Fee</f>
        <v>11025305.0478856</v>
      </c>
      <c r="AB67" s="33" t="n">
        <f aca="false">AB47*Payslip_Fee</f>
        <v>11968575.4575823</v>
      </c>
      <c r="AC67" s="33" t="n">
        <f aca="false">AC47*Payslip_Fee</f>
        <v>13201511.3729741</v>
      </c>
      <c r="AD67" s="33" t="n">
        <f aca="false">AD47*Payslip_Fee</f>
        <v>14437888.9814087</v>
      </c>
      <c r="AE67" s="33" t="n">
        <f aca="false">AE47*Payslip_Fee</f>
        <v>15743486.636162</v>
      </c>
      <c r="AF67" s="33" t="n">
        <f aca="false">AF47*Payslip_Fee</f>
        <v>17053829.6379788</v>
      </c>
      <c r="AG67" s="33" t="n">
        <f aca="false">AG47*Payslip_Fee</f>
        <v>18370006.0882212</v>
      </c>
      <c r="AH67" s="33" t="n">
        <f aca="false">AH47*Payslip_Fee</f>
        <v>19693159.2485335</v>
      </c>
      <c r="AI67" s="33" t="n">
        <f aca="false">AI47*Payslip_Fee</f>
        <v>21089290.9968046</v>
      </c>
      <c r="AJ67" s="33" t="n">
        <f aca="false">AJ47*Payslip_Fee</f>
        <v>22494163.4881271</v>
      </c>
      <c r="AK67" s="33" t="n">
        <f aca="false">AK47*Payslip_Fee</f>
        <v>23909115.8080945</v>
      </c>
      <c r="AL67" s="33" t="n">
        <f aca="false">AL47*Payslip_Fee</f>
        <v>25335557.1806302</v>
      </c>
      <c r="AM67" s="33" t="n">
        <f aca="false">AM47*Payslip_Fee</f>
        <v>26839771.3230063</v>
      </c>
      <c r="AN67" s="33" t="n">
        <f aca="false">AN47*Payslip_Fee</f>
        <v>28357819.0598068</v>
      </c>
      <c r="AO67" s="33" t="n">
        <f aca="false">AO47*Payslip_Fee</f>
        <v>30091155.986414</v>
      </c>
      <c r="AP67" s="33" t="n">
        <f aca="false">AP47*Payslip_Fee</f>
        <v>31904362.2476393</v>
      </c>
      <c r="AQ67" s="33" t="n">
        <f aca="false">AQ47*Payslip_Fee</f>
        <v>33733802.0840477</v>
      </c>
      <c r="AR67" s="33" t="n">
        <f aca="false">AR47*Payslip_Fee</f>
        <v>35581450.479679</v>
      </c>
      <c r="AS67" s="33" t="n">
        <f aca="false">AS47*Payslip_Fee</f>
        <v>37514188.4312251</v>
      </c>
      <c r="AT67" s="33" t="n">
        <f aca="false">AT47*Payslip_Fee</f>
        <v>39468707.4875641</v>
      </c>
      <c r="AU67" s="33" t="n">
        <f aca="false">AU47*Payslip_Fee</f>
        <v>41447329.4538032</v>
      </c>
      <c r="AV67" s="33" t="n">
        <f aca="false">AV47*Payslip_Fee</f>
        <v>43575622.8323642</v>
      </c>
      <c r="AW67" s="33" t="n">
        <f aca="false">AW47*Payslip_Fee</f>
        <v>45713202.2824037</v>
      </c>
      <c r="AX67" s="33" t="n">
        <f aca="false">AX47*Payslip_Fee</f>
        <v>47906334.4077205</v>
      </c>
      <c r="AY67" s="33" t="n">
        <f aca="false">AY47*Payslip_Fee</f>
        <v>50090442.0854737</v>
      </c>
      <c r="AZ67" s="33" t="n">
        <f aca="false">AZ47*Payslip_Fee</f>
        <v>52266496.1016702</v>
      </c>
      <c r="BA67" s="33" t="n">
        <f aca="false">BA47*Payslip_Fee</f>
        <v>54701186.7398658</v>
      </c>
      <c r="BB67" s="33" t="n">
        <f aca="false">BB47*Payslip_Fee</f>
        <v>57127008.2179754</v>
      </c>
      <c r="BC67" s="33" t="n">
        <f aca="false">BC47*Payslip_Fee</f>
        <v>59609893.8565368</v>
      </c>
      <c r="BD67" s="33" t="n">
        <f aca="false">BD47*Payslip_Fee</f>
        <v>62085522.3390982</v>
      </c>
      <c r="BE67" s="33" t="n">
        <f aca="false">BE47*Payslip_Fee</f>
        <v>64613453.6226539</v>
      </c>
      <c r="BF67" s="33" t="n">
        <f aca="false">BF47*Payslip_Fee</f>
        <v>67200829.5556396</v>
      </c>
      <c r="BG67" s="33" t="n">
        <f aca="false">BG47*Payslip_Fee</f>
        <v>69783506.8908674</v>
      </c>
      <c r="BH67" s="33" t="n">
        <f aca="false">BH47*Payslip_Fee</f>
        <v>72427713.9714133</v>
      </c>
      <c r="BI67" s="33" t="n">
        <f aca="false">BI47*Payslip_Fee</f>
        <v>75127761.771938</v>
      </c>
      <c r="BJ67" s="33" t="n">
        <f aca="false">BJ47*Payslip_Fee</f>
        <v>77891069.0497922</v>
      </c>
      <c r="BK67" s="33" t="n">
        <f aca="false">BK47*Payslip_Fee</f>
        <v>80639899.4718227</v>
      </c>
      <c r="BL67" s="33" t="n">
        <f aca="false">BL47*Payslip_Fee</f>
        <v>83424834.215419</v>
      </c>
    </row>
    <row r="68" customFormat="false" ht="15" hidden="false" customHeight="true" outlineLevel="0" collapsed="false">
      <c r="A68" s="13" t="s">
        <v>330</v>
      </c>
      <c r="B68" s="15" t="s">
        <v>77</v>
      </c>
      <c r="D68" s="56" t="n">
        <f aca="false">SUM(E68:BL68)</f>
        <v>2226892150.88781</v>
      </c>
      <c r="E68" s="33" t="n">
        <f aca="false">E48*(Intl_Fee+Intl_Fixed_Fee/Intl_Avg_Payment)</f>
        <v>0</v>
      </c>
      <c r="F68" s="33" t="n">
        <f aca="false">F48*(Intl_Fee+Intl_Fixed_Fee/Intl_Avg_Payment)</f>
        <v>0</v>
      </c>
      <c r="G68" s="33" t="n">
        <f aca="false">G48*(Intl_Fee+Intl_Fixed_Fee/Intl_Avg_Payment)</f>
        <v>0</v>
      </c>
      <c r="H68" s="33" t="n">
        <f aca="false">H48*(Intl_Fee+Intl_Fixed_Fee/Intl_Avg_Payment)</f>
        <v>0</v>
      </c>
      <c r="I68" s="33" t="n">
        <f aca="false">I48*(Intl_Fee+Intl_Fixed_Fee/Intl_Avg_Payment)</f>
        <v>0</v>
      </c>
      <c r="J68" s="33" t="n">
        <f aca="false">J48*(Intl_Fee+Intl_Fixed_Fee/Intl_Avg_Payment)</f>
        <v>0</v>
      </c>
      <c r="K68" s="33" t="n">
        <f aca="false">K48*(Intl_Fee+Intl_Fixed_Fee/Intl_Avg_Payment)</f>
        <v>0</v>
      </c>
      <c r="L68" s="33" t="n">
        <f aca="false">L48*(Intl_Fee+Intl_Fixed_Fee/Intl_Avg_Payment)</f>
        <v>0</v>
      </c>
      <c r="M68" s="33" t="n">
        <f aca="false">M48*(Intl_Fee+Intl_Fixed_Fee/Intl_Avg_Payment)</f>
        <v>0</v>
      </c>
      <c r="N68" s="33" t="n">
        <f aca="false">N48*(Intl_Fee+Intl_Fixed_Fee/Intl_Avg_Payment)</f>
        <v>0</v>
      </c>
      <c r="O68" s="33" t="n">
        <f aca="false">O48*(Intl_Fee+Intl_Fixed_Fee/Intl_Avg_Payment)</f>
        <v>0</v>
      </c>
      <c r="P68" s="33" t="n">
        <f aca="false">P48*(Intl_Fee+Intl_Fixed_Fee/Intl_Avg_Payment)</f>
        <v>0</v>
      </c>
      <c r="Q68" s="33" t="n">
        <f aca="false">Q48*(Intl_Fee+Intl_Fixed_Fee/Intl_Avg_Payment)</f>
        <v>436671.377170287</v>
      </c>
      <c r="R68" s="33" t="n">
        <f aca="false">R48*(Intl_Fee+Intl_Fixed_Fee/Intl_Avg_Payment)</f>
        <v>999918.364251568</v>
      </c>
      <c r="S68" s="33" t="n">
        <f aca="false">S48*(Intl_Fee+Intl_Fixed_Fee/Intl_Avg_Payment)</f>
        <v>1689715.62430335</v>
      </c>
      <c r="T68" s="33" t="n">
        <f aca="false">T48*(Intl_Fee+Intl_Fixed_Fee/Intl_Avg_Payment)</f>
        <v>2506228.60733347</v>
      </c>
      <c r="U68" s="33" t="n">
        <f aca="false">U48*(Intl_Fee+Intl_Fixed_Fee/Intl_Avg_Payment)</f>
        <v>3449824.3091667</v>
      </c>
      <c r="V68" s="33" t="n">
        <f aca="false">V48*(Intl_Fee+Intl_Fixed_Fee/Intl_Avg_Payment)</f>
        <v>4521082.87537068</v>
      </c>
      <c r="W68" s="33" t="n">
        <f aca="false">W48*(Intl_Fee+Intl_Fixed_Fee/Intl_Avg_Payment)</f>
        <v>5972093.30792842</v>
      </c>
      <c r="X68" s="33" t="n">
        <f aca="false">X48*(Intl_Fee+Intl_Fixed_Fee/Intl_Avg_Payment)</f>
        <v>7623567.97366682</v>
      </c>
      <c r="Y68" s="33" t="n">
        <f aca="false">Y48*(Intl_Fee+Intl_Fixed_Fee/Intl_Avg_Payment)</f>
        <v>9544949.12483737</v>
      </c>
      <c r="Z68" s="33" t="n">
        <f aca="false">Z48*(Intl_Fee+Intl_Fixed_Fee/Intl_Avg_Payment)</f>
        <v>11683760.3350157</v>
      </c>
      <c r="AA68" s="33" t="n">
        <f aca="false">AA48*(Intl_Fee+Intl_Fixed_Fee/Intl_Avg_Payment)</f>
        <v>14041680.5684611</v>
      </c>
      <c r="AB68" s="33" t="n">
        <f aca="false">AB48*(Intl_Fee+Intl_Fixed_Fee/Intl_Avg_Payment)</f>
        <v>16620809.2852025</v>
      </c>
      <c r="AC68" s="33" t="n">
        <f aca="false">AC48*(Intl_Fee+Intl_Fixed_Fee/Intl_Avg_Payment)</f>
        <v>18328480.1755367</v>
      </c>
      <c r="AD68" s="33" t="n">
        <f aca="false">AD48*(Intl_Fee+Intl_Fixed_Fee/Intl_Avg_Payment)</f>
        <v>20038597.3538688</v>
      </c>
      <c r="AE68" s="33" t="n">
        <f aca="false">AE48*(Intl_Fee+Intl_Fixed_Fee/Intl_Avg_Payment)</f>
        <v>21843575.7800509</v>
      </c>
      <c r="AF68" s="33" t="n">
        <f aca="false">AF48*(Intl_Fee+Intl_Fixed_Fee/Intl_Avg_Payment)</f>
        <v>23652747.4930994</v>
      </c>
      <c r="AG68" s="33" t="n">
        <f aca="false">AG48*(Intl_Fee+Intl_Fixed_Fee/Intl_Avg_Payment)</f>
        <v>25467672.027944</v>
      </c>
      <c r="AH68" s="33" t="n">
        <f aca="false">AH48*(Intl_Fee+Intl_Fixed_Fee/Intl_Avg_Payment)</f>
        <v>27289983.3617772</v>
      </c>
      <c r="AI68" s="33" t="n">
        <f aca="false">AI48*(Intl_Fee+Intl_Fixed_Fee/Intl_Avg_Payment)</f>
        <v>29212402.6951874</v>
      </c>
      <c r="AJ68" s="33" t="n">
        <f aca="false">AJ48*(Intl_Fee+Intl_Fixed_Fee/Intl_Avg_Payment)</f>
        <v>31144586.6545681</v>
      </c>
      <c r="AK68" s="33" t="n">
        <f aca="false">AK48*(Intl_Fee+Intl_Fixed_Fee/Intl_Avg_Payment)</f>
        <v>33088438.8087359</v>
      </c>
      <c r="AL68" s="33" t="n">
        <f aca="false">AL48*(Intl_Fee+Intl_Fixed_Fee/Intl_Avg_Payment)</f>
        <v>35045957.7811741</v>
      </c>
      <c r="AM68" s="33" t="n">
        <f aca="false">AM48*(Intl_Fee+Intl_Fixed_Fee/Intl_Avg_Payment)</f>
        <v>37110251.2670454</v>
      </c>
      <c r="AN68" s="33" t="n">
        <f aca="false">AN48*(Intl_Fee+Intl_Fixed_Fee/Intl_Avg_Payment)</f>
        <v>39191385.5456644</v>
      </c>
      <c r="AO68" s="33" t="n">
        <f aca="false">AO48*(Intl_Fee+Intl_Fixed_Fee/Intl_Avg_Payment)</f>
        <v>41572306.385812</v>
      </c>
      <c r="AP68" s="33" t="n">
        <f aca="false">AP48*(Intl_Fee+Intl_Fixed_Fee/Intl_Avg_Payment)</f>
        <v>44062379.6450284</v>
      </c>
      <c r="AQ68" s="33" t="n">
        <f aca="false">AQ48*(Intl_Fee+Intl_Fixed_Fee/Intl_Avg_Payment)</f>
        <v>46572102.6345376</v>
      </c>
      <c r="AR68" s="33" t="n">
        <f aca="false">AR48*(Intl_Fee+Intl_Fixed_Fee/Intl_Avg_Payment)</f>
        <v>49104265.8106301</v>
      </c>
      <c r="AS68" s="33" t="n">
        <f aca="false">AS48*(Intl_Fee+Intl_Fixed_Fee/Intl_Avg_Payment)</f>
        <v>51752811.7273426</v>
      </c>
      <c r="AT68" s="33" t="n">
        <f aca="false">AT48*(Intl_Fee+Intl_Fixed_Fee/Intl_Avg_Payment)</f>
        <v>54428687.2031328</v>
      </c>
      <c r="AU68" s="33" t="n">
        <f aca="false">AU48*(Intl_Fee+Intl_Fixed_Fee/Intl_Avg_Payment)</f>
        <v>57135159.038371</v>
      </c>
      <c r="AV68" s="33" t="n">
        <f aca="false">AV48*(Intl_Fee+Intl_Fixed_Fee/Intl_Avg_Payment)</f>
        <v>60048581.7792853</v>
      </c>
      <c r="AW68" s="33" t="n">
        <f aca="false">AW48*(Intl_Fee+Intl_Fixed_Fee/Intl_Avg_Payment)</f>
        <v>62971507.8005513</v>
      </c>
      <c r="AX68" s="33" t="n">
        <f aca="false">AX48*(Intl_Fee+Intl_Fixed_Fee/Intl_Avg_Payment)</f>
        <v>65968954.9489527</v>
      </c>
      <c r="AY68" s="33" t="n">
        <f aca="false">AY48*(Intl_Fee+Intl_Fixed_Fee/Intl_Avg_Payment)</f>
        <v>68950161.6046282</v>
      </c>
      <c r="AZ68" s="33" t="n">
        <f aca="false">AZ48*(Intl_Fee+Intl_Fixed_Fee/Intl_Avg_Payment)</f>
        <v>71916572.0940103</v>
      </c>
      <c r="BA68" s="33" t="n">
        <f aca="false">BA48*(Intl_Fee+Intl_Fixed_Fee/Intl_Avg_Payment)</f>
        <v>75242815.3986485</v>
      </c>
      <c r="BB68" s="33" t="n">
        <f aca="false">BB48*(Intl_Fee+Intl_Fixed_Fee/Intl_Avg_Payment)</f>
        <v>78552665.7060982</v>
      </c>
      <c r="BC68" s="33" t="n">
        <f aca="false">BC48*(Intl_Fee+Intl_Fixed_Fee/Intl_Avg_Payment)</f>
        <v>81938809.5368443</v>
      </c>
      <c r="BD68" s="33" t="n">
        <f aca="false">BD48*(Intl_Fee+Intl_Fixed_Fee/Intl_Avg_Payment)</f>
        <v>85310846.9801103</v>
      </c>
      <c r="BE68" s="33" t="n">
        <f aca="false">BE48*(Intl_Fee+Intl_Fixed_Fee/Intl_Avg_Payment)</f>
        <v>88752509.4173603</v>
      </c>
      <c r="BF68" s="33" t="n">
        <f aca="false">BF48*(Intl_Fee+Intl_Fixed_Fee/Intl_Avg_Payment)</f>
        <v>92273773.4022619</v>
      </c>
      <c r="BG68" s="33" t="n">
        <f aca="false">BG48*(Intl_Fee+Intl_Fixed_Fee/Intl_Avg_Payment)</f>
        <v>95784484.2308005</v>
      </c>
      <c r="BH68" s="33" t="n">
        <f aca="false">BH48*(Intl_Fee+Intl_Fixed_Fee/Intl_Avg_Payment)</f>
        <v>99377733.4612284</v>
      </c>
      <c r="BI68" s="33" t="n">
        <f aca="false">BI48*(Intl_Fee+Intl_Fixed_Fee/Intl_Avg_Payment)</f>
        <v>103045457.165482</v>
      </c>
      <c r="BJ68" s="33" t="n">
        <f aca="false">BJ48*(Intl_Fee+Intl_Fixed_Fee/Intl_Avg_Payment)</f>
        <v>106798014.709679</v>
      </c>
      <c r="BK68" s="33" t="n">
        <f aca="false">BK48*(Intl_Fee+Intl_Fixed_Fee/Intl_Avg_Payment)</f>
        <v>110526154.041701</v>
      </c>
      <c r="BL68" s="33" t="n">
        <f aca="false">BL48*(Intl_Fee+Intl_Fixed_Fee/Intl_Avg_Payment)</f>
        <v>114301015.467948</v>
      </c>
    </row>
    <row r="69" customFormat="false" ht="15" hidden="false" customHeight="true" outlineLevel="0" collapsed="false">
      <c r="A69" s="13" t="s">
        <v>1260</v>
      </c>
      <c r="B69" s="15" t="s">
        <v>77</v>
      </c>
      <c r="D69" s="56" t="n">
        <f aca="false">SUM(E69:BL69)</f>
        <v>0</v>
      </c>
      <c r="E69" s="33" t="n">
        <f aca="false">E37*FX_Interchange</f>
        <v>0</v>
      </c>
      <c r="F69" s="33" t="n">
        <f aca="false">F37*FX_Interchange</f>
        <v>0</v>
      </c>
      <c r="G69" s="33" t="n">
        <f aca="false">G37*FX_Interchange</f>
        <v>0</v>
      </c>
      <c r="H69" s="33" t="n">
        <f aca="false">H37*FX_Interchange</f>
        <v>0</v>
      </c>
      <c r="I69" s="33" t="n">
        <f aca="false">I37*FX_Interchange</f>
        <v>0</v>
      </c>
      <c r="J69" s="33" t="n">
        <f aca="false">J37*FX_Interchange</f>
        <v>0</v>
      </c>
      <c r="K69" s="33" t="n">
        <f aca="false">K37*FX_Interchange</f>
        <v>0</v>
      </c>
      <c r="L69" s="33" t="n">
        <f aca="false">L37*FX_Interchange</f>
        <v>0</v>
      </c>
      <c r="M69" s="33" t="n">
        <f aca="false">M37*FX_Interchange</f>
        <v>0</v>
      </c>
      <c r="N69" s="33" t="n">
        <f aca="false">N37*FX_Interchange</f>
        <v>0</v>
      </c>
      <c r="O69" s="33" t="n">
        <f aca="false">O37*FX_Interchange</f>
        <v>0</v>
      </c>
      <c r="P69" s="33" t="n">
        <f aca="false">P37*FX_Interchange</f>
        <v>0</v>
      </c>
      <c r="Q69" s="33" t="n">
        <f aca="false">Q37*FX_Interchange</f>
        <v>0</v>
      </c>
      <c r="R69" s="33" t="n">
        <f aca="false">R37*FX_Interchange</f>
        <v>0</v>
      </c>
      <c r="S69" s="33" t="n">
        <f aca="false">S37*FX_Interchange</f>
        <v>0</v>
      </c>
      <c r="T69" s="33" t="n">
        <f aca="false">T37*FX_Interchange</f>
        <v>0</v>
      </c>
      <c r="U69" s="33" t="n">
        <f aca="false">U37*FX_Interchange</f>
        <v>0</v>
      </c>
      <c r="V69" s="33" t="n">
        <f aca="false">V37*FX_Interchange</f>
        <v>0</v>
      </c>
      <c r="W69" s="33" t="n">
        <f aca="false">W37*FX_Interchange</f>
        <v>0</v>
      </c>
      <c r="X69" s="33" t="n">
        <f aca="false">X37*FX_Interchange</f>
        <v>0</v>
      </c>
      <c r="Y69" s="33" t="n">
        <f aca="false">Y37*FX_Interchange</f>
        <v>0</v>
      </c>
      <c r="Z69" s="33" t="n">
        <f aca="false">Z37*FX_Interchange</f>
        <v>0</v>
      </c>
      <c r="AA69" s="33" t="n">
        <f aca="false">AA37*FX_Interchange</f>
        <v>0</v>
      </c>
      <c r="AB69" s="33" t="n">
        <f aca="false">AB37*FX_Interchange</f>
        <v>0</v>
      </c>
      <c r="AC69" s="33" t="n">
        <f aca="false">AC37*FX_Interchange</f>
        <v>0</v>
      </c>
      <c r="AD69" s="33" t="n">
        <f aca="false">AD37*FX_Interchange</f>
        <v>0</v>
      </c>
      <c r="AE69" s="33" t="n">
        <f aca="false">AE37*FX_Interchange</f>
        <v>0</v>
      </c>
      <c r="AF69" s="33" t="n">
        <f aca="false">AF37*FX_Interchange</f>
        <v>0</v>
      </c>
      <c r="AG69" s="33" t="n">
        <f aca="false">AG37*FX_Interchange</f>
        <v>0</v>
      </c>
      <c r="AH69" s="33" t="n">
        <f aca="false">AH37*FX_Interchange</f>
        <v>0</v>
      </c>
      <c r="AI69" s="33" t="n">
        <f aca="false">AI37*FX_Interchange</f>
        <v>0</v>
      </c>
      <c r="AJ69" s="33" t="n">
        <f aca="false">AJ37*FX_Interchange</f>
        <v>0</v>
      </c>
      <c r="AK69" s="33" t="n">
        <f aca="false">AK37*FX_Interchange</f>
        <v>0</v>
      </c>
      <c r="AL69" s="33" t="n">
        <f aca="false">AL37*FX_Interchange</f>
        <v>0</v>
      </c>
      <c r="AM69" s="33" t="n">
        <f aca="false">AM37*FX_Interchange</f>
        <v>0</v>
      </c>
      <c r="AN69" s="33" t="n">
        <f aca="false">AN37*FX_Interchange</f>
        <v>0</v>
      </c>
      <c r="AO69" s="33" t="n">
        <f aca="false">AO37*FX_Interchange</f>
        <v>0</v>
      </c>
      <c r="AP69" s="33" t="n">
        <f aca="false">AP37*FX_Interchange</f>
        <v>0</v>
      </c>
      <c r="AQ69" s="33" t="n">
        <f aca="false">AQ37*FX_Interchange</f>
        <v>0</v>
      </c>
      <c r="AR69" s="33" t="n">
        <f aca="false">AR37*FX_Interchange</f>
        <v>0</v>
      </c>
      <c r="AS69" s="33" t="n">
        <f aca="false">AS37*FX_Interchange</f>
        <v>0</v>
      </c>
      <c r="AT69" s="33" t="n">
        <f aca="false">AT37*FX_Interchange</f>
        <v>0</v>
      </c>
      <c r="AU69" s="33" t="n">
        <f aca="false">AU37*FX_Interchange</f>
        <v>0</v>
      </c>
      <c r="AV69" s="33" t="n">
        <f aca="false">AV37*FX_Interchange</f>
        <v>0</v>
      </c>
      <c r="AW69" s="33" t="n">
        <f aca="false">AW37*FX_Interchange</f>
        <v>0</v>
      </c>
      <c r="AX69" s="33" t="n">
        <f aca="false">AX37*FX_Interchange</f>
        <v>0</v>
      </c>
      <c r="AY69" s="33" t="n">
        <f aca="false">AY37*FX_Interchange</f>
        <v>0</v>
      </c>
      <c r="AZ69" s="33" t="n">
        <f aca="false">AZ37*FX_Interchange</f>
        <v>0</v>
      </c>
      <c r="BA69" s="33" t="n">
        <f aca="false">BA37*FX_Interchange</f>
        <v>0</v>
      </c>
      <c r="BB69" s="33" t="n">
        <f aca="false">BB37*FX_Interchange</f>
        <v>0</v>
      </c>
      <c r="BC69" s="33" t="n">
        <f aca="false">BC37*FX_Interchange</f>
        <v>0</v>
      </c>
      <c r="BD69" s="33" t="n">
        <f aca="false">BD37*FX_Interchange</f>
        <v>0</v>
      </c>
      <c r="BE69" s="33" t="n">
        <f aca="false">BE37*FX_Interchange</f>
        <v>0</v>
      </c>
      <c r="BF69" s="33" t="n">
        <f aca="false">BF37*FX_Interchange</f>
        <v>0</v>
      </c>
      <c r="BG69" s="33" t="n">
        <f aca="false">BG37*FX_Interchange</f>
        <v>0</v>
      </c>
      <c r="BH69" s="33" t="n">
        <f aca="false">BH37*FX_Interchange</f>
        <v>0</v>
      </c>
      <c r="BI69" s="33" t="n">
        <f aca="false">BI37*FX_Interchange</f>
        <v>0</v>
      </c>
      <c r="BJ69" s="33" t="n">
        <f aca="false">BJ37*FX_Interchange</f>
        <v>0</v>
      </c>
      <c r="BK69" s="33" t="n">
        <f aca="false">BK37*FX_Interchange</f>
        <v>0</v>
      </c>
      <c r="BL69" s="33" t="n">
        <f aca="false">BL37*FX_Interchange</f>
        <v>0</v>
      </c>
    </row>
    <row r="70" customFormat="false" ht="15" hidden="false" customHeight="true" outlineLevel="0" collapsed="false">
      <c r="A70" s="9" t="s">
        <v>1261</v>
      </c>
      <c r="B70" s="15" t="s">
        <v>77</v>
      </c>
      <c r="D70" s="56" t="n">
        <f aca="false">SUM(E70:BL70)</f>
        <v>23067648859.9517</v>
      </c>
      <c r="E70" s="17" t="n">
        <f aca="false">E57+SUM(E58:E69)</f>
        <v>0</v>
      </c>
      <c r="F70" s="17" t="n">
        <f aca="false">F57+SUM(F58:F69)</f>
        <v>0</v>
      </c>
      <c r="G70" s="17" t="n">
        <f aca="false">G57+SUM(G58:G69)</f>
        <v>0</v>
      </c>
      <c r="H70" s="17" t="n">
        <f aca="false">H57+SUM(H58:H69)</f>
        <v>0</v>
      </c>
      <c r="I70" s="17" t="n">
        <f aca="false">I57+SUM(I58:I69)</f>
        <v>3684401</v>
      </c>
      <c r="J70" s="17" t="n">
        <f aca="false">J57+SUM(J58:J69)</f>
        <v>8167645.8775</v>
      </c>
      <c r="K70" s="17" t="n">
        <f aca="false">K57+SUM(K58:K69)</f>
        <v>12643663.9018187</v>
      </c>
      <c r="L70" s="17" t="n">
        <f aca="false">L57+SUM(L58:L69)</f>
        <v>17115380.0915301</v>
      </c>
      <c r="M70" s="17" t="n">
        <f aca="false">M57+SUM(M58:M69)</f>
        <v>21585847.8525974</v>
      </c>
      <c r="N70" s="17" t="n">
        <f aca="false">N57+SUM(N58:N69)</f>
        <v>26058257.4257577</v>
      </c>
      <c r="O70" s="17" t="n">
        <f aca="false">O57+SUM(O58:O69)</f>
        <v>30769632.4192217</v>
      </c>
      <c r="P70" s="17" t="n">
        <f aca="false">P57+SUM(P58:P69)</f>
        <v>35556957.1320413</v>
      </c>
      <c r="Q70" s="17" t="n">
        <f aca="false">Q57+SUM(Q58:Q69)</f>
        <v>42197272.3910137</v>
      </c>
      <c r="R70" s="17" t="n">
        <f aca="false">R57+SUM(R58:R69)</f>
        <v>49340996.1108531</v>
      </c>
      <c r="S70" s="17" t="n">
        <f aca="false">S57+SUM(S58:S69)</f>
        <v>56704368.1800161</v>
      </c>
      <c r="T70" s="17" t="n">
        <f aca="false">T57+SUM(T58:T69)</f>
        <v>64292401.476481</v>
      </c>
      <c r="U70" s="17" t="n">
        <f aca="false">U57+SUM(U58:U69)</f>
        <v>72110661.1026599</v>
      </c>
      <c r="V70" s="17" t="n">
        <f aca="false">V57+SUM(V58:V69)</f>
        <v>80497334.6675108</v>
      </c>
      <c r="W70" s="17" t="n">
        <f aca="false">W57+SUM(W58:W69)</f>
        <v>92516757.5325584</v>
      </c>
      <c r="X70" s="17" t="n">
        <f aca="false">X57+SUM(X58:X69)</f>
        <v>105607583.725837</v>
      </c>
      <c r="Y70" s="17" t="n">
        <f aca="false">Y57+SUM(Y58:Y69)</f>
        <v>119897954.608729</v>
      </c>
      <c r="Z70" s="17" t="n">
        <f aca="false">Z57+SUM(Z58:Z69)</f>
        <v>134816990.338785</v>
      </c>
      <c r="AA70" s="17" t="n">
        <f aca="false">AA57+SUM(AA58:AA69)</f>
        <v>149326456.110997</v>
      </c>
      <c r="AB70" s="17" t="n">
        <f aca="false">AB57+SUM(AB58:AB69)</f>
        <v>164201796.868431</v>
      </c>
      <c r="AC70" s="17" t="n">
        <f aca="false">AC57+SUM(AC58:AC69)</f>
        <v>181374409.734504</v>
      </c>
      <c r="AD70" s="17" t="n">
        <f aca="false">AD57+SUM(AD58:AD69)</f>
        <v>199283027.510555</v>
      </c>
      <c r="AE70" s="17" t="n">
        <f aca="false">AE57+SUM(AE58:AE69)</f>
        <v>218148201.132816</v>
      </c>
      <c r="AF70" s="17" t="n">
        <f aca="false">AF57+SUM(AF58:AF69)</f>
        <v>237327889.824457</v>
      </c>
      <c r="AG70" s="17" t="n">
        <f aca="false">AG57+SUM(AG58:AG69)</f>
        <v>256706174.189283</v>
      </c>
      <c r="AH70" s="17" t="n">
        <f aca="false">AH57+SUM(AH58:AH69)</f>
        <v>275296650.344766</v>
      </c>
      <c r="AI70" s="17" t="n">
        <f aca="false">AI57+SUM(AI58:AI69)</f>
        <v>294777610.825959</v>
      </c>
      <c r="AJ70" s="17" t="n">
        <f aca="false">AJ57+SUM(AJ58:AJ69)</f>
        <v>314496489.588189</v>
      </c>
      <c r="AK70" s="17" t="n">
        <f aca="false">AK57+SUM(AK58:AK69)</f>
        <v>334340311.829462</v>
      </c>
      <c r="AL70" s="17" t="n">
        <f aca="false">AL57+SUM(AL58:AL69)</f>
        <v>354329095.614783</v>
      </c>
      <c r="AM70" s="17" t="n">
        <f aca="false">AM57+SUM(AM58:AM69)</f>
        <v>375275540.711063</v>
      </c>
      <c r="AN70" s="17" t="n">
        <f aca="false">AN57+SUM(AN58:AN69)</f>
        <v>396531237.036144</v>
      </c>
      <c r="AO70" s="17" t="n">
        <f aca="false">AO57+SUM(AO58:AO69)</f>
        <v>420428541.363465</v>
      </c>
      <c r="AP70" s="17" t="n">
        <f aca="false">AP57+SUM(AP58:AP69)</f>
        <v>445716256.559916</v>
      </c>
      <c r="AQ70" s="17" t="n">
        <f aca="false">AQ57+SUM(AQ58:AQ69)</f>
        <v>471343212.695542</v>
      </c>
      <c r="AR70" s="17" t="n">
        <f aca="false">AR57+SUM(AR58:AR69)</f>
        <v>497205374.392527</v>
      </c>
      <c r="AS70" s="17" t="n">
        <f aca="false">AS57+SUM(AS58:AS69)</f>
        <v>524123849.201337</v>
      </c>
      <c r="AT70" s="17" t="n">
        <f aca="false">AT57+SUM(AT58:AT69)</f>
        <v>551459098.912584</v>
      </c>
      <c r="AU70" s="17" t="n">
        <f aca="false">AU57+SUM(AU58:AU69)</f>
        <v>579111917.725688</v>
      </c>
      <c r="AV70" s="17" t="n">
        <f aca="false">AV57+SUM(AV58:AV69)</f>
        <v>608621017.750648</v>
      </c>
      <c r="AW70" s="17" t="n">
        <f aca="false">AW57+SUM(AW58:AW69)</f>
        <v>638522598.057599</v>
      </c>
      <c r="AX70" s="17" t="n">
        <f aca="false">AX57+SUM(AX58:AX69)</f>
        <v>669099191.022166</v>
      </c>
      <c r="AY70" s="17" t="n">
        <f aca="false">AY57+SUM(AY58:AY69)</f>
        <v>699654669.883597</v>
      </c>
      <c r="AZ70" s="17" t="n">
        <f aca="false">AZ57+SUM(AZ58:AZ69)</f>
        <v>730071232.394408</v>
      </c>
      <c r="BA70" s="17" t="n">
        <f aca="false">BA57+SUM(BA58:BA69)</f>
        <v>763609409.092341</v>
      </c>
      <c r="BB70" s="17" t="n">
        <f aca="false">BB57+SUM(BB58:BB69)</f>
        <v>797535266.768421</v>
      </c>
      <c r="BC70" s="17" t="n">
        <f aca="false">BC57+SUM(BC58:BC69)</f>
        <v>832115713.55508</v>
      </c>
      <c r="BD70" s="17" t="n">
        <f aca="false">BD57+SUM(BD58:BD69)</f>
        <v>866697395.709079</v>
      </c>
      <c r="BE70" s="17" t="n">
        <f aca="false">BE57+SUM(BE58:BE69)</f>
        <v>901878811.458349</v>
      </c>
      <c r="BF70" s="17" t="n">
        <f aca="false">BF57+SUM(BF58:BF69)</f>
        <v>937866883.391479</v>
      </c>
      <c r="BG70" s="17" t="n">
        <f aca="false">BG57+SUM(BG58:BG69)</f>
        <v>973891921.06253</v>
      </c>
      <c r="BH70" s="17" t="n">
        <f aca="false">BH57+SUM(BH58:BH69)</f>
        <v>1010634216.40319</v>
      </c>
      <c r="BI70" s="17" t="n">
        <f aca="false">BI57+SUM(BI58:BI69)</f>
        <v>1048157252.3994</v>
      </c>
      <c r="BJ70" s="17" t="n">
        <f aca="false">BJ57+SUM(BJ58:BJ69)</f>
        <v>1086539800.64593</v>
      </c>
      <c r="BK70" s="17" t="n">
        <f aca="false">BK57+SUM(BK58:BK69)</f>
        <v>1124846622.92241</v>
      </c>
      <c r="BL70" s="17" t="n">
        <f aca="false">BL57+SUM(BL58:BL69)</f>
        <v>1163539609.42771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1262</v>
      </c>
    </row>
    <row r="2" customFormat="false" ht="15" hidden="false" customHeight="true" outlineLevel="0" collapsed="false">
      <c r="A2" s="3" t="s">
        <v>1263</v>
      </c>
    </row>
    <row r="3" customFormat="false" ht="15" hidden="false" customHeight="true" outlineLevel="0" collapsed="false">
      <c r="A3" s="9" t="s">
        <v>1131</v>
      </c>
      <c r="D3" s="9" t="s">
        <v>1132</v>
      </c>
      <c r="E3" s="21" t="n">
        <f aca="false">'Clients &amp; revenue'!E3</f>
        <v>1</v>
      </c>
      <c r="F3" s="21" t="n">
        <f aca="false">'Clients &amp; revenue'!F3</f>
        <v>2</v>
      </c>
      <c r="G3" s="21" t="n">
        <f aca="false">'Clients &amp; revenue'!G3</f>
        <v>3</v>
      </c>
      <c r="H3" s="21" t="n">
        <f aca="false">'Clients &amp; revenue'!H3</f>
        <v>4</v>
      </c>
      <c r="I3" s="21" t="n">
        <f aca="false">'Clients &amp; revenue'!I3</f>
        <v>5</v>
      </c>
      <c r="J3" s="21" t="n">
        <f aca="false">'Clients &amp; revenue'!J3</f>
        <v>6</v>
      </c>
      <c r="K3" s="21" t="n">
        <f aca="false">'Clients &amp; revenue'!K3</f>
        <v>7</v>
      </c>
      <c r="L3" s="21" t="n">
        <f aca="false">'Clients &amp; revenue'!L3</f>
        <v>8</v>
      </c>
      <c r="M3" s="21" t="n">
        <f aca="false">'Clients &amp; revenue'!M3</f>
        <v>9</v>
      </c>
      <c r="N3" s="21" t="n">
        <f aca="false">'Clients &amp; revenue'!N3</f>
        <v>10</v>
      </c>
      <c r="O3" s="21" t="n">
        <f aca="false">'Clients &amp; revenue'!O3</f>
        <v>11</v>
      </c>
      <c r="P3" s="21" t="n">
        <f aca="false">'Clients &amp; revenue'!P3</f>
        <v>12</v>
      </c>
      <c r="Q3" s="21" t="n">
        <f aca="false">'Clients &amp; revenue'!Q3</f>
        <v>13</v>
      </c>
      <c r="R3" s="21" t="n">
        <f aca="false">'Clients &amp; revenue'!R3</f>
        <v>14</v>
      </c>
      <c r="S3" s="21" t="n">
        <f aca="false">'Clients &amp; revenue'!S3</f>
        <v>15</v>
      </c>
      <c r="T3" s="21" t="n">
        <f aca="false">'Clients &amp; revenue'!T3</f>
        <v>16</v>
      </c>
      <c r="U3" s="21" t="n">
        <f aca="false">'Clients &amp; revenue'!U3</f>
        <v>17</v>
      </c>
      <c r="V3" s="21" t="n">
        <f aca="false">'Clients &amp; revenue'!V3</f>
        <v>18</v>
      </c>
      <c r="W3" s="21" t="n">
        <f aca="false">'Clients &amp; revenue'!W3</f>
        <v>19</v>
      </c>
      <c r="X3" s="21" t="n">
        <f aca="false">'Clients &amp; revenue'!X3</f>
        <v>20</v>
      </c>
      <c r="Y3" s="21" t="n">
        <f aca="false">'Clients &amp; revenue'!Y3</f>
        <v>21</v>
      </c>
      <c r="Z3" s="21" t="n">
        <f aca="false">'Clients &amp; revenue'!Z3</f>
        <v>22</v>
      </c>
      <c r="AA3" s="21" t="n">
        <f aca="false">'Clients &amp; revenue'!AA3</f>
        <v>23</v>
      </c>
      <c r="AB3" s="21" t="n">
        <f aca="false">'Clients &amp; revenue'!AB3</f>
        <v>24</v>
      </c>
      <c r="AC3" s="21" t="n">
        <f aca="false">'Clients &amp; revenue'!AC3</f>
        <v>25</v>
      </c>
      <c r="AD3" s="21" t="n">
        <f aca="false">'Clients &amp; revenue'!AD3</f>
        <v>26</v>
      </c>
      <c r="AE3" s="21" t="n">
        <f aca="false">'Clients &amp; revenue'!AE3</f>
        <v>27</v>
      </c>
      <c r="AF3" s="21" t="n">
        <f aca="false">'Clients &amp; revenue'!AF3</f>
        <v>28</v>
      </c>
      <c r="AG3" s="21" t="n">
        <f aca="false">'Clients &amp; revenue'!AG3</f>
        <v>29</v>
      </c>
      <c r="AH3" s="21" t="n">
        <f aca="false">'Clients &amp; revenue'!AH3</f>
        <v>30</v>
      </c>
      <c r="AI3" s="21" t="n">
        <f aca="false">'Clients &amp; revenue'!AI3</f>
        <v>31</v>
      </c>
      <c r="AJ3" s="21" t="n">
        <f aca="false">'Clients &amp; revenue'!AJ3</f>
        <v>32</v>
      </c>
      <c r="AK3" s="21" t="n">
        <f aca="false">'Clients &amp; revenue'!AK3</f>
        <v>33</v>
      </c>
      <c r="AL3" s="21" t="n">
        <f aca="false">'Clients &amp; revenue'!AL3</f>
        <v>34</v>
      </c>
      <c r="AM3" s="21" t="n">
        <f aca="false">'Clients &amp; revenue'!AM3</f>
        <v>35</v>
      </c>
      <c r="AN3" s="21" t="n">
        <f aca="false">'Clients &amp; revenue'!AN3</f>
        <v>36</v>
      </c>
      <c r="AO3" s="21" t="n">
        <f aca="false">'Clients &amp; revenue'!AO3</f>
        <v>37</v>
      </c>
      <c r="AP3" s="21" t="n">
        <f aca="false">'Clients &amp; revenue'!AP3</f>
        <v>38</v>
      </c>
      <c r="AQ3" s="21" t="n">
        <f aca="false">'Clients &amp; revenue'!AQ3</f>
        <v>39</v>
      </c>
      <c r="AR3" s="21" t="n">
        <f aca="false">'Clients &amp; revenue'!AR3</f>
        <v>40</v>
      </c>
      <c r="AS3" s="21" t="n">
        <f aca="false">'Clients &amp; revenue'!AS3</f>
        <v>41</v>
      </c>
      <c r="AT3" s="21" t="n">
        <f aca="false">'Clients &amp; revenue'!AT3</f>
        <v>42</v>
      </c>
      <c r="AU3" s="21" t="n">
        <f aca="false">'Clients &amp; revenue'!AU3</f>
        <v>43</v>
      </c>
      <c r="AV3" s="21" t="n">
        <f aca="false">'Clients &amp; revenue'!AV3</f>
        <v>44</v>
      </c>
      <c r="AW3" s="21" t="n">
        <f aca="false">'Clients &amp; revenue'!AW3</f>
        <v>45</v>
      </c>
      <c r="AX3" s="21" t="n">
        <f aca="false">'Clients &amp; revenue'!AX3</f>
        <v>46</v>
      </c>
      <c r="AY3" s="21" t="n">
        <f aca="false">'Clients &amp; revenue'!AY3</f>
        <v>47</v>
      </c>
      <c r="AZ3" s="21" t="n">
        <f aca="false">'Clients &amp; revenue'!AZ3</f>
        <v>48</v>
      </c>
      <c r="BA3" s="21" t="n">
        <f aca="false">'Clients &amp; revenue'!BA3</f>
        <v>49</v>
      </c>
      <c r="BB3" s="21" t="n">
        <f aca="false">'Clients &amp; revenue'!BB3</f>
        <v>50</v>
      </c>
      <c r="BC3" s="21" t="n">
        <f aca="false">'Clients &amp; revenue'!BC3</f>
        <v>51</v>
      </c>
      <c r="BD3" s="21" t="n">
        <f aca="false">'Clients &amp; revenue'!BD3</f>
        <v>52</v>
      </c>
      <c r="BE3" s="21" t="n">
        <f aca="false">'Clients &amp; revenue'!BE3</f>
        <v>53</v>
      </c>
      <c r="BF3" s="21" t="n">
        <f aca="false">'Clients &amp; revenue'!BF3</f>
        <v>54</v>
      </c>
      <c r="BG3" s="21" t="n">
        <f aca="false">'Clients &amp; revenue'!BG3</f>
        <v>55</v>
      </c>
      <c r="BH3" s="21" t="n">
        <f aca="false">'Clients &amp; revenue'!BH3</f>
        <v>56</v>
      </c>
      <c r="BI3" s="21" t="n">
        <f aca="false">'Clients &amp; revenue'!BI3</f>
        <v>57</v>
      </c>
      <c r="BJ3" s="21" t="n">
        <f aca="false">'Clients &amp; revenue'!BJ3</f>
        <v>58</v>
      </c>
      <c r="BK3" s="21" t="n">
        <f aca="false">'Clients &amp; revenue'!BK3</f>
        <v>59</v>
      </c>
      <c r="BL3" s="21" t="n">
        <f aca="false">'Clients &amp; revenue'!BL3</f>
        <v>60</v>
      </c>
    </row>
    <row r="4" customFormat="false" ht="15" hidden="false" customHeight="true" outlineLevel="0" collapsed="false">
      <c r="A4" s="9" t="s">
        <v>1133</v>
      </c>
      <c r="E4" s="54" t="n">
        <f aca="false">'Clients &amp; revenue'!E4</f>
        <v>46388</v>
      </c>
      <c r="F4" s="54" t="n">
        <f aca="false">'Clients &amp; revenue'!F4</f>
        <v>46419</v>
      </c>
      <c r="G4" s="54" t="n">
        <f aca="false">'Clients &amp; revenue'!G4</f>
        <v>46447</v>
      </c>
      <c r="H4" s="54" t="n">
        <f aca="false">'Clients &amp; revenue'!H4</f>
        <v>46478</v>
      </c>
      <c r="I4" s="54" t="n">
        <f aca="false">'Clients &amp; revenue'!I4</f>
        <v>46508</v>
      </c>
      <c r="J4" s="54" t="n">
        <f aca="false">'Clients &amp; revenue'!J4</f>
        <v>46539</v>
      </c>
      <c r="K4" s="54" t="n">
        <f aca="false">'Clients &amp; revenue'!K4</f>
        <v>46569</v>
      </c>
      <c r="L4" s="54" t="n">
        <f aca="false">'Clients &amp; revenue'!L4</f>
        <v>46600</v>
      </c>
      <c r="M4" s="54" t="n">
        <f aca="false">'Clients &amp; revenue'!M4</f>
        <v>46631</v>
      </c>
      <c r="N4" s="54" t="n">
        <f aca="false">'Clients &amp; revenue'!N4</f>
        <v>46661</v>
      </c>
      <c r="O4" s="54" t="n">
        <f aca="false">'Clients &amp; revenue'!O4</f>
        <v>46692</v>
      </c>
      <c r="P4" s="54" t="n">
        <f aca="false">'Clients &amp; revenue'!P4</f>
        <v>46722</v>
      </c>
      <c r="Q4" s="54" t="n">
        <f aca="false">'Clients &amp; revenue'!Q4</f>
        <v>46753</v>
      </c>
      <c r="R4" s="54" t="n">
        <f aca="false">'Clients &amp; revenue'!R4</f>
        <v>46784</v>
      </c>
      <c r="S4" s="54" t="n">
        <f aca="false">'Clients &amp; revenue'!S4</f>
        <v>46813</v>
      </c>
      <c r="T4" s="54" t="n">
        <f aca="false">'Clients &amp; revenue'!T4</f>
        <v>46844</v>
      </c>
      <c r="U4" s="54" t="n">
        <f aca="false">'Clients &amp; revenue'!U4</f>
        <v>46874</v>
      </c>
      <c r="V4" s="54" t="n">
        <f aca="false">'Clients &amp; revenue'!V4</f>
        <v>46905</v>
      </c>
      <c r="W4" s="54" t="n">
        <f aca="false">'Clients &amp; revenue'!W4</f>
        <v>46935</v>
      </c>
      <c r="X4" s="54" t="n">
        <f aca="false">'Clients &amp; revenue'!X4</f>
        <v>46966</v>
      </c>
      <c r="Y4" s="54" t="n">
        <f aca="false">'Clients &amp; revenue'!Y4</f>
        <v>46997</v>
      </c>
      <c r="Z4" s="54" t="n">
        <f aca="false">'Clients &amp; revenue'!Z4</f>
        <v>47027</v>
      </c>
      <c r="AA4" s="54" t="n">
        <f aca="false">'Clients &amp; revenue'!AA4</f>
        <v>47058</v>
      </c>
      <c r="AB4" s="54" t="n">
        <f aca="false">'Clients &amp; revenue'!AB4</f>
        <v>47088</v>
      </c>
      <c r="AC4" s="54" t="n">
        <f aca="false">'Clients &amp; revenue'!AC4</f>
        <v>47119</v>
      </c>
      <c r="AD4" s="54" t="n">
        <f aca="false">'Clients &amp; revenue'!AD4</f>
        <v>47150</v>
      </c>
      <c r="AE4" s="54" t="n">
        <f aca="false">'Clients &amp; revenue'!AE4</f>
        <v>47178</v>
      </c>
      <c r="AF4" s="54" t="n">
        <f aca="false">'Clients &amp; revenue'!AF4</f>
        <v>47209</v>
      </c>
      <c r="AG4" s="54" t="n">
        <f aca="false">'Clients &amp; revenue'!AG4</f>
        <v>47239</v>
      </c>
      <c r="AH4" s="54" t="n">
        <f aca="false">'Clients &amp; revenue'!AH4</f>
        <v>47270</v>
      </c>
      <c r="AI4" s="54" t="n">
        <f aca="false">'Clients &amp; revenue'!AI4</f>
        <v>47300</v>
      </c>
      <c r="AJ4" s="54" t="n">
        <f aca="false">'Clients &amp; revenue'!AJ4</f>
        <v>47331</v>
      </c>
      <c r="AK4" s="54" t="n">
        <f aca="false">'Clients &amp; revenue'!AK4</f>
        <v>47362</v>
      </c>
      <c r="AL4" s="54" t="n">
        <f aca="false">'Clients &amp; revenue'!AL4</f>
        <v>47392</v>
      </c>
      <c r="AM4" s="54" t="n">
        <f aca="false">'Clients &amp; revenue'!AM4</f>
        <v>47423</v>
      </c>
      <c r="AN4" s="54" t="n">
        <f aca="false">'Clients &amp; revenue'!AN4</f>
        <v>47453</v>
      </c>
      <c r="AO4" s="54" t="n">
        <f aca="false">'Clients &amp; revenue'!AO4</f>
        <v>47484</v>
      </c>
      <c r="AP4" s="54" t="n">
        <f aca="false">'Clients &amp; revenue'!AP4</f>
        <v>47515</v>
      </c>
      <c r="AQ4" s="54" t="n">
        <f aca="false">'Clients &amp; revenue'!AQ4</f>
        <v>47543</v>
      </c>
      <c r="AR4" s="54" t="n">
        <f aca="false">'Clients &amp; revenue'!AR4</f>
        <v>47574</v>
      </c>
      <c r="AS4" s="54" t="n">
        <f aca="false">'Clients &amp; revenue'!AS4</f>
        <v>47604</v>
      </c>
      <c r="AT4" s="54" t="n">
        <f aca="false">'Clients &amp; revenue'!AT4</f>
        <v>47635</v>
      </c>
      <c r="AU4" s="54" t="n">
        <f aca="false">'Clients &amp; revenue'!AU4</f>
        <v>47665</v>
      </c>
      <c r="AV4" s="54" t="n">
        <f aca="false">'Clients &amp; revenue'!AV4</f>
        <v>47696</v>
      </c>
      <c r="AW4" s="54" t="n">
        <f aca="false">'Clients &amp; revenue'!AW4</f>
        <v>47727</v>
      </c>
      <c r="AX4" s="54" t="n">
        <f aca="false">'Clients &amp; revenue'!AX4</f>
        <v>47757</v>
      </c>
      <c r="AY4" s="54" t="n">
        <f aca="false">'Clients &amp; revenue'!AY4</f>
        <v>47788</v>
      </c>
      <c r="AZ4" s="54" t="n">
        <f aca="false">'Clients &amp; revenue'!AZ4</f>
        <v>47818</v>
      </c>
      <c r="BA4" s="54" t="n">
        <f aca="false">'Clients &amp; revenue'!BA4</f>
        <v>47849</v>
      </c>
      <c r="BB4" s="54" t="n">
        <f aca="false">'Clients &amp; revenue'!BB4</f>
        <v>47880</v>
      </c>
      <c r="BC4" s="54" t="n">
        <f aca="false">'Clients &amp; revenue'!BC4</f>
        <v>47908</v>
      </c>
      <c r="BD4" s="54" t="n">
        <f aca="false">'Clients &amp; revenue'!BD4</f>
        <v>47939</v>
      </c>
      <c r="BE4" s="54" t="n">
        <f aca="false">'Clients &amp; revenue'!BE4</f>
        <v>47969</v>
      </c>
      <c r="BF4" s="54" t="n">
        <f aca="false">'Clients &amp; revenue'!BF4</f>
        <v>48000</v>
      </c>
      <c r="BG4" s="54" t="n">
        <f aca="false">'Clients &amp; revenue'!BG4</f>
        <v>48030</v>
      </c>
      <c r="BH4" s="54" t="n">
        <f aca="false">'Clients &amp; revenue'!BH4</f>
        <v>48061</v>
      </c>
      <c r="BI4" s="54" t="n">
        <f aca="false">'Clients &amp; revenue'!BI4</f>
        <v>48092</v>
      </c>
      <c r="BJ4" s="54" t="n">
        <f aca="false">'Clients &amp; revenue'!BJ4</f>
        <v>48122</v>
      </c>
      <c r="BK4" s="54" t="n">
        <f aca="false">'Clients &amp; revenue'!BK4</f>
        <v>48153</v>
      </c>
      <c r="BL4" s="54" t="n">
        <f aca="false">'Clients &amp; revenue'!BL4</f>
        <v>48183</v>
      </c>
    </row>
    <row r="5" customFormat="false" ht="15" hidden="false" customHeight="true" outlineLevel="0" collapsed="false">
      <c r="A5" s="9" t="s">
        <v>87</v>
      </c>
      <c r="E5" s="55" t="n">
        <f aca="false">'Clients &amp; revenue'!E5</f>
        <v>1</v>
      </c>
      <c r="F5" s="55" t="n">
        <f aca="false">'Clients &amp; revenue'!F5</f>
        <v>1</v>
      </c>
      <c r="G5" s="55" t="n">
        <f aca="false">'Clients &amp; revenue'!G5</f>
        <v>1</v>
      </c>
      <c r="H5" s="55" t="n">
        <f aca="false">'Clients &amp; revenue'!H5</f>
        <v>1</v>
      </c>
      <c r="I5" s="55" t="n">
        <f aca="false">'Clients &amp; revenue'!I5</f>
        <v>1</v>
      </c>
      <c r="J5" s="55" t="n">
        <f aca="false">'Clients &amp; revenue'!J5</f>
        <v>1</v>
      </c>
      <c r="K5" s="55" t="n">
        <f aca="false">'Clients &amp; revenue'!K5</f>
        <v>1</v>
      </c>
      <c r="L5" s="55" t="n">
        <f aca="false">'Clients &amp; revenue'!L5</f>
        <v>1</v>
      </c>
      <c r="M5" s="55" t="n">
        <f aca="false">'Clients &amp; revenue'!M5</f>
        <v>1</v>
      </c>
      <c r="N5" s="55" t="n">
        <f aca="false">'Clients &amp; revenue'!N5</f>
        <v>1</v>
      </c>
      <c r="O5" s="55" t="n">
        <f aca="false">'Clients &amp; revenue'!O5</f>
        <v>1</v>
      </c>
      <c r="P5" s="55" t="n">
        <f aca="false">'Clients &amp; revenue'!P5</f>
        <v>1</v>
      </c>
      <c r="Q5" s="55" t="n">
        <f aca="false">'Clients &amp; revenue'!Q5</f>
        <v>2</v>
      </c>
      <c r="R5" s="55" t="n">
        <f aca="false">'Clients &amp; revenue'!R5</f>
        <v>2</v>
      </c>
      <c r="S5" s="55" t="n">
        <f aca="false">'Clients &amp; revenue'!S5</f>
        <v>2</v>
      </c>
      <c r="T5" s="55" t="n">
        <f aca="false">'Clients &amp; revenue'!T5</f>
        <v>2</v>
      </c>
      <c r="U5" s="55" t="n">
        <f aca="false">'Clients &amp; revenue'!U5</f>
        <v>2</v>
      </c>
      <c r="V5" s="55" t="n">
        <f aca="false">'Clients &amp; revenue'!V5</f>
        <v>2</v>
      </c>
      <c r="W5" s="55" t="n">
        <f aca="false">'Clients &amp; revenue'!W5</f>
        <v>2</v>
      </c>
      <c r="X5" s="55" t="n">
        <f aca="false">'Clients &amp; revenue'!X5</f>
        <v>2</v>
      </c>
      <c r="Y5" s="55" t="n">
        <f aca="false">'Clients &amp; revenue'!Y5</f>
        <v>2</v>
      </c>
      <c r="Z5" s="55" t="n">
        <f aca="false">'Clients &amp; revenue'!Z5</f>
        <v>2</v>
      </c>
      <c r="AA5" s="55" t="n">
        <f aca="false">'Clients &amp; revenue'!AA5</f>
        <v>2</v>
      </c>
      <c r="AB5" s="55" t="n">
        <f aca="false">'Clients &amp; revenue'!AB5</f>
        <v>2</v>
      </c>
      <c r="AC5" s="55" t="n">
        <f aca="false">'Clients &amp; revenue'!AC5</f>
        <v>3</v>
      </c>
      <c r="AD5" s="55" t="n">
        <f aca="false">'Clients &amp; revenue'!AD5</f>
        <v>3</v>
      </c>
      <c r="AE5" s="55" t="n">
        <f aca="false">'Clients &amp; revenue'!AE5</f>
        <v>3</v>
      </c>
      <c r="AF5" s="55" t="n">
        <f aca="false">'Clients &amp; revenue'!AF5</f>
        <v>3</v>
      </c>
      <c r="AG5" s="55" t="n">
        <f aca="false">'Clients &amp; revenue'!AG5</f>
        <v>3</v>
      </c>
      <c r="AH5" s="55" t="n">
        <f aca="false">'Clients &amp; revenue'!AH5</f>
        <v>3</v>
      </c>
      <c r="AI5" s="55" t="n">
        <f aca="false">'Clients &amp; revenue'!AI5</f>
        <v>3</v>
      </c>
      <c r="AJ5" s="55" t="n">
        <f aca="false">'Clients &amp; revenue'!AJ5</f>
        <v>3</v>
      </c>
      <c r="AK5" s="55" t="n">
        <f aca="false">'Clients &amp; revenue'!AK5</f>
        <v>3</v>
      </c>
      <c r="AL5" s="55" t="n">
        <f aca="false">'Clients &amp; revenue'!AL5</f>
        <v>3</v>
      </c>
      <c r="AM5" s="55" t="n">
        <f aca="false">'Clients &amp; revenue'!AM5</f>
        <v>3</v>
      </c>
      <c r="AN5" s="55" t="n">
        <f aca="false">'Clients &amp; revenue'!AN5</f>
        <v>3</v>
      </c>
      <c r="AO5" s="55" t="n">
        <f aca="false">'Clients &amp; revenue'!AO5</f>
        <v>4</v>
      </c>
      <c r="AP5" s="55" t="n">
        <f aca="false">'Clients &amp; revenue'!AP5</f>
        <v>4</v>
      </c>
      <c r="AQ5" s="55" t="n">
        <f aca="false">'Clients &amp; revenue'!AQ5</f>
        <v>4</v>
      </c>
      <c r="AR5" s="55" t="n">
        <f aca="false">'Clients &amp; revenue'!AR5</f>
        <v>4</v>
      </c>
      <c r="AS5" s="55" t="n">
        <f aca="false">'Clients &amp; revenue'!AS5</f>
        <v>4</v>
      </c>
      <c r="AT5" s="55" t="n">
        <f aca="false">'Clients &amp; revenue'!AT5</f>
        <v>4</v>
      </c>
      <c r="AU5" s="55" t="n">
        <f aca="false">'Clients &amp; revenue'!AU5</f>
        <v>4</v>
      </c>
      <c r="AV5" s="55" t="n">
        <f aca="false">'Clients &amp; revenue'!AV5</f>
        <v>4</v>
      </c>
      <c r="AW5" s="55" t="n">
        <f aca="false">'Clients &amp; revenue'!AW5</f>
        <v>4</v>
      </c>
      <c r="AX5" s="55" t="n">
        <f aca="false">'Clients &amp; revenue'!AX5</f>
        <v>4</v>
      </c>
      <c r="AY5" s="55" t="n">
        <f aca="false">'Clients &amp; revenue'!AY5</f>
        <v>4</v>
      </c>
      <c r="AZ5" s="55" t="n">
        <f aca="false">'Clients &amp; revenue'!AZ5</f>
        <v>4</v>
      </c>
      <c r="BA5" s="55" t="n">
        <f aca="false">'Clients &amp; revenue'!BA5</f>
        <v>5</v>
      </c>
      <c r="BB5" s="55" t="n">
        <f aca="false">'Clients &amp; revenue'!BB5</f>
        <v>5</v>
      </c>
      <c r="BC5" s="55" t="n">
        <f aca="false">'Clients &amp; revenue'!BC5</f>
        <v>5</v>
      </c>
      <c r="BD5" s="55" t="n">
        <f aca="false">'Clients &amp; revenue'!BD5</f>
        <v>5</v>
      </c>
      <c r="BE5" s="55" t="n">
        <f aca="false">'Clients &amp; revenue'!BE5</f>
        <v>5</v>
      </c>
      <c r="BF5" s="55" t="n">
        <f aca="false">'Clients &amp; revenue'!BF5</f>
        <v>5</v>
      </c>
      <c r="BG5" s="55" t="n">
        <f aca="false">'Clients &amp; revenue'!BG5</f>
        <v>5</v>
      </c>
      <c r="BH5" s="55" t="n">
        <f aca="false">'Clients &amp; revenue'!BH5</f>
        <v>5</v>
      </c>
      <c r="BI5" s="55" t="n">
        <f aca="false">'Clients &amp; revenue'!BI5</f>
        <v>5</v>
      </c>
      <c r="BJ5" s="55" t="n">
        <f aca="false">'Clients &amp; revenue'!BJ5</f>
        <v>5</v>
      </c>
      <c r="BK5" s="55" t="n">
        <f aca="false">'Clients &amp; revenue'!BK5</f>
        <v>5</v>
      </c>
      <c r="BL5" s="55" t="n">
        <f aca="false">'Clients &amp; revenue'!BL5</f>
        <v>5</v>
      </c>
    </row>
    <row r="8" customFormat="false" ht="15" hidden="false" customHeight="true" outlineLevel="0" collapsed="false">
      <c r="A8" s="11" t="s">
        <v>1210</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10" customFormat="false" ht="15" hidden="false" customHeight="true" outlineLevel="0" collapsed="false">
      <c r="A10" s="11" t="s">
        <v>1214</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2" customFormat="false" ht="15" hidden="false" customHeight="true" outlineLevel="0" collapsed="false">
      <c r="A12" s="11" t="s">
        <v>1222</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4" customFormat="false" ht="15" hidden="false" customHeight="true" outlineLevel="0" collapsed="false">
      <c r="A14" s="11" t="s">
        <v>1229</v>
      </c>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row>
    <row r="15" customFormat="false" ht="15" hidden="false" customHeight="true" outlineLevel="0" collapsed="false">
      <c r="A15" s="13" t="s">
        <v>227</v>
      </c>
      <c r="B15" s="15" t="s">
        <v>79</v>
      </c>
      <c r="D15" s="56" t="n">
        <f aca="false">'Clients &amp; revenue'!D36/FX_EUR</f>
        <v>205164789.036027</v>
      </c>
      <c r="E15" s="33" t="n">
        <f aca="false">'Clients &amp; revenue'!E36/FX_EUR</f>
        <v>0</v>
      </c>
      <c r="F15" s="33" t="n">
        <f aca="false">'Clients &amp; revenue'!F36/FX_EUR</f>
        <v>0</v>
      </c>
      <c r="G15" s="33" t="n">
        <f aca="false">'Clients &amp; revenue'!G36/FX_EUR</f>
        <v>0</v>
      </c>
      <c r="H15" s="33" t="n">
        <f aca="false">'Clients &amp; revenue'!H36/FX_EUR</f>
        <v>0</v>
      </c>
      <c r="I15" s="33" t="n">
        <f aca="false">'Clients &amp; revenue'!I36/FX_EUR</f>
        <v>50525.6696196041</v>
      </c>
      <c r="J15" s="33" t="n">
        <f aca="false">'Clients &amp; revenue'!J36/FX_EUR</f>
        <v>100902.503263679</v>
      </c>
      <c r="K15" s="33" t="n">
        <f aca="false">'Clients &amp; revenue'!K36/FX_EUR</f>
        <v>151163.033895515</v>
      </c>
      <c r="L15" s="33" t="n">
        <f aca="false">'Clients &amp; revenue'!L36/FX_EUR</f>
        <v>201341.12589694</v>
      </c>
      <c r="M15" s="33" t="n">
        <f aca="false">'Clients &amp; revenue'!M36/FX_EUR</f>
        <v>251472.065266601</v>
      </c>
      <c r="N15" s="33" t="n">
        <f aca="false">'Clients &amp; revenue'!N36/FX_EUR</f>
        <v>301592.655046253</v>
      </c>
      <c r="O15" s="33" t="n">
        <f aca="false">'Clients &amp; revenue'!O36/FX_EUR</f>
        <v>351741.316292202</v>
      </c>
      <c r="P15" s="33" t="n">
        <f aca="false">'Clients &amp; revenue'!P36/FX_EUR</f>
        <v>401958.194927939</v>
      </c>
      <c r="Q15" s="33" t="n">
        <f aca="false">'Clients &amp; revenue'!Q36/FX_EUR</f>
        <v>470125.875158058</v>
      </c>
      <c r="R15" s="33" t="n">
        <f aca="false">'Clients &amp; revenue'!R36/FX_EUR</f>
        <v>538222.027921189</v>
      </c>
      <c r="S15" s="33" t="n">
        <f aca="false">'Clients &amp; revenue'!S36/FX_EUR</f>
        <v>606295.969334712</v>
      </c>
      <c r="T15" s="33" t="n">
        <f aca="false">'Clients &amp; revenue'!T36/FX_EUR</f>
        <v>674399.180422389</v>
      </c>
      <c r="U15" s="33" t="n">
        <f aca="false">'Clients &amp; revenue'!U36/FX_EUR</f>
        <v>742585.450105312</v>
      </c>
      <c r="V15" s="33" t="n">
        <f aca="false">'Clients &amp; revenue'!V36/FX_EUR</f>
        <v>810911.026540007</v>
      </c>
      <c r="W15" s="33" t="n">
        <f aca="false">'Clients &amp; revenue'!W36/FX_EUR</f>
        <v>918112.109308737</v>
      </c>
      <c r="X15" s="33" t="n">
        <f aca="false">'Clients &amp; revenue'!X36/FX_EUR</f>
        <v>1025451.49064127</v>
      </c>
      <c r="Y15" s="33" t="n">
        <f aca="false">'Clients &amp; revenue'!Y36/FX_EUR</f>
        <v>1141189.6071241</v>
      </c>
      <c r="Z15" s="33" t="n">
        <f aca="false">'Clients &amp; revenue'!Z36/FX_EUR</f>
        <v>1257145.15509846</v>
      </c>
      <c r="AA15" s="33" t="n">
        <f aca="false">'Clients &amp; revenue'!AA36/FX_EUR</f>
        <v>1373417.3894316</v>
      </c>
      <c r="AB15" s="33" t="n">
        <f aca="false">'Clients &amp; revenue'!AB36/FX_EUR</f>
        <v>1490110.24899855</v>
      </c>
      <c r="AC15" s="33" t="n">
        <f aca="false">'Clients &amp; revenue'!AC36/FX_EUR</f>
        <v>1643150.04705762</v>
      </c>
      <c r="AD15" s="33" t="n">
        <f aca="false">'Clients &amp; revenue'!AD36/FX_EUR</f>
        <v>1796380.562392</v>
      </c>
      <c r="AE15" s="33" t="n">
        <f aca="false">'Clients &amp; revenue'!AE36/FX_EUR</f>
        <v>1958099.54241701</v>
      </c>
      <c r="AF15" s="33" t="n">
        <f aca="false">'Clients &amp; revenue'!AF36/FX_EUR</f>
        <v>2120164.73438204</v>
      </c>
      <c r="AG15" s="33" t="n">
        <f aca="false">'Clients &amp; revenue'!AG36/FX_EUR</f>
        <v>2282716.29667859</v>
      </c>
      <c r="AH15" s="33" t="n">
        <f aca="false">'Clients &amp; revenue'!AH36/FX_EUR</f>
        <v>2445901.04346787</v>
      </c>
      <c r="AI15" s="33" t="n">
        <f aca="false">'Clients &amp; revenue'!AI36/FX_EUR</f>
        <v>2618044.14009788</v>
      </c>
      <c r="AJ15" s="33" t="n">
        <f aca="false">'Clients &amp; revenue'!AJ36/FX_EUR</f>
        <v>2791032.39396875</v>
      </c>
      <c r="AK15" s="33" t="n">
        <f aca="false">'Clients &amp; revenue'!AK36/FX_EUR</f>
        <v>2965036.76429917</v>
      </c>
      <c r="AL15" s="33" t="n">
        <f aca="false">'Clients &amp; revenue'!AL36/FX_EUR</f>
        <v>3140236.71112261</v>
      </c>
      <c r="AM15" s="33" t="n">
        <f aca="false">'Clients &amp; revenue'!AM36/FX_EUR</f>
        <v>3324992.00133776</v>
      </c>
      <c r="AN15" s="33" t="n">
        <f aca="false">'Clients &amp; revenue'!AN36/FX_EUR</f>
        <v>3511226.11684802</v>
      </c>
      <c r="AO15" s="33" t="n">
        <f aca="false">'Clients &amp; revenue'!AO36/FX_EUR</f>
        <v>3724343.62955636</v>
      </c>
      <c r="AP15" s="33" t="n">
        <f aca="false">'Clients &amp; revenue'!AP36/FX_EUR</f>
        <v>3947223.03204304</v>
      </c>
      <c r="AQ15" s="33" t="n">
        <f aca="false">'Clients &amp; revenue'!AQ36/FX_EUR</f>
        <v>4171826.51211277</v>
      </c>
      <c r="AR15" s="33" t="n">
        <f aca="false">'Clients &amp; revenue'!AR36/FX_EUR</f>
        <v>4398404.54341968</v>
      </c>
      <c r="AS15" s="33" t="n">
        <f aca="false">'Clients &amp; revenue'!AS36/FX_EUR</f>
        <v>4635391.75607763</v>
      </c>
      <c r="AT15" s="33" t="n">
        <f aca="false">'Clients &amp; revenue'!AT36/FX_EUR</f>
        <v>4874790.58241999</v>
      </c>
      <c r="AU15" s="33" t="n">
        <f aca="false">'Clients &amp; revenue'!AU36/FX_EUR</f>
        <v>5116894.14284031</v>
      </c>
      <c r="AV15" s="33" t="n">
        <f aca="false">'Clients &amp; revenue'!AV36/FX_EUR</f>
        <v>5377536.40123125</v>
      </c>
      <c r="AW15" s="33" t="n">
        <f aca="false">'Clients &amp; revenue'!AW36/FX_EUR</f>
        <v>5638985.83982641</v>
      </c>
      <c r="AX15" s="33" t="n">
        <f aca="false">'Clients &amp; revenue'!AX36/FX_EUR</f>
        <v>5907080.32505368</v>
      </c>
      <c r="AY15" s="33" t="n">
        <f aca="false">'Clients &amp; revenue'!AY36/FX_EUR</f>
        <v>6173669.6935498</v>
      </c>
      <c r="AZ15" s="33" t="n">
        <f aca="false">'Clients &amp; revenue'!AZ36/FX_EUR</f>
        <v>6438884.25694104</v>
      </c>
      <c r="BA15" s="33" t="n">
        <f aca="false">'Clients &amp; revenue'!BA36/FX_EUR</f>
        <v>6736361.14971606</v>
      </c>
      <c r="BB15" s="33" t="n">
        <f aca="false">'Clients &amp; revenue'!BB36/FX_EUR</f>
        <v>7032314.29270042</v>
      </c>
      <c r="BC15" s="33" t="n">
        <f aca="false">'Clients &amp; revenue'!BC36/FX_EUR</f>
        <v>7335066.33074128</v>
      </c>
      <c r="BD15" s="33" t="n">
        <f aca="false">'Clients &amp; revenue'!BD36/FX_EUR</f>
        <v>7636499.58543993</v>
      </c>
      <c r="BE15" s="33" t="n">
        <f aca="false">'Clients &amp; revenue'!BE36/FX_EUR</f>
        <v>7944132.61672323</v>
      </c>
      <c r="BF15" s="33" t="n">
        <f aca="false">'Clients &amp; revenue'!BF36/FX_EUR</f>
        <v>8258860.29837767</v>
      </c>
      <c r="BG15" s="33" t="n">
        <f aca="false">'Clients &amp; revenue'!BG36/FX_EUR</f>
        <v>8572586.92039175</v>
      </c>
      <c r="BH15" s="33" t="n">
        <f aca="false">'Clients &amp; revenue'!BH36/FX_EUR</f>
        <v>8893671.40593577</v>
      </c>
      <c r="BI15" s="33" t="n">
        <f aca="false">'Clients &amp; revenue'!BI36/FX_EUR</f>
        <v>9221388.62068395</v>
      </c>
      <c r="BJ15" s="33" t="n">
        <f aca="false">'Clients &amp; revenue'!BJ36/FX_EUR</f>
        <v>9556667.74305737</v>
      </c>
      <c r="BK15" s="33" t="n">
        <f aca="false">'Clients &amp; revenue'!BK36/FX_EUR</f>
        <v>9889698.31056167</v>
      </c>
      <c r="BL15" s="33" t="n">
        <f aca="false">'Clients &amp; revenue'!BL36/FX_EUR</f>
        <v>10226868.5982631</v>
      </c>
    </row>
    <row r="16" customFormat="false" ht="15" hidden="false" customHeight="true" outlineLevel="0" collapsed="false">
      <c r="A16" s="13" t="s">
        <v>1235</v>
      </c>
      <c r="B16" s="15" t="s">
        <v>79</v>
      </c>
      <c r="D16" s="56" t="n">
        <f aca="false">'Clients &amp; revenue'!D37/FX_EUR</f>
        <v>274472278.492525</v>
      </c>
      <c r="E16" s="33" t="n">
        <f aca="false">'Clients &amp; revenue'!E37/FX_EUR</f>
        <v>0</v>
      </c>
      <c r="F16" s="33" t="n">
        <f aca="false">'Clients &amp; revenue'!F37/FX_EUR</f>
        <v>0</v>
      </c>
      <c r="G16" s="33" t="n">
        <f aca="false">'Clients &amp; revenue'!G37/FX_EUR</f>
        <v>0</v>
      </c>
      <c r="H16" s="33" t="n">
        <f aca="false">'Clients &amp; revenue'!H37/FX_EUR</f>
        <v>0</v>
      </c>
      <c r="I16" s="33" t="n">
        <f aca="false">'Clients &amp; revenue'!I37/FX_EUR</f>
        <v>67116.1880021607</v>
      </c>
      <c r="J16" s="33" t="n">
        <f aca="false">'Clients &amp; revenue'!J37/FX_EUR</f>
        <v>134074.85043481</v>
      </c>
      <c r="K16" s="33" t="n">
        <f aca="false">'Clients &amp; revenue'!K37/FX_EUR</f>
        <v>200918.371135608</v>
      </c>
      <c r="L16" s="33" t="n">
        <f aca="false">'Clients &amp; revenue'!L37/FX_EUR</f>
        <v>267690.943104534</v>
      </c>
      <c r="M16" s="33" t="n">
        <f aca="false">'Clients &amp; revenue'!M37/FX_EUR</f>
        <v>334438.688660561</v>
      </c>
      <c r="N16" s="33" t="n">
        <f aca="false">'Clients &amp; revenue'!N37/FX_EUR</f>
        <v>401209.786608605</v>
      </c>
      <c r="O16" s="33" t="n">
        <f aca="false">'Clients &amp; revenue'!O37/FX_EUR</f>
        <v>468054.606840989</v>
      </c>
      <c r="P16" s="33" t="n">
        <f aca="false">'Clients &amp; revenue'!P37/FX_EUR</f>
        <v>535025.852823013</v>
      </c>
      <c r="Q16" s="33" t="n">
        <f aca="false">'Clients &amp; revenue'!Q37/FX_EUR</f>
        <v>625877.420332122</v>
      </c>
      <c r="R16" s="33" t="n">
        <f aca="false">'Clients &amp; revenue'!R37/FX_EUR</f>
        <v>716682.850746981</v>
      </c>
      <c r="S16" s="33" t="n">
        <f aca="false">'Clients &amp; revenue'!S37/FX_EUR</f>
        <v>807506.728571672</v>
      </c>
      <c r="T16" s="33" t="n">
        <f aca="false">'Clients &amp; revenue'!T37/FX_EUR</f>
        <v>898416.56963709</v>
      </c>
      <c r="U16" s="33" t="n">
        <f aca="false">'Clients &amp; revenue'!U37/FX_EUR</f>
        <v>989483.011782189</v>
      </c>
      <c r="V16" s="33" t="n">
        <f aca="false">'Clients &amp; revenue'!V37/FX_EUR</f>
        <v>1080780.01672372</v>
      </c>
      <c r="W16" s="33" t="n">
        <f aca="false">'Clients &amp; revenue'!W37/FX_EUR</f>
        <v>1223762.4352529</v>
      </c>
      <c r="X16" s="33" t="n">
        <f aca="false">'Clients &amp; revenue'!X37/FX_EUR</f>
        <v>1367003.49986493</v>
      </c>
      <c r="Y16" s="33" t="n">
        <f aca="false">'Clients &amp; revenue'!Y37/FX_EUR</f>
        <v>1521474.80820791</v>
      </c>
      <c r="Z16" s="33" t="n">
        <f aca="false">'Clients &amp; revenue'!Z37/FX_EUR</f>
        <v>1676314.02819361</v>
      </c>
      <c r="AA16" s="33" t="n">
        <f aca="false">'Clients &amp; revenue'!AA37/FX_EUR</f>
        <v>1831651.77378674</v>
      </c>
      <c r="AB16" s="33" t="n">
        <f aca="false">'Clients &amp; revenue'!AB37/FX_EUR</f>
        <v>1987624.98166652</v>
      </c>
      <c r="AC16" s="33" t="n">
        <f aca="false">'Clients &amp; revenue'!AC37/FX_EUR</f>
        <v>2191955.63620448</v>
      </c>
      <c r="AD16" s="33" t="n">
        <f aca="false">'Clients &amp; revenue'!AD37/FX_EUR</f>
        <v>2396642.88490028</v>
      </c>
      <c r="AE16" s="33" t="n">
        <f aca="false">'Clients &amp; revenue'!AE37/FX_EUR</f>
        <v>2612707.42586239</v>
      </c>
      <c r="AF16" s="33" t="n">
        <f aca="false">'Clients &amp; revenue'!AF37/FX_EUR</f>
        <v>2829338.37673546</v>
      </c>
      <c r="AG16" s="33" t="n">
        <f aca="false">'Clients &amp; revenue'!AG37/FX_EUR</f>
        <v>3046720.3006924</v>
      </c>
      <c r="AH16" s="33" t="n">
        <f aca="false">'Clients &amp; revenue'!AH37/FX_EUR</f>
        <v>3265046.74215494</v>
      </c>
      <c r="AI16" s="33" t="n">
        <f aca="false">'Clients &amp; revenue'!AI37/FX_EUR</f>
        <v>3495375.16829452</v>
      </c>
      <c r="AJ16" s="33" t="n">
        <f aca="false">'Clients &amp; revenue'!AJ37/FX_EUR</f>
        <v>3726933.66290263</v>
      </c>
      <c r="AK16" s="33" t="n">
        <f aca="false">'Clients &amp; revenue'!AK37/FX_EUR</f>
        <v>3959948.08419878</v>
      </c>
      <c r="AL16" s="33" t="n">
        <f aca="false">'Clients &amp; revenue'!AL37/FX_EUR</f>
        <v>4194655.74027783</v>
      </c>
      <c r="AM16" s="33" t="n">
        <f aca="false">'Clients &amp; revenue'!AM37/FX_EUR</f>
        <v>4442160.47872336</v>
      </c>
      <c r="AN16" s="33" t="n">
        <f aca="false">'Clients &amp; revenue'!AN37/FX_EUR</f>
        <v>4691739.53747907</v>
      </c>
      <c r="AO16" s="33" t="n">
        <f aca="false">'Clients &amp; revenue'!AO37/FX_EUR</f>
        <v>4977138.50999731</v>
      </c>
      <c r="AP16" s="33" t="n">
        <f aca="false">'Clients &amp; revenue'!AP37/FX_EUR</f>
        <v>5275633.34049623</v>
      </c>
      <c r="AQ16" s="33" t="n">
        <f aca="false">'Clients &amp; revenue'!AQ37/FX_EUR</f>
        <v>5576552.41276176</v>
      </c>
      <c r="AR16" s="33" t="n">
        <f aca="false">'Clients &amp; revenue'!AR37/FX_EUR</f>
        <v>5880227.43341474</v>
      </c>
      <c r="AS16" s="33" t="n">
        <f aca="false">'Clients &amp; revenue'!AS37/FX_EUR</f>
        <v>6197861.81745124</v>
      </c>
      <c r="AT16" s="33" t="n">
        <f aca="false">'Clients &amp; revenue'!AT37/FX_EUR</f>
        <v>6518837.8568399</v>
      </c>
      <c r="AU16" s="33" t="n">
        <f aca="false">'Clients &amp; revenue'!AU37/FX_EUR</f>
        <v>6843544.38141519</v>
      </c>
      <c r="AV16" s="33" t="n">
        <f aca="false">'Clients &amp; revenue'!AV37/FX_EUR</f>
        <v>7193014.27052364</v>
      </c>
      <c r="AW16" s="33" t="n">
        <f aca="false">'Clients &amp; revenue'!AW37/FX_EUR</f>
        <v>7543706.01786819</v>
      </c>
      <c r="AX16" s="33" t="n">
        <f aca="false">'Clients &amp; revenue'!AX37/FX_EUR</f>
        <v>7903372.38211369</v>
      </c>
      <c r="AY16" s="33" t="n">
        <f aca="false">'Clients &amp; revenue'!AY37/FX_EUR</f>
        <v>8261189.68606824</v>
      </c>
      <c r="AZ16" s="33" t="n">
        <f aca="false">'Clients &amp; revenue'!AZ37/FX_EUR</f>
        <v>8617327.16041223</v>
      </c>
      <c r="BA16" s="33" t="n">
        <f aca="false">'Clients &amp; revenue'!BA37/FX_EUR</f>
        <v>9016463.27113871</v>
      </c>
      <c r="BB16" s="33" t="n">
        <f aca="false">'Clients &amp; revenue'!BB37/FX_EUR</f>
        <v>9413741.12117575</v>
      </c>
      <c r="BC16" s="33" t="n">
        <f aca="false">'Clients &amp; revenue'!BC37/FX_EUR</f>
        <v>9820212.00282066</v>
      </c>
      <c r="BD16" s="33" t="n">
        <f aca="false">'Clients &amp; revenue'!BD37/FX_EUR</f>
        <v>10225095.2624653</v>
      </c>
      <c r="BE16" s="33" t="n">
        <f aca="false">'Clients &amp; revenue'!BE37/FX_EUR</f>
        <v>10638374.2710775</v>
      </c>
      <c r="BF16" s="33" t="n">
        <f aca="false">'Clients &amp; revenue'!BF37/FX_EUR</f>
        <v>11061239.8213414</v>
      </c>
      <c r="BG16" s="33" t="n">
        <f aca="false">'Clients &amp; revenue'!BG37/FX_EUR</f>
        <v>11482940.6646863</v>
      </c>
      <c r="BH16" s="33" t="n">
        <f aca="false">'Clients &amp; revenue'!BH37/FX_EUR</f>
        <v>11914576.7121585</v>
      </c>
      <c r="BI16" s="33" t="n">
        <f aca="false">'Clients &amp; revenue'!BI37/FX_EUR</f>
        <v>12355187.7061591</v>
      </c>
      <c r="BJ16" s="33" t="n">
        <f aca="false">'Clients &amp; revenue'!BJ37/FX_EUR</f>
        <v>12806010.2792031</v>
      </c>
      <c r="BK16" s="33" t="n">
        <f aca="false">'Clients &amp; revenue'!BK37/FX_EUR</f>
        <v>13254015.6706435</v>
      </c>
      <c r="BL16" s="33" t="n">
        <f aca="false">'Clients &amp; revenue'!BL37/FX_EUR</f>
        <v>13707684.9894897</v>
      </c>
    </row>
    <row r="17" customFormat="false" ht="15" hidden="false" customHeight="true" outlineLevel="0" collapsed="false">
      <c r="A17" s="13" t="s">
        <v>1236</v>
      </c>
      <c r="B17" s="15" t="s">
        <v>79</v>
      </c>
      <c r="D17" s="56" t="n">
        <f aca="false">'Clients &amp; revenue'!D38/FX_EUR</f>
        <v>136209805.33757</v>
      </c>
      <c r="E17" s="33" t="n">
        <f aca="false">'Clients &amp; revenue'!E38/FX_EUR</f>
        <v>0</v>
      </c>
      <c r="F17" s="33" t="n">
        <f aca="false">'Clients &amp; revenue'!F38/FX_EUR</f>
        <v>0</v>
      </c>
      <c r="G17" s="33" t="n">
        <f aca="false">'Clients &amp; revenue'!G38/FX_EUR</f>
        <v>0</v>
      </c>
      <c r="H17" s="33" t="n">
        <f aca="false">'Clients &amp; revenue'!H38/FX_EUR</f>
        <v>0</v>
      </c>
      <c r="I17" s="33" t="n">
        <f aca="false">'Clients &amp; revenue'!I38/FX_EUR</f>
        <v>663620.735302263</v>
      </c>
      <c r="J17" s="33" t="n">
        <f aca="false">'Clients &amp; revenue'!J38/FX_EUR</f>
        <v>1325875.83230811</v>
      </c>
      <c r="K17" s="33" t="n">
        <f aca="false">'Clients &amp; revenue'!K38/FX_EUR</f>
        <v>1987182.53406854</v>
      </c>
      <c r="L17" s="33" t="n">
        <f aca="false">'Clients &amp; revenue'!L38/FX_EUR</f>
        <v>2647976.10091502</v>
      </c>
      <c r="M17" s="33" t="n">
        <f aca="false">'Clients &amp; revenue'!M38/FX_EUR</f>
        <v>3308711.00293555</v>
      </c>
      <c r="N17" s="33" t="n">
        <f aca="false">'Clients &amp; revenue'!N38/FX_EUR</f>
        <v>3969862.1820705</v>
      </c>
      <c r="O17" s="33" t="n">
        <f aca="false">'Clients &amp; revenue'!O38/FX_EUR</f>
        <v>4631926.38804081</v>
      </c>
      <c r="P17" s="33" t="n">
        <f aca="false">'Clients &amp; revenue'!P38/FX_EUR</f>
        <v>5295423.59257298</v>
      </c>
      <c r="Q17" s="33" t="n">
        <f aca="false">'Clients &amp; revenue'!Q38/FX_EUR</f>
        <v>6195222.78941444</v>
      </c>
      <c r="R17" s="33" t="n">
        <f aca="false">'Clients &amp; revenue'!R38/FX_EUR</f>
        <v>7094814.69801203</v>
      </c>
      <c r="S17" s="33" t="n">
        <f aca="false">'Clients &amp; revenue'!S38/FX_EUR</f>
        <v>7994835.94211877</v>
      </c>
      <c r="T17" s="33" t="n">
        <f aca="false">'Clients &amp; revenue'!T38/FX_EUR</f>
        <v>8895952.32195307</v>
      </c>
      <c r="U17" s="33" t="n">
        <f aca="false">'Clients &amp; revenue'!U38/FX_EUR</f>
        <v>9798860.70676727</v>
      </c>
      <c r="V17" s="33" t="n">
        <f aca="false">'Clients &amp; revenue'!V38/FX_EUR</f>
        <v>10704291.0385281</v>
      </c>
      <c r="W17" s="33" t="n">
        <f aca="false">'Clients &amp; revenue'!W38/FX_EUR</f>
        <v>12121009.2319267</v>
      </c>
      <c r="X17" s="33" t="n">
        <f aca="false">'Clients &amp; revenue'!X38/FX_EUR</f>
        <v>13540671.8882823</v>
      </c>
      <c r="Y17" s="33" t="n">
        <f aca="false">'Clients &amp; revenue'!Y38/FX_EUR</f>
        <v>15071760.0967912</v>
      </c>
      <c r="Z17" s="33" t="n">
        <f aca="false">'Clients &amp; revenue'!Z38/FX_EUR</f>
        <v>16606900.2787807</v>
      </c>
      <c r="AA17" s="33" t="n">
        <f aca="false">'Clients &amp; revenue'!AA38/FX_EUR</f>
        <v>18147381.8729333</v>
      </c>
      <c r="AB17" s="33" t="n">
        <f aca="false">'Clients &amp; revenue'!AB38/FX_EUR</f>
        <v>19694557.2128718</v>
      </c>
      <c r="AC17" s="33" t="n">
        <f aca="false">'Clients &amp; revenue'!AC38/FX_EUR</f>
        <v>21720282.8683988</v>
      </c>
      <c r="AD17" s="33" t="n">
        <f aca="false">'Clients &amp; revenue'!AD38/FX_EUR</f>
        <v>23750078.8756122</v>
      </c>
      <c r="AE17" s="33" t="n">
        <f aca="false">'Clients &amp; revenue'!AE38/FX_EUR</f>
        <v>25892910.9007492</v>
      </c>
      <c r="AF17" s="33" t="n">
        <f aca="false">'Clients &amp; revenue'!AF38/FX_EUR</f>
        <v>28041913.3145919</v>
      </c>
      <c r="AG17" s="33" t="n">
        <f aca="false">'Clients &amp; revenue'!AG38/FX_EUR</f>
        <v>30198908.3686228</v>
      </c>
      <c r="AH17" s="33" t="n">
        <f aca="false">'Clients &amp; revenue'!AH38/FX_EUR</f>
        <v>32365807.6514847</v>
      </c>
      <c r="AI17" s="33" t="n">
        <f aca="false">'Clients &amp; revenue'!AI38/FX_EUR</f>
        <v>34651941.8698232</v>
      </c>
      <c r="AJ17" s="33" t="n">
        <f aca="false">'Clients &amp; revenue'!AJ38/FX_EUR</f>
        <v>36950832.2537399</v>
      </c>
      <c r="AK17" s="33" t="n">
        <f aca="false">'Clients &amp; revenue'!AK38/FX_EUR</f>
        <v>39264711.041842</v>
      </c>
      <c r="AL17" s="33" t="n">
        <f aca="false">'Clients &amp; revenue'!AL38/FX_EUR</f>
        <v>41595924.3251533</v>
      </c>
      <c r="AM17" s="33" t="n">
        <f aca="false">'Clients &amp; revenue'!AM38/FX_EUR</f>
        <v>44054263.2986762</v>
      </c>
      <c r="AN17" s="33" t="n">
        <f aca="false">'Clients &amp; revenue'!AN38/FX_EUR</f>
        <v>46533737.2258301</v>
      </c>
      <c r="AO17" s="33" t="n">
        <f aca="false">'Clients &amp; revenue'!AO38/FX_EUR</f>
        <v>49368011.5761278</v>
      </c>
      <c r="AP17" s="33" t="n">
        <f aca="false">'Clients &amp; revenue'!AP38/FX_EUR</f>
        <v>52332496.7052798</v>
      </c>
      <c r="AQ17" s="33" t="n">
        <f aca="false">'Clients &amp; revenue'!AQ38/FX_EUR</f>
        <v>55321707.4630466</v>
      </c>
      <c r="AR17" s="33" t="n">
        <f aca="false">'Clients &amp; revenue'!AR38/FX_EUR</f>
        <v>58338924.8387598</v>
      </c>
      <c r="AS17" s="33" t="n">
        <f aca="false">'Clients &amp; revenue'!AS38/FX_EUR</f>
        <v>61494926.2897372</v>
      </c>
      <c r="AT17" s="33" t="n">
        <f aca="false">'Clients &amp; revenue'!AT38/FX_EUR</f>
        <v>64684761.8602377</v>
      </c>
      <c r="AU17" s="33" t="n">
        <f aca="false">'Clients &amp; revenue'!AU38/FX_EUR</f>
        <v>67912279.6616146</v>
      </c>
      <c r="AV17" s="33" t="n">
        <f aca="false">'Clients &amp; revenue'!AV38/FX_EUR</f>
        <v>71385449.8153068</v>
      </c>
      <c r="AW17" s="33" t="n">
        <f aca="false">'Clients &amp; revenue'!AW38/FX_EUR</f>
        <v>74871567.0392508</v>
      </c>
      <c r="AX17" s="33" t="n">
        <f aca="false">'Clients &amp; revenue'!AX38/FX_EUR</f>
        <v>78447284.6937945</v>
      </c>
      <c r="AY17" s="33" t="n">
        <f aca="false">'Clients &amp; revenue'!AY38/FX_EUR</f>
        <v>82005601.1955119</v>
      </c>
      <c r="AZ17" s="33" t="n">
        <f aca="false">'Clients &amp; revenue'!AZ38/FX_EUR</f>
        <v>85548177.7779143</v>
      </c>
      <c r="BA17" s="33" t="n">
        <f aca="false">'Clients &amp; revenue'!BA38/FX_EUR</f>
        <v>89516767.5443258</v>
      </c>
      <c r="BB17" s="33" t="n">
        <f aca="false">'Clients &amp; revenue'!BB38/FX_EUR</f>
        <v>93467957.9452253</v>
      </c>
      <c r="BC17" s="33" t="n">
        <f aca="false">'Clients &amp; revenue'!BC38/FX_EUR</f>
        <v>97511007.3849129</v>
      </c>
      <c r="BD17" s="33" t="n">
        <f aca="false">'Clients &amp; revenue'!BD38/FX_EUR</f>
        <v>101539339.511426</v>
      </c>
      <c r="BE17" s="33" t="n">
        <f aca="false">'Clients &amp; revenue'!BE38/FX_EUR</f>
        <v>105651654.201618</v>
      </c>
      <c r="BF17" s="33" t="n">
        <f aca="false">'Clients &amp; revenue'!BF38/FX_EUR</f>
        <v>109859742.09666</v>
      </c>
      <c r="BG17" s="33" t="n">
        <f aca="false">'Clients &amp; revenue'!BG38/FX_EUR</f>
        <v>114057318.496851</v>
      </c>
      <c r="BH17" s="33" t="n">
        <f aca="false">'Clients &amp; revenue'!BH38/FX_EUR</f>
        <v>118354124.209674</v>
      </c>
      <c r="BI17" s="33" t="n">
        <f aca="false">'Clients &amp; revenue'!BI38/FX_EUR</f>
        <v>122740685.234322</v>
      </c>
      <c r="BJ17" s="33" t="n">
        <f aca="false">'Clients &amp; revenue'!BJ38/FX_EUR</f>
        <v>127229246.718221</v>
      </c>
      <c r="BK17" s="33" t="n">
        <f aca="false">'Clients &amp; revenue'!BK38/FX_EUR</f>
        <v>131691006.121732</v>
      </c>
      <c r="BL17" s="33" t="n">
        <f aca="false">'Clients &amp; revenue'!BL38/FX_EUR</f>
        <v>136209805.33757</v>
      </c>
    </row>
    <row r="18" customFormat="false" ht="15" hidden="false" customHeight="true" outlineLevel="0" collapsed="false">
      <c r="A18" s="13" t="s">
        <v>1237</v>
      </c>
      <c r="B18" s="15" t="s">
        <v>79</v>
      </c>
      <c r="D18" s="56" t="n">
        <f aca="false">'Clients &amp; revenue'!D39/FX_EUR</f>
        <v>1408814428.89185</v>
      </c>
      <c r="E18" s="33" t="n">
        <f aca="false">'Clients &amp; revenue'!E39/FX_EUR</f>
        <v>0</v>
      </c>
      <c r="F18" s="33" t="n">
        <f aca="false">'Clients &amp; revenue'!F39/FX_EUR</f>
        <v>0</v>
      </c>
      <c r="G18" s="33" t="n">
        <f aca="false">'Clients &amp; revenue'!G39/FX_EUR</f>
        <v>0</v>
      </c>
      <c r="H18" s="33" t="n">
        <f aca="false">'Clients &amp; revenue'!H39/FX_EUR</f>
        <v>0</v>
      </c>
      <c r="I18" s="33" t="n">
        <f aca="false">'Clients &amp; revenue'!I39/FX_EUR</f>
        <v>339351.512370476</v>
      </c>
      <c r="J18" s="33" t="n">
        <f aca="false">'Clients &amp; revenue'!J39/FX_EUR</f>
        <v>678319.615462599</v>
      </c>
      <c r="K18" s="33" t="n">
        <f aca="false">'Clients &amp; revenue'!K39/FX_EUR</f>
        <v>1017112.16398331</v>
      </c>
      <c r="L18" s="33" t="n">
        <f aca="false">'Clients &amp; revenue'!L39/FX_EUR</f>
        <v>1355946.51334329</v>
      </c>
      <c r="M18" s="33" t="n">
        <f aca="false">'Clients &amp; revenue'!M39/FX_EUR</f>
        <v>1695050.13343151</v>
      </c>
      <c r="N18" s="33" t="n">
        <f aca="false">'Clients &amp; revenue'!N39/FX_EUR</f>
        <v>2034661.25850083</v>
      </c>
      <c r="O18" s="33" t="n">
        <f aca="false">'Clients &amp; revenue'!O39/FX_EUR</f>
        <v>2375029.57534387</v>
      </c>
      <c r="P18" s="33" t="n">
        <f aca="false">'Clients &amp; revenue'!P39/FX_EUR</f>
        <v>2716416.95206898</v>
      </c>
      <c r="Q18" s="33" t="n">
        <f aca="false">'Clients &amp; revenue'!Q39/FX_EUR</f>
        <v>3178923.13747305</v>
      </c>
      <c r="R18" s="33" t="n">
        <f aca="false">'Clients &amp; revenue'!R39/FX_EUR</f>
        <v>3641713.69248108</v>
      </c>
      <c r="S18" s="33" t="n">
        <f aca="false">'Clients &amp; revenue'!S39/FX_EUR</f>
        <v>4105108.07170838</v>
      </c>
      <c r="T18" s="33" t="n">
        <f aca="false">'Clients &amp; revenue'!T39/FX_EUR</f>
        <v>4569441.0506218</v>
      </c>
      <c r="U18" s="33" t="n">
        <f aca="false">'Clients &amp; revenue'!U39/FX_EUR</f>
        <v>5035063.70084043</v>
      </c>
      <c r="V18" s="33" t="n">
        <f aca="false">'Clients &amp; revenue'!V39/FX_EUR</f>
        <v>5502344.42304432</v>
      </c>
      <c r="W18" s="33" t="n">
        <f aca="false">'Clients &amp; revenue'!W39/FX_EUR</f>
        <v>6231443.16633665</v>
      </c>
      <c r="X18" s="33" t="n">
        <f aca="false">'Clients &amp; revenue'!X39/FX_EUR</f>
        <v>6962648.67609767</v>
      </c>
      <c r="Y18" s="33" t="n">
        <f aca="false">'Clients &amp; revenue'!Y39/FX_EUR</f>
        <v>7751426.41653156</v>
      </c>
      <c r="Z18" s="33" t="n">
        <f aca="false">'Clients &amp; revenue'!Z39/FX_EUR</f>
        <v>8542913.23299822</v>
      </c>
      <c r="AA18" s="33" t="n">
        <f aca="false">'Clients &amp; revenue'!AA39/FX_EUR</f>
        <v>9337760.66273784</v>
      </c>
      <c r="AB18" s="33" t="n">
        <f aca="false">'Clients &amp; revenue'!AB39/FX_EUR</f>
        <v>10136653.145779</v>
      </c>
      <c r="AC18" s="33" t="n">
        <f aca="false">'Clients &amp; revenue'!AC39/FX_EUR</f>
        <v>11180874.6381022</v>
      </c>
      <c r="AD18" s="33" t="n">
        <f aca="false">'Clients &amp; revenue'!AD39/FX_EUR</f>
        <v>12228011.0344367</v>
      </c>
      <c r="AE18" s="33" t="n">
        <f aca="false">'Clients &amp; revenue'!AE39/FX_EUR</f>
        <v>13333772.5865178</v>
      </c>
      <c r="AF18" s="33" t="n">
        <f aca="false">'Clients &amp; revenue'!AF39/FX_EUR</f>
        <v>14443553.1580228</v>
      </c>
      <c r="AG18" s="33" t="n">
        <f aca="false">'Clients &amp; revenue'!AG39/FX_EUR</f>
        <v>15558274.3044143</v>
      </c>
      <c r="AH18" s="33" t="n">
        <f aca="false">'Clients &amp; revenue'!AH39/FX_EUR</f>
        <v>16678904.2985486</v>
      </c>
      <c r="AI18" s="33" t="n">
        <f aca="false">'Clients &amp; revenue'!AI39/FX_EUR</f>
        <v>17861342.7038702</v>
      </c>
      <c r="AJ18" s="33" t="n">
        <f aca="false">'Clients &amp; revenue'!AJ39/FX_EUR</f>
        <v>19051183.9852367</v>
      </c>
      <c r="AK18" s="33" t="n">
        <f aca="false">'Clients &amp; revenue'!AK39/FX_EUR</f>
        <v>20249562.2664413</v>
      </c>
      <c r="AL18" s="33" t="n">
        <f aca="false">'Clients &amp; revenue'!AL39/FX_EUR</f>
        <v>21457671.0741627</v>
      </c>
      <c r="AM18" s="33" t="n">
        <f aca="false">'Clients &amp; revenue'!AM39/FX_EUR</f>
        <v>22731648.6726063</v>
      </c>
      <c r="AN18" s="33" t="n">
        <f aca="false">'Clients &amp; revenue'!AN39/FX_EUR</f>
        <v>24017342.4814659</v>
      </c>
      <c r="AO18" s="33" t="n">
        <f aca="false">'Clients &amp; revenue'!AO39/FX_EUR</f>
        <v>25485373.0981468</v>
      </c>
      <c r="AP18" s="33" t="n">
        <f aca="false">'Clients &amp; revenue'!AP39/FX_EUR</f>
        <v>27021048.1679941</v>
      </c>
      <c r="AQ18" s="33" t="n">
        <f aca="false">'Clients &amp; revenue'!AQ39/FX_EUR</f>
        <v>28570472.0855243</v>
      </c>
      <c r="AR18" s="33" t="n">
        <f aca="false">'Clients &amp; revenue'!AR39/FX_EUR</f>
        <v>30135317.5417147</v>
      </c>
      <c r="AS18" s="33" t="n">
        <f aca="false">'Clients &amp; revenue'!AS39/FX_EUR</f>
        <v>31772228.6599961</v>
      </c>
      <c r="AT18" s="33" t="n">
        <f aca="false">'Clients &amp; revenue'!AT39/FX_EUR</f>
        <v>33427587.0450553</v>
      </c>
      <c r="AU18" s="33" t="n">
        <f aca="false">'Clients &amp; revenue'!AU39/FX_EUR</f>
        <v>35103359.1241526</v>
      </c>
      <c r="AV18" s="33" t="n">
        <f aca="false">'Clients &amp; revenue'!AV39/FX_EUR</f>
        <v>36905893.7572333</v>
      </c>
      <c r="AW18" s="33" t="n">
        <f aca="false">'Clients &amp; revenue'!AW39/FX_EUR</f>
        <v>38716293.1262633</v>
      </c>
      <c r="AX18" s="33" t="n">
        <f aca="false">'Clients &amp; revenue'!AX39/FX_EUR</f>
        <v>40573742.2216874</v>
      </c>
      <c r="AY18" s="33" t="n">
        <f aca="false">'Clients &amp; revenue'!AY39/FX_EUR</f>
        <v>42423548.1606549</v>
      </c>
      <c r="AZ18" s="33" t="n">
        <f aca="false">'Clients &amp; revenue'!AZ39/FX_EUR</f>
        <v>44266533.1396809</v>
      </c>
      <c r="BA18" s="33" t="n">
        <f aca="false">'Clients &amp; revenue'!BA39/FX_EUR</f>
        <v>46328567.5567367</v>
      </c>
      <c r="BB18" s="33" t="n">
        <f aca="false">'Clients &amp; revenue'!BB39/FX_EUR</f>
        <v>48383090.3363545</v>
      </c>
      <c r="BC18" s="33" t="n">
        <f aca="false">'Clients &amp; revenue'!BC39/FX_EUR</f>
        <v>50485942.9780855</v>
      </c>
      <c r="BD18" s="33" t="n">
        <f aca="false">'Clients &amp; revenue'!BD39/FX_EUR</f>
        <v>52582649.2514822</v>
      </c>
      <c r="BE18" s="33" t="n">
        <f aca="false">'Clients &amp; revenue'!BE39/FX_EUR</f>
        <v>54723652.8060476</v>
      </c>
      <c r="BF18" s="33" t="n">
        <f aca="false">'Clients &amp; revenue'!BF39/FX_EUR</f>
        <v>56915002.3516443</v>
      </c>
      <c r="BG18" s="33" t="n">
        <f aca="false">'Clients &amp; revenue'!BG39/FX_EUR</f>
        <v>59102372.4716266</v>
      </c>
      <c r="BH18" s="33" t="n">
        <f aca="false">'Clients &amp; revenue'!BH39/FX_EUR</f>
        <v>61341854.5316345</v>
      </c>
      <c r="BI18" s="33" t="n">
        <f aca="false">'Clients &amp; revenue'!BI39/FX_EUR</f>
        <v>63628630.2743235</v>
      </c>
      <c r="BJ18" s="33" t="n">
        <f aca="false">'Clients &amp; revenue'!BJ39/FX_EUR</f>
        <v>65968982.9345117</v>
      </c>
      <c r="BK18" s="33" t="n">
        <f aca="false">'Clients &amp; revenue'!BK39/FX_EUR</f>
        <v>68297074.5811275</v>
      </c>
      <c r="BL18" s="33" t="n">
        <f aca="false">'Clients &amp; revenue'!BL39/FX_EUR</f>
        <v>70655744.3851917</v>
      </c>
    </row>
    <row r="19" customFormat="false" ht="15" hidden="false" customHeight="true" outlineLevel="0" collapsed="false">
      <c r="A19" s="13" t="s">
        <v>1239</v>
      </c>
      <c r="B19" s="15" t="s">
        <v>79</v>
      </c>
      <c r="D19" s="56" t="n">
        <f aca="false">'Clients &amp; revenue'!D42/FX_EUR</f>
        <v>1222808922.72398</v>
      </c>
      <c r="E19" s="33" t="n">
        <f aca="false">'Clients &amp; revenue'!E42/FX_EUR</f>
        <v>0</v>
      </c>
      <c r="F19" s="33" t="n">
        <f aca="false">'Clients &amp; revenue'!F42/FX_EUR</f>
        <v>0</v>
      </c>
      <c r="G19" s="33" t="n">
        <f aca="false">'Clients &amp; revenue'!G42/FX_EUR</f>
        <v>0</v>
      </c>
      <c r="H19" s="33" t="n">
        <f aca="false">'Clients &amp; revenue'!H42/FX_EUR</f>
        <v>0</v>
      </c>
      <c r="I19" s="33" t="n">
        <f aca="false">'Clients &amp; revenue'!I42/FX_EUR</f>
        <v>295235.815762314</v>
      </c>
      <c r="J19" s="33" t="n">
        <f aca="false">'Clients &amp; revenue'!J42/FX_EUR</f>
        <v>590081.506867066</v>
      </c>
      <c r="K19" s="33" t="n">
        <f aca="false">'Clients &amp; revenue'!K42/FX_EUR</f>
        <v>884718.828616053</v>
      </c>
      <c r="L19" s="33" t="n">
        <f aca="false">'Clients &amp; revenue'!L42/FX_EUR</f>
        <v>1179337.75236844</v>
      </c>
      <c r="M19" s="33" t="n">
        <f aca="false">'Clients &amp; revenue'!M42/FX_EUR</f>
        <v>1474136.99872102</v>
      </c>
      <c r="N19" s="33" t="n">
        <f aca="false">'Clients &amp; revenue'!N42/FX_EUR</f>
        <v>1769324.60201377</v>
      </c>
      <c r="O19" s="33" t="n">
        <f aca="false">'Clients &amp; revenue'!O42/FX_EUR</f>
        <v>2065118.50805199</v>
      </c>
      <c r="P19" s="33" t="n">
        <f aca="false">'Clients &amp; revenue'!P42/FX_EUR</f>
        <v>2361747.20704967</v>
      </c>
      <c r="Q19" s="33" t="n">
        <f aca="false">'Clients &amp; revenue'!Q42/FX_EUR</f>
        <v>2763698.09088596</v>
      </c>
      <c r="R19" s="33" t="n">
        <f aca="false">'Clients &amp; revenue'!R42/FX_EUR</f>
        <v>3165825.7813268</v>
      </c>
      <c r="S19" s="33" t="n">
        <f aca="false">'Clients &amp; revenue'!S42/FX_EUR</f>
        <v>3568409.2204408</v>
      </c>
      <c r="T19" s="33" t="n">
        <f aca="false">'Clients &amp; revenue'!T42/FX_EUR</f>
        <v>3971740.60970683</v>
      </c>
      <c r="U19" s="33" t="n">
        <f aca="false">'Clients &amp; revenue'!U42/FX_EUR</f>
        <v>4376126.25706144</v>
      </c>
      <c r="V19" s="33" t="n">
        <f aca="false">'Clients &amp; revenue'!V42/FX_EUR</f>
        <v>4781887.47392348</v>
      </c>
      <c r="W19" s="33" t="n">
        <f aca="false">'Clients &amp; revenue'!W42/FX_EUR</f>
        <v>5415364.14428357</v>
      </c>
      <c r="X19" s="33" t="n">
        <f aca="false">'Clients &amp; revenue'!X42/FX_EUR</f>
        <v>6050564.83290354</v>
      </c>
      <c r="Y19" s="33" t="n">
        <f aca="false">'Clients &amp; revenue'!Y42/FX_EUR</f>
        <v>6735745.78096654</v>
      </c>
      <c r="Z19" s="33" t="n">
        <f aca="false">'Clients &amp; revenue'!Z42/FX_EUR</f>
        <v>7423168.06587449</v>
      </c>
      <c r="AA19" s="33" t="n">
        <f aca="false">'Clients &amp; revenue'!AA42/FX_EUR</f>
        <v>8113399.81025049</v>
      </c>
      <c r="AB19" s="33" t="n">
        <f aca="false">'Clients &amp; revenue'!AB42/FX_EUR</f>
        <v>8807037.63237751</v>
      </c>
      <c r="AC19" s="33" t="n">
        <f aca="false">'Clients &amp; revenue'!AC42/FX_EUR</f>
        <v>9713999.59617975</v>
      </c>
      <c r="AD19" s="33" t="n">
        <f aca="false">'Clients &amp; revenue'!AD42/FX_EUR</f>
        <v>10623346.2211992</v>
      </c>
      <c r="AE19" s="33" t="n">
        <f aca="false">'Clients &amp; revenue'!AE42/FX_EUR</f>
        <v>11583547.2130342</v>
      </c>
      <c r="AF19" s="33" t="n">
        <f aca="false">'Clients &amp; revenue'!AF42/FX_EUR</f>
        <v>12547087.7053507</v>
      </c>
      <c r="AG19" s="33" t="n">
        <f aca="false">'Clients &amp; revenue'!AG42/FX_EUR</f>
        <v>13514771.1367385</v>
      </c>
      <c r="AH19" s="33" t="n">
        <f aca="false">'Clients &amp; revenue'!AH42/FX_EUR</f>
        <v>14487441.4085486</v>
      </c>
      <c r="AI19" s="33" t="n">
        <f aca="false">'Clients &amp; revenue'!AI42/FX_EUR</f>
        <v>15513732.4585963</v>
      </c>
      <c r="AJ19" s="33" t="n">
        <f aca="false">'Clients &amp; revenue'!AJ42/FX_EUR</f>
        <v>16546303.4502448</v>
      </c>
      <c r="AK19" s="33" t="n">
        <f aca="false">'Clients &amp; revenue'!AK42/FX_EUR</f>
        <v>17586142.2373209</v>
      </c>
      <c r="AL19" s="33" t="n">
        <f aca="false">'Clients &amp; revenue'!AL42/FX_EUR</f>
        <v>18634288.1452987</v>
      </c>
      <c r="AM19" s="33" t="n">
        <f aca="false">'Clients &amp; revenue'!AM42/FX_EUR</f>
        <v>19739582.2057545</v>
      </c>
      <c r="AN19" s="33" t="n">
        <f aca="false">'Clients &amp; revenue'!AN42/FX_EUR</f>
        <v>20854903.0458514</v>
      </c>
      <c r="AO19" s="33" t="n">
        <f aca="false">'Clients &amp; revenue'!AO42/FX_EUR</f>
        <v>22128691.1116287</v>
      </c>
      <c r="AP19" s="33" t="n">
        <f aca="false">'Clients &amp; revenue'!AP42/FX_EUR</f>
        <v>23461136.1339508</v>
      </c>
      <c r="AQ19" s="33" t="n">
        <f aca="false">'Clients &amp; revenue'!AQ42/FX_EUR</f>
        <v>24805340.55222</v>
      </c>
      <c r="AR19" s="33" t="n">
        <f aca="false">'Clients &amp; revenue'!AR42/FX_EUR</f>
        <v>26162760.3309881</v>
      </c>
      <c r="AS19" s="33" t="n">
        <f aca="false">'Clients &amp; revenue'!AS42/FX_EUR</f>
        <v>27582676.288658</v>
      </c>
      <c r="AT19" s="33" t="n">
        <f aca="false">'Clients &amp; revenue'!AT42/FX_EUR</f>
        <v>29018431.4025197</v>
      </c>
      <c r="AU19" s="33" t="n">
        <f aca="false">'Clients &amp; revenue'!AU42/FX_EUR</f>
        <v>30471736.5161481</v>
      </c>
      <c r="AV19" s="33" t="n">
        <f aca="false">'Clients &amp; revenue'!AV42/FX_EUR</f>
        <v>32035114.8583785</v>
      </c>
      <c r="AW19" s="33" t="n">
        <f aca="false">'Clients &amp; revenue'!AW42/FX_EUR</f>
        <v>33605107.3250171</v>
      </c>
      <c r="AX19" s="33" t="n">
        <f aca="false">'Clients &amp; revenue'!AX42/FX_EUR</f>
        <v>35215806.9420062</v>
      </c>
      <c r="AY19" s="33" t="n">
        <f aca="false">'Clients &amp; revenue'!AY42/FX_EUR</f>
        <v>36819626.4202361</v>
      </c>
      <c r="AZ19" s="33" t="n">
        <f aca="false">'Clients &amp; revenue'!AZ42/FX_EUR</f>
        <v>38417285.7703196</v>
      </c>
      <c r="BA19" s="33" t="n">
        <f aca="false">'Clients &amp; revenue'!BA42/FX_EUR</f>
        <v>40205296.7270227</v>
      </c>
      <c r="BB19" s="33" t="n">
        <f aca="false">'Clients &amp; revenue'!BB42/FX_EUR</f>
        <v>41986517.9273906</v>
      </c>
      <c r="BC19" s="33" t="n">
        <f aca="false">'Clients &amp; revenue'!BC42/FX_EUR</f>
        <v>43809536.5102865</v>
      </c>
      <c r="BD19" s="33" t="n">
        <f aca="false">'Clients &amp; revenue'!BD42/FX_EUR</f>
        <v>45626953.8031187</v>
      </c>
      <c r="BE19" s="33" t="n">
        <f aca="false">'Clients &amp; revenue'!BE42/FX_EUR</f>
        <v>47482660.5712699</v>
      </c>
      <c r="BF19" s="33" t="n">
        <f aca="false">'Clients &amp; revenue'!BF42/FX_EUR</f>
        <v>49381915.4997167</v>
      </c>
      <c r="BG19" s="33" t="n">
        <f aca="false">'Clients &amp; revenue'!BG42/FX_EUR</f>
        <v>51277450.8283896</v>
      </c>
      <c r="BH19" s="33" t="n">
        <f aca="false">'Clients &amp; revenue'!BH42/FX_EUR</f>
        <v>53218070.5196412</v>
      </c>
      <c r="BI19" s="33" t="n">
        <f aca="false">'Clients &amp; revenue'!BI42/FX_EUR</f>
        <v>55199577.7444801</v>
      </c>
      <c r="BJ19" s="33" t="n">
        <f aca="false">'Clients &amp; revenue'!BJ42/FX_EUR</f>
        <v>57227434.8473276</v>
      </c>
      <c r="BK19" s="33" t="n">
        <f aca="false">'Clients &amp; revenue'!BK42/FX_EUR</f>
        <v>59244357.769947</v>
      </c>
      <c r="BL19" s="33" t="n">
        <f aca="false">'Clients &amp; revenue'!BL42/FX_EUR</f>
        <v>61287622.579745</v>
      </c>
    </row>
    <row r="20" customFormat="false" ht="15" hidden="false" customHeight="true" outlineLevel="0" collapsed="false">
      <c r="A20" s="13" t="s">
        <v>1242</v>
      </c>
      <c r="B20" s="15" t="s">
        <v>79</v>
      </c>
      <c r="D20" s="56" t="n">
        <f aca="false">'Clients &amp; revenue'!D46/FX_EUR</f>
        <v>934524583.855256</v>
      </c>
      <c r="E20" s="33" t="n">
        <f aca="false">'Clients &amp; revenue'!E46/FX_EUR</f>
        <v>0</v>
      </c>
      <c r="F20" s="33" t="n">
        <f aca="false">'Clients &amp; revenue'!F46/FX_EUR</f>
        <v>0</v>
      </c>
      <c r="G20" s="33" t="n">
        <f aca="false">'Clients &amp; revenue'!G46/FX_EUR</f>
        <v>0</v>
      </c>
      <c r="H20" s="33" t="n">
        <f aca="false">'Clients &amp; revenue'!H46/FX_EUR</f>
        <v>0</v>
      </c>
      <c r="I20" s="33" t="n">
        <f aca="false">'Clients &amp; revenue'!I46/FX_EUR</f>
        <v>225857.28434435</v>
      </c>
      <c r="J20" s="33" t="n">
        <f aca="false">'Clients &amp; revenue'!J46/FX_EUR</f>
        <v>451397.802498233</v>
      </c>
      <c r="K20" s="33" t="n">
        <f aca="false">'Clients &amp; revenue'!K46/FX_EUR</f>
        <v>676760.885641132</v>
      </c>
      <c r="L20" s="33" t="n">
        <f aca="false">'Clients &amp; revenue'!L46/FX_EUR</f>
        <v>902092.134581627</v>
      </c>
      <c r="M20" s="33" t="n">
        <f aca="false">'Clients &amp; revenue'!M46/FX_EUR</f>
        <v>1127543.82736872</v>
      </c>
      <c r="N20" s="33" t="n">
        <f aca="false">'Clients &amp; revenue'!N46/FX_EUR</f>
        <v>1353275.35083768</v>
      </c>
      <c r="O20" s="33" t="n">
        <f aca="false">'Clients &amp; revenue'!O46/FX_EUR</f>
        <v>1579453.65753572</v>
      </c>
      <c r="P20" s="33" t="n">
        <f aca="false">'Clients &amp; revenue'!P46/FX_EUR</f>
        <v>1806253.74955951</v>
      </c>
      <c r="Q20" s="33" t="n">
        <f aca="false">'Clients &amp; revenue'!Q46/FX_EUR</f>
        <v>2113609.33715208</v>
      </c>
      <c r="R20" s="33" t="n">
        <f aca="false">'Clients &amp; revenue'!R46/FX_EUR</f>
        <v>2421077.23673716</v>
      </c>
      <c r="S20" s="33" t="n">
        <f aca="false">'Clients &amp; revenue'!S46/FX_EUR</f>
        <v>2728871.15704739</v>
      </c>
      <c r="T20" s="33" t="n">
        <f aca="false">'Clients &amp; revenue'!T46/FX_EUR</f>
        <v>3037214.92814936</v>
      </c>
      <c r="U20" s="33" t="n">
        <f aca="false">'Clients &amp; revenue'!U46/FX_EUR</f>
        <v>3346343.14894676</v>
      </c>
      <c r="V20" s="33" t="n">
        <f aca="false">'Clients &amp; revenue'!V46/FX_EUR</f>
        <v>3656501.87287042</v>
      </c>
      <c r="W20" s="33" t="n">
        <f aca="false">'Clients &amp; revenue'!W46/FX_EUR</f>
        <v>4140842.78083387</v>
      </c>
      <c r="X20" s="33" t="n">
        <f aca="false">'Clients &amp; revenue'!X46/FX_EUR</f>
        <v>4626467.15896898</v>
      </c>
      <c r="Y20" s="33" t="n">
        <f aca="false">'Clients &amp; revenue'!Y46/FX_EUR</f>
        <v>5150291.73725761</v>
      </c>
      <c r="Z20" s="33" t="n">
        <f aca="false">'Clients &amp; revenue'!Z46/FX_EUR</f>
        <v>5675793.33202844</v>
      </c>
      <c r="AA20" s="33" t="n">
        <f aca="false">'Clients &amp; revenue'!AA46/FX_EUR</f>
        <v>6203406.95656609</v>
      </c>
      <c r="AB20" s="33" t="n">
        <f aca="false">'Clients &amp; revenue'!AB46/FX_EUR</f>
        <v>6733589.38203078</v>
      </c>
      <c r="AC20" s="33" t="n">
        <f aca="false">'Clients &amp; revenue'!AC46/FX_EUR</f>
        <v>7426929.57951754</v>
      </c>
      <c r="AD20" s="33" t="n">
        <f aca="false">'Clients &amp; revenue'!AD46/FX_EUR</f>
        <v>8122044.78152884</v>
      </c>
      <c r="AE20" s="33" t="n">
        <f aca="false">'Clients &amp; revenue'!AE46/FX_EUR</f>
        <v>8856015.17454356</v>
      </c>
      <c r="AF20" s="33" t="n">
        <f aca="false">'Clients &amp; revenue'!AF46/FX_EUR</f>
        <v>9592489.11856606</v>
      </c>
      <c r="AG20" s="33" t="n">
        <f aca="false">'Clients &amp; revenue'!AG46/FX_EUR</f>
        <v>10332081.7682203</v>
      </c>
      <c r="AH20" s="33" t="n">
        <f aca="false">'Clients &amp; revenue'!AH46/FX_EUR</f>
        <v>11075439.1743715</v>
      </c>
      <c r="AI20" s="33" t="n">
        <f aca="false">'Clients &amp; revenue'!AI46/FX_EUR</f>
        <v>11859767.011265</v>
      </c>
      <c r="AJ20" s="33" t="n">
        <f aca="false">'Clients &amp; revenue'!AJ46/FX_EUR</f>
        <v>12648846.6138098</v>
      </c>
      <c r="AK20" s="33" t="n">
        <f aca="false">'Clients &amp; revenue'!AK46/FX_EUR</f>
        <v>13443434.0480456</v>
      </c>
      <c r="AL20" s="33" t="n">
        <f aca="false">'Clients &amp; revenue'!AL46/FX_EUR</f>
        <v>14244324.6891032</v>
      </c>
      <c r="AM20" s="33" t="n">
        <f aca="false">'Clients &amp; revenue'!AM46/FX_EUR</f>
        <v>15088882.4532659</v>
      </c>
      <c r="AN20" s="33" t="n">
        <f aca="false">'Clients &amp; revenue'!AN46/FX_EUR</f>
        <v>15941056.3704743</v>
      </c>
      <c r="AO20" s="33" t="n">
        <f aca="false">'Clients &amp; revenue'!AO46/FX_EUR</f>
        <v>16914404.4744321</v>
      </c>
      <c r="AP20" s="33" t="n">
        <f aca="false">'Clients &amp; revenue'!AP46/FX_EUR</f>
        <v>17932562.2035003</v>
      </c>
      <c r="AQ20" s="33" t="n">
        <f aca="false">'Clients &amp; revenue'!AQ46/FX_EUR</f>
        <v>18959649.8783416</v>
      </c>
      <c r="AR20" s="33" t="n">
        <f aca="false">'Clients &amp; revenue'!AR46/FX_EUR</f>
        <v>19996781.5235534</v>
      </c>
      <c r="AS20" s="33" t="n">
        <f aca="false">'Clients &amp; revenue'!AS46/FX_EUR</f>
        <v>21081657.3882169</v>
      </c>
      <c r="AT20" s="33" t="n">
        <f aca="false">'Clients &amp; revenue'!AT46/FX_EUR</f>
        <v>22178581.6002299</v>
      </c>
      <c r="AU20" s="33" t="n">
        <f aca="false">'Clients &amp; revenue'!AU46/FX_EUR</f>
        <v>23288862.9505108</v>
      </c>
      <c r="AV20" s="33" t="n">
        <f aca="false">'Clients &amp; revenue'!AV46/FX_EUR</f>
        <v>24483282.1778012</v>
      </c>
      <c r="AW20" s="33" t="n">
        <f aca="false">'Clients &amp; revenue'!AW46/FX_EUR</f>
        <v>25682686.5447489</v>
      </c>
      <c r="AX20" s="33" t="n">
        <f aca="false">'Clients &amp; revenue'!AX46/FX_EUR</f>
        <v>26913158.0745096</v>
      </c>
      <c r="AY20" s="33" t="n">
        <f aca="false">'Clients &amp; revenue'!AY46/FX_EUR</f>
        <v>28138290.7021567</v>
      </c>
      <c r="AZ20" s="33" t="n">
        <f aca="false">'Clients &amp; revenue'!AZ46/FX_EUR</f>
        <v>29358636.7285605</v>
      </c>
      <c r="BA20" s="33" t="n">
        <f aca="false">'Clients &amp; revenue'!BA46/FX_EUR</f>
        <v>30724530.3068744</v>
      </c>
      <c r="BB20" s="33" t="n">
        <f aca="false">'Clients &amp; revenue'!BB46/FX_EUR</f>
        <v>32085146.2426028</v>
      </c>
      <c r="BC20" s="33" t="n">
        <f aca="false">'Clients &amp; revenue'!BC46/FX_EUR</f>
        <v>33477655.6003274</v>
      </c>
      <c r="BD20" s="33" t="n">
        <f aca="false">'Clients &amp; revenue'!BD46/FX_EUR</f>
        <v>34865796.6473843</v>
      </c>
      <c r="BE20" s="33" t="n">
        <f aca="false">'Clients &amp; revenue'!BE46/FX_EUR</f>
        <v>36283147.6148081</v>
      </c>
      <c r="BF20" s="33" t="n">
        <f aca="false">'Clients &amp; revenue'!BF46/FX_EUR</f>
        <v>37733730.1994265</v>
      </c>
      <c r="BG20" s="33" t="n">
        <f aca="false">'Clients &amp; revenue'!BG46/FX_EUR</f>
        <v>39181382.7226351</v>
      </c>
      <c r="BH20" s="33" t="n">
        <f aca="false">'Clients &amp; revenue'!BH46/FX_EUR</f>
        <v>40663441.9409302</v>
      </c>
      <c r="BI20" s="33" t="n">
        <f aca="false">'Clients &amp; revenue'!BI46/FX_EUR</f>
        <v>42176695.6176133</v>
      </c>
      <c r="BJ20" s="33" t="n">
        <f aca="false">'Clients &amp; revenue'!BJ46/FX_EUR</f>
        <v>43725321.1282868</v>
      </c>
      <c r="BK20" s="33" t="n">
        <f aca="false">'Clients &amp; revenue'!BK46/FX_EUR</f>
        <v>45265494.1294074</v>
      </c>
      <c r="BL20" s="33" t="n">
        <f aca="false">'Clients &amp; revenue'!BL46/FX_EUR</f>
        <v>46825732.9547305</v>
      </c>
    </row>
    <row r="21" customFormat="false" ht="15" hidden="false" customHeight="true" outlineLevel="0" collapsed="false">
      <c r="A21" s="13" t="s">
        <v>1245</v>
      </c>
      <c r="B21" s="15" t="s">
        <v>79</v>
      </c>
      <c r="D21" s="56" t="n">
        <f aca="false">'Clients &amp; revenue'!D48/FX_EUR</f>
        <v>85946207.5687466</v>
      </c>
      <c r="E21" s="33" t="n">
        <f aca="false">'Clients &amp; revenue'!E48/FX_EUR</f>
        <v>0</v>
      </c>
      <c r="F21" s="33" t="n">
        <f aca="false">'Clients &amp; revenue'!F48/FX_EUR</f>
        <v>0</v>
      </c>
      <c r="G21" s="33" t="n">
        <f aca="false">'Clients &amp; revenue'!G48/FX_EUR</f>
        <v>0</v>
      </c>
      <c r="H21" s="33" t="n">
        <f aca="false">'Clients &amp; revenue'!H48/FX_EUR</f>
        <v>0</v>
      </c>
      <c r="I21" s="33" t="n">
        <f aca="false">'Clients &amp; revenue'!I48/FX_EUR</f>
        <v>0</v>
      </c>
      <c r="J21" s="33" t="n">
        <f aca="false">'Clients &amp; revenue'!J48/FX_EUR</f>
        <v>0</v>
      </c>
      <c r="K21" s="33" t="n">
        <f aca="false">'Clients &amp; revenue'!K48/FX_EUR</f>
        <v>0</v>
      </c>
      <c r="L21" s="33" t="n">
        <f aca="false">'Clients &amp; revenue'!L48/FX_EUR</f>
        <v>0</v>
      </c>
      <c r="M21" s="33" t="n">
        <f aca="false">'Clients &amp; revenue'!M48/FX_EUR</f>
        <v>0</v>
      </c>
      <c r="N21" s="33" t="n">
        <f aca="false">'Clients &amp; revenue'!N48/FX_EUR</f>
        <v>0</v>
      </c>
      <c r="O21" s="33" t="n">
        <f aca="false">'Clients &amp; revenue'!O48/FX_EUR</f>
        <v>0</v>
      </c>
      <c r="P21" s="33" t="n">
        <f aca="false">'Clients &amp; revenue'!P48/FX_EUR</f>
        <v>0</v>
      </c>
      <c r="Q21" s="33" t="n">
        <f aca="false">'Clients &amp; revenue'!Q48/FX_EUR</f>
        <v>16853.1955203334</v>
      </c>
      <c r="R21" s="33" t="n">
        <f aca="false">'Clients &amp; revenue'!R48/FX_EUR</f>
        <v>38591.5372019723</v>
      </c>
      <c r="S21" s="33" t="n">
        <f aca="false">'Clients &amp; revenue'!S48/FX_EUR</f>
        <v>65214.0471736058</v>
      </c>
      <c r="T21" s="33" t="n">
        <f aca="false">'Clients &amp; revenue'!T48/FX_EUR</f>
        <v>96727.1109266508</v>
      </c>
      <c r="U21" s="33" t="n">
        <f aca="false">'Clients &amp; revenue'!U48/FX_EUR</f>
        <v>133144.892550428</v>
      </c>
      <c r="V21" s="33" t="n">
        <f aca="false">'Clients &amp; revenue'!V48/FX_EUR</f>
        <v>174489.782582062</v>
      </c>
      <c r="W21" s="33" t="n">
        <f aca="false">'Clients &amp; revenue'!W48/FX_EUR</f>
        <v>230491.077378178</v>
      </c>
      <c r="X21" s="33" t="n">
        <f aca="false">'Clients &amp; revenue'!X48/FX_EUR</f>
        <v>294229.226690659</v>
      </c>
      <c r="Y21" s="33" t="n">
        <f aca="false">'Clients &amp; revenue'!Y48/FX_EUR</f>
        <v>368384.332572794</v>
      </c>
      <c r="Z21" s="33" t="n">
        <f aca="false">'Clients &amp; revenue'!Z48/FX_EUR</f>
        <v>450931.083724198</v>
      </c>
      <c r="AA21" s="33" t="n">
        <f aca="false">'Clients &amp; revenue'!AA48/FX_EUR</f>
        <v>541934.279246463</v>
      </c>
      <c r="AB21" s="33" t="n">
        <f aca="false">'Clients &amp; revenue'!AB48/FX_EUR</f>
        <v>641474.94714419</v>
      </c>
      <c r="AC21" s="33" t="n">
        <f aca="false">'Clients &amp; revenue'!AC48/FX_EUR</f>
        <v>707381.972206564</v>
      </c>
      <c r="AD21" s="33" t="n">
        <f aca="false">'Clients &amp; revenue'!AD48/FX_EUR</f>
        <v>773383.410990753</v>
      </c>
      <c r="AE21" s="33" t="n">
        <f aca="false">'Clients &amp; revenue'!AE48/FX_EUR</f>
        <v>843045.990030292</v>
      </c>
      <c r="AF21" s="33" t="n">
        <f aca="false">'Clients &amp; revenue'!AF48/FX_EUR</f>
        <v>912870.407667755</v>
      </c>
      <c r="AG21" s="33" t="n">
        <f aca="false">'Clients &amp; revenue'!AG48/FX_EUR</f>
        <v>982916.853667025</v>
      </c>
      <c r="AH21" s="33" t="n">
        <f aca="false">'Clients &amp; revenue'!AH48/FX_EUR</f>
        <v>1053248.3908679</v>
      </c>
      <c r="AI21" s="33" t="n">
        <f aca="false">'Clients &amp; revenue'!AI48/FX_EUR</f>
        <v>1127443.56506957</v>
      </c>
      <c r="AJ21" s="33" t="n">
        <f aca="false">'Clients &amp; revenue'!AJ48/FX_EUR</f>
        <v>1202015.60196311</v>
      </c>
      <c r="AK21" s="33" t="n">
        <f aca="false">'Clients &amp; revenue'!AK48/FX_EUR</f>
        <v>1277037.96919291</v>
      </c>
      <c r="AL21" s="33" t="n">
        <f aca="false">'Clients &amp; revenue'!AL48/FX_EUR</f>
        <v>1352587.80300855</v>
      </c>
      <c r="AM21" s="33" t="n">
        <f aca="false">'Clients &amp; revenue'!AM48/FX_EUR</f>
        <v>1432258.56584669</v>
      </c>
      <c r="AN21" s="33" t="n">
        <f aca="false">'Clients &amp; revenue'!AN48/FX_EUR</f>
        <v>1512579.29382506</v>
      </c>
      <c r="AO21" s="33" t="n">
        <f aca="false">'Clients &amp; revenue'!AO48/FX_EUR</f>
        <v>1604470.1905847</v>
      </c>
      <c r="AP21" s="33" t="n">
        <f aca="false">'Clients &amp; revenue'!AP48/FX_EUR</f>
        <v>1700573.79089272</v>
      </c>
      <c r="AQ21" s="33" t="n">
        <f aca="false">'Clients &amp; revenue'!AQ48/FX_EUR</f>
        <v>1797435.76640888</v>
      </c>
      <c r="AR21" s="33" t="n">
        <f aca="false">'Clients &amp; revenue'!AR48/FX_EUR</f>
        <v>1895163.81392282</v>
      </c>
      <c r="AS21" s="33" t="n">
        <f aca="false">'Clients &amp; revenue'!AS48/FX_EUR</f>
        <v>1997383.61698889</v>
      </c>
      <c r="AT21" s="33" t="n">
        <f aca="false">'Clients &amp; revenue'!AT48/FX_EUR</f>
        <v>2100658.19585823</v>
      </c>
      <c r="AU21" s="33" t="n">
        <f aca="false">'Clients &amp; revenue'!AU48/FX_EUR</f>
        <v>2205113.6316716</v>
      </c>
      <c r="AV21" s="33" t="n">
        <f aca="false">'Clients &amp; revenue'!AV48/FX_EUR</f>
        <v>2317556.27310185</v>
      </c>
      <c r="AW21" s="33" t="n">
        <f aca="false">'Clients &amp; revenue'!AW48/FX_EUR</f>
        <v>2430365.69067138</v>
      </c>
      <c r="AX21" s="33" t="n">
        <f aca="false">'Clients &amp; revenue'!AX48/FX_EUR</f>
        <v>2546051.22788528</v>
      </c>
      <c r="AY21" s="33" t="n">
        <f aca="false">'Clients &amp; revenue'!AY48/FX_EUR</f>
        <v>2661109.96835094</v>
      </c>
      <c r="AZ21" s="33" t="n">
        <f aca="false">'Clients &amp; revenue'!AZ48/FX_EUR</f>
        <v>2775597.65539626</v>
      </c>
      <c r="BA21" s="33" t="n">
        <f aca="false">'Clients &amp; revenue'!BA48/FX_EUR</f>
        <v>2903972.97764553</v>
      </c>
      <c r="BB21" s="33" t="n">
        <f aca="false">'Clients &amp; revenue'!BB48/FX_EUR</f>
        <v>3031715.61728443</v>
      </c>
      <c r="BC21" s="33" t="n">
        <f aca="false">'Clients &amp; revenue'!BC48/FX_EUR</f>
        <v>3162402.78164437</v>
      </c>
      <c r="BD21" s="33" t="n">
        <f aca="false">'Clients &amp; revenue'!BD48/FX_EUR</f>
        <v>3292545.514382</v>
      </c>
      <c r="BE21" s="33" t="n">
        <f aca="false">'Clients &amp; revenue'!BE48/FX_EUR</f>
        <v>3425375.40203306</v>
      </c>
      <c r="BF21" s="33" t="n">
        <f aca="false">'Clients &amp; revenue'!BF48/FX_EUR</f>
        <v>3561277.48657274</v>
      </c>
      <c r="BG21" s="33" t="n">
        <f aca="false">'Clients &amp; revenue'!BG48/FX_EUR</f>
        <v>3696772.27533614</v>
      </c>
      <c r="BH21" s="33" t="n">
        <f aca="false">'Clients &amp; revenue'!BH48/FX_EUR</f>
        <v>3835452.60796091</v>
      </c>
      <c r="BI21" s="33" t="n">
        <f aca="false">'Clients &amp; revenue'!BI48/FX_EUR</f>
        <v>3977007.2596601</v>
      </c>
      <c r="BJ21" s="33" t="n">
        <f aca="false">'Clients &amp; revenue'!BJ48/FX_EUR</f>
        <v>4121836.04693598</v>
      </c>
      <c r="BK21" s="33" t="n">
        <f aca="false">'Clients &amp; revenue'!BK48/FX_EUR</f>
        <v>4265722.42093365</v>
      </c>
      <c r="BL21" s="33" t="n">
        <f aca="false">'Clients &amp; revenue'!BL48/FX_EUR</f>
        <v>4411412.01957639</v>
      </c>
    </row>
    <row r="22" customFormat="false" ht="15" hidden="false" customHeight="true" outlineLevel="0" collapsed="false">
      <c r="A22" s="13" t="s">
        <v>1247</v>
      </c>
      <c r="B22" s="15" t="s">
        <v>79</v>
      </c>
      <c r="D22" s="56" t="n">
        <f aca="false">'Clients &amp; revenue'!D50/FX_EUR</f>
        <v>173645995.214224</v>
      </c>
      <c r="E22" s="33" t="n">
        <f aca="false">'Clients &amp; revenue'!E50/FX_EUR</f>
        <v>0</v>
      </c>
      <c r="F22" s="33" t="n">
        <f aca="false">'Clients &amp; revenue'!F50/FX_EUR</f>
        <v>0</v>
      </c>
      <c r="G22" s="33" t="n">
        <f aca="false">'Clients &amp; revenue'!G50/FX_EUR</f>
        <v>0</v>
      </c>
      <c r="H22" s="33" t="n">
        <f aca="false">'Clients &amp; revenue'!H50/FX_EUR</f>
        <v>0</v>
      </c>
      <c r="I22" s="33" t="n">
        <f aca="false">'Clients &amp; revenue'!I50/FX_EUR</f>
        <v>0</v>
      </c>
      <c r="J22" s="33" t="n">
        <f aca="false">'Clients &amp; revenue'!J50/FX_EUR</f>
        <v>0</v>
      </c>
      <c r="K22" s="33" t="n">
        <f aca="false">'Clients &amp; revenue'!K50/FX_EUR</f>
        <v>0</v>
      </c>
      <c r="L22" s="33" t="n">
        <f aca="false">'Clients &amp; revenue'!L50/FX_EUR</f>
        <v>0</v>
      </c>
      <c r="M22" s="33" t="n">
        <f aca="false">'Clients &amp; revenue'!M50/FX_EUR</f>
        <v>0</v>
      </c>
      <c r="N22" s="33" t="n">
        <f aca="false">'Clients &amp; revenue'!N50/FX_EUR</f>
        <v>0</v>
      </c>
      <c r="O22" s="33" t="n">
        <f aca="false">'Clients &amp; revenue'!O50/FX_EUR</f>
        <v>0</v>
      </c>
      <c r="P22" s="33" t="n">
        <f aca="false">'Clients &amp; revenue'!P50/FX_EUR</f>
        <v>0</v>
      </c>
      <c r="Q22" s="33" t="n">
        <f aca="false">'Clients &amp; revenue'!Q50/FX_EUR</f>
        <v>0</v>
      </c>
      <c r="R22" s="33" t="n">
        <f aca="false">'Clients &amp; revenue'!R50/FX_EUR</f>
        <v>0</v>
      </c>
      <c r="S22" s="33" t="n">
        <f aca="false">'Clients &amp; revenue'!S50/FX_EUR</f>
        <v>0</v>
      </c>
      <c r="T22" s="33" t="n">
        <f aca="false">'Clients &amp; revenue'!T50/FX_EUR</f>
        <v>0</v>
      </c>
      <c r="U22" s="33" t="n">
        <f aca="false">'Clients &amp; revenue'!U50/FX_EUR</f>
        <v>0</v>
      </c>
      <c r="V22" s="33" t="n">
        <f aca="false">'Clients &amp; revenue'!V50/FX_EUR</f>
        <v>60260.2721269965</v>
      </c>
      <c r="W22" s="33" t="n">
        <f aca="false">'Clients &amp; revenue'!W50/FX_EUR</f>
        <v>136468.010712478</v>
      </c>
      <c r="X22" s="33" t="n">
        <f aca="false">'Clients &amp; revenue'!X50/FX_EUR</f>
        <v>228669.560679103</v>
      </c>
      <c r="Y22" s="33" t="n">
        <f aca="false">'Clients &amp; revenue'!Y50/FX_EUR</f>
        <v>339356.221418985</v>
      </c>
      <c r="Z22" s="33" t="n">
        <f aca="false">'Clients &amp; revenue'!Z50/FX_EUR</f>
        <v>467382.654261051</v>
      </c>
      <c r="AA22" s="33" t="n">
        <f aca="false">'Clients &amp; revenue'!AA50/FX_EUR</f>
        <v>612857.301402323</v>
      </c>
      <c r="AB22" s="33" t="n">
        <f aca="false">'Clients &amp; revenue'!AB50/FX_EUR</f>
        <v>775920.158862501</v>
      </c>
      <c r="AC22" s="33" t="n">
        <f aca="false">'Clients &amp; revenue'!AC50/FX_EUR</f>
        <v>977950.04245258</v>
      </c>
      <c r="AD22" s="33" t="n">
        <f aca="false">'Clients &amp; revenue'!AD50/FX_EUR</f>
        <v>1202967.88557141</v>
      </c>
      <c r="AE22" s="33" t="n">
        <f aca="false">'Clients &amp; revenue'!AE50/FX_EUR</f>
        <v>1457177.37517391</v>
      </c>
      <c r="AF22" s="33" t="n">
        <f aca="false">'Clients &amp; revenue'!AF50/FX_EUR</f>
        <v>1735860.02379206</v>
      </c>
      <c r="AG22" s="33" t="n">
        <f aca="false">'Clients &amp; revenue'!AG50/FX_EUR</f>
        <v>2039238.3569281</v>
      </c>
      <c r="AH22" s="33" t="n">
        <f aca="false">'Clients &amp; revenue'!AH50/FX_EUR</f>
        <v>2185460.78686572</v>
      </c>
      <c r="AI22" s="33" t="n">
        <f aca="false">'Clients &amp; revenue'!AI50/FX_EUR</f>
        <v>2339725.05573438</v>
      </c>
      <c r="AJ22" s="33" t="n">
        <f aca="false">'Clients &amp; revenue'!AJ50/FX_EUR</f>
        <v>2494830.67409202</v>
      </c>
      <c r="AK22" s="33" t="n">
        <f aca="false">'Clients &amp; revenue'!AK50/FX_EUR</f>
        <v>2650928.58945951</v>
      </c>
      <c r="AL22" s="33" t="n">
        <f aca="false">'Clients &amp; revenue'!AL50/FX_EUR</f>
        <v>2808177.42519523</v>
      </c>
      <c r="AM22" s="33" t="n">
        <f aca="false">'Clients &amp; revenue'!AM50/FX_EUR</f>
        <v>2974000.53567818</v>
      </c>
      <c r="AN22" s="33" t="n">
        <f aca="false">'Clients &amp; revenue'!AN50/FX_EUR</f>
        <v>3141230.35857118</v>
      </c>
      <c r="AO22" s="33" t="n">
        <f aca="false">'Clients &amp; revenue'!AO50/FX_EUR</f>
        <v>3332427.17222857</v>
      </c>
      <c r="AP22" s="33" t="n">
        <f aca="false">'Clients &amp; revenue'!AP50/FX_EUR</f>
        <v>3532402.20468286</v>
      </c>
      <c r="AQ22" s="33" t="n">
        <f aca="false">'Clients &amp; revenue'!AQ50/FX_EUR</f>
        <v>3734022.07872137</v>
      </c>
      <c r="AR22" s="33" t="n">
        <f aca="false">'Clients &amp; revenue'!AR50/FX_EUR</f>
        <v>3937508.57220259</v>
      </c>
      <c r="AS22" s="33" t="n">
        <f aca="false">'Clients &amp; revenue'!AS50/FX_EUR</f>
        <v>4150351.65794017</v>
      </c>
      <c r="AT22" s="33" t="n">
        <f aca="false">'Clients &amp; revenue'!AT50/FX_EUR</f>
        <v>4365454.06878898</v>
      </c>
      <c r="AU22" s="33" t="n">
        <f aca="false">'Clients &amp; revenue'!AU50/FX_EUR</f>
        <v>4583075.84646477</v>
      </c>
      <c r="AV22" s="33" t="n">
        <f aca="false">'Clients &amp; revenue'!AV50/FX_EUR</f>
        <v>4817278.42666974</v>
      </c>
      <c r="AW22" s="33" t="n">
        <f aca="false">'Clients &amp; revenue'!AW50/FX_EUR</f>
        <v>5052325.46572126</v>
      </c>
      <c r="AX22" s="33" t="n">
        <f aca="false">'Clients &amp; revenue'!AX50/FX_EUR</f>
        <v>5293399.86471706</v>
      </c>
      <c r="AY22" s="33" t="n">
        <f aca="false">'Clients &amp; revenue'!AY50/FX_EUR</f>
        <v>5533266.16698882</v>
      </c>
      <c r="AZ22" s="33" t="n">
        <f aca="false">'Clients &amp; revenue'!AZ50/FX_EUR</f>
        <v>5772037.09749941</v>
      </c>
      <c r="BA22" s="33" t="n">
        <f aca="false">'Clients &amp; revenue'!BA50/FX_EUR</f>
        <v>6039581.57424949</v>
      </c>
      <c r="BB22" s="33" t="n">
        <f aca="false">'Clients &amp; revenue'!BB50/FX_EUR</f>
        <v>6305914.75276988</v>
      </c>
      <c r="BC22" s="33" t="n">
        <f aca="false">'Clients &amp; revenue'!BC50/FX_EUR</f>
        <v>6578424.41795269</v>
      </c>
      <c r="BD22" s="33" t="n">
        <f aca="false">'Clients &amp; revenue'!BD50/FX_EUR</f>
        <v>6849903.86911243</v>
      </c>
      <c r="BE22" s="33" t="n">
        <f aca="false">'Clients &amp; revenue'!BE50/FX_EUR</f>
        <v>7127026.96700029</v>
      </c>
      <c r="BF22" s="33" t="n">
        <f aca="false">'Clients &amp; revenue'!BF50/FX_EUR</f>
        <v>7410590.31755068</v>
      </c>
      <c r="BG22" s="33" t="n">
        <f aca="false">'Clients &amp; revenue'!BG50/FX_EUR</f>
        <v>7693406.90842162</v>
      </c>
      <c r="BH22" s="33" t="n">
        <f aca="false">'Clients &amp; revenue'!BH50/FX_EUR</f>
        <v>7982897.08372124</v>
      </c>
      <c r="BI22" s="33" t="n">
        <f aca="false">'Clients &amp; revenue'!BI50/FX_EUR</f>
        <v>8278419.52342481</v>
      </c>
      <c r="BJ22" s="33" t="n">
        <f aca="false">'Clients &amp; revenue'!BJ50/FX_EUR</f>
        <v>8580801.52015231</v>
      </c>
      <c r="BK22" s="33" t="n">
        <f aca="false">'Clients &amp; revenue'!BK50/FX_EUR</f>
        <v>8881333.50004355</v>
      </c>
      <c r="BL22" s="33" t="n">
        <f aca="false">'Clients &amp; revenue'!BL50/FX_EUR</f>
        <v>9185684.86822168</v>
      </c>
    </row>
    <row r="24" customFormat="false" ht="15" hidden="false" customHeight="true" outlineLevel="0" collapsed="false">
      <c r="A24" s="11" t="s">
        <v>1248</v>
      </c>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row>
    <row r="25" customFormat="false" ht="15" hidden="false" customHeight="true" outlineLevel="0" collapsed="false">
      <c r="A25" s="13" t="s">
        <v>1250</v>
      </c>
      <c r="B25" s="15" t="s">
        <v>79</v>
      </c>
      <c r="D25" s="56" t="n">
        <f aca="false">'Clients &amp; revenue'!D54/FX_EUR</f>
        <v>1468798.83820389</v>
      </c>
      <c r="E25" s="33" t="n">
        <f aca="false">'Clients &amp; revenue'!E54/FX_EUR</f>
        <v>0</v>
      </c>
      <c r="F25" s="33" t="n">
        <f aca="false">'Clients &amp; revenue'!F54/FX_EUR</f>
        <v>0</v>
      </c>
      <c r="G25" s="33" t="n">
        <f aca="false">'Clients &amp; revenue'!G54/FX_EUR</f>
        <v>0</v>
      </c>
      <c r="H25" s="33" t="n">
        <f aca="false">'Clients &amp; revenue'!H54/FX_EUR</f>
        <v>0</v>
      </c>
      <c r="I25" s="33" t="n">
        <f aca="false">'Clients &amp; revenue'!I54/FX_EUR</f>
        <v>0</v>
      </c>
      <c r="J25" s="33" t="n">
        <f aca="false">'Clients &amp; revenue'!J54/FX_EUR</f>
        <v>417.035860582325</v>
      </c>
      <c r="K25" s="33" t="n">
        <f aca="false">'Clients &amp; revenue'!K54/FX_EUR</f>
        <v>829.777713112292</v>
      </c>
      <c r="L25" s="33" t="n">
        <f aca="false">'Clients &amp; revenue'!L54/FX_EUR</f>
        <v>1238.55424030051</v>
      </c>
      <c r="M25" s="33" t="n">
        <f aca="false">'Clients &amp; revenue'!M54/FX_EUR</f>
        <v>1643.70211935634</v>
      </c>
      <c r="N25" s="33" t="n">
        <f aca="false">'Clients &amp; revenue'!N54/FX_EUR</f>
        <v>2045.56673618711</v>
      </c>
      <c r="O25" s="33" t="n">
        <f aca="false">'Clients &amp; revenue'!O54/FX_EUR</f>
        <v>2444.50293775869</v>
      </c>
      <c r="P25" s="33" t="n">
        <f aca="false">'Clients &amp; revenue'!P54/FX_EUR</f>
        <v>2840.87582500091</v>
      </c>
      <c r="Q25" s="33" t="n">
        <f aca="false">'Clients &amp; revenue'!Q54/FX_EUR</f>
        <v>3235.06158878247</v>
      </c>
      <c r="R25" s="33" t="n">
        <f aca="false">'Clients &amp; revenue'!R54/FX_EUR</f>
        <v>3774.70364159269</v>
      </c>
      <c r="S25" s="33" t="n">
        <f aca="false">'Clients &amp; revenue'!S54/FX_EUR</f>
        <v>4310.00269294841</v>
      </c>
      <c r="T25" s="33" t="n">
        <f aca="false">'Clients &amp; revenue'!T54/FX_EUR</f>
        <v>4841.43259325485</v>
      </c>
      <c r="U25" s="33" t="n">
        <f aca="false">'Clients &amp; revenue'!U54/FX_EUR</f>
        <v>5369.48093533165</v>
      </c>
      <c r="V25" s="33" t="n">
        <f aca="false">'Clients &amp; revenue'!V54/FX_EUR</f>
        <v>5894.65017273</v>
      </c>
      <c r="W25" s="33" t="n">
        <f aca="false">'Clients &amp; revenue'!W54/FX_EUR</f>
        <v>6417.45879927324</v>
      </c>
      <c r="X25" s="33" t="n">
        <f aca="false">'Clients &amp; revenue'!X54/FX_EUR</f>
        <v>7257.68298284489</v>
      </c>
      <c r="Y25" s="33" t="n">
        <f aca="false">'Clients &amp; revenue'!Y54/FX_EUR</f>
        <v>8093.2869353606</v>
      </c>
      <c r="Z25" s="33" t="n">
        <f aca="false">'Clients &amp; revenue'!Z54/FX_EUR</f>
        <v>8992.53926925324</v>
      </c>
      <c r="AA25" s="33" t="n">
        <f aca="false">'Clients &amp; revenue'!AA54/FX_EUR</f>
        <v>9887.49678270679</v>
      </c>
      <c r="AB25" s="33" t="n">
        <f aca="false">'Clients &amp; revenue'!AB54/FX_EUR</f>
        <v>10779.0667857044</v>
      </c>
      <c r="AC25" s="33" t="n">
        <f aca="false">'Clients &amp; revenue'!AC54/FX_EUR</f>
        <v>11668.1877268439</v>
      </c>
      <c r="AD25" s="33" t="n">
        <f aca="false">'Clients &amp; revenue'!AD54/FX_EUR</f>
        <v>12851.4661134582</v>
      </c>
      <c r="AE25" s="33" t="n">
        <f aca="false">'Clients &amp; revenue'!AE54/FX_EUR</f>
        <v>14028.3625275439</v>
      </c>
      <c r="AF25" s="33" t="n">
        <f aca="false">'Clients &amp; revenue'!AF54/FX_EUR</f>
        <v>15267.4867769186</v>
      </c>
      <c r="AG25" s="33" t="n">
        <f aca="false">'Clients &amp; revenue'!AG54/FX_EUR</f>
        <v>16501.2483888765</v>
      </c>
      <c r="AH25" s="33" t="n">
        <f aca="false">'Clients &amp; revenue'!AH54/FX_EUR</f>
        <v>17730.9198070204</v>
      </c>
      <c r="AI25" s="33" t="n">
        <f aca="false">'Clients &amp; revenue'!AI54/FX_EUR</f>
        <v>18957.8179375319</v>
      </c>
      <c r="AJ25" s="33" t="n">
        <f aca="false">'Clients &amp; revenue'!AJ54/FX_EUR</f>
        <v>20250.7526072624</v>
      </c>
      <c r="AK25" s="33" t="n">
        <f aca="false">'Clients &amp; revenue'!AK54/FX_EUR</f>
        <v>21542.3456937231</v>
      </c>
      <c r="AL25" s="33" t="n">
        <f aca="false">'Clients &amp; revenue'!AL54/FX_EUR</f>
        <v>22834.0950551869</v>
      </c>
      <c r="AM25" s="33" t="n">
        <f aca="false">'Clients &amp; revenue'!AM54/FX_EUR</f>
        <v>24127.5568543578</v>
      </c>
      <c r="AN25" s="33" t="n">
        <f aca="false">'Clients &amp; revenue'!AN54/FX_EUR</f>
        <v>25491.7948406325</v>
      </c>
      <c r="AO25" s="33" t="n">
        <f aca="false">'Clients &amp; revenue'!AO54/FX_EUR</f>
        <v>26859.7003538401</v>
      </c>
      <c r="AP25" s="33" t="n">
        <f aca="false">'Clients &amp; revenue'!AP54/FX_EUR</f>
        <v>28441.0130679939</v>
      </c>
      <c r="AQ25" s="33" t="n">
        <f aca="false">'Clients &amp; revenue'!AQ54/FX_EUR</f>
        <v>30092.9226698087</v>
      </c>
      <c r="AR25" s="33" t="n">
        <f aca="false">'Clients &amp; revenue'!AR54/FX_EUR</f>
        <v>31748.6587482341</v>
      </c>
      <c r="AS25" s="33" t="n">
        <f aca="false">'Clients &amp; revenue'!AS54/FX_EUR</f>
        <v>33410.3566538564</v>
      </c>
      <c r="AT25" s="33" t="n">
        <f aca="false">'Clients &amp; revenue'!AT54/FX_EUR</f>
        <v>35147.6868957126</v>
      </c>
      <c r="AU25" s="33" t="n">
        <f aca="false">'Clients &amp; revenue'!AU54/FX_EUR</f>
        <v>36894.1769429247</v>
      </c>
      <c r="AV25" s="33" t="n">
        <f aca="false">'Clients &amp; revenue'!AV54/FX_EUR</f>
        <v>38652.2779839971</v>
      </c>
      <c r="AW25" s="33" t="n">
        <f aca="false">'Clients &amp; revenue'!AW54/FX_EUR</f>
        <v>40552.696036785</v>
      </c>
      <c r="AX25" s="33" t="n">
        <f aca="false">'Clients &amp; revenue'!AX54/FX_EUR</f>
        <v>42448.1286756738</v>
      </c>
      <c r="AY25" s="33" t="n">
        <f aca="false">'Clients &amp; revenue'!AY54/FX_EUR</f>
        <v>44386.9053367186</v>
      </c>
      <c r="AZ25" s="33" t="n">
        <f aca="false">'Clients &amp; revenue'!AZ54/FX_EUR</f>
        <v>46301.5424381582</v>
      </c>
      <c r="BA25" s="33" t="n">
        <f aca="false">'Clients &amp; revenue'!BA54/FX_EUR</f>
        <v>48193.4009296015</v>
      </c>
      <c r="BB25" s="33" t="n">
        <f aca="false">'Clients &amp; revenue'!BB54/FX_EUR</f>
        <v>50340.3923570552</v>
      </c>
      <c r="BC25" s="33" t="n">
        <f aca="false">'Clients &amp; revenue'!BC54/FX_EUR</f>
        <v>52461.8756347117</v>
      </c>
      <c r="BD25" s="33" t="n">
        <f aca="false">'Clients &amp; revenue'!BD54/FX_EUR</f>
        <v>54626.8519789467</v>
      </c>
      <c r="BE25" s="33" t="n">
        <f aca="false">'Clients &amp; revenue'!BE54/FX_EUR</f>
        <v>56768.1150305426</v>
      </c>
      <c r="BF25" s="33" t="n">
        <f aca="false">'Clients &amp; revenue'!BF54/FX_EUR</f>
        <v>58948.0148667962</v>
      </c>
      <c r="BG25" s="33" t="n">
        <f aca="false">'Clients &amp; revenue'!BG54/FX_EUR</f>
        <v>61173.7689517777</v>
      </c>
      <c r="BH25" s="33" t="n">
        <f aca="false">'Clients &amp; revenue'!BH54/FX_EUR</f>
        <v>63378.3354734258</v>
      </c>
      <c r="BI25" s="33" t="n">
        <f aca="false">'Clients &amp; revenue'!BI54/FX_EUR</f>
        <v>65630.9829867639</v>
      </c>
      <c r="BJ25" s="33" t="n">
        <f aca="false">'Clients &amp; revenue'!BJ54/FX_EUR</f>
        <v>67925.4889868607</v>
      </c>
      <c r="BK25" s="33" t="n">
        <f aca="false">'Clients &amp; revenue'!BK54/FX_EUR</f>
        <v>70269.3334672249</v>
      </c>
      <c r="BL25" s="33" t="n">
        <f aca="false">'Clients &amp; revenue'!BL54/FX_EUR</f>
        <v>72581.2987950387</v>
      </c>
    </row>
    <row r="26" customFormat="false" ht="15" hidden="false" customHeight="true" outlineLevel="0" collapsed="false">
      <c r="A26" s="13" t="s">
        <v>1251</v>
      </c>
      <c r="B26" s="15" t="s">
        <v>79</v>
      </c>
      <c r="D26" s="56" t="n">
        <f aca="false">'Clients &amp; revenue'!D55/FX_EUR</f>
        <v>1594872.70743509</v>
      </c>
      <c r="E26" s="33" t="n">
        <f aca="false">'Clients &amp; revenue'!E55/FX_EUR</f>
        <v>0</v>
      </c>
      <c r="F26" s="33" t="n">
        <f aca="false">'Clients &amp; revenue'!F55/FX_EUR</f>
        <v>0</v>
      </c>
      <c r="G26" s="33" t="n">
        <f aca="false">'Clients &amp; revenue'!G55/FX_EUR</f>
        <v>0</v>
      </c>
      <c r="H26" s="33" t="n">
        <f aca="false">'Clients &amp; revenue'!H55/FX_EUR</f>
        <v>0</v>
      </c>
      <c r="I26" s="33" t="n">
        <f aca="false">'Clients &amp; revenue'!I55/FX_EUR</f>
        <v>0</v>
      </c>
      <c r="J26" s="33" t="n">
        <f aca="false">'Clients &amp; revenue'!J55/FX_EUR</f>
        <v>413.860378805318</v>
      </c>
      <c r="K26" s="33" t="n">
        <f aca="false">'Clients &amp; revenue'!K55/FX_EUR</f>
        <v>826.563398734597</v>
      </c>
      <c r="L26" s="33" t="n">
        <f aca="false">'Clients &amp; revenue'!L55/FX_EUR</f>
        <v>1238.36448052533</v>
      </c>
      <c r="M26" s="33" t="n">
        <f aca="false">'Clients &amp; revenue'!M55/FX_EUR</f>
        <v>1649.53030938088</v>
      </c>
      <c r="N26" s="33" t="n">
        <f aca="false">'Clients &amp; revenue'!N55/FX_EUR</f>
        <v>2060.33956159817</v>
      </c>
      <c r="O26" s="33" t="n">
        <f aca="false">'Clients &amp; revenue'!O55/FX_EUR</f>
        <v>2471.08367415853</v>
      </c>
      <c r="P26" s="33" t="n">
        <f aca="false">'Clients &amp; revenue'!P55/FX_EUR</f>
        <v>2882.06765986741</v>
      </c>
      <c r="Q26" s="33" t="n">
        <f aca="false">'Clients &amp; revenue'!Q55/FX_EUR</f>
        <v>3293.61097078379</v>
      </c>
      <c r="R26" s="33" t="n">
        <f aca="false">'Clients &amp; revenue'!R55/FX_EUR</f>
        <v>3852.1824010478</v>
      </c>
      <c r="S26" s="33" t="n">
        <f aca="false">'Clients &amp; revenue'!S55/FX_EUR</f>
        <v>4410.17241631594</v>
      </c>
      <c r="T26" s="33" t="n">
        <f aca="false">'Clients &amp; revenue'!T55/FX_EUR</f>
        <v>4967.9723279486</v>
      </c>
      <c r="U26" s="33" t="n">
        <f aca="false">'Clients &amp; revenue'!U55/FX_EUR</f>
        <v>5525.99159853455</v>
      </c>
      <c r="V26" s="33" t="n">
        <f aca="false">'Clients &amp; revenue'!V55/FX_EUR</f>
        <v>6084.65899755779</v>
      </c>
      <c r="W26" s="33" t="n">
        <f aca="false">'Clients &amp; revenue'!W55/FX_EUR</f>
        <v>6644.42382557203</v>
      </c>
      <c r="X26" s="33" t="n">
        <f aca="false">'Clients &amp; revenue'!X55/FX_EUR</f>
        <v>7522.56677321577</v>
      </c>
      <c r="Y26" s="33" t="n">
        <f aca="false">'Clients &amp; revenue'!Y55/FX_EUR</f>
        <v>8401.82441074182</v>
      </c>
      <c r="Z26" s="33" t="n">
        <f aca="false">'Clients &amp; revenue'!Z55/FX_EUR</f>
        <v>9349.83989078075</v>
      </c>
      <c r="AA26" s="33" t="n">
        <f aca="false">'Clients &amp; revenue'!AA55/FX_EUR</f>
        <v>10299.5911605706</v>
      </c>
      <c r="AB26" s="33" t="n">
        <f aca="false">'Clients &amp; revenue'!AB55/FX_EUR</f>
        <v>11251.8716817346</v>
      </c>
      <c r="AC26" s="33" t="n">
        <f aca="false">'Clients &amp; revenue'!AC55/FX_EUR</f>
        <v>12207.5139071653</v>
      </c>
      <c r="AD26" s="33" t="n">
        <f aca="false">'Clients &amp; revenue'!AD55/FX_EUR</f>
        <v>13460.7752312407</v>
      </c>
      <c r="AE26" s="33" t="n">
        <f aca="false">'Clients &amp; revenue'!AE55/FX_EUR</f>
        <v>14715.5227795991</v>
      </c>
      <c r="AF26" s="33" t="n">
        <f aca="false">'Clients &amp; revenue'!AF55/FX_EUR</f>
        <v>16039.6986915373</v>
      </c>
      <c r="AG26" s="33" t="n">
        <f aca="false">'Clients &amp; revenue'!AG55/FX_EUR</f>
        <v>17366.5943814772</v>
      </c>
      <c r="AH26" s="33" t="n">
        <f aca="false">'Clients &amp; revenue'!AH55/FX_EUR</f>
        <v>18697.3321708078</v>
      </c>
      <c r="AI26" s="33" t="n">
        <f aca="false">'Clients &amp; revenue'!AI55/FX_EUR</f>
        <v>20033.0897310177</v>
      </c>
      <c r="AJ26" s="33" t="n">
        <f aca="false">'Clients &amp; revenue'!AJ55/FX_EUR</f>
        <v>21442.0351522159</v>
      </c>
      <c r="AK26" s="33" t="n">
        <f aca="false">'Clients &amp; revenue'!AK55/FX_EUR</f>
        <v>22857.6991824603</v>
      </c>
      <c r="AL26" s="33" t="n">
        <f aca="false">'Clients &amp; revenue'!AL55/FX_EUR</f>
        <v>24281.4576647463</v>
      </c>
      <c r="AM26" s="33" t="n">
        <f aca="false">'Clients &amp; revenue'!AM55/FX_EUR</f>
        <v>25714.7568335686</v>
      </c>
      <c r="AN26" s="33" t="n">
        <f aca="false">'Clients &amp; revenue'!AN55/FX_EUR</f>
        <v>27226.0492880499</v>
      </c>
      <c r="AO26" s="33" t="n">
        <f aca="false">'Clients &amp; revenue'!AO55/FX_EUR</f>
        <v>28749.1671901261</v>
      </c>
      <c r="AP26" s="33" t="n">
        <f aca="false">'Clients &amp; revenue'!AP55/FX_EUR</f>
        <v>30492.1781439877</v>
      </c>
      <c r="AQ26" s="33" t="n">
        <f aca="false">'Clients &amp; revenue'!AQ55/FX_EUR</f>
        <v>32314.8462340173</v>
      </c>
      <c r="AR26" s="33" t="n">
        <f aca="false">'Clients &amp; revenue'!AR55/FX_EUR</f>
        <v>34151.3149388888</v>
      </c>
      <c r="AS26" s="33" t="n">
        <f aca="false">'Clients &amp; revenue'!AS55/FX_EUR</f>
        <v>36003.6067888748</v>
      </c>
      <c r="AT26" s="33" t="n">
        <f aca="false">'Clients &amp; revenue'!AT55/FX_EUR</f>
        <v>37940.7823325471</v>
      </c>
      <c r="AU26" s="33" t="n">
        <f aca="false">'Clients &amp; revenue'!AU55/FX_EUR</f>
        <v>39897.3152707341</v>
      </c>
      <c r="AV26" s="33" t="n">
        <f aca="false">'Clients &amp; revenue'!AV55/FX_EUR</f>
        <v>41875.5779613328</v>
      </c>
      <c r="AW26" s="33" t="n">
        <f aca="false">'Clients &amp; revenue'!AW55/FX_EUR</f>
        <v>44005.2400028223</v>
      </c>
      <c r="AX26" s="33" t="n">
        <f aca="false">'Clients &amp; revenue'!AX55/FX_EUR</f>
        <v>46141.0527657107</v>
      </c>
      <c r="AY26" s="33" t="n">
        <f aca="false">'Clients &amp; revenue'!AY55/FX_EUR</f>
        <v>48330.8018528648</v>
      </c>
      <c r="AZ26" s="33" t="n">
        <f aca="false">'Clients &amp; revenue'!AZ55/FX_EUR</f>
        <v>50507.7036057501</v>
      </c>
      <c r="BA26" s="33" t="n">
        <f aca="false">'Clients &amp; revenue'!BA55/FX_EUR</f>
        <v>52672.7900878042</v>
      </c>
      <c r="BB26" s="33" t="n">
        <f aca="false">'Clients &amp; revenue'!BB55/FX_EUR</f>
        <v>55101.552300344</v>
      </c>
      <c r="BC26" s="33" t="n">
        <f aca="false">'Clients &amp; revenue'!BC55/FX_EUR</f>
        <v>57517.2539320403</v>
      </c>
      <c r="BD26" s="33" t="n">
        <f aca="false">'Clients &amp; revenue'!BD55/FX_EUR</f>
        <v>59988.0277746128</v>
      </c>
      <c r="BE26" s="33" t="n">
        <f aca="false">'Clients &amp; revenue'!BE55/FX_EUR</f>
        <v>62447.3540407926</v>
      </c>
      <c r="BF26" s="33" t="n">
        <f aca="false">'Clients &amp; revenue'!BF55/FX_EUR</f>
        <v>64956.7804889683</v>
      </c>
      <c r="BG26" s="33" t="n">
        <f aca="false">'Clients &amp; revenue'!BG55/FX_EUR</f>
        <v>67523.6102259762</v>
      </c>
      <c r="BH26" s="33" t="n">
        <f aca="false">'Clients &amp; revenue'!BH55/FX_EUR</f>
        <v>70081.5044843626</v>
      </c>
      <c r="BI26" s="33" t="n">
        <f aca="false">'Clients &amp; revenue'!BI55/FX_EUR</f>
        <v>72698.895548846</v>
      </c>
      <c r="BJ26" s="33" t="n">
        <f aca="false">'Clients &amp; revenue'!BJ55/FX_EUR</f>
        <v>75369.818882786</v>
      </c>
      <c r="BK26" s="33" t="n">
        <f aca="false">'Clients &amp; revenue'!BK55/FX_EUR</f>
        <v>78101.8591657718</v>
      </c>
      <c r="BL26" s="33" t="n">
        <f aca="false">'Clients &amp; revenue'!BL55/FX_EUR</f>
        <v>80814.6324833673</v>
      </c>
    </row>
    <row r="27" customFormat="false" ht="15" hidden="false" customHeight="true" outlineLevel="0" collapsed="false">
      <c r="A27" s="13" t="s">
        <v>1252</v>
      </c>
      <c r="B27" s="15" t="s">
        <v>79</v>
      </c>
      <c r="D27" s="56" t="n">
        <f aca="false">'Clients &amp; revenue'!D56/FX_EUR</f>
        <v>2028381.09518586</v>
      </c>
      <c r="E27" s="33" t="n">
        <f aca="false">'Clients &amp; revenue'!E56/FX_EUR</f>
        <v>0</v>
      </c>
      <c r="F27" s="33" t="n">
        <f aca="false">'Clients &amp; revenue'!F56/FX_EUR</f>
        <v>0</v>
      </c>
      <c r="G27" s="33" t="n">
        <f aca="false">'Clients &amp; revenue'!G56/FX_EUR</f>
        <v>0</v>
      </c>
      <c r="H27" s="33" t="n">
        <f aca="false">'Clients &amp; revenue'!H56/FX_EUR</f>
        <v>0</v>
      </c>
      <c r="I27" s="33" t="n">
        <f aca="false">'Clients &amp; revenue'!I56/FX_EUR</f>
        <v>0</v>
      </c>
      <c r="J27" s="33" t="n">
        <f aca="false">'Clients &amp; revenue'!J56/FX_EUR</f>
        <v>494.169799493971</v>
      </c>
      <c r="K27" s="33" t="n">
        <f aca="false">'Clients &amp; revenue'!K56/FX_EUR</f>
        <v>989.428504139118</v>
      </c>
      <c r="L27" s="33" t="n">
        <f aca="false">'Clients &amp; revenue'!L56/FX_EUR</f>
        <v>1486.05565786565</v>
      </c>
      <c r="M27" s="33" t="n">
        <f aca="false">'Clients &amp; revenue'!M56/FX_EUR</f>
        <v>1984.34597066743</v>
      </c>
      <c r="N27" s="33" t="n">
        <f aca="false">'Clients &amp; revenue'!N56/FX_EUR</f>
        <v>2484.61024061509</v>
      </c>
      <c r="O27" s="33" t="n">
        <f aca="false">'Clients &amp; revenue'!O56/FX_EUR</f>
        <v>2987.17633109954</v>
      </c>
      <c r="P27" s="33" t="n">
        <f aca="false">'Clients &amp; revenue'!P56/FX_EUR</f>
        <v>3492.39020662044</v>
      </c>
      <c r="Q27" s="33" t="n">
        <f aca="false">'Clients &amp; revenue'!Q56/FX_EUR</f>
        <v>4000.61703063293</v>
      </c>
      <c r="R27" s="33" t="n">
        <f aca="false">'Clients &amp; revenue'!R56/FX_EUR</f>
        <v>4686.73355217871</v>
      </c>
      <c r="S27" s="33" t="n">
        <f aca="false">'Clients &amp; revenue'!S56/FX_EUR</f>
        <v>5375.34698606706</v>
      </c>
      <c r="T27" s="33" t="n">
        <f aca="false">'Clients &amp; revenue'!T56/FX_EUR</f>
        <v>6066.89717263065</v>
      </c>
      <c r="U27" s="33" t="n">
        <f aca="false">'Clients &amp; revenue'!U56/FX_EUR</f>
        <v>6761.84816743019</v>
      </c>
      <c r="V27" s="33" t="n">
        <f aca="false">'Clients &amp; revenue'!V56/FX_EUR</f>
        <v>7460.68971048202</v>
      </c>
      <c r="W27" s="33" t="n">
        <f aca="false">'Clients &amp; revenue'!W56/FX_EUR</f>
        <v>8163.93878351703</v>
      </c>
      <c r="X27" s="33" t="n">
        <f aca="false">'Clients &amp; revenue'!X56/FX_EUR</f>
        <v>9250.42757606934</v>
      </c>
      <c r="Y27" s="33" t="n">
        <f aca="false">'Clients &amp; revenue'!Y56/FX_EUR</f>
        <v>10343.2055250354</v>
      </c>
      <c r="Z27" s="33" t="n">
        <f aca="false">'Clients &amp; revenue'!Z56/FX_EUR</f>
        <v>11523.0113752067</v>
      </c>
      <c r="AA27" s="33" t="n">
        <f aca="false">'Clients &amp; revenue'!AA56/FX_EUR</f>
        <v>12710.1910187032</v>
      </c>
      <c r="AB27" s="33" t="n">
        <f aca="false">'Clients &amp; revenue'!AB56/FX_EUR</f>
        <v>13905.6624923068</v>
      </c>
      <c r="AC27" s="33" t="n">
        <f aca="false">'Clients &amp; revenue'!AC56/FX_EUR</f>
        <v>15110.3953479379</v>
      </c>
      <c r="AD27" s="33" t="n">
        <f aca="false">'Clients &amp; revenue'!AD56/FX_EUR</f>
        <v>16675.7282103886</v>
      </c>
      <c r="AE27" s="33" t="n">
        <f aca="false">'Clients &amp; revenue'!AE56/FX_EUR</f>
        <v>18249.801403325</v>
      </c>
      <c r="AF27" s="33" t="n">
        <f aca="false">'Clients &amp; revenue'!AF56/FX_EUR</f>
        <v>19913.6978380088</v>
      </c>
      <c r="AG27" s="33" t="n">
        <f aca="false">'Clients &amp; revenue'!AG56/FX_EUR</f>
        <v>21588.126744798</v>
      </c>
      <c r="AH27" s="33" t="n">
        <f aca="false">'Clients &amp; revenue'!AH56/FX_EUR</f>
        <v>23274.3898318739</v>
      </c>
      <c r="AI27" s="33" t="n">
        <f aca="false">'Clients &amp; revenue'!AI56/FX_EUR</f>
        <v>24973.8618867096</v>
      </c>
      <c r="AJ27" s="33" t="n">
        <f aca="false">'Clients &amp; revenue'!AJ56/FX_EUR</f>
        <v>26767.9148426246</v>
      </c>
      <c r="AK27" s="33" t="n">
        <f aca="false">'Clients &amp; revenue'!AK56/FX_EUR</f>
        <v>28577.5641365799</v>
      </c>
      <c r="AL27" s="33" t="n">
        <f aca="false">'Clients &amp; revenue'!AL56/FX_EUR</f>
        <v>30404.4359001528</v>
      </c>
      <c r="AM27" s="33" t="n">
        <f aca="false">'Clients &amp; revenue'!AM56/FX_EUR</f>
        <v>32250.2486551804</v>
      </c>
      <c r="AN27" s="33" t="n">
        <f aca="false">'Clients &amp; revenue'!AN56/FX_EUR</f>
        <v>34196.7385401308</v>
      </c>
      <c r="AO27" s="33" t="n">
        <f aca="false">'Clients &amp; revenue'!AO56/FX_EUR</f>
        <v>36165.3068972942</v>
      </c>
      <c r="AP27" s="33" t="n">
        <f aca="false">'Clients &amp; revenue'!AP56/FX_EUR</f>
        <v>38404.4076696228</v>
      </c>
      <c r="AQ27" s="33" t="n">
        <f aca="false">'Clients &amp; revenue'!AQ56/FX_EUR</f>
        <v>40747.8452719211</v>
      </c>
      <c r="AR27" s="33" t="n">
        <f aca="false">'Clients &amp; revenue'!AR56/FX_EUR</f>
        <v>43117.3901603395</v>
      </c>
      <c r="AS27" s="33" t="n">
        <f aca="false">'Clients &amp; revenue'!AS56/FX_EUR</f>
        <v>45515.4675143205</v>
      </c>
      <c r="AT27" s="33" t="n">
        <f aca="false">'Clients &amp; revenue'!AT56/FX_EUR</f>
        <v>48024.5612276289</v>
      </c>
      <c r="AU27" s="33" t="n">
        <f aca="false">'Clients &amp; revenue'!AU56/FX_EUR</f>
        <v>50566.8639711682</v>
      </c>
      <c r="AV27" s="33" t="n">
        <f aca="false">'Clients &amp; revenue'!AV56/FX_EUR</f>
        <v>53145.2483111966</v>
      </c>
      <c r="AW27" s="33" t="n">
        <f aca="false">'Clients &amp; revenue'!AW56/FX_EUR</f>
        <v>55914.5998915981</v>
      </c>
      <c r="AX27" s="33" t="n">
        <f aca="false">'Clients &amp; revenue'!AX56/FX_EUR</f>
        <v>58702.3121263268</v>
      </c>
      <c r="AY27" s="33" t="n">
        <f aca="false">'Clients &amp; revenue'!AY56/FX_EUR</f>
        <v>61565.39749145</v>
      </c>
      <c r="AZ27" s="33" t="n">
        <f aca="false">'Clients &amp; revenue'!AZ56/FX_EUR</f>
        <v>64424.3527240487</v>
      </c>
      <c r="BA27" s="33" t="n">
        <f aca="false">'Clients &amp; revenue'!BA56/FX_EUR</f>
        <v>67280.2493805796</v>
      </c>
      <c r="BB27" s="33" t="n">
        <f aca="false">'Clients &amp; revenue'!BB56/FX_EUR</f>
        <v>70461.8839565581</v>
      </c>
      <c r="BC27" s="33" t="n">
        <f aca="false">'Clients &amp; revenue'!BC56/FX_EUR</f>
        <v>73640.3120728922</v>
      </c>
      <c r="BD27" s="33" t="n">
        <f aca="false">'Clients &amp; revenue'!BD56/FX_EUR</f>
        <v>76896.7167701325</v>
      </c>
      <c r="BE27" s="33" t="n">
        <f aca="false">'Clients &amp; revenue'!BE56/FX_EUR</f>
        <v>80151.9072886588</v>
      </c>
      <c r="BF27" s="33" t="n">
        <f aca="false">'Clients &amp; revenue'!BF56/FX_EUR</f>
        <v>83479.212945913</v>
      </c>
      <c r="BG27" s="33" t="n">
        <f aca="false">'Clients &amp; revenue'!BG56/FX_EUR</f>
        <v>86887.5609260413</v>
      </c>
      <c r="BH27" s="33" t="n">
        <f aca="false">'Clients &amp; revenue'!BH56/FX_EUR</f>
        <v>90297.9884157699</v>
      </c>
      <c r="BI27" s="33" t="n">
        <f aca="false">'Clients &amp; revenue'!BI56/FX_EUR</f>
        <v>93792.0579900669</v>
      </c>
      <c r="BJ27" s="33" t="n">
        <f aca="false">'Clients &amp; revenue'!BJ56/FX_EUR</f>
        <v>97362.9084076829</v>
      </c>
      <c r="BK27" s="33" t="n">
        <f aca="false">'Clients &amp; revenue'!BK56/FX_EUR</f>
        <v>101019.81929783</v>
      </c>
      <c r="BL27" s="33" t="n">
        <f aca="false">'Clients &amp; revenue'!BL56/FX_EUR</f>
        <v>104667.075038343</v>
      </c>
    </row>
    <row r="28" customFormat="false" ht="15" hidden="false" customHeight="true" outlineLevel="0" collapsed="false">
      <c r="A28" s="9" t="s">
        <v>1253</v>
      </c>
      <c r="B28" s="15" t="s">
        <v>79</v>
      </c>
      <c r="D28" s="56" t="n">
        <f aca="false">'Clients &amp; revenue'!D57/FX_EUR</f>
        <v>5092052.64082483</v>
      </c>
      <c r="E28" s="17" t="n">
        <f aca="false">'Clients &amp; revenue'!E57/FX_EUR</f>
        <v>0</v>
      </c>
      <c r="F28" s="17" t="n">
        <f aca="false">'Clients &amp; revenue'!F57/FX_EUR</f>
        <v>0</v>
      </c>
      <c r="G28" s="17" t="n">
        <f aca="false">'Clients &amp; revenue'!G57/FX_EUR</f>
        <v>0</v>
      </c>
      <c r="H28" s="17" t="n">
        <f aca="false">'Clients &amp; revenue'!H57/FX_EUR</f>
        <v>0</v>
      </c>
      <c r="I28" s="17" t="n">
        <f aca="false">'Clients &amp; revenue'!I57/FX_EUR</f>
        <v>0</v>
      </c>
      <c r="J28" s="17" t="n">
        <f aca="false">'Clients &amp; revenue'!J57/FX_EUR</f>
        <v>1325.06603888161</v>
      </c>
      <c r="K28" s="17" t="n">
        <f aca="false">'Clients &amp; revenue'!K57/FX_EUR</f>
        <v>2645.76961598601</v>
      </c>
      <c r="L28" s="17" t="n">
        <f aca="false">'Clients &amp; revenue'!L57/FX_EUR</f>
        <v>3962.97437869149</v>
      </c>
      <c r="M28" s="17" t="n">
        <f aca="false">'Clients &amp; revenue'!M57/FX_EUR</f>
        <v>5277.57839940465</v>
      </c>
      <c r="N28" s="17" t="n">
        <f aca="false">'Clients &amp; revenue'!N57/FX_EUR</f>
        <v>6590.51653840037</v>
      </c>
      <c r="O28" s="17" t="n">
        <f aca="false">'Clients &amp; revenue'!O57/FX_EUR</f>
        <v>7902.76294301675</v>
      </c>
      <c r="P28" s="17" t="n">
        <f aca="false">'Clients &amp; revenue'!P57/FX_EUR</f>
        <v>9215.33369148876</v>
      </c>
      <c r="Q28" s="17" t="n">
        <f aca="false">'Clients &amp; revenue'!Q57/FX_EUR</f>
        <v>10529.2895901992</v>
      </c>
      <c r="R28" s="17" t="n">
        <f aca="false">'Clients &amp; revenue'!R57/FX_EUR</f>
        <v>12313.6195948192</v>
      </c>
      <c r="S28" s="17" t="n">
        <f aca="false">'Clients &amp; revenue'!S57/FX_EUR</f>
        <v>14095.5220953314</v>
      </c>
      <c r="T28" s="17" t="n">
        <f aca="false">'Clients &amp; revenue'!T57/FX_EUR</f>
        <v>15876.3020938341</v>
      </c>
      <c r="U28" s="17" t="n">
        <f aca="false">'Clients &amp; revenue'!U57/FX_EUR</f>
        <v>17657.3207012964</v>
      </c>
      <c r="V28" s="17" t="n">
        <f aca="false">'Clients &amp; revenue'!V57/FX_EUR</f>
        <v>19439.9988807698</v>
      </c>
      <c r="W28" s="17" t="n">
        <f aca="false">'Clients &amp; revenue'!W57/FX_EUR</f>
        <v>21225.8214083623</v>
      </c>
      <c r="X28" s="17" t="n">
        <f aca="false">'Clients &amp; revenue'!X57/FX_EUR</f>
        <v>24030.67733213</v>
      </c>
      <c r="Y28" s="17" t="n">
        <f aca="false">'Clients &amp; revenue'!Y57/FX_EUR</f>
        <v>26838.3168711379</v>
      </c>
      <c r="Z28" s="17" t="n">
        <f aca="false">'Clients &amp; revenue'!Z57/FX_EUR</f>
        <v>29865.3905352407</v>
      </c>
      <c r="AA28" s="17" t="n">
        <f aca="false">'Clients &amp; revenue'!AA57/FX_EUR</f>
        <v>32897.2789619806</v>
      </c>
      <c r="AB28" s="17" t="n">
        <f aca="false">'Clients &amp; revenue'!AB57/FX_EUR</f>
        <v>35936.6009597458</v>
      </c>
      <c r="AC28" s="17" t="n">
        <f aca="false">'Clients &amp; revenue'!AC57/FX_EUR</f>
        <v>38986.0969819471</v>
      </c>
      <c r="AD28" s="17" t="n">
        <f aca="false">'Clients &amp; revenue'!AD57/FX_EUR</f>
        <v>42987.9695550876</v>
      </c>
      <c r="AE28" s="17" t="n">
        <f aca="false">'Clients &amp; revenue'!AE57/FX_EUR</f>
        <v>46993.686710468</v>
      </c>
      <c r="AF28" s="17" t="n">
        <f aca="false">'Clients &amp; revenue'!AF57/FX_EUR</f>
        <v>51220.8833064646</v>
      </c>
      <c r="AG28" s="17" t="n">
        <f aca="false">'Clients &amp; revenue'!AG57/FX_EUR</f>
        <v>55455.9695151517</v>
      </c>
      <c r="AH28" s="17" t="n">
        <f aca="false">'Clients &amp; revenue'!AH57/FX_EUR</f>
        <v>59702.6418097021</v>
      </c>
      <c r="AI28" s="17" t="n">
        <f aca="false">'Clients &amp; revenue'!AI57/FX_EUR</f>
        <v>63964.7695552591</v>
      </c>
      <c r="AJ28" s="17" t="n">
        <f aca="false">'Clients &amp; revenue'!AJ57/FX_EUR</f>
        <v>68460.7026021029</v>
      </c>
      <c r="AK28" s="17" t="n">
        <f aca="false">'Clients &amp; revenue'!AK57/FX_EUR</f>
        <v>72977.6090127633</v>
      </c>
      <c r="AL28" s="17" t="n">
        <f aca="false">'Clients &amp; revenue'!AL57/FX_EUR</f>
        <v>77519.988620086</v>
      </c>
      <c r="AM28" s="17" t="n">
        <f aca="false">'Clients &amp; revenue'!AM57/FX_EUR</f>
        <v>82092.5623431068</v>
      </c>
      <c r="AN28" s="17" t="n">
        <f aca="false">'Clients &amp; revenue'!AN57/FX_EUR</f>
        <v>86914.5826688132</v>
      </c>
      <c r="AO28" s="17" t="n">
        <f aca="false">'Clients &amp; revenue'!AO57/FX_EUR</f>
        <v>91774.1744412605</v>
      </c>
      <c r="AP28" s="17" t="n">
        <f aca="false">'Clients &amp; revenue'!AP57/FX_EUR</f>
        <v>97337.5988816044</v>
      </c>
      <c r="AQ28" s="17" t="n">
        <f aca="false">'Clients &amp; revenue'!AQ57/FX_EUR</f>
        <v>103155.614175747</v>
      </c>
      <c r="AR28" s="17" t="n">
        <f aca="false">'Clients &amp; revenue'!AR57/FX_EUR</f>
        <v>109017.363847462</v>
      </c>
      <c r="AS28" s="17" t="n">
        <f aca="false">'Clients &amp; revenue'!AS57/FX_EUR</f>
        <v>114929.430957052</v>
      </c>
      <c r="AT28" s="17" t="n">
        <f aca="false">'Clients &amp; revenue'!AT57/FX_EUR</f>
        <v>121113.030455889</v>
      </c>
      <c r="AU28" s="17" t="n">
        <f aca="false">'Clients &amp; revenue'!AU57/FX_EUR</f>
        <v>127358.356184827</v>
      </c>
      <c r="AV28" s="17" t="n">
        <f aca="false">'Clients &amp; revenue'!AV57/FX_EUR</f>
        <v>133673.104256526</v>
      </c>
      <c r="AW28" s="17" t="n">
        <f aca="false">'Clients &amp; revenue'!AW57/FX_EUR</f>
        <v>140472.535931205</v>
      </c>
      <c r="AX28" s="17" t="n">
        <f aca="false">'Clients &amp; revenue'!AX57/FX_EUR</f>
        <v>147291.493567711</v>
      </c>
      <c r="AY28" s="17" t="n">
        <f aca="false">'Clients &amp; revenue'!AY57/FX_EUR</f>
        <v>154283.104681034</v>
      </c>
      <c r="AZ28" s="17" t="n">
        <f aca="false">'Clients &amp; revenue'!AZ57/FX_EUR</f>
        <v>161233.598767957</v>
      </c>
      <c r="BA28" s="17" t="n">
        <f aca="false">'Clients &amp; revenue'!BA57/FX_EUR</f>
        <v>168146.440397985</v>
      </c>
      <c r="BB28" s="17" t="n">
        <f aca="false">'Clients &amp; revenue'!BB57/FX_EUR</f>
        <v>175903.828613957</v>
      </c>
      <c r="BC28" s="17" t="n">
        <f aca="false">'Clients &amp; revenue'!BC57/FX_EUR</f>
        <v>183619.441639644</v>
      </c>
      <c r="BD28" s="17" t="n">
        <f aca="false">'Clients &amp; revenue'!BD57/FX_EUR</f>
        <v>191511.596523692</v>
      </c>
      <c r="BE28" s="17" t="n">
        <f aca="false">'Clients &amp; revenue'!BE57/FX_EUR</f>
        <v>199367.376359994</v>
      </c>
      <c r="BF28" s="17" t="n">
        <f aca="false">'Clients &amp; revenue'!BF57/FX_EUR</f>
        <v>207384.008301677</v>
      </c>
      <c r="BG28" s="17" t="n">
        <f aca="false">'Clients &amp; revenue'!BG57/FX_EUR</f>
        <v>215584.940103795</v>
      </c>
      <c r="BH28" s="17" t="n">
        <f aca="false">'Clients &amp; revenue'!BH57/FX_EUR</f>
        <v>223757.828373558</v>
      </c>
      <c r="BI28" s="17" t="n">
        <f aca="false">'Clients &amp; revenue'!BI57/FX_EUR</f>
        <v>232121.936525677</v>
      </c>
      <c r="BJ28" s="17" t="n">
        <f aca="false">'Clients &amp; revenue'!BJ57/FX_EUR</f>
        <v>240658.21627733</v>
      </c>
      <c r="BK28" s="17" t="n">
        <f aca="false">'Clients &amp; revenue'!BK57/FX_EUR</f>
        <v>249391.011930827</v>
      </c>
      <c r="BL28" s="17" t="n">
        <f aca="false">'Clients &amp; revenue'!BL57/FX_EUR</f>
        <v>258063.006316749</v>
      </c>
    </row>
    <row r="29" customFormat="false" ht="15" hidden="false" customHeight="true" outlineLevel="0" collapsed="false">
      <c r="A29" s="13" t="s">
        <v>988</v>
      </c>
      <c r="B29" s="15" t="s">
        <v>79</v>
      </c>
      <c r="D29" s="56" t="n">
        <f aca="false">'Clients &amp; revenue'!D58/FX_EUR</f>
        <v>10429946.5827159</v>
      </c>
      <c r="E29" s="33" t="n">
        <f aca="false">'Clients &amp; revenue'!E58/FX_EUR</f>
        <v>0</v>
      </c>
      <c r="F29" s="33" t="n">
        <f aca="false">'Clients &amp; revenue'!F58/FX_EUR</f>
        <v>0</v>
      </c>
      <c r="G29" s="33" t="n">
        <f aca="false">'Clients &amp; revenue'!G58/FX_EUR</f>
        <v>0</v>
      </c>
      <c r="H29" s="33" t="n">
        <f aca="false">'Clients &amp; revenue'!H58/FX_EUR</f>
        <v>0</v>
      </c>
      <c r="I29" s="33" t="n">
        <f aca="false">'Clients &amp; revenue'!I58/FX_EUR</f>
        <v>2550.41514408211</v>
      </c>
      <c r="J29" s="33" t="n">
        <f aca="false">'Clients &amp; revenue'!J58/FX_EUR</f>
        <v>5094.84431652278</v>
      </c>
      <c r="K29" s="33" t="n">
        <f aca="false">'Clients &amp; revenue'!K58/FX_EUR</f>
        <v>7634.8981031531</v>
      </c>
      <c r="L29" s="33" t="n">
        <f aca="false">'Clients &amp; revenue'!L58/FX_EUR</f>
        <v>10172.2558379723</v>
      </c>
      <c r="M29" s="33" t="n">
        <f aca="false">'Clients &amp; revenue'!M58/FX_EUR</f>
        <v>12708.6701691013</v>
      </c>
      <c r="N29" s="33" t="n">
        <f aca="false">'Clients &amp; revenue'!N58/FX_EUR</f>
        <v>15245.971891127</v>
      </c>
      <c r="O29" s="33" t="n">
        <f aca="false">'Clients &amp; revenue'!O58/FX_EUR</f>
        <v>17786.0750599576</v>
      </c>
      <c r="P29" s="33" t="n">
        <f aca="false">'Clients &amp; revenue'!P58/FX_EUR</f>
        <v>20330.9824072745</v>
      </c>
      <c r="Q29" s="33" t="n">
        <f aca="false">'Clients &amp; revenue'!Q58/FX_EUR</f>
        <v>23783.3419726206</v>
      </c>
      <c r="R29" s="33" t="n">
        <f aca="false">'Clients &amp; revenue'!R58/FX_EUR</f>
        <v>27233.9483283853</v>
      </c>
      <c r="S29" s="33" t="n">
        <f aca="false">'Clients &amp; revenue'!S58/FX_EUR</f>
        <v>30685.2556857235</v>
      </c>
      <c r="T29" s="33" t="n">
        <f aca="false">'Clients &amp; revenue'!T58/FX_EUR</f>
        <v>34139.8296462094</v>
      </c>
      <c r="U29" s="33" t="n">
        <f aca="false">'Clients &amp; revenue'!U58/FX_EUR</f>
        <v>37600.3544477232</v>
      </c>
      <c r="V29" s="33" t="n">
        <f aca="false">'Clients &amp; revenue'!V58/FX_EUR</f>
        <v>41069.6406355013</v>
      </c>
      <c r="W29" s="33" t="n">
        <f aca="false">'Clients &amp; revenue'!W58/FX_EUR</f>
        <v>46502.9725396102</v>
      </c>
      <c r="X29" s="33" t="n">
        <f aca="false">'Clients &amp; revenue'!X58/FX_EUR</f>
        <v>51946.1329948675</v>
      </c>
      <c r="Y29" s="33" t="n">
        <f aca="false">'Clients &amp; revenue'!Y58/FX_EUR</f>
        <v>57816.0427119006</v>
      </c>
      <c r="Z29" s="33" t="n">
        <f aca="false">'Clients &amp; revenue'!Z58/FX_EUR</f>
        <v>63699.9330713573</v>
      </c>
      <c r="AA29" s="33" t="n">
        <f aca="false">'Clients &amp; revenue'!AA58/FX_EUR</f>
        <v>69602.767403896</v>
      </c>
      <c r="AB29" s="33" t="n">
        <f aca="false">'Clients &amp; revenue'!AB58/FX_EUR</f>
        <v>75529.7493033277</v>
      </c>
      <c r="AC29" s="33" t="n">
        <f aca="false">'Clients &amp; revenue'!AC58/FX_EUR</f>
        <v>83294.3141757702</v>
      </c>
      <c r="AD29" s="33" t="n">
        <f aca="false">'Clients &amp; revenue'!AD58/FX_EUR</f>
        <v>91072.4296262105</v>
      </c>
      <c r="AE29" s="33" t="n">
        <f aca="false">'Clients &amp; revenue'!AE58/FX_EUR</f>
        <v>99282.8821827709</v>
      </c>
      <c r="AF29" s="33" t="n">
        <f aca="false">'Clients &amp; revenue'!AF58/FX_EUR</f>
        <v>107514.858315947</v>
      </c>
      <c r="AG29" s="33" t="n">
        <f aca="false">'Clients &amp; revenue'!AG58/FX_EUR</f>
        <v>115775.371426311</v>
      </c>
      <c r="AH29" s="33" t="n">
        <f aca="false">'Clients &amp; revenue'!AH58/FX_EUR</f>
        <v>124071.776201888</v>
      </c>
      <c r="AI29" s="33" t="n">
        <f aca="false">'Clients &amp; revenue'!AI58/FX_EUR</f>
        <v>132824.256395192</v>
      </c>
      <c r="AJ29" s="33" t="n">
        <f aca="false">'Clients &amp; revenue'!AJ58/FX_EUR</f>
        <v>141623.4791903</v>
      </c>
      <c r="AK29" s="33" t="n">
        <f aca="false">'Clients &amp; revenue'!AK58/FX_EUR</f>
        <v>150478.027199554</v>
      </c>
      <c r="AL29" s="33" t="n">
        <f aca="false">'Clients &amp; revenue'!AL58/FX_EUR</f>
        <v>159396.918130558</v>
      </c>
      <c r="AM29" s="33" t="n">
        <f aca="false">'Clients &amp; revenue'!AM58/FX_EUR</f>
        <v>168802.098191488</v>
      </c>
      <c r="AN29" s="33" t="n">
        <f aca="false">'Clients &amp; revenue'!AN58/FX_EUR</f>
        <v>178286.102424205</v>
      </c>
      <c r="AO29" s="33" t="n">
        <f aca="false">'Clients &amp; revenue'!AO58/FX_EUR</f>
        <v>189131.263379898</v>
      </c>
      <c r="AP29" s="33" t="n">
        <f aca="false">'Clients &amp; revenue'!AP58/FX_EUR</f>
        <v>200474.066938857</v>
      </c>
      <c r="AQ29" s="33" t="n">
        <f aca="false">'Clients &amp; revenue'!AQ58/FX_EUR</f>
        <v>211908.991684947</v>
      </c>
      <c r="AR29" s="33" t="n">
        <f aca="false">'Clients &amp; revenue'!AR58/FX_EUR</f>
        <v>223448.64246976</v>
      </c>
      <c r="AS29" s="33" t="n">
        <f aca="false">'Clients &amp; revenue'!AS58/FX_EUR</f>
        <v>235518.749063147</v>
      </c>
      <c r="AT29" s="33" t="n">
        <f aca="false">'Clients &amp; revenue'!AT58/FX_EUR</f>
        <v>247715.838559916</v>
      </c>
      <c r="AU29" s="33" t="n">
        <f aca="false">'Clients &amp; revenue'!AU58/FX_EUR</f>
        <v>260054.686493777</v>
      </c>
      <c r="AV29" s="33" t="n">
        <f aca="false">'Clients &amp; revenue'!AV58/FX_EUR</f>
        <v>273334.542279898</v>
      </c>
      <c r="AW29" s="33" t="n">
        <f aca="false">'Clients &amp; revenue'!AW58/FX_EUR</f>
        <v>286660.828678991</v>
      </c>
      <c r="AX29" s="33" t="n">
        <f aca="false">'Clients &amp; revenue'!AX58/FX_EUR</f>
        <v>300328.15052032</v>
      </c>
      <c r="AY29" s="33" t="n">
        <f aca="false">'Clients &amp; revenue'!AY58/FX_EUR</f>
        <v>313925.208070593</v>
      </c>
      <c r="AZ29" s="33" t="n">
        <f aca="false">'Clients &amp; revenue'!AZ58/FX_EUR</f>
        <v>327458.432095665</v>
      </c>
      <c r="BA29" s="33" t="n">
        <f aca="false">'Clients &amp; revenue'!BA58/FX_EUR</f>
        <v>342625.604303271</v>
      </c>
      <c r="BB29" s="33" t="n">
        <f aca="false">'Clients &amp; revenue'!BB58/FX_EUR</f>
        <v>357722.162604679</v>
      </c>
      <c r="BC29" s="33" t="n">
        <f aca="false">'Clients &amp; revenue'!BC58/FX_EUR</f>
        <v>373168.056107185</v>
      </c>
      <c r="BD29" s="33" t="n">
        <f aca="false">'Clients &amp; revenue'!BD58/FX_EUR</f>
        <v>388553.619973681</v>
      </c>
      <c r="BE29" s="33" t="n">
        <f aca="false">'Clients &amp; revenue'!BE58/FX_EUR</f>
        <v>404258.222300945</v>
      </c>
      <c r="BF29" s="33" t="n">
        <f aca="false">'Clients &amp; revenue'!BF58/FX_EUR</f>
        <v>420327.113210972</v>
      </c>
      <c r="BG29" s="33" t="n">
        <f aca="false">'Clients &amp; revenue'!BG58/FX_EUR</f>
        <v>436351.745258078</v>
      </c>
      <c r="BH29" s="33" t="n">
        <f aca="false">'Clients &amp; revenue'!BH58/FX_EUR</f>
        <v>452753.915062024</v>
      </c>
      <c r="BI29" s="33" t="n">
        <f aca="false">'Clients &amp; revenue'!BI58/FX_EUR</f>
        <v>469497.132834047</v>
      </c>
      <c r="BJ29" s="33" t="n">
        <f aca="false">'Clients &amp; revenue'!BJ58/FX_EUR</f>
        <v>486628.390609716</v>
      </c>
      <c r="BK29" s="33" t="n">
        <f aca="false">'Clients &amp; revenue'!BK58/FX_EUR</f>
        <v>503652.595484454</v>
      </c>
      <c r="BL29" s="33" t="n">
        <f aca="false">'Clients &amp; revenue'!BL58/FX_EUR</f>
        <v>520892.02960061</v>
      </c>
    </row>
    <row r="30" customFormat="false" ht="15" hidden="false" customHeight="true" outlineLevel="0" collapsed="false">
      <c r="A30" s="13" t="s">
        <v>1254</v>
      </c>
      <c r="B30" s="15" t="s">
        <v>79</v>
      </c>
      <c r="D30" s="56" t="n">
        <f aca="false">'Clients &amp; revenue'!D59/FX_EUR</f>
        <v>0</v>
      </c>
      <c r="E30" s="33" t="n">
        <f aca="false">'Clients &amp; revenue'!E59/FX_EUR</f>
        <v>0</v>
      </c>
      <c r="F30" s="33" t="n">
        <f aca="false">'Clients &amp; revenue'!F59/FX_EUR</f>
        <v>0</v>
      </c>
      <c r="G30" s="33" t="n">
        <f aca="false">'Clients &amp; revenue'!G59/FX_EUR</f>
        <v>0</v>
      </c>
      <c r="H30" s="33" t="n">
        <f aca="false">'Clients &amp; revenue'!H59/FX_EUR</f>
        <v>0</v>
      </c>
      <c r="I30" s="33" t="n">
        <f aca="false">'Clients &amp; revenue'!I59/FX_EUR</f>
        <v>0</v>
      </c>
      <c r="J30" s="33" t="n">
        <f aca="false">'Clients &amp; revenue'!J59/FX_EUR</f>
        <v>0</v>
      </c>
      <c r="K30" s="33" t="n">
        <f aca="false">'Clients &amp; revenue'!K59/FX_EUR</f>
        <v>0</v>
      </c>
      <c r="L30" s="33" t="n">
        <f aca="false">'Clients &amp; revenue'!L59/FX_EUR</f>
        <v>0</v>
      </c>
      <c r="M30" s="33" t="n">
        <f aca="false">'Clients &amp; revenue'!M59/FX_EUR</f>
        <v>0</v>
      </c>
      <c r="N30" s="33" t="n">
        <f aca="false">'Clients &amp; revenue'!N59/FX_EUR</f>
        <v>0</v>
      </c>
      <c r="O30" s="33" t="n">
        <f aca="false">'Clients &amp; revenue'!O59/FX_EUR</f>
        <v>0</v>
      </c>
      <c r="P30" s="33" t="n">
        <f aca="false">'Clients &amp; revenue'!P59/FX_EUR</f>
        <v>0</v>
      </c>
      <c r="Q30" s="33" t="n">
        <f aca="false">'Clients &amp; revenue'!Q59/FX_EUR</f>
        <v>0</v>
      </c>
      <c r="R30" s="33" t="n">
        <f aca="false">'Clients &amp; revenue'!R59/FX_EUR</f>
        <v>0</v>
      </c>
      <c r="S30" s="33" t="n">
        <f aca="false">'Clients &amp; revenue'!S59/FX_EUR</f>
        <v>0</v>
      </c>
      <c r="T30" s="33" t="n">
        <f aca="false">'Clients &amp; revenue'!T59/FX_EUR</f>
        <v>0</v>
      </c>
      <c r="U30" s="33" t="n">
        <f aca="false">'Clients &amp; revenue'!U59/FX_EUR</f>
        <v>0</v>
      </c>
      <c r="V30" s="33" t="n">
        <f aca="false">'Clients &amp; revenue'!V59/FX_EUR</f>
        <v>0</v>
      </c>
      <c r="W30" s="33" t="n">
        <f aca="false">'Clients &amp; revenue'!W59/FX_EUR</f>
        <v>0</v>
      </c>
      <c r="X30" s="33" t="n">
        <f aca="false">'Clients &amp; revenue'!X59/FX_EUR</f>
        <v>0</v>
      </c>
      <c r="Y30" s="33" t="n">
        <f aca="false">'Clients &amp; revenue'!Y59/FX_EUR</f>
        <v>0</v>
      </c>
      <c r="Z30" s="33" t="n">
        <f aca="false">'Clients &amp; revenue'!Z59/FX_EUR</f>
        <v>0</v>
      </c>
      <c r="AA30" s="33" t="n">
        <f aca="false">'Clients &amp; revenue'!AA59/FX_EUR</f>
        <v>0</v>
      </c>
      <c r="AB30" s="33" t="n">
        <f aca="false">'Clients &amp; revenue'!AB59/FX_EUR</f>
        <v>0</v>
      </c>
      <c r="AC30" s="33" t="n">
        <f aca="false">'Clients &amp; revenue'!AC59/FX_EUR</f>
        <v>0</v>
      </c>
      <c r="AD30" s="33" t="n">
        <f aca="false">'Clients &amp; revenue'!AD59/FX_EUR</f>
        <v>0</v>
      </c>
      <c r="AE30" s="33" t="n">
        <f aca="false">'Clients &amp; revenue'!AE59/FX_EUR</f>
        <v>0</v>
      </c>
      <c r="AF30" s="33" t="n">
        <f aca="false">'Clients &amp; revenue'!AF59/FX_EUR</f>
        <v>0</v>
      </c>
      <c r="AG30" s="33" t="n">
        <f aca="false">'Clients &amp; revenue'!AG59/FX_EUR</f>
        <v>0</v>
      </c>
      <c r="AH30" s="33" t="n">
        <f aca="false">'Clients &amp; revenue'!AH59/FX_EUR</f>
        <v>0</v>
      </c>
      <c r="AI30" s="33" t="n">
        <f aca="false">'Clients &amp; revenue'!AI59/FX_EUR</f>
        <v>0</v>
      </c>
      <c r="AJ30" s="33" t="n">
        <f aca="false">'Clients &amp; revenue'!AJ59/FX_EUR</f>
        <v>0</v>
      </c>
      <c r="AK30" s="33" t="n">
        <f aca="false">'Clients &amp; revenue'!AK59/FX_EUR</f>
        <v>0</v>
      </c>
      <c r="AL30" s="33" t="n">
        <f aca="false">'Clients &amp; revenue'!AL59/FX_EUR</f>
        <v>0</v>
      </c>
      <c r="AM30" s="33" t="n">
        <f aca="false">'Clients &amp; revenue'!AM59/FX_EUR</f>
        <v>0</v>
      </c>
      <c r="AN30" s="33" t="n">
        <f aca="false">'Clients &amp; revenue'!AN59/FX_EUR</f>
        <v>0</v>
      </c>
      <c r="AO30" s="33" t="n">
        <f aca="false">'Clients &amp; revenue'!AO59/FX_EUR</f>
        <v>0</v>
      </c>
      <c r="AP30" s="33" t="n">
        <f aca="false">'Clients &amp; revenue'!AP59/FX_EUR</f>
        <v>0</v>
      </c>
      <c r="AQ30" s="33" t="n">
        <f aca="false">'Clients &amp; revenue'!AQ59/FX_EUR</f>
        <v>0</v>
      </c>
      <c r="AR30" s="33" t="n">
        <f aca="false">'Clients &amp; revenue'!AR59/FX_EUR</f>
        <v>0</v>
      </c>
      <c r="AS30" s="33" t="n">
        <f aca="false">'Clients &amp; revenue'!AS59/FX_EUR</f>
        <v>0</v>
      </c>
      <c r="AT30" s="33" t="n">
        <f aca="false">'Clients &amp; revenue'!AT59/FX_EUR</f>
        <v>0</v>
      </c>
      <c r="AU30" s="33" t="n">
        <f aca="false">'Clients &amp; revenue'!AU59/FX_EUR</f>
        <v>0</v>
      </c>
      <c r="AV30" s="33" t="n">
        <f aca="false">'Clients &amp; revenue'!AV59/FX_EUR</f>
        <v>0</v>
      </c>
      <c r="AW30" s="33" t="n">
        <f aca="false">'Clients &amp; revenue'!AW59/FX_EUR</f>
        <v>0</v>
      </c>
      <c r="AX30" s="33" t="n">
        <f aca="false">'Clients &amp; revenue'!AX59/FX_EUR</f>
        <v>0</v>
      </c>
      <c r="AY30" s="33" t="n">
        <f aca="false">'Clients &amp; revenue'!AY59/FX_EUR</f>
        <v>0</v>
      </c>
      <c r="AZ30" s="33" t="n">
        <f aca="false">'Clients &amp; revenue'!AZ59/FX_EUR</f>
        <v>0</v>
      </c>
      <c r="BA30" s="33" t="n">
        <f aca="false">'Clients &amp; revenue'!BA59/FX_EUR</f>
        <v>0</v>
      </c>
      <c r="BB30" s="33" t="n">
        <f aca="false">'Clients &amp; revenue'!BB59/FX_EUR</f>
        <v>0</v>
      </c>
      <c r="BC30" s="33" t="n">
        <f aca="false">'Clients &amp; revenue'!BC59/FX_EUR</f>
        <v>0</v>
      </c>
      <c r="BD30" s="33" t="n">
        <f aca="false">'Clients &amp; revenue'!BD59/FX_EUR</f>
        <v>0</v>
      </c>
      <c r="BE30" s="33" t="n">
        <f aca="false">'Clients &amp; revenue'!BE59/FX_EUR</f>
        <v>0</v>
      </c>
      <c r="BF30" s="33" t="n">
        <f aca="false">'Clients &amp; revenue'!BF59/FX_EUR</f>
        <v>0</v>
      </c>
      <c r="BG30" s="33" t="n">
        <f aca="false">'Clients &amp; revenue'!BG59/FX_EUR</f>
        <v>0</v>
      </c>
      <c r="BH30" s="33" t="n">
        <f aca="false">'Clients &amp; revenue'!BH59/FX_EUR</f>
        <v>0</v>
      </c>
      <c r="BI30" s="33" t="n">
        <f aca="false">'Clients &amp; revenue'!BI59/FX_EUR</f>
        <v>0</v>
      </c>
      <c r="BJ30" s="33" t="n">
        <f aca="false">'Clients &amp; revenue'!BJ59/FX_EUR</f>
        <v>0</v>
      </c>
      <c r="BK30" s="33" t="n">
        <f aca="false">'Clients &amp; revenue'!BK59/FX_EUR</f>
        <v>0</v>
      </c>
      <c r="BL30" s="33" t="n">
        <f aca="false">'Clients &amp; revenue'!BL59/FX_EUR</f>
        <v>0</v>
      </c>
    </row>
    <row r="31" customFormat="false" ht="15" hidden="false" customHeight="true" outlineLevel="0" collapsed="false">
      <c r="A31" s="13" t="s">
        <v>1255</v>
      </c>
      <c r="B31" s="15" t="s">
        <v>79</v>
      </c>
      <c r="D31" s="56" t="n">
        <f aca="false">'Clients &amp; revenue'!D60/FX_EUR</f>
        <v>0</v>
      </c>
      <c r="E31" s="33" t="n">
        <f aca="false">'Clients &amp; revenue'!E60/FX_EUR</f>
        <v>0</v>
      </c>
      <c r="F31" s="33" t="n">
        <f aca="false">'Clients &amp; revenue'!F60/FX_EUR</f>
        <v>0</v>
      </c>
      <c r="G31" s="33" t="n">
        <f aca="false">'Clients &amp; revenue'!G60/FX_EUR</f>
        <v>0</v>
      </c>
      <c r="H31" s="33" t="n">
        <f aca="false">'Clients &amp; revenue'!H60/FX_EUR</f>
        <v>0</v>
      </c>
      <c r="I31" s="33" t="n">
        <f aca="false">'Clients &amp; revenue'!I60/FX_EUR</f>
        <v>0</v>
      </c>
      <c r="J31" s="33" t="n">
        <f aca="false">'Clients &amp; revenue'!J60/FX_EUR</f>
        <v>0</v>
      </c>
      <c r="K31" s="33" t="n">
        <f aca="false">'Clients &amp; revenue'!K60/FX_EUR</f>
        <v>0</v>
      </c>
      <c r="L31" s="33" t="n">
        <f aca="false">'Clients &amp; revenue'!L60/FX_EUR</f>
        <v>0</v>
      </c>
      <c r="M31" s="33" t="n">
        <f aca="false">'Clients &amp; revenue'!M60/FX_EUR</f>
        <v>0</v>
      </c>
      <c r="N31" s="33" t="n">
        <f aca="false">'Clients &amp; revenue'!N60/FX_EUR</f>
        <v>0</v>
      </c>
      <c r="O31" s="33" t="n">
        <f aca="false">'Clients &amp; revenue'!O60/FX_EUR</f>
        <v>0</v>
      </c>
      <c r="P31" s="33" t="n">
        <f aca="false">'Clients &amp; revenue'!P60/FX_EUR</f>
        <v>0</v>
      </c>
      <c r="Q31" s="33" t="n">
        <f aca="false">'Clients &amp; revenue'!Q60/FX_EUR</f>
        <v>0</v>
      </c>
      <c r="R31" s="33" t="n">
        <f aca="false">'Clients &amp; revenue'!R60/FX_EUR</f>
        <v>0</v>
      </c>
      <c r="S31" s="33" t="n">
        <f aca="false">'Clients &amp; revenue'!S60/FX_EUR</f>
        <v>0</v>
      </c>
      <c r="T31" s="33" t="n">
        <f aca="false">'Clients &amp; revenue'!T60/FX_EUR</f>
        <v>0</v>
      </c>
      <c r="U31" s="33" t="n">
        <f aca="false">'Clients &amp; revenue'!U60/FX_EUR</f>
        <v>0</v>
      </c>
      <c r="V31" s="33" t="n">
        <f aca="false">'Clients &amp; revenue'!V60/FX_EUR</f>
        <v>0</v>
      </c>
      <c r="W31" s="33" t="n">
        <f aca="false">'Clients &amp; revenue'!W60/FX_EUR</f>
        <v>0</v>
      </c>
      <c r="X31" s="33" t="n">
        <f aca="false">'Clients &amp; revenue'!X60/FX_EUR</f>
        <v>0</v>
      </c>
      <c r="Y31" s="33" t="n">
        <f aca="false">'Clients &amp; revenue'!Y60/FX_EUR</f>
        <v>0</v>
      </c>
      <c r="Z31" s="33" t="n">
        <f aca="false">'Clients &amp; revenue'!Z60/FX_EUR</f>
        <v>0</v>
      </c>
      <c r="AA31" s="33" t="n">
        <f aca="false">'Clients &amp; revenue'!AA60/FX_EUR</f>
        <v>0</v>
      </c>
      <c r="AB31" s="33" t="n">
        <f aca="false">'Clients &amp; revenue'!AB60/FX_EUR</f>
        <v>0</v>
      </c>
      <c r="AC31" s="33" t="n">
        <f aca="false">'Clients &amp; revenue'!AC60/FX_EUR</f>
        <v>0</v>
      </c>
      <c r="AD31" s="33" t="n">
        <f aca="false">'Clients &amp; revenue'!AD60/FX_EUR</f>
        <v>0</v>
      </c>
      <c r="AE31" s="33" t="n">
        <f aca="false">'Clients &amp; revenue'!AE60/FX_EUR</f>
        <v>0</v>
      </c>
      <c r="AF31" s="33" t="n">
        <f aca="false">'Clients &amp; revenue'!AF60/FX_EUR</f>
        <v>0</v>
      </c>
      <c r="AG31" s="33" t="n">
        <f aca="false">'Clients &amp; revenue'!AG60/FX_EUR</f>
        <v>0</v>
      </c>
      <c r="AH31" s="33" t="n">
        <f aca="false">'Clients &amp; revenue'!AH60/FX_EUR</f>
        <v>0</v>
      </c>
      <c r="AI31" s="33" t="n">
        <f aca="false">'Clients &amp; revenue'!AI60/FX_EUR</f>
        <v>0</v>
      </c>
      <c r="AJ31" s="33" t="n">
        <f aca="false">'Clients &amp; revenue'!AJ60/FX_EUR</f>
        <v>0</v>
      </c>
      <c r="AK31" s="33" t="n">
        <f aca="false">'Clients &amp; revenue'!AK60/FX_EUR</f>
        <v>0</v>
      </c>
      <c r="AL31" s="33" t="n">
        <f aca="false">'Clients &amp; revenue'!AL60/FX_EUR</f>
        <v>0</v>
      </c>
      <c r="AM31" s="33" t="n">
        <f aca="false">'Clients &amp; revenue'!AM60/FX_EUR</f>
        <v>0</v>
      </c>
      <c r="AN31" s="33" t="n">
        <f aca="false">'Clients &amp; revenue'!AN60/FX_EUR</f>
        <v>0</v>
      </c>
      <c r="AO31" s="33" t="n">
        <f aca="false">'Clients &amp; revenue'!AO60/FX_EUR</f>
        <v>0</v>
      </c>
      <c r="AP31" s="33" t="n">
        <f aca="false">'Clients &amp; revenue'!AP60/FX_EUR</f>
        <v>0</v>
      </c>
      <c r="AQ31" s="33" t="n">
        <f aca="false">'Clients &amp; revenue'!AQ60/FX_EUR</f>
        <v>0</v>
      </c>
      <c r="AR31" s="33" t="n">
        <f aca="false">'Clients &amp; revenue'!AR60/FX_EUR</f>
        <v>0</v>
      </c>
      <c r="AS31" s="33" t="n">
        <f aca="false">'Clients &amp; revenue'!AS60/FX_EUR</f>
        <v>0</v>
      </c>
      <c r="AT31" s="33" t="n">
        <f aca="false">'Clients &amp; revenue'!AT60/FX_EUR</f>
        <v>0</v>
      </c>
      <c r="AU31" s="33" t="n">
        <f aca="false">'Clients &amp; revenue'!AU60/FX_EUR</f>
        <v>0</v>
      </c>
      <c r="AV31" s="33" t="n">
        <f aca="false">'Clients &amp; revenue'!AV60/FX_EUR</f>
        <v>0</v>
      </c>
      <c r="AW31" s="33" t="n">
        <f aca="false">'Clients &amp; revenue'!AW60/FX_EUR</f>
        <v>0</v>
      </c>
      <c r="AX31" s="33" t="n">
        <f aca="false">'Clients &amp; revenue'!AX60/FX_EUR</f>
        <v>0</v>
      </c>
      <c r="AY31" s="33" t="n">
        <f aca="false">'Clients &amp; revenue'!AY60/FX_EUR</f>
        <v>0</v>
      </c>
      <c r="AZ31" s="33" t="n">
        <f aca="false">'Clients &amp; revenue'!AZ60/FX_EUR</f>
        <v>0</v>
      </c>
      <c r="BA31" s="33" t="n">
        <f aca="false">'Clients &amp; revenue'!BA60/FX_EUR</f>
        <v>0</v>
      </c>
      <c r="BB31" s="33" t="n">
        <f aca="false">'Clients &amp; revenue'!BB60/FX_EUR</f>
        <v>0</v>
      </c>
      <c r="BC31" s="33" t="n">
        <f aca="false">'Clients &amp; revenue'!BC60/FX_EUR</f>
        <v>0</v>
      </c>
      <c r="BD31" s="33" t="n">
        <f aca="false">'Clients &amp; revenue'!BD60/FX_EUR</f>
        <v>0</v>
      </c>
      <c r="BE31" s="33" t="n">
        <f aca="false">'Clients &amp; revenue'!BE60/FX_EUR</f>
        <v>0</v>
      </c>
      <c r="BF31" s="33" t="n">
        <f aca="false">'Clients &amp; revenue'!BF60/FX_EUR</f>
        <v>0</v>
      </c>
      <c r="BG31" s="33" t="n">
        <f aca="false">'Clients &amp; revenue'!BG60/FX_EUR</f>
        <v>0</v>
      </c>
      <c r="BH31" s="33" t="n">
        <f aca="false">'Clients &amp; revenue'!BH60/FX_EUR</f>
        <v>0</v>
      </c>
      <c r="BI31" s="33" t="n">
        <f aca="false">'Clients &amp; revenue'!BI60/FX_EUR</f>
        <v>0</v>
      </c>
      <c r="BJ31" s="33" t="n">
        <f aca="false">'Clients &amp; revenue'!BJ60/FX_EUR</f>
        <v>0</v>
      </c>
      <c r="BK31" s="33" t="n">
        <f aca="false">'Clients &amp; revenue'!BK60/FX_EUR</f>
        <v>0</v>
      </c>
      <c r="BL31" s="33" t="n">
        <f aca="false">'Clients &amp; revenue'!BL60/FX_EUR</f>
        <v>0</v>
      </c>
    </row>
    <row r="32" customFormat="false" ht="15" hidden="false" customHeight="true" outlineLevel="0" collapsed="false">
      <c r="A32" s="13" t="s">
        <v>1256</v>
      </c>
      <c r="B32" s="15" t="s">
        <v>79</v>
      </c>
      <c r="D32" s="56" t="n">
        <f aca="false">'Clients &amp; revenue'!D61/FX_EUR</f>
        <v>24516.1208853551</v>
      </c>
      <c r="E32" s="33" t="n">
        <f aca="false">'Clients &amp; revenue'!E61/FX_EUR</f>
        <v>0</v>
      </c>
      <c r="F32" s="33" t="n">
        <f aca="false">'Clients &amp; revenue'!F61/FX_EUR</f>
        <v>0</v>
      </c>
      <c r="G32" s="33" t="n">
        <f aca="false">'Clients &amp; revenue'!G61/FX_EUR</f>
        <v>0</v>
      </c>
      <c r="H32" s="33" t="n">
        <f aca="false">'Clients &amp; revenue'!H61/FX_EUR</f>
        <v>0</v>
      </c>
      <c r="I32" s="33" t="n">
        <f aca="false">'Clients &amp; revenue'!I61/FX_EUR</f>
        <v>98.0348813514707</v>
      </c>
      <c r="J32" s="33" t="n">
        <f aca="false">'Clients &amp; revenue'!J61/FX_EUR</f>
        <v>98.9861632190322</v>
      </c>
      <c r="K32" s="33" t="n">
        <f aca="false">'Clients &amp; revenue'!K61/FX_EUR</f>
        <v>99.9945219986473</v>
      </c>
      <c r="L32" s="33" t="n">
        <f aca="false">'Clients &amp; revenue'!L61/FX_EUR</f>
        <v>101.063382305039</v>
      </c>
      <c r="M32" s="33" t="n">
        <f aca="false">'Clients &amp; revenue'!M61/FX_EUR</f>
        <v>102.196374229815</v>
      </c>
      <c r="N32" s="33" t="n">
        <f aca="false">'Clients &amp; revenue'!N61/FX_EUR</f>
        <v>103.397345670077</v>
      </c>
      <c r="O32" s="33" t="n">
        <f aca="false">'Clients &amp; revenue'!O61/FX_EUR</f>
        <v>104.670375396755</v>
      </c>
      <c r="P32" s="33" t="n">
        <f aca="false">'Clients &amp; revenue'!P61/FX_EUR</f>
        <v>106.019786907033</v>
      </c>
      <c r="Q32" s="33" t="n">
        <f aca="false">'Clients &amp; revenue'!Q61/FX_EUR</f>
        <v>142.066253288636</v>
      </c>
      <c r="R32" s="33" t="n">
        <f aca="false">'Clients &amp; revenue'!R61/FX_EUR</f>
        <v>143.582452061585</v>
      </c>
      <c r="S32" s="33" t="n">
        <f aca="false">'Clients &amp; revenue'!S61/FX_EUR</f>
        <v>145.189622760911</v>
      </c>
      <c r="T32" s="33" t="n">
        <f aca="false">'Clients &amp; revenue'!T61/FX_EUR</f>
        <v>146.893223702197</v>
      </c>
      <c r="U32" s="33" t="n">
        <f aca="false">'Clients &amp; revenue'!U61/FX_EUR</f>
        <v>148.699040699959</v>
      </c>
      <c r="V32" s="33" t="n">
        <f aca="false">'Clients &amp; revenue'!V61/FX_EUR</f>
        <v>150.613206717587</v>
      </c>
      <c r="W32" s="33" t="n">
        <f aca="false">'Clients &amp; revenue'!W61/FX_EUR</f>
        <v>227.687792248343</v>
      </c>
      <c r="X32" s="33" t="n">
        <f aca="false">'Clients &amp; revenue'!X61/FX_EUR</f>
        <v>230.552010586421</v>
      </c>
      <c r="Y32" s="33" t="n">
        <f aca="false">'Clients &amp; revenue'!Y61/FX_EUR</f>
        <v>249.442779817474</v>
      </c>
      <c r="Z32" s="33" t="n">
        <f aca="false">'Clients &amp; revenue'!Z61/FX_EUR</f>
        <v>252.661015542139</v>
      </c>
      <c r="AA32" s="33" t="n">
        <f aca="false">'Clients &amp; revenue'!AA61/FX_EUR</f>
        <v>256.072345410284</v>
      </c>
      <c r="AB32" s="33" t="n">
        <f aca="false">'Clients &amp; revenue'!AB61/FX_EUR</f>
        <v>259.688355070517</v>
      </c>
      <c r="AC32" s="33" t="n">
        <f aca="false">'Clients &amp; revenue'!AC61/FX_EUR</f>
        <v>333.017750634991</v>
      </c>
      <c r="AD32" s="33" t="n">
        <f aca="false">'Clients &amp; revenue'!AD61/FX_EUR</f>
        <v>337.08069908923</v>
      </c>
      <c r="AE32" s="33" t="n">
        <f aca="false">'Clients &amp; revenue'!AE61/FX_EUR</f>
        <v>357.242122243413</v>
      </c>
      <c r="AF32" s="33" t="n">
        <f aca="false">'Clients &amp; revenue'!AF61/FX_EUR</f>
        <v>361.807251126594</v>
      </c>
      <c r="AG32" s="33" t="n">
        <f aca="false">'Clients &amp; revenue'!AG61/FX_EUR</f>
        <v>366.646287742767</v>
      </c>
      <c r="AH32" s="33" t="n">
        <f aca="false">'Clients &amp; revenue'!AH61/FX_EUR</f>
        <v>371.77566655591</v>
      </c>
      <c r="AI32" s="33" t="n">
        <f aca="false">'Clients &amp; revenue'!AI61/FX_EUR</f>
        <v>393.067505890533</v>
      </c>
      <c r="AJ32" s="33" t="n">
        <f aca="false">'Clients &amp; revenue'!AJ61/FX_EUR</f>
        <v>398.83087592498</v>
      </c>
      <c r="AK32" s="33" t="n">
        <f aca="false">'Clients &amp; revenue'!AK61/FX_EUR</f>
        <v>404.940048161495</v>
      </c>
      <c r="AL32" s="33" t="n">
        <f aca="false">'Clients &amp; revenue'!AL61/FX_EUR</f>
        <v>411.4157707322</v>
      </c>
      <c r="AM32" s="33" t="n">
        <f aca="false">'Clients &amp; revenue'!AM61/FX_EUR</f>
        <v>434.134734449839</v>
      </c>
      <c r="AN32" s="33" t="n">
        <f aca="false">'Clients &amp; revenue'!AN61/FX_EUR</f>
        <v>441.410856330283</v>
      </c>
      <c r="AO32" s="33" t="n">
        <f aca="false">'Clients &amp; revenue'!AO61/FX_EUR</f>
        <v>498.008863717684</v>
      </c>
      <c r="AP32" s="33" t="n">
        <f aca="false">'Clients &amp; revenue'!AP61/FX_EUR</f>
        <v>522.039012055242</v>
      </c>
      <c r="AQ32" s="33" t="n">
        <f aca="false">'Clients &amp; revenue'!AQ61/FX_EUR</f>
        <v>530.704989632802</v>
      </c>
      <c r="AR32" s="33" t="n">
        <f aca="false">'Clients &amp; revenue'!AR61/FX_EUR</f>
        <v>539.890925865015</v>
      </c>
      <c r="AS32" s="33" t="n">
        <f aca="false">'Clients &amp; revenue'!AS61/FX_EUR</f>
        <v>565.482716063852</v>
      </c>
      <c r="AT32" s="33" t="n">
        <f aca="false">'Clients &amp; revenue'!AT61/FX_EUR</f>
        <v>575.804034014366</v>
      </c>
      <c r="AU32" s="33" t="n">
        <f aca="false">'Clients &amp; revenue'!AU61/FX_EUR</f>
        <v>586.744631041912</v>
      </c>
      <c r="AV32" s="33" t="n">
        <f aca="false">'Clients &amp; revenue'!AV61/FX_EUR</f>
        <v>628.465589697222</v>
      </c>
      <c r="AW32" s="33" t="n">
        <f aca="false">'Clients &amp; revenue'!AW61/FX_EUR</f>
        <v>636.22847297029</v>
      </c>
      <c r="AX32" s="33" t="n">
        <f aca="false">'Clients &amp; revenue'!AX61/FX_EUR</f>
        <v>655.3289799039</v>
      </c>
      <c r="AY32" s="33" t="n">
        <f aca="false">'Clients &amp; revenue'!AY61/FX_EUR</f>
        <v>658.769537593276</v>
      </c>
      <c r="AZ32" s="33" t="n">
        <f aca="false">'Clients &amp; revenue'!AZ61/FX_EUR</f>
        <v>662.416528744013</v>
      </c>
      <c r="BA32" s="33" t="n">
        <f aca="false">'Clients &amp; revenue'!BA61/FX_EUR</f>
        <v>731.286600313827</v>
      </c>
      <c r="BB32" s="33" t="n">
        <f aca="false">'Clients &amp; revenue'!BB61/FX_EUR</f>
        <v>735.384359570795</v>
      </c>
      <c r="BC32" s="33" t="n">
        <f aca="false">'Clients &amp; revenue'!BC61/FX_EUR</f>
        <v>755.582682175873</v>
      </c>
      <c r="BD32" s="33" t="n">
        <f aca="false">'Clients &amp; revenue'!BD61/FX_EUR</f>
        <v>760.186924477003</v>
      </c>
      <c r="BE32" s="33" t="n">
        <f aca="false">'Clients &amp; revenue'!BE61/FX_EUR</f>
        <v>779.336649329622</v>
      </c>
      <c r="BF32" s="33" t="n">
        <f aca="false">'Clients &amp; revenue'!BF61/FX_EUR</f>
        <v>800.364673771863</v>
      </c>
      <c r="BG32" s="33" t="n">
        <f aca="false">'Clients &amp; revenue'!BG61/FX_EUR</f>
        <v>805.848400020385</v>
      </c>
      <c r="BH32" s="33" t="n">
        <f aca="false">'Clients &amp; revenue'!BH61/FX_EUR</f>
        <v>827.51584763651</v>
      </c>
      <c r="BI32" s="33" t="n">
        <f aca="false">'Clients &amp; revenue'!BI61/FX_EUR</f>
        <v>847.946590462772</v>
      </c>
      <c r="BJ32" s="33" t="n">
        <f aca="false">'Clients &amp; revenue'!BJ61/FX_EUR</f>
        <v>870.332493957073</v>
      </c>
      <c r="BK32" s="33" t="n">
        <f aca="false">'Clients &amp; revenue'!BK61/FX_EUR</f>
        <v>873.858093340468</v>
      </c>
      <c r="BL32" s="33" t="n">
        <f aca="false">'Clients &amp; revenue'!BL61/FX_EUR</f>
        <v>889.712791133159</v>
      </c>
    </row>
    <row r="33" customFormat="false" ht="15" hidden="false" customHeight="true" outlineLevel="0" collapsed="false">
      <c r="A33" s="13" t="s">
        <v>1257</v>
      </c>
      <c r="B33" s="15" t="s">
        <v>79</v>
      </c>
      <c r="D33" s="56" t="n">
        <f aca="false">'Clients &amp; revenue'!D62/FX_EUR</f>
        <v>207579.129986779</v>
      </c>
      <c r="E33" s="33" t="n">
        <f aca="false">'Clients &amp; revenue'!E62/FX_EUR</f>
        <v>0</v>
      </c>
      <c r="F33" s="33" t="n">
        <f aca="false">'Clients &amp; revenue'!F62/FX_EUR</f>
        <v>0</v>
      </c>
      <c r="G33" s="33" t="n">
        <f aca="false">'Clients &amp; revenue'!G62/FX_EUR</f>
        <v>0</v>
      </c>
      <c r="H33" s="33" t="n">
        <f aca="false">'Clients &amp; revenue'!H62/FX_EUR</f>
        <v>0</v>
      </c>
      <c r="I33" s="33" t="n">
        <f aca="false">'Clients &amp; revenue'!I62/FX_EUR</f>
        <v>50.9027268555713</v>
      </c>
      <c r="J33" s="33" t="n">
        <f aca="false">'Clients &amp; revenue'!J62/FX_EUR</f>
        <v>101.673284986668</v>
      </c>
      <c r="K33" s="33" t="n">
        <f aca="false">'Clients &amp; revenue'!K62/FX_EUR</f>
        <v>152.344130335525</v>
      </c>
      <c r="L33" s="33" t="n">
        <f aca="false">'Clients &amp; revenue'!L62/FX_EUR</f>
        <v>202.949076686877</v>
      </c>
      <c r="M33" s="33" t="n">
        <f aca="false">'Clients &amp; revenue'!M62/FX_EUR</f>
        <v>253.523386752826</v>
      </c>
      <c r="N33" s="33" t="n">
        <f aca="false">'Clients &amp; revenue'!N62/FX_EUR</f>
        <v>304.103868553571</v>
      </c>
      <c r="O33" s="33" t="n">
        <f aca="false">'Clients &amp; revenue'!O62/FX_EUR</f>
        <v>354.728977414893</v>
      </c>
      <c r="P33" s="33" t="n">
        <f aca="false">'Clients &amp; revenue'!P62/FX_EUR</f>
        <v>405.438923922447</v>
      </c>
      <c r="Q33" s="33" t="n">
        <f aca="false">'Clients &amp; revenue'!Q62/FX_EUR</f>
        <v>474.249527325596</v>
      </c>
      <c r="R33" s="33" t="n">
        <f aca="false">'Clients &amp; revenue'!R62/FX_EUR</f>
        <v>543.010042119975</v>
      </c>
      <c r="S33" s="33" t="n">
        <f aca="false">'Clients &amp; revenue'!S62/FX_EUR</f>
        <v>611.769798412761</v>
      </c>
      <c r="T33" s="33" t="n">
        <f aca="false">'Clients &amp; revenue'!T62/FX_EUR</f>
        <v>680.58033031571</v>
      </c>
      <c r="U33" s="33" t="n">
        <f aca="false">'Clients &amp; revenue'!U62/FX_EUR</f>
        <v>749.495520411998</v>
      </c>
      <c r="V33" s="33" t="n">
        <f aca="false">'Clients &amp; revenue'!V62/FX_EUR</f>
        <v>818.571752677054</v>
      </c>
      <c r="W33" s="33" t="n">
        <f aca="false">'Clients &amp; revenue'!W62/FX_EUR</f>
        <v>926.834043170467</v>
      </c>
      <c r="X33" s="33" t="n">
        <f aca="false">'Clients &amp; revenue'!X62/FX_EUR</f>
        <v>1035.26947470687</v>
      </c>
      <c r="Y33" s="33" t="n">
        <f aca="false">'Clients &amp; revenue'!Y62/FX_EUR</f>
        <v>1152.1996721085</v>
      </c>
      <c r="Z33" s="33" t="n">
        <f aca="false">'Clients &amp; revenue'!Z62/FX_EUR</f>
        <v>1269.38473418723</v>
      </c>
      <c r="AA33" s="33" t="n">
        <f aca="false">'Clients &amp; revenue'!AA62/FX_EUR</f>
        <v>1386.92419824728</v>
      </c>
      <c r="AB33" s="33" t="n">
        <f aca="false">'Clients &amp; revenue'!AB62/FX_EUR</f>
        <v>1504.92236278878</v>
      </c>
      <c r="AC33" s="33" t="n">
        <f aca="false">'Clients &amp; revenue'!AC62/FX_EUR</f>
        <v>1659.57327508189</v>
      </c>
      <c r="AD33" s="33" t="n">
        <f aca="false">'Clients &amp; revenue'!AD62/FX_EUR</f>
        <v>1814.46316559805</v>
      </c>
      <c r="AE33" s="33" t="n">
        <f aca="false">'Clients &amp; revenue'!AE62/FX_EUR</f>
        <v>1977.95107328594</v>
      </c>
      <c r="AF33" s="33" t="n">
        <f aca="false">'Clients &amp; revenue'!AF62/FX_EUR</f>
        <v>2141.83628005095</v>
      </c>
      <c r="AG33" s="33" t="n">
        <f aca="false">'Clients &amp; revenue'!AG62/FX_EUR</f>
        <v>2306.25938900361</v>
      </c>
      <c r="AH33" s="33" t="n">
        <f aca="false">'Clients &amp; revenue'!AH62/FX_EUR</f>
        <v>2471.36776760151</v>
      </c>
      <c r="AI33" s="33" t="n">
        <f aca="false">'Clients &amp; revenue'!AI62/FX_EUR</f>
        <v>2645.54822730921</v>
      </c>
      <c r="AJ33" s="33" t="n">
        <f aca="false">'Clients &amp; revenue'!AJ62/FX_EUR</f>
        <v>2820.62948439312</v>
      </c>
      <c r="AK33" s="33" t="n">
        <f aca="false">'Clients &amp; revenue'!AK62/FX_EUR</f>
        <v>2996.78333783209</v>
      </c>
      <c r="AL33" s="33" t="n">
        <f aca="false">'Clients &amp; revenue'!AL62/FX_EUR</f>
        <v>3174.19021810367</v>
      </c>
      <c r="AM33" s="33" t="n">
        <f aca="false">'Clients &amp; revenue'!AM62/FX_EUR</f>
        <v>3361.27197882909</v>
      </c>
      <c r="AN33" s="33" t="n">
        <f aca="false">'Clients &amp; revenue'!AN62/FX_EUR</f>
        <v>3549.89447627458</v>
      </c>
      <c r="AO33" s="33" t="n">
        <f aca="false">'Clients &amp; revenue'!AO62/FX_EUR</f>
        <v>3765.65163446302</v>
      </c>
      <c r="AP33" s="33" t="n">
        <f aca="false">'Clients &amp; revenue'!AP62/FX_EUR</f>
        <v>3991.30288219883</v>
      </c>
      <c r="AQ33" s="33" t="n">
        <f aca="false">'Clients &amp; revenue'!AQ62/FX_EUR</f>
        <v>4218.75297741768</v>
      </c>
      <c r="AR33" s="33" t="n">
        <f aca="false">'Clients &amp; revenue'!AR62/FX_EUR</f>
        <v>4448.25395080482</v>
      </c>
      <c r="AS33" s="33" t="n">
        <f aca="false">'Clients &amp; revenue'!AS62/FX_EUR</f>
        <v>4688.30315877602</v>
      </c>
      <c r="AT33" s="33" t="n">
        <f aca="false">'Clients &amp; revenue'!AT62/FX_EUR</f>
        <v>4930.84610336108</v>
      </c>
      <c r="AU33" s="33" t="n">
        <f aca="false">'Clients &amp; revenue'!AU62/FX_EUR</f>
        <v>5176.17799064321</v>
      </c>
      <c r="AV33" s="33" t="n">
        <f aca="false">'Clients &amp; revenue'!AV62/FX_EUR</f>
        <v>5440.25095197089</v>
      </c>
      <c r="AW33" s="33" t="n">
        <f aca="false">'Clients &amp; revenue'!AW62/FX_EUR</f>
        <v>5705.20672029567</v>
      </c>
      <c r="AX33" s="33" t="n">
        <f aca="false">'Clients &amp; revenue'!AX62/FX_EUR</f>
        <v>5976.92598144086</v>
      </c>
      <c r="AY33" s="33" t="n">
        <f aca="false">'Clients &amp; revenue'!AY62/FX_EUR</f>
        <v>6247.19906920346</v>
      </c>
      <c r="AZ33" s="33" t="n">
        <f aca="false">'Clients &amp; revenue'!AZ62/FX_EUR</f>
        <v>6516.15570007878</v>
      </c>
      <c r="BA33" s="33" t="n">
        <f aca="false">'Clients &amp; revenue'!BA62/FX_EUR</f>
        <v>6817.68253446572</v>
      </c>
      <c r="BB33" s="33" t="n">
        <f aca="false">'Clients &amp; revenue'!BB62/FX_EUR</f>
        <v>7117.75171954383</v>
      </c>
      <c r="BC33" s="33" t="n">
        <f aca="false">'Clients &amp; revenue'!BC62/FX_EUR</f>
        <v>7424.74632751983</v>
      </c>
      <c r="BD33" s="33" t="n">
        <f aca="false">'Clients &amp; revenue'!BD62/FX_EUR</f>
        <v>7730.48937284438</v>
      </c>
      <c r="BE33" s="33" t="n">
        <f aca="false">'Clients &amp; revenue'!BE62/FX_EUR</f>
        <v>8042.55392193943</v>
      </c>
      <c r="BF33" s="33" t="n">
        <f aca="false">'Clients &amp; revenue'!BF62/FX_EUR</f>
        <v>8361.8425949132</v>
      </c>
      <c r="BG33" s="33" t="n">
        <f aca="false">'Clients &amp; revenue'!BG62/FX_EUR</f>
        <v>8680.2006336767</v>
      </c>
      <c r="BH33" s="33" t="n">
        <f aca="false">'Clients &amp; revenue'!BH62/FX_EUR</f>
        <v>9006.04784067437</v>
      </c>
      <c r="BI33" s="33" t="n">
        <f aca="false">'Clients &amp; revenue'!BI62/FX_EUR</f>
        <v>9338.65513384988</v>
      </c>
      <c r="BJ33" s="33" t="n">
        <f aca="false">'Clients &amp; revenue'!BJ62/FX_EUR</f>
        <v>9678.9598130401</v>
      </c>
      <c r="BK33" s="33" t="n">
        <f aca="false">'Clients &amp; revenue'!BK62/FX_EUR</f>
        <v>10017.0797003773</v>
      </c>
      <c r="BL33" s="33" t="n">
        <f aca="false">'Clients &amp; revenue'!BL62/FX_EUR</f>
        <v>10359.4487679359</v>
      </c>
    </row>
    <row r="34" customFormat="false" ht="15" hidden="false" customHeight="true" outlineLevel="0" collapsed="false">
      <c r="A34" s="13" t="s">
        <v>1258</v>
      </c>
      <c r="B34" s="15" t="s">
        <v>79</v>
      </c>
      <c r="D34" s="56" t="n">
        <f aca="false">'Clients &amp; revenue'!D63/FX_EUR</f>
        <v>1458626.35979948</v>
      </c>
      <c r="E34" s="33" t="n">
        <f aca="false">'Clients &amp; revenue'!E63/FX_EUR</f>
        <v>0</v>
      </c>
      <c r="F34" s="33" t="n">
        <f aca="false">'Clients &amp; revenue'!F63/FX_EUR</f>
        <v>0</v>
      </c>
      <c r="G34" s="33" t="n">
        <f aca="false">'Clients &amp; revenue'!G63/FX_EUR</f>
        <v>0</v>
      </c>
      <c r="H34" s="33" t="n">
        <f aca="false">'Clients &amp; revenue'!H63/FX_EUR</f>
        <v>0</v>
      </c>
      <c r="I34" s="33" t="n">
        <f aca="false">'Clients &amp; revenue'!I63/FX_EUR</f>
        <v>0</v>
      </c>
      <c r="J34" s="33" t="n">
        <f aca="false">'Clients &amp; revenue'!J63/FX_EUR</f>
        <v>0</v>
      </c>
      <c r="K34" s="33" t="n">
        <f aca="false">'Clients &amp; revenue'!K63/FX_EUR</f>
        <v>0</v>
      </c>
      <c r="L34" s="33" t="n">
        <f aca="false">'Clients &amp; revenue'!L63/FX_EUR</f>
        <v>0</v>
      </c>
      <c r="M34" s="33" t="n">
        <f aca="false">'Clients &amp; revenue'!M63/FX_EUR</f>
        <v>0</v>
      </c>
      <c r="N34" s="33" t="n">
        <f aca="false">'Clients &amp; revenue'!N63/FX_EUR</f>
        <v>0</v>
      </c>
      <c r="O34" s="33" t="n">
        <f aca="false">'Clients &amp; revenue'!O63/FX_EUR</f>
        <v>0</v>
      </c>
      <c r="P34" s="33" t="n">
        <f aca="false">'Clients &amp; revenue'!P63/FX_EUR</f>
        <v>0</v>
      </c>
      <c r="Q34" s="33" t="n">
        <f aca="false">'Clients &amp; revenue'!Q63/FX_EUR</f>
        <v>0</v>
      </c>
      <c r="R34" s="33" t="n">
        <f aca="false">'Clients &amp; revenue'!R63/FX_EUR</f>
        <v>0</v>
      </c>
      <c r="S34" s="33" t="n">
        <f aca="false">'Clients &amp; revenue'!S63/FX_EUR</f>
        <v>0</v>
      </c>
      <c r="T34" s="33" t="n">
        <f aca="false">'Clients &amp; revenue'!T63/FX_EUR</f>
        <v>0</v>
      </c>
      <c r="U34" s="33" t="n">
        <f aca="false">'Clients &amp; revenue'!U63/FX_EUR</f>
        <v>0</v>
      </c>
      <c r="V34" s="33" t="n">
        <f aca="false">'Clients &amp; revenue'!V63/FX_EUR</f>
        <v>506.18628586677</v>
      </c>
      <c r="W34" s="33" t="n">
        <f aca="false">'Clients &amp; revenue'!W63/FX_EUR</f>
        <v>1146.33128998482</v>
      </c>
      <c r="X34" s="33" t="n">
        <f aca="false">'Clients &amp; revenue'!X63/FX_EUR</f>
        <v>1920.82430970446</v>
      </c>
      <c r="Y34" s="33" t="n">
        <f aca="false">'Clients &amp; revenue'!Y63/FX_EUR</f>
        <v>2850.59225991948</v>
      </c>
      <c r="Z34" s="33" t="n">
        <f aca="false">'Clients &amp; revenue'!Z63/FX_EUR</f>
        <v>3926.01429579283</v>
      </c>
      <c r="AA34" s="33" t="n">
        <f aca="false">'Clients &amp; revenue'!AA63/FX_EUR</f>
        <v>5148.00133177951</v>
      </c>
      <c r="AB34" s="33" t="n">
        <f aca="false">'Clients &amp; revenue'!AB63/FX_EUR</f>
        <v>6517.72933444501</v>
      </c>
      <c r="AC34" s="33" t="n">
        <f aca="false">'Clients &amp; revenue'!AC63/FX_EUR</f>
        <v>8214.78035660167</v>
      </c>
      <c r="AD34" s="33" t="n">
        <f aca="false">'Clients &amp; revenue'!AD63/FX_EUR</f>
        <v>10104.9302387999</v>
      </c>
      <c r="AE34" s="33" t="n">
        <f aca="false">'Clients &amp; revenue'!AE63/FX_EUR</f>
        <v>12240.2899514609</v>
      </c>
      <c r="AF34" s="33" t="n">
        <f aca="false">'Clients &amp; revenue'!AF63/FX_EUR</f>
        <v>14581.2241998533</v>
      </c>
      <c r="AG34" s="33" t="n">
        <f aca="false">'Clients &amp; revenue'!AG63/FX_EUR</f>
        <v>17129.6021981961</v>
      </c>
      <c r="AH34" s="33" t="n">
        <f aca="false">'Clients &amp; revenue'!AH63/FX_EUR</f>
        <v>18357.8706096721</v>
      </c>
      <c r="AI34" s="33" t="n">
        <f aca="false">'Clients &amp; revenue'!AI63/FX_EUR</f>
        <v>19653.6904681688</v>
      </c>
      <c r="AJ34" s="33" t="n">
        <f aca="false">'Clients &amp; revenue'!AJ63/FX_EUR</f>
        <v>20956.577662373</v>
      </c>
      <c r="AK34" s="33" t="n">
        <f aca="false">'Clients &amp; revenue'!AK63/FX_EUR</f>
        <v>22267.8001514599</v>
      </c>
      <c r="AL34" s="33" t="n">
        <f aca="false">'Clients &amp; revenue'!AL63/FX_EUR</f>
        <v>23588.6903716399</v>
      </c>
      <c r="AM34" s="33" t="n">
        <f aca="false">'Clients &amp; revenue'!AM63/FX_EUR</f>
        <v>24981.6044996968</v>
      </c>
      <c r="AN34" s="33" t="n">
        <f aca="false">'Clients &amp; revenue'!AN63/FX_EUR</f>
        <v>26386.3350119979</v>
      </c>
      <c r="AO34" s="33" t="n">
        <f aca="false">'Clients &amp; revenue'!AO63/FX_EUR</f>
        <v>27992.38824672</v>
      </c>
      <c r="AP34" s="33" t="n">
        <f aca="false">'Clients &amp; revenue'!AP63/FX_EUR</f>
        <v>29672.178519336</v>
      </c>
      <c r="AQ34" s="33" t="n">
        <f aca="false">'Clients &amp; revenue'!AQ63/FX_EUR</f>
        <v>31365.7854612595</v>
      </c>
      <c r="AR34" s="33" t="n">
        <f aca="false">'Clients &amp; revenue'!AR63/FX_EUR</f>
        <v>33075.0720065017</v>
      </c>
      <c r="AS34" s="33" t="n">
        <f aca="false">'Clients &amp; revenue'!AS63/FX_EUR</f>
        <v>34862.9539266974</v>
      </c>
      <c r="AT34" s="33" t="n">
        <f aca="false">'Clients &amp; revenue'!AT63/FX_EUR</f>
        <v>36669.8141778274</v>
      </c>
      <c r="AU34" s="33" t="n">
        <f aca="false">'Clients &amp; revenue'!AU63/FX_EUR</f>
        <v>38497.837110304</v>
      </c>
      <c r="AV34" s="33" t="n">
        <f aca="false">'Clients &amp; revenue'!AV63/FX_EUR</f>
        <v>40465.1387840258</v>
      </c>
      <c r="AW34" s="33" t="n">
        <f aca="false">'Clients &amp; revenue'!AW63/FX_EUR</f>
        <v>42439.5339120586</v>
      </c>
      <c r="AX34" s="33" t="n">
        <f aca="false">'Clients &amp; revenue'!AX63/FX_EUR</f>
        <v>44464.5588636233</v>
      </c>
      <c r="AY34" s="33" t="n">
        <f aca="false">'Clients &amp; revenue'!AY63/FX_EUR</f>
        <v>46479.4358027061</v>
      </c>
      <c r="AZ34" s="33" t="n">
        <f aca="false">'Clients &amp; revenue'!AZ63/FX_EUR</f>
        <v>48485.111618995</v>
      </c>
      <c r="BA34" s="33" t="n">
        <f aca="false">'Clients &amp; revenue'!BA63/FX_EUR</f>
        <v>50732.4852236957</v>
      </c>
      <c r="BB34" s="33" t="n">
        <f aca="false">'Clients &amp; revenue'!BB63/FX_EUR</f>
        <v>52969.683923267</v>
      </c>
      <c r="BC34" s="33" t="n">
        <f aca="false">'Clients &amp; revenue'!BC63/FX_EUR</f>
        <v>55258.7651108026</v>
      </c>
      <c r="BD34" s="33" t="n">
        <f aca="false">'Clients &amp; revenue'!BD63/FX_EUR</f>
        <v>57539.1925005444</v>
      </c>
      <c r="BE34" s="33" t="n">
        <f aca="false">'Clients &amp; revenue'!BE63/FX_EUR</f>
        <v>59867.0265228024</v>
      </c>
      <c r="BF34" s="33" t="n">
        <f aca="false">'Clients &amp; revenue'!BF63/FX_EUR</f>
        <v>62248.9586674257</v>
      </c>
      <c r="BG34" s="33" t="n">
        <f aca="false">'Clients &amp; revenue'!BG63/FX_EUR</f>
        <v>64624.6180307416</v>
      </c>
      <c r="BH34" s="33" t="n">
        <f aca="false">'Clients &amp; revenue'!BH63/FX_EUR</f>
        <v>67056.3355032584</v>
      </c>
      <c r="BI34" s="33" t="n">
        <f aca="false">'Clients &amp; revenue'!BI63/FX_EUR</f>
        <v>69538.7239967684</v>
      </c>
      <c r="BJ34" s="33" t="n">
        <f aca="false">'Clients &amp; revenue'!BJ63/FX_EUR</f>
        <v>72078.7327692794</v>
      </c>
      <c r="BK34" s="33" t="n">
        <f aca="false">'Clients &amp; revenue'!BK63/FX_EUR</f>
        <v>74603.2014003658</v>
      </c>
      <c r="BL34" s="33" t="n">
        <f aca="false">'Clients &amp; revenue'!BL63/FX_EUR</f>
        <v>77159.7528930621</v>
      </c>
    </row>
    <row r="35" customFormat="false" ht="15" hidden="false" customHeight="true" outlineLevel="0" collapsed="false">
      <c r="A35" s="13" t="s">
        <v>994</v>
      </c>
      <c r="B35" s="15" t="s">
        <v>79</v>
      </c>
      <c r="D35" s="56" t="n">
        <f aca="false">'Clients &amp; revenue'!D64/FX_EUR</f>
        <v>392412.727288428</v>
      </c>
      <c r="E35" s="33" t="n">
        <f aca="false">'Clients &amp; revenue'!E64/FX_EUR</f>
        <v>0</v>
      </c>
      <c r="F35" s="33" t="n">
        <f aca="false">'Clients &amp; revenue'!F64/FX_EUR</f>
        <v>0</v>
      </c>
      <c r="G35" s="33" t="n">
        <f aca="false">'Clients &amp; revenue'!G64/FX_EUR</f>
        <v>0</v>
      </c>
      <c r="H35" s="33" t="n">
        <f aca="false">'Clients &amp; revenue'!H64/FX_EUR</f>
        <v>0</v>
      </c>
      <c r="I35" s="33" t="n">
        <f aca="false">'Clients &amp; revenue'!I64/FX_EUR</f>
        <v>94.2643089917988</v>
      </c>
      <c r="J35" s="33" t="n">
        <f aca="false">'Clients &amp; revenue'!J64/FX_EUR</f>
        <v>188.453536842608</v>
      </c>
      <c r="K35" s="33" t="n">
        <f aca="false">'Clients &amp; revenue'!K64/FX_EUR</f>
        <v>282.623919136468</v>
      </c>
      <c r="L35" s="33" t="n">
        <f aca="false">'Clients &amp; revenue'!L64/FX_EUR</f>
        <v>376.834388059005</v>
      </c>
      <c r="M35" s="33" t="n">
        <f aca="false">'Clients &amp; revenue'!M64/FX_EUR</f>
        <v>471.146742049782</v>
      </c>
      <c r="N35" s="33" t="n">
        <f aca="false">'Clients &amp; revenue'!N64/FX_EUR</f>
        <v>565.625825540175</v>
      </c>
      <c r="O35" s="33" t="n">
        <f aca="false">'Clients &amp; revenue'!O64/FX_EUR</f>
        <v>660.339719383062</v>
      </c>
      <c r="P35" s="33" t="n">
        <f aca="false">'Clients &amp; revenue'!P64/FX_EUR</f>
        <v>755.359942616936</v>
      </c>
      <c r="Q35" s="33" t="n">
        <f aca="false">'Clients &amp; revenue'!Q64/FX_EUR</f>
        <v>884.046368342458</v>
      </c>
      <c r="R35" s="33" t="n">
        <f aca="false">'Clients &amp; revenue'!R64/FX_EUR</f>
        <v>1012.8438545773</v>
      </c>
      <c r="S35" s="33" t="n">
        <f aca="false">'Clients &amp; revenue'!S64/FX_EUR</f>
        <v>1141.83943865764</v>
      </c>
      <c r="T35" s="33" t="n">
        <f aca="false">'Clients &amp; revenue'!T64/FX_EUR</f>
        <v>1271.12448613492</v>
      </c>
      <c r="U35" s="33" t="n">
        <f aca="false">'Clients &amp; revenue'!U64/FX_EUR</f>
        <v>1400.79496081426</v>
      </c>
      <c r="V35" s="33" t="n">
        <f aca="false">'Clients &amp; revenue'!V64/FX_EUR</f>
        <v>1530.95171087201</v>
      </c>
      <c r="W35" s="33" t="n">
        <f aca="false">'Clients &amp; revenue'!W64/FX_EUR</f>
        <v>1733.85997351119</v>
      </c>
      <c r="X35" s="33" t="n">
        <f aca="false">'Clients &amp; revenue'!X64/FX_EUR</f>
        <v>1937.40044067897</v>
      </c>
      <c r="Y35" s="33" t="n">
        <f aca="false">'Clients &amp; revenue'!Y64/FX_EUR</f>
        <v>2156.97775425743</v>
      </c>
      <c r="Z35" s="33" t="n">
        <f aca="false">'Clients &amp; revenue'!Z64/FX_EUR</f>
        <v>2377.35491155467</v>
      </c>
      <c r="AA35" s="33" t="n">
        <f aca="false">'Clients &amp; revenue'!AA64/FX_EUR</f>
        <v>2598.71039511439</v>
      </c>
      <c r="AB35" s="33" t="n">
        <f aca="false">'Clients &amp; revenue'!AB64/FX_EUR</f>
        <v>2821.23194673152</v>
      </c>
      <c r="AC35" s="33" t="n">
        <f aca="false">'Clients &amp; revenue'!AC64/FX_EUR</f>
        <v>3111.94062565681</v>
      </c>
      <c r="AD35" s="33" t="n">
        <f aca="false">'Clients &amp; revenue'!AD64/FX_EUR</f>
        <v>3403.51931078289</v>
      </c>
      <c r="AE35" s="33" t="n">
        <f aca="false">'Clients &amp; revenue'!AE64/FX_EUR</f>
        <v>3711.43976411465</v>
      </c>
      <c r="AF35" s="33" t="n">
        <f aca="false">'Clients &amp; revenue'!AF64/FX_EUR</f>
        <v>4020.53554483332</v>
      </c>
      <c r="AG35" s="33" t="n">
        <f aca="false">'Clients &amp; revenue'!AG64/FX_EUR</f>
        <v>4331.05935236538</v>
      </c>
      <c r="AH35" s="33" t="n">
        <f aca="false">'Clients &amp; revenue'!AH64/FX_EUR</f>
        <v>4643.27702637284</v>
      </c>
      <c r="AI35" s="33" t="n">
        <f aca="false">'Clients &amp; revenue'!AI64/FX_EUR</f>
        <v>4972.71326024635</v>
      </c>
      <c r="AJ35" s="33" t="n">
        <f aca="false">'Clients &amp; revenue'!AJ64/FX_EUR</f>
        <v>5304.25768466387</v>
      </c>
      <c r="AK35" s="33" t="n">
        <f aca="false">'Clients &amp; revenue'!AK64/FX_EUR</f>
        <v>5638.22239945354</v>
      </c>
      <c r="AL35" s="33" t="n">
        <f aca="false">'Clients &amp; revenue'!AL64/FX_EUR</f>
        <v>5974.93617370125</v>
      </c>
      <c r="AM35" s="33" t="n">
        <f aca="false">'Clients &amp; revenue'!AM64/FX_EUR</f>
        <v>6329.99037136367</v>
      </c>
      <c r="AN35" s="33" t="n">
        <f aca="false">'Clients &amp; revenue'!AN64/FX_EUR</f>
        <v>6688.34525966975</v>
      </c>
      <c r="AO35" s="33" t="n">
        <f aca="false">'Clients &amp; revenue'!AO64/FX_EUR</f>
        <v>7097.39289296098</v>
      </c>
      <c r="AP35" s="33" t="n">
        <f aca="false">'Clients &amp; revenue'!AP64/FX_EUR</f>
        <v>7525.28757250953</v>
      </c>
      <c r="AQ35" s="33" t="n">
        <f aca="false">'Clients &amp; revenue'!AQ64/FX_EUR</f>
        <v>7957.06027422192</v>
      </c>
      <c r="AR35" s="33" t="n">
        <f aca="false">'Clients &amp; revenue'!AR64/FX_EUR</f>
        <v>8393.17244314566</v>
      </c>
      <c r="AS35" s="33" t="n">
        <f aca="false">'Clients &amp; revenue'!AS64/FX_EUR</f>
        <v>8849.35558082343</v>
      </c>
      <c r="AT35" s="33" t="n">
        <f aca="false">'Clients &amp; revenue'!AT64/FX_EUR</f>
        <v>9310.71800713219</v>
      </c>
      <c r="AU35" s="33" t="n">
        <f aca="false">'Clients &amp; revenue'!AU64/FX_EUR</f>
        <v>9777.80311105087</v>
      </c>
      <c r="AV35" s="33" t="n">
        <f aca="false">'Clients &amp; revenue'!AV64/FX_EUR</f>
        <v>10280.1496260109</v>
      </c>
      <c r="AW35" s="33" t="n">
        <f aca="false">'Clients &amp; revenue'!AW64/FX_EUR</f>
        <v>10784.7376439139</v>
      </c>
      <c r="AX35" s="33" t="n">
        <f aca="false">'Clients &amp; revenue'!AX64/FX_EUR</f>
        <v>11302.4477118803</v>
      </c>
      <c r="AY35" s="33" t="n">
        <f aca="false">'Clients &amp; revenue'!AY64/FX_EUR</f>
        <v>11818.0869160625</v>
      </c>
      <c r="AZ35" s="33" t="n">
        <f aca="false">'Clients &amp; revenue'!AZ64/FX_EUR</f>
        <v>12331.8780603015</v>
      </c>
      <c r="BA35" s="33" t="n">
        <f aca="false">'Clients &amp; revenue'!BA64/FX_EUR</f>
        <v>12906.557578885</v>
      </c>
      <c r="BB35" s="33" t="n">
        <f aca="false">'Clients &amp; revenue'!BB64/FX_EUR</f>
        <v>13479.2075684902</v>
      </c>
      <c r="BC35" s="33" t="n">
        <f aca="false">'Clients &amp; revenue'!BC64/FX_EUR</f>
        <v>14065.3334858582</v>
      </c>
      <c r="BD35" s="33" t="n">
        <f aca="false">'Clients &amp; revenue'!BD64/FX_EUR</f>
        <v>14649.802322421</v>
      </c>
      <c r="BE35" s="33" t="n">
        <f aca="false">'Clients &amp; revenue'!BE64/FX_EUR</f>
        <v>15246.6203693875</v>
      </c>
      <c r="BF35" s="33" t="n">
        <f aca="false">'Clients &amp; revenue'!BF64/FX_EUR</f>
        <v>15857.466831265</v>
      </c>
      <c r="BG35" s="33" t="n">
        <f aca="false">'Clients &amp; revenue'!BG64/FX_EUR</f>
        <v>16467.2508304082</v>
      </c>
      <c r="BH35" s="33" t="n">
        <f aca="false">'Clients &amp; revenue'!BH64/FX_EUR</f>
        <v>17091.5477114918</v>
      </c>
      <c r="BI35" s="33" t="n">
        <f aca="false">'Clients &amp; revenue'!BI64/FX_EUR</f>
        <v>17729.0188342065</v>
      </c>
      <c r="BJ35" s="33" t="n">
        <f aca="false">'Clients &amp; revenue'!BJ64/FX_EUR</f>
        <v>18381.4087750456</v>
      </c>
      <c r="BK35" s="33" t="n">
        <f aca="false">'Clients &amp; revenue'!BK64/FX_EUR</f>
        <v>19030.4289735484</v>
      </c>
      <c r="BL35" s="33" t="n">
        <f aca="false">'Clients &amp; revenue'!BL64/FX_EUR</f>
        <v>19687.9727703156</v>
      </c>
    </row>
    <row r="36" customFormat="false" ht="15" hidden="false" customHeight="true" outlineLevel="0" collapsed="false">
      <c r="A36" s="13" t="s">
        <v>1259</v>
      </c>
      <c r="B36" s="15" t="s">
        <v>79</v>
      </c>
      <c r="D36" s="56" t="n">
        <f aca="false">'Clients &amp; revenue'!D65/FX_EUR</f>
        <v>0</v>
      </c>
      <c r="E36" s="33" t="n">
        <f aca="false">'Clients &amp; revenue'!E65/FX_EUR</f>
        <v>0</v>
      </c>
      <c r="F36" s="33" t="n">
        <f aca="false">'Clients &amp; revenue'!F65/FX_EUR</f>
        <v>0</v>
      </c>
      <c r="G36" s="33" t="n">
        <f aca="false">'Clients &amp; revenue'!G65/FX_EUR</f>
        <v>0</v>
      </c>
      <c r="H36" s="33" t="n">
        <f aca="false">'Clients &amp; revenue'!H65/FX_EUR</f>
        <v>0</v>
      </c>
      <c r="I36" s="33" t="n">
        <f aca="false">'Clients &amp; revenue'!I65/FX_EUR</f>
        <v>0</v>
      </c>
      <c r="J36" s="33" t="n">
        <f aca="false">'Clients &amp; revenue'!J65/FX_EUR</f>
        <v>0</v>
      </c>
      <c r="K36" s="33" t="n">
        <f aca="false">'Clients &amp; revenue'!K65/FX_EUR</f>
        <v>0</v>
      </c>
      <c r="L36" s="33" t="n">
        <f aca="false">'Clients &amp; revenue'!L65/FX_EUR</f>
        <v>0</v>
      </c>
      <c r="M36" s="33" t="n">
        <f aca="false">'Clients &amp; revenue'!M65/FX_EUR</f>
        <v>0</v>
      </c>
      <c r="N36" s="33" t="n">
        <f aca="false">'Clients &amp; revenue'!N65/FX_EUR</f>
        <v>0</v>
      </c>
      <c r="O36" s="33" t="n">
        <f aca="false">'Clients &amp; revenue'!O65/FX_EUR</f>
        <v>0</v>
      </c>
      <c r="P36" s="33" t="n">
        <f aca="false">'Clients &amp; revenue'!P65/FX_EUR</f>
        <v>0</v>
      </c>
      <c r="Q36" s="33" t="n">
        <f aca="false">'Clients &amp; revenue'!Q65/FX_EUR</f>
        <v>0</v>
      </c>
      <c r="R36" s="33" t="n">
        <f aca="false">'Clients &amp; revenue'!R65/FX_EUR</f>
        <v>0</v>
      </c>
      <c r="S36" s="33" t="n">
        <f aca="false">'Clients &amp; revenue'!S65/FX_EUR</f>
        <v>0</v>
      </c>
      <c r="T36" s="33" t="n">
        <f aca="false">'Clients &amp; revenue'!T65/FX_EUR</f>
        <v>0</v>
      </c>
      <c r="U36" s="33" t="n">
        <f aca="false">'Clients &amp; revenue'!U65/FX_EUR</f>
        <v>0</v>
      </c>
      <c r="V36" s="33" t="n">
        <f aca="false">'Clients &amp; revenue'!V65/FX_EUR</f>
        <v>0</v>
      </c>
      <c r="W36" s="33" t="n">
        <f aca="false">'Clients &amp; revenue'!W65/FX_EUR</f>
        <v>0</v>
      </c>
      <c r="X36" s="33" t="n">
        <f aca="false">'Clients &amp; revenue'!X65/FX_EUR</f>
        <v>0</v>
      </c>
      <c r="Y36" s="33" t="n">
        <f aca="false">'Clients &amp; revenue'!Y65/FX_EUR</f>
        <v>0</v>
      </c>
      <c r="Z36" s="33" t="n">
        <f aca="false">'Clients &amp; revenue'!Z65/FX_EUR</f>
        <v>0</v>
      </c>
      <c r="AA36" s="33" t="n">
        <f aca="false">'Clients &amp; revenue'!AA65/FX_EUR</f>
        <v>0</v>
      </c>
      <c r="AB36" s="33" t="n">
        <f aca="false">'Clients &amp; revenue'!AB65/FX_EUR</f>
        <v>0</v>
      </c>
      <c r="AC36" s="33" t="n">
        <f aca="false">'Clients &amp; revenue'!AC65/FX_EUR</f>
        <v>0</v>
      </c>
      <c r="AD36" s="33" t="n">
        <f aca="false">'Clients &amp; revenue'!AD65/FX_EUR</f>
        <v>0</v>
      </c>
      <c r="AE36" s="33" t="n">
        <f aca="false">'Clients &amp; revenue'!AE65/FX_EUR</f>
        <v>0</v>
      </c>
      <c r="AF36" s="33" t="n">
        <f aca="false">'Clients &amp; revenue'!AF65/FX_EUR</f>
        <v>0</v>
      </c>
      <c r="AG36" s="33" t="n">
        <f aca="false">'Clients &amp; revenue'!AG65/FX_EUR</f>
        <v>0</v>
      </c>
      <c r="AH36" s="33" t="n">
        <f aca="false">'Clients &amp; revenue'!AH65/FX_EUR</f>
        <v>0</v>
      </c>
      <c r="AI36" s="33" t="n">
        <f aca="false">'Clients &amp; revenue'!AI65/FX_EUR</f>
        <v>0</v>
      </c>
      <c r="AJ36" s="33" t="n">
        <f aca="false">'Clients &amp; revenue'!AJ65/FX_EUR</f>
        <v>0</v>
      </c>
      <c r="AK36" s="33" t="n">
        <f aca="false">'Clients &amp; revenue'!AK65/FX_EUR</f>
        <v>0</v>
      </c>
      <c r="AL36" s="33" t="n">
        <f aca="false">'Clients &amp; revenue'!AL65/FX_EUR</f>
        <v>0</v>
      </c>
      <c r="AM36" s="33" t="n">
        <f aca="false">'Clients &amp; revenue'!AM65/FX_EUR</f>
        <v>0</v>
      </c>
      <c r="AN36" s="33" t="n">
        <f aca="false">'Clients &amp; revenue'!AN65/FX_EUR</f>
        <v>0</v>
      </c>
      <c r="AO36" s="33" t="n">
        <f aca="false">'Clients &amp; revenue'!AO65/FX_EUR</f>
        <v>0</v>
      </c>
      <c r="AP36" s="33" t="n">
        <f aca="false">'Clients &amp; revenue'!AP65/FX_EUR</f>
        <v>0</v>
      </c>
      <c r="AQ36" s="33" t="n">
        <f aca="false">'Clients &amp; revenue'!AQ65/FX_EUR</f>
        <v>0</v>
      </c>
      <c r="AR36" s="33" t="n">
        <f aca="false">'Clients &amp; revenue'!AR65/FX_EUR</f>
        <v>0</v>
      </c>
      <c r="AS36" s="33" t="n">
        <f aca="false">'Clients &amp; revenue'!AS65/FX_EUR</f>
        <v>0</v>
      </c>
      <c r="AT36" s="33" t="n">
        <f aca="false">'Clients &amp; revenue'!AT65/FX_EUR</f>
        <v>0</v>
      </c>
      <c r="AU36" s="33" t="n">
        <f aca="false">'Clients &amp; revenue'!AU65/FX_EUR</f>
        <v>0</v>
      </c>
      <c r="AV36" s="33" t="n">
        <f aca="false">'Clients &amp; revenue'!AV65/FX_EUR</f>
        <v>0</v>
      </c>
      <c r="AW36" s="33" t="n">
        <f aca="false">'Clients &amp; revenue'!AW65/FX_EUR</f>
        <v>0</v>
      </c>
      <c r="AX36" s="33" t="n">
        <f aca="false">'Clients &amp; revenue'!AX65/FX_EUR</f>
        <v>0</v>
      </c>
      <c r="AY36" s="33" t="n">
        <f aca="false">'Clients &amp; revenue'!AY65/FX_EUR</f>
        <v>0</v>
      </c>
      <c r="AZ36" s="33" t="n">
        <f aca="false">'Clients &amp; revenue'!AZ65/FX_EUR</f>
        <v>0</v>
      </c>
      <c r="BA36" s="33" t="n">
        <f aca="false">'Clients &amp; revenue'!BA65/FX_EUR</f>
        <v>0</v>
      </c>
      <c r="BB36" s="33" t="n">
        <f aca="false">'Clients &amp; revenue'!BB65/FX_EUR</f>
        <v>0</v>
      </c>
      <c r="BC36" s="33" t="n">
        <f aca="false">'Clients &amp; revenue'!BC65/FX_EUR</f>
        <v>0</v>
      </c>
      <c r="BD36" s="33" t="n">
        <f aca="false">'Clients &amp; revenue'!BD65/FX_EUR</f>
        <v>0</v>
      </c>
      <c r="BE36" s="33" t="n">
        <f aca="false">'Clients &amp; revenue'!BE65/FX_EUR</f>
        <v>0</v>
      </c>
      <c r="BF36" s="33" t="n">
        <f aca="false">'Clients &amp; revenue'!BF65/FX_EUR</f>
        <v>0</v>
      </c>
      <c r="BG36" s="33" t="n">
        <f aca="false">'Clients &amp; revenue'!BG65/FX_EUR</f>
        <v>0</v>
      </c>
      <c r="BH36" s="33" t="n">
        <f aca="false">'Clients &amp; revenue'!BH65/FX_EUR</f>
        <v>0</v>
      </c>
      <c r="BI36" s="33" t="n">
        <f aca="false">'Clients &amp; revenue'!BI65/FX_EUR</f>
        <v>0</v>
      </c>
      <c r="BJ36" s="33" t="n">
        <f aca="false">'Clients &amp; revenue'!BJ65/FX_EUR</f>
        <v>0</v>
      </c>
      <c r="BK36" s="33" t="n">
        <f aca="false">'Clients &amp; revenue'!BK65/FX_EUR</f>
        <v>0</v>
      </c>
      <c r="BL36" s="33" t="n">
        <f aca="false">'Clients &amp; revenue'!BL65/FX_EUR</f>
        <v>0</v>
      </c>
    </row>
    <row r="37" customFormat="false" ht="15" hidden="false" customHeight="true" outlineLevel="0" collapsed="false">
      <c r="A37" s="13" t="s">
        <v>1242</v>
      </c>
      <c r="B37" s="15" t="s">
        <v>79</v>
      </c>
      <c r="D37" s="56" t="n">
        <f aca="false">'Clients &amp; revenue'!D66/FX_EUR</f>
        <v>11681557.2981907</v>
      </c>
      <c r="E37" s="33" t="n">
        <f aca="false">'Clients &amp; revenue'!E66/FX_EUR</f>
        <v>0</v>
      </c>
      <c r="F37" s="33" t="n">
        <f aca="false">'Clients &amp; revenue'!F66/FX_EUR</f>
        <v>0</v>
      </c>
      <c r="G37" s="33" t="n">
        <f aca="false">'Clients &amp; revenue'!G66/FX_EUR</f>
        <v>0</v>
      </c>
      <c r="H37" s="33" t="n">
        <f aca="false">'Clients &amp; revenue'!H66/FX_EUR</f>
        <v>0</v>
      </c>
      <c r="I37" s="33" t="n">
        <f aca="false">'Clients &amp; revenue'!I66/FX_EUR</f>
        <v>2823.21605430437</v>
      </c>
      <c r="J37" s="33" t="n">
        <f aca="false">'Clients &amp; revenue'!J66/FX_EUR</f>
        <v>5642.47253122791</v>
      </c>
      <c r="K37" s="33" t="n">
        <f aca="false">'Clients &amp; revenue'!K66/FX_EUR</f>
        <v>8459.51107051415</v>
      </c>
      <c r="L37" s="33" t="n">
        <f aca="false">'Clients &amp; revenue'!L66/FX_EUR</f>
        <v>11276.1516822703</v>
      </c>
      <c r="M37" s="33" t="n">
        <f aca="false">'Clients &amp; revenue'!M66/FX_EUR</f>
        <v>14094.297842109</v>
      </c>
      <c r="N37" s="33" t="n">
        <f aca="false">'Clients &amp; revenue'!N66/FX_EUR</f>
        <v>16915.941885471</v>
      </c>
      <c r="O37" s="33" t="n">
        <f aca="false">'Clients &amp; revenue'!O66/FX_EUR</f>
        <v>19743.1707191965</v>
      </c>
      <c r="P37" s="33" t="n">
        <f aca="false">'Clients &amp; revenue'!P66/FX_EUR</f>
        <v>22578.1718694939</v>
      </c>
      <c r="Q37" s="33" t="n">
        <f aca="false">'Clients &amp; revenue'!Q66/FX_EUR</f>
        <v>26420.1167144009</v>
      </c>
      <c r="R37" s="33" t="n">
        <f aca="false">'Clients &amp; revenue'!R66/FX_EUR</f>
        <v>30263.4654592145</v>
      </c>
      <c r="S37" s="33" t="n">
        <f aca="false">'Clients &amp; revenue'!S66/FX_EUR</f>
        <v>34110.8894630924</v>
      </c>
      <c r="T37" s="33" t="n">
        <f aca="false">'Clients &amp; revenue'!T66/FX_EUR</f>
        <v>37965.1866018669</v>
      </c>
      <c r="U37" s="33" t="n">
        <f aca="false">'Clients &amp; revenue'!U66/FX_EUR</f>
        <v>41829.2893618345</v>
      </c>
      <c r="V37" s="33" t="n">
        <f aca="false">'Clients &amp; revenue'!V66/FX_EUR</f>
        <v>45706.2734108803</v>
      </c>
      <c r="W37" s="33" t="n">
        <f aca="false">'Clients &amp; revenue'!W66/FX_EUR</f>
        <v>51760.5347604234</v>
      </c>
      <c r="X37" s="33" t="n">
        <f aca="false">'Clients &amp; revenue'!X66/FX_EUR</f>
        <v>57830.8394871123</v>
      </c>
      <c r="Y37" s="33" t="n">
        <f aca="false">'Clients &amp; revenue'!Y66/FX_EUR</f>
        <v>64378.6467157201</v>
      </c>
      <c r="Z37" s="33" t="n">
        <f aca="false">'Clients &amp; revenue'!Z66/FX_EUR</f>
        <v>70947.4166503555</v>
      </c>
      <c r="AA37" s="33" t="n">
        <f aca="false">'Clients &amp; revenue'!AA66/FX_EUR</f>
        <v>77542.5869570762</v>
      </c>
      <c r="AB37" s="33" t="n">
        <f aca="false">'Clients &amp; revenue'!AB66/FX_EUR</f>
        <v>84169.8672753847</v>
      </c>
      <c r="AC37" s="33" t="n">
        <f aca="false">'Clients &amp; revenue'!AC66/FX_EUR</f>
        <v>92836.6197439693</v>
      </c>
      <c r="AD37" s="33" t="n">
        <f aca="false">'Clients &amp; revenue'!AD66/FX_EUR</f>
        <v>101525.559769111</v>
      </c>
      <c r="AE37" s="33" t="n">
        <f aca="false">'Clients &amp; revenue'!AE66/FX_EUR</f>
        <v>110700.189681795</v>
      </c>
      <c r="AF37" s="33" t="n">
        <f aca="false">'Clients &amp; revenue'!AF66/FX_EUR</f>
        <v>119906.113982076</v>
      </c>
      <c r="AG37" s="33" t="n">
        <f aca="false">'Clients &amp; revenue'!AG66/FX_EUR</f>
        <v>129151.022102753</v>
      </c>
      <c r="AH37" s="33" t="n">
        <f aca="false">'Clients &amp; revenue'!AH66/FX_EUR</f>
        <v>138442.989679644</v>
      </c>
      <c r="AI37" s="33" t="n">
        <f aca="false">'Clients &amp; revenue'!AI66/FX_EUR</f>
        <v>148247.087640812</v>
      </c>
      <c r="AJ37" s="33" t="n">
        <f aca="false">'Clients &amp; revenue'!AJ66/FX_EUR</f>
        <v>158110.582672623</v>
      </c>
      <c r="AK37" s="33" t="n">
        <f aca="false">'Clients &amp; revenue'!AK66/FX_EUR</f>
        <v>168042.92560057</v>
      </c>
      <c r="AL37" s="33" t="n">
        <f aca="false">'Clients &amp; revenue'!AL66/FX_EUR</f>
        <v>178054.058613789</v>
      </c>
      <c r="AM37" s="33" t="n">
        <f aca="false">'Clients &amp; revenue'!AM66/FX_EUR</f>
        <v>188611.030665823</v>
      </c>
      <c r="AN37" s="33" t="n">
        <f aca="false">'Clients &amp; revenue'!AN66/FX_EUR</f>
        <v>199263.204630929</v>
      </c>
      <c r="AO37" s="33" t="n">
        <f aca="false">'Clients &amp; revenue'!AO66/FX_EUR</f>
        <v>211430.055930402</v>
      </c>
      <c r="AP37" s="33" t="n">
        <f aca="false">'Clients &amp; revenue'!AP66/FX_EUR</f>
        <v>224157.027543753</v>
      </c>
      <c r="AQ37" s="33" t="n">
        <f aca="false">'Clients &amp; revenue'!AQ66/FX_EUR</f>
        <v>236995.62347927</v>
      </c>
      <c r="AR37" s="33" t="n">
        <f aca="false">'Clients &amp; revenue'!AR66/FX_EUR</f>
        <v>249959.769044417</v>
      </c>
      <c r="AS37" s="33" t="n">
        <f aca="false">'Clients &amp; revenue'!AS66/FX_EUR</f>
        <v>263520.717352711</v>
      </c>
      <c r="AT37" s="33" t="n">
        <f aca="false">'Clients &amp; revenue'!AT66/FX_EUR</f>
        <v>277232.270002873</v>
      </c>
      <c r="AU37" s="33" t="n">
        <f aca="false">'Clients &amp; revenue'!AU66/FX_EUR</f>
        <v>291110.786881385</v>
      </c>
      <c r="AV37" s="33" t="n">
        <f aca="false">'Clients &amp; revenue'!AV66/FX_EUR</f>
        <v>306041.027222515</v>
      </c>
      <c r="AW37" s="33" t="n">
        <f aca="false">'Clients &amp; revenue'!AW66/FX_EUR</f>
        <v>321033.581809361</v>
      </c>
      <c r="AX37" s="33" t="n">
        <f aca="false">'Clients &amp; revenue'!AX66/FX_EUR</f>
        <v>336414.47593137</v>
      </c>
      <c r="AY37" s="33" t="n">
        <f aca="false">'Clients &amp; revenue'!AY66/FX_EUR</f>
        <v>351728.633776959</v>
      </c>
      <c r="AZ37" s="33" t="n">
        <f aca="false">'Clients &amp; revenue'!AZ66/FX_EUR</f>
        <v>366982.959107006</v>
      </c>
      <c r="BA37" s="33" t="n">
        <f aca="false">'Clients &amp; revenue'!BA66/FX_EUR</f>
        <v>384056.62883593</v>
      </c>
      <c r="BB37" s="33" t="n">
        <f aca="false">'Clients &amp; revenue'!BB66/FX_EUR</f>
        <v>401064.328032536</v>
      </c>
      <c r="BC37" s="33" t="n">
        <f aca="false">'Clients &amp; revenue'!BC66/FX_EUR</f>
        <v>418470.695004092</v>
      </c>
      <c r="BD37" s="33" t="n">
        <f aca="false">'Clients &amp; revenue'!BD66/FX_EUR</f>
        <v>435822.458092303</v>
      </c>
      <c r="BE37" s="33" t="n">
        <f aca="false">'Clients &amp; revenue'!BE66/FX_EUR</f>
        <v>453539.345185101</v>
      </c>
      <c r="BF37" s="33" t="n">
        <f aca="false">'Clients &amp; revenue'!BF66/FX_EUR</f>
        <v>471671.627492831</v>
      </c>
      <c r="BG37" s="33" t="n">
        <f aca="false">'Clients &amp; revenue'!BG66/FX_EUR</f>
        <v>489767.284032939</v>
      </c>
      <c r="BH37" s="33" t="n">
        <f aca="false">'Clients &amp; revenue'!BH66/FX_EUR</f>
        <v>508293.024261628</v>
      </c>
      <c r="BI37" s="33" t="n">
        <f aca="false">'Clients &amp; revenue'!BI66/FX_EUR</f>
        <v>527208.695220166</v>
      </c>
      <c r="BJ37" s="33" t="n">
        <f aca="false">'Clients &amp; revenue'!BJ66/FX_EUR</f>
        <v>546566.514103586</v>
      </c>
      <c r="BK37" s="33" t="n">
        <f aca="false">'Clients &amp; revenue'!BK66/FX_EUR</f>
        <v>565818.676617593</v>
      </c>
      <c r="BL37" s="33" t="n">
        <f aca="false">'Clients &amp; revenue'!BL66/FX_EUR</f>
        <v>585321.661934131</v>
      </c>
    </row>
    <row r="38" customFormat="false" ht="15" hidden="false" customHeight="true" outlineLevel="0" collapsed="false">
      <c r="A38" s="13" t="s">
        <v>174</v>
      </c>
      <c r="B38" s="15" t="s">
        <v>79</v>
      </c>
      <c r="D38" s="56" t="n">
        <f aca="false">'Clients &amp; revenue'!D67/FX_EUR</f>
        <v>2484837.92811611</v>
      </c>
      <c r="E38" s="33" t="n">
        <f aca="false">'Clients &amp; revenue'!E67/FX_EUR</f>
        <v>0</v>
      </c>
      <c r="F38" s="33" t="n">
        <f aca="false">'Clients &amp; revenue'!F67/FX_EUR</f>
        <v>0</v>
      </c>
      <c r="G38" s="33" t="n">
        <f aca="false">'Clients &amp; revenue'!G67/FX_EUR</f>
        <v>0</v>
      </c>
      <c r="H38" s="33" t="n">
        <f aca="false">'Clients &amp; revenue'!H67/FX_EUR</f>
        <v>0</v>
      </c>
      <c r="I38" s="33" t="n">
        <f aca="false">'Clients &amp; revenue'!I67/FX_EUR</f>
        <v>0</v>
      </c>
      <c r="J38" s="33" t="n">
        <f aca="false">'Clients &amp; revenue'!J67/FX_EUR</f>
        <v>0</v>
      </c>
      <c r="K38" s="33" t="n">
        <f aca="false">'Clients &amp; revenue'!K67/FX_EUR</f>
        <v>0</v>
      </c>
      <c r="L38" s="33" t="n">
        <f aca="false">'Clients &amp; revenue'!L67/FX_EUR</f>
        <v>0</v>
      </c>
      <c r="M38" s="33" t="n">
        <f aca="false">'Clients &amp; revenue'!M67/FX_EUR</f>
        <v>0</v>
      </c>
      <c r="N38" s="33" t="n">
        <f aca="false">'Clients &amp; revenue'!N67/FX_EUR</f>
        <v>0</v>
      </c>
      <c r="O38" s="33" t="n">
        <f aca="false">'Clients &amp; revenue'!O67/FX_EUR</f>
        <v>356.254436301581</v>
      </c>
      <c r="P38" s="33" t="n">
        <f aca="false">'Clients &amp; revenue'!P67/FX_EUR</f>
        <v>814.925085620694</v>
      </c>
      <c r="Q38" s="33" t="n">
        <f aca="false">'Clients &amp; revenue'!Q67/FX_EUR</f>
        <v>1430.51541186287</v>
      </c>
      <c r="R38" s="33" t="n">
        <f aca="false">'Clients &amp; revenue'!R67/FX_EUR</f>
        <v>2185.02821548865</v>
      </c>
      <c r="S38" s="33" t="n">
        <f aca="false">'Clients &amp; revenue'!S67/FX_EUR</f>
        <v>3078.83105378128</v>
      </c>
      <c r="T38" s="33" t="n">
        <f aca="false">'Clients &amp; revenue'!T67/FX_EUR</f>
        <v>4112.49694555962</v>
      </c>
      <c r="U38" s="33" t="n">
        <f aca="false">'Clients &amp; revenue'!U67/FX_EUR</f>
        <v>5286.81688588245</v>
      </c>
      <c r="V38" s="33" t="n">
        <f aca="false">'Clients &amp; revenue'!V67/FX_EUR</f>
        <v>6602.81330765319</v>
      </c>
      <c r="W38" s="33" t="n">
        <f aca="false">'Clients &amp; revenue'!W67/FX_EUR</f>
        <v>8412.44827455447</v>
      </c>
      <c r="X38" s="33" t="n">
        <f aca="false">'Clients &amp; revenue'!X67/FX_EUR</f>
        <v>10443.9730141465</v>
      </c>
      <c r="Y38" s="33" t="n">
        <f aca="false">'Clients &amp; revenue'!Y67/FX_EUR</f>
        <v>12789.8535872771</v>
      </c>
      <c r="Z38" s="33" t="n">
        <f aca="false">'Clients &amp; revenue'!Z67/FX_EUR</f>
        <v>15377.2438193968</v>
      </c>
      <c r="AA38" s="33" t="n">
        <f aca="false">'Clients &amp; revenue'!AA67/FX_EUR</f>
        <v>16807.9691929281</v>
      </c>
      <c r="AB38" s="33" t="n">
        <f aca="false">'Clients &amp; revenue'!AB67/FX_EUR</f>
        <v>18245.9756624022</v>
      </c>
      <c r="AC38" s="33" t="n">
        <f aca="false">'Clients &amp; revenue'!AC67/FX_EUR</f>
        <v>20125.574348584</v>
      </c>
      <c r="AD38" s="33" t="n">
        <f aca="false">'Clients &amp; revenue'!AD67/FX_EUR</f>
        <v>22010.419861986</v>
      </c>
      <c r="AE38" s="33" t="n">
        <f aca="false">'Clients &amp; revenue'!AE67/FX_EUR</f>
        <v>24000.790655732</v>
      </c>
      <c r="AF38" s="33" t="n">
        <f aca="false">'Clients &amp; revenue'!AF67/FX_EUR</f>
        <v>25998.395684441</v>
      </c>
      <c r="AG38" s="33" t="n">
        <f aca="false">'Clients &amp; revenue'!AG67/FX_EUR</f>
        <v>28004.8937479457</v>
      </c>
      <c r="AH38" s="33" t="n">
        <f aca="false">'Clients &amp; revenue'!AH67/FX_EUR</f>
        <v>30022.0277373876</v>
      </c>
      <c r="AI38" s="33" t="n">
        <f aca="false">'Clients &amp; revenue'!AI67/FX_EUR</f>
        <v>32150.4168669663</v>
      </c>
      <c r="AJ38" s="33" t="n">
        <f aca="false">'Clients &amp; revenue'!AJ67/FX_EUR</f>
        <v>34292.1311734261</v>
      </c>
      <c r="AK38" s="33" t="n">
        <f aca="false">'Clients &amp; revenue'!AK67/FX_EUR</f>
        <v>36449.2120795944</v>
      </c>
      <c r="AL38" s="33" t="n">
        <f aca="false">'Clients &amp; revenue'!AL67/FX_EUR</f>
        <v>38623.8079334929</v>
      </c>
      <c r="AM38" s="33" t="n">
        <f aca="false">'Clients &amp; revenue'!AM67/FX_EUR</f>
        <v>40916.9676106914</v>
      </c>
      <c r="AN38" s="33" t="n">
        <f aca="false">'Clients &amp; revenue'!AN67/FX_EUR</f>
        <v>43231.2164666386</v>
      </c>
      <c r="AO38" s="33" t="n">
        <f aca="false">'Clients &amp; revenue'!AO67/FX_EUR</f>
        <v>45873.6715766643</v>
      </c>
      <c r="AP38" s="33" t="n">
        <f aca="false">'Clients &amp; revenue'!AP67/FX_EUR</f>
        <v>48637.8867023895</v>
      </c>
      <c r="AQ38" s="33" t="n">
        <f aca="false">'Clients &amp; revenue'!AQ67/FX_EUR</f>
        <v>51426.8497539438</v>
      </c>
      <c r="AR38" s="33" t="n">
        <f aca="false">'Clients &amp; revenue'!AR67/FX_EUR</f>
        <v>54243.5715750865</v>
      </c>
      <c r="AS38" s="33" t="n">
        <f aca="false">'Clients &amp; revenue'!AS67/FX_EUR</f>
        <v>57190.011587993</v>
      </c>
      <c r="AT38" s="33" t="n">
        <f aca="false">'Clients &amp; revenue'!AT67/FX_EUR</f>
        <v>60169.6566810996</v>
      </c>
      <c r="AU38" s="33" t="n">
        <f aca="false">'Clients &amp; revenue'!AU67/FX_EUR</f>
        <v>63186.0464234747</v>
      </c>
      <c r="AV38" s="33" t="n">
        <f aca="false">'Clients &amp; revenue'!AV67/FX_EUR</f>
        <v>66430.6087630199</v>
      </c>
      <c r="AW38" s="33" t="n">
        <f aca="false">'Clients &amp; revenue'!AW67/FX_EUR</f>
        <v>69689.3276272739</v>
      </c>
      <c r="AX38" s="33" t="n">
        <f aca="false">'Clients &amp; revenue'!AX67/FX_EUR</f>
        <v>73032.7359990372</v>
      </c>
      <c r="AY38" s="33" t="n">
        <f aca="false">'Clients &amp; revenue'!AY67/FX_EUR</f>
        <v>76362.3866891788</v>
      </c>
      <c r="AZ38" s="33" t="n">
        <f aca="false">'Clients &amp; revenue'!AZ67/FX_EUR</f>
        <v>79679.7596514257</v>
      </c>
      <c r="BA38" s="33" t="n">
        <f aca="false">'Clients &amp; revenue'!BA67/FX_EUR</f>
        <v>83391.421602126</v>
      </c>
      <c r="BB38" s="33" t="n">
        <f aca="false">'Clients &amp; revenue'!BB67/FX_EUR</f>
        <v>87089.5626054381</v>
      </c>
      <c r="BC38" s="33" t="n">
        <f aca="false">'Clients &amp; revenue'!BC67/FX_EUR</f>
        <v>90874.6973605538</v>
      </c>
      <c r="BD38" s="33" t="n">
        <f aca="false">'Clients &amp; revenue'!BD67/FX_EUR</f>
        <v>94648.768652668</v>
      </c>
      <c r="BE38" s="33" t="n">
        <f aca="false">'Clients &amp; revenue'!BE67/FX_EUR</f>
        <v>98502.5750508858</v>
      </c>
      <c r="BF38" s="33" t="n">
        <f aca="false">'Clients &amp; revenue'!BF67/FX_EUR</f>
        <v>102447.00423296</v>
      </c>
      <c r="BG38" s="33" t="n">
        <f aca="false">'Clients &amp; revenue'!BG67/FX_EUR</f>
        <v>106384.270448928</v>
      </c>
      <c r="BH38" s="33" t="n">
        <f aca="false">'Clients &amp; revenue'!BH67/FX_EUR</f>
        <v>110415.338156942</v>
      </c>
      <c r="BI38" s="33" t="n">
        <f aca="false">'Clients &amp; revenue'!BI67/FX_EUR</f>
        <v>114531.534493782</v>
      </c>
      <c r="BJ38" s="33" t="n">
        <f aca="false">'Clients &amp; revenue'!BJ67/FX_EUR</f>
        <v>118744.169282121</v>
      </c>
      <c r="BK38" s="33" t="n">
        <f aca="false">'Clients &amp; revenue'!BK67/FX_EUR</f>
        <v>122934.734246029</v>
      </c>
      <c r="BL38" s="33" t="n">
        <f aca="false">'Clients &amp; revenue'!BL67/FX_EUR</f>
        <v>127180.339893345</v>
      </c>
    </row>
    <row r="39" customFormat="false" ht="15" hidden="false" customHeight="true" outlineLevel="0" collapsed="false">
      <c r="A39" s="13" t="s">
        <v>330</v>
      </c>
      <c r="B39" s="15" t="s">
        <v>79</v>
      </c>
      <c r="D39" s="56" t="n">
        <f aca="false">'Clients &amp; revenue'!D68/FX_EUR</f>
        <v>3394875.19896549</v>
      </c>
      <c r="E39" s="33" t="n">
        <f aca="false">'Clients &amp; revenue'!E68/FX_EUR</f>
        <v>0</v>
      </c>
      <c r="F39" s="33" t="n">
        <f aca="false">'Clients &amp; revenue'!F68/FX_EUR</f>
        <v>0</v>
      </c>
      <c r="G39" s="33" t="n">
        <f aca="false">'Clients &amp; revenue'!G68/FX_EUR</f>
        <v>0</v>
      </c>
      <c r="H39" s="33" t="n">
        <f aca="false">'Clients &amp; revenue'!H68/FX_EUR</f>
        <v>0</v>
      </c>
      <c r="I39" s="33" t="n">
        <f aca="false">'Clients &amp; revenue'!I68/FX_EUR</f>
        <v>0</v>
      </c>
      <c r="J39" s="33" t="n">
        <f aca="false">'Clients &amp; revenue'!J68/FX_EUR</f>
        <v>0</v>
      </c>
      <c r="K39" s="33" t="n">
        <f aca="false">'Clients &amp; revenue'!K68/FX_EUR</f>
        <v>0</v>
      </c>
      <c r="L39" s="33" t="n">
        <f aca="false">'Clients &amp; revenue'!L68/FX_EUR</f>
        <v>0</v>
      </c>
      <c r="M39" s="33" t="n">
        <f aca="false">'Clients &amp; revenue'!M68/FX_EUR</f>
        <v>0</v>
      </c>
      <c r="N39" s="33" t="n">
        <f aca="false">'Clients &amp; revenue'!N68/FX_EUR</f>
        <v>0</v>
      </c>
      <c r="O39" s="33" t="n">
        <f aca="false">'Clients &amp; revenue'!O68/FX_EUR</f>
        <v>0</v>
      </c>
      <c r="P39" s="33" t="n">
        <f aca="false">'Clients &amp; revenue'!P68/FX_EUR</f>
        <v>0</v>
      </c>
      <c r="Q39" s="33" t="n">
        <f aca="false">'Clients &amp; revenue'!Q68/FX_EUR</f>
        <v>665.701223053167</v>
      </c>
      <c r="R39" s="33" t="n">
        <f aca="false">'Clients &amp; revenue'!R68/FX_EUR</f>
        <v>1524.3657194779</v>
      </c>
      <c r="S39" s="33" t="n">
        <f aca="false">'Clients &amp; revenue'!S68/FX_EUR</f>
        <v>2575.95486335743</v>
      </c>
      <c r="T39" s="33" t="n">
        <f aca="false">'Clients &amp; revenue'!T68/FX_EUR</f>
        <v>3820.72088160271</v>
      </c>
      <c r="U39" s="33" t="n">
        <f aca="false">'Clients &amp; revenue'!U68/FX_EUR</f>
        <v>5259.22325574191</v>
      </c>
      <c r="V39" s="33" t="n">
        <f aca="false">'Clients &amp; revenue'!V68/FX_EUR</f>
        <v>6892.34641199146</v>
      </c>
      <c r="W39" s="33" t="n">
        <f aca="false">'Clients &amp; revenue'!W68/FX_EUR</f>
        <v>9104.39755643803</v>
      </c>
      <c r="X39" s="33" t="n">
        <f aca="false">'Clients &amp; revenue'!X68/FX_EUR</f>
        <v>11622.054454281</v>
      </c>
      <c r="Y39" s="33" t="n">
        <f aca="false">'Clients &amp; revenue'!Y68/FX_EUR</f>
        <v>14551.1811366254</v>
      </c>
      <c r="Z39" s="33" t="n">
        <f aca="false">'Clients &amp; revenue'!Z68/FX_EUR</f>
        <v>17811.7778071058</v>
      </c>
      <c r="AA39" s="33" t="n">
        <f aca="false">'Clients &amp; revenue'!AA68/FX_EUR</f>
        <v>21406.4040302353</v>
      </c>
      <c r="AB39" s="33" t="n">
        <f aca="false">'Clients &amp; revenue'!AB68/FX_EUR</f>
        <v>25338.2604121955</v>
      </c>
      <c r="AC39" s="33" t="n">
        <f aca="false">'Clients &amp; revenue'!AC68/FX_EUR</f>
        <v>27941.5879021593</v>
      </c>
      <c r="AD39" s="33" t="n">
        <f aca="false">'Clients &amp; revenue'!AD68/FX_EUR</f>
        <v>30548.6447341348</v>
      </c>
      <c r="AE39" s="33" t="n">
        <f aca="false">'Clients &amp; revenue'!AE68/FX_EUR</f>
        <v>33300.3166061965</v>
      </c>
      <c r="AF39" s="33" t="n">
        <f aca="false">'Clients &amp; revenue'!AF68/FX_EUR</f>
        <v>36058.3811028763</v>
      </c>
      <c r="AG39" s="33" t="n">
        <f aca="false">'Clients &amp; revenue'!AG68/FX_EUR</f>
        <v>38825.2157198475</v>
      </c>
      <c r="AH39" s="33" t="n">
        <f aca="false">'Clients &amp; revenue'!AH68/FX_EUR</f>
        <v>41603.3114392821</v>
      </c>
      <c r="AI39" s="33" t="n">
        <f aca="false">'Clients &amp; revenue'!AI68/FX_EUR</f>
        <v>44534.0208202479</v>
      </c>
      <c r="AJ39" s="33" t="n">
        <f aca="false">'Clients &amp; revenue'!AJ68/FX_EUR</f>
        <v>47479.6162775428</v>
      </c>
      <c r="AK39" s="33" t="n">
        <f aca="false">'Clients &amp; revenue'!AK68/FX_EUR</f>
        <v>50442.9997831198</v>
      </c>
      <c r="AL39" s="33" t="n">
        <f aca="false">'Clients &amp; revenue'!AL68/FX_EUR</f>
        <v>53427.2182188376</v>
      </c>
      <c r="AM39" s="33" t="n">
        <f aca="false">'Clients &amp; revenue'!AM68/FX_EUR</f>
        <v>56574.2133509443</v>
      </c>
      <c r="AN39" s="33" t="n">
        <f aca="false">'Clients &amp; revenue'!AN68/FX_EUR</f>
        <v>59746.8821060899</v>
      </c>
      <c r="AO39" s="33" t="n">
        <f aca="false">'Clients &amp; revenue'!AO68/FX_EUR</f>
        <v>63376.5725280956</v>
      </c>
      <c r="AP39" s="33" t="n">
        <f aca="false">'Clients &amp; revenue'!AP68/FX_EUR</f>
        <v>67172.6647402626</v>
      </c>
      <c r="AQ39" s="33" t="n">
        <f aca="false">'Clients &amp; revenue'!AQ68/FX_EUR</f>
        <v>70998.7127731507</v>
      </c>
      <c r="AR39" s="33" t="n">
        <f aca="false">'Clients &amp; revenue'!AR68/FX_EUR</f>
        <v>74858.9706499513</v>
      </c>
      <c r="AS39" s="33" t="n">
        <f aca="false">'Clients &amp; revenue'!AS68/FX_EUR</f>
        <v>78896.652871061</v>
      </c>
      <c r="AT39" s="33" t="n">
        <f aca="false">'Clients &amp; revenue'!AT68/FX_EUR</f>
        <v>82975.9987364001</v>
      </c>
      <c r="AU39" s="33" t="n">
        <f aca="false">'Clients &amp; revenue'!AU68/FX_EUR</f>
        <v>87101.9884510281</v>
      </c>
      <c r="AV39" s="33" t="n">
        <f aca="false">'Clients &amp; revenue'!AV68/FX_EUR</f>
        <v>91543.4727875231</v>
      </c>
      <c r="AW39" s="33" t="n">
        <f aca="false">'Clients &amp; revenue'!AW68/FX_EUR</f>
        <v>95999.4447815197</v>
      </c>
      <c r="AX39" s="33" t="n">
        <f aca="false">'Clients &amp; revenue'!AX68/FX_EUR</f>
        <v>100569.023501468</v>
      </c>
      <c r="AY39" s="33" t="n">
        <f aca="false">'Clients &amp; revenue'!AY68/FX_EUR</f>
        <v>105113.843749862</v>
      </c>
      <c r="AZ39" s="33" t="n">
        <f aca="false">'Clients &amp; revenue'!AZ68/FX_EUR</f>
        <v>109636.107388152</v>
      </c>
      <c r="BA39" s="33" t="n">
        <f aca="false">'Clients &amp; revenue'!BA68/FX_EUR</f>
        <v>114706.932616999</v>
      </c>
      <c r="BB39" s="33" t="n">
        <f aca="false">'Clients &amp; revenue'!BB68/FX_EUR</f>
        <v>119752.766882735</v>
      </c>
      <c r="BC39" s="33" t="n">
        <f aca="false">'Clients &amp; revenue'!BC68/FX_EUR</f>
        <v>124914.909874953</v>
      </c>
      <c r="BD39" s="33" t="n">
        <f aca="false">'Clients &amp; revenue'!BD68/FX_EUR</f>
        <v>130055.547818089</v>
      </c>
      <c r="BE39" s="33" t="n">
        <f aca="false">'Clients &amp; revenue'!BE68/FX_EUR</f>
        <v>135302.328380306</v>
      </c>
      <c r="BF39" s="33" t="n">
        <f aca="false">'Clients &amp; revenue'!BF68/FX_EUR</f>
        <v>140670.460719623</v>
      </c>
      <c r="BG39" s="33" t="n">
        <f aca="false">'Clients &amp; revenue'!BG68/FX_EUR</f>
        <v>146022.504875778</v>
      </c>
      <c r="BH39" s="33" t="n">
        <f aca="false">'Clients &amp; revenue'!BH68/FX_EUR</f>
        <v>151500.378014456</v>
      </c>
      <c r="BI39" s="33" t="n">
        <f aca="false">'Clients &amp; revenue'!BI68/FX_EUR</f>
        <v>157091.786756574</v>
      </c>
      <c r="BJ39" s="33" t="n">
        <f aca="false">'Clients &amp; revenue'!BJ68/FX_EUR</f>
        <v>162812.523853971</v>
      </c>
      <c r="BK39" s="33" t="n">
        <f aca="false">'Clients &amp; revenue'!BK68/FX_EUR</f>
        <v>168496.035626879</v>
      </c>
      <c r="BL39" s="33" t="n">
        <f aca="false">'Clients &amp; revenue'!BL68/FX_EUR</f>
        <v>174250.774773267</v>
      </c>
    </row>
    <row r="40" customFormat="false" ht="15" hidden="false" customHeight="true" outlineLevel="0" collapsed="false">
      <c r="A40" s="13" t="s">
        <v>1260</v>
      </c>
      <c r="B40" s="15" t="s">
        <v>79</v>
      </c>
      <c r="D40" s="56" t="n">
        <f aca="false">'Clients &amp; revenue'!D69/FX_EUR</f>
        <v>0</v>
      </c>
      <c r="E40" s="33" t="n">
        <f aca="false">'Clients &amp; revenue'!E69/FX_EUR</f>
        <v>0</v>
      </c>
      <c r="F40" s="33" t="n">
        <f aca="false">'Clients &amp; revenue'!F69/FX_EUR</f>
        <v>0</v>
      </c>
      <c r="G40" s="33" t="n">
        <f aca="false">'Clients &amp; revenue'!G69/FX_EUR</f>
        <v>0</v>
      </c>
      <c r="H40" s="33" t="n">
        <f aca="false">'Clients &amp; revenue'!H69/FX_EUR</f>
        <v>0</v>
      </c>
      <c r="I40" s="33" t="n">
        <f aca="false">'Clients &amp; revenue'!I69/FX_EUR</f>
        <v>0</v>
      </c>
      <c r="J40" s="33" t="n">
        <f aca="false">'Clients &amp; revenue'!J69/FX_EUR</f>
        <v>0</v>
      </c>
      <c r="K40" s="33" t="n">
        <f aca="false">'Clients &amp; revenue'!K69/FX_EUR</f>
        <v>0</v>
      </c>
      <c r="L40" s="33" t="n">
        <f aca="false">'Clients &amp; revenue'!L69/FX_EUR</f>
        <v>0</v>
      </c>
      <c r="M40" s="33" t="n">
        <f aca="false">'Clients &amp; revenue'!M69/FX_EUR</f>
        <v>0</v>
      </c>
      <c r="N40" s="33" t="n">
        <f aca="false">'Clients &amp; revenue'!N69/FX_EUR</f>
        <v>0</v>
      </c>
      <c r="O40" s="33" t="n">
        <f aca="false">'Clients &amp; revenue'!O69/FX_EUR</f>
        <v>0</v>
      </c>
      <c r="P40" s="33" t="n">
        <f aca="false">'Clients &amp; revenue'!P69/FX_EUR</f>
        <v>0</v>
      </c>
      <c r="Q40" s="33" t="n">
        <f aca="false">'Clients &amp; revenue'!Q69/FX_EUR</f>
        <v>0</v>
      </c>
      <c r="R40" s="33" t="n">
        <f aca="false">'Clients &amp; revenue'!R69/FX_EUR</f>
        <v>0</v>
      </c>
      <c r="S40" s="33" t="n">
        <f aca="false">'Clients &amp; revenue'!S69/FX_EUR</f>
        <v>0</v>
      </c>
      <c r="T40" s="33" t="n">
        <f aca="false">'Clients &amp; revenue'!T69/FX_EUR</f>
        <v>0</v>
      </c>
      <c r="U40" s="33" t="n">
        <f aca="false">'Clients &amp; revenue'!U69/FX_EUR</f>
        <v>0</v>
      </c>
      <c r="V40" s="33" t="n">
        <f aca="false">'Clients &amp; revenue'!V69/FX_EUR</f>
        <v>0</v>
      </c>
      <c r="W40" s="33" t="n">
        <f aca="false">'Clients &amp; revenue'!W69/FX_EUR</f>
        <v>0</v>
      </c>
      <c r="X40" s="33" t="n">
        <f aca="false">'Clients &amp; revenue'!X69/FX_EUR</f>
        <v>0</v>
      </c>
      <c r="Y40" s="33" t="n">
        <f aca="false">'Clients &amp; revenue'!Y69/FX_EUR</f>
        <v>0</v>
      </c>
      <c r="Z40" s="33" t="n">
        <f aca="false">'Clients &amp; revenue'!Z69/FX_EUR</f>
        <v>0</v>
      </c>
      <c r="AA40" s="33" t="n">
        <f aca="false">'Clients &amp; revenue'!AA69/FX_EUR</f>
        <v>0</v>
      </c>
      <c r="AB40" s="33" t="n">
        <f aca="false">'Clients &amp; revenue'!AB69/FX_EUR</f>
        <v>0</v>
      </c>
      <c r="AC40" s="33" t="n">
        <f aca="false">'Clients &amp; revenue'!AC69/FX_EUR</f>
        <v>0</v>
      </c>
      <c r="AD40" s="33" t="n">
        <f aca="false">'Clients &amp; revenue'!AD69/FX_EUR</f>
        <v>0</v>
      </c>
      <c r="AE40" s="33" t="n">
        <f aca="false">'Clients &amp; revenue'!AE69/FX_EUR</f>
        <v>0</v>
      </c>
      <c r="AF40" s="33" t="n">
        <f aca="false">'Clients &amp; revenue'!AF69/FX_EUR</f>
        <v>0</v>
      </c>
      <c r="AG40" s="33" t="n">
        <f aca="false">'Clients &amp; revenue'!AG69/FX_EUR</f>
        <v>0</v>
      </c>
      <c r="AH40" s="33" t="n">
        <f aca="false">'Clients &amp; revenue'!AH69/FX_EUR</f>
        <v>0</v>
      </c>
      <c r="AI40" s="33" t="n">
        <f aca="false">'Clients &amp; revenue'!AI69/FX_EUR</f>
        <v>0</v>
      </c>
      <c r="AJ40" s="33" t="n">
        <f aca="false">'Clients &amp; revenue'!AJ69/FX_EUR</f>
        <v>0</v>
      </c>
      <c r="AK40" s="33" t="n">
        <f aca="false">'Clients &amp; revenue'!AK69/FX_EUR</f>
        <v>0</v>
      </c>
      <c r="AL40" s="33" t="n">
        <f aca="false">'Clients &amp; revenue'!AL69/FX_EUR</f>
        <v>0</v>
      </c>
      <c r="AM40" s="33" t="n">
        <f aca="false">'Clients &amp; revenue'!AM69/FX_EUR</f>
        <v>0</v>
      </c>
      <c r="AN40" s="33" t="n">
        <f aca="false">'Clients &amp; revenue'!AN69/FX_EUR</f>
        <v>0</v>
      </c>
      <c r="AO40" s="33" t="n">
        <f aca="false">'Clients &amp; revenue'!AO69/FX_EUR</f>
        <v>0</v>
      </c>
      <c r="AP40" s="33" t="n">
        <f aca="false">'Clients &amp; revenue'!AP69/FX_EUR</f>
        <v>0</v>
      </c>
      <c r="AQ40" s="33" t="n">
        <f aca="false">'Clients &amp; revenue'!AQ69/FX_EUR</f>
        <v>0</v>
      </c>
      <c r="AR40" s="33" t="n">
        <f aca="false">'Clients &amp; revenue'!AR69/FX_EUR</f>
        <v>0</v>
      </c>
      <c r="AS40" s="33" t="n">
        <f aca="false">'Clients &amp; revenue'!AS69/FX_EUR</f>
        <v>0</v>
      </c>
      <c r="AT40" s="33" t="n">
        <f aca="false">'Clients &amp; revenue'!AT69/FX_EUR</f>
        <v>0</v>
      </c>
      <c r="AU40" s="33" t="n">
        <f aca="false">'Clients &amp; revenue'!AU69/FX_EUR</f>
        <v>0</v>
      </c>
      <c r="AV40" s="33" t="n">
        <f aca="false">'Clients &amp; revenue'!AV69/FX_EUR</f>
        <v>0</v>
      </c>
      <c r="AW40" s="33" t="n">
        <f aca="false">'Clients &amp; revenue'!AW69/FX_EUR</f>
        <v>0</v>
      </c>
      <c r="AX40" s="33" t="n">
        <f aca="false">'Clients &amp; revenue'!AX69/FX_EUR</f>
        <v>0</v>
      </c>
      <c r="AY40" s="33" t="n">
        <f aca="false">'Clients &amp; revenue'!AY69/FX_EUR</f>
        <v>0</v>
      </c>
      <c r="AZ40" s="33" t="n">
        <f aca="false">'Clients &amp; revenue'!AZ69/FX_EUR</f>
        <v>0</v>
      </c>
      <c r="BA40" s="33" t="n">
        <f aca="false">'Clients &amp; revenue'!BA69/FX_EUR</f>
        <v>0</v>
      </c>
      <c r="BB40" s="33" t="n">
        <f aca="false">'Clients &amp; revenue'!BB69/FX_EUR</f>
        <v>0</v>
      </c>
      <c r="BC40" s="33" t="n">
        <f aca="false">'Clients &amp; revenue'!BC69/FX_EUR</f>
        <v>0</v>
      </c>
      <c r="BD40" s="33" t="n">
        <f aca="false">'Clients &amp; revenue'!BD69/FX_EUR</f>
        <v>0</v>
      </c>
      <c r="BE40" s="33" t="n">
        <f aca="false">'Clients &amp; revenue'!BE69/FX_EUR</f>
        <v>0</v>
      </c>
      <c r="BF40" s="33" t="n">
        <f aca="false">'Clients &amp; revenue'!BF69/FX_EUR</f>
        <v>0</v>
      </c>
      <c r="BG40" s="33" t="n">
        <f aca="false">'Clients &amp; revenue'!BG69/FX_EUR</f>
        <v>0</v>
      </c>
      <c r="BH40" s="33" t="n">
        <f aca="false">'Clients &amp; revenue'!BH69/FX_EUR</f>
        <v>0</v>
      </c>
      <c r="BI40" s="33" t="n">
        <f aca="false">'Clients &amp; revenue'!BI69/FX_EUR</f>
        <v>0</v>
      </c>
      <c r="BJ40" s="33" t="n">
        <f aca="false">'Clients &amp; revenue'!BJ69/FX_EUR</f>
        <v>0</v>
      </c>
      <c r="BK40" s="33" t="n">
        <f aca="false">'Clients &amp; revenue'!BK69/FX_EUR</f>
        <v>0</v>
      </c>
      <c r="BL40" s="33" t="n">
        <f aca="false">'Clients &amp; revenue'!BL69/FX_EUR</f>
        <v>0</v>
      </c>
    </row>
    <row r="41" customFormat="false" ht="15" hidden="false" customHeight="true" outlineLevel="0" collapsed="false">
      <c r="A41" s="9" t="s">
        <v>1261</v>
      </c>
      <c r="B41" s="15" t="s">
        <v>79</v>
      </c>
      <c r="D41" s="56" t="n">
        <f aca="false">'Clients &amp; revenue'!D70/FX_EUR</f>
        <v>35166403.9867731</v>
      </c>
      <c r="E41" s="17" t="n">
        <f aca="false">'Clients &amp; revenue'!E70/FX_EUR</f>
        <v>0</v>
      </c>
      <c r="F41" s="17" t="n">
        <f aca="false">'Clients &amp; revenue'!F70/FX_EUR</f>
        <v>0</v>
      </c>
      <c r="G41" s="17" t="n">
        <f aca="false">'Clients &amp; revenue'!G70/FX_EUR</f>
        <v>0</v>
      </c>
      <c r="H41" s="17" t="n">
        <f aca="false">'Clients &amp; revenue'!H70/FX_EUR</f>
        <v>0</v>
      </c>
      <c r="I41" s="17" t="n">
        <f aca="false">'Clients &amp; revenue'!I70/FX_EUR</f>
        <v>5616.83311558532</v>
      </c>
      <c r="J41" s="17" t="n">
        <f aca="false">'Clients &amp; revenue'!J70/FX_EUR</f>
        <v>12451.4958716806</v>
      </c>
      <c r="K41" s="17" t="n">
        <f aca="false">'Clients &amp; revenue'!K70/FX_EUR</f>
        <v>19275.1413611239</v>
      </c>
      <c r="L41" s="17" t="n">
        <f aca="false">'Clients &amp; revenue'!L70/FX_EUR</f>
        <v>26092.228745985</v>
      </c>
      <c r="M41" s="17" t="n">
        <f aca="false">'Clients &amp; revenue'!M70/FX_EUR</f>
        <v>32907.4129136474</v>
      </c>
      <c r="N41" s="17" t="n">
        <f aca="false">'Clients &amp; revenue'!N70/FX_EUR</f>
        <v>39725.5573547621</v>
      </c>
      <c r="O41" s="17" t="n">
        <f aca="false">'Clients &amp; revenue'!O70/FX_EUR</f>
        <v>46908.0022306671</v>
      </c>
      <c r="P41" s="17" t="n">
        <f aca="false">'Clients &amp; revenue'!P70/FX_EUR</f>
        <v>54206.2317073243</v>
      </c>
      <c r="Q41" s="17" t="n">
        <f aca="false">'Clients &amp; revenue'!Q70/FX_EUR</f>
        <v>64329.3270610935</v>
      </c>
      <c r="R41" s="17" t="n">
        <f aca="false">'Clients &amp; revenue'!R70/FX_EUR</f>
        <v>75219.8636661444</v>
      </c>
      <c r="S41" s="17" t="n">
        <f aca="false">'Clients &amp; revenue'!S70/FX_EUR</f>
        <v>86445.2520211173</v>
      </c>
      <c r="T41" s="17" t="n">
        <f aca="false">'Clients &amp; revenue'!T70/FX_EUR</f>
        <v>98013.1342092256</v>
      </c>
      <c r="U41" s="17" t="n">
        <f aca="false">'Clients &amp; revenue'!U70/FX_EUR</f>
        <v>109931.994174405</v>
      </c>
      <c r="V41" s="17" t="n">
        <f aca="false">'Clients &amp; revenue'!V70/FX_EUR</f>
        <v>122717.395602929</v>
      </c>
      <c r="W41" s="17" t="n">
        <f aca="false">'Clients &amp; revenue'!W70/FX_EUR</f>
        <v>141040.887638303</v>
      </c>
      <c r="X41" s="17" t="n">
        <f aca="false">'Clients &amp; revenue'!X70/FX_EUR</f>
        <v>160997.723518214</v>
      </c>
      <c r="Y41" s="17" t="n">
        <f aca="false">'Clients &amp; revenue'!Y70/FX_EUR</f>
        <v>182783.253488764</v>
      </c>
      <c r="Z41" s="17" t="n">
        <f aca="false">'Clients &amp; revenue'!Z70/FX_EUR</f>
        <v>205527.176840533</v>
      </c>
      <c r="AA41" s="17" t="n">
        <f aca="false">'Clients &amp; revenue'!AA70/FX_EUR</f>
        <v>227646.714816668</v>
      </c>
      <c r="AB41" s="17" t="n">
        <f aca="false">'Clients &amp; revenue'!AB70/FX_EUR</f>
        <v>250324.025612092</v>
      </c>
      <c r="AC41" s="17" t="n">
        <f aca="false">'Clients &amp; revenue'!AC70/FX_EUR</f>
        <v>276503.505160405</v>
      </c>
      <c r="AD41" s="17" t="n">
        <f aca="false">'Clients &amp; revenue'!AD70/FX_EUR</f>
        <v>303805.016960799</v>
      </c>
      <c r="AE41" s="17" t="n">
        <f aca="false">'Clients &amp; revenue'!AE70/FX_EUR</f>
        <v>332564.788748067</v>
      </c>
      <c r="AF41" s="17" t="n">
        <f aca="false">'Clients &amp; revenue'!AF70/FX_EUR</f>
        <v>361804.035667669</v>
      </c>
      <c r="AG41" s="17" t="n">
        <f aca="false">'Clients &amp; revenue'!AG70/FX_EUR</f>
        <v>391346.039739317</v>
      </c>
      <c r="AH41" s="17" t="n">
        <f aca="false">'Clients &amp; revenue'!AH70/FX_EUR</f>
        <v>419687.037938105</v>
      </c>
      <c r="AI41" s="17" t="n">
        <f aca="false">'Clients &amp; revenue'!AI70/FX_EUR</f>
        <v>449385.570740093</v>
      </c>
      <c r="AJ41" s="17" t="n">
        <f aca="false">'Clients &amp; revenue'!AJ70/FX_EUR</f>
        <v>479446.807623349</v>
      </c>
      <c r="AK41" s="17" t="n">
        <f aca="false">'Clients &amp; revenue'!AK70/FX_EUR</f>
        <v>509698.519612508</v>
      </c>
      <c r="AL41" s="17" t="n">
        <f aca="false">'Clients &amp; revenue'!AL70/FX_EUR</f>
        <v>540171.224050941</v>
      </c>
      <c r="AM41" s="17" t="n">
        <f aca="false">'Clients &amp; revenue'!AM70/FX_EUR</f>
        <v>572103.873746393</v>
      </c>
      <c r="AN41" s="17" t="n">
        <f aca="false">'Clients &amp; revenue'!AN70/FX_EUR</f>
        <v>604507.973900948</v>
      </c>
      <c r="AO41" s="17" t="n">
        <f aca="false">'Clients &amp; revenue'!AO70/FX_EUR</f>
        <v>640939.179494181</v>
      </c>
      <c r="AP41" s="17" t="n">
        <f aca="false">'Clients &amp; revenue'!AP70/FX_EUR</f>
        <v>679490.052792966</v>
      </c>
      <c r="AQ41" s="17" t="n">
        <f aca="false">'Clients &amp; revenue'!AQ70/FX_EUR</f>
        <v>718558.095569591</v>
      </c>
      <c r="AR41" s="17" t="n">
        <f aca="false">'Clients &amp; revenue'!AR70/FX_EUR</f>
        <v>757984.706912995</v>
      </c>
      <c r="AS41" s="17" t="n">
        <f aca="false">'Clients &amp; revenue'!AS70/FX_EUR</f>
        <v>799021.657214325</v>
      </c>
      <c r="AT41" s="17" t="n">
        <f aca="false">'Clients &amp; revenue'!AT70/FX_EUR</f>
        <v>840693.976758513</v>
      </c>
      <c r="AU41" s="17" t="n">
        <f aca="false">'Clients &amp; revenue'!AU70/FX_EUR</f>
        <v>882850.427277532</v>
      </c>
      <c r="AV41" s="17" t="n">
        <f aca="false">'Clients &amp; revenue'!AV70/FX_EUR</f>
        <v>927836.760261188</v>
      </c>
      <c r="AW41" s="17" t="n">
        <f aca="false">'Clients &amp; revenue'!AW70/FX_EUR</f>
        <v>973421.42557759</v>
      </c>
      <c r="AX41" s="17" t="n">
        <f aca="false">'Clients &amp; revenue'!AX70/FX_EUR</f>
        <v>1020035.14105676</v>
      </c>
      <c r="AY41" s="17" t="n">
        <f aca="false">'Clients &amp; revenue'!AY70/FX_EUR</f>
        <v>1066616.66829319</v>
      </c>
      <c r="AZ41" s="17" t="n">
        <f aca="false">'Clients &amp; revenue'!AZ70/FX_EUR</f>
        <v>1112986.41891833</v>
      </c>
      <c r="BA41" s="17" t="n">
        <f aca="false">'Clients &amp; revenue'!BA70/FX_EUR</f>
        <v>1164115.03969367</v>
      </c>
      <c r="BB41" s="17" t="n">
        <f aca="false">'Clients &amp; revenue'!BB70/FX_EUR</f>
        <v>1215834.67631022</v>
      </c>
      <c r="BC41" s="17" t="n">
        <f aca="false">'Clients &amp; revenue'!BC70/FX_EUR</f>
        <v>1268552.22759278</v>
      </c>
      <c r="BD41" s="17" t="n">
        <f aca="false">'Clients &amp; revenue'!BD70/FX_EUR</f>
        <v>1321271.66218072</v>
      </c>
      <c r="BE41" s="17" t="n">
        <f aca="false">'Clients &amp; revenue'!BE70/FX_EUR</f>
        <v>1374905.38474069</v>
      </c>
      <c r="BF41" s="17" t="n">
        <f aca="false">'Clients &amp; revenue'!BF70/FX_EUR</f>
        <v>1429768.84672544</v>
      </c>
      <c r="BG41" s="17" t="n">
        <f aca="false">'Clients &amp; revenue'!BG70/FX_EUR</f>
        <v>1484688.66261436</v>
      </c>
      <c r="BH41" s="17" t="n">
        <f aca="false">'Clients &amp; revenue'!BH70/FX_EUR</f>
        <v>1540701.93077167</v>
      </c>
      <c r="BI41" s="17" t="n">
        <f aca="false">'Clients &amp; revenue'!BI70/FX_EUR</f>
        <v>1597905.43038553</v>
      </c>
      <c r="BJ41" s="17" t="n">
        <f aca="false">'Clients &amp; revenue'!BJ70/FX_EUR</f>
        <v>1656419.24797805</v>
      </c>
      <c r="BK41" s="17" t="n">
        <f aca="false">'Clients &amp; revenue'!BK70/FX_EUR</f>
        <v>1714817.62207341</v>
      </c>
      <c r="BL41" s="17" t="n">
        <f aca="false">'Clients &amp; revenue'!BL70/FX_EUR</f>
        <v>1773804.69974055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28</v>
      </c>
    </row>
    <row r="2" customFormat="false" ht="15" hidden="false" customHeight="true" outlineLevel="0" collapsed="false">
      <c r="A2" s="3" t="s">
        <v>1264</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413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1265</v>
      </c>
      <c r="B9" s="15" t="s">
        <v>89</v>
      </c>
      <c r="D9" s="56" t="n">
        <f aca="false">BL9</f>
        <v>9412.61027096753</v>
      </c>
      <c r="E9" s="24" t="n">
        <f aca="false">'Clients &amp; revenue'!E17</f>
        <v>0</v>
      </c>
      <c r="F9" s="24" t="n">
        <f aca="false">'Clients &amp; revenue'!F17</f>
        <v>0</v>
      </c>
      <c r="G9" s="24" t="n">
        <f aca="false">'Clients &amp; revenue'!G17</f>
        <v>0</v>
      </c>
      <c r="H9" s="24" t="n">
        <f aca="false">'Clients &amp; revenue'!H17</f>
        <v>0</v>
      </c>
      <c r="I9" s="24" t="n">
        <f aca="false">'Clients &amp; revenue'!I17</f>
        <v>49.4666666666667</v>
      </c>
      <c r="J9" s="24" t="n">
        <f aca="false">'Clients &amp; revenue'!J17</f>
        <v>98.5971333333334</v>
      </c>
      <c r="K9" s="24" t="n">
        <f aca="false">'Clients &amp; revenue'!K17</f>
        <v>147.426749</v>
      </c>
      <c r="L9" s="24" t="n">
        <f aca="false">'Clients &amp; revenue'!L17</f>
        <v>195.991987355417</v>
      </c>
      <c r="M9" s="24" t="n">
        <f aca="false">'Clients &amp; revenue'!M17</f>
        <v>244.33053289034</v>
      </c>
      <c r="N9" s="24" t="n">
        <f aca="false">'Clients &amp; revenue'!N17</f>
        <v>292.481371820103</v>
      </c>
      <c r="O9" s="24" t="n">
        <f aca="false">'Clients &amp; revenue'!O17</f>
        <v>340.484888112032</v>
      </c>
      <c r="P9" s="24" t="n">
        <f aca="false">'Clients &amp; revenue'!P17</f>
        <v>388.382964930819</v>
      </c>
      <c r="Q9" s="24" t="n">
        <f aca="false">'Clients &amp; revenue'!Q17</f>
        <v>453.685758500305</v>
      </c>
      <c r="R9" s="24" t="n">
        <f aca="false">'Clients &amp; revenue'!R17</f>
        <v>518.683611399876</v>
      </c>
      <c r="S9" s="24" t="n">
        <f aca="false">'Clients &amp; revenue'!S17</f>
        <v>583.42868133466</v>
      </c>
      <c r="T9" s="24" t="n">
        <f aca="false">'Clients &amp; revenue'!T17</f>
        <v>647.974997296342</v>
      </c>
      <c r="U9" s="24" t="n">
        <f aca="false">'Clients &amp; revenue'!U17</f>
        <v>712.378595298977</v>
      </c>
      <c r="V9" s="24" t="n">
        <f aca="false">'Clients &amp; revenue'!V17</f>
        <v>776.697661809739</v>
      </c>
      <c r="W9" s="24" t="n">
        <f aca="false">'Clients &amp; revenue'!W17</f>
        <v>878.859352011698</v>
      </c>
      <c r="X9" s="24" t="n">
        <f aca="false">'Clients &amp; revenue'!X17</f>
        <v>980.795150063792</v>
      </c>
      <c r="Y9" s="24" t="n">
        <f aca="false">'Clients &amp; revenue'!Y17</f>
        <v>1090.59737455291</v>
      </c>
      <c r="Z9" s="24" t="n">
        <f aca="false">'Clients &amp; revenue'!Z17</f>
        <v>1200.22999438614</v>
      </c>
      <c r="AA9" s="24" t="n">
        <f aca="false">'Clients &amp; revenue'!AA17</f>
        <v>1309.7952230042</v>
      </c>
      <c r="AB9" s="24" t="n">
        <f aca="false">'Clients &amp; revenue'!AB17</f>
        <v>1419.39940374893</v>
      </c>
      <c r="AC9" s="24" t="n">
        <f aca="false">'Clients &amp; revenue'!AC17</f>
        <v>1564.21996161855</v>
      </c>
      <c r="AD9" s="24" t="n">
        <f aca="false">'Clients &amp; revenue'!AD17</f>
        <v>1708.72710474808</v>
      </c>
      <c r="AE9" s="24" t="n">
        <f aca="false">'Clients &amp; revenue'!AE17</f>
        <v>1861.05160027875</v>
      </c>
      <c r="AF9" s="24" t="n">
        <f aca="false">'Clients &amp; revenue'!AF17</f>
        <v>2013.19739766067</v>
      </c>
      <c r="AG9" s="24" t="n">
        <f aca="false">'Clients &amp; revenue'!AG17</f>
        <v>2165.30832916897</v>
      </c>
      <c r="AH9" s="24" t="n">
        <f aca="false">'Clients &amp; revenue'!AH17</f>
        <v>2317.53410767745</v>
      </c>
      <c r="AI9" s="24" t="n">
        <f aca="false">'Clients &amp; revenue'!AI17</f>
        <v>2478.03073062853</v>
      </c>
      <c r="AJ9" s="24" t="n">
        <f aca="false">'Clients &amp; revenue'!AJ17</f>
        <v>2638.8289072636</v>
      </c>
      <c r="AK9" s="24" t="n">
        <f aca="false">'Clients &amp; revenue'!AK17</f>
        <v>2800.10085052866</v>
      </c>
      <c r="AL9" s="24" t="n">
        <f aca="false">'Clients &amp; revenue'!AL17</f>
        <v>2962.0263717292</v>
      </c>
      <c r="AM9" s="24" t="n">
        <f aca="false">'Clients &amp; revenue'!AM17</f>
        <v>3132.79338720232</v>
      </c>
      <c r="AN9" s="24" t="n">
        <f aca="false">'Clients &amp; revenue'!AN17</f>
        <v>3304.46645441948</v>
      </c>
      <c r="AO9" s="24" t="n">
        <f aca="false">'Clients &amp; revenue'!AO17</f>
        <v>3501.92034597126</v>
      </c>
      <c r="AP9" s="24" t="n">
        <f aca="false">'Clients &amp; revenue'!AP17</f>
        <v>3708.29926656716</v>
      </c>
      <c r="AQ9" s="24" t="n">
        <f aca="false">'Clients &amp; revenue'!AQ17</f>
        <v>3915.70670440078</v>
      </c>
      <c r="AR9" s="24" t="n">
        <f aca="false">'Clients &amp; revenue'!AR17</f>
        <v>4124.39142917421</v>
      </c>
      <c r="AS9" s="24" t="n">
        <f aca="false">'Clients &amp; revenue'!AS17</f>
        <v>4342.61382428562</v>
      </c>
      <c r="AT9" s="24" t="n">
        <f aca="false">'Clients &amp; revenue'!AT17</f>
        <v>4562.51464507947</v>
      </c>
      <c r="AU9" s="24" t="n">
        <f aca="false">'Clients &amp; revenue'!AU17</f>
        <v>4784.38216141927</v>
      </c>
      <c r="AV9" s="24" t="n">
        <f aca="false">'Clients &amp; revenue'!AV17</f>
        <v>5023.71862384028</v>
      </c>
      <c r="AW9" s="24" t="n">
        <f aca="false">'Clients &amp; revenue'!AW17</f>
        <v>5263.10462030668</v>
      </c>
      <c r="AX9" s="24" t="n">
        <f aca="false">'Clients &amp; revenue'!AX17</f>
        <v>5508.2638759587</v>
      </c>
      <c r="AY9" s="24" t="n">
        <f aca="false">'Clients &amp; revenue'!AY17</f>
        <v>5751.20312856353</v>
      </c>
      <c r="AZ9" s="24" t="n">
        <f aca="false">'Clients &amp; revenue'!AZ17</f>
        <v>5992.06696901879</v>
      </c>
      <c r="BA9" s="24" t="n">
        <f aca="false">'Clients &amp; revenue'!BA17</f>
        <v>6263.80375779783</v>
      </c>
      <c r="BB9" s="24" t="n">
        <f aca="false">'Clients &amp; revenue'!BB17</f>
        <v>6533.22474194302</v>
      </c>
      <c r="BC9" s="24" t="n">
        <f aca="false">'Clients &amp; revenue'!BC17</f>
        <v>6808.49638334725</v>
      </c>
      <c r="BD9" s="24" t="n">
        <f aca="false">'Clients &amp; revenue'!BD17</f>
        <v>7081.65773935209</v>
      </c>
      <c r="BE9" s="24" t="n">
        <f aca="false">'Clients &amp; revenue'!BE17</f>
        <v>7360.08717828159</v>
      </c>
      <c r="BF9" s="24" t="n">
        <f aca="false">'Clients &amp; revenue'!BF17</f>
        <v>7644.64959218056</v>
      </c>
      <c r="BG9" s="24" t="n">
        <f aca="false">'Clients &amp; revenue'!BG17</f>
        <v>7927.40452171126</v>
      </c>
      <c r="BH9" s="24" t="n">
        <f aca="false">'Clients &amp; revenue'!BH17</f>
        <v>8216.55199320616</v>
      </c>
      <c r="BI9" s="24" t="n">
        <f aca="false">'Clients &amp; revenue'!BI17</f>
        <v>8511.36660279407</v>
      </c>
      <c r="BJ9" s="24" t="n">
        <f aca="false">'Clients &amp; revenue'!BJ17</f>
        <v>8812.74555095191</v>
      </c>
      <c r="BK9" s="24" t="n">
        <f aca="false">'Clients &amp; revenue'!BK17</f>
        <v>9111.06817977069</v>
      </c>
      <c r="BL9" s="24" t="n">
        <f aca="false">'Clients &amp; revenue'!BL17</f>
        <v>9412.61027096753</v>
      </c>
    </row>
    <row r="10" customFormat="false" ht="15" hidden="false" customHeight="true" outlineLevel="0" collapsed="false">
      <c r="A10" s="13" t="s">
        <v>1231</v>
      </c>
      <c r="B10" s="15" t="s">
        <v>745</v>
      </c>
      <c r="D10" s="56" t="n">
        <f aca="false">BL10</f>
        <v>46347.1301196772</v>
      </c>
      <c r="E10" s="24" t="n">
        <f aca="false">'Clients &amp; revenue'!E32</f>
        <v>0</v>
      </c>
      <c r="F10" s="24" t="n">
        <f aca="false">'Clients &amp; revenue'!F32</f>
        <v>0</v>
      </c>
      <c r="G10" s="24" t="n">
        <f aca="false">'Clients &amp; revenue'!G32</f>
        <v>0</v>
      </c>
      <c r="H10" s="24" t="n">
        <f aca="false">'Clients &amp; revenue'!H32</f>
        <v>0</v>
      </c>
      <c r="I10" s="24" t="n">
        <f aca="false">'Clients &amp; revenue'!I32</f>
        <v>0</v>
      </c>
      <c r="J10" s="24" t="n">
        <f aca="false">'Clients &amp; revenue'!J32</f>
        <v>0</v>
      </c>
      <c r="K10" s="24" t="n">
        <f aca="false">'Clients &amp; revenue'!K32</f>
        <v>0</v>
      </c>
      <c r="L10" s="24" t="n">
        <f aca="false">'Clients &amp; revenue'!L32</f>
        <v>0</v>
      </c>
      <c r="M10" s="24" t="n">
        <f aca="false">'Clients &amp; revenue'!M32</f>
        <v>0</v>
      </c>
      <c r="N10" s="24" t="n">
        <f aca="false">'Clients &amp; revenue'!N32</f>
        <v>0</v>
      </c>
      <c r="O10" s="24" t="n">
        <f aca="false">'Clients &amp; revenue'!O32</f>
        <v>0</v>
      </c>
      <c r="P10" s="24" t="n">
        <f aca="false">'Clients &amp; revenue'!P32</f>
        <v>0</v>
      </c>
      <c r="Q10" s="24" t="n">
        <f aca="false">'Clients &amp; revenue'!Q32</f>
        <v>0</v>
      </c>
      <c r="R10" s="24" t="n">
        <f aca="false">'Clients &amp; revenue'!R32</f>
        <v>0</v>
      </c>
      <c r="S10" s="24" t="n">
        <f aca="false">'Clients &amp; revenue'!S32</f>
        <v>0</v>
      </c>
      <c r="T10" s="24" t="n">
        <f aca="false">'Clients &amp; revenue'!T32</f>
        <v>0</v>
      </c>
      <c r="U10" s="24" t="n">
        <f aca="false">'Clients &amp; revenue'!U32</f>
        <v>0</v>
      </c>
      <c r="V10" s="24" t="n">
        <f aca="false">'Clients &amp; revenue'!V32</f>
        <v>0</v>
      </c>
      <c r="W10" s="24" t="n">
        <f aca="false">'Clients &amp; revenue'!W32</f>
        <v>0</v>
      </c>
      <c r="X10" s="24" t="n">
        <f aca="false">'Clients &amp; revenue'!X32</f>
        <v>0</v>
      </c>
      <c r="Y10" s="24" t="n">
        <f aca="false">'Clients &amp; revenue'!Y32</f>
        <v>0</v>
      </c>
      <c r="Z10" s="24" t="n">
        <f aca="false">'Clients &amp; revenue'!Z32</f>
        <v>0</v>
      </c>
      <c r="AA10" s="24" t="n">
        <f aca="false">'Clients &amp; revenue'!AA32</f>
        <v>0</v>
      </c>
      <c r="AB10" s="24" t="n">
        <f aca="false">'Clients &amp; revenue'!AB32</f>
        <v>0</v>
      </c>
      <c r="AC10" s="24" t="n">
        <f aca="false">'Clients &amp; revenue'!AC32</f>
        <v>0</v>
      </c>
      <c r="AD10" s="24" t="n">
        <f aca="false">'Clients &amp; revenue'!AD32</f>
        <v>0</v>
      </c>
      <c r="AE10" s="24" t="n">
        <f aca="false">'Clients &amp; revenue'!AE32</f>
        <v>0</v>
      </c>
      <c r="AF10" s="24" t="n">
        <f aca="false">'Clients &amp; revenue'!AF32</f>
        <v>0</v>
      </c>
      <c r="AG10" s="24" t="n">
        <f aca="false">'Clients &amp; revenue'!AG32</f>
        <v>10205.5589379007</v>
      </c>
      <c r="AH10" s="24" t="n">
        <f aca="false">'Clients &amp; revenue'!AH32</f>
        <v>10940.6440269631</v>
      </c>
      <c r="AI10" s="24" t="n">
        <f aca="false">'Clients &amp; revenue'!AI32</f>
        <v>11716.2727760026</v>
      </c>
      <c r="AJ10" s="24" t="n">
        <f aca="false">'Clients &amp; revenue'!AJ32</f>
        <v>12496.7574934039</v>
      </c>
      <c r="AK10" s="24" t="n">
        <f aca="false">'Clients &amp; revenue'!AK32</f>
        <v>13282.8421156081</v>
      </c>
      <c r="AL10" s="24" t="n">
        <f aca="false">'Clients &amp; revenue'!AL32</f>
        <v>14075.3095447946</v>
      </c>
      <c r="AM10" s="24" t="n">
        <f aca="false">'Clients &amp; revenue'!AM32</f>
        <v>14910.9840683368</v>
      </c>
      <c r="AN10" s="24" t="n">
        <f aca="false">'Clients &amp; revenue'!AN32</f>
        <v>15754.3439221149</v>
      </c>
      <c r="AO10" s="24" t="n">
        <f aca="false">'Clients &amp; revenue'!AO32</f>
        <v>16717.3088813411</v>
      </c>
      <c r="AP10" s="24" t="n">
        <f aca="false">'Clients &amp; revenue'!AP32</f>
        <v>17724.6456931329</v>
      </c>
      <c r="AQ10" s="24" t="n">
        <f aca="false">'Clients &amp; revenue'!AQ32</f>
        <v>18741.0011578043</v>
      </c>
      <c r="AR10" s="24" t="n">
        <f aca="false">'Clients &amp; revenue'!AR32</f>
        <v>19767.4724887106</v>
      </c>
      <c r="AS10" s="24" t="n">
        <f aca="false">'Clients &amp; revenue'!AS32</f>
        <v>20841.2157951251</v>
      </c>
      <c r="AT10" s="24" t="n">
        <f aca="false">'Clients &amp; revenue'!AT32</f>
        <v>21927.0597153134</v>
      </c>
      <c r="AU10" s="24" t="n">
        <f aca="false">'Clients &amp; revenue'!AU32</f>
        <v>23026.2941410018</v>
      </c>
      <c r="AV10" s="24" t="n">
        <f aca="false">'Clients &amp; revenue'!AV32</f>
        <v>24208.6793513135</v>
      </c>
      <c r="AW10" s="24" t="n">
        <f aca="false">'Clients &amp; revenue'!AW32</f>
        <v>25396.2234902243</v>
      </c>
      <c r="AX10" s="24" t="n">
        <f aca="false">'Clients &amp; revenue'!AX32</f>
        <v>26614.6302265114</v>
      </c>
      <c r="AY10" s="24" t="n">
        <f aca="false">'Clients &amp; revenue'!AY32</f>
        <v>27828.0233808187</v>
      </c>
      <c r="AZ10" s="24" t="n">
        <f aca="false">'Clients &amp; revenue'!AZ32</f>
        <v>29036.9422787057</v>
      </c>
      <c r="BA10" s="24" t="n">
        <f aca="false">'Clients &amp; revenue'!BA32</f>
        <v>30389.5481888143</v>
      </c>
      <c r="BB10" s="24" t="n">
        <f aca="false">'Clients &amp; revenue'!BB32</f>
        <v>31737.2267877641</v>
      </c>
      <c r="BC10" s="24" t="n">
        <f aca="false">'Clients &amp; revenue'!BC32</f>
        <v>33116.607698076</v>
      </c>
      <c r="BD10" s="24" t="n">
        <f aca="false">'Clients &amp; revenue'!BD32</f>
        <v>34491.9568550545</v>
      </c>
      <c r="BE10" s="24" t="n">
        <f aca="false">'Clients &amp; revenue'!BE32</f>
        <v>35896.3631236966</v>
      </c>
      <c r="BF10" s="24" t="n">
        <f aca="false">'Clients &amp; revenue'!BF32</f>
        <v>37333.7941975775</v>
      </c>
      <c r="BG10" s="24" t="n">
        <f aca="false">'Clients &amp; revenue'!BG32</f>
        <v>38768.6149393708</v>
      </c>
      <c r="BH10" s="24" t="n">
        <f aca="false">'Clients &amp; revenue'!BH32</f>
        <v>40237.6188730074</v>
      </c>
      <c r="BI10" s="24" t="n">
        <f aca="false">'Clients &amp; revenue'!BI32</f>
        <v>41737.6454288544</v>
      </c>
      <c r="BJ10" s="24" t="n">
        <f aca="false">'Clients &amp; revenue'!BJ32</f>
        <v>43272.8161387735</v>
      </c>
      <c r="BK10" s="24" t="n">
        <f aca="false">'Clients &amp; revenue'!BK32</f>
        <v>44799.9441510126</v>
      </c>
      <c r="BL10" s="24" t="n">
        <f aca="false">'Clients &amp; revenue'!BL32</f>
        <v>46347.1301196772</v>
      </c>
    </row>
    <row r="12" customFormat="false" ht="15" hidden="false" customHeight="true" outlineLevel="0" collapsed="false">
      <c r="A12" s="11" t="s">
        <v>1266</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3" customFormat="false" ht="15" hidden="false" customHeight="true" outlineLevel="0" collapsed="false">
      <c r="A13" s="13" t="s">
        <v>1047</v>
      </c>
      <c r="B13" s="15" t="s">
        <v>96</v>
      </c>
      <c r="E13" s="35" t="n">
        <f aca="false">IF(E$3&gt;=Start_Factoring,MIN(1,(E$3-Start_Factoring+1)/Credit_Ramp),0)</f>
        <v>0</v>
      </c>
      <c r="F13" s="35" t="n">
        <f aca="false">IF(F$3&gt;=Start_Factoring,MIN(1,(F$3-Start_Factoring+1)/Credit_Ramp),0)</f>
        <v>0</v>
      </c>
      <c r="G13" s="35" t="n">
        <f aca="false">IF(G$3&gt;=Start_Factoring,MIN(1,(G$3-Start_Factoring+1)/Credit_Ramp),0)</f>
        <v>0</v>
      </c>
      <c r="H13" s="35" t="n">
        <f aca="false">IF(H$3&gt;=Start_Factoring,MIN(1,(H$3-Start_Factoring+1)/Credit_Ramp),0)</f>
        <v>0</v>
      </c>
      <c r="I13" s="35" t="n">
        <f aca="false">IF(I$3&gt;=Start_Factoring,MIN(1,(I$3-Start_Factoring+1)/Credit_Ramp),0)</f>
        <v>0</v>
      </c>
      <c r="J13" s="35" t="n">
        <f aca="false">IF(J$3&gt;=Start_Factoring,MIN(1,(J$3-Start_Factoring+1)/Credit_Ramp),0)</f>
        <v>0</v>
      </c>
      <c r="K13" s="35" t="n">
        <f aca="false">IF(K$3&gt;=Start_Factoring,MIN(1,(K$3-Start_Factoring+1)/Credit_Ramp),0)</f>
        <v>0</v>
      </c>
      <c r="L13" s="35" t="n">
        <f aca="false">IF(L$3&gt;=Start_Factoring,MIN(1,(L$3-Start_Factoring+1)/Credit_Ramp),0)</f>
        <v>0</v>
      </c>
      <c r="M13" s="35" t="n">
        <f aca="false">IF(M$3&gt;=Start_Factoring,MIN(1,(M$3-Start_Factoring+1)/Credit_Ramp),0)</f>
        <v>0</v>
      </c>
      <c r="N13" s="35" t="n">
        <f aca="false">IF(N$3&gt;=Start_Factoring,MIN(1,(N$3-Start_Factoring+1)/Credit_Ramp),0)</f>
        <v>0</v>
      </c>
      <c r="O13" s="35" t="n">
        <f aca="false">IF(O$3&gt;=Start_Factoring,MIN(1,(O$3-Start_Factoring+1)/Credit_Ramp),0)</f>
        <v>0</v>
      </c>
      <c r="P13" s="35" t="n">
        <f aca="false">IF(P$3&gt;=Start_Factoring,MIN(1,(P$3-Start_Factoring+1)/Credit_Ramp),0)</f>
        <v>0</v>
      </c>
      <c r="Q13" s="35" t="n">
        <f aca="false">IF(Q$3&gt;=Start_Factoring,MIN(1,(Q$3-Start_Factoring+1)/Credit_Ramp),0)</f>
        <v>0</v>
      </c>
      <c r="R13" s="35" t="n">
        <f aca="false">IF(R$3&gt;=Start_Factoring,MIN(1,(R$3-Start_Factoring+1)/Credit_Ramp),0)</f>
        <v>0</v>
      </c>
      <c r="S13" s="35" t="n">
        <f aca="false">IF(S$3&gt;=Start_Factoring,MIN(1,(S$3-Start_Factoring+1)/Credit_Ramp),0)</f>
        <v>0</v>
      </c>
      <c r="T13" s="35" t="n">
        <f aca="false">IF(T$3&gt;=Start_Factoring,MIN(1,(T$3-Start_Factoring+1)/Credit_Ramp),0)</f>
        <v>0</v>
      </c>
      <c r="U13" s="35" t="n">
        <f aca="false">IF(U$3&gt;=Start_Factoring,MIN(1,(U$3-Start_Factoring+1)/Credit_Ramp),0)</f>
        <v>0</v>
      </c>
      <c r="V13" s="35" t="n">
        <f aca="false">IF(V$3&gt;=Start_Factoring,MIN(1,(V$3-Start_Factoring+1)/Credit_Ramp),0)</f>
        <v>0.0833333333333333</v>
      </c>
      <c r="W13" s="35" t="n">
        <f aca="false">IF(W$3&gt;=Start_Factoring,MIN(1,(W$3-Start_Factoring+1)/Credit_Ramp),0)</f>
        <v>0.166666666666667</v>
      </c>
      <c r="X13" s="35" t="n">
        <f aca="false">IF(X$3&gt;=Start_Factoring,MIN(1,(X$3-Start_Factoring+1)/Credit_Ramp),0)</f>
        <v>0.25</v>
      </c>
      <c r="Y13" s="35" t="n">
        <f aca="false">IF(Y$3&gt;=Start_Factoring,MIN(1,(Y$3-Start_Factoring+1)/Credit_Ramp),0)</f>
        <v>0.333333333333333</v>
      </c>
      <c r="Z13" s="35" t="n">
        <f aca="false">IF(Z$3&gt;=Start_Factoring,MIN(1,(Z$3-Start_Factoring+1)/Credit_Ramp),0)</f>
        <v>0.416666666666667</v>
      </c>
      <c r="AA13" s="35" t="n">
        <f aca="false">IF(AA$3&gt;=Start_Factoring,MIN(1,(AA$3-Start_Factoring+1)/Credit_Ramp),0)</f>
        <v>0.5</v>
      </c>
      <c r="AB13" s="35" t="n">
        <f aca="false">IF(AB$3&gt;=Start_Factoring,MIN(1,(AB$3-Start_Factoring+1)/Credit_Ramp),0)</f>
        <v>0.583333333333333</v>
      </c>
      <c r="AC13" s="35" t="n">
        <f aca="false">IF(AC$3&gt;=Start_Factoring,MIN(1,(AC$3-Start_Factoring+1)/Credit_Ramp),0)</f>
        <v>0.666666666666667</v>
      </c>
      <c r="AD13" s="35" t="n">
        <f aca="false">IF(AD$3&gt;=Start_Factoring,MIN(1,(AD$3-Start_Factoring+1)/Credit_Ramp),0)</f>
        <v>0.75</v>
      </c>
      <c r="AE13" s="35" t="n">
        <f aca="false">IF(AE$3&gt;=Start_Factoring,MIN(1,(AE$3-Start_Factoring+1)/Credit_Ramp),0)</f>
        <v>0.833333333333333</v>
      </c>
      <c r="AF13" s="35" t="n">
        <f aca="false">IF(AF$3&gt;=Start_Factoring,MIN(1,(AF$3-Start_Factoring+1)/Credit_Ramp),0)</f>
        <v>0.916666666666667</v>
      </c>
      <c r="AG13" s="35" t="n">
        <f aca="false">IF(AG$3&gt;=Start_Factoring,MIN(1,(AG$3-Start_Factoring+1)/Credit_Ramp),0)</f>
        <v>1</v>
      </c>
      <c r="AH13" s="35" t="n">
        <f aca="false">IF(AH$3&gt;=Start_Factoring,MIN(1,(AH$3-Start_Factoring+1)/Credit_Ramp),0)</f>
        <v>1</v>
      </c>
      <c r="AI13" s="35" t="n">
        <f aca="false">IF(AI$3&gt;=Start_Factoring,MIN(1,(AI$3-Start_Factoring+1)/Credit_Ramp),0)</f>
        <v>1</v>
      </c>
      <c r="AJ13" s="35" t="n">
        <f aca="false">IF(AJ$3&gt;=Start_Factoring,MIN(1,(AJ$3-Start_Factoring+1)/Credit_Ramp),0)</f>
        <v>1</v>
      </c>
      <c r="AK13" s="35" t="n">
        <f aca="false">IF(AK$3&gt;=Start_Factoring,MIN(1,(AK$3-Start_Factoring+1)/Credit_Ramp),0)</f>
        <v>1</v>
      </c>
      <c r="AL13" s="35" t="n">
        <f aca="false">IF(AL$3&gt;=Start_Factoring,MIN(1,(AL$3-Start_Factoring+1)/Credit_Ramp),0)</f>
        <v>1</v>
      </c>
      <c r="AM13" s="35" t="n">
        <f aca="false">IF(AM$3&gt;=Start_Factoring,MIN(1,(AM$3-Start_Factoring+1)/Credit_Ramp),0)</f>
        <v>1</v>
      </c>
      <c r="AN13" s="35" t="n">
        <f aca="false">IF(AN$3&gt;=Start_Factoring,MIN(1,(AN$3-Start_Factoring+1)/Credit_Ramp),0)</f>
        <v>1</v>
      </c>
      <c r="AO13" s="35" t="n">
        <f aca="false">IF(AO$3&gt;=Start_Factoring,MIN(1,(AO$3-Start_Factoring+1)/Credit_Ramp),0)</f>
        <v>1</v>
      </c>
      <c r="AP13" s="35" t="n">
        <f aca="false">IF(AP$3&gt;=Start_Factoring,MIN(1,(AP$3-Start_Factoring+1)/Credit_Ramp),0)</f>
        <v>1</v>
      </c>
      <c r="AQ13" s="35" t="n">
        <f aca="false">IF(AQ$3&gt;=Start_Factoring,MIN(1,(AQ$3-Start_Factoring+1)/Credit_Ramp),0)</f>
        <v>1</v>
      </c>
      <c r="AR13" s="35" t="n">
        <f aca="false">IF(AR$3&gt;=Start_Factoring,MIN(1,(AR$3-Start_Factoring+1)/Credit_Ramp),0)</f>
        <v>1</v>
      </c>
      <c r="AS13" s="35" t="n">
        <f aca="false">IF(AS$3&gt;=Start_Factoring,MIN(1,(AS$3-Start_Factoring+1)/Credit_Ramp),0)</f>
        <v>1</v>
      </c>
      <c r="AT13" s="35" t="n">
        <f aca="false">IF(AT$3&gt;=Start_Factoring,MIN(1,(AT$3-Start_Factoring+1)/Credit_Ramp),0)</f>
        <v>1</v>
      </c>
      <c r="AU13" s="35" t="n">
        <f aca="false">IF(AU$3&gt;=Start_Factoring,MIN(1,(AU$3-Start_Factoring+1)/Credit_Ramp),0)</f>
        <v>1</v>
      </c>
      <c r="AV13" s="35" t="n">
        <f aca="false">IF(AV$3&gt;=Start_Factoring,MIN(1,(AV$3-Start_Factoring+1)/Credit_Ramp),0)</f>
        <v>1</v>
      </c>
      <c r="AW13" s="35" t="n">
        <f aca="false">IF(AW$3&gt;=Start_Factoring,MIN(1,(AW$3-Start_Factoring+1)/Credit_Ramp),0)</f>
        <v>1</v>
      </c>
      <c r="AX13" s="35" t="n">
        <f aca="false">IF(AX$3&gt;=Start_Factoring,MIN(1,(AX$3-Start_Factoring+1)/Credit_Ramp),0)</f>
        <v>1</v>
      </c>
      <c r="AY13" s="35" t="n">
        <f aca="false">IF(AY$3&gt;=Start_Factoring,MIN(1,(AY$3-Start_Factoring+1)/Credit_Ramp),0)</f>
        <v>1</v>
      </c>
      <c r="AZ13" s="35" t="n">
        <f aca="false">IF(AZ$3&gt;=Start_Factoring,MIN(1,(AZ$3-Start_Factoring+1)/Credit_Ramp),0)</f>
        <v>1</v>
      </c>
      <c r="BA13" s="35" t="n">
        <f aca="false">IF(BA$3&gt;=Start_Factoring,MIN(1,(BA$3-Start_Factoring+1)/Credit_Ramp),0)</f>
        <v>1</v>
      </c>
      <c r="BB13" s="35" t="n">
        <f aca="false">IF(BB$3&gt;=Start_Factoring,MIN(1,(BB$3-Start_Factoring+1)/Credit_Ramp),0)</f>
        <v>1</v>
      </c>
      <c r="BC13" s="35" t="n">
        <f aca="false">IF(BC$3&gt;=Start_Factoring,MIN(1,(BC$3-Start_Factoring+1)/Credit_Ramp),0)</f>
        <v>1</v>
      </c>
      <c r="BD13" s="35" t="n">
        <f aca="false">IF(BD$3&gt;=Start_Factoring,MIN(1,(BD$3-Start_Factoring+1)/Credit_Ramp),0)</f>
        <v>1</v>
      </c>
      <c r="BE13" s="35" t="n">
        <f aca="false">IF(BE$3&gt;=Start_Factoring,MIN(1,(BE$3-Start_Factoring+1)/Credit_Ramp),0)</f>
        <v>1</v>
      </c>
      <c r="BF13" s="35" t="n">
        <f aca="false">IF(BF$3&gt;=Start_Factoring,MIN(1,(BF$3-Start_Factoring+1)/Credit_Ramp),0)</f>
        <v>1</v>
      </c>
      <c r="BG13" s="35" t="n">
        <f aca="false">IF(BG$3&gt;=Start_Factoring,MIN(1,(BG$3-Start_Factoring+1)/Credit_Ramp),0)</f>
        <v>1</v>
      </c>
      <c r="BH13" s="35" t="n">
        <f aca="false">IF(BH$3&gt;=Start_Factoring,MIN(1,(BH$3-Start_Factoring+1)/Credit_Ramp),0)</f>
        <v>1</v>
      </c>
      <c r="BI13" s="35" t="n">
        <f aca="false">IF(BI$3&gt;=Start_Factoring,MIN(1,(BI$3-Start_Factoring+1)/Credit_Ramp),0)</f>
        <v>1</v>
      </c>
      <c r="BJ13" s="35" t="n">
        <f aca="false">IF(BJ$3&gt;=Start_Factoring,MIN(1,(BJ$3-Start_Factoring+1)/Credit_Ramp),0)</f>
        <v>1</v>
      </c>
      <c r="BK13" s="35" t="n">
        <f aca="false">IF(BK$3&gt;=Start_Factoring,MIN(1,(BK$3-Start_Factoring+1)/Credit_Ramp),0)</f>
        <v>1</v>
      </c>
      <c r="BL13" s="35" t="n">
        <f aca="false">IF(BL$3&gt;=Start_Factoring,MIN(1,(BL$3-Start_Factoring+1)/Credit_Ramp),0)</f>
        <v>1</v>
      </c>
    </row>
    <row r="14" customFormat="false" ht="15" hidden="false" customHeight="true" outlineLevel="0" collapsed="false">
      <c r="A14" s="13" t="s">
        <v>249</v>
      </c>
      <c r="B14" s="15" t="s">
        <v>96</v>
      </c>
      <c r="E14" s="35" t="n">
        <f aca="false">IF(E$3&gt;=Start_Bridge,MIN(1,(E$3-Start_Bridge+1)/Credit_Ramp),0)</f>
        <v>0</v>
      </c>
      <c r="F14" s="35" t="n">
        <f aca="false">IF(F$3&gt;=Start_Bridge,MIN(1,(F$3-Start_Bridge+1)/Credit_Ramp),0)</f>
        <v>0</v>
      </c>
      <c r="G14" s="35" t="n">
        <f aca="false">IF(G$3&gt;=Start_Bridge,MIN(1,(G$3-Start_Bridge+1)/Credit_Ramp),0)</f>
        <v>0</v>
      </c>
      <c r="H14" s="35" t="n">
        <f aca="false">IF(H$3&gt;=Start_Bridge,MIN(1,(H$3-Start_Bridge+1)/Credit_Ramp),0)</f>
        <v>0</v>
      </c>
      <c r="I14" s="35" t="n">
        <f aca="false">IF(I$3&gt;=Start_Bridge,MIN(1,(I$3-Start_Bridge+1)/Credit_Ramp),0)</f>
        <v>0</v>
      </c>
      <c r="J14" s="35" t="n">
        <f aca="false">IF(J$3&gt;=Start_Bridge,MIN(1,(J$3-Start_Bridge+1)/Credit_Ramp),0)</f>
        <v>0</v>
      </c>
      <c r="K14" s="35" t="n">
        <f aca="false">IF(K$3&gt;=Start_Bridge,MIN(1,(K$3-Start_Bridge+1)/Credit_Ramp),0)</f>
        <v>0</v>
      </c>
      <c r="L14" s="35" t="n">
        <f aca="false">IF(L$3&gt;=Start_Bridge,MIN(1,(L$3-Start_Bridge+1)/Credit_Ramp),0)</f>
        <v>0</v>
      </c>
      <c r="M14" s="35" t="n">
        <f aca="false">IF(M$3&gt;=Start_Bridge,MIN(1,(M$3-Start_Bridge+1)/Credit_Ramp),0)</f>
        <v>0</v>
      </c>
      <c r="N14" s="35" t="n">
        <f aca="false">IF(N$3&gt;=Start_Bridge,MIN(1,(N$3-Start_Bridge+1)/Credit_Ramp),0)</f>
        <v>0</v>
      </c>
      <c r="O14" s="35" t="n">
        <f aca="false">IF(O$3&gt;=Start_Bridge,MIN(1,(O$3-Start_Bridge+1)/Credit_Ramp),0)</f>
        <v>0</v>
      </c>
      <c r="P14" s="35" t="n">
        <f aca="false">IF(P$3&gt;=Start_Bridge,MIN(1,(P$3-Start_Bridge+1)/Credit_Ramp),0)</f>
        <v>0</v>
      </c>
      <c r="Q14" s="35" t="n">
        <f aca="false">IF(Q$3&gt;=Start_Bridge,MIN(1,(Q$3-Start_Bridge+1)/Credit_Ramp),0)</f>
        <v>0</v>
      </c>
      <c r="R14" s="35" t="n">
        <f aca="false">IF(R$3&gt;=Start_Bridge,MIN(1,(R$3-Start_Bridge+1)/Credit_Ramp),0)</f>
        <v>0</v>
      </c>
      <c r="S14" s="35" t="n">
        <f aca="false">IF(S$3&gt;=Start_Bridge,MIN(1,(S$3-Start_Bridge+1)/Credit_Ramp),0)</f>
        <v>0</v>
      </c>
      <c r="T14" s="35" t="n">
        <f aca="false">IF(T$3&gt;=Start_Bridge,MIN(1,(T$3-Start_Bridge+1)/Credit_Ramp),0)</f>
        <v>0</v>
      </c>
      <c r="U14" s="35" t="n">
        <f aca="false">IF(U$3&gt;=Start_Bridge,MIN(1,(U$3-Start_Bridge+1)/Credit_Ramp),0)</f>
        <v>0</v>
      </c>
      <c r="V14" s="35" t="n">
        <f aca="false">IF(V$3&gt;=Start_Bridge,MIN(1,(V$3-Start_Bridge+1)/Credit_Ramp),0)</f>
        <v>0.0833333333333333</v>
      </c>
      <c r="W14" s="35" t="n">
        <f aca="false">IF(W$3&gt;=Start_Bridge,MIN(1,(W$3-Start_Bridge+1)/Credit_Ramp),0)</f>
        <v>0.166666666666667</v>
      </c>
      <c r="X14" s="35" t="n">
        <f aca="false">IF(X$3&gt;=Start_Bridge,MIN(1,(X$3-Start_Bridge+1)/Credit_Ramp),0)</f>
        <v>0.25</v>
      </c>
      <c r="Y14" s="35" t="n">
        <f aca="false">IF(Y$3&gt;=Start_Bridge,MIN(1,(Y$3-Start_Bridge+1)/Credit_Ramp),0)</f>
        <v>0.333333333333333</v>
      </c>
      <c r="Z14" s="35" t="n">
        <f aca="false">IF(Z$3&gt;=Start_Bridge,MIN(1,(Z$3-Start_Bridge+1)/Credit_Ramp),0)</f>
        <v>0.416666666666667</v>
      </c>
      <c r="AA14" s="35" t="n">
        <f aca="false">IF(AA$3&gt;=Start_Bridge,MIN(1,(AA$3-Start_Bridge+1)/Credit_Ramp),0)</f>
        <v>0.5</v>
      </c>
      <c r="AB14" s="35" t="n">
        <f aca="false">IF(AB$3&gt;=Start_Bridge,MIN(1,(AB$3-Start_Bridge+1)/Credit_Ramp),0)</f>
        <v>0.583333333333333</v>
      </c>
      <c r="AC14" s="35" t="n">
        <f aca="false">IF(AC$3&gt;=Start_Bridge,MIN(1,(AC$3-Start_Bridge+1)/Credit_Ramp),0)</f>
        <v>0.666666666666667</v>
      </c>
      <c r="AD14" s="35" t="n">
        <f aca="false">IF(AD$3&gt;=Start_Bridge,MIN(1,(AD$3-Start_Bridge+1)/Credit_Ramp),0)</f>
        <v>0.75</v>
      </c>
      <c r="AE14" s="35" t="n">
        <f aca="false">IF(AE$3&gt;=Start_Bridge,MIN(1,(AE$3-Start_Bridge+1)/Credit_Ramp),0)</f>
        <v>0.833333333333333</v>
      </c>
      <c r="AF14" s="35" t="n">
        <f aca="false">IF(AF$3&gt;=Start_Bridge,MIN(1,(AF$3-Start_Bridge+1)/Credit_Ramp),0)</f>
        <v>0.916666666666667</v>
      </c>
      <c r="AG14" s="35" t="n">
        <f aca="false">IF(AG$3&gt;=Start_Bridge,MIN(1,(AG$3-Start_Bridge+1)/Credit_Ramp),0)</f>
        <v>1</v>
      </c>
      <c r="AH14" s="35" t="n">
        <f aca="false">IF(AH$3&gt;=Start_Bridge,MIN(1,(AH$3-Start_Bridge+1)/Credit_Ramp),0)</f>
        <v>1</v>
      </c>
      <c r="AI14" s="35" t="n">
        <f aca="false">IF(AI$3&gt;=Start_Bridge,MIN(1,(AI$3-Start_Bridge+1)/Credit_Ramp),0)</f>
        <v>1</v>
      </c>
      <c r="AJ14" s="35" t="n">
        <f aca="false">IF(AJ$3&gt;=Start_Bridge,MIN(1,(AJ$3-Start_Bridge+1)/Credit_Ramp),0)</f>
        <v>1</v>
      </c>
      <c r="AK14" s="35" t="n">
        <f aca="false">IF(AK$3&gt;=Start_Bridge,MIN(1,(AK$3-Start_Bridge+1)/Credit_Ramp),0)</f>
        <v>1</v>
      </c>
      <c r="AL14" s="35" t="n">
        <f aca="false">IF(AL$3&gt;=Start_Bridge,MIN(1,(AL$3-Start_Bridge+1)/Credit_Ramp),0)</f>
        <v>1</v>
      </c>
      <c r="AM14" s="35" t="n">
        <f aca="false">IF(AM$3&gt;=Start_Bridge,MIN(1,(AM$3-Start_Bridge+1)/Credit_Ramp),0)</f>
        <v>1</v>
      </c>
      <c r="AN14" s="35" t="n">
        <f aca="false">IF(AN$3&gt;=Start_Bridge,MIN(1,(AN$3-Start_Bridge+1)/Credit_Ramp),0)</f>
        <v>1</v>
      </c>
      <c r="AO14" s="35" t="n">
        <f aca="false">IF(AO$3&gt;=Start_Bridge,MIN(1,(AO$3-Start_Bridge+1)/Credit_Ramp),0)</f>
        <v>1</v>
      </c>
      <c r="AP14" s="35" t="n">
        <f aca="false">IF(AP$3&gt;=Start_Bridge,MIN(1,(AP$3-Start_Bridge+1)/Credit_Ramp),0)</f>
        <v>1</v>
      </c>
      <c r="AQ14" s="35" t="n">
        <f aca="false">IF(AQ$3&gt;=Start_Bridge,MIN(1,(AQ$3-Start_Bridge+1)/Credit_Ramp),0)</f>
        <v>1</v>
      </c>
      <c r="AR14" s="35" t="n">
        <f aca="false">IF(AR$3&gt;=Start_Bridge,MIN(1,(AR$3-Start_Bridge+1)/Credit_Ramp),0)</f>
        <v>1</v>
      </c>
      <c r="AS14" s="35" t="n">
        <f aca="false">IF(AS$3&gt;=Start_Bridge,MIN(1,(AS$3-Start_Bridge+1)/Credit_Ramp),0)</f>
        <v>1</v>
      </c>
      <c r="AT14" s="35" t="n">
        <f aca="false">IF(AT$3&gt;=Start_Bridge,MIN(1,(AT$3-Start_Bridge+1)/Credit_Ramp),0)</f>
        <v>1</v>
      </c>
      <c r="AU14" s="35" t="n">
        <f aca="false">IF(AU$3&gt;=Start_Bridge,MIN(1,(AU$3-Start_Bridge+1)/Credit_Ramp),0)</f>
        <v>1</v>
      </c>
      <c r="AV14" s="35" t="n">
        <f aca="false">IF(AV$3&gt;=Start_Bridge,MIN(1,(AV$3-Start_Bridge+1)/Credit_Ramp),0)</f>
        <v>1</v>
      </c>
      <c r="AW14" s="35" t="n">
        <f aca="false">IF(AW$3&gt;=Start_Bridge,MIN(1,(AW$3-Start_Bridge+1)/Credit_Ramp),0)</f>
        <v>1</v>
      </c>
      <c r="AX14" s="35" t="n">
        <f aca="false">IF(AX$3&gt;=Start_Bridge,MIN(1,(AX$3-Start_Bridge+1)/Credit_Ramp),0)</f>
        <v>1</v>
      </c>
      <c r="AY14" s="35" t="n">
        <f aca="false">IF(AY$3&gt;=Start_Bridge,MIN(1,(AY$3-Start_Bridge+1)/Credit_Ramp),0)</f>
        <v>1</v>
      </c>
      <c r="AZ14" s="35" t="n">
        <f aca="false">IF(AZ$3&gt;=Start_Bridge,MIN(1,(AZ$3-Start_Bridge+1)/Credit_Ramp),0)</f>
        <v>1</v>
      </c>
      <c r="BA14" s="35" t="n">
        <f aca="false">IF(BA$3&gt;=Start_Bridge,MIN(1,(BA$3-Start_Bridge+1)/Credit_Ramp),0)</f>
        <v>1</v>
      </c>
      <c r="BB14" s="35" t="n">
        <f aca="false">IF(BB$3&gt;=Start_Bridge,MIN(1,(BB$3-Start_Bridge+1)/Credit_Ramp),0)</f>
        <v>1</v>
      </c>
      <c r="BC14" s="35" t="n">
        <f aca="false">IF(BC$3&gt;=Start_Bridge,MIN(1,(BC$3-Start_Bridge+1)/Credit_Ramp),0)</f>
        <v>1</v>
      </c>
      <c r="BD14" s="35" t="n">
        <f aca="false">IF(BD$3&gt;=Start_Bridge,MIN(1,(BD$3-Start_Bridge+1)/Credit_Ramp),0)</f>
        <v>1</v>
      </c>
      <c r="BE14" s="35" t="n">
        <f aca="false">IF(BE$3&gt;=Start_Bridge,MIN(1,(BE$3-Start_Bridge+1)/Credit_Ramp),0)</f>
        <v>1</v>
      </c>
      <c r="BF14" s="35" t="n">
        <f aca="false">IF(BF$3&gt;=Start_Bridge,MIN(1,(BF$3-Start_Bridge+1)/Credit_Ramp),0)</f>
        <v>1</v>
      </c>
      <c r="BG14" s="35" t="n">
        <f aca="false">IF(BG$3&gt;=Start_Bridge,MIN(1,(BG$3-Start_Bridge+1)/Credit_Ramp),0)</f>
        <v>1</v>
      </c>
      <c r="BH14" s="35" t="n">
        <f aca="false">IF(BH$3&gt;=Start_Bridge,MIN(1,(BH$3-Start_Bridge+1)/Credit_Ramp),0)</f>
        <v>1</v>
      </c>
      <c r="BI14" s="35" t="n">
        <f aca="false">IF(BI$3&gt;=Start_Bridge,MIN(1,(BI$3-Start_Bridge+1)/Credit_Ramp),0)</f>
        <v>1</v>
      </c>
      <c r="BJ14" s="35" t="n">
        <f aca="false">IF(BJ$3&gt;=Start_Bridge,MIN(1,(BJ$3-Start_Bridge+1)/Credit_Ramp),0)</f>
        <v>1</v>
      </c>
      <c r="BK14" s="35" t="n">
        <f aca="false">IF(BK$3&gt;=Start_Bridge,MIN(1,(BK$3-Start_Bridge+1)/Credit_Ramp),0)</f>
        <v>1</v>
      </c>
      <c r="BL14" s="35" t="n">
        <f aca="false">IF(BL$3&gt;=Start_Bridge,MIN(1,(BL$3-Start_Bridge+1)/Credit_Ramp),0)</f>
        <v>1</v>
      </c>
    </row>
    <row r="15" customFormat="false" ht="15" hidden="false" customHeight="true" outlineLevel="0" collapsed="false">
      <c r="A15" s="13" t="s">
        <v>251</v>
      </c>
      <c r="B15" s="15" t="s">
        <v>96</v>
      </c>
      <c r="E15" s="35" t="n">
        <f aca="false">IF(E$3&gt;=Start_Line,MIN(1,(E$3-Start_Line+1)/Credit_Ramp),0)</f>
        <v>0</v>
      </c>
      <c r="F15" s="35" t="n">
        <f aca="false">IF(F$3&gt;=Start_Line,MIN(1,(F$3-Start_Line+1)/Credit_Ramp),0)</f>
        <v>0</v>
      </c>
      <c r="G15" s="35" t="n">
        <f aca="false">IF(G$3&gt;=Start_Line,MIN(1,(G$3-Start_Line+1)/Credit_Ramp),0)</f>
        <v>0</v>
      </c>
      <c r="H15" s="35" t="n">
        <f aca="false">IF(H$3&gt;=Start_Line,MIN(1,(H$3-Start_Line+1)/Credit_Ramp),0)</f>
        <v>0</v>
      </c>
      <c r="I15" s="35" t="n">
        <f aca="false">IF(I$3&gt;=Start_Line,MIN(1,(I$3-Start_Line+1)/Credit_Ramp),0)</f>
        <v>0</v>
      </c>
      <c r="J15" s="35" t="n">
        <f aca="false">IF(J$3&gt;=Start_Line,MIN(1,(J$3-Start_Line+1)/Credit_Ramp),0)</f>
        <v>0</v>
      </c>
      <c r="K15" s="35" t="n">
        <f aca="false">IF(K$3&gt;=Start_Line,MIN(1,(K$3-Start_Line+1)/Credit_Ramp),0)</f>
        <v>0</v>
      </c>
      <c r="L15" s="35" t="n">
        <f aca="false">IF(L$3&gt;=Start_Line,MIN(1,(L$3-Start_Line+1)/Credit_Ramp),0)</f>
        <v>0</v>
      </c>
      <c r="M15" s="35" t="n">
        <f aca="false">IF(M$3&gt;=Start_Line,MIN(1,(M$3-Start_Line+1)/Credit_Ramp),0)</f>
        <v>0</v>
      </c>
      <c r="N15" s="35" t="n">
        <f aca="false">IF(N$3&gt;=Start_Line,MIN(1,(N$3-Start_Line+1)/Credit_Ramp),0)</f>
        <v>0</v>
      </c>
      <c r="O15" s="35" t="n">
        <f aca="false">IF(O$3&gt;=Start_Line,MIN(1,(O$3-Start_Line+1)/Credit_Ramp),0)</f>
        <v>0</v>
      </c>
      <c r="P15" s="35" t="n">
        <f aca="false">IF(P$3&gt;=Start_Line,MIN(1,(P$3-Start_Line+1)/Credit_Ramp),0)</f>
        <v>0</v>
      </c>
      <c r="Q15" s="35" t="n">
        <f aca="false">IF(Q$3&gt;=Start_Line,MIN(1,(Q$3-Start_Line+1)/Credit_Ramp),0)</f>
        <v>0</v>
      </c>
      <c r="R15" s="35" t="n">
        <f aca="false">IF(R$3&gt;=Start_Line,MIN(1,(R$3-Start_Line+1)/Credit_Ramp),0)</f>
        <v>0</v>
      </c>
      <c r="S15" s="35" t="n">
        <f aca="false">IF(S$3&gt;=Start_Line,MIN(1,(S$3-Start_Line+1)/Credit_Ramp),0)</f>
        <v>0</v>
      </c>
      <c r="T15" s="35" t="n">
        <f aca="false">IF(T$3&gt;=Start_Line,MIN(1,(T$3-Start_Line+1)/Credit_Ramp),0)</f>
        <v>0</v>
      </c>
      <c r="U15" s="35" t="n">
        <f aca="false">IF(U$3&gt;=Start_Line,MIN(1,(U$3-Start_Line+1)/Credit_Ramp),0)</f>
        <v>0</v>
      </c>
      <c r="V15" s="35" t="n">
        <f aca="false">IF(V$3&gt;=Start_Line,MIN(1,(V$3-Start_Line+1)/Credit_Ramp),0)</f>
        <v>0</v>
      </c>
      <c r="W15" s="35" t="n">
        <f aca="false">IF(W$3&gt;=Start_Line,MIN(1,(W$3-Start_Line+1)/Credit_Ramp),0)</f>
        <v>0</v>
      </c>
      <c r="X15" s="35" t="n">
        <f aca="false">IF(X$3&gt;=Start_Line,MIN(1,(X$3-Start_Line+1)/Credit_Ramp),0)</f>
        <v>0</v>
      </c>
      <c r="Y15" s="35" t="n">
        <f aca="false">IF(Y$3&gt;=Start_Line,MIN(1,(Y$3-Start_Line+1)/Credit_Ramp),0)</f>
        <v>0.0833333333333333</v>
      </c>
      <c r="Z15" s="35" t="n">
        <f aca="false">IF(Z$3&gt;=Start_Line,MIN(1,(Z$3-Start_Line+1)/Credit_Ramp),0)</f>
        <v>0.166666666666667</v>
      </c>
      <c r="AA15" s="35" t="n">
        <f aca="false">IF(AA$3&gt;=Start_Line,MIN(1,(AA$3-Start_Line+1)/Credit_Ramp),0)</f>
        <v>0.25</v>
      </c>
      <c r="AB15" s="35" t="n">
        <f aca="false">IF(AB$3&gt;=Start_Line,MIN(1,(AB$3-Start_Line+1)/Credit_Ramp),0)</f>
        <v>0.333333333333333</v>
      </c>
      <c r="AC15" s="35" t="n">
        <f aca="false">IF(AC$3&gt;=Start_Line,MIN(1,(AC$3-Start_Line+1)/Credit_Ramp),0)</f>
        <v>0.416666666666667</v>
      </c>
      <c r="AD15" s="35" t="n">
        <f aca="false">IF(AD$3&gt;=Start_Line,MIN(1,(AD$3-Start_Line+1)/Credit_Ramp),0)</f>
        <v>0.5</v>
      </c>
      <c r="AE15" s="35" t="n">
        <f aca="false">IF(AE$3&gt;=Start_Line,MIN(1,(AE$3-Start_Line+1)/Credit_Ramp),0)</f>
        <v>0.583333333333333</v>
      </c>
      <c r="AF15" s="35" t="n">
        <f aca="false">IF(AF$3&gt;=Start_Line,MIN(1,(AF$3-Start_Line+1)/Credit_Ramp),0)</f>
        <v>0.666666666666667</v>
      </c>
      <c r="AG15" s="35" t="n">
        <f aca="false">IF(AG$3&gt;=Start_Line,MIN(1,(AG$3-Start_Line+1)/Credit_Ramp),0)</f>
        <v>0.75</v>
      </c>
      <c r="AH15" s="35" t="n">
        <f aca="false">IF(AH$3&gt;=Start_Line,MIN(1,(AH$3-Start_Line+1)/Credit_Ramp),0)</f>
        <v>0.833333333333333</v>
      </c>
      <c r="AI15" s="35" t="n">
        <f aca="false">IF(AI$3&gt;=Start_Line,MIN(1,(AI$3-Start_Line+1)/Credit_Ramp),0)</f>
        <v>0.916666666666667</v>
      </c>
      <c r="AJ15" s="35" t="n">
        <f aca="false">IF(AJ$3&gt;=Start_Line,MIN(1,(AJ$3-Start_Line+1)/Credit_Ramp),0)</f>
        <v>1</v>
      </c>
      <c r="AK15" s="35" t="n">
        <f aca="false">IF(AK$3&gt;=Start_Line,MIN(1,(AK$3-Start_Line+1)/Credit_Ramp),0)</f>
        <v>1</v>
      </c>
      <c r="AL15" s="35" t="n">
        <f aca="false">IF(AL$3&gt;=Start_Line,MIN(1,(AL$3-Start_Line+1)/Credit_Ramp),0)</f>
        <v>1</v>
      </c>
      <c r="AM15" s="35" t="n">
        <f aca="false">IF(AM$3&gt;=Start_Line,MIN(1,(AM$3-Start_Line+1)/Credit_Ramp),0)</f>
        <v>1</v>
      </c>
      <c r="AN15" s="35" t="n">
        <f aca="false">IF(AN$3&gt;=Start_Line,MIN(1,(AN$3-Start_Line+1)/Credit_Ramp),0)</f>
        <v>1</v>
      </c>
      <c r="AO15" s="35" t="n">
        <f aca="false">IF(AO$3&gt;=Start_Line,MIN(1,(AO$3-Start_Line+1)/Credit_Ramp),0)</f>
        <v>1</v>
      </c>
      <c r="AP15" s="35" t="n">
        <f aca="false">IF(AP$3&gt;=Start_Line,MIN(1,(AP$3-Start_Line+1)/Credit_Ramp),0)</f>
        <v>1</v>
      </c>
      <c r="AQ15" s="35" t="n">
        <f aca="false">IF(AQ$3&gt;=Start_Line,MIN(1,(AQ$3-Start_Line+1)/Credit_Ramp),0)</f>
        <v>1</v>
      </c>
      <c r="AR15" s="35" t="n">
        <f aca="false">IF(AR$3&gt;=Start_Line,MIN(1,(AR$3-Start_Line+1)/Credit_Ramp),0)</f>
        <v>1</v>
      </c>
      <c r="AS15" s="35" t="n">
        <f aca="false">IF(AS$3&gt;=Start_Line,MIN(1,(AS$3-Start_Line+1)/Credit_Ramp),0)</f>
        <v>1</v>
      </c>
      <c r="AT15" s="35" t="n">
        <f aca="false">IF(AT$3&gt;=Start_Line,MIN(1,(AT$3-Start_Line+1)/Credit_Ramp),0)</f>
        <v>1</v>
      </c>
      <c r="AU15" s="35" t="n">
        <f aca="false">IF(AU$3&gt;=Start_Line,MIN(1,(AU$3-Start_Line+1)/Credit_Ramp),0)</f>
        <v>1</v>
      </c>
      <c r="AV15" s="35" t="n">
        <f aca="false">IF(AV$3&gt;=Start_Line,MIN(1,(AV$3-Start_Line+1)/Credit_Ramp),0)</f>
        <v>1</v>
      </c>
      <c r="AW15" s="35" t="n">
        <f aca="false">IF(AW$3&gt;=Start_Line,MIN(1,(AW$3-Start_Line+1)/Credit_Ramp),0)</f>
        <v>1</v>
      </c>
      <c r="AX15" s="35" t="n">
        <f aca="false">IF(AX$3&gt;=Start_Line,MIN(1,(AX$3-Start_Line+1)/Credit_Ramp),0)</f>
        <v>1</v>
      </c>
      <c r="AY15" s="35" t="n">
        <f aca="false">IF(AY$3&gt;=Start_Line,MIN(1,(AY$3-Start_Line+1)/Credit_Ramp),0)</f>
        <v>1</v>
      </c>
      <c r="AZ15" s="35" t="n">
        <f aca="false">IF(AZ$3&gt;=Start_Line,MIN(1,(AZ$3-Start_Line+1)/Credit_Ramp),0)</f>
        <v>1</v>
      </c>
      <c r="BA15" s="35" t="n">
        <f aca="false">IF(BA$3&gt;=Start_Line,MIN(1,(BA$3-Start_Line+1)/Credit_Ramp),0)</f>
        <v>1</v>
      </c>
      <c r="BB15" s="35" t="n">
        <f aca="false">IF(BB$3&gt;=Start_Line,MIN(1,(BB$3-Start_Line+1)/Credit_Ramp),0)</f>
        <v>1</v>
      </c>
      <c r="BC15" s="35" t="n">
        <f aca="false">IF(BC$3&gt;=Start_Line,MIN(1,(BC$3-Start_Line+1)/Credit_Ramp),0)</f>
        <v>1</v>
      </c>
      <c r="BD15" s="35" t="n">
        <f aca="false">IF(BD$3&gt;=Start_Line,MIN(1,(BD$3-Start_Line+1)/Credit_Ramp),0)</f>
        <v>1</v>
      </c>
      <c r="BE15" s="35" t="n">
        <f aca="false">IF(BE$3&gt;=Start_Line,MIN(1,(BE$3-Start_Line+1)/Credit_Ramp),0)</f>
        <v>1</v>
      </c>
      <c r="BF15" s="35" t="n">
        <f aca="false">IF(BF$3&gt;=Start_Line,MIN(1,(BF$3-Start_Line+1)/Credit_Ramp),0)</f>
        <v>1</v>
      </c>
      <c r="BG15" s="35" t="n">
        <f aca="false">IF(BG$3&gt;=Start_Line,MIN(1,(BG$3-Start_Line+1)/Credit_Ramp),0)</f>
        <v>1</v>
      </c>
      <c r="BH15" s="35" t="n">
        <f aca="false">IF(BH$3&gt;=Start_Line,MIN(1,(BH$3-Start_Line+1)/Credit_Ramp),0)</f>
        <v>1</v>
      </c>
      <c r="BI15" s="35" t="n">
        <f aca="false">IF(BI$3&gt;=Start_Line,MIN(1,(BI$3-Start_Line+1)/Credit_Ramp),0)</f>
        <v>1</v>
      </c>
      <c r="BJ15" s="35" t="n">
        <f aca="false">IF(BJ$3&gt;=Start_Line,MIN(1,(BJ$3-Start_Line+1)/Credit_Ramp),0)</f>
        <v>1</v>
      </c>
      <c r="BK15" s="35" t="n">
        <f aca="false">IF(BK$3&gt;=Start_Line,MIN(1,(BK$3-Start_Line+1)/Credit_Ramp),0)</f>
        <v>1</v>
      </c>
      <c r="BL15" s="35" t="n">
        <f aca="false">IF(BL$3&gt;=Start_Line,MIN(1,(BL$3-Start_Line+1)/Credit_Ramp),0)</f>
        <v>1</v>
      </c>
    </row>
    <row r="16" customFormat="false" ht="15" hidden="false" customHeight="true" outlineLevel="0" collapsed="false">
      <c r="A16" s="13" t="s">
        <v>1048</v>
      </c>
      <c r="B16" s="15" t="s">
        <v>96</v>
      </c>
      <c r="E16" s="35" t="n">
        <f aca="false">IF(E$3&gt;=Start_Term,MIN(1,(E$3-Start_Term+1)/Credit_Ramp),0)</f>
        <v>0</v>
      </c>
      <c r="F16" s="35" t="n">
        <f aca="false">IF(F$3&gt;=Start_Term,MIN(1,(F$3-Start_Term+1)/Credit_Ramp),0)</f>
        <v>0</v>
      </c>
      <c r="G16" s="35" t="n">
        <f aca="false">IF(G$3&gt;=Start_Term,MIN(1,(G$3-Start_Term+1)/Credit_Ramp),0)</f>
        <v>0</v>
      </c>
      <c r="H16" s="35" t="n">
        <f aca="false">IF(H$3&gt;=Start_Term,MIN(1,(H$3-Start_Term+1)/Credit_Ramp),0)</f>
        <v>0</v>
      </c>
      <c r="I16" s="35" t="n">
        <f aca="false">IF(I$3&gt;=Start_Term,MIN(1,(I$3-Start_Term+1)/Credit_Ramp),0)</f>
        <v>0</v>
      </c>
      <c r="J16" s="35" t="n">
        <f aca="false">IF(J$3&gt;=Start_Term,MIN(1,(J$3-Start_Term+1)/Credit_Ramp),0)</f>
        <v>0</v>
      </c>
      <c r="K16" s="35" t="n">
        <f aca="false">IF(K$3&gt;=Start_Term,MIN(1,(K$3-Start_Term+1)/Credit_Ramp),0)</f>
        <v>0</v>
      </c>
      <c r="L16" s="35" t="n">
        <f aca="false">IF(L$3&gt;=Start_Term,MIN(1,(L$3-Start_Term+1)/Credit_Ramp),0)</f>
        <v>0</v>
      </c>
      <c r="M16" s="35" t="n">
        <f aca="false">IF(M$3&gt;=Start_Term,MIN(1,(M$3-Start_Term+1)/Credit_Ramp),0)</f>
        <v>0</v>
      </c>
      <c r="N16" s="35" t="n">
        <f aca="false">IF(N$3&gt;=Start_Term,MIN(1,(N$3-Start_Term+1)/Credit_Ramp),0)</f>
        <v>0</v>
      </c>
      <c r="O16" s="35" t="n">
        <f aca="false">IF(O$3&gt;=Start_Term,MIN(1,(O$3-Start_Term+1)/Credit_Ramp),0)</f>
        <v>0</v>
      </c>
      <c r="P16" s="35" t="n">
        <f aca="false">IF(P$3&gt;=Start_Term,MIN(1,(P$3-Start_Term+1)/Credit_Ramp),0)</f>
        <v>0</v>
      </c>
      <c r="Q16" s="35" t="n">
        <f aca="false">IF(Q$3&gt;=Start_Term,MIN(1,(Q$3-Start_Term+1)/Credit_Ramp),0)</f>
        <v>0</v>
      </c>
      <c r="R16" s="35" t="n">
        <f aca="false">IF(R$3&gt;=Start_Term,MIN(1,(R$3-Start_Term+1)/Credit_Ramp),0)</f>
        <v>0</v>
      </c>
      <c r="S16" s="35" t="n">
        <f aca="false">IF(S$3&gt;=Start_Term,MIN(1,(S$3-Start_Term+1)/Credit_Ramp),0)</f>
        <v>0</v>
      </c>
      <c r="T16" s="35" t="n">
        <f aca="false">IF(T$3&gt;=Start_Term,MIN(1,(T$3-Start_Term+1)/Credit_Ramp),0)</f>
        <v>0</v>
      </c>
      <c r="U16" s="35" t="n">
        <f aca="false">IF(U$3&gt;=Start_Term,MIN(1,(U$3-Start_Term+1)/Credit_Ramp),0)</f>
        <v>0</v>
      </c>
      <c r="V16" s="35" t="n">
        <f aca="false">IF(V$3&gt;=Start_Term,MIN(1,(V$3-Start_Term+1)/Credit_Ramp),0)</f>
        <v>0</v>
      </c>
      <c r="W16" s="35" t="n">
        <f aca="false">IF(W$3&gt;=Start_Term,MIN(1,(W$3-Start_Term+1)/Credit_Ramp),0)</f>
        <v>0</v>
      </c>
      <c r="X16" s="35" t="n">
        <f aca="false">IF(X$3&gt;=Start_Term,MIN(1,(X$3-Start_Term+1)/Credit_Ramp),0)</f>
        <v>0</v>
      </c>
      <c r="Y16" s="35" t="n">
        <f aca="false">IF(Y$3&gt;=Start_Term,MIN(1,(Y$3-Start_Term+1)/Credit_Ramp),0)</f>
        <v>0</v>
      </c>
      <c r="Z16" s="35" t="n">
        <f aca="false">IF(Z$3&gt;=Start_Term,MIN(1,(Z$3-Start_Term+1)/Credit_Ramp),0)</f>
        <v>0</v>
      </c>
      <c r="AA16" s="35" t="n">
        <f aca="false">IF(AA$3&gt;=Start_Term,MIN(1,(AA$3-Start_Term+1)/Credit_Ramp),0)</f>
        <v>0</v>
      </c>
      <c r="AB16" s="35" t="n">
        <f aca="false">IF(AB$3&gt;=Start_Term,MIN(1,(AB$3-Start_Term+1)/Credit_Ramp),0)</f>
        <v>0</v>
      </c>
      <c r="AC16" s="35" t="n">
        <f aca="false">IF(AC$3&gt;=Start_Term,MIN(1,(AC$3-Start_Term+1)/Credit_Ramp),0)</f>
        <v>0</v>
      </c>
      <c r="AD16" s="35" t="n">
        <f aca="false">IF(AD$3&gt;=Start_Term,MIN(1,(AD$3-Start_Term+1)/Credit_Ramp),0)</f>
        <v>0</v>
      </c>
      <c r="AE16" s="35" t="n">
        <f aca="false">IF(AE$3&gt;=Start_Term,MIN(1,(AE$3-Start_Term+1)/Credit_Ramp),0)</f>
        <v>0.0833333333333333</v>
      </c>
      <c r="AF16" s="35" t="n">
        <f aca="false">IF(AF$3&gt;=Start_Term,MIN(1,(AF$3-Start_Term+1)/Credit_Ramp),0)</f>
        <v>0.166666666666667</v>
      </c>
      <c r="AG16" s="35" t="n">
        <f aca="false">IF(AG$3&gt;=Start_Term,MIN(1,(AG$3-Start_Term+1)/Credit_Ramp),0)</f>
        <v>0.25</v>
      </c>
      <c r="AH16" s="35" t="n">
        <f aca="false">IF(AH$3&gt;=Start_Term,MIN(1,(AH$3-Start_Term+1)/Credit_Ramp),0)</f>
        <v>0.333333333333333</v>
      </c>
      <c r="AI16" s="35" t="n">
        <f aca="false">IF(AI$3&gt;=Start_Term,MIN(1,(AI$3-Start_Term+1)/Credit_Ramp),0)</f>
        <v>0.416666666666667</v>
      </c>
      <c r="AJ16" s="35" t="n">
        <f aca="false">IF(AJ$3&gt;=Start_Term,MIN(1,(AJ$3-Start_Term+1)/Credit_Ramp),0)</f>
        <v>0.5</v>
      </c>
      <c r="AK16" s="35" t="n">
        <f aca="false">IF(AK$3&gt;=Start_Term,MIN(1,(AK$3-Start_Term+1)/Credit_Ramp),0)</f>
        <v>0.583333333333333</v>
      </c>
      <c r="AL16" s="35" t="n">
        <f aca="false">IF(AL$3&gt;=Start_Term,MIN(1,(AL$3-Start_Term+1)/Credit_Ramp),0)</f>
        <v>0.666666666666667</v>
      </c>
      <c r="AM16" s="35" t="n">
        <f aca="false">IF(AM$3&gt;=Start_Term,MIN(1,(AM$3-Start_Term+1)/Credit_Ramp),0)</f>
        <v>0.75</v>
      </c>
      <c r="AN16" s="35" t="n">
        <f aca="false">IF(AN$3&gt;=Start_Term,MIN(1,(AN$3-Start_Term+1)/Credit_Ramp),0)</f>
        <v>0.833333333333333</v>
      </c>
      <c r="AO16" s="35" t="n">
        <f aca="false">IF(AO$3&gt;=Start_Term,MIN(1,(AO$3-Start_Term+1)/Credit_Ramp),0)</f>
        <v>0.916666666666667</v>
      </c>
      <c r="AP16" s="35" t="n">
        <f aca="false">IF(AP$3&gt;=Start_Term,MIN(1,(AP$3-Start_Term+1)/Credit_Ramp),0)</f>
        <v>1</v>
      </c>
      <c r="AQ16" s="35" t="n">
        <f aca="false">IF(AQ$3&gt;=Start_Term,MIN(1,(AQ$3-Start_Term+1)/Credit_Ramp),0)</f>
        <v>1</v>
      </c>
      <c r="AR16" s="35" t="n">
        <f aca="false">IF(AR$3&gt;=Start_Term,MIN(1,(AR$3-Start_Term+1)/Credit_Ramp),0)</f>
        <v>1</v>
      </c>
      <c r="AS16" s="35" t="n">
        <f aca="false">IF(AS$3&gt;=Start_Term,MIN(1,(AS$3-Start_Term+1)/Credit_Ramp),0)</f>
        <v>1</v>
      </c>
      <c r="AT16" s="35" t="n">
        <f aca="false">IF(AT$3&gt;=Start_Term,MIN(1,(AT$3-Start_Term+1)/Credit_Ramp),0)</f>
        <v>1</v>
      </c>
      <c r="AU16" s="35" t="n">
        <f aca="false">IF(AU$3&gt;=Start_Term,MIN(1,(AU$3-Start_Term+1)/Credit_Ramp),0)</f>
        <v>1</v>
      </c>
      <c r="AV16" s="35" t="n">
        <f aca="false">IF(AV$3&gt;=Start_Term,MIN(1,(AV$3-Start_Term+1)/Credit_Ramp),0)</f>
        <v>1</v>
      </c>
      <c r="AW16" s="35" t="n">
        <f aca="false">IF(AW$3&gt;=Start_Term,MIN(1,(AW$3-Start_Term+1)/Credit_Ramp),0)</f>
        <v>1</v>
      </c>
      <c r="AX16" s="35" t="n">
        <f aca="false">IF(AX$3&gt;=Start_Term,MIN(1,(AX$3-Start_Term+1)/Credit_Ramp),0)</f>
        <v>1</v>
      </c>
      <c r="AY16" s="35" t="n">
        <f aca="false">IF(AY$3&gt;=Start_Term,MIN(1,(AY$3-Start_Term+1)/Credit_Ramp),0)</f>
        <v>1</v>
      </c>
      <c r="AZ16" s="35" t="n">
        <f aca="false">IF(AZ$3&gt;=Start_Term,MIN(1,(AZ$3-Start_Term+1)/Credit_Ramp),0)</f>
        <v>1</v>
      </c>
      <c r="BA16" s="35" t="n">
        <f aca="false">IF(BA$3&gt;=Start_Term,MIN(1,(BA$3-Start_Term+1)/Credit_Ramp),0)</f>
        <v>1</v>
      </c>
      <c r="BB16" s="35" t="n">
        <f aca="false">IF(BB$3&gt;=Start_Term,MIN(1,(BB$3-Start_Term+1)/Credit_Ramp),0)</f>
        <v>1</v>
      </c>
      <c r="BC16" s="35" t="n">
        <f aca="false">IF(BC$3&gt;=Start_Term,MIN(1,(BC$3-Start_Term+1)/Credit_Ramp),0)</f>
        <v>1</v>
      </c>
      <c r="BD16" s="35" t="n">
        <f aca="false">IF(BD$3&gt;=Start_Term,MIN(1,(BD$3-Start_Term+1)/Credit_Ramp),0)</f>
        <v>1</v>
      </c>
      <c r="BE16" s="35" t="n">
        <f aca="false">IF(BE$3&gt;=Start_Term,MIN(1,(BE$3-Start_Term+1)/Credit_Ramp),0)</f>
        <v>1</v>
      </c>
      <c r="BF16" s="35" t="n">
        <f aca="false">IF(BF$3&gt;=Start_Term,MIN(1,(BF$3-Start_Term+1)/Credit_Ramp),0)</f>
        <v>1</v>
      </c>
      <c r="BG16" s="35" t="n">
        <f aca="false">IF(BG$3&gt;=Start_Term,MIN(1,(BG$3-Start_Term+1)/Credit_Ramp),0)</f>
        <v>1</v>
      </c>
      <c r="BH16" s="35" t="n">
        <f aca="false">IF(BH$3&gt;=Start_Term,MIN(1,(BH$3-Start_Term+1)/Credit_Ramp),0)</f>
        <v>1</v>
      </c>
      <c r="BI16" s="35" t="n">
        <f aca="false">IF(BI$3&gt;=Start_Term,MIN(1,(BI$3-Start_Term+1)/Credit_Ramp),0)</f>
        <v>1</v>
      </c>
      <c r="BJ16" s="35" t="n">
        <f aca="false">IF(BJ$3&gt;=Start_Term,MIN(1,(BJ$3-Start_Term+1)/Credit_Ramp),0)</f>
        <v>1</v>
      </c>
      <c r="BK16" s="35" t="n">
        <f aca="false">IF(BK$3&gt;=Start_Term,MIN(1,(BK$3-Start_Term+1)/Credit_Ramp),0)</f>
        <v>1</v>
      </c>
      <c r="BL16" s="35" t="n">
        <f aca="false">IF(BL$3&gt;=Start_Term,MIN(1,(BL$3-Start_Term+1)/Credit_Ramp),0)</f>
        <v>1</v>
      </c>
    </row>
    <row r="17" customFormat="false" ht="15" hidden="false" customHeight="true" outlineLevel="0" collapsed="false">
      <c r="A17" s="13" t="s">
        <v>1049</v>
      </c>
      <c r="B17" s="15" t="s">
        <v>96</v>
      </c>
      <c r="E17" s="35" t="n">
        <f aca="false">IF(E$3&gt;=Start_Advance,MIN(1,(E$3-Start_Advance+1)/Credit_Ramp),0)</f>
        <v>0</v>
      </c>
      <c r="F17" s="35" t="n">
        <f aca="false">IF(F$3&gt;=Start_Advance,MIN(1,(F$3-Start_Advance+1)/Credit_Ramp),0)</f>
        <v>0</v>
      </c>
      <c r="G17" s="35" t="n">
        <f aca="false">IF(G$3&gt;=Start_Advance,MIN(1,(G$3-Start_Advance+1)/Credit_Ramp),0)</f>
        <v>0</v>
      </c>
      <c r="H17" s="35" t="n">
        <f aca="false">IF(H$3&gt;=Start_Advance,MIN(1,(H$3-Start_Advance+1)/Credit_Ramp),0)</f>
        <v>0</v>
      </c>
      <c r="I17" s="35" t="n">
        <f aca="false">IF(I$3&gt;=Start_Advance,MIN(1,(I$3-Start_Advance+1)/Credit_Ramp),0)</f>
        <v>0</v>
      </c>
      <c r="J17" s="35" t="n">
        <f aca="false">IF(J$3&gt;=Start_Advance,MIN(1,(J$3-Start_Advance+1)/Credit_Ramp),0)</f>
        <v>0</v>
      </c>
      <c r="K17" s="35" t="n">
        <f aca="false">IF(K$3&gt;=Start_Advance,MIN(1,(K$3-Start_Advance+1)/Credit_Ramp),0)</f>
        <v>0</v>
      </c>
      <c r="L17" s="35" t="n">
        <f aca="false">IF(L$3&gt;=Start_Advance,MIN(1,(L$3-Start_Advance+1)/Credit_Ramp),0)</f>
        <v>0</v>
      </c>
      <c r="M17" s="35" t="n">
        <f aca="false">IF(M$3&gt;=Start_Advance,MIN(1,(M$3-Start_Advance+1)/Credit_Ramp),0)</f>
        <v>0</v>
      </c>
      <c r="N17" s="35" t="n">
        <f aca="false">IF(N$3&gt;=Start_Advance,MIN(1,(N$3-Start_Advance+1)/Credit_Ramp),0)</f>
        <v>0</v>
      </c>
      <c r="O17" s="35" t="n">
        <f aca="false">IF(O$3&gt;=Start_Advance,MIN(1,(O$3-Start_Advance+1)/Credit_Ramp),0)</f>
        <v>0</v>
      </c>
      <c r="P17" s="35" t="n">
        <f aca="false">IF(P$3&gt;=Start_Advance,MIN(1,(P$3-Start_Advance+1)/Credit_Ramp),0)</f>
        <v>0</v>
      </c>
      <c r="Q17" s="35" t="n">
        <f aca="false">IF(Q$3&gt;=Start_Advance,MIN(1,(Q$3-Start_Advance+1)/Credit_Ramp),0)</f>
        <v>0</v>
      </c>
      <c r="R17" s="35" t="n">
        <f aca="false">IF(R$3&gt;=Start_Advance,MIN(1,(R$3-Start_Advance+1)/Credit_Ramp),0)</f>
        <v>0</v>
      </c>
      <c r="S17" s="35" t="n">
        <f aca="false">IF(S$3&gt;=Start_Advance,MIN(1,(S$3-Start_Advance+1)/Credit_Ramp),0)</f>
        <v>0</v>
      </c>
      <c r="T17" s="35" t="n">
        <f aca="false">IF(T$3&gt;=Start_Advance,MIN(1,(T$3-Start_Advance+1)/Credit_Ramp),0)</f>
        <v>0</v>
      </c>
      <c r="U17" s="35" t="n">
        <f aca="false">IF(U$3&gt;=Start_Advance,MIN(1,(U$3-Start_Advance+1)/Credit_Ramp),0)</f>
        <v>0</v>
      </c>
      <c r="V17" s="35" t="n">
        <f aca="false">IF(V$3&gt;=Start_Advance,MIN(1,(V$3-Start_Advance+1)/Credit_Ramp),0)</f>
        <v>0</v>
      </c>
      <c r="W17" s="35" t="n">
        <f aca="false">IF(W$3&gt;=Start_Advance,MIN(1,(W$3-Start_Advance+1)/Credit_Ramp),0)</f>
        <v>0</v>
      </c>
      <c r="X17" s="35" t="n">
        <f aca="false">IF(X$3&gt;=Start_Advance,MIN(1,(X$3-Start_Advance+1)/Credit_Ramp),0)</f>
        <v>0</v>
      </c>
      <c r="Y17" s="35" t="n">
        <f aca="false">IF(Y$3&gt;=Start_Advance,MIN(1,(Y$3-Start_Advance+1)/Credit_Ramp),0)</f>
        <v>0</v>
      </c>
      <c r="Z17" s="35" t="n">
        <f aca="false">IF(Z$3&gt;=Start_Advance,MIN(1,(Z$3-Start_Advance+1)/Credit_Ramp),0)</f>
        <v>0</v>
      </c>
      <c r="AA17" s="35" t="n">
        <f aca="false">IF(AA$3&gt;=Start_Advance,MIN(1,(AA$3-Start_Advance+1)/Credit_Ramp),0)</f>
        <v>0</v>
      </c>
      <c r="AB17" s="35" t="n">
        <f aca="false">IF(AB$3&gt;=Start_Advance,MIN(1,(AB$3-Start_Advance+1)/Credit_Ramp),0)</f>
        <v>0</v>
      </c>
      <c r="AC17" s="35" t="n">
        <f aca="false">IF(AC$3&gt;=Start_Advance,MIN(1,(AC$3-Start_Advance+1)/Credit_Ramp),0)</f>
        <v>0</v>
      </c>
      <c r="AD17" s="35" t="n">
        <f aca="false">IF(AD$3&gt;=Start_Advance,MIN(1,(AD$3-Start_Advance+1)/Credit_Ramp),0)</f>
        <v>0</v>
      </c>
      <c r="AE17" s="35" t="n">
        <f aca="false">IF(AE$3&gt;=Start_Advance,MIN(1,(AE$3-Start_Advance+1)/Credit_Ramp),0)</f>
        <v>0</v>
      </c>
      <c r="AF17" s="35" t="n">
        <f aca="false">IF(AF$3&gt;=Start_Advance,MIN(1,(AF$3-Start_Advance+1)/Credit_Ramp),0)</f>
        <v>0</v>
      </c>
      <c r="AG17" s="35" t="n">
        <f aca="false">IF(AG$3&gt;=Start_Advance,MIN(1,(AG$3-Start_Advance+1)/Credit_Ramp),0)</f>
        <v>0</v>
      </c>
      <c r="AH17" s="35" t="n">
        <f aca="false">IF(AH$3&gt;=Start_Advance,MIN(1,(AH$3-Start_Advance+1)/Credit_Ramp),0)</f>
        <v>0.0833333333333333</v>
      </c>
      <c r="AI17" s="35" t="n">
        <f aca="false">IF(AI$3&gt;=Start_Advance,MIN(1,(AI$3-Start_Advance+1)/Credit_Ramp),0)</f>
        <v>0.166666666666667</v>
      </c>
      <c r="AJ17" s="35" t="n">
        <f aca="false">IF(AJ$3&gt;=Start_Advance,MIN(1,(AJ$3-Start_Advance+1)/Credit_Ramp),0)</f>
        <v>0.25</v>
      </c>
      <c r="AK17" s="35" t="n">
        <f aca="false">IF(AK$3&gt;=Start_Advance,MIN(1,(AK$3-Start_Advance+1)/Credit_Ramp),0)</f>
        <v>0.333333333333333</v>
      </c>
      <c r="AL17" s="35" t="n">
        <f aca="false">IF(AL$3&gt;=Start_Advance,MIN(1,(AL$3-Start_Advance+1)/Credit_Ramp),0)</f>
        <v>0.416666666666667</v>
      </c>
      <c r="AM17" s="35" t="n">
        <f aca="false">IF(AM$3&gt;=Start_Advance,MIN(1,(AM$3-Start_Advance+1)/Credit_Ramp),0)</f>
        <v>0.5</v>
      </c>
      <c r="AN17" s="35" t="n">
        <f aca="false">IF(AN$3&gt;=Start_Advance,MIN(1,(AN$3-Start_Advance+1)/Credit_Ramp),0)</f>
        <v>0.583333333333333</v>
      </c>
      <c r="AO17" s="35" t="n">
        <f aca="false">IF(AO$3&gt;=Start_Advance,MIN(1,(AO$3-Start_Advance+1)/Credit_Ramp),0)</f>
        <v>0.666666666666667</v>
      </c>
      <c r="AP17" s="35" t="n">
        <f aca="false">IF(AP$3&gt;=Start_Advance,MIN(1,(AP$3-Start_Advance+1)/Credit_Ramp),0)</f>
        <v>0.75</v>
      </c>
      <c r="AQ17" s="35" t="n">
        <f aca="false">IF(AQ$3&gt;=Start_Advance,MIN(1,(AQ$3-Start_Advance+1)/Credit_Ramp),0)</f>
        <v>0.833333333333333</v>
      </c>
      <c r="AR17" s="35" t="n">
        <f aca="false">IF(AR$3&gt;=Start_Advance,MIN(1,(AR$3-Start_Advance+1)/Credit_Ramp),0)</f>
        <v>0.916666666666667</v>
      </c>
      <c r="AS17" s="35" t="n">
        <f aca="false">IF(AS$3&gt;=Start_Advance,MIN(1,(AS$3-Start_Advance+1)/Credit_Ramp),0)</f>
        <v>1</v>
      </c>
      <c r="AT17" s="35" t="n">
        <f aca="false">IF(AT$3&gt;=Start_Advance,MIN(1,(AT$3-Start_Advance+1)/Credit_Ramp),0)</f>
        <v>1</v>
      </c>
      <c r="AU17" s="35" t="n">
        <f aca="false">IF(AU$3&gt;=Start_Advance,MIN(1,(AU$3-Start_Advance+1)/Credit_Ramp),0)</f>
        <v>1</v>
      </c>
      <c r="AV17" s="35" t="n">
        <f aca="false">IF(AV$3&gt;=Start_Advance,MIN(1,(AV$3-Start_Advance+1)/Credit_Ramp),0)</f>
        <v>1</v>
      </c>
      <c r="AW17" s="35" t="n">
        <f aca="false">IF(AW$3&gt;=Start_Advance,MIN(1,(AW$3-Start_Advance+1)/Credit_Ramp),0)</f>
        <v>1</v>
      </c>
      <c r="AX17" s="35" t="n">
        <f aca="false">IF(AX$3&gt;=Start_Advance,MIN(1,(AX$3-Start_Advance+1)/Credit_Ramp),0)</f>
        <v>1</v>
      </c>
      <c r="AY17" s="35" t="n">
        <f aca="false">IF(AY$3&gt;=Start_Advance,MIN(1,(AY$3-Start_Advance+1)/Credit_Ramp),0)</f>
        <v>1</v>
      </c>
      <c r="AZ17" s="35" t="n">
        <f aca="false">IF(AZ$3&gt;=Start_Advance,MIN(1,(AZ$3-Start_Advance+1)/Credit_Ramp),0)</f>
        <v>1</v>
      </c>
      <c r="BA17" s="35" t="n">
        <f aca="false">IF(BA$3&gt;=Start_Advance,MIN(1,(BA$3-Start_Advance+1)/Credit_Ramp),0)</f>
        <v>1</v>
      </c>
      <c r="BB17" s="35" t="n">
        <f aca="false">IF(BB$3&gt;=Start_Advance,MIN(1,(BB$3-Start_Advance+1)/Credit_Ramp),0)</f>
        <v>1</v>
      </c>
      <c r="BC17" s="35" t="n">
        <f aca="false">IF(BC$3&gt;=Start_Advance,MIN(1,(BC$3-Start_Advance+1)/Credit_Ramp),0)</f>
        <v>1</v>
      </c>
      <c r="BD17" s="35" t="n">
        <f aca="false">IF(BD$3&gt;=Start_Advance,MIN(1,(BD$3-Start_Advance+1)/Credit_Ramp),0)</f>
        <v>1</v>
      </c>
      <c r="BE17" s="35" t="n">
        <f aca="false">IF(BE$3&gt;=Start_Advance,MIN(1,(BE$3-Start_Advance+1)/Credit_Ramp),0)</f>
        <v>1</v>
      </c>
      <c r="BF17" s="35" t="n">
        <f aca="false">IF(BF$3&gt;=Start_Advance,MIN(1,(BF$3-Start_Advance+1)/Credit_Ramp),0)</f>
        <v>1</v>
      </c>
      <c r="BG17" s="35" t="n">
        <f aca="false">IF(BG$3&gt;=Start_Advance,MIN(1,(BG$3-Start_Advance+1)/Credit_Ramp),0)</f>
        <v>1</v>
      </c>
      <c r="BH17" s="35" t="n">
        <f aca="false">IF(BH$3&gt;=Start_Advance,MIN(1,(BH$3-Start_Advance+1)/Credit_Ramp),0)</f>
        <v>1</v>
      </c>
      <c r="BI17" s="35" t="n">
        <f aca="false">IF(BI$3&gt;=Start_Advance,MIN(1,(BI$3-Start_Advance+1)/Credit_Ramp),0)</f>
        <v>1</v>
      </c>
      <c r="BJ17" s="35" t="n">
        <f aca="false">IF(BJ$3&gt;=Start_Advance,MIN(1,(BJ$3-Start_Advance+1)/Credit_Ramp),0)</f>
        <v>1</v>
      </c>
      <c r="BK17" s="35" t="n">
        <f aca="false">IF(BK$3&gt;=Start_Advance,MIN(1,(BK$3-Start_Advance+1)/Credit_Ramp),0)</f>
        <v>1</v>
      </c>
      <c r="BL17" s="35" t="n">
        <f aca="false">IF(BL$3&gt;=Start_Advance,MIN(1,(BL$3-Start_Advance+1)/Credit_Ramp),0)</f>
        <v>1</v>
      </c>
    </row>
    <row r="19" customFormat="false" ht="15" hidden="false" customHeight="true" outlineLevel="0" collapsed="false">
      <c r="A19" s="11" t="s">
        <v>1267</v>
      </c>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row>
    <row r="20" customFormat="false" ht="15" hidden="false" customHeight="true" outlineLevel="0" collapsed="false">
      <c r="A20" s="13" t="s">
        <v>1047</v>
      </c>
      <c r="B20" s="15" t="s">
        <v>77</v>
      </c>
      <c r="D20" s="56" t="n">
        <f aca="false">BL20</f>
        <v>3765044108.38701</v>
      </c>
      <c r="E20" s="33" t="n">
        <f aca="false">E9*Uptake_Factoring*Credit_Mult*E13*Avg_Factoring</f>
        <v>0</v>
      </c>
      <c r="F20" s="33" t="n">
        <f aca="false">F9*Uptake_Factoring*Credit_Mult*F13*Avg_Factoring</f>
        <v>0</v>
      </c>
      <c r="G20" s="33" t="n">
        <f aca="false">G9*Uptake_Factoring*Credit_Mult*G13*Avg_Factoring</f>
        <v>0</v>
      </c>
      <c r="H20" s="33" t="n">
        <f aca="false">H9*Uptake_Factoring*Credit_Mult*H13*Avg_Factoring</f>
        <v>0</v>
      </c>
      <c r="I20" s="33" t="n">
        <f aca="false">I9*Uptake_Factoring*Credit_Mult*I13*Avg_Factoring</f>
        <v>0</v>
      </c>
      <c r="J20" s="33" t="n">
        <f aca="false">J9*Uptake_Factoring*Credit_Mult*J13*Avg_Factoring</f>
        <v>0</v>
      </c>
      <c r="K20" s="33" t="n">
        <f aca="false">K9*Uptake_Factoring*Credit_Mult*K13*Avg_Factoring</f>
        <v>0</v>
      </c>
      <c r="L20" s="33" t="n">
        <f aca="false">L9*Uptake_Factoring*Credit_Mult*L13*Avg_Factoring</f>
        <v>0</v>
      </c>
      <c r="M20" s="33" t="n">
        <f aca="false">M9*Uptake_Factoring*Credit_Mult*M13*Avg_Factoring</f>
        <v>0</v>
      </c>
      <c r="N20" s="33" t="n">
        <f aca="false">N9*Uptake_Factoring*Credit_Mult*N13*Avg_Factoring</f>
        <v>0</v>
      </c>
      <c r="O20" s="33" t="n">
        <f aca="false">O9*Uptake_Factoring*Credit_Mult*O13*Avg_Factoring</f>
        <v>0</v>
      </c>
      <c r="P20" s="33" t="n">
        <f aca="false">P9*Uptake_Factoring*Credit_Mult*P13*Avg_Factoring</f>
        <v>0</v>
      </c>
      <c r="Q20" s="33" t="n">
        <f aca="false">Q9*Uptake_Factoring*Credit_Mult*Q13*Avg_Factoring</f>
        <v>0</v>
      </c>
      <c r="R20" s="33" t="n">
        <f aca="false">R9*Uptake_Factoring*Credit_Mult*R13*Avg_Factoring</f>
        <v>0</v>
      </c>
      <c r="S20" s="33" t="n">
        <f aca="false">S9*Uptake_Factoring*Credit_Mult*S13*Avg_Factoring</f>
        <v>0</v>
      </c>
      <c r="T20" s="33" t="n">
        <f aca="false">T9*Uptake_Factoring*Credit_Mult*T13*Avg_Factoring</f>
        <v>0</v>
      </c>
      <c r="U20" s="33" t="n">
        <f aca="false">U9*Uptake_Factoring*Credit_Mult*U13*Avg_Factoring</f>
        <v>0</v>
      </c>
      <c r="V20" s="33" t="n">
        <f aca="false">V9*Uptake_Factoring*Credit_Mult*V13*Avg_Factoring</f>
        <v>25889922.0603247</v>
      </c>
      <c r="W20" s="33" t="n">
        <f aca="false">W9*Uptake_Factoring*Credit_Mult*W13*Avg_Factoring</f>
        <v>58590623.4674466</v>
      </c>
      <c r="X20" s="33" t="n">
        <f aca="false">X9*Uptake_Factoring*Credit_Mult*X13*Avg_Factoring</f>
        <v>98079515.0063792</v>
      </c>
      <c r="Y20" s="33" t="n">
        <f aca="false">Y9*Uptake_Factoring*Credit_Mult*Y13*Avg_Factoring</f>
        <v>145412983.273721</v>
      </c>
      <c r="Z20" s="33" t="n">
        <f aca="false">Z9*Uptake_Factoring*Credit_Mult*Z13*Avg_Factoring</f>
        <v>200038332.39769</v>
      </c>
      <c r="AA20" s="33" t="n">
        <f aca="false">AA9*Uptake_Factoring*Credit_Mult*AA13*Avg_Factoring</f>
        <v>261959044.60084</v>
      </c>
      <c r="AB20" s="33" t="n">
        <f aca="false">AB9*Uptake_Factoring*Credit_Mult*AB13*Avg_Factoring</f>
        <v>331193194.208083</v>
      </c>
      <c r="AC20" s="33" t="n">
        <f aca="false">AC9*Uptake_Factoring*Credit_Mult*AC13*Avg_Factoring</f>
        <v>417125323.098281</v>
      </c>
      <c r="AD20" s="33" t="n">
        <f aca="false">AD9*Uptake_Factoring*Credit_Mult*AD13*Avg_Factoring</f>
        <v>512618131.424425</v>
      </c>
      <c r="AE20" s="33" t="n">
        <f aca="false">AE9*Uptake_Factoring*Credit_Mult*AE13*Avg_Factoring</f>
        <v>620350533.426249</v>
      </c>
      <c r="AF20" s="33" t="n">
        <f aca="false">AF9*Uptake_Factoring*Credit_Mult*AF13*Avg_Factoring</f>
        <v>738172379.142246</v>
      </c>
      <c r="AG20" s="33" t="n">
        <f aca="false">AG9*Uptake_Factoring*Credit_Mult*AG13*Avg_Factoring</f>
        <v>866123331.667587</v>
      </c>
      <c r="AH20" s="33" t="n">
        <f aca="false">AH9*Uptake_Factoring*Credit_Mult*AH13*Avg_Factoring</f>
        <v>927013643.070981</v>
      </c>
      <c r="AI20" s="33" t="n">
        <f aca="false">AI9*Uptake_Factoring*Credit_Mult*AI13*Avg_Factoring</f>
        <v>991212292.251411</v>
      </c>
      <c r="AJ20" s="33" t="n">
        <f aca="false">AJ9*Uptake_Factoring*Credit_Mult*AJ13*Avg_Factoring</f>
        <v>1055531562.90544</v>
      </c>
      <c r="AK20" s="33" t="n">
        <f aca="false">AK9*Uptake_Factoring*Credit_Mult*AK13*Avg_Factoring</f>
        <v>1120040340.21146</v>
      </c>
      <c r="AL20" s="33" t="n">
        <f aca="false">AL9*Uptake_Factoring*Credit_Mult*AL13*Avg_Factoring</f>
        <v>1184810548.69168</v>
      </c>
      <c r="AM20" s="33" t="n">
        <f aca="false">AM9*Uptake_Factoring*Credit_Mult*AM13*Avg_Factoring</f>
        <v>1253117354.88093</v>
      </c>
      <c r="AN20" s="33" t="n">
        <f aca="false">AN9*Uptake_Factoring*Credit_Mult*AN13*Avg_Factoring</f>
        <v>1321786581.76779</v>
      </c>
      <c r="AO20" s="33" t="n">
        <f aca="false">AO9*Uptake_Factoring*Credit_Mult*AO13*Avg_Factoring</f>
        <v>1400768138.3885</v>
      </c>
      <c r="AP20" s="33" t="n">
        <f aca="false">AP9*Uptake_Factoring*Credit_Mult*AP13*Avg_Factoring</f>
        <v>1483319706.62686</v>
      </c>
      <c r="AQ20" s="33" t="n">
        <f aca="false">AQ9*Uptake_Factoring*Credit_Mult*AQ13*Avg_Factoring</f>
        <v>1566282681.76031</v>
      </c>
      <c r="AR20" s="33" t="n">
        <f aca="false">AR9*Uptake_Factoring*Credit_Mult*AR13*Avg_Factoring</f>
        <v>1649756571.66968</v>
      </c>
      <c r="AS20" s="33" t="n">
        <f aca="false">AS9*Uptake_Factoring*Credit_Mult*AS13*Avg_Factoring</f>
        <v>1737045529.71425</v>
      </c>
      <c r="AT20" s="33" t="n">
        <f aca="false">AT9*Uptake_Factoring*Credit_Mult*AT13*Avg_Factoring</f>
        <v>1825005858.03179</v>
      </c>
      <c r="AU20" s="33" t="n">
        <f aca="false">AU9*Uptake_Factoring*Credit_Mult*AU13*Avg_Factoring</f>
        <v>1913752864.56771</v>
      </c>
      <c r="AV20" s="33" t="n">
        <f aca="false">AV9*Uptake_Factoring*Credit_Mult*AV13*Avg_Factoring</f>
        <v>2009487449.53611</v>
      </c>
      <c r="AW20" s="33" t="n">
        <f aca="false">AW9*Uptake_Factoring*Credit_Mult*AW13*Avg_Factoring</f>
        <v>2105241848.12267</v>
      </c>
      <c r="AX20" s="33" t="n">
        <f aca="false">AX9*Uptake_Factoring*Credit_Mult*AX13*Avg_Factoring</f>
        <v>2203305550.38348</v>
      </c>
      <c r="AY20" s="33" t="n">
        <f aca="false">AY9*Uptake_Factoring*Credit_Mult*AY13*Avg_Factoring</f>
        <v>2300481251.42541</v>
      </c>
      <c r="AZ20" s="33" t="n">
        <f aca="false">AZ9*Uptake_Factoring*Credit_Mult*AZ13*Avg_Factoring</f>
        <v>2396826787.60752</v>
      </c>
      <c r="BA20" s="33" t="n">
        <f aca="false">BA9*Uptake_Factoring*Credit_Mult*BA13*Avg_Factoring</f>
        <v>2505521503.11913</v>
      </c>
      <c r="BB20" s="33" t="n">
        <f aca="false">BB9*Uptake_Factoring*Credit_Mult*BB13*Avg_Factoring</f>
        <v>2613289896.77721</v>
      </c>
      <c r="BC20" s="33" t="n">
        <f aca="false">BC9*Uptake_Factoring*Credit_Mult*BC13*Avg_Factoring</f>
        <v>2723398553.3389</v>
      </c>
      <c r="BD20" s="33" t="n">
        <f aca="false">BD9*Uptake_Factoring*Credit_Mult*BD13*Avg_Factoring</f>
        <v>2832663095.74084</v>
      </c>
      <c r="BE20" s="33" t="n">
        <f aca="false">BE9*Uptake_Factoring*Credit_Mult*BE13*Avg_Factoring</f>
        <v>2944034871.31264</v>
      </c>
      <c r="BF20" s="33" t="n">
        <f aca="false">BF9*Uptake_Factoring*Credit_Mult*BF13*Avg_Factoring</f>
        <v>3057859836.87223</v>
      </c>
      <c r="BG20" s="33" t="n">
        <f aca="false">BG9*Uptake_Factoring*Credit_Mult*BG13*Avg_Factoring</f>
        <v>3170961808.68451</v>
      </c>
      <c r="BH20" s="33" t="n">
        <f aca="false">BH9*Uptake_Factoring*Credit_Mult*BH13*Avg_Factoring</f>
        <v>3286620797.28246</v>
      </c>
      <c r="BI20" s="33" t="n">
        <f aca="false">BI9*Uptake_Factoring*Credit_Mult*BI13*Avg_Factoring</f>
        <v>3404546641.11763</v>
      </c>
      <c r="BJ20" s="33" t="n">
        <f aca="false">BJ9*Uptake_Factoring*Credit_Mult*BJ13*Avg_Factoring</f>
        <v>3525098220.38077</v>
      </c>
      <c r="BK20" s="33" t="n">
        <f aca="false">BK9*Uptake_Factoring*Credit_Mult*BK13*Avg_Factoring</f>
        <v>3644427271.90828</v>
      </c>
      <c r="BL20" s="33" t="n">
        <f aca="false">BL9*Uptake_Factoring*Credit_Mult*BL13*Avg_Factoring</f>
        <v>3765044108.38701</v>
      </c>
    </row>
    <row r="21" customFormat="false" ht="15" hidden="false" customHeight="true" outlineLevel="0" collapsed="false">
      <c r="A21" s="13" t="s">
        <v>249</v>
      </c>
      <c r="B21" s="15" t="s">
        <v>77</v>
      </c>
      <c r="D21" s="56" t="n">
        <f aca="false">BL21</f>
        <v>847134924.387078</v>
      </c>
      <c r="E21" s="33" t="n">
        <f aca="false">E9*Uptake_Bridge*Credit_Mult*E14*Avg_Bridge</f>
        <v>0</v>
      </c>
      <c r="F21" s="33" t="n">
        <f aca="false">F9*Uptake_Bridge*Credit_Mult*F14*Avg_Bridge</f>
        <v>0</v>
      </c>
      <c r="G21" s="33" t="n">
        <f aca="false">G9*Uptake_Bridge*Credit_Mult*G14*Avg_Bridge</f>
        <v>0</v>
      </c>
      <c r="H21" s="33" t="n">
        <f aca="false">H9*Uptake_Bridge*Credit_Mult*H14*Avg_Bridge</f>
        <v>0</v>
      </c>
      <c r="I21" s="33" t="n">
        <f aca="false">I9*Uptake_Bridge*Credit_Mult*I14*Avg_Bridge</f>
        <v>0</v>
      </c>
      <c r="J21" s="33" t="n">
        <f aca="false">J9*Uptake_Bridge*Credit_Mult*J14*Avg_Bridge</f>
        <v>0</v>
      </c>
      <c r="K21" s="33" t="n">
        <f aca="false">K9*Uptake_Bridge*Credit_Mult*K14*Avg_Bridge</f>
        <v>0</v>
      </c>
      <c r="L21" s="33" t="n">
        <f aca="false">L9*Uptake_Bridge*Credit_Mult*L14*Avg_Bridge</f>
        <v>0</v>
      </c>
      <c r="M21" s="33" t="n">
        <f aca="false">M9*Uptake_Bridge*Credit_Mult*M14*Avg_Bridge</f>
        <v>0</v>
      </c>
      <c r="N21" s="33" t="n">
        <f aca="false">N9*Uptake_Bridge*Credit_Mult*N14*Avg_Bridge</f>
        <v>0</v>
      </c>
      <c r="O21" s="33" t="n">
        <f aca="false">O9*Uptake_Bridge*Credit_Mult*O14*Avg_Bridge</f>
        <v>0</v>
      </c>
      <c r="P21" s="33" t="n">
        <f aca="false">P9*Uptake_Bridge*Credit_Mult*P14*Avg_Bridge</f>
        <v>0</v>
      </c>
      <c r="Q21" s="33" t="n">
        <f aca="false">Q9*Uptake_Bridge*Credit_Mult*Q14*Avg_Bridge</f>
        <v>0</v>
      </c>
      <c r="R21" s="33" t="n">
        <f aca="false">R9*Uptake_Bridge*Credit_Mult*R14*Avg_Bridge</f>
        <v>0</v>
      </c>
      <c r="S21" s="33" t="n">
        <f aca="false">S9*Uptake_Bridge*Credit_Mult*S14*Avg_Bridge</f>
        <v>0</v>
      </c>
      <c r="T21" s="33" t="n">
        <f aca="false">T9*Uptake_Bridge*Credit_Mult*T14*Avg_Bridge</f>
        <v>0</v>
      </c>
      <c r="U21" s="33" t="n">
        <f aca="false">U9*Uptake_Bridge*Credit_Mult*U14*Avg_Bridge</f>
        <v>0</v>
      </c>
      <c r="V21" s="33" t="n">
        <f aca="false">V9*Uptake_Bridge*Credit_Mult*V14*Avg_Bridge</f>
        <v>5825232.46357305</v>
      </c>
      <c r="W21" s="33" t="n">
        <f aca="false">W9*Uptake_Bridge*Credit_Mult*W14*Avg_Bridge</f>
        <v>13182890.2801755</v>
      </c>
      <c r="X21" s="33" t="n">
        <f aca="false">X9*Uptake_Bridge*Credit_Mult*X14*Avg_Bridge</f>
        <v>22067890.8764353</v>
      </c>
      <c r="Y21" s="33" t="n">
        <f aca="false">Y9*Uptake_Bridge*Credit_Mult*Y14*Avg_Bridge</f>
        <v>32717921.2365871</v>
      </c>
      <c r="Z21" s="33" t="n">
        <f aca="false">Z9*Uptake_Bridge*Credit_Mult*Z14*Avg_Bridge</f>
        <v>45008624.7894801</v>
      </c>
      <c r="AA21" s="33" t="n">
        <f aca="false">AA9*Uptake_Bridge*Credit_Mult*AA14*Avg_Bridge</f>
        <v>58940785.035189</v>
      </c>
      <c r="AB21" s="33" t="n">
        <f aca="false">AB9*Uptake_Bridge*Credit_Mult*AB14*Avg_Bridge</f>
        <v>74518468.6968186</v>
      </c>
      <c r="AC21" s="33" t="n">
        <f aca="false">AC9*Uptake_Bridge*Credit_Mult*AC14*Avg_Bridge</f>
        <v>93853197.6971133</v>
      </c>
      <c r="AD21" s="33" t="n">
        <f aca="false">AD9*Uptake_Bridge*Credit_Mult*AD14*Avg_Bridge</f>
        <v>115339079.570496</v>
      </c>
      <c r="AE21" s="33" t="n">
        <f aca="false">AE9*Uptake_Bridge*Credit_Mult*AE14*Avg_Bridge</f>
        <v>139578870.020906</v>
      </c>
      <c r="AF21" s="33" t="n">
        <f aca="false">AF9*Uptake_Bridge*Credit_Mult*AF14*Avg_Bridge</f>
        <v>166088785.307005</v>
      </c>
      <c r="AG21" s="33" t="n">
        <f aca="false">AG9*Uptake_Bridge*Credit_Mult*AG14*Avg_Bridge</f>
        <v>194877749.625207</v>
      </c>
      <c r="AH21" s="33" t="n">
        <f aca="false">AH9*Uptake_Bridge*Credit_Mult*AH14*Avg_Bridge</f>
        <v>208578069.690971</v>
      </c>
      <c r="AI21" s="33" t="n">
        <f aca="false">AI9*Uptake_Bridge*Credit_Mult*AI14*Avg_Bridge</f>
        <v>223022765.756567</v>
      </c>
      <c r="AJ21" s="33" t="n">
        <f aca="false">AJ9*Uptake_Bridge*Credit_Mult*AJ14*Avg_Bridge</f>
        <v>237494601.653724</v>
      </c>
      <c r="AK21" s="33" t="n">
        <f aca="false">AK9*Uptake_Bridge*Credit_Mult*AK14*Avg_Bridge</f>
        <v>252009076.547579</v>
      </c>
      <c r="AL21" s="33" t="n">
        <f aca="false">AL9*Uptake_Bridge*Credit_Mult*AL14*Avg_Bridge</f>
        <v>266582373.455628</v>
      </c>
      <c r="AM21" s="33" t="n">
        <f aca="false">AM9*Uptake_Bridge*Credit_Mult*AM14*Avg_Bridge</f>
        <v>281951404.848209</v>
      </c>
      <c r="AN21" s="33" t="n">
        <f aca="false">AN9*Uptake_Bridge*Credit_Mult*AN14*Avg_Bridge</f>
        <v>297401980.897754</v>
      </c>
      <c r="AO21" s="33" t="n">
        <f aca="false">AO9*Uptake_Bridge*Credit_Mult*AO14*Avg_Bridge</f>
        <v>315172831.137414</v>
      </c>
      <c r="AP21" s="33" t="n">
        <f aca="false">AP9*Uptake_Bridge*Credit_Mult*AP14*Avg_Bridge</f>
        <v>333746933.991044</v>
      </c>
      <c r="AQ21" s="33" t="n">
        <f aca="false">AQ9*Uptake_Bridge*Credit_Mult*AQ14*Avg_Bridge</f>
        <v>352413603.39607</v>
      </c>
      <c r="AR21" s="33" t="n">
        <f aca="false">AR9*Uptake_Bridge*Credit_Mult*AR14*Avg_Bridge</f>
        <v>371195228.625679</v>
      </c>
      <c r="AS21" s="33" t="n">
        <f aca="false">AS9*Uptake_Bridge*Credit_Mult*AS14*Avg_Bridge</f>
        <v>390835244.185706</v>
      </c>
      <c r="AT21" s="33" t="n">
        <f aca="false">AT9*Uptake_Bridge*Credit_Mult*AT14*Avg_Bridge</f>
        <v>410626318.057152</v>
      </c>
      <c r="AU21" s="33" t="n">
        <f aca="false">AU9*Uptake_Bridge*Credit_Mult*AU14*Avg_Bridge</f>
        <v>430594394.527734</v>
      </c>
      <c r="AV21" s="33" t="n">
        <f aca="false">AV9*Uptake_Bridge*Credit_Mult*AV14*Avg_Bridge</f>
        <v>452134676.145625</v>
      </c>
      <c r="AW21" s="33" t="n">
        <f aca="false">AW9*Uptake_Bridge*Credit_Mult*AW14*Avg_Bridge</f>
        <v>473679415.827601</v>
      </c>
      <c r="AX21" s="33" t="n">
        <f aca="false">AX9*Uptake_Bridge*Credit_Mult*AX14*Avg_Bridge</f>
        <v>495743748.836283</v>
      </c>
      <c r="AY21" s="33" t="n">
        <f aca="false">AY9*Uptake_Bridge*Credit_Mult*AY14*Avg_Bridge</f>
        <v>517608281.570718</v>
      </c>
      <c r="AZ21" s="33" t="n">
        <f aca="false">AZ9*Uptake_Bridge*Credit_Mult*AZ14*Avg_Bridge</f>
        <v>539286027.211691</v>
      </c>
      <c r="BA21" s="33" t="n">
        <f aca="false">BA9*Uptake_Bridge*Credit_Mult*BA14*Avg_Bridge</f>
        <v>563742338.201804</v>
      </c>
      <c r="BB21" s="33" t="n">
        <f aca="false">BB9*Uptake_Bridge*Credit_Mult*BB14*Avg_Bridge</f>
        <v>587990226.774872</v>
      </c>
      <c r="BC21" s="33" t="n">
        <f aca="false">BC9*Uptake_Bridge*Credit_Mult*BC14*Avg_Bridge</f>
        <v>612764674.501252</v>
      </c>
      <c r="BD21" s="33" t="n">
        <f aca="false">BD9*Uptake_Bridge*Credit_Mult*BD14*Avg_Bridge</f>
        <v>637349196.541688</v>
      </c>
      <c r="BE21" s="33" t="n">
        <f aca="false">BE9*Uptake_Bridge*Credit_Mult*BE14*Avg_Bridge</f>
        <v>662407846.045343</v>
      </c>
      <c r="BF21" s="33" t="n">
        <f aca="false">BF9*Uptake_Bridge*Credit_Mult*BF14*Avg_Bridge</f>
        <v>688018463.296251</v>
      </c>
      <c r="BG21" s="33" t="n">
        <f aca="false">BG9*Uptake_Bridge*Credit_Mult*BG14*Avg_Bridge</f>
        <v>713466406.954014</v>
      </c>
      <c r="BH21" s="33" t="n">
        <f aca="false">BH9*Uptake_Bridge*Credit_Mult*BH14*Avg_Bridge</f>
        <v>739489679.388554</v>
      </c>
      <c r="BI21" s="33" t="n">
        <f aca="false">BI9*Uptake_Bridge*Credit_Mult*BI14*Avg_Bridge</f>
        <v>766022994.251467</v>
      </c>
      <c r="BJ21" s="33" t="n">
        <f aca="false">BJ9*Uptake_Bridge*Credit_Mult*BJ14*Avg_Bridge</f>
        <v>793147099.585672</v>
      </c>
      <c r="BK21" s="33" t="n">
        <f aca="false">BK9*Uptake_Bridge*Credit_Mult*BK14*Avg_Bridge</f>
        <v>819996136.179362</v>
      </c>
      <c r="BL21" s="33" t="n">
        <f aca="false">BL9*Uptake_Bridge*Credit_Mult*BL14*Avg_Bridge</f>
        <v>847134924.387078</v>
      </c>
    </row>
    <row r="22" customFormat="false" ht="15" hidden="false" customHeight="true" outlineLevel="0" collapsed="false">
      <c r="A22" s="13" t="s">
        <v>251</v>
      </c>
      <c r="B22" s="15" t="s">
        <v>77</v>
      </c>
      <c r="D22" s="56" t="n">
        <f aca="false">BL22</f>
        <v>1129513232.5161</v>
      </c>
      <c r="E22" s="33" t="n">
        <f aca="false">E9*Uptake_Line*Credit_Mult*E15*Avg_Line</f>
        <v>0</v>
      </c>
      <c r="F22" s="33" t="n">
        <f aca="false">F9*Uptake_Line*Credit_Mult*F15*Avg_Line</f>
        <v>0</v>
      </c>
      <c r="G22" s="33" t="n">
        <f aca="false">G9*Uptake_Line*Credit_Mult*G15*Avg_Line</f>
        <v>0</v>
      </c>
      <c r="H22" s="33" t="n">
        <f aca="false">H9*Uptake_Line*Credit_Mult*H15*Avg_Line</f>
        <v>0</v>
      </c>
      <c r="I22" s="33" t="n">
        <f aca="false">I9*Uptake_Line*Credit_Mult*I15*Avg_Line</f>
        <v>0</v>
      </c>
      <c r="J22" s="33" t="n">
        <f aca="false">J9*Uptake_Line*Credit_Mult*J15*Avg_Line</f>
        <v>0</v>
      </c>
      <c r="K22" s="33" t="n">
        <f aca="false">K9*Uptake_Line*Credit_Mult*K15*Avg_Line</f>
        <v>0</v>
      </c>
      <c r="L22" s="33" t="n">
        <f aca="false">L9*Uptake_Line*Credit_Mult*L15*Avg_Line</f>
        <v>0</v>
      </c>
      <c r="M22" s="33" t="n">
        <f aca="false">M9*Uptake_Line*Credit_Mult*M15*Avg_Line</f>
        <v>0</v>
      </c>
      <c r="N22" s="33" t="n">
        <f aca="false">N9*Uptake_Line*Credit_Mult*N15*Avg_Line</f>
        <v>0</v>
      </c>
      <c r="O22" s="33" t="n">
        <f aca="false">O9*Uptake_Line*Credit_Mult*O15*Avg_Line</f>
        <v>0</v>
      </c>
      <c r="P22" s="33" t="n">
        <f aca="false">P9*Uptake_Line*Credit_Mult*P15*Avg_Line</f>
        <v>0</v>
      </c>
      <c r="Q22" s="33" t="n">
        <f aca="false">Q9*Uptake_Line*Credit_Mult*Q15*Avg_Line</f>
        <v>0</v>
      </c>
      <c r="R22" s="33" t="n">
        <f aca="false">R9*Uptake_Line*Credit_Mult*R15*Avg_Line</f>
        <v>0</v>
      </c>
      <c r="S22" s="33" t="n">
        <f aca="false">S9*Uptake_Line*Credit_Mult*S15*Avg_Line</f>
        <v>0</v>
      </c>
      <c r="T22" s="33" t="n">
        <f aca="false">T9*Uptake_Line*Credit_Mult*T15*Avg_Line</f>
        <v>0</v>
      </c>
      <c r="U22" s="33" t="n">
        <f aca="false">U9*Uptake_Line*Credit_Mult*U15*Avg_Line</f>
        <v>0</v>
      </c>
      <c r="V22" s="33" t="n">
        <f aca="false">V9*Uptake_Line*Credit_Mult*V15*Avg_Line</f>
        <v>0</v>
      </c>
      <c r="W22" s="33" t="n">
        <f aca="false">W9*Uptake_Line*Credit_Mult*W15*Avg_Line</f>
        <v>0</v>
      </c>
      <c r="X22" s="33" t="n">
        <f aca="false">X9*Uptake_Line*Credit_Mult*X15*Avg_Line</f>
        <v>0</v>
      </c>
      <c r="Y22" s="33" t="n">
        <f aca="false">Y9*Uptake_Line*Credit_Mult*Y15*Avg_Line</f>
        <v>10905973.745529</v>
      </c>
      <c r="Z22" s="33" t="n">
        <f aca="false">Z9*Uptake_Line*Credit_Mult*Z15*Avg_Line</f>
        <v>24004599.8877227</v>
      </c>
      <c r="AA22" s="33" t="n">
        <f aca="false">AA9*Uptake_Line*Credit_Mult*AA15*Avg_Line</f>
        <v>39293856.690126</v>
      </c>
      <c r="AB22" s="33" t="n">
        <f aca="false">AB9*Uptake_Line*Credit_Mult*AB15*Avg_Line</f>
        <v>56775976.149957</v>
      </c>
      <c r="AC22" s="33" t="n">
        <f aca="false">AC9*Uptake_Line*Credit_Mult*AC15*Avg_Line</f>
        <v>78210998.0809277</v>
      </c>
      <c r="AD22" s="33" t="n">
        <f aca="false">AD9*Uptake_Line*Credit_Mult*AD15*Avg_Line</f>
        <v>102523626.284885</v>
      </c>
      <c r="AE22" s="33" t="n">
        <f aca="false">AE9*Uptake_Line*Credit_Mult*AE15*Avg_Line</f>
        <v>130273612.019512</v>
      </c>
      <c r="AF22" s="33" t="n">
        <f aca="false">AF9*Uptake_Line*Credit_Mult*AF15*Avg_Line</f>
        <v>161055791.812854</v>
      </c>
      <c r="AG22" s="33" t="n">
        <f aca="false">AG9*Uptake_Line*Credit_Mult*AG15*Avg_Line</f>
        <v>194877749.625207</v>
      </c>
      <c r="AH22" s="33" t="n">
        <f aca="false">AH9*Uptake_Line*Credit_Mult*AH15*Avg_Line</f>
        <v>231753410.767745</v>
      </c>
      <c r="AI22" s="33" t="n">
        <f aca="false">AI9*Uptake_Line*Credit_Mult*AI15*Avg_Line</f>
        <v>272583380.369138</v>
      </c>
      <c r="AJ22" s="33" t="n">
        <f aca="false">AJ9*Uptake_Line*Credit_Mult*AJ15*Avg_Line</f>
        <v>316659468.871632</v>
      </c>
      <c r="AK22" s="33" t="n">
        <f aca="false">AK9*Uptake_Line*Credit_Mult*AK15*Avg_Line</f>
        <v>336012102.063439</v>
      </c>
      <c r="AL22" s="33" t="n">
        <f aca="false">AL9*Uptake_Line*Credit_Mult*AL15*Avg_Line</f>
        <v>355443164.607504</v>
      </c>
      <c r="AM22" s="33" t="n">
        <f aca="false">AM9*Uptake_Line*Credit_Mult*AM15*Avg_Line</f>
        <v>375935206.464278</v>
      </c>
      <c r="AN22" s="33" t="n">
        <f aca="false">AN9*Uptake_Line*Credit_Mult*AN15*Avg_Line</f>
        <v>396535974.530338</v>
      </c>
      <c r="AO22" s="33" t="n">
        <f aca="false">AO9*Uptake_Line*Credit_Mult*AO15*Avg_Line</f>
        <v>420230441.516551</v>
      </c>
      <c r="AP22" s="33" t="n">
        <f aca="false">AP9*Uptake_Line*Credit_Mult*AP15*Avg_Line</f>
        <v>444995911.988059</v>
      </c>
      <c r="AQ22" s="33" t="n">
        <f aca="false">AQ9*Uptake_Line*Credit_Mult*AQ15*Avg_Line</f>
        <v>469884804.528094</v>
      </c>
      <c r="AR22" s="33" t="n">
        <f aca="false">AR9*Uptake_Line*Credit_Mult*AR15*Avg_Line</f>
        <v>494926971.500905</v>
      </c>
      <c r="AS22" s="33" t="n">
        <f aca="false">AS9*Uptake_Line*Credit_Mult*AS15*Avg_Line</f>
        <v>521113658.914275</v>
      </c>
      <c r="AT22" s="33" t="n">
        <f aca="false">AT9*Uptake_Line*Credit_Mult*AT15*Avg_Line</f>
        <v>547501757.409536</v>
      </c>
      <c r="AU22" s="33" t="n">
        <f aca="false">AU9*Uptake_Line*Credit_Mult*AU15*Avg_Line</f>
        <v>574125859.370312</v>
      </c>
      <c r="AV22" s="33" t="n">
        <f aca="false">AV9*Uptake_Line*Credit_Mult*AV15*Avg_Line</f>
        <v>602846234.860834</v>
      </c>
      <c r="AW22" s="33" t="n">
        <f aca="false">AW9*Uptake_Line*Credit_Mult*AW15*Avg_Line</f>
        <v>631572554.436801</v>
      </c>
      <c r="AX22" s="33" t="n">
        <f aca="false">AX9*Uptake_Line*Credit_Mult*AX15*Avg_Line</f>
        <v>660991665.115044</v>
      </c>
      <c r="AY22" s="33" t="n">
        <f aca="false">AY9*Uptake_Line*Credit_Mult*AY15*Avg_Line</f>
        <v>690144375.427624</v>
      </c>
      <c r="AZ22" s="33" t="n">
        <f aca="false">AZ9*Uptake_Line*Credit_Mult*AZ15*Avg_Line</f>
        <v>719048036.282254</v>
      </c>
      <c r="BA22" s="33" t="n">
        <f aca="false">BA9*Uptake_Line*Credit_Mult*BA15*Avg_Line</f>
        <v>751656450.935739</v>
      </c>
      <c r="BB22" s="33" t="n">
        <f aca="false">BB9*Uptake_Line*Credit_Mult*BB15*Avg_Line</f>
        <v>783986969.033163</v>
      </c>
      <c r="BC22" s="33" t="n">
        <f aca="false">BC9*Uptake_Line*Credit_Mult*BC15*Avg_Line</f>
        <v>817019566.00167</v>
      </c>
      <c r="BD22" s="33" t="n">
        <f aca="false">BD9*Uptake_Line*Credit_Mult*BD15*Avg_Line</f>
        <v>849798928.722251</v>
      </c>
      <c r="BE22" s="33" t="n">
        <f aca="false">BE9*Uptake_Line*Credit_Mult*BE15*Avg_Line</f>
        <v>883210461.393791</v>
      </c>
      <c r="BF22" s="33" t="n">
        <f aca="false">BF9*Uptake_Line*Credit_Mult*BF15*Avg_Line</f>
        <v>917357951.061667</v>
      </c>
      <c r="BG22" s="33" t="n">
        <f aca="false">BG9*Uptake_Line*Credit_Mult*BG15*Avg_Line</f>
        <v>951288542.605352</v>
      </c>
      <c r="BH22" s="33" t="n">
        <f aca="false">BH9*Uptake_Line*Credit_Mult*BH15*Avg_Line</f>
        <v>985986239.184739</v>
      </c>
      <c r="BI22" s="33" t="n">
        <f aca="false">BI9*Uptake_Line*Credit_Mult*BI15*Avg_Line</f>
        <v>1021363992.33529</v>
      </c>
      <c r="BJ22" s="33" t="n">
        <f aca="false">BJ9*Uptake_Line*Credit_Mult*BJ15*Avg_Line</f>
        <v>1057529466.11423</v>
      </c>
      <c r="BK22" s="33" t="n">
        <f aca="false">BK9*Uptake_Line*Credit_Mult*BK15*Avg_Line</f>
        <v>1093328181.57248</v>
      </c>
      <c r="BL22" s="33" t="n">
        <f aca="false">BL9*Uptake_Line*Credit_Mult*BL15*Avg_Line</f>
        <v>1129513232.5161</v>
      </c>
    </row>
    <row r="23" customFormat="false" ht="15" hidden="false" customHeight="true" outlineLevel="0" collapsed="false">
      <c r="A23" s="13" t="s">
        <v>1048</v>
      </c>
      <c r="B23" s="15" t="s">
        <v>77</v>
      </c>
      <c r="D23" s="56" t="n">
        <f aca="false">BL23</f>
        <v>1882522054.19351</v>
      </c>
      <c r="E23" s="33" t="n">
        <f aca="false">E9*Uptake_Term*Credit_Mult*E16*Avg_Term</f>
        <v>0</v>
      </c>
      <c r="F23" s="33" t="n">
        <f aca="false">F9*Uptake_Term*Credit_Mult*F16*Avg_Term</f>
        <v>0</v>
      </c>
      <c r="G23" s="33" t="n">
        <f aca="false">G9*Uptake_Term*Credit_Mult*G16*Avg_Term</f>
        <v>0</v>
      </c>
      <c r="H23" s="33" t="n">
        <f aca="false">H9*Uptake_Term*Credit_Mult*H16*Avg_Term</f>
        <v>0</v>
      </c>
      <c r="I23" s="33" t="n">
        <f aca="false">I9*Uptake_Term*Credit_Mult*I16*Avg_Term</f>
        <v>0</v>
      </c>
      <c r="J23" s="33" t="n">
        <f aca="false">J9*Uptake_Term*Credit_Mult*J16*Avg_Term</f>
        <v>0</v>
      </c>
      <c r="K23" s="33" t="n">
        <f aca="false">K9*Uptake_Term*Credit_Mult*K16*Avg_Term</f>
        <v>0</v>
      </c>
      <c r="L23" s="33" t="n">
        <f aca="false">L9*Uptake_Term*Credit_Mult*L16*Avg_Term</f>
        <v>0</v>
      </c>
      <c r="M23" s="33" t="n">
        <f aca="false">M9*Uptake_Term*Credit_Mult*M16*Avg_Term</f>
        <v>0</v>
      </c>
      <c r="N23" s="33" t="n">
        <f aca="false">N9*Uptake_Term*Credit_Mult*N16*Avg_Term</f>
        <v>0</v>
      </c>
      <c r="O23" s="33" t="n">
        <f aca="false">O9*Uptake_Term*Credit_Mult*O16*Avg_Term</f>
        <v>0</v>
      </c>
      <c r="P23" s="33" t="n">
        <f aca="false">P9*Uptake_Term*Credit_Mult*P16*Avg_Term</f>
        <v>0</v>
      </c>
      <c r="Q23" s="33" t="n">
        <f aca="false">Q9*Uptake_Term*Credit_Mult*Q16*Avg_Term</f>
        <v>0</v>
      </c>
      <c r="R23" s="33" t="n">
        <f aca="false">R9*Uptake_Term*Credit_Mult*R16*Avg_Term</f>
        <v>0</v>
      </c>
      <c r="S23" s="33" t="n">
        <f aca="false">S9*Uptake_Term*Credit_Mult*S16*Avg_Term</f>
        <v>0</v>
      </c>
      <c r="T23" s="33" t="n">
        <f aca="false">T9*Uptake_Term*Credit_Mult*T16*Avg_Term</f>
        <v>0</v>
      </c>
      <c r="U23" s="33" t="n">
        <f aca="false">U9*Uptake_Term*Credit_Mult*U16*Avg_Term</f>
        <v>0</v>
      </c>
      <c r="V23" s="33" t="n">
        <f aca="false">V9*Uptake_Term*Credit_Mult*V16*Avg_Term</f>
        <v>0</v>
      </c>
      <c r="W23" s="33" t="n">
        <f aca="false">W9*Uptake_Term*Credit_Mult*W16*Avg_Term</f>
        <v>0</v>
      </c>
      <c r="X23" s="33" t="n">
        <f aca="false">X9*Uptake_Term*Credit_Mult*X16*Avg_Term</f>
        <v>0</v>
      </c>
      <c r="Y23" s="33" t="n">
        <f aca="false">Y9*Uptake_Term*Credit_Mult*Y16*Avg_Term</f>
        <v>0</v>
      </c>
      <c r="Z23" s="33" t="n">
        <f aca="false">Z9*Uptake_Term*Credit_Mult*Z16*Avg_Term</f>
        <v>0</v>
      </c>
      <c r="AA23" s="33" t="n">
        <f aca="false">AA9*Uptake_Term*Credit_Mult*AA16*Avg_Term</f>
        <v>0</v>
      </c>
      <c r="AB23" s="33" t="n">
        <f aca="false">AB9*Uptake_Term*Credit_Mult*AB16*Avg_Term</f>
        <v>0</v>
      </c>
      <c r="AC23" s="33" t="n">
        <f aca="false">AC9*Uptake_Term*Credit_Mult*AC16*Avg_Term</f>
        <v>0</v>
      </c>
      <c r="AD23" s="33" t="n">
        <f aca="false">AD9*Uptake_Term*Credit_Mult*AD16*Avg_Term</f>
        <v>0</v>
      </c>
      <c r="AE23" s="33" t="n">
        <f aca="false">AE9*Uptake_Term*Credit_Mult*AE16*Avg_Term</f>
        <v>31017526.6713124</v>
      </c>
      <c r="AF23" s="33" t="n">
        <f aca="false">AF9*Uptake_Term*Credit_Mult*AF16*Avg_Term</f>
        <v>67106579.9220224</v>
      </c>
      <c r="AG23" s="33" t="n">
        <f aca="false">AG9*Uptake_Term*Credit_Mult*AG16*Avg_Term</f>
        <v>108265416.458448</v>
      </c>
      <c r="AH23" s="33" t="n">
        <f aca="false">AH9*Uptake_Term*Credit_Mult*AH16*Avg_Term</f>
        <v>154502273.845163</v>
      </c>
      <c r="AI23" s="33" t="n">
        <f aca="false">AI9*Uptake_Term*Credit_Mult*AI16*Avg_Term</f>
        <v>206502560.885711</v>
      </c>
      <c r="AJ23" s="33" t="n">
        <f aca="false">AJ9*Uptake_Term*Credit_Mult*AJ16*Avg_Term</f>
        <v>263882890.72636</v>
      </c>
      <c r="AK23" s="33" t="n">
        <f aca="false">AK9*Uptake_Term*Credit_Mult*AK16*Avg_Term</f>
        <v>326678432.561677</v>
      </c>
      <c r="AL23" s="33" t="n">
        <f aca="false">AL9*Uptake_Term*Credit_Mult*AL16*Avg_Term</f>
        <v>394936849.563893</v>
      </c>
      <c r="AM23" s="33" t="n">
        <f aca="false">AM9*Uptake_Term*Credit_Mult*AM16*Avg_Term</f>
        <v>469919008.080348</v>
      </c>
      <c r="AN23" s="33" t="n">
        <f aca="false">AN9*Uptake_Term*Credit_Mult*AN16*Avg_Term</f>
        <v>550744409.069914</v>
      </c>
      <c r="AO23" s="33" t="n">
        <f aca="false">AO9*Uptake_Term*Credit_Mult*AO16*Avg_Term</f>
        <v>642018730.094731</v>
      </c>
      <c r="AP23" s="33" t="n">
        <f aca="false">AP9*Uptake_Term*Credit_Mult*AP16*Avg_Term</f>
        <v>741659853.313431</v>
      </c>
      <c r="AQ23" s="33" t="n">
        <f aca="false">AQ9*Uptake_Term*Credit_Mult*AQ16*Avg_Term</f>
        <v>783141340.880156</v>
      </c>
      <c r="AR23" s="33" t="n">
        <f aca="false">AR9*Uptake_Term*Credit_Mult*AR16*Avg_Term</f>
        <v>824878285.834842</v>
      </c>
      <c r="AS23" s="33" t="n">
        <f aca="false">AS9*Uptake_Term*Credit_Mult*AS16*Avg_Term</f>
        <v>868522764.857125</v>
      </c>
      <c r="AT23" s="33" t="n">
        <f aca="false">AT9*Uptake_Term*Credit_Mult*AT16*Avg_Term</f>
        <v>912502929.015893</v>
      </c>
      <c r="AU23" s="33" t="n">
        <f aca="false">AU9*Uptake_Term*Credit_Mult*AU16*Avg_Term</f>
        <v>956876432.283853</v>
      </c>
      <c r="AV23" s="33" t="n">
        <f aca="false">AV9*Uptake_Term*Credit_Mult*AV16*Avg_Term</f>
        <v>1004743724.76806</v>
      </c>
      <c r="AW23" s="33" t="n">
        <f aca="false">AW9*Uptake_Term*Credit_Mult*AW16*Avg_Term</f>
        <v>1052620924.06134</v>
      </c>
      <c r="AX23" s="33" t="n">
        <f aca="false">AX9*Uptake_Term*Credit_Mult*AX16*Avg_Term</f>
        <v>1101652775.19174</v>
      </c>
      <c r="AY23" s="33" t="n">
        <f aca="false">AY9*Uptake_Term*Credit_Mult*AY16*Avg_Term</f>
        <v>1150240625.71271</v>
      </c>
      <c r="AZ23" s="33" t="n">
        <f aca="false">AZ9*Uptake_Term*Credit_Mult*AZ16*Avg_Term</f>
        <v>1198413393.80376</v>
      </c>
      <c r="BA23" s="33" t="n">
        <f aca="false">BA9*Uptake_Term*Credit_Mult*BA16*Avg_Term</f>
        <v>1252760751.55957</v>
      </c>
      <c r="BB23" s="33" t="n">
        <f aca="false">BB9*Uptake_Term*Credit_Mult*BB16*Avg_Term</f>
        <v>1306644948.3886</v>
      </c>
      <c r="BC23" s="33" t="n">
        <f aca="false">BC9*Uptake_Term*Credit_Mult*BC16*Avg_Term</f>
        <v>1361699276.66945</v>
      </c>
      <c r="BD23" s="33" t="n">
        <f aca="false">BD9*Uptake_Term*Credit_Mult*BD16*Avg_Term</f>
        <v>1416331547.87042</v>
      </c>
      <c r="BE23" s="33" t="n">
        <f aca="false">BE9*Uptake_Term*Credit_Mult*BE16*Avg_Term</f>
        <v>1472017435.65632</v>
      </c>
      <c r="BF23" s="33" t="n">
        <f aca="false">BF9*Uptake_Term*Credit_Mult*BF16*Avg_Term</f>
        <v>1528929918.43611</v>
      </c>
      <c r="BG23" s="33" t="n">
        <f aca="false">BG9*Uptake_Term*Credit_Mult*BG16*Avg_Term</f>
        <v>1585480904.34225</v>
      </c>
      <c r="BH23" s="33" t="n">
        <f aca="false">BH9*Uptake_Term*Credit_Mult*BH16*Avg_Term</f>
        <v>1643310398.64123</v>
      </c>
      <c r="BI23" s="33" t="n">
        <f aca="false">BI9*Uptake_Term*Credit_Mult*BI16*Avg_Term</f>
        <v>1702273320.55881</v>
      </c>
      <c r="BJ23" s="33" t="n">
        <f aca="false">BJ9*Uptake_Term*Credit_Mult*BJ16*Avg_Term</f>
        <v>1762549110.19038</v>
      </c>
      <c r="BK23" s="33" t="n">
        <f aca="false">BK9*Uptake_Term*Credit_Mult*BK16*Avg_Term</f>
        <v>1822213635.95414</v>
      </c>
      <c r="BL23" s="33" t="n">
        <f aca="false">BL9*Uptake_Term*Credit_Mult*BL16*Avg_Term</f>
        <v>1882522054.19351</v>
      </c>
    </row>
    <row r="24" customFormat="false" ht="15" hidden="false" customHeight="true" outlineLevel="0" collapsed="false">
      <c r="A24" s="13" t="s">
        <v>1049</v>
      </c>
      <c r="B24" s="15" t="s">
        <v>77</v>
      </c>
      <c r="D24" s="56" t="n">
        <f aca="false">BL24</f>
        <v>231735650.598386</v>
      </c>
      <c r="E24" s="33" t="n">
        <f aca="false">E10*Usage_Advance*Credit_Mult*E17*Avg_Advance</f>
        <v>0</v>
      </c>
      <c r="F24" s="33" t="n">
        <f aca="false">F10*Usage_Advance*Credit_Mult*F17*Avg_Advance</f>
        <v>0</v>
      </c>
      <c r="G24" s="33" t="n">
        <f aca="false">G10*Usage_Advance*Credit_Mult*G17*Avg_Advance</f>
        <v>0</v>
      </c>
      <c r="H24" s="33" t="n">
        <f aca="false">H10*Usage_Advance*Credit_Mult*H17*Avg_Advance</f>
        <v>0</v>
      </c>
      <c r="I24" s="33" t="n">
        <f aca="false">I10*Usage_Advance*Credit_Mult*I17*Avg_Advance</f>
        <v>0</v>
      </c>
      <c r="J24" s="33" t="n">
        <f aca="false">J10*Usage_Advance*Credit_Mult*J17*Avg_Advance</f>
        <v>0</v>
      </c>
      <c r="K24" s="33" t="n">
        <f aca="false">K10*Usage_Advance*Credit_Mult*K17*Avg_Advance</f>
        <v>0</v>
      </c>
      <c r="L24" s="33" t="n">
        <f aca="false">L10*Usage_Advance*Credit_Mult*L17*Avg_Advance</f>
        <v>0</v>
      </c>
      <c r="M24" s="33" t="n">
        <f aca="false">M10*Usage_Advance*Credit_Mult*M17*Avg_Advance</f>
        <v>0</v>
      </c>
      <c r="N24" s="33" t="n">
        <f aca="false">N10*Usage_Advance*Credit_Mult*N17*Avg_Advance</f>
        <v>0</v>
      </c>
      <c r="O24" s="33" t="n">
        <f aca="false">O10*Usage_Advance*Credit_Mult*O17*Avg_Advance</f>
        <v>0</v>
      </c>
      <c r="P24" s="33" t="n">
        <f aca="false">P10*Usage_Advance*Credit_Mult*P17*Avg_Advance</f>
        <v>0</v>
      </c>
      <c r="Q24" s="33" t="n">
        <f aca="false">Q10*Usage_Advance*Credit_Mult*Q17*Avg_Advance</f>
        <v>0</v>
      </c>
      <c r="R24" s="33" t="n">
        <f aca="false">R10*Usage_Advance*Credit_Mult*R17*Avg_Advance</f>
        <v>0</v>
      </c>
      <c r="S24" s="33" t="n">
        <f aca="false">S10*Usage_Advance*Credit_Mult*S17*Avg_Advance</f>
        <v>0</v>
      </c>
      <c r="T24" s="33" t="n">
        <f aca="false">T10*Usage_Advance*Credit_Mult*T17*Avg_Advance</f>
        <v>0</v>
      </c>
      <c r="U24" s="33" t="n">
        <f aca="false">U10*Usage_Advance*Credit_Mult*U17*Avg_Advance</f>
        <v>0</v>
      </c>
      <c r="V24" s="33" t="n">
        <f aca="false">V10*Usage_Advance*Credit_Mult*V17*Avg_Advance</f>
        <v>0</v>
      </c>
      <c r="W24" s="33" t="n">
        <f aca="false">W10*Usage_Advance*Credit_Mult*W17*Avg_Advance</f>
        <v>0</v>
      </c>
      <c r="X24" s="33" t="n">
        <f aca="false">X10*Usage_Advance*Credit_Mult*X17*Avg_Advance</f>
        <v>0</v>
      </c>
      <c r="Y24" s="33" t="n">
        <f aca="false">Y10*Usage_Advance*Credit_Mult*Y17*Avg_Advance</f>
        <v>0</v>
      </c>
      <c r="Z24" s="33" t="n">
        <f aca="false">Z10*Usage_Advance*Credit_Mult*Z17*Avg_Advance</f>
        <v>0</v>
      </c>
      <c r="AA24" s="33" t="n">
        <f aca="false">AA10*Usage_Advance*Credit_Mult*AA17*Avg_Advance</f>
        <v>0</v>
      </c>
      <c r="AB24" s="33" t="n">
        <f aca="false">AB10*Usage_Advance*Credit_Mult*AB17*Avg_Advance</f>
        <v>0</v>
      </c>
      <c r="AC24" s="33" t="n">
        <f aca="false">AC10*Usage_Advance*Credit_Mult*AC17*Avg_Advance</f>
        <v>0</v>
      </c>
      <c r="AD24" s="33" t="n">
        <f aca="false">AD10*Usage_Advance*Credit_Mult*AD17*Avg_Advance</f>
        <v>0</v>
      </c>
      <c r="AE24" s="33" t="n">
        <f aca="false">AE10*Usage_Advance*Credit_Mult*AE17*Avg_Advance</f>
        <v>0</v>
      </c>
      <c r="AF24" s="33" t="n">
        <f aca="false">AF10*Usage_Advance*Credit_Mult*AF17*Avg_Advance</f>
        <v>0</v>
      </c>
      <c r="AG24" s="33" t="n">
        <f aca="false">AG10*Usage_Advance*Credit_Mult*AG17*Avg_Advance</f>
        <v>0</v>
      </c>
      <c r="AH24" s="33" t="n">
        <f aca="false">AH10*Usage_Advance*Credit_Mult*AH17*Avg_Advance</f>
        <v>4558601.67790128</v>
      </c>
      <c r="AI24" s="33" t="n">
        <f aca="false">AI10*Usage_Advance*Credit_Mult*AI17*Avg_Advance</f>
        <v>9763560.64666881</v>
      </c>
      <c r="AJ24" s="33" t="n">
        <f aca="false">AJ10*Usage_Advance*Credit_Mult*AJ17*Avg_Advance</f>
        <v>15620946.8667549</v>
      </c>
      <c r="AK24" s="33" t="n">
        <f aca="false">AK10*Usage_Advance*Credit_Mult*AK17*Avg_Advance</f>
        <v>22138070.1926801</v>
      </c>
      <c r="AL24" s="33" t="n">
        <f aca="false">AL10*Usage_Advance*Credit_Mult*AL17*Avg_Advance</f>
        <v>29323561.5516554</v>
      </c>
      <c r="AM24" s="33" t="n">
        <f aca="false">AM10*Usage_Advance*Credit_Mult*AM17*Avg_Advance</f>
        <v>37277460.170842</v>
      </c>
      <c r="AN24" s="33" t="n">
        <f aca="false">AN10*Usage_Advance*Credit_Mult*AN17*Avg_Advance</f>
        <v>45950169.7728352</v>
      </c>
      <c r="AO24" s="33" t="n">
        <f aca="false">AO10*Usage_Advance*Credit_Mult*AO17*Avg_Advance</f>
        <v>55724362.9378037</v>
      </c>
      <c r="AP24" s="33" t="n">
        <f aca="false">AP10*Usage_Advance*Credit_Mult*AP17*Avg_Advance</f>
        <v>66467421.3492485</v>
      </c>
      <c r="AQ24" s="33" t="n">
        <f aca="false">AQ10*Usage_Advance*Credit_Mult*AQ17*Avg_Advance</f>
        <v>78087504.8241846</v>
      </c>
      <c r="AR24" s="33" t="n">
        <f aca="false">AR10*Usage_Advance*Credit_Mult*AR17*Avg_Advance</f>
        <v>90600915.5732567</v>
      </c>
      <c r="AS24" s="33" t="n">
        <f aca="false">AS10*Usage_Advance*Credit_Mult*AS17*Avg_Advance</f>
        <v>104206078.975625</v>
      </c>
      <c r="AT24" s="33" t="n">
        <f aca="false">AT10*Usage_Advance*Credit_Mult*AT17*Avg_Advance</f>
        <v>109635298.576567</v>
      </c>
      <c r="AU24" s="33" t="n">
        <f aca="false">AU10*Usage_Advance*Credit_Mult*AU17*Avg_Advance</f>
        <v>115131470.705009</v>
      </c>
      <c r="AV24" s="33" t="n">
        <f aca="false">AV10*Usage_Advance*Credit_Mult*AV17*Avg_Advance</f>
        <v>121043396.756567</v>
      </c>
      <c r="AW24" s="33" t="n">
        <f aca="false">AW10*Usage_Advance*Credit_Mult*AW17*Avg_Advance</f>
        <v>126981117.451121</v>
      </c>
      <c r="AX24" s="33" t="n">
        <f aca="false">AX10*Usage_Advance*Credit_Mult*AX17*Avg_Advance</f>
        <v>133073151.132557</v>
      </c>
      <c r="AY24" s="33" t="n">
        <f aca="false">AY10*Usage_Advance*Credit_Mult*AY17*Avg_Advance</f>
        <v>139140116.904094</v>
      </c>
      <c r="AZ24" s="33" t="n">
        <f aca="false">AZ10*Usage_Advance*Credit_Mult*AZ17*Avg_Advance</f>
        <v>145184711.393528</v>
      </c>
      <c r="BA24" s="33" t="n">
        <f aca="false">BA10*Usage_Advance*Credit_Mult*BA17*Avg_Advance</f>
        <v>151947740.944072</v>
      </c>
      <c r="BB24" s="33" t="n">
        <f aca="false">BB10*Usage_Advance*Credit_Mult*BB17*Avg_Advance</f>
        <v>158686133.938821</v>
      </c>
      <c r="BC24" s="33" t="n">
        <f aca="false">BC10*Usage_Advance*Credit_Mult*BC17*Avg_Advance</f>
        <v>165583038.49038</v>
      </c>
      <c r="BD24" s="33" t="n">
        <f aca="false">BD10*Usage_Advance*Credit_Mult*BD17*Avg_Advance</f>
        <v>172459784.275273</v>
      </c>
      <c r="BE24" s="33" t="n">
        <f aca="false">BE10*Usage_Advance*Credit_Mult*BE17*Avg_Advance</f>
        <v>179481815.618483</v>
      </c>
      <c r="BF24" s="33" t="n">
        <f aca="false">BF10*Usage_Advance*Credit_Mult*BF17*Avg_Advance</f>
        <v>186668970.987888</v>
      </c>
      <c r="BG24" s="33" t="n">
        <f aca="false">BG10*Usage_Advance*Credit_Mult*BG17*Avg_Advance</f>
        <v>193843074.696854</v>
      </c>
      <c r="BH24" s="33" t="n">
        <f aca="false">BH10*Usage_Advance*Credit_Mult*BH17*Avg_Advance</f>
        <v>201188094.365037</v>
      </c>
      <c r="BI24" s="33" t="n">
        <f aca="false">BI10*Usage_Advance*Credit_Mult*BI17*Avg_Advance</f>
        <v>208688227.144272</v>
      </c>
      <c r="BJ24" s="33" t="n">
        <f aca="false">BJ10*Usage_Advance*Credit_Mult*BJ17*Avg_Advance</f>
        <v>216364080.693867</v>
      </c>
      <c r="BK24" s="33" t="n">
        <f aca="false">BK10*Usage_Advance*Credit_Mult*BK17*Avg_Advance</f>
        <v>223999720.755063</v>
      </c>
      <c r="BL24" s="33" t="n">
        <f aca="false">BL10*Usage_Advance*Credit_Mult*BL17*Avg_Advance</f>
        <v>231735650.598386</v>
      </c>
    </row>
    <row r="25" customFormat="false" ht="15" hidden="false" customHeight="true" outlineLevel="0" collapsed="false">
      <c r="A25" s="9" t="s">
        <v>1268</v>
      </c>
      <c r="B25" s="15" t="s">
        <v>77</v>
      </c>
      <c r="D25" s="56" t="n">
        <f aca="false">BL25</f>
        <v>7855949970.08209</v>
      </c>
      <c r="E25" s="17" t="n">
        <f aca="false">SUM(E20:E24)</f>
        <v>0</v>
      </c>
      <c r="F25" s="17" t="n">
        <f aca="false">SUM(F20:F24)</f>
        <v>0</v>
      </c>
      <c r="G25" s="17" t="n">
        <f aca="false">SUM(G20:G24)</f>
        <v>0</v>
      </c>
      <c r="H25" s="17" t="n">
        <f aca="false">SUM(H20:H24)</f>
        <v>0</v>
      </c>
      <c r="I25" s="17" t="n">
        <f aca="false">SUM(I20:I24)</f>
        <v>0</v>
      </c>
      <c r="J25" s="17" t="n">
        <f aca="false">SUM(J20:J24)</f>
        <v>0</v>
      </c>
      <c r="K25" s="17" t="n">
        <f aca="false">SUM(K20:K24)</f>
        <v>0</v>
      </c>
      <c r="L25" s="17" t="n">
        <f aca="false">SUM(L20:L24)</f>
        <v>0</v>
      </c>
      <c r="M25" s="17" t="n">
        <f aca="false">SUM(M20:M24)</f>
        <v>0</v>
      </c>
      <c r="N25" s="17" t="n">
        <f aca="false">SUM(N20:N24)</f>
        <v>0</v>
      </c>
      <c r="O25" s="17" t="n">
        <f aca="false">SUM(O20:O24)</f>
        <v>0</v>
      </c>
      <c r="P25" s="17" t="n">
        <f aca="false">SUM(P20:P24)</f>
        <v>0</v>
      </c>
      <c r="Q25" s="17" t="n">
        <f aca="false">SUM(Q20:Q24)</f>
        <v>0</v>
      </c>
      <c r="R25" s="17" t="n">
        <f aca="false">SUM(R20:R24)</f>
        <v>0</v>
      </c>
      <c r="S25" s="17" t="n">
        <f aca="false">SUM(S20:S24)</f>
        <v>0</v>
      </c>
      <c r="T25" s="17" t="n">
        <f aca="false">SUM(T20:T24)</f>
        <v>0</v>
      </c>
      <c r="U25" s="17" t="n">
        <f aca="false">SUM(U20:U24)</f>
        <v>0</v>
      </c>
      <c r="V25" s="17" t="n">
        <f aca="false">SUM(V20:V24)</f>
        <v>31715154.5238977</v>
      </c>
      <c r="W25" s="17" t="n">
        <f aca="false">SUM(W20:W24)</f>
        <v>71773513.747622</v>
      </c>
      <c r="X25" s="17" t="n">
        <f aca="false">SUM(X20:X24)</f>
        <v>120147405.882815</v>
      </c>
      <c r="Y25" s="17" t="n">
        <f aca="false">SUM(Y20:Y24)</f>
        <v>189036878.255837</v>
      </c>
      <c r="Z25" s="17" t="n">
        <f aca="false">SUM(Z20:Z24)</f>
        <v>269051557.074892</v>
      </c>
      <c r="AA25" s="17" t="n">
        <f aca="false">SUM(AA20:AA24)</f>
        <v>360193686.326155</v>
      </c>
      <c r="AB25" s="17" t="n">
        <f aca="false">SUM(AB20:AB24)</f>
        <v>462487639.054858</v>
      </c>
      <c r="AC25" s="17" t="n">
        <f aca="false">SUM(AC20:AC24)</f>
        <v>589189518.876322</v>
      </c>
      <c r="AD25" s="17" t="n">
        <f aca="false">SUM(AD20:AD24)</f>
        <v>730480837.279806</v>
      </c>
      <c r="AE25" s="17" t="n">
        <f aca="false">SUM(AE20:AE24)</f>
        <v>921220542.13798</v>
      </c>
      <c r="AF25" s="17" t="n">
        <f aca="false">SUM(AF20:AF24)</f>
        <v>1132423536.18413</v>
      </c>
      <c r="AG25" s="17" t="n">
        <f aca="false">SUM(AG20:AG24)</f>
        <v>1364144247.37645</v>
      </c>
      <c r="AH25" s="17" t="n">
        <f aca="false">SUM(AH20:AH24)</f>
        <v>1526405999.05276</v>
      </c>
      <c r="AI25" s="17" t="n">
        <f aca="false">SUM(AI20:AI24)</f>
        <v>1703084559.9095</v>
      </c>
      <c r="AJ25" s="17" t="n">
        <f aca="false">SUM(AJ20:AJ24)</f>
        <v>1889189471.02391</v>
      </c>
      <c r="AK25" s="17" t="n">
        <f aca="false">SUM(AK20:AK24)</f>
        <v>2056878021.57684</v>
      </c>
      <c r="AL25" s="17" t="n">
        <f aca="false">SUM(AL20:AL24)</f>
        <v>2231096497.87036</v>
      </c>
      <c r="AM25" s="17" t="n">
        <f aca="false">SUM(AM20:AM24)</f>
        <v>2418200434.4446</v>
      </c>
      <c r="AN25" s="17" t="n">
        <f aca="false">SUM(AN20:AN24)</f>
        <v>2612419116.03863</v>
      </c>
      <c r="AO25" s="17" t="n">
        <f aca="false">SUM(AO20:AO24)</f>
        <v>2833914504.075</v>
      </c>
      <c r="AP25" s="17" t="n">
        <f aca="false">SUM(AP20:AP24)</f>
        <v>3070189827.26864</v>
      </c>
      <c r="AQ25" s="17" t="n">
        <f aca="false">SUM(AQ20:AQ24)</f>
        <v>3249809935.38882</v>
      </c>
      <c r="AR25" s="17" t="n">
        <f aca="false">SUM(AR20:AR24)</f>
        <v>3431357973.20437</v>
      </c>
      <c r="AS25" s="17" t="n">
        <f aca="false">SUM(AS20:AS24)</f>
        <v>3621723276.64698</v>
      </c>
      <c r="AT25" s="17" t="n">
        <f aca="false">SUM(AT20:AT24)</f>
        <v>3805272161.09093</v>
      </c>
      <c r="AU25" s="17" t="n">
        <f aca="false">SUM(AU20:AU24)</f>
        <v>3990481021.45461</v>
      </c>
      <c r="AV25" s="17" t="n">
        <f aca="false">SUM(AV20:AV24)</f>
        <v>4190255482.06719</v>
      </c>
      <c r="AW25" s="17" t="n">
        <f aca="false">SUM(AW20:AW24)</f>
        <v>4390095859.89953</v>
      </c>
      <c r="AX25" s="17" t="n">
        <f aca="false">SUM(AX20:AX24)</f>
        <v>4594766890.6591</v>
      </c>
      <c r="AY25" s="17" t="n">
        <f aca="false">SUM(AY20:AY24)</f>
        <v>4797614651.04056</v>
      </c>
      <c r="AZ25" s="17" t="n">
        <f aca="false">SUM(AZ20:AZ24)</f>
        <v>4998758956.29875</v>
      </c>
      <c r="BA25" s="17" t="n">
        <f aca="false">SUM(BA20:BA24)</f>
        <v>5225628784.76031</v>
      </c>
      <c r="BB25" s="17" t="n">
        <f aca="false">SUM(BB20:BB24)</f>
        <v>5450598174.91267</v>
      </c>
      <c r="BC25" s="17" t="n">
        <f aca="false">SUM(BC20:BC24)</f>
        <v>5680465109.00165</v>
      </c>
      <c r="BD25" s="17" t="n">
        <f aca="false">SUM(BD20:BD24)</f>
        <v>5908602553.15047</v>
      </c>
      <c r="BE25" s="17" t="n">
        <f aca="false">SUM(BE20:BE24)</f>
        <v>6141152430.02657</v>
      </c>
      <c r="BF25" s="17" t="n">
        <f aca="false">SUM(BF20:BF24)</f>
        <v>6378835140.65414</v>
      </c>
      <c r="BG25" s="17" t="n">
        <f aca="false">SUM(BG20:BG24)</f>
        <v>6615040737.28298</v>
      </c>
      <c r="BH25" s="17" t="n">
        <f aca="false">SUM(BH20:BH24)</f>
        <v>6856595208.86202</v>
      </c>
      <c r="BI25" s="17" t="n">
        <f aca="false">SUM(BI20:BI24)</f>
        <v>7102895175.40747</v>
      </c>
      <c r="BJ25" s="17" t="n">
        <f aca="false">SUM(BJ20:BJ24)</f>
        <v>7354687976.96492</v>
      </c>
      <c r="BK25" s="17" t="n">
        <f aca="false">SUM(BK20:BK24)</f>
        <v>7603964946.36932</v>
      </c>
      <c r="BL25" s="17" t="n">
        <f aca="false">SUM(BL20:BL24)</f>
        <v>7855949970.08209</v>
      </c>
    </row>
    <row r="27" customFormat="false" ht="15" hidden="false" customHeight="true" outlineLevel="0" collapsed="false">
      <c r="A27" s="11" t="s">
        <v>1269</v>
      </c>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customFormat="false" ht="15" hidden="false" customHeight="true" outlineLevel="0" collapsed="false">
      <c r="A28" s="13" t="s">
        <v>1047</v>
      </c>
      <c r="B28" s="15" t="s">
        <v>77</v>
      </c>
      <c r="E28" s="33" t="n">
        <f aca="false">E20/2</f>
        <v>0</v>
      </c>
      <c r="F28" s="33" t="n">
        <f aca="false">(F20+E20)/2</f>
        <v>0</v>
      </c>
      <c r="G28" s="33" t="n">
        <f aca="false">(G20+F20)/2</f>
        <v>0</v>
      </c>
      <c r="H28" s="33" t="n">
        <f aca="false">(H20+G20)/2</f>
        <v>0</v>
      </c>
      <c r="I28" s="33" t="n">
        <f aca="false">(I20+H20)/2</f>
        <v>0</v>
      </c>
      <c r="J28" s="33" t="n">
        <f aca="false">(J20+I20)/2</f>
        <v>0</v>
      </c>
      <c r="K28" s="33" t="n">
        <f aca="false">(K20+J20)/2</f>
        <v>0</v>
      </c>
      <c r="L28" s="33" t="n">
        <f aca="false">(L20+K20)/2</f>
        <v>0</v>
      </c>
      <c r="M28" s="33" t="n">
        <f aca="false">(M20+L20)/2</f>
        <v>0</v>
      </c>
      <c r="N28" s="33" t="n">
        <f aca="false">(N20+M20)/2</f>
        <v>0</v>
      </c>
      <c r="O28" s="33" t="n">
        <f aca="false">(O20+N20)/2</f>
        <v>0</v>
      </c>
      <c r="P28" s="33" t="n">
        <f aca="false">(P20+O20)/2</f>
        <v>0</v>
      </c>
      <c r="Q28" s="33" t="n">
        <f aca="false">(Q20+P20)/2</f>
        <v>0</v>
      </c>
      <c r="R28" s="33" t="n">
        <f aca="false">(R20+Q20)/2</f>
        <v>0</v>
      </c>
      <c r="S28" s="33" t="n">
        <f aca="false">(S20+R20)/2</f>
        <v>0</v>
      </c>
      <c r="T28" s="33" t="n">
        <f aca="false">(T20+S20)/2</f>
        <v>0</v>
      </c>
      <c r="U28" s="33" t="n">
        <f aca="false">(U20+T20)/2</f>
        <v>0</v>
      </c>
      <c r="V28" s="33" t="n">
        <f aca="false">(V20+U20)/2</f>
        <v>12944961.0301623</v>
      </c>
      <c r="W28" s="33" t="n">
        <f aca="false">(W20+V20)/2</f>
        <v>42240272.7638856</v>
      </c>
      <c r="X28" s="33" t="n">
        <f aca="false">(X20+W20)/2</f>
        <v>78335069.2369129</v>
      </c>
      <c r="Y28" s="33" t="n">
        <f aca="false">(Y20+X20)/2</f>
        <v>121746249.14005</v>
      </c>
      <c r="Z28" s="33" t="n">
        <f aca="false">(Z20+Y20)/2</f>
        <v>172725657.835705</v>
      </c>
      <c r="AA28" s="33" t="n">
        <f aca="false">(AA20+Z20)/2</f>
        <v>230998688.499265</v>
      </c>
      <c r="AB28" s="33" t="n">
        <f aca="false">(AB20+AA20)/2</f>
        <v>296576119.404461</v>
      </c>
      <c r="AC28" s="33" t="n">
        <f aca="false">(AC20+AB20)/2</f>
        <v>374159258.653182</v>
      </c>
      <c r="AD28" s="33" t="n">
        <f aca="false">(AD20+AC20)/2</f>
        <v>464871727.261353</v>
      </c>
      <c r="AE28" s="33" t="n">
        <f aca="false">(AE20+AD20)/2</f>
        <v>566484332.425337</v>
      </c>
      <c r="AF28" s="33" t="n">
        <f aca="false">(AF20+AE20)/2</f>
        <v>679261456.284248</v>
      </c>
      <c r="AG28" s="33" t="n">
        <f aca="false">(AG20+AF20)/2</f>
        <v>802147855.404916</v>
      </c>
      <c r="AH28" s="33" t="n">
        <f aca="false">(AH20+AG20)/2</f>
        <v>896568487.369284</v>
      </c>
      <c r="AI28" s="33" t="n">
        <f aca="false">(AI20+AH20)/2</f>
        <v>959112967.661196</v>
      </c>
      <c r="AJ28" s="33" t="n">
        <f aca="false">(AJ20+AI20)/2</f>
        <v>1023371927.57843</v>
      </c>
      <c r="AK28" s="33" t="n">
        <f aca="false">(AK20+AJ20)/2</f>
        <v>1087785951.55845</v>
      </c>
      <c r="AL28" s="33" t="n">
        <f aca="false">(AL20+AK20)/2</f>
        <v>1152425444.45157</v>
      </c>
      <c r="AM28" s="33" t="n">
        <f aca="false">(AM20+AL20)/2</f>
        <v>1218963951.7863</v>
      </c>
      <c r="AN28" s="33" t="n">
        <f aca="false">(AN20+AM20)/2</f>
        <v>1287451968.32436</v>
      </c>
      <c r="AO28" s="33" t="n">
        <f aca="false">(AO20+AN20)/2</f>
        <v>1361277360.07815</v>
      </c>
      <c r="AP28" s="33" t="n">
        <f aca="false">(AP20+AO20)/2</f>
        <v>1442043922.50768</v>
      </c>
      <c r="AQ28" s="33" t="n">
        <f aca="false">(AQ20+AP20)/2</f>
        <v>1524801194.19359</v>
      </c>
      <c r="AR28" s="33" t="n">
        <f aca="false">(AR20+AQ20)/2</f>
        <v>1608019626.715</v>
      </c>
      <c r="AS28" s="33" t="n">
        <f aca="false">(AS20+AR20)/2</f>
        <v>1693401050.69197</v>
      </c>
      <c r="AT28" s="33" t="n">
        <f aca="false">(AT20+AS20)/2</f>
        <v>1781025693.87302</v>
      </c>
      <c r="AU28" s="33" t="n">
        <f aca="false">(AU20+AT20)/2</f>
        <v>1869379361.29975</v>
      </c>
      <c r="AV28" s="33" t="n">
        <f aca="false">(AV20+AU20)/2</f>
        <v>1961620157.05191</v>
      </c>
      <c r="AW28" s="33" t="n">
        <f aca="false">(AW20+AV20)/2</f>
        <v>2057364648.82939</v>
      </c>
      <c r="AX28" s="33" t="n">
        <f aca="false">(AX20+AW20)/2</f>
        <v>2154273699.25308</v>
      </c>
      <c r="AY28" s="33" t="n">
        <f aca="false">(AY20+AX20)/2</f>
        <v>2251893400.90445</v>
      </c>
      <c r="AZ28" s="33" t="n">
        <f aca="false">(AZ20+AY20)/2</f>
        <v>2348654019.51646</v>
      </c>
      <c r="BA28" s="33" t="n">
        <f aca="false">(BA20+AZ20)/2</f>
        <v>2451174145.36332</v>
      </c>
      <c r="BB28" s="33" t="n">
        <f aca="false">(BB20+BA20)/2</f>
        <v>2559405699.94817</v>
      </c>
      <c r="BC28" s="33" t="n">
        <f aca="false">(BC20+BB20)/2</f>
        <v>2668344225.05805</v>
      </c>
      <c r="BD28" s="33" t="n">
        <f aca="false">(BD20+BC20)/2</f>
        <v>2778030824.53987</v>
      </c>
      <c r="BE28" s="33" t="n">
        <f aca="false">(BE20+BD20)/2</f>
        <v>2888348983.52674</v>
      </c>
      <c r="BF28" s="33" t="n">
        <f aca="false">(BF20+BE20)/2</f>
        <v>3000947354.09243</v>
      </c>
      <c r="BG28" s="33" t="n">
        <f aca="false">(BG20+BF20)/2</f>
        <v>3114410822.77837</v>
      </c>
      <c r="BH28" s="33" t="n">
        <f aca="false">(BH20+BG20)/2</f>
        <v>3228791302.98348</v>
      </c>
      <c r="BI28" s="33" t="n">
        <f aca="false">(BI20+BH20)/2</f>
        <v>3345583719.20005</v>
      </c>
      <c r="BJ28" s="33" t="n">
        <f aca="false">(BJ20+BI20)/2</f>
        <v>3464822430.7492</v>
      </c>
      <c r="BK28" s="33" t="n">
        <f aca="false">(BK20+BJ20)/2</f>
        <v>3584762746.14452</v>
      </c>
      <c r="BL28" s="33" t="n">
        <f aca="false">(BL20+BK20)/2</f>
        <v>3704735690.14764</v>
      </c>
    </row>
    <row r="29" customFormat="false" ht="15" hidden="false" customHeight="true" outlineLevel="0" collapsed="false">
      <c r="A29" s="13" t="s">
        <v>249</v>
      </c>
      <c r="B29" s="15" t="s">
        <v>77</v>
      </c>
      <c r="E29" s="33" t="n">
        <f aca="false">E21/2</f>
        <v>0</v>
      </c>
      <c r="F29" s="33" t="n">
        <f aca="false">(F21+E21)/2</f>
        <v>0</v>
      </c>
      <c r="G29" s="33" t="n">
        <f aca="false">(G21+F21)/2</f>
        <v>0</v>
      </c>
      <c r="H29" s="33" t="n">
        <f aca="false">(H21+G21)/2</f>
        <v>0</v>
      </c>
      <c r="I29" s="33" t="n">
        <f aca="false">(I21+H21)/2</f>
        <v>0</v>
      </c>
      <c r="J29" s="33" t="n">
        <f aca="false">(J21+I21)/2</f>
        <v>0</v>
      </c>
      <c r="K29" s="33" t="n">
        <f aca="false">(K21+J21)/2</f>
        <v>0</v>
      </c>
      <c r="L29" s="33" t="n">
        <f aca="false">(L21+K21)/2</f>
        <v>0</v>
      </c>
      <c r="M29" s="33" t="n">
        <f aca="false">(M21+L21)/2</f>
        <v>0</v>
      </c>
      <c r="N29" s="33" t="n">
        <f aca="false">(N21+M21)/2</f>
        <v>0</v>
      </c>
      <c r="O29" s="33" t="n">
        <f aca="false">(O21+N21)/2</f>
        <v>0</v>
      </c>
      <c r="P29" s="33" t="n">
        <f aca="false">(P21+O21)/2</f>
        <v>0</v>
      </c>
      <c r="Q29" s="33" t="n">
        <f aca="false">(Q21+P21)/2</f>
        <v>0</v>
      </c>
      <c r="R29" s="33" t="n">
        <f aca="false">(R21+Q21)/2</f>
        <v>0</v>
      </c>
      <c r="S29" s="33" t="n">
        <f aca="false">(S21+R21)/2</f>
        <v>0</v>
      </c>
      <c r="T29" s="33" t="n">
        <f aca="false">(T21+S21)/2</f>
        <v>0</v>
      </c>
      <c r="U29" s="33" t="n">
        <f aca="false">(U21+T21)/2</f>
        <v>0</v>
      </c>
      <c r="V29" s="33" t="n">
        <f aca="false">(V21+U21)/2</f>
        <v>2912616.23178652</v>
      </c>
      <c r="W29" s="33" t="n">
        <f aca="false">(W21+V21)/2</f>
        <v>9504061.37187426</v>
      </c>
      <c r="X29" s="33" t="n">
        <f aca="false">(X21+W21)/2</f>
        <v>17625390.5783054</v>
      </c>
      <c r="Y29" s="33" t="n">
        <f aca="false">(Y21+X21)/2</f>
        <v>27392906.0565112</v>
      </c>
      <c r="Z29" s="33" t="n">
        <f aca="false">(Z21+Y21)/2</f>
        <v>38863273.0130336</v>
      </c>
      <c r="AA29" s="33" t="n">
        <f aca="false">(AA21+Z21)/2</f>
        <v>51974704.9123346</v>
      </c>
      <c r="AB29" s="33" t="n">
        <f aca="false">(AB21+AA21)/2</f>
        <v>66729626.8660038</v>
      </c>
      <c r="AC29" s="33" t="n">
        <f aca="false">(AC21+AB21)/2</f>
        <v>84185833.1969659</v>
      </c>
      <c r="AD29" s="33" t="n">
        <f aca="false">(AD21+AC21)/2</f>
        <v>104596138.633804</v>
      </c>
      <c r="AE29" s="33" t="n">
        <f aca="false">(AE21+AD21)/2</f>
        <v>127458974.795701</v>
      </c>
      <c r="AF29" s="33" t="n">
        <f aca="false">(AF21+AE21)/2</f>
        <v>152833827.663956</v>
      </c>
      <c r="AG29" s="33" t="n">
        <f aca="false">(AG21+AF21)/2</f>
        <v>180483267.466106</v>
      </c>
      <c r="AH29" s="33" t="n">
        <f aca="false">(AH21+AG21)/2</f>
        <v>201727909.658089</v>
      </c>
      <c r="AI29" s="33" t="n">
        <f aca="false">(AI21+AH21)/2</f>
        <v>215800417.723769</v>
      </c>
      <c r="AJ29" s="33" t="n">
        <f aca="false">(AJ21+AI21)/2</f>
        <v>230258683.705146</v>
      </c>
      <c r="AK29" s="33" t="n">
        <f aca="false">(AK21+AJ21)/2</f>
        <v>244751839.100652</v>
      </c>
      <c r="AL29" s="33" t="n">
        <f aca="false">(AL21+AK21)/2</f>
        <v>259295725.001604</v>
      </c>
      <c r="AM29" s="33" t="n">
        <f aca="false">(AM21+AL21)/2</f>
        <v>274266889.151918</v>
      </c>
      <c r="AN29" s="33" t="n">
        <f aca="false">(AN21+AM21)/2</f>
        <v>289676692.872981</v>
      </c>
      <c r="AO29" s="33" t="n">
        <f aca="false">(AO21+AN21)/2</f>
        <v>306287406.017584</v>
      </c>
      <c r="AP29" s="33" t="n">
        <f aca="false">(AP21+AO21)/2</f>
        <v>324459882.564229</v>
      </c>
      <c r="AQ29" s="33" t="n">
        <f aca="false">(AQ21+AP21)/2</f>
        <v>343080268.693557</v>
      </c>
      <c r="AR29" s="33" t="n">
        <f aca="false">(AR21+AQ21)/2</f>
        <v>361804416.010875</v>
      </c>
      <c r="AS29" s="33" t="n">
        <f aca="false">(AS21+AR21)/2</f>
        <v>381015236.405693</v>
      </c>
      <c r="AT29" s="33" t="n">
        <f aca="false">(AT21+AS21)/2</f>
        <v>400730781.121429</v>
      </c>
      <c r="AU29" s="33" t="n">
        <f aca="false">(AU21+AT21)/2</f>
        <v>420610356.292443</v>
      </c>
      <c r="AV29" s="33" t="n">
        <f aca="false">(AV21+AU21)/2</f>
        <v>441364535.33668</v>
      </c>
      <c r="AW29" s="33" t="n">
        <f aca="false">(AW21+AV21)/2</f>
        <v>462907045.986613</v>
      </c>
      <c r="AX29" s="33" t="n">
        <f aca="false">(AX21+AW21)/2</f>
        <v>484711582.331942</v>
      </c>
      <c r="AY29" s="33" t="n">
        <f aca="false">(AY21+AX21)/2</f>
        <v>506676015.2035</v>
      </c>
      <c r="AZ29" s="33" t="n">
        <f aca="false">(AZ21+AY21)/2</f>
        <v>528447154.391204</v>
      </c>
      <c r="BA29" s="33" t="n">
        <f aca="false">(BA21+AZ21)/2</f>
        <v>551514182.706748</v>
      </c>
      <c r="BB29" s="33" t="n">
        <f aca="false">(BB21+BA21)/2</f>
        <v>575866282.488338</v>
      </c>
      <c r="BC29" s="33" t="n">
        <f aca="false">(BC21+BB21)/2</f>
        <v>600377450.638062</v>
      </c>
      <c r="BD29" s="33" t="n">
        <f aca="false">(BD21+BC21)/2</f>
        <v>625056935.52147</v>
      </c>
      <c r="BE29" s="33" t="n">
        <f aca="false">(BE21+BD21)/2</f>
        <v>649878521.293516</v>
      </c>
      <c r="BF29" s="33" t="n">
        <f aca="false">(BF21+BE21)/2</f>
        <v>675213154.670797</v>
      </c>
      <c r="BG29" s="33" t="n">
        <f aca="false">(BG21+BF21)/2</f>
        <v>700742435.125132</v>
      </c>
      <c r="BH29" s="33" t="n">
        <f aca="false">(BH21+BG21)/2</f>
        <v>726478043.171284</v>
      </c>
      <c r="BI29" s="33" t="n">
        <f aca="false">(BI21+BH21)/2</f>
        <v>752756336.82001</v>
      </c>
      <c r="BJ29" s="33" t="n">
        <f aca="false">(BJ21+BI21)/2</f>
        <v>779585046.918569</v>
      </c>
      <c r="BK29" s="33" t="n">
        <f aca="false">(BK21+BJ21)/2</f>
        <v>806571617.882517</v>
      </c>
      <c r="BL29" s="33" t="n">
        <f aca="false">(BL21+BK21)/2</f>
        <v>833565530.28322</v>
      </c>
    </row>
    <row r="30" customFormat="false" ht="15" hidden="false" customHeight="true" outlineLevel="0" collapsed="false">
      <c r="A30" s="13" t="s">
        <v>251</v>
      </c>
      <c r="B30" s="15" t="s">
        <v>77</v>
      </c>
      <c r="E30" s="33" t="n">
        <f aca="false">E22/2</f>
        <v>0</v>
      </c>
      <c r="F30" s="33" t="n">
        <f aca="false">(F22+E22)/2</f>
        <v>0</v>
      </c>
      <c r="G30" s="33" t="n">
        <f aca="false">(G22+F22)/2</f>
        <v>0</v>
      </c>
      <c r="H30" s="33" t="n">
        <f aca="false">(H22+G22)/2</f>
        <v>0</v>
      </c>
      <c r="I30" s="33" t="n">
        <f aca="false">(I22+H22)/2</f>
        <v>0</v>
      </c>
      <c r="J30" s="33" t="n">
        <f aca="false">(J22+I22)/2</f>
        <v>0</v>
      </c>
      <c r="K30" s="33" t="n">
        <f aca="false">(K22+J22)/2</f>
        <v>0</v>
      </c>
      <c r="L30" s="33" t="n">
        <f aca="false">(L22+K22)/2</f>
        <v>0</v>
      </c>
      <c r="M30" s="33" t="n">
        <f aca="false">(M22+L22)/2</f>
        <v>0</v>
      </c>
      <c r="N30" s="33" t="n">
        <f aca="false">(N22+M22)/2</f>
        <v>0</v>
      </c>
      <c r="O30" s="33" t="n">
        <f aca="false">(O22+N22)/2</f>
        <v>0</v>
      </c>
      <c r="P30" s="33" t="n">
        <f aca="false">(P22+O22)/2</f>
        <v>0</v>
      </c>
      <c r="Q30" s="33" t="n">
        <f aca="false">(Q22+P22)/2</f>
        <v>0</v>
      </c>
      <c r="R30" s="33" t="n">
        <f aca="false">(R22+Q22)/2</f>
        <v>0</v>
      </c>
      <c r="S30" s="33" t="n">
        <f aca="false">(S22+R22)/2</f>
        <v>0</v>
      </c>
      <c r="T30" s="33" t="n">
        <f aca="false">(T22+S22)/2</f>
        <v>0</v>
      </c>
      <c r="U30" s="33" t="n">
        <f aca="false">(U22+T22)/2</f>
        <v>0</v>
      </c>
      <c r="V30" s="33" t="n">
        <f aca="false">(V22+U22)/2</f>
        <v>0</v>
      </c>
      <c r="W30" s="33" t="n">
        <f aca="false">(W22+V22)/2</f>
        <v>0</v>
      </c>
      <c r="X30" s="33" t="n">
        <f aca="false">(X22+W22)/2</f>
        <v>0</v>
      </c>
      <c r="Y30" s="33" t="n">
        <f aca="false">(Y22+X22)/2</f>
        <v>5452986.87276452</v>
      </c>
      <c r="Z30" s="33" t="n">
        <f aca="false">(Z22+Y22)/2</f>
        <v>17455286.8166259</v>
      </c>
      <c r="AA30" s="33" t="n">
        <f aca="false">(AA22+Z22)/2</f>
        <v>31649228.2889244</v>
      </c>
      <c r="AB30" s="33" t="n">
        <f aca="false">(AB22+AA22)/2</f>
        <v>48034916.4200415</v>
      </c>
      <c r="AC30" s="33" t="n">
        <f aca="false">(AC22+AB22)/2</f>
        <v>67493487.1154424</v>
      </c>
      <c r="AD30" s="33" t="n">
        <f aca="false">(AD22+AC22)/2</f>
        <v>90367312.1829064</v>
      </c>
      <c r="AE30" s="33" t="n">
        <f aca="false">(AE22+AD22)/2</f>
        <v>116398619.152199</v>
      </c>
      <c r="AF30" s="33" t="n">
        <f aca="false">(AF22+AE22)/2</f>
        <v>145664701.916183</v>
      </c>
      <c r="AG30" s="33" t="n">
        <f aca="false">(AG22+AF22)/2</f>
        <v>177966770.71903</v>
      </c>
      <c r="AH30" s="33" t="n">
        <f aca="false">(AH22+AG22)/2</f>
        <v>213315580.196476</v>
      </c>
      <c r="AI30" s="33" t="n">
        <f aca="false">(AI22+AH22)/2</f>
        <v>252168395.568442</v>
      </c>
      <c r="AJ30" s="33" t="n">
        <f aca="false">(AJ22+AI22)/2</f>
        <v>294621424.620385</v>
      </c>
      <c r="AK30" s="33" t="n">
        <f aca="false">(AK22+AJ22)/2</f>
        <v>326335785.467536</v>
      </c>
      <c r="AL30" s="33" t="n">
        <f aca="false">(AL22+AK22)/2</f>
        <v>345727633.335472</v>
      </c>
      <c r="AM30" s="33" t="n">
        <f aca="false">(AM22+AL22)/2</f>
        <v>365689185.535891</v>
      </c>
      <c r="AN30" s="33" t="n">
        <f aca="false">(AN22+AM22)/2</f>
        <v>386235590.497308</v>
      </c>
      <c r="AO30" s="33" t="n">
        <f aca="false">(AO22+AN22)/2</f>
        <v>408383208.023445</v>
      </c>
      <c r="AP30" s="33" t="n">
        <f aca="false">(AP22+AO22)/2</f>
        <v>432613176.752305</v>
      </c>
      <c r="AQ30" s="33" t="n">
        <f aca="false">(AQ22+AP22)/2</f>
        <v>457440358.258076</v>
      </c>
      <c r="AR30" s="33" t="n">
        <f aca="false">(AR22+AQ22)/2</f>
        <v>482405888.014499</v>
      </c>
      <c r="AS30" s="33" t="n">
        <f aca="false">(AS22+AR22)/2</f>
        <v>508020315.20759</v>
      </c>
      <c r="AT30" s="33" t="n">
        <f aca="false">(AT22+AS22)/2</f>
        <v>534307708.161905</v>
      </c>
      <c r="AU30" s="33" t="n">
        <f aca="false">(AU22+AT22)/2</f>
        <v>560813808.389924</v>
      </c>
      <c r="AV30" s="33" t="n">
        <f aca="false">(AV22+AU22)/2</f>
        <v>588486047.115573</v>
      </c>
      <c r="AW30" s="33" t="n">
        <f aca="false">(AW22+AV22)/2</f>
        <v>617209394.648818</v>
      </c>
      <c r="AX30" s="33" t="n">
        <f aca="false">(AX22+AW22)/2</f>
        <v>646282109.775923</v>
      </c>
      <c r="AY30" s="33" t="n">
        <f aca="false">(AY22+AX22)/2</f>
        <v>675568020.271334</v>
      </c>
      <c r="AZ30" s="33" t="n">
        <f aca="false">(AZ22+AY22)/2</f>
        <v>704596205.854939</v>
      </c>
      <c r="BA30" s="33" t="n">
        <f aca="false">(BA22+AZ22)/2</f>
        <v>735352243.608997</v>
      </c>
      <c r="BB30" s="33" t="n">
        <f aca="false">(BB22+BA22)/2</f>
        <v>767821709.984451</v>
      </c>
      <c r="BC30" s="33" t="n">
        <f aca="false">(BC22+BB22)/2</f>
        <v>800503267.517416</v>
      </c>
      <c r="BD30" s="33" t="n">
        <f aca="false">(BD22+BC22)/2</f>
        <v>833409247.36196</v>
      </c>
      <c r="BE30" s="33" t="n">
        <f aca="false">(BE22+BD22)/2</f>
        <v>866504695.058021</v>
      </c>
      <c r="BF30" s="33" t="n">
        <f aca="false">(BF22+BE22)/2</f>
        <v>900284206.227729</v>
      </c>
      <c r="BG30" s="33" t="n">
        <f aca="false">(BG22+BF22)/2</f>
        <v>934323246.833509</v>
      </c>
      <c r="BH30" s="33" t="n">
        <f aca="false">(BH22+BG22)/2</f>
        <v>968637390.895045</v>
      </c>
      <c r="BI30" s="33" t="n">
        <f aca="false">(BI22+BH22)/2</f>
        <v>1003675115.76001</v>
      </c>
      <c r="BJ30" s="33" t="n">
        <f aca="false">(BJ22+BI22)/2</f>
        <v>1039446729.22476</v>
      </c>
      <c r="BK30" s="33" t="n">
        <f aca="false">(BK22+BJ22)/2</f>
        <v>1075428823.84336</v>
      </c>
      <c r="BL30" s="33" t="n">
        <f aca="false">(BL22+BK22)/2</f>
        <v>1111420707.04429</v>
      </c>
    </row>
    <row r="31" customFormat="false" ht="15" hidden="false" customHeight="true" outlineLevel="0" collapsed="false">
      <c r="A31" s="13" t="s">
        <v>1048</v>
      </c>
      <c r="B31" s="15" t="s">
        <v>77</v>
      </c>
      <c r="E31" s="33" t="n">
        <f aca="false">E23/2</f>
        <v>0</v>
      </c>
      <c r="F31" s="33" t="n">
        <f aca="false">(F23+E23)/2</f>
        <v>0</v>
      </c>
      <c r="G31" s="33" t="n">
        <f aca="false">(G23+F23)/2</f>
        <v>0</v>
      </c>
      <c r="H31" s="33" t="n">
        <f aca="false">(H23+G23)/2</f>
        <v>0</v>
      </c>
      <c r="I31" s="33" t="n">
        <f aca="false">(I23+H23)/2</f>
        <v>0</v>
      </c>
      <c r="J31" s="33" t="n">
        <f aca="false">(J23+I23)/2</f>
        <v>0</v>
      </c>
      <c r="K31" s="33" t="n">
        <f aca="false">(K23+J23)/2</f>
        <v>0</v>
      </c>
      <c r="L31" s="33" t="n">
        <f aca="false">(L23+K23)/2</f>
        <v>0</v>
      </c>
      <c r="M31" s="33" t="n">
        <f aca="false">(M23+L23)/2</f>
        <v>0</v>
      </c>
      <c r="N31" s="33" t="n">
        <f aca="false">(N23+M23)/2</f>
        <v>0</v>
      </c>
      <c r="O31" s="33" t="n">
        <f aca="false">(O23+N23)/2</f>
        <v>0</v>
      </c>
      <c r="P31" s="33" t="n">
        <f aca="false">(P23+O23)/2</f>
        <v>0</v>
      </c>
      <c r="Q31" s="33" t="n">
        <f aca="false">(Q23+P23)/2</f>
        <v>0</v>
      </c>
      <c r="R31" s="33" t="n">
        <f aca="false">(R23+Q23)/2</f>
        <v>0</v>
      </c>
      <c r="S31" s="33" t="n">
        <f aca="false">(S23+R23)/2</f>
        <v>0</v>
      </c>
      <c r="T31" s="33" t="n">
        <f aca="false">(T23+S23)/2</f>
        <v>0</v>
      </c>
      <c r="U31" s="33" t="n">
        <f aca="false">(U23+T23)/2</f>
        <v>0</v>
      </c>
      <c r="V31" s="33" t="n">
        <f aca="false">(V23+U23)/2</f>
        <v>0</v>
      </c>
      <c r="W31" s="33" t="n">
        <f aca="false">(W23+V23)/2</f>
        <v>0</v>
      </c>
      <c r="X31" s="33" t="n">
        <f aca="false">(X23+W23)/2</f>
        <v>0</v>
      </c>
      <c r="Y31" s="33" t="n">
        <f aca="false">(Y23+X23)/2</f>
        <v>0</v>
      </c>
      <c r="Z31" s="33" t="n">
        <f aca="false">(Z23+Y23)/2</f>
        <v>0</v>
      </c>
      <c r="AA31" s="33" t="n">
        <f aca="false">(AA23+Z23)/2</f>
        <v>0</v>
      </c>
      <c r="AB31" s="33" t="n">
        <f aca="false">(AB23+AA23)/2</f>
        <v>0</v>
      </c>
      <c r="AC31" s="33" t="n">
        <f aca="false">(AC23+AB23)/2</f>
        <v>0</v>
      </c>
      <c r="AD31" s="33" t="n">
        <f aca="false">(AD23+AC23)/2</f>
        <v>0</v>
      </c>
      <c r="AE31" s="33" t="n">
        <f aca="false">(AE23+AD23)/2</f>
        <v>15508763.3356562</v>
      </c>
      <c r="AF31" s="33" t="n">
        <f aca="false">(AF23+AE23)/2</f>
        <v>49062053.2966674</v>
      </c>
      <c r="AG31" s="33" t="n">
        <f aca="false">(AG23+AF23)/2</f>
        <v>87685998.1902354</v>
      </c>
      <c r="AH31" s="33" t="n">
        <f aca="false">(AH23+AG23)/2</f>
        <v>131383845.151806</v>
      </c>
      <c r="AI31" s="33" t="n">
        <f aca="false">(AI23+AH23)/2</f>
        <v>180502417.365437</v>
      </c>
      <c r="AJ31" s="33" t="n">
        <f aca="false">(AJ23+AI23)/2</f>
        <v>235192725.806035</v>
      </c>
      <c r="AK31" s="33" t="n">
        <f aca="false">(AK23+AJ23)/2</f>
        <v>295280661.644019</v>
      </c>
      <c r="AL31" s="33" t="n">
        <f aca="false">(AL23+AK23)/2</f>
        <v>360807641.062785</v>
      </c>
      <c r="AM31" s="33" t="n">
        <f aca="false">(AM23+AL23)/2</f>
        <v>432427928.822121</v>
      </c>
      <c r="AN31" s="33" t="n">
        <f aca="false">(AN23+AM23)/2</f>
        <v>510331708.575131</v>
      </c>
      <c r="AO31" s="33" t="n">
        <f aca="false">(AO23+AN23)/2</f>
        <v>596381569.582323</v>
      </c>
      <c r="AP31" s="33" t="n">
        <f aca="false">(AP23+AO23)/2</f>
        <v>691839291.704081</v>
      </c>
      <c r="AQ31" s="33" t="n">
        <f aca="false">(AQ23+AP23)/2</f>
        <v>762400597.096794</v>
      </c>
      <c r="AR31" s="33" t="n">
        <f aca="false">(AR23+AQ23)/2</f>
        <v>804009813.357499</v>
      </c>
      <c r="AS31" s="33" t="n">
        <f aca="false">(AS23+AR23)/2</f>
        <v>846700525.345983</v>
      </c>
      <c r="AT31" s="33" t="n">
        <f aca="false">(AT23+AS23)/2</f>
        <v>890512846.936509</v>
      </c>
      <c r="AU31" s="33" t="n">
        <f aca="false">(AU23+AT23)/2</f>
        <v>934689680.649873</v>
      </c>
      <c r="AV31" s="33" t="n">
        <f aca="false">(AV23+AU23)/2</f>
        <v>980810078.525955</v>
      </c>
      <c r="AW31" s="33" t="n">
        <f aca="false">(AW23+AV23)/2</f>
        <v>1028682324.4147</v>
      </c>
      <c r="AX31" s="33" t="n">
        <f aca="false">(AX23+AW23)/2</f>
        <v>1077136849.62654</v>
      </c>
      <c r="AY31" s="33" t="n">
        <f aca="false">(AY23+AX23)/2</f>
        <v>1125946700.45222</v>
      </c>
      <c r="AZ31" s="33" t="n">
        <f aca="false">(AZ23+AY23)/2</f>
        <v>1174327009.75823</v>
      </c>
      <c r="BA31" s="33" t="n">
        <f aca="false">(BA23+AZ23)/2</f>
        <v>1225587072.68166</v>
      </c>
      <c r="BB31" s="33" t="n">
        <f aca="false">(BB23+BA23)/2</f>
        <v>1279702849.97408</v>
      </c>
      <c r="BC31" s="33" t="n">
        <f aca="false">(BC23+BB23)/2</f>
        <v>1334172112.52903</v>
      </c>
      <c r="BD31" s="33" t="n">
        <f aca="false">(BD23+BC23)/2</f>
        <v>1389015412.26993</v>
      </c>
      <c r="BE31" s="33" t="n">
        <f aca="false">(BE23+BD23)/2</f>
        <v>1444174491.76337</v>
      </c>
      <c r="BF31" s="33" t="n">
        <f aca="false">(BF23+BE23)/2</f>
        <v>1500473677.04622</v>
      </c>
      <c r="BG31" s="33" t="n">
        <f aca="false">(BG23+BF23)/2</f>
        <v>1557205411.38918</v>
      </c>
      <c r="BH31" s="33" t="n">
        <f aca="false">(BH23+BG23)/2</f>
        <v>1614395651.49174</v>
      </c>
      <c r="BI31" s="33" t="n">
        <f aca="false">(BI23+BH23)/2</f>
        <v>1672791859.60002</v>
      </c>
      <c r="BJ31" s="33" t="n">
        <f aca="false">(BJ23+BI23)/2</f>
        <v>1732411215.3746</v>
      </c>
      <c r="BK31" s="33" t="n">
        <f aca="false">(BK23+BJ23)/2</f>
        <v>1792381373.07226</v>
      </c>
      <c r="BL31" s="33" t="n">
        <f aca="false">(BL23+BK23)/2</f>
        <v>1852367845.07382</v>
      </c>
    </row>
    <row r="32" customFormat="false" ht="15" hidden="false" customHeight="true" outlineLevel="0" collapsed="false">
      <c r="A32" s="13" t="s">
        <v>1049</v>
      </c>
      <c r="B32" s="15" t="s">
        <v>77</v>
      </c>
      <c r="E32" s="33" t="n">
        <f aca="false">E24/2</f>
        <v>0</v>
      </c>
      <c r="F32" s="33" t="n">
        <f aca="false">(F24+E24)/2</f>
        <v>0</v>
      </c>
      <c r="G32" s="33" t="n">
        <f aca="false">(G24+F24)/2</f>
        <v>0</v>
      </c>
      <c r="H32" s="33" t="n">
        <f aca="false">(H24+G24)/2</f>
        <v>0</v>
      </c>
      <c r="I32" s="33" t="n">
        <f aca="false">(I24+H24)/2</f>
        <v>0</v>
      </c>
      <c r="J32" s="33" t="n">
        <f aca="false">(J24+I24)/2</f>
        <v>0</v>
      </c>
      <c r="K32" s="33" t="n">
        <f aca="false">(K24+J24)/2</f>
        <v>0</v>
      </c>
      <c r="L32" s="33" t="n">
        <f aca="false">(L24+K24)/2</f>
        <v>0</v>
      </c>
      <c r="M32" s="33" t="n">
        <f aca="false">(M24+L24)/2</f>
        <v>0</v>
      </c>
      <c r="N32" s="33" t="n">
        <f aca="false">(N24+M24)/2</f>
        <v>0</v>
      </c>
      <c r="O32" s="33" t="n">
        <f aca="false">(O24+N24)/2</f>
        <v>0</v>
      </c>
      <c r="P32" s="33" t="n">
        <f aca="false">(P24+O24)/2</f>
        <v>0</v>
      </c>
      <c r="Q32" s="33" t="n">
        <f aca="false">(Q24+P24)/2</f>
        <v>0</v>
      </c>
      <c r="R32" s="33" t="n">
        <f aca="false">(R24+Q24)/2</f>
        <v>0</v>
      </c>
      <c r="S32" s="33" t="n">
        <f aca="false">(S24+R24)/2</f>
        <v>0</v>
      </c>
      <c r="T32" s="33" t="n">
        <f aca="false">(T24+S24)/2</f>
        <v>0</v>
      </c>
      <c r="U32" s="33" t="n">
        <f aca="false">(U24+T24)/2</f>
        <v>0</v>
      </c>
      <c r="V32" s="33" t="n">
        <f aca="false">(V24+U24)/2</f>
        <v>0</v>
      </c>
      <c r="W32" s="33" t="n">
        <f aca="false">(W24+V24)/2</f>
        <v>0</v>
      </c>
      <c r="X32" s="33" t="n">
        <f aca="false">(X24+W24)/2</f>
        <v>0</v>
      </c>
      <c r="Y32" s="33" t="n">
        <f aca="false">(Y24+X24)/2</f>
        <v>0</v>
      </c>
      <c r="Z32" s="33" t="n">
        <f aca="false">(Z24+Y24)/2</f>
        <v>0</v>
      </c>
      <c r="AA32" s="33" t="n">
        <f aca="false">(AA24+Z24)/2</f>
        <v>0</v>
      </c>
      <c r="AB32" s="33" t="n">
        <f aca="false">(AB24+AA24)/2</f>
        <v>0</v>
      </c>
      <c r="AC32" s="33" t="n">
        <f aca="false">(AC24+AB24)/2</f>
        <v>0</v>
      </c>
      <c r="AD32" s="33" t="n">
        <f aca="false">(AD24+AC24)/2</f>
        <v>0</v>
      </c>
      <c r="AE32" s="33" t="n">
        <f aca="false">(AE24+AD24)/2</f>
        <v>0</v>
      </c>
      <c r="AF32" s="33" t="n">
        <f aca="false">(AF24+AE24)/2</f>
        <v>0</v>
      </c>
      <c r="AG32" s="33" t="n">
        <f aca="false">(AG24+AF24)/2</f>
        <v>0</v>
      </c>
      <c r="AH32" s="33" t="n">
        <f aca="false">(AH24+AG24)/2</f>
        <v>2279300.83895064</v>
      </c>
      <c r="AI32" s="33" t="n">
        <f aca="false">(AI24+AH24)/2</f>
        <v>7161081.16228505</v>
      </c>
      <c r="AJ32" s="33" t="n">
        <f aca="false">(AJ24+AI24)/2</f>
        <v>12692253.7567119</v>
      </c>
      <c r="AK32" s="33" t="n">
        <f aca="false">(AK24+AJ24)/2</f>
        <v>18879508.5297175</v>
      </c>
      <c r="AL32" s="33" t="n">
        <f aca="false">(AL24+AK24)/2</f>
        <v>25730815.8721677</v>
      </c>
      <c r="AM32" s="33" t="n">
        <f aca="false">(AM24+AL24)/2</f>
        <v>33300510.8612487</v>
      </c>
      <c r="AN32" s="33" t="n">
        <f aca="false">(AN24+AM24)/2</f>
        <v>41613814.9718386</v>
      </c>
      <c r="AO32" s="33" t="n">
        <f aca="false">(AO24+AN24)/2</f>
        <v>50837266.3553194</v>
      </c>
      <c r="AP32" s="33" t="n">
        <f aca="false">(AP24+AO24)/2</f>
        <v>61095892.1435261</v>
      </c>
      <c r="AQ32" s="33" t="n">
        <f aca="false">(AQ24+AP24)/2</f>
        <v>72277463.0867166</v>
      </c>
      <c r="AR32" s="33" t="n">
        <f aca="false">(AR24+AQ24)/2</f>
        <v>84344210.1987207</v>
      </c>
      <c r="AS32" s="33" t="n">
        <f aca="false">(AS24+AR24)/2</f>
        <v>97403497.274441</v>
      </c>
      <c r="AT32" s="33" t="n">
        <f aca="false">(AT24+AS24)/2</f>
        <v>106920688.776096</v>
      </c>
      <c r="AU32" s="33" t="n">
        <f aca="false">(AU24+AT24)/2</f>
        <v>112383384.640788</v>
      </c>
      <c r="AV32" s="33" t="n">
        <f aca="false">(AV24+AU24)/2</f>
        <v>118087433.730788</v>
      </c>
      <c r="AW32" s="33" t="n">
        <f aca="false">(AW24+AV24)/2</f>
        <v>124012257.103844</v>
      </c>
      <c r="AX32" s="33" t="n">
        <f aca="false">(AX24+AW24)/2</f>
        <v>130027134.291839</v>
      </c>
      <c r="AY32" s="33" t="n">
        <f aca="false">(AY24+AX24)/2</f>
        <v>136106634.018325</v>
      </c>
      <c r="AZ32" s="33" t="n">
        <f aca="false">(AZ24+AY24)/2</f>
        <v>142162414.148811</v>
      </c>
      <c r="BA32" s="33" t="n">
        <f aca="false">(BA24+AZ24)/2</f>
        <v>148566226.1688</v>
      </c>
      <c r="BB32" s="33" t="n">
        <f aca="false">(BB24+BA24)/2</f>
        <v>155316937.441446</v>
      </c>
      <c r="BC32" s="33" t="n">
        <f aca="false">(BC24+BB24)/2</f>
        <v>162134586.2146</v>
      </c>
      <c r="BD32" s="33" t="n">
        <f aca="false">(BD24+BC24)/2</f>
        <v>169021411.382826</v>
      </c>
      <c r="BE32" s="33" t="n">
        <f aca="false">(BE24+BD24)/2</f>
        <v>175970799.946878</v>
      </c>
      <c r="BF32" s="33" t="n">
        <f aca="false">(BF24+BE24)/2</f>
        <v>183075393.303185</v>
      </c>
      <c r="BG32" s="33" t="n">
        <f aca="false">(BG24+BF24)/2</f>
        <v>190256022.842371</v>
      </c>
      <c r="BH32" s="33" t="n">
        <f aca="false">(BH24+BG24)/2</f>
        <v>197515584.530945</v>
      </c>
      <c r="BI32" s="33" t="n">
        <f aca="false">(BI24+BH24)/2</f>
        <v>204938160.754654</v>
      </c>
      <c r="BJ32" s="33" t="n">
        <f aca="false">(BJ24+BI24)/2</f>
        <v>212526153.91907</v>
      </c>
      <c r="BK32" s="33" t="n">
        <f aca="false">(BK24+BJ24)/2</f>
        <v>220181900.724465</v>
      </c>
      <c r="BL32" s="33" t="n">
        <f aca="false">(BL24+BK24)/2</f>
        <v>227867685.676725</v>
      </c>
    </row>
    <row r="33" customFormat="false" ht="15" hidden="false" customHeight="true" outlineLevel="0" collapsed="false">
      <c r="A33" s="9" t="s">
        <v>1270</v>
      </c>
      <c r="B33" s="15" t="s">
        <v>77</v>
      </c>
      <c r="E33" s="17" t="n">
        <f aca="false">SUM(E28:E32)</f>
        <v>0</v>
      </c>
      <c r="F33" s="17" t="n">
        <f aca="false">SUM(F28:F32)</f>
        <v>0</v>
      </c>
      <c r="G33" s="17" t="n">
        <f aca="false">SUM(G28:G32)</f>
        <v>0</v>
      </c>
      <c r="H33" s="17" t="n">
        <f aca="false">SUM(H28:H32)</f>
        <v>0</v>
      </c>
      <c r="I33" s="17" t="n">
        <f aca="false">SUM(I28:I32)</f>
        <v>0</v>
      </c>
      <c r="J33" s="17" t="n">
        <f aca="false">SUM(J28:J32)</f>
        <v>0</v>
      </c>
      <c r="K33" s="17" t="n">
        <f aca="false">SUM(K28:K32)</f>
        <v>0</v>
      </c>
      <c r="L33" s="17" t="n">
        <f aca="false">SUM(L28:L32)</f>
        <v>0</v>
      </c>
      <c r="M33" s="17" t="n">
        <f aca="false">SUM(M28:M32)</f>
        <v>0</v>
      </c>
      <c r="N33" s="17" t="n">
        <f aca="false">SUM(N28:N32)</f>
        <v>0</v>
      </c>
      <c r="O33" s="17" t="n">
        <f aca="false">SUM(O28:O32)</f>
        <v>0</v>
      </c>
      <c r="P33" s="17" t="n">
        <f aca="false">SUM(P28:P32)</f>
        <v>0</v>
      </c>
      <c r="Q33" s="17" t="n">
        <f aca="false">SUM(Q28:Q32)</f>
        <v>0</v>
      </c>
      <c r="R33" s="17" t="n">
        <f aca="false">SUM(R28:R32)</f>
        <v>0</v>
      </c>
      <c r="S33" s="17" t="n">
        <f aca="false">SUM(S28:S32)</f>
        <v>0</v>
      </c>
      <c r="T33" s="17" t="n">
        <f aca="false">SUM(T28:T32)</f>
        <v>0</v>
      </c>
      <c r="U33" s="17" t="n">
        <f aca="false">SUM(U28:U32)</f>
        <v>0</v>
      </c>
      <c r="V33" s="17" t="n">
        <f aca="false">SUM(V28:V32)</f>
        <v>15857577.2619488</v>
      </c>
      <c r="W33" s="17" t="n">
        <f aca="false">SUM(W28:W32)</f>
        <v>51744334.1357599</v>
      </c>
      <c r="X33" s="17" t="n">
        <f aca="false">SUM(X28:X32)</f>
        <v>95960459.8152183</v>
      </c>
      <c r="Y33" s="17" t="n">
        <f aca="false">SUM(Y28:Y32)</f>
        <v>154592142.069326</v>
      </c>
      <c r="Z33" s="17" t="n">
        <f aca="false">SUM(Z28:Z32)</f>
        <v>229044217.665365</v>
      </c>
      <c r="AA33" s="17" t="n">
        <f aca="false">SUM(AA28:AA32)</f>
        <v>314622621.700524</v>
      </c>
      <c r="AB33" s="17" t="n">
        <f aca="false">SUM(AB28:AB32)</f>
        <v>411340662.690507</v>
      </c>
      <c r="AC33" s="17" t="n">
        <f aca="false">SUM(AC28:AC32)</f>
        <v>525838578.96559</v>
      </c>
      <c r="AD33" s="17" t="n">
        <f aca="false">SUM(AD28:AD32)</f>
        <v>659835178.078064</v>
      </c>
      <c r="AE33" s="17" t="n">
        <f aca="false">SUM(AE28:AE32)</f>
        <v>825850689.708893</v>
      </c>
      <c r="AF33" s="17" t="n">
        <f aca="false">SUM(AF28:AF32)</f>
        <v>1026822039.16105</v>
      </c>
      <c r="AG33" s="17" t="n">
        <f aca="false">SUM(AG28:AG32)</f>
        <v>1248283891.78029</v>
      </c>
      <c r="AH33" s="17" t="n">
        <f aca="false">SUM(AH28:AH32)</f>
        <v>1445275123.21461</v>
      </c>
      <c r="AI33" s="17" t="n">
        <f aca="false">SUM(AI28:AI32)</f>
        <v>1614745279.48113</v>
      </c>
      <c r="AJ33" s="17" t="n">
        <f aca="false">SUM(AJ28:AJ32)</f>
        <v>1796137015.4667</v>
      </c>
      <c r="AK33" s="17" t="n">
        <f aca="false">SUM(AK28:AK32)</f>
        <v>1973033746.30038</v>
      </c>
      <c r="AL33" s="17" t="n">
        <f aca="false">SUM(AL28:AL32)</f>
        <v>2143987259.7236</v>
      </c>
      <c r="AM33" s="17" t="n">
        <f aca="false">SUM(AM28:AM32)</f>
        <v>2324648466.15748</v>
      </c>
      <c r="AN33" s="17" t="n">
        <f aca="false">SUM(AN28:AN32)</f>
        <v>2515309775.24162</v>
      </c>
      <c r="AO33" s="17" t="n">
        <f aca="false">SUM(AO28:AO32)</f>
        <v>2723166810.05682</v>
      </c>
      <c r="AP33" s="17" t="n">
        <f aca="false">SUM(AP28:AP32)</f>
        <v>2952052165.67182</v>
      </c>
      <c r="AQ33" s="17" t="n">
        <f aca="false">SUM(AQ28:AQ32)</f>
        <v>3159999881.32873</v>
      </c>
      <c r="AR33" s="17" t="n">
        <f aca="false">SUM(AR28:AR32)</f>
        <v>3340583954.29659</v>
      </c>
      <c r="AS33" s="17" t="n">
        <f aca="false">SUM(AS28:AS32)</f>
        <v>3526540624.92567</v>
      </c>
      <c r="AT33" s="17" t="n">
        <f aca="false">SUM(AT28:AT32)</f>
        <v>3713497718.86896</v>
      </c>
      <c r="AU33" s="17" t="n">
        <f aca="false">SUM(AU28:AU32)</f>
        <v>3897876591.27277</v>
      </c>
      <c r="AV33" s="17" t="n">
        <f aca="false">SUM(AV28:AV32)</f>
        <v>4090368251.7609</v>
      </c>
      <c r="AW33" s="17" t="n">
        <f aca="false">SUM(AW28:AW32)</f>
        <v>4290175670.98336</v>
      </c>
      <c r="AX33" s="17" t="n">
        <f aca="false">SUM(AX28:AX32)</f>
        <v>4492431375.27932</v>
      </c>
      <c r="AY33" s="17" t="n">
        <f aca="false">SUM(AY28:AY32)</f>
        <v>4696190770.84983</v>
      </c>
      <c r="AZ33" s="17" t="n">
        <f aca="false">SUM(AZ28:AZ32)</f>
        <v>4898186803.66965</v>
      </c>
      <c r="BA33" s="17" t="n">
        <f aca="false">SUM(BA28:BA32)</f>
        <v>5112193870.52953</v>
      </c>
      <c r="BB33" s="17" t="n">
        <f aca="false">SUM(BB28:BB32)</f>
        <v>5338113479.83649</v>
      </c>
      <c r="BC33" s="17" t="n">
        <f aca="false">SUM(BC28:BC32)</f>
        <v>5565531641.95716</v>
      </c>
      <c r="BD33" s="17" t="n">
        <f aca="false">SUM(BD28:BD32)</f>
        <v>5794533831.07606</v>
      </c>
      <c r="BE33" s="17" t="n">
        <f aca="false">SUM(BE28:BE32)</f>
        <v>6024877491.58852</v>
      </c>
      <c r="BF33" s="17" t="n">
        <f aca="false">SUM(BF28:BF32)</f>
        <v>6259993785.34036</v>
      </c>
      <c r="BG33" s="17" t="n">
        <f aca="false">SUM(BG28:BG32)</f>
        <v>6496937938.96856</v>
      </c>
      <c r="BH33" s="17" t="n">
        <f aca="false">SUM(BH28:BH32)</f>
        <v>6735817973.0725</v>
      </c>
      <c r="BI33" s="17" t="n">
        <f aca="false">SUM(BI28:BI32)</f>
        <v>6979745192.13475</v>
      </c>
      <c r="BJ33" s="17" t="n">
        <f aca="false">SUM(BJ28:BJ32)</f>
        <v>7228791576.18619</v>
      </c>
      <c r="BK33" s="17" t="n">
        <f aca="false">SUM(BK28:BK32)</f>
        <v>7479326461.66712</v>
      </c>
      <c r="BL33" s="17" t="n">
        <f aca="false">SUM(BL28:BL32)</f>
        <v>7729957458.2257</v>
      </c>
    </row>
    <row r="35" customFormat="false" ht="15" hidden="false" customHeight="true" outlineLevel="0" collapsed="false">
      <c r="A35" s="11" t="s">
        <v>1271</v>
      </c>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row>
    <row r="36" customFormat="false" ht="15" hidden="false" customHeight="true" outlineLevel="0" collapsed="false">
      <c r="A36" s="13" t="s">
        <v>1272</v>
      </c>
      <c r="B36" s="15" t="s">
        <v>77</v>
      </c>
      <c r="D36" s="56" t="n">
        <f aca="false">SUM(E36:BL36)</f>
        <v>2693407973.91237</v>
      </c>
      <c r="E36" s="33" t="n">
        <f aca="false">E28*Yield_Factoring/12+E29*Yield_Bridge/12+E30*Yield_Line/12+E31*Yield_Term/12+E32*Yield_Advance/12</f>
        <v>0</v>
      </c>
      <c r="F36" s="33" t="n">
        <f aca="false">F28*Yield_Factoring/12+F29*Yield_Bridge/12+F30*Yield_Line/12+F31*Yield_Term/12+F32*Yield_Advance/12</f>
        <v>0</v>
      </c>
      <c r="G36" s="33" t="n">
        <f aca="false">G28*Yield_Factoring/12+G29*Yield_Bridge/12+G30*Yield_Line/12+G31*Yield_Term/12+G32*Yield_Advance/12</f>
        <v>0</v>
      </c>
      <c r="H36" s="33" t="n">
        <f aca="false">H28*Yield_Factoring/12+H29*Yield_Bridge/12+H30*Yield_Line/12+H31*Yield_Term/12+H32*Yield_Advance/12</f>
        <v>0</v>
      </c>
      <c r="I36" s="33" t="n">
        <f aca="false">I28*Yield_Factoring/12+I29*Yield_Bridge/12+I30*Yield_Line/12+I31*Yield_Term/12+I32*Yield_Advance/12</f>
        <v>0</v>
      </c>
      <c r="J36" s="33" t="n">
        <f aca="false">J28*Yield_Factoring/12+J29*Yield_Bridge/12+J30*Yield_Line/12+J31*Yield_Term/12+J32*Yield_Advance/12</f>
        <v>0</v>
      </c>
      <c r="K36" s="33" t="n">
        <f aca="false">K28*Yield_Factoring/12+K29*Yield_Bridge/12+K30*Yield_Line/12+K31*Yield_Term/12+K32*Yield_Advance/12</f>
        <v>0</v>
      </c>
      <c r="L36" s="33" t="n">
        <f aca="false">L28*Yield_Factoring/12+L29*Yield_Bridge/12+L30*Yield_Line/12+L31*Yield_Term/12+L32*Yield_Advance/12</f>
        <v>0</v>
      </c>
      <c r="M36" s="33" t="n">
        <f aca="false">M28*Yield_Factoring/12+M29*Yield_Bridge/12+M30*Yield_Line/12+M31*Yield_Term/12+M32*Yield_Advance/12</f>
        <v>0</v>
      </c>
      <c r="N36" s="33" t="n">
        <f aca="false">N28*Yield_Factoring/12+N29*Yield_Bridge/12+N30*Yield_Line/12+N31*Yield_Term/12+N32*Yield_Advance/12</f>
        <v>0</v>
      </c>
      <c r="O36" s="33" t="n">
        <f aca="false">O28*Yield_Factoring/12+O29*Yield_Bridge/12+O30*Yield_Line/12+O31*Yield_Term/12+O32*Yield_Advance/12</f>
        <v>0</v>
      </c>
      <c r="P36" s="33" t="n">
        <f aca="false">P28*Yield_Factoring/12+P29*Yield_Bridge/12+P30*Yield_Line/12+P31*Yield_Term/12+P32*Yield_Advance/12</f>
        <v>0</v>
      </c>
      <c r="Q36" s="33" t="n">
        <f aca="false">Q28*Yield_Factoring/12+Q29*Yield_Bridge/12+Q30*Yield_Line/12+Q31*Yield_Term/12+Q32*Yield_Advance/12</f>
        <v>0</v>
      </c>
      <c r="R36" s="33" t="n">
        <f aca="false">R28*Yield_Factoring/12+R29*Yield_Bridge/12+R30*Yield_Line/12+R31*Yield_Term/12+R32*Yield_Advance/12</f>
        <v>0</v>
      </c>
      <c r="S36" s="33" t="n">
        <f aca="false">S28*Yield_Factoring/12+S29*Yield_Bridge/12+S30*Yield_Line/12+S31*Yield_Term/12+S32*Yield_Advance/12</f>
        <v>0</v>
      </c>
      <c r="T36" s="33" t="n">
        <f aca="false">T28*Yield_Factoring/12+T29*Yield_Bridge/12+T30*Yield_Line/12+T31*Yield_Term/12+T32*Yield_Advance/12</f>
        <v>0</v>
      </c>
      <c r="U36" s="33" t="n">
        <f aca="false">U28*Yield_Factoring/12+U29*Yield_Bridge/12+U30*Yield_Line/12+U31*Yield_Term/12+U32*Yield_Advance/12</f>
        <v>0</v>
      </c>
      <c r="V36" s="33" t="n">
        <f aca="false">V28*Yield_Factoring/12+V29*Yield_Bridge/12+V30*Yield_Line/12+V31*Yield_Term/12+V32*Yield_Advance/12</f>
        <v>303936.897520686</v>
      </c>
      <c r="W36" s="33" t="n">
        <f aca="false">W28*Yield_Factoring/12+W29*Yield_Bridge/12+W30*Yield_Line/12+W31*Yield_Term/12+W32*Yield_Advance/12</f>
        <v>991766.404268731</v>
      </c>
      <c r="X36" s="33" t="n">
        <f aca="false">X28*Yield_Factoring/12+X29*Yield_Bridge/12+X30*Yield_Line/12+X31*Yield_Term/12+X32*Yield_Advance/12</f>
        <v>1839242.14645835</v>
      </c>
      <c r="Y36" s="33" t="n">
        <f aca="false">Y28*Yield_Factoring/12+Y29*Yield_Bridge/12+Y30*Yield_Line/12+Y31*Yield_Term/12+Y32*Yield_Advance/12</f>
        <v>2963016.05632874</v>
      </c>
      <c r="Z36" s="33" t="n">
        <f aca="false">Z28*Yield_Factoring/12+Z29*Yield_Bridge/12+Z30*Yield_Line/12+Z31*Yield_Term/12+Z32*Yield_Advance/12</f>
        <v>4390014.17191949</v>
      </c>
      <c r="AA36" s="33" t="n">
        <f aca="false">AA28*Yield_Factoring/12+AA29*Yield_Bridge/12+AA30*Yield_Line/12+AA31*Yield_Term/12+AA32*Yield_Advance/12</f>
        <v>6030266.9159267</v>
      </c>
      <c r="AB36" s="33" t="n">
        <f aca="false">AB28*Yield_Factoring/12+AB29*Yield_Bridge/12+AB30*Yield_Line/12+AB31*Yield_Term/12+AB32*Yield_Advance/12</f>
        <v>7884029.36823471</v>
      </c>
      <c r="AC36" s="33" t="n">
        <f aca="false">AC28*Yield_Factoring/12+AC29*Yield_Bridge/12+AC30*Yield_Line/12+AC31*Yield_Term/12+AC32*Yield_Advance/12</f>
        <v>10078572.7635071</v>
      </c>
      <c r="AD36" s="33" t="n">
        <f aca="false">AD28*Yield_Factoring/12+AD29*Yield_Bridge/12+AD30*Yield_Line/12+AD31*Yield_Term/12+AD32*Yield_Advance/12</f>
        <v>12646840.9131629</v>
      </c>
      <c r="AE36" s="33" t="n">
        <f aca="false">AE28*Yield_Factoring/12+AE29*Yield_Bridge/12+AE30*Yield_Line/12+AE31*Yield_Term/12+AE32*Yield_Advance/12</f>
        <v>15815880.9166407</v>
      </c>
      <c r="AF36" s="33" t="n">
        <f aca="false">AF28*Yield_Factoring/12+AF29*Yield_Bridge/12+AF30*Yield_Line/12+AF31*Yield_Term/12+AF32*Yield_Advance/12</f>
        <v>19639870.706173</v>
      </c>
      <c r="AG36" s="33" t="n">
        <f aca="false">AG28*Yield_Factoring/12+AG29*Yield_Bridge/12+AG30*Yield_Line/12+AG31*Yield_Term/12+AG32*Yield_Advance/12</f>
        <v>23852369.5939637</v>
      </c>
      <c r="AH36" s="33" t="n">
        <f aca="false">AH28*Yield_Factoring/12+AH29*Yield_Bridge/12+AH30*Yield_Line/12+AH31*Yield_Term/12+AH32*Yield_Advance/12</f>
        <v>27591619.9906534</v>
      </c>
      <c r="AI36" s="33" t="n">
        <f aca="false">AI28*Yield_Factoring/12+AI29*Yield_Bridge/12+AI30*Yield_Line/12+AI31*Yield_Term/12+AI32*Yield_Advance/12</f>
        <v>30798865.8422504</v>
      </c>
      <c r="AJ36" s="33" t="n">
        <f aca="false">AJ28*Yield_Factoring/12+AJ29*Yield_Bridge/12+AJ30*Yield_Line/12+AJ31*Yield_Term/12+AJ32*Yield_Advance/12</f>
        <v>34229965.5249401</v>
      </c>
      <c r="AK36" s="33" t="n">
        <f aca="false">AK28*Yield_Factoring/12+AK29*Yield_Bridge/12+AK30*Yield_Line/12+AK31*Yield_Term/12+AK32*Yield_Advance/12</f>
        <v>37570412.9193872</v>
      </c>
      <c r="AL36" s="33" t="n">
        <f aca="false">AL28*Yield_Factoring/12+AL29*Yield_Bridge/12+AL30*Yield_Line/12+AL31*Yield_Term/12+AL32*Yield_Advance/12</f>
        <v>40792416.1104833</v>
      </c>
      <c r="AM36" s="33" t="n">
        <f aca="false">AM28*Yield_Factoring/12+AM29*Yield_Bridge/12+AM30*Yield_Line/12+AM31*Yield_Term/12+AM32*Yield_Advance/12</f>
        <v>44195405.6606666</v>
      </c>
      <c r="AN36" s="33" t="n">
        <f aca="false">AN28*Yield_Factoring/12+AN29*Yield_Bridge/12+AN30*Yield_Line/12+AN31*Yield_Term/12+AN32*Yield_Advance/12</f>
        <v>47784827.6016518</v>
      </c>
      <c r="AO36" s="33" t="n">
        <f aca="false">AO28*Yield_Factoring/12+AO29*Yield_Bridge/12+AO30*Yield_Line/12+AO31*Yield_Term/12+AO32*Yield_Advance/12</f>
        <v>51697045.8847704</v>
      </c>
      <c r="AP36" s="33" t="n">
        <f aca="false">AP28*Yield_Factoring/12+AP29*Yield_Bridge/12+AP30*Yield_Line/12+AP31*Yield_Term/12+AP32*Yield_Advance/12</f>
        <v>56004467.0989566</v>
      </c>
      <c r="AQ36" s="33" t="n">
        <f aca="false">AQ28*Yield_Factoring/12+AQ29*Yield_Bridge/12+AQ30*Yield_Line/12+AQ31*Yield_Term/12+AQ32*Yield_Advance/12</f>
        <v>59931330.56122</v>
      </c>
      <c r="AR36" s="33" t="n">
        <f aca="false">AR28*Yield_Factoring/12+AR29*Yield_Bridge/12+AR30*Yield_Line/12+AR31*Yield_Term/12+AR32*Yield_Advance/12</f>
        <v>63357850.9462201</v>
      </c>
      <c r="AS36" s="33" t="n">
        <f aca="false">AS28*Yield_Factoring/12+AS29*Yield_Bridge/12+AS30*Yield_Line/12+AS31*Yield_Term/12+AS32*Yield_Advance/12</f>
        <v>66886444.8732871</v>
      </c>
      <c r="AT36" s="33" t="n">
        <f aca="false">AT28*Yield_Factoring/12+AT29*Yield_Bridge/12+AT30*Yield_Line/12+AT31*Yield_Term/12+AT32*Yield_Advance/12</f>
        <v>70433278.9058746</v>
      </c>
      <c r="AU36" s="33" t="n">
        <f aca="false">AU28*Yield_Factoring/12+AU29*Yield_Bridge/12+AU30*Yield_Line/12+AU31*Yield_Term/12+AU32*Yield_Advance/12</f>
        <v>73930393.26552</v>
      </c>
      <c r="AV36" s="33" t="n">
        <f aca="false">AV28*Yield_Factoring/12+AV29*Yield_Bridge/12+AV30*Yield_Line/12+AV31*Yield_Term/12+AV32*Yield_Advance/12</f>
        <v>77581383.0933124</v>
      </c>
      <c r="AW36" s="33" t="n">
        <f aca="false">AW28*Yield_Factoring/12+AW29*Yield_Bridge/12+AW30*Yield_Line/12+AW31*Yield_Term/12+AW32*Yield_Advance/12</f>
        <v>81371131.7568355</v>
      </c>
      <c r="AX36" s="33" t="n">
        <f aca="false">AX28*Yield_Factoring/12+AX29*Yield_Bridge/12+AX30*Yield_Line/12+AX31*Yield_Term/12+AX32*Yield_Advance/12</f>
        <v>85207320.6514981</v>
      </c>
      <c r="AY36" s="33" t="n">
        <f aca="false">AY28*Yield_Factoring/12+AY29*Yield_Bridge/12+AY30*Yield_Line/12+AY31*Yield_Term/12+AY32*Yield_Advance/12</f>
        <v>89072034.1909116</v>
      </c>
      <c r="AZ36" s="33" t="n">
        <f aca="false">AZ28*Yield_Factoring/12+AZ29*Yield_Bridge/12+AZ30*Yield_Line/12+AZ31*Yield_Term/12+AZ32*Yield_Advance/12</f>
        <v>92903307.8955365</v>
      </c>
      <c r="BA36" s="33" t="n">
        <f aca="false">BA28*Yield_Factoring/12+BA29*Yield_Bridge/12+BA30*Yield_Line/12+BA31*Yield_Term/12+BA32*Yield_Advance/12</f>
        <v>96962393.2912479</v>
      </c>
      <c r="BB36" s="33" t="n">
        <f aca="false">BB28*Yield_Factoring/12+BB29*Yield_Bridge/12+BB30*Yield_Line/12+BB31*Yield_Term/12+BB32*Yield_Advance/12</f>
        <v>101247422.655221</v>
      </c>
      <c r="BC36" s="33" t="n">
        <f aca="false">BC28*Yield_Factoring/12+BC29*Yield_Bridge/12+BC30*Yield_Line/12+BC31*Yield_Term/12+BC32*Yield_Advance/12</f>
        <v>105560879.710405</v>
      </c>
      <c r="BD36" s="33" t="n">
        <f aca="false">BD28*Yield_Factoring/12+BD29*Yield_Bridge/12+BD30*Yield_Line/12+BD31*Yield_Term/12+BD32*Yield_Advance/12</f>
        <v>109904385.5854</v>
      </c>
      <c r="BE36" s="33" t="n">
        <f aca="false">BE28*Yield_Factoring/12+BE29*Yield_Bridge/12+BE30*Yield_Line/12+BE31*Yield_Term/12+BE32*Yield_Advance/12</f>
        <v>114273339.845644</v>
      </c>
      <c r="BF36" s="33" t="n">
        <f aca="false">BF28*Yield_Factoring/12+BF29*Yield_Bridge/12+BF30*Yield_Line/12+BF31*Yield_Term/12+BF32*Yield_Advance/12</f>
        <v>118732819.488152</v>
      </c>
      <c r="BG36" s="33" t="n">
        <f aca="false">BG28*Yield_Factoring/12+BG29*Yield_Bridge/12+BG30*Yield_Line/12+BG31*Yield_Term/12+BG32*Yield_Advance/12</f>
        <v>123226972.654073</v>
      </c>
      <c r="BH36" s="33" t="n">
        <f aca="false">BH28*Yield_Factoring/12+BH29*Yield_Bridge/12+BH30*Yield_Line/12+BH31*Yield_Term/12+BH32*Yield_Advance/12</f>
        <v>127757848.107646</v>
      </c>
      <c r="BI36" s="33" t="n">
        <f aca="false">BI28*Yield_Factoring/12+BI29*Yield_Bridge/12+BI30*Yield_Line/12+BI31*Yield_Term/12+BI32*Yield_Advance/12</f>
        <v>132384456.299583</v>
      </c>
      <c r="BJ36" s="33" t="n">
        <f aca="false">BJ28*Yield_Factoring/12+BJ29*Yield_Bridge/12+BJ30*Yield_Line/12+BJ31*Yield_Term/12+BJ32*Yield_Advance/12</f>
        <v>137108162.530757</v>
      </c>
      <c r="BK36" s="33" t="n">
        <f aca="false">BK28*Yield_Factoring/12+BK29*Yield_Bridge/12+BK30*Yield_Line/12+BK31*Yield_Term/12+BK32*Yield_Advance/12</f>
        <v>141860106.037726</v>
      </c>
      <c r="BL36" s="33" t="n">
        <f aca="false">BL28*Yield_Factoring/12+BL29*Yield_Bridge/12+BL30*Yield_Line/12+BL31*Yield_Term/12+BL32*Yield_Advance/12</f>
        <v>146613878.078431</v>
      </c>
    </row>
    <row r="37" customFormat="false" ht="15" hidden="false" customHeight="true" outlineLevel="0" collapsed="false">
      <c r="A37" s="13" t="s">
        <v>724</v>
      </c>
      <c r="B37" s="15" t="s">
        <v>77</v>
      </c>
      <c r="D37" s="56" t="n">
        <f aca="false">SUM(E37:BL37)</f>
        <v>-1064248652.83624</v>
      </c>
      <c r="E37" s="33" t="n">
        <f aca="false">-E33*CoF/12</f>
        <v>-0</v>
      </c>
      <c r="F37" s="33" t="n">
        <f aca="false">-F33*CoF/12</f>
        <v>-0</v>
      </c>
      <c r="G37" s="33" t="n">
        <f aca="false">-G33*CoF/12</f>
        <v>-0</v>
      </c>
      <c r="H37" s="33" t="n">
        <f aca="false">-H33*CoF/12</f>
        <v>-0</v>
      </c>
      <c r="I37" s="33" t="n">
        <f aca="false">-I33*CoF/12</f>
        <v>-0</v>
      </c>
      <c r="J37" s="33" t="n">
        <f aca="false">-J33*CoF/12</f>
        <v>-0</v>
      </c>
      <c r="K37" s="33" t="n">
        <f aca="false">-K33*CoF/12</f>
        <v>-0</v>
      </c>
      <c r="L37" s="33" t="n">
        <f aca="false">-L33*CoF/12</f>
        <v>-0</v>
      </c>
      <c r="M37" s="33" t="n">
        <f aca="false">-M33*CoF/12</f>
        <v>-0</v>
      </c>
      <c r="N37" s="33" t="n">
        <f aca="false">-N33*CoF/12</f>
        <v>-0</v>
      </c>
      <c r="O37" s="33" t="n">
        <f aca="false">-O33*CoF/12</f>
        <v>-0</v>
      </c>
      <c r="P37" s="33" t="n">
        <f aca="false">-P33*CoF/12</f>
        <v>-0</v>
      </c>
      <c r="Q37" s="33" t="n">
        <f aca="false">-Q33*CoF/12</f>
        <v>-0</v>
      </c>
      <c r="R37" s="33" t="n">
        <f aca="false">-R33*CoF/12</f>
        <v>-0</v>
      </c>
      <c r="S37" s="33" t="n">
        <f aca="false">-S33*CoF/12</f>
        <v>-0</v>
      </c>
      <c r="T37" s="33" t="n">
        <f aca="false">-T33*CoF/12</f>
        <v>-0</v>
      </c>
      <c r="U37" s="33" t="n">
        <f aca="false">-U33*CoF/12</f>
        <v>-0</v>
      </c>
      <c r="V37" s="33" t="n">
        <f aca="false">-V33*CoF/12</f>
        <v>-118931.829464616</v>
      </c>
      <c r="W37" s="33" t="n">
        <f aca="false">-W33*CoF/12</f>
        <v>-388082.506018199</v>
      </c>
      <c r="X37" s="33" t="n">
        <f aca="false">-X33*CoF/12</f>
        <v>-719703.448614137</v>
      </c>
      <c r="Y37" s="33" t="n">
        <f aca="false">-Y33*CoF/12</f>
        <v>-1159441.06551994</v>
      </c>
      <c r="Z37" s="33" t="n">
        <f aca="false">-Z33*CoF/12</f>
        <v>-1717831.63249023</v>
      </c>
      <c r="AA37" s="33" t="n">
        <f aca="false">-AA33*CoF/12</f>
        <v>-2359669.66275393</v>
      </c>
      <c r="AB37" s="33" t="n">
        <f aca="false">-AB33*CoF/12</f>
        <v>-3085054.9701788</v>
      </c>
      <c r="AC37" s="33" t="n">
        <f aca="false">-AC33*CoF/12</f>
        <v>-3943789.34224193</v>
      </c>
      <c r="AD37" s="33" t="n">
        <f aca="false">-AD33*CoF/12</f>
        <v>-4948763.83558548</v>
      </c>
      <c r="AE37" s="33" t="n">
        <f aca="false">-AE33*CoF/12</f>
        <v>-6193880.17281669</v>
      </c>
      <c r="AF37" s="33" t="n">
        <f aca="false">-AF33*CoF/12</f>
        <v>-7701165.2937079</v>
      </c>
      <c r="AG37" s="33" t="n">
        <f aca="false">-AG33*CoF/12</f>
        <v>-9362129.18835216</v>
      </c>
      <c r="AH37" s="33" t="n">
        <f aca="false">-AH33*CoF/12</f>
        <v>-10839563.4241095</v>
      </c>
      <c r="AI37" s="33" t="n">
        <f aca="false">-AI33*CoF/12</f>
        <v>-12110589.5961085</v>
      </c>
      <c r="AJ37" s="33" t="n">
        <f aca="false">-AJ33*CoF/12</f>
        <v>-13471027.6160003</v>
      </c>
      <c r="AK37" s="33" t="n">
        <f aca="false">-AK33*CoF/12</f>
        <v>-14797753.0972528</v>
      </c>
      <c r="AL37" s="33" t="n">
        <f aca="false">-AL33*CoF/12</f>
        <v>-16079904.447927</v>
      </c>
      <c r="AM37" s="33" t="n">
        <f aca="false">-AM33*CoF/12</f>
        <v>-17434863.4961811</v>
      </c>
      <c r="AN37" s="33" t="n">
        <f aca="false">-AN33*CoF/12</f>
        <v>-18864823.3143121</v>
      </c>
      <c r="AO37" s="33" t="n">
        <f aca="false">-AO33*CoF/12</f>
        <v>-20423751.0754261</v>
      </c>
      <c r="AP37" s="33" t="n">
        <f aca="false">-AP33*CoF/12</f>
        <v>-22140391.2425387</v>
      </c>
      <c r="AQ37" s="33" t="n">
        <f aca="false">-AQ33*CoF/12</f>
        <v>-23699999.1099655</v>
      </c>
      <c r="AR37" s="33" t="n">
        <f aca="false">-AR33*CoF/12</f>
        <v>-25054379.6572244</v>
      </c>
      <c r="AS37" s="33" t="n">
        <f aca="false">-AS33*CoF/12</f>
        <v>-26449054.6869426</v>
      </c>
      <c r="AT37" s="33" t="n">
        <f aca="false">-AT33*CoF/12</f>
        <v>-27851232.8915172</v>
      </c>
      <c r="AU37" s="33" t="n">
        <f aca="false">-AU33*CoF/12</f>
        <v>-29234074.4345458</v>
      </c>
      <c r="AV37" s="33" t="n">
        <f aca="false">-AV33*CoF/12</f>
        <v>-30677761.8882068</v>
      </c>
      <c r="AW37" s="33" t="n">
        <f aca="false">-AW33*CoF/12</f>
        <v>-32176317.5323752</v>
      </c>
      <c r="AX37" s="33" t="n">
        <f aca="false">-AX33*CoF/12</f>
        <v>-33693235.3145949</v>
      </c>
      <c r="AY37" s="33" t="n">
        <f aca="false">-AY33*CoF/12</f>
        <v>-35221430.7813737</v>
      </c>
      <c r="AZ37" s="33" t="n">
        <f aca="false">-AZ33*CoF/12</f>
        <v>-36736401.0275224</v>
      </c>
      <c r="BA37" s="33" t="n">
        <f aca="false">-BA33*CoF/12</f>
        <v>-38341454.0289715</v>
      </c>
      <c r="BB37" s="33" t="n">
        <f aca="false">-BB33*CoF/12</f>
        <v>-40035851.0987737</v>
      </c>
      <c r="BC37" s="33" t="n">
        <f aca="false">-BC33*CoF/12</f>
        <v>-41741487.3146787</v>
      </c>
      <c r="BD37" s="33" t="n">
        <f aca="false">-BD33*CoF/12</f>
        <v>-43459003.7330704</v>
      </c>
      <c r="BE37" s="33" t="n">
        <f aca="false">-BE33*CoF/12</f>
        <v>-45186581.1869139</v>
      </c>
      <c r="BF37" s="33" t="n">
        <f aca="false">-BF33*CoF/12</f>
        <v>-46949953.3900527</v>
      </c>
      <c r="BG37" s="33" t="n">
        <f aca="false">-BG33*CoF/12</f>
        <v>-48727034.5422642</v>
      </c>
      <c r="BH37" s="33" t="n">
        <f aca="false">-BH33*CoF/12</f>
        <v>-50518634.7980438</v>
      </c>
      <c r="BI37" s="33" t="n">
        <f aca="false">-BI33*CoF/12</f>
        <v>-52348088.9410106</v>
      </c>
      <c r="BJ37" s="33" t="n">
        <f aca="false">-BJ33*CoF/12</f>
        <v>-54215936.8213965</v>
      </c>
      <c r="BK37" s="33" t="n">
        <f aca="false">-BK33*CoF/12</f>
        <v>-56094948.4625034</v>
      </c>
      <c r="BL37" s="33" t="n">
        <f aca="false">-BL33*CoF/12</f>
        <v>-57974680.9366928</v>
      </c>
    </row>
    <row r="38" customFormat="false" ht="15" hidden="false" customHeight="true" outlineLevel="0" collapsed="false">
      <c r="A38" s="13" t="s">
        <v>1039</v>
      </c>
      <c r="B38" s="15" t="s">
        <v>77</v>
      </c>
      <c r="D38" s="56" t="n">
        <f aca="false">SUM(E38:BL38)</f>
        <v>-301156693.048517</v>
      </c>
      <c r="E38" s="33" t="n">
        <f aca="false">-(E28*CoR_Factoring+E29*CoR_Bridge+E30*CoR_Line+E31*CoR_Term+E32*CoR_Advance)*CoR_Mult/12</f>
        <v>-0</v>
      </c>
      <c r="F38" s="33" t="n">
        <f aca="false">-(F28*CoR_Factoring+F29*CoR_Bridge+F30*CoR_Line+F31*CoR_Term+F32*CoR_Advance)*CoR_Mult/12</f>
        <v>-0</v>
      </c>
      <c r="G38" s="33" t="n">
        <f aca="false">-(G28*CoR_Factoring+G29*CoR_Bridge+G30*CoR_Line+G31*CoR_Term+G32*CoR_Advance)*CoR_Mult/12</f>
        <v>-0</v>
      </c>
      <c r="H38" s="33" t="n">
        <f aca="false">-(H28*CoR_Factoring+H29*CoR_Bridge+H30*CoR_Line+H31*CoR_Term+H32*CoR_Advance)*CoR_Mult/12</f>
        <v>-0</v>
      </c>
      <c r="I38" s="33" t="n">
        <f aca="false">-(I28*CoR_Factoring+I29*CoR_Bridge+I30*CoR_Line+I31*CoR_Term+I32*CoR_Advance)*CoR_Mult/12</f>
        <v>-0</v>
      </c>
      <c r="J38" s="33" t="n">
        <f aca="false">-(J28*CoR_Factoring+J29*CoR_Bridge+J30*CoR_Line+J31*CoR_Term+J32*CoR_Advance)*CoR_Mult/12</f>
        <v>-0</v>
      </c>
      <c r="K38" s="33" t="n">
        <f aca="false">-(K28*CoR_Factoring+K29*CoR_Bridge+K30*CoR_Line+K31*CoR_Term+K32*CoR_Advance)*CoR_Mult/12</f>
        <v>-0</v>
      </c>
      <c r="L38" s="33" t="n">
        <f aca="false">-(L28*CoR_Factoring+L29*CoR_Bridge+L30*CoR_Line+L31*CoR_Term+L32*CoR_Advance)*CoR_Mult/12</f>
        <v>-0</v>
      </c>
      <c r="M38" s="33" t="n">
        <f aca="false">-(M28*CoR_Factoring+M29*CoR_Bridge+M30*CoR_Line+M31*CoR_Term+M32*CoR_Advance)*CoR_Mult/12</f>
        <v>-0</v>
      </c>
      <c r="N38" s="33" t="n">
        <f aca="false">-(N28*CoR_Factoring+N29*CoR_Bridge+N30*CoR_Line+N31*CoR_Term+N32*CoR_Advance)*CoR_Mult/12</f>
        <v>-0</v>
      </c>
      <c r="O38" s="33" t="n">
        <f aca="false">-(O28*CoR_Factoring+O29*CoR_Bridge+O30*CoR_Line+O31*CoR_Term+O32*CoR_Advance)*CoR_Mult/12</f>
        <v>-0</v>
      </c>
      <c r="P38" s="33" t="n">
        <f aca="false">-(P28*CoR_Factoring+P29*CoR_Bridge+P30*CoR_Line+P31*CoR_Term+P32*CoR_Advance)*CoR_Mult/12</f>
        <v>-0</v>
      </c>
      <c r="Q38" s="33" t="n">
        <f aca="false">-(Q28*CoR_Factoring+Q29*CoR_Bridge+Q30*CoR_Line+Q31*CoR_Term+Q32*CoR_Advance)*CoR_Mult/12</f>
        <v>-0</v>
      </c>
      <c r="R38" s="33" t="n">
        <f aca="false">-(R28*CoR_Factoring+R29*CoR_Bridge+R30*CoR_Line+R31*CoR_Term+R32*CoR_Advance)*CoR_Mult/12</f>
        <v>-0</v>
      </c>
      <c r="S38" s="33" t="n">
        <f aca="false">-(S28*CoR_Factoring+S29*CoR_Bridge+S30*CoR_Line+S31*CoR_Term+S32*CoR_Advance)*CoR_Mult/12</f>
        <v>-0</v>
      </c>
      <c r="T38" s="33" t="n">
        <f aca="false">-(T28*CoR_Factoring+T29*CoR_Bridge+T30*CoR_Line+T31*CoR_Term+T32*CoR_Advance)*CoR_Mult/12</f>
        <v>-0</v>
      </c>
      <c r="U38" s="33" t="n">
        <f aca="false">-(U28*CoR_Factoring+U29*CoR_Bridge+U30*CoR_Line+U31*CoR_Term+U32*CoR_Advance)*CoR_Mult/12</f>
        <v>-0</v>
      </c>
      <c r="V38" s="33" t="n">
        <f aca="false">-(V28*CoR_Factoring+V29*CoR_Bridge+V30*CoR_Line+V31*CoR_Term+V32*CoR_Advance)*CoR_Mult/12</f>
        <v>-21035.5616740138</v>
      </c>
      <c r="W38" s="33" t="n">
        <f aca="false">-(W28*CoR_Factoring+W29*CoR_Bridge+W30*CoR_Line+W31*CoR_Term+W32*CoR_Advance)*CoR_Mult/12</f>
        <v>-68640.4432413141</v>
      </c>
      <c r="X38" s="33" t="n">
        <f aca="false">-(X28*CoR_Factoring+X29*CoR_Bridge+X30*CoR_Line+X31*CoR_Term+X32*CoR_Advance)*CoR_Mult/12</f>
        <v>-127294.487509983</v>
      </c>
      <c r="Y38" s="33" t="n">
        <f aca="false">-(Y28*CoR_Factoring+Y29*CoR_Bridge+Y30*CoR_Line+Y31*CoR_Term+Y32*CoR_Advance)*CoR_Mult/12</f>
        <v>-218286.355625448</v>
      </c>
      <c r="Z38" s="33" t="n">
        <f aca="false">-(Z28*CoR_Factoring+Z29*CoR_Bridge+Z30*CoR_Line+Z31*CoR_Term+Z32*CoR_Advance)*CoR_Mult/12</f>
        <v>-346136.519545368</v>
      </c>
      <c r="AA38" s="33" t="n">
        <f aca="false">-(AA28*CoR_Factoring+AA29*CoR_Bridge+AA30*CoR_Line+AA31*CoR_Term+AA32*CoR_Advance)*CoR_Mult/12</f>
        <v>-494057.474894771</v>
      </c>
      <c r="AB38" s="33" t="n">
        <f aca="false">-(AB28*CoR_Factoring+AB29*CoR_Bridge+AB30*CoR_Line+AB31*CoR_Term+AB32*CoR_Advance)*CoR_Mult/12</f>
        <v>-662067.130607405</v>
      </c>
      <c r="AC38" s="33" t="n">
        <f aca="false">-(AC28*CoR_Factoring+AC29*CoR_Bridge+AC30*CoR_Line+AC31*CoR_Term+AC32*CoR_Advance)*CoR_Mult/12</f>
        <v>-861109.37199433</v>
      </c>
      <c r="AD38" s="33" t="n">
        <f aca="false">-(AD28*CoR_Factoring+AD29*CoR_Bridge+AD30*CoR_Line+AD31*CoR_Term+AD32*CoR_Advance)*CoR_Mult/12</f>
        <v>-1094293.9774856</v>
      </c>
      <c r="AE38" s="33" t="n">
        <f aca="false">-(AE28*CoR_Factoring+AE29*CoR_Bridge+AE30*CoR_Line+AE31*CoR_Term+AE32*CoR_Advance)*CoR_Mult/12</f>
        <v>-1408727.73979744</v>
      </c>
      <c r="AF38" s="33" t="n">
        <f aca="false">-(AF28*CoR_Factoring+AF29*CoR_Bridge+AF30*CoR_Line+AF31*CoR_Term+AF32*CoR_Advance)*CoR_Mult/12</f>
        <v>-1813582.67630315</v>
      </c>
      <c r="AG38" s="33" t="n">
        <f aca="false">-(AG28*CoR_Factoring+AG29*CoR_Bridge+AG30*CoR_Line+AG31*CoR_Term+AG32*CoR_Advance)*CoR_Mult/12</f>
        <v>-2263152.31586347</v>
      </c>
      <c r="AH38" s="33" t="n">
        <f aca="false">-(AH28*CoR_Factoring+AH29*CoR_Bridge+AH30*CoR_Line+AH31*CoR_Term+AH32*CoR_Advance)*CoR_Mult/12</f>
        <v>-2697652.49426658</v>
      </c>
      <c r="AI38" s="33" t="n">
        <f aca="false">-(AI28*CoR_Factoring+AI29*CoR_Bridge+AI30*CoR_Line+AI31*CoR_Term+AI32*CoR_Advance)*CoR_Mult/12</f>
        <v>-3114816.13183541</v>
      </c>
      <c r="AJ38" s="33" t="n">
        <f aca="false">-(AJ28*CoR_Factoring+AJ29*CoR_Bridge+AJ30*CoR_Line+AJ31*CoR_Term+AJ32*CoR_Advance)*CoR_Mult/12</f>
        <v>-3567650.79452406</v>
      </c>
      <c r="AK38" s="33" t="n">
        <f aca="false">-(AK28*CoR_Factoring+AK29*CoR_Bridge+AK30*CoR_Line+AK31*CoR_Term+AK32*CoR_Advance)*CoR_Mult/12</f>
        <v>-3999279.62459462</v>
      </c>
      <c r="AL38" s="33" t="n">
        <f aca="false">-(AL28*CoR_Factoring+AL29*CoR_Bridge+AL30*CoR_Line+AL31*CoR_Term+AL32*CoR_Advance)*CoR_Mult/12</f>
        <v>-4404025.62895798</v>
      </c>
      <c r="AM38" s="33" t="n">
        <f aca="false">-(AM28*CoR_Factoring+AM29*CoR_Bridge+AM30*CoR_Line+AM31*CoR_Term+AM32*CoR_Advance)*CoR_Mult/12</f>
        <v>-4835202.93539596</v>
      </c>
      <c r="AN38" s="33" t="n">
        <f aca="false">-(AN28*CoR_Factoring+AN29*CoR_Bridge+AN30*CoR_Line+AN31*CoR_Term+AN32*CoR_Advance)*CoR_Mult/12</f>
        <v>-5293615.87685723</v>
      </c>
      <c r="AO38" s="33" t="n">
        <f aca="false">-(AO28*CoR_Factoring+AO29*CoR_Bridge+AO30*CoR_Line+AO31*CoR_Term+AO32*CoR_Advance)*CoR_Mult/12</f>
        <v>-5794997.88843347</v>
      </c>
      <c r="AP38" s="33" t="n">
        <f aca="false">-(AP28*CoR_Factoring+AP29*CoR_Bridge+AP30*CoR_Line+AP31*CoR_Term+AP32*CoR_Advance)*CoR_Mult/12</f>
        <v>-6348121.62442247</v>
      </c>
      <c r="AQ38" s="33" t="n">
        <f aca="false">-(AQ28*CoR_Factoring+AQ29*CoR_Bridge+AQ30*CoR_Line+AQ31*CoR_Term+AQ32*CoR_Advance)*CoR_Mult/12</f>
        <v>-6824885.43654674</v>
      </c>
      <c r="AR38" s="33" t="n">
        <f aca="false">-(AR28*CoR_Factoring+AR29*CoR_Bridge+AR30*CoR_Line+AR31*CoR_Term+AR32*CoR_Advance)*CoR_Mult/12</f>
        <v>-7207516.94740631</v>
      </c>
      <c r="AS38" s="33" t="n">
        <f aca="false">-(AS28*CoR_Factoring+AS29*CoR_Bridge+AS30*CoR_Line+AS31*CoR_Term+AS32*CoR_Advance)*CoR_Mult/12</f>
        <v>-7600942.34548257</v>
      </c>
      <c r="AT38" s="33" t="n">
        <f aca="false">-(AT28*CoR_Factoring+AT29*CoR_Bridge+AT30*CoR_Line+AT31*CoR_Term+AT32*CoR_Advance)*CoR_Mult/12</f>
        <v>-7999847.67557595</v>
      </c>
      <c r="AU38" s="33" t="n">
        <f aca="false">-(AU28*CoR_Factoring+AU29*CoR_Bridge+AU30*CoR_Line+AU31*CoR_Term+AU32*CoR_Advance)*CoR_Mult/12</f>
        <v>-8396904.7432082</v>
      </c>
      <c r="AV38" s="33" t="n">
        <f aca="false">-(AV28*CoR_Factoring+AV29*CoR_Bridge+AV30*CoR_Line+AV31*CoR_Term+AV32*CoR_Advance)*CoR_Mult/12</f>
        <v>-8811431.65247608</v>
      </c>
      <c r="AW38" s="33" t="n">
        <f aca="false">-(AW28*CoR_Factoring+AW29*CoR_Bridge+AW30*CoR_Line+AW31*CoR_Term+AW32*CoR_Advance)*CoR_Mult/12</f>
        <v>-9241709.18704295</v>
      </c>
      <c r="AX38" s="33" t="n">
        <f aca="false">-(AX28*CoR_Factoring+AX29*CoR_Bridge+AX30*CoR_Line+AX31*CoR_Term+AX32*CoR_Advance)*CoR_Mult/12</f>
        <v>-9677242.75623255</v>
      </c>
      <c r="AY38" s="33" t="n">
        <f aca="false">-(AY28*CoR_Factoring+AY29*CoR_Bridge+AY30*CoR_Line+AY31*CoR_Term+AY32*CoR_Advance)*CoR_Mult/12</f>
        <v>-10115995.8131842</v>
      </c>
      <c r="AZ38" s="33" t="n">
        <f aca="false">-(AZ28*CoR_Factoring+AZ29*CoR_Bridge+AZ30*CoR_Line+AZ31*CoR_Term+AZ32*CoR_Advance)*CoR_Mult/12</f>
        <v>-10550924.9372171</v>
      </c>
      <c r="BA38" s="33" t="n">
        <f aca="false">-(BA28*CoR_Factoring+BA29*CoR_Bridge+BA30*CoR_Line+BA31*CoR_Term+BA32*CoR_Advance)*CoR_Mult/12</f>
        <v>-11011726.9247323</v>
      </c>
      <c r="BB38" s="33" t="n">
        <f aca="false">-(BB28*CoR_Factoring+BB29*CoR_Bridge+BB30*CoR_Line+BB31*CoR_Term+BB32*CoR_Advance)*CoR_Mult/12</f>
        <v>-11498188.0132396</v>
      </c>
      <c r="BC38" s="33" t="n">
        <f aca="false">-(BC28*CoR_Factoring+BC29*CoR_Bridge+BC30*CoR_Line+BC31*CoR_Term+BC32*CoR_Advance)*CoR_Mult/12</f>
        <v>-11987855.2267747</v>
      </c>
      <c r="BD38" s="33" t="n">
        <f aca="false">-(BD28*CoR_Factoring+BD29*CoR_Bridge+BD30*CoR_Line+BD31*CoR_Term+BD32*CoR_Advance)*CoR_Mult/12</f>
        <v>-12480912.9059463</v>
      </c>
      <c r="BE38" s="33" t="n">
        <f aca="false">-(BE28*CoR_Factoring+BE29*CoR_Bridge+BE30*CoR_Line+BE31*CoR_Term+BE32*CoR_Advance)*CoR_Mult/12</f>
        <v>-12976838.1771767</v>
      </c>
      <c r="BF38" s="33" t="n">
        <f aca="false">-(BF28*CoR_Factoring+BF29*CoR_Bridge+BF30*CoR_Line+BF31*CoR_Term+BF32*CoR_Advance)*CoR_Mult/12</f>
        <v>-13483028.3888706</v>
      </c>
      <c r="BG38" s="33" t="n">
        <f aca="false">-(BG28*CoR_Factoring+BG29*CoR_Bridge+BG30*CoR_Line+BG31*CoR_Term+BG32*CoR_Advance)*CoR_Mult/12</f>
        <v>-13993134.4958241</v>
      </c>
      <c r="BH38" s="33" t="n">
        <f aca="false">-(BH28*CoR_Factoring+BH29*CoR_Bridge+BH30*CoR_Line+BH31*CoR_Term+BH32*CoR_Advance)*CoR_Mult/12</f>
        <v>-14507389.4021741</v>
      </c>
      <c r="BI38" s="33" t="n">
        <f aca="false">-(BI28*CoR_Factoring+BI29*CoR_Bridge+BI30*CoR_Line+BI31*CoR_Term+BI32*CoR_Advance)*CoR_Mult/12</f>
        <v>-15032500.7940769</v>
      </c>
      <c r="BJ38" s="33" t="n">
        <f aca="false">-(BJ28*CoR_Factoring+BJ29*CoR_Bridge+BJ30*CoR_Line+BJ31*CoR_Term+BJ32*CoR_Advance)*CoR_Mult/12</f>
        <v>-15568623.4282078</v>
      </c>
      <c r="BK38" s="33" t="n">
        <f aca="false">-(BK28*CoR_Factoring+BK29*CoR_Bridge+BK30*CoR_Line+BK31*CoR_Term+BK32*CoR_Advance)*CoR_Mult/12</f>
        <v>-16107929.5047105</v>
      </c>
      <c r="BL38" s="33" t="n">
        <f aca="false">-(BL28*CoR_Factoring+BL29*CoR_Bridge+BL30*CoR_Line+BL31*CoR_Term+BL32*CoR_Advance)*CoR_Mult/12</f>
        <v>-16647417.2385813</v>
      </c>
    </row>
    <row r="39" customFormat="false" ht="15" hidden="false" customHeight="true" outlineLevel="0" collapsed="false">
      <c r="A39" s="13" t="s">
        <v>726</v>
      </c>
      <c r="B39" s="15" t="s">
        <v>77</v>
      </c>
      <c r="D39" s="56" t="n">
        <f aca="false">SUM(E39:BL39)</f>
        <v>-118249850.315138</v>
      </c>
      <c r="E39" s="33" t="n">
        <f aca="false">-E33*Servicing/12</f>
        <v>-0</v>
      </c>
      <c r="F39" s="33" t="n">
        <f aca="false">-F33*Servicing/12</f>
        <v>-0</v>
      </c>
      <c r="G39" s="33" t="n">
        <f aca="false">-G33*Servicing/12</f>
        <v>-0</v>
      </c>
      <c r="H39" s="33" t="n">
        <f aca="false">-H33*Servicing/12</f>
        <v>-0</v>
      </c>
      <c r="I39" s="33" t="n">
        <f aca="false">-I33*Servicing/12</f>
        <v>-0</v>
      </c>
      <c r="J39" s="33" t="n">
        <f aca="false">-J33*Servicing/12</f>
        <v>-0</v>
      </c>
      <c r="K39" s="33" t="n">
        <f aca="false">-K33*Servicing/12</f>
        <v>-0</v>
      </c>
      <c r="L39" s="33" t="n">
        <f aca="false">-L33*Servicing/12</f>
        <v>-0</v>
      </c>
      <c r="M39" s="33" t="n">
        <f aca="false">-M33*Servicing/12</f>
        <v>-0</v>
      </c>
      <c r="N39" s="33" t="n">
        <f aca="false">-N33*Servicing/12</f>
        <v>-0</v>
      </c>
      <c r="O39" s="33" t="n">
        <f aca="false">-O33*Servicing/12</f>
        <v>-0</v>
      </c>
      <c r="P39" s="33" t="n">
        <f aca="false">-P33*Servicing/12</f>
        <v>-0</v>
      </c>
      <c r="Q39" s="33" t="n">
        <f aca="false">-Q33*Servicing/12</f>
        <v>-0</v>
      </c>
      <c r="R39" s="33" t="n">
        <f aca="false">-R33*Servicing/12</f>
        <v>-0</v>
      </c>
      <c r="S39" s="33" t="n">
        <f aca="false">-S33*Servicing/12</f>
        <v>-0</v>
      </c>
      <c r="T39" s="33" t="n">
        <f aca="false">-T33*Servicing/12</f>
        <v>-0</v>
      </c>
      <c r="U39" s="33" t="n">
        <f aca="false">-U33*Servicing/12</f>
        <v>-0</v>
      </c>
      <c r="V39" s="33" t="n">
        <f aca="false">-V33*Servicing/12</f>
        <v>-13214.6477182907</v>
      </c>
      <c r="W39" s="33" t="n">
        <f aca="false">-W33*Servicing/12</f>
        <v>-43120.2784464666</v>
      </c>
      <c r="X39" s="33" t="n">
        <f aca="false">-X33*Servicing/12</f>
        <v>-79967.0498460152</v>
      </c>
      <c r="Y39" s="33" t="n">
        <f aca="false">-Y33*Servicing/12</f>
        <v>-128826.785057771</v>
      </c>
      <c r="Z39" s="33" t="n">
        <f aca="false">-Z33*Servicing/12</f>
        <v>-190870.181387804</v>
      </c>
      <c r="AA39" s="33" t="n">
        <f aca="false">-AA33*Servicing/12</f>
        <v>-262185.51808377</v>
      </c>
      <c r="AB39" s="33" t="n">
        <f aca="false">-AB33*Servicing/12</f>
        <v>-342783.885575422</v>
      </c>
      <c r="AC39" s="33" t="n">
        <f aca="false">-AC33*Servicing/12</f>
        <v>-438198.815804659</v>
      </c>
      <c r="AD39" s="33" t="n">
        <f aca="false">-AD33*Servicing/12</f>
        <v>-549862.648398387</v>
      </c>
      <c r="AE39" s="33" t="n">
        <f aca="false">-AE33*Servicing/12</f>
        <v>-688208.908090744</v>
      </c>
      <c r="AF39" s="33" t="n">
        <f aca="false">-AF33*Servicing/12</f>
        <v>-855685.032634211</v>
      </c>
      <c r="AG39" s="33" t="n">
        <f aca="false">-AG33*Servicing/12</f>
        <v>-1040236.57648357</v>
      </c>
      <c r="AH39" s="33" t="n">
        <f aca="false">-AH33*Servicing/12</f>
        <v>-1204395.93601217</v>
      </c>
      <c r="AI39" s="33" t="n">
        <f aca="false">-AI33*Servicing/12</f>
        <v>-1345621.06623427</v>
      </c>
      <c r="AJ39" s="33" t="n">
        <f aca="false">-AJ33*Servicing/12</f>
        <v>-1496780.84622225</v>
      </c>
      <c r="AK39" s="33" t="n">
        <f aca="false">-AK33*Servicing/12</f>
        <v>-1644194.78858365</v>
      </c>
      <c r="AL39" s="33" t="n">
        <f aca="false">-AL33*Servicing/12</f>
        <v>-1786656.04976967</v>
      </c>
      <c r="AM39" s="33" t="n">
        <f aca="false">-AM33*Servicing/12</f>
        <v>-1937207.05513124</v>
      </c>
      <c r="AN39" s="33" t="n">
        <f aca="false">-AN33*Servicing/12</f>
        <v>-2096091.47936802</v>
      </c>
      <c r="AO39" s="33" t="n">
        <f aca="false">-AO33*Servicing/12</f>
        <v>-2269305.67504735</v>
      </c>
      <c r="AP39" s="33" t="n">
        <f aca="false">-AP33*Servicing/12</f>
        <v>-2460043.47139319</v>
      </c>
      <c r="AQ39" s="33" t="n">
        <f aca="false">-AQ33*Servicing/12</f>
        <v>-2633333.23444061</v>
      </c>
      <c r="AR39" s="33" t="n">
        <f aca="false">-AR33*Servicing/12</f>
        <v>-2783819.96191383</v>
      </c>
      <c r="AS39" s="33" t="n">
        <f aca="false">-AS33*Servicing/12</f>
        <v>-2938783.85410473</v>
      </c>
      <c r="AT39" s="33" t="n">
        <f aca="false">-AT33*Servicing/12</f>
        <v>-3094581.4323908</v>
      </c>
      <c r="AU39" s="33" t="n">
        <f aca="false">-AU33*Servicing/12</f>
        <v>-3248230.49272731</v>
      </c>
      <c r="AV39" s="33" t="n">
        <f aca="false">-AV33*Servicing/12</f>
        <v>-3408640.20980075</v>
      </c>
      <c r="AW39" s="33" t="n">
        <f aca="false">-AW33*Servicing/12</f>
        <v>-3575146.39248614</v>
      </c>
      <c r="AX39" s="33" t="n">
        <f aca="false">-AX33*Servicing/12</f>
        <v>-3743692.81273277</v>
      </c>
      <c r="AY39" s="33" t="n">
        <f aca="false">-AY33*Servicing/12</f>
        <v>-3913492.30904152</v>
      </c>
      <c r="AZ39" s="33" t="n">
        <f aca="false">-AZ33*Servicing/12</f>
        <v>-4081822.33639138</v>
      </c>
      <c r="BA39" s="33" t="n">
        <f aca="false">-BA33*Servicing/12</f>
        <v>-4260161.55877461</v>
      </c>
      <c r="BB39" s="33" t="n">
        <f aca="false">-BB33*Servicing/12</f>
        <v>-4448427.89986374</v>
      </c>
      <c r="BC39" s="33" t="n">
        <f aca="false">-BC33*Servicing/12</f>
        <v>-4637943.0349643</v>
      </c>
      <c r="BD39" s="33" t="n">
        <f aca="false">-BD33*Servicing/12</f>
        <v>-4828778.19256338</v>
      </c>
      <c r="BE39" s="33" t="n">
        <f aca="false">-BE33*Servicing/12</f>
        <v>-5020731.24299043</v>
      </c>
      <c r="BF39" s="33" t="n">
        <f aca="false">-BF33*Servicing/12</f>
        <v>-5216661.48778363</v>
      </c>
      <c r="BG39" s="33" t="n">
        <f aca="false">-BG33*Servicing/12</f>
        <v>-5414114.94914047</v>
      </c>
      <c r="BH39" s="33" t="n">
        <f aca="false">-BH33*Servicing/12</f>
        <v>-5613181.64422708</v>
      </c>
      <c r="BI39" s="33" t="n">
        <f aca="false">-BI33*Servicing/12</f>
        <v>-5816454.32677896</v>
      </c>
      <c r="BJ39" s="33" t="n">
        <f aca="false">-BJ33*Servicing/12</f>
        <v>-6023992.98015516</v>
      </c>
      <c r="BK39" s="33" t="n">
        <f aca="false">-BK33*Servicing/12</f>
        <v>-6232772.05138927</v>
      </c>
      <c r="BL39" s="33" t="n">
        <f aca="false">-BL33*Servicing/12</f>
        <v>-6441631.21518809</v>
      </c>
    </row>
    <row r="40" customFormat="false" ht="15" hidden="false" customHeight="true" outlineLevel="0" collapsed="false">
      <c r="A40" s="9" t="s">
        <v>1273</v>
      </c>
      <c r="B40" s="15" t="s">
        <v>77</v>
      </c>
      <c r="D40" s="56" t="n">
        <f aca="false">SUM(E40:BL40)</f>
        <v>1209752777.71247</v>
      </c>
      <c r="E40" s="17" t="n">
        <f aca="false">SUM(E36:E39)</f>
        <v>0</v>
      </c>
      <c r="F40" s="17" t="n">
        <f aca="false">SUM(F36:F39)</f>
        <v>0</v>
      </c>
      <c r="G40" s="17" t="n">
        <f aca="false">SUM(G36:G39)</f>
        <v>0</v>
      </c>
      <c r="H40" s="17" t="n">
        <f aca="false">SUM(H36:H39)</f>
        <v>0</v>
      </c>
      <c r="I40" s="17" t="n">
        <f aca="false">SUM(I36:I39)</f>
        <v>0</v>
      </c>
      <c r="J40" s="17" t="n">
        <f aca="false">SUM(J36:J39)</f>
        <v>0</v>
      </c>
      <c r="K40" s="17" t="n">
        <f aca="false">SUM(K36:K39)</f>
        <v>0</v>
      </c>
      <c r="L40" s="17" t="n">
        <f aca="false">SUM(L36:L39)</f>
        <v>0</v>
      </c>
      <c r="M40" s="17" t="n">
        <f aca="false">SUM(M36:M39)</f>
        <v>0</v>
      </c>
      <c r="N40" s="17" t="n">
        <f aca="false">SUM(N36:N39)</f>
        <v>0</v>
      </c>
      <c r="O40" s="17" t="n">
        <f aca="false">SUM(O36:O39)</f>
        <v>0</v>
      </c>
      <c r="P40" s="17" t="n">
        <f aca="false">SUM(P36:P39)</f>
        <v>0</v>
      </c>
      <c r="Q40" s="17" t="n">
        <f aca="false">SUM(Q36:Q39)</f>
        <v>0</v>
      </c>
      <c r="R40" s="17" t="n">
        <f aca="false">SUM(R36:R39)</f>
        <v>0</v>
      </c>
      <c r="S40" s="17" t="n">
        <f aca="false">SUM(S36:S39)</f>
        <v>0</v>
      </c>
      <c r="T40" s="17" t="n">
        <f aca="false">SUM(T36:T39)</f>
        <v>0</v>
      </c>
      <c r="U40" s="17" t="n">
        <f aca="false">SUM(U36:U39)</f>
        <v>0</v>
      </c>
      <c r="V40" s="17" t="n">
        <f aca="false">SUM(V36:V39)</f>
        <v>150754.858663765</v>
      </c>
      <c r="W40" s="17" t="n">
        <f aca="false">SUM(W36:W39)</f>
        <v>491923.176562751</v>
      </c>
      <c r="X40" s="17" t="n">
        <f aca="false">SUM(X36:X39)</f>
        <v>912277.160488215</v>
      </c>
      <c r="Y40" s="17" t="n">
        <f aca="false">SUM(Y36:Y39)</f>
        <v>1456461.85012558</v>
      </c>
      <c r="Z40" s="17" t="n">
        <f aca="false">SUM(Z36:Z39)</f>
        <v>2135175.83849608</v>
      </c>
      <c r="AA40" s="17" t="n">
        <f aca="false">SUM(AA36:AA39)</f>
        <v>2914354.26019423</v>
      </c>
      <c r="AB40" s="17" t="n">
        <f aca="false">SUM(AB36:AB39)</f>
        <v>3794123.38187308</v>
      </c>
      <c r="AC40" s="17" t="n">
        <f aca="false">SUM(AC36:AC39)</f>
        <v>4835475.23346623</v>
      </c>
      <c r="AD40" s="17" t="n">
        <f aca="false">SUM(AD36:AD39)</f>
        <v>6053920.45169343</v>
      </c>
      <c r="AE40" s="17" t="n">
        <f aca="false">SUM(AE36:AE39)</f>
        <v>7525064.09593586</v>
      </c>
      <c r="AF40" s="17" t="n">
        <f aca="false">SUM(AF36:AF39)</f>
        <v>9269437.70352771</v>
      </c>
      <c r="AG40" s="17" t="n">
        <f aca="false">SUM(AG36:AG39)</f>
        <v>11186851.5132645</v>
      </c>
      <c r="AH40" s="17" t="n">
        <f aca="false">SUM(AH36:AH39)</f>
        <v>12850008.1362651</v>
      </c>
      <c r="AI40" s="17" t="n">
        <f aca="false">SUM(AI36:AI39)</f>
        <v>14227839.0480723</v>
      </c>
      <c r="AJ40" s="17" t="n">
        <f aca="false">SUM(AJ36:AJ39)</f>
        <v>15694506.2681935</v>
      </c>
      <c r="AK40" s="17" t="n">
        <f aca="false">SUM(AK36:AK39)</f>
        <v>17129185.4089561</v>
      </c>
      <c r="AL40" s="17" t="n">
        <f aca="false">SUM(AL36:AL39)</f>
        <v>18521829.9838287</v>
      </c>
      <c r="AM40" s="17" t="n">
        <f aca="false">SUM(AM36:AM39)</f>
        <v>19988132.1739583</v>
      </c>
      <c r="AN40" s="17" t="n">
        <f aca="false">SUM(AN36:AN39)</f>
        <v>21530296.9311144</v>
      </c>
      <c r="AO40" s="17" t="n">
        <f aca="false">SUM(AO36:AO39)</f>
        <v>23208991.2458635</v>
      </c>
      <c r="AP40" s="17" t="n">
        <f aca="false">SUM(AP36:AP39)</f>
        <v>25055910.7606022</v>
      </c>
      <c r="AQ40" s="17" t="n">
        <f aca="false">SUM(AQ36:AQ39)</f>
        <v>26773112.7802672</v>
      </c>
      <c r="AR40" s="17" t="n">
        <f aca="false">SUM(AR36:AR39)</f>
        <v>28312134.3796755</v>
      </c>
      <c r="AS40" s="17" t="n">
        <f aca="false">SUM(AS36:AS39)</f>
        <v>29897663.9867573</v>
      </c>
      <c r="AT40" s="17" t="n">
        <f aca="false">SUM(AT36:AT39)</f>
        <v>31487616.9063907</v>
      </c>
      <c r="AU40" s="17" t="n">
        <f aca="false">SUM(AU36:AU39)</f>
        <v>33051183.5950386</v>
      </c>
      <c r="AV40" s="17" t="n">
        <f aca="false">SUM(AV36:AV39)</f>
        <v>34683549.3428287</v>
      </c>
      <c r="AW40" s="17" t="n">
        <f aca="false">SUM(AW36:AW39)</f>
        <v>36377958.6449312</v>
      </c>
      <c r="AX40" s="17" t="n">
        <f aca="false">SUM(AX36:AX39)</f>
        <v>38093149.7679379</v>
      </c>
      <c r="AY40" s="17" t="n">
        <f aca="false">SUM(AY36:AY39)</f>
        <v>39821115.2873121</v>
      </c>
      <c r="AZ40" s="17" t="n">
        <f aca="false">SUM(AZ36:AZ39)</f>
        <v>41534159.5944056</v>
      </c>
      <c r="BA40" s="17" t="n">
        <f aca="false">SUM(BA36:BA39)</f>
        <v>43349050.7787695</v>
      </c>
      <c r="BB40" s="17" t="n">
        <f aca="false">SUM(BB36:BB39)</f>
        <v>45264955.643344</v>
      </c>
      <c r="BC40" s="17" t="n">
        <f aca="false">SUM(BC36:BC39)</f>
        <v>47193594.133987</v>
      </c>
      <c r="BD40" s="17" t="n">
        <f aca="false">SUM(BD36:BD39)</f>
        <v>49135690.7538194</v>
      </c>
      <c r="BE40" s="17" t="n">
        <f aca="false">SUM(BE36:BE39)</f>
        <v>51089189.2385628</v>
      </c>
      <c r="BF40" s="17" t="n">
        <f aca="false">SUM(BF36:BF39)</f>
        <v>53083176.2214448</v>
      </c>
      <c r="BG40" s="17" t="n">
        <f aca="false">SUM(BG36:BG39)</f>
        <v>55092688.6668443</v>
      </c>
      <c r="BH40" s="17" t="n">
        <f aca="false">SUM(BH36:BH39)</f>
        <v>57118642.2632016</v>
      </c>
      <c r="BI40" s="17" t="n">
        <f aca="false">SUM(BI36:BI39)</f>
        <v>59187412.2377162</v>
      </c>
      <c r="BJ40" s="17" t="n">
        <f aca="false">SUM(BJ36:BJ39)</f>
        <v>61299609.3009972</v>
      </c>
      <c r="BK40" s="17" t="n">
        <f aca="false">SUM(BK36:BK39)</f>
        <v>63424456.0191231</v>
      </c>
      <c r="BL40" s="17" t="n">
        <f aca="false">SUM(BL36:BL39)</f>
        <v>65550148.6879689</v>
      </c>
    </row>
    <row r="41" customFormat="false" ht="15" hidden="false" customHeight="true" outlineLevel="0" collapsed="false">
      <c r="A41" s="13" t="s">
        <v>1274</v>
      </c>
      <c r="B41" s="15" t="s">
        <v>96</v>
      </c>
      <c r="E41" s="35" t="n">
        <f aca="false">IFERROR('Clients &amp; revenue'!E19/('Clients &amp; revenue'!E19+'Clients &amp; revenue'!E20),1)</f>
        <v>1</v>
      </c>
      <c r="F41" s="35" t="n">
        <f aca="false">IFERROR('Clients &amp; revenue'!F19/('Clients &amp; revenue'!F19+'Clients &amp; revenue'!F20),1)</f>
        <v>1</v>
      </c>
      <c r="G41" s="35" t="n">
        <f aca="false">IFERROR('Clients &amp; revenue'!G19/('Clients &amp; revenue'!G19+'Clients &amp; revenue'!G20),1)</f>
        <v>1</v>
      </c>
      <c r="H41" s="35" t="n">
        <f aca="false">IFERROR('Clients &amp; revenue'!H19/('Clients &amp; revenue'!H19+'Clients &amp; revenue'!H20),1)</f>
        <v>1</v>
      </c>
      <c r="I41" s="35" t="n">
        <f aca="false">IFERROR('Clients &amp; revenue'!I19/('Clients &amp; revenue'!I19+'Clients &amp; revenue'!I20),1)</f>
        <v>1</v>
      </c>
      <c r="J41" s="35" t="n">
        <f aca="false">IFERROR('Clients &amp; revenue'!J19/('Clients &amp; revenue'!J19+'Clients &amp; revenue'!J20),1)</f>
        <v>1</v>
      </c>
      <c r="K41" s="35" t="n">
        <f aca="false">IFERROR('Clients &amp; revenue'!K19/('Clients &amp; revenue'!K19+'Clients &amp; revenue'!K20),1)</f>
        <v>1</v>
      </c>
      <c r="L41" s="35" t="n">
        <f aca="false">IFERROR('Clients &amp; revenue'!L19/('Clients &amp; revenue'!L19+'Clients &amp; revenue'!L20),1)</f>
        <v>1</v>
      </c>
      <c r="M41" s="35" t="n">
        <f aca="false">IFERROR('Clients &amp; revenue'!M19/('Clients &amp; revenue'!M19+'Clients &amp; revenue'!M20),1)</f>
        <v>1</v>
      </c>
      <c r="N41" s="35" t="n">
        <f aca="false">IFERROR('Clients &amp; revenue'!N19/('Clients &amp; revenue'!N19+'Clients &amp; revenue'!N20),1)</f>
        <v>1</v>
      </c>
      <c r="O41" s="35" t="n">
        <f aca="false">IFERROR('Clients &amp; revenue'!O19/('Clients &amp; revenue'!O19+'Clients &amp; revenue'!O20),1)</f>
        <v>1</v>
      </c>
      <c r="P41" s="35" t="n">
        <f aca="false">IFERROR('Clients &amp; revenue'!P19/('Clients &amp; revenue'!P19+'Clients &amp; revenue'!P20),1)</f>
        <v>1</v>
      </c>
      <c r="Q41" s="35" t="n">
        <f aca="false">IFERROR('Clients &amp; revenue'!Q19/('Clients &amp; revenue'!Q19+'Clients &amp; revenue'!Q20),1)</f>
        <v>1</v>
      </c>
      <c r="R41" s="35" t="n">
        <f aca="false">IFERROR('Clients &amp; revenue'!R19/('Clients &amp; revenue'!R19+'Clients &amp; revenue'!R20),1)</f>
        <v>1</v>
      </c>
      <c r="S41" s="35" t="n">
        <f aca="false">IFERROR('Clients &amp; revenue'!S19/('Clients &amp; revenue'!S19+'Clients &amp; revenue'!S20),1)</f>
        <v>1</v>
      </c>
      <c r="T41" s="35" t="n">
        <f aca="false">IFERROR('Clients &amp; revenue'!T19/('Clients &amp; revenue'!T19+'Clients &amp; revenue'!T20),1)</f>
        <v>1</v>
      </c>
      <c r="U41" s="35" t="n">
        <f aca="false">IFERROR('Clients &amp; revenue'!U19/('Clients &amp; revenue'!U19+'Clients &amp; revenue'!U20),1)</f>
        <v>1</v>
      </c>
      <c r="V41" s="35" t="n">
        <f aca="false">IFERROR('Clients &amp; revenue'!V19/('Clients &amp; revenue'!V19+'Clients &amp; revenue'!V20),1)</f>
        <v>1</v>
      </c>
      <c r="W41" s="35" t="n">
        <f aca="false">IFERROR('Clients &amp; revenue'!W19/('Clients &amp; revenue'!W19+'Clients &amp; revenue'!W20),1)</f>
        <v>0.956893132214923</v>
      </c>
      <c r="X41" s="35" t="n">
        <f aca="false">IFERROR('Clients &amp; revenue'!X19/('Clients &amp; revenue'!X19+'Clients &amp; revenue'!X20),1)</f>
        <v>0.92301291436935</v>
      </c>
      <c r="Y41" s="35" t="n">
        <f aca="false">IFERROR('Clients &amp; revenue'!Y19/('Clients &amp; revenue'!Y19+'Clients &amp; revenue'!Y20),1)</f>
        <v>0.896481484929553</v>
      </c>
      <c r="Z41" s="35" t="n">
        <f aca="false">IFERROR('Clients &amp; revenue'!Z19/('Clients &amp; revenue'!Z19+'Clients &amp; revenue'!Z20),1)</f>
        <v>0.874959156065474</v>
      </c>
      <c r="AA41" s="35" t="n">
        <f aca="false">IFERROR('Clients &amp; revenue'!AA19/('Clients &amp; revenue'!AA19+'Clients &amp; revenue'!AA20),1)</f>
        <v>0.857169194939637</v>
      </c>
      <c r="AB41" s="35" t="n">
        <f aca="false">IFERROR('Clients &amp; revenue'!AB19/('Clients &amp; revenue'!AB19+'Clients &amp; revenue'!AB20),1)</f>
        <v>0.84223586867689</v>
      </c>
      <c r="AC41" s="35" t="n">
        <f aca="false">IFERROR('Clients &amp; revenue'!AC19/('Clients &amp; revenue'!AC19+'Clients &amp; revenue'!AC20),1)</f>
        <v>0.822187609363043</v>
      </c>
      <c r="AD41" s="35" t="n">
        <f aca="false">IFERROR('Clients &amp; revenue'!AD19/('Clients &amp; revenue'!AD19+'Clients &amp; revenue'!AD20),1)</f>
        <v>0.805721453334048</v>
      </c>
      <c r="AE41" s="35" t="n">
        <f aca="false">IFERROR('Clients &amp; revenue'!AE19/('Clients &amp; revenue'!AE19+'Clients &amp; revenue'!AE20),1)</f>
        <v>0.792880270309881</v>
      </c>
      <c r="AF41" s="35" t="n">
        <f aca="false">IFERROR('Clients &amp; revenue'!AF19/('Clients &amp; revenue'!AF19+'Clients &amp; revenue'!AF20),1)</f>
        <v>0.782111649741486</v>
      </c>
      <c r="AG41" s="35" t="n">
        <f aca="false">IFERROR('Clients &amp; revenue'!AG19/('Clients &amp; revenue'!AG19+'Clients &amp; revenue'!AG20),1)</f>
        <v>0.772972498281958</v>
      </c>
      <c r="AH41" s="35" t="n">
        <f aca="false">IFERROR('Clients &amp; revenue'!AH19/('Clients &amp; revenue'!AH19+'Clients &amp; revenue'!AH20),1)</f>
        <v>0.765138738014987</v>
      </c>
      <c r="AI41" s="35" t="n">
        <f aca="false">IFERROR('Clients &amp; revenue'!AI19/('Clients &amp; revenue'!AI19+'Clients &amp; revenue'!AI20),1)</f>
        <v>0.759148905738204</v>
      </c>
      <c r="AJ41" s="35" t="n">
        <f aca="false">IFERROR('Clients &amp; revenue'!AJ19/('Clients &amp; revenue'!AJ19+'Clients &amp; revenue'!AJ20),1)</f>
        <v>0.753965305726172</v>
      </c>
      <c r="AK41" s="35" t="n">
        <f aca="false">IFERROR('Clients &amp; revenue'!AK19/('Clients &amp; revenue'!AK19+'Clients &amp; revenue'!AK20),1)</f>
        <v>0.749449532451966</v>
      </c>
      <c r="AL41" s="35" t="n">
        <f aca="false">IFERROR('Clients &amp; revenue'!AL19/('Clients &amp; revenue'!AL19+'Clients &amp; revenue'!AL20),1)</f>
        <v>0.745493818956417</v>
      </c>
      <c r="AM41" s="35" t="n">
        <f aca="false">IFERROR('Clients &amp; revenue'!AM19/('Clients &amp; revenue'!AM19+'Clients &amp; revenue'!AM20),1)</f>
        <v>0.742672826550564</v>
      </c>
      <c r="AN41" s="35" t="n">
        <f aca="false">IFERROR('Clients &amp; revenue'!AN19/('Clients &amp; revenue'!AN19+'Clients &amp; revenue'!AN20),1)</f>
        <v>0.740194618934315</v>
      </c>
      <c r="AO41" s="35" t="n">
        <f aca="false">IFERROR('Clients &amp; revenue'!AO19/('Clients &amp; revenue'!AO19+'Clients &amp; revenue'!AO20),1)</f>
        <v>0.735282205545941</v>
      </c>
      <c r="AP41" s="35" t="n">
        <f aca="false">IFERROR('Clients &amp; revenue'!AP19/('Clients &amp; revenue'!AP19+'Clients &amp; revenue'!AP20),1)</f>
        <v>0.731565783463576</v>
      </c>
      <c r="AQ41" s="35" t="n">
        <f aca="false">IFERROR('Clients &amp; revenue'!AQ19/('Clients &amp; revenue'!AQ19+'Clients &amp; revenue'!AQ20),1)</f>
        <v>0.728318020151561</v>
      </c>
      <c r="AR41" s="35" t="n">
        <f aca="false">IFERROR('Clients &amp; revenue'!AR19/('Clients &amp; revenue'!AR19+'Clients &amp; revenue'!AR20),1)</f>
        <v>0.725471023787806</v>
      </c>
      <c r="AS41" s="35" t="n">
        <f aca="false">IFERROR('Clients &amp; revenue'!AS19/('Clients &amp; revenue'!AS19+'Clients &amp; revenue'!AS20),1)</f>
        <v>0.723481419503293</v>
      </c>
      <c r="AT41" s="35" t="n">
        <f aca="false">IFERROR('Clients &amp; revenue'!AT19/('Clients &amp; revenue'!AT19+'Clients &amp; revenue'!AT20),1)</f>
        <v>0.721743596286449</v>
      </c>
      <c r="AU41" s="35" t="n">
        <f aca="false">IFERROR('Clients &amp; revenue'!AU19/('Clients &amp; revenue'!AU19+'Clients &amp; revenue'!AU20),1)</f>
        <v>0.72022569409735</v>
      </c>
      <c r="AV41" s="35" t="n">
        <f aca="false">IFERROR('Clients &amp; revenue'!AV19/('Clients &amp; revenue'!AV19+'Clients &amp; revenue'!AV20),1)</f>
        <v>0.718317390938094</v>
      </c>
      <c r="AW41" s="35" t="n">
        <f aca="false">IFERROR('Clients &amp; revenue'!AW19/('Clients &amp; revenue'!AW19+'Clients &amp; revenue'!AW20),1)</f>
        <v>0.716526837156046</v>
      </c>
      <c r="AX41" s="35" t="n">
        <f aca="false">IFERROR('Clients &amp; revenue'!AX19/('Clients &amp; revenue'!AX19+'Clients &amp; revenue'!AX20),1)</f>
        <v>0.715119588189244</v>
      </c>
      <c r="AY41" s="35" t="n">
        <f aca="false">IFERROR('Clients &amp; revenue'!AY19/('Clients &amp; revenue'!AY19+'Clients &amp; revenue'!AY20),1)</f>
        <v>0.71363633899172</v>
      </c>
      <c r="AZ41" s="35" t="n">
        <f aca="false">IFERROR('Clients &amp; revenue'!AZ19/('Clients &amp; revenue'!AZ19+'Clients &amp; revenue'!AZ20),1)</f>
        <v>0.712075305979799</v>
      </c>
      <c r="BA41" s="35" t="n">
        <f aca="false">IFERROR('Clients &amp; revenue'!BA19/('Clients &amp; revenue'!BA19+'Clients &amp; revenue'!BA20),1)</f>
        <v>0.709393398560845</v>
      </c>
      <c r="BB41" s="35" t="n">
        <f aca="false">IFERROR('Clients &amp; revenue'!BB19/('Clients &amp; revenue'!BB19+'Clients &amp; revenue'!BB20),1)</f>
        <v>0.706748575830528</v>
      </c>
      <c r="BC41" s="35" t="n">
        <f aca="false">IFERROR('Clients &amp; revenue'!BC19/('Clients &amp; revenue'!BC19+'Clients &amp; revenue'!BC20),1)</f>
        <v>0.704472417980288</v>
      </c>
      <c r="BD41" s="35" t="n">
        <f aca="false">IFERROR('Clients &amp; revenue'!BD19/('Clients &amp; revenue'!BD19+'Clients &amp; revenue'!BD20),1)</f>
        <v>0.702174912885167</v>
      </c>
      <c r="BE41" s="35" t="n">
        <f aca="false">IFERROR('Clients &amp; revenue'!BE19/('Clients &amp; revenue'!BE19+'Clients &amp; revenue'!BE20),1)</f>
        <v>0.699159371979803</v>
      </c>
      <c r="BF41" s="35" t="n">
        <f aca="false">IFERROR('Clients &amp; revenue'!BF19/('Clients &amp; revenue'!BF19+'Clients &amp; revenue'!BF20),1)</f>
        <v>0.69648774172483</v>
      </c>
      <c r="BG41" s="35" t="n">
        <f aca="false">IFERROR('Clients &amp; revenue'!BG19/('Clients &amp; revenue'!BG19+'Clients &amp; revenue'!BG20),1)</f>
        <v>0.693803735214917</v>
      </c>
      <c r="BH41" s="35" t="n">
        <f aca="false">IFERROR('Clients &amp; revenue'!BH19/('Clients &amp; revenue'!BH19+'Clients &amp; revenue'!BH20),1)</f>
        <v>0.691397826867103</v>
      </c>
      <c r="BI41" s="35" t="n">
        <f aca="false">IFERROR('Clients &amp; revenue'!BI19/('Clients &amp; revenue'!BI19+'Clients &amp; revenue'!BI20),1)</f>
        <v>0.688352924471168</v>
      </c>
      <c r="BJ41" s="35" t="n">
        <f aca="false">IFERROR('Clients &amp; revenue'!BJ19/('Clients &amp; revenue'!BJ19+'Clients &amp; revenue'!BJ20),1)</f>
        <v>0.685585794168005</v>
      </c>
      <c r="BK41" s="35" t="n">
        <f aca="false">IFERROR('Clients &amp; revenue'!BK19/('Clients &amp; revenue'!BK19+'Clients &amp; revenue'!BK20),1)</f>
        <v>0.682908452083578</v>
      </c>
      <c r="BL41" s="35" t="n">
        <f aca="false">IFERROR('Clients &amp; revenue'!BL19/('Clients &amp; revenue'!BL19+'Clients &amp; revenue'!BL20),1)</f>
        <v>0.680713089066826</v>
      </c>
    </row>
    <row r="42" customFormat="false" ht="15" hidden="false" customHeight="true" outlineLevel="0" collapsed="false">
      <c r="A42" s="13" t="s">
        <v>1275</v>
      </c>
      <c r="B42" s="15" t="s">
        <v>96</v>
      </c>
      <c r="E42" s="35" t="n">
        <f aca="false">IF(E$3&gt;=Own_Funding_Month,E41+(1-E41)*Partner_Share,Partner_Share)</f>
        <v>0.5</v>
      </c>
      <c r="F42" s="35" t="n">
        <f aca="false">IF(F$3&gt;=Own_Funding_Month,F41+(1-F41)*Partner_Share,Partner_Share)</f>
        <v>0.5</v>
      </c>
      <c r="G42" s="35" t="n">
        <f aca="false">IF(G$3&gt;=Own_Funding_Month,G41+(1-G41)*Partner_Share,Partner_Share)</f>
        <v>0.5</v>
      </c>
      <c r="H42" s="35" t="n">
        <f aca="false">IF(H$3&gt;=Own_Funding_Month,H41+(1-H41)*Partner_Share,Partner_Share)</f>
        <v>0.5</v>
      </c>
      <c r="I42" s="35" t="n">
        <f aca="false">IF(I$3&gt;=Own_Funding_Month,I41+(1-I41)*Partner_Share,Partner_Share)</f>
        <v>0.5</v>
      </c>
      <c r="J42" s="35" t="n">
        <f aca="false">IF(J$3&gt;=Own_Funding_Month,J41+(1-J41)*Partner_Share,Partner_Share)</f>
        <v>0.5</v>
      </c>
      <c r="K42" s="35" t="n">
        <f aca="false">IF(K$3&gt;=Own_Funding_Month,K41+(1-K41)*Partner_Share,Partner_Share)</f>
        <v>0.5</v>
      </c>
      <c r="L42" s="35" t="n">
        <f aca="false">IF(L$3&gt;=Own_Funding_Month,L41+(1-L41)*Partner_Share,Partner_Share)</f>
        <v>0.5</v>
      </c>
      <c r="M42" s="35" t="n">
        <f aca="false">IF(M$3&gt;=Own_Funding_Month,M41+(1-M41)*Partner_Share,Partner_Share)</f>
        <v>0.5</v>
      </c>
      <c r="N42" s="35" t="n">
        <f aca="false">IF(N$3&gt;=Own_Funding_Month,N41+(1-N41)*Partner_Share,Partner_Share)</f>
        <v>0.5</v>
      </c>
      <c r="O42" s="35" t="n">
        <f aca="false">IF(O$3&gt;=Own_Funding_Month,O41+(1-O41)*Partner_Share,Partner_Share)</f>
        <v>0.5</v>
      </c>
      <c r="P42" s="35" t="n">
        <f aca="false">IF(P$3&gt;=Own_Funding_Month,P41+(1-P41)*Partner_Share,Partner_Share)</f>
        <v>0.5</v>
      </c>
      <c r="Q42" s="35" t="n">
        <f aca="false">IF(Q$3&gt;=Own_Funding_Month,Q41+(1-Q41)*Partner_Share,Partner_Share)</f>
        <v>0.5</v>
      </c>
      <c r="R42" s="35" t="n">
        <f aca="false">IF(R$3&gt;=Own_Funding_Month,R41+(1-R41)*Partner_Share,Partner_Share)</f>
        <v>0.5</v>
      </c>
      <c r="S42" s="35" t="n">
        <f aca="false">IF(S$3&gt;=Own_Funding_Month,S41+(1-S41)*Partner_Share,Partner_Share)</f>
        <v>0.5</v>
      </c>
      <c r="T42" s="35" t="n">
        <f aca="false">IF(T$3&gt;=Own_Funding_Month,T41+(1-T41)*Partner_Share,Partner_Share)</f>
        <v>0.5</v>
      </c>
      <c r="U42" s="35" t="n">
        <f aca="false">IF(U$3&gt;=Own_Funding_Month,U41+(1-U41)*Partner_Share,Partner_Share)</f>
        <v>0.5</v>
      </c>
      <c r="V42" s="35" t="n">
        <f aca="false">IF(V$3&gt;=Own_Funding_Month,V41+(1-V41)*Partner_Share,Partner_Share)</f>
        <v>0.5</v>
      </c>
      <c r="W42" s="35" t="n">
        <f aca="false">IF(W$3&gt;=Own_Funding_Month,W41+(1-W41)*Partner_Share,Partner_Share)</f>
        <v>0.5</v>
      </c>
      <c r="X42" s="35" t="n">
        <f aca="false">IF(X$3&gt;=Own_Funding_Month,X41+(1-X41)*Partner_Share,Partner_Share)</f>
        <v>0.5</v>
      </c>
      <c r="Y42" s="35" t="n">
        <f aca="false">IF(Y$3&gt;=Own_Funding_Month,Y41+(1-Y41)*Partner_Share,Partner_Share)</f>
        <v>0.5</v>
      </c>
      <c r="Z42" s="35" t="n">
        <f aca="false">IF(Z$3&gt;=Own_Funding_Month,Z41+(1-Z41)*Partner_Share,Partner_Share)</f>
        <v>0.5</v>
      </c>
      <c r="AA42" s="35" t="n">
        <f aca="false">IF(AA$3&gt;=Own_Funding_Month,AA41+(1-AA41)*Partner_Share,Partner_Share)</f>
        <v>0.5</v>
      </c>
      <c r="AB42" s="35" t="n">
        <f aca="false">IF(AB$3&gt;=Own_Funding_Month,AB41+(1-AB41)*Partner_Share,Partner_Share)</f>
        <v>0.5</v>
      </c>
      <c r="AC42" s="35" t="n">
        <f aca="false">IF(AC$3&gt;=Own_Funding_Month,AC41+(1-AC41)*Partner_Share,Partner_Share)</f>
        <v>0.911093804681521</v>
      </c>
      <c r="AD42" s="35" t="n">
        <f aca="false">IF(AD$3&gt;=Own_Funding_Month,AD41+(1-AD41)*Partner_Share,Partner_Share)</f>
        <v>0.902860726667024</v>
      </c>
      <c r="AE42" s="35" t="n">
        <f aca="false">IF(AE$3&gt;=Own_Funding_Month,AE41+(1-AE41)*Partner_Share,Partner_Share)</f>
        <v>0.896440135154941</v>
      </c>
      <c r="AF42" s="35" t="n">
        <f aca="false">IF(AF$3&gt;=Own_Funding_Month,AF41+(1-AF41)*Partner_Share,Partner_Share)</f>
        <v>0.891055824870743</v>
      </c>
      <c r="AG42" s="35" t="n">
        <f aca="false">IF(AG$3&gt;=Own_Funding_Month,AG41+(1-AG41)*Partner_Share,Partner_Share)</f>
        <v>0.886486249140979</v>
      </c>
      <c r="AH42" s="35" t="n">
        <f aca="false">IF(AH$3&gt;=Own_Funding_Month,AH41+(1-AH41)*Partner_Share,Partner_Share)</f>
        <v>0.882569369007494</v>
      </c>
      <c r="AI42" s="35" t="n">
        <f aca="false">IF(AI$3&gt;=Own_Funding_Month,AI41+(1-AI41)*Partner_Share,Partner_Share)</f>
        <v>0.879574452869102</v>
      </c>
      <c r="AJ42" s="35" t="n">
        <f aca="false">IF(AJ$3&gt;=Own_Funding_Month,AJ41+(1-AJ41)*Partner_Share,Partner_Share)</f>
        <v>0.876982652863086</v>
      </c>
      <c r="AK42" s="35" t="n">
        <f aca="false">IF(AK$3&gt;=Own_Funding_Month,AK41+(1-AK41)*Partner_Share,Partner_Share)</f>
        <v>0.874724766225983</v>
      </c>
      <c r="AL42" s="35" t="n">
        <f aca="false">IF(AL$3&gt;=Own_Funding_Month,AL41+(1-AL41)*Partner_Share,Partner_Share)</f>
        <v>0.872746909478208</v>
      </c>
      <c r="AM42" s="35" t="n">
        <f aca="false">IF(AM$3&gt;=Own_Funding_Month,AM41+(1-AM41)*Partner_Share,Partner_Share)</f>
        <v>0.871336413275282</v>
      </c>
      <c r="AN42" s="35" t="n">
        <f aca="false">IF(AN$3&gt;=Own_Funding_Month,AN41+(1-AN41)*Partner_Share,Partner_Share)</f>
        <v>0.870097309467158</v>
      </c>
      <c r="AO42" s="35" t="n">
        <f aca="false">IF(AO$3&gt;=Own_Funding_Month,AO41+(1-AO41)*Partner_Share,Partner_Share)</f>
        <v>0.867641102772971</v>
      </c>
      <c r="AP42" s="35" t="n">
        <f aca="false">IF(AP$3&gt;=Own_Funding_Month,AP41+(1-AP41)*Partner_Share,Partner_Share)</f>
        <v>0.865782891731788</v>
      </c>
      <c r="AQ42" s="35" t="n">
        <f aca="false">IF(AQ$3&gt;=Own_Funding_Month,AQ41+(1-AQ41)*Partner_Share,Partner_Share)</f>
        <v>0.864159010075781</v>
      </c>
      <c r="AR42" s="35" t="n">
        <f aca="false">IF(AR$3&gt;=Own_Funding_Month,AR41+(1-AR41)*Partner_Share,Partner_Share)</f>
        <v>0.862735511893903</v>
      </c>
      <c r="AS42" s="35" t="n">
        <f aca="false">IF(AS$3&gt;=Own_Funding_Month,AS41+(1-AS41)*Partner_Share,Partner_Share)</f>
        <v>0.861740709751647</v>
      </c>
      <c r="AT42" s="35" t="n">
        <f aca="false">IF(AT$3&gt;=Own_Funding_Month,AT41+(1-AT41)*Partner_Share,Partner_Share)</f>
        <v>0.860871798143224</v>
      </c>
      <c r="AU42" s="35" t="n">
        <f aca="false">IF(AU$3&gt;=Own_Funding_Month,AU41+(1-AU41)*Partner_Share,Partner_Share)</f>
        <v>0.860112847048675</v>
      </c>
      <c r="AV42" s="35" t="n">
        <f aca="false">IF(AV$3&gt;=Own_Funding_Month,AV41+(1-AV41)*Partner_Share,Partner_Share)</f>
        <v>0.859158695469047</v>
      </c>
      <c r="AW42" s="35" t="n">
        <f aca="false">IF(AW$3&gt;=Own_Funding_Month,AW41+(1-AW41)*Partner_Share,Partner_Share)</f>
        <v>0.858263418578023</v>
      </c>
      <c r="AX42" s="35" t="n">
        <f aca="false">IF(AX$3&gt;=Own_Funding_Month,AX41+(1-AX41)*Partner_Share,Partner_Share)</f>
        <v>0.857559794094622</v>
      </c>
      <c r="AY42" s="35" t="n">
        <f aca="false">IF(AY$3&gt;=Own_Funding_Month,AY41+(1-AY41)*Partner_Share,Partner_Share)</f>
        <v>0.85681816949586</v>
      </c>
      <c r="AZ42" s="35" t="n">
        <f aca="false">IF(AZ$3&gt;=Own_Funding_Month,AZ41+(1-AZ41)*Partner_Share,Partner_Share)</f>
        <v>0.8560376529899</v>
      </c>
      <c r="BA42" s="35" t="n">
        <f aca="false">IF(BA$3&gt;=Own_Funding_Month,BA41+(1-BA41)*Partner_Share,Partner_Share)</f>
        <v>0.854696699280423</v>
      </c>
      <c r="BB42" s="35" t="n">
        <f aca="false">IF(BB$3&gt;=Own_Funding_Month,BB41+(1-BB41)*Partner_Share,Partner_Share)</f>
        <v>0.853374287915264</v>
      </c>
      <c r="BC42" s="35" t="n">
        <f aca="false">IF(BC$3&gt;=Own_Funding_Month,BC41+(1-BC41)*Partner_Share,Partner_Share)</f>
        <v>0.852236208990144</v>
      </c>
      <c r="BD42" s="35" t="n">
        <f aca="false">IF(BD$3&gt;=Own_Funding_Month,BD41+(1-BD41)*Partner_Share,Partner_Share)</f>
        <v>0.851087456442584</v>
      </c>
      <c r="BE42" s="35" t="n">
        <f aca="false">IF(BE$3&gt;=Own_Funding_Month,BE41+(1-BE41)*Partner_Share,Partner_Share)</f>
        <v>0.849579685989901</v>
      </c>
      <c r="BF42" s="35" t="n">
        <f aca="false">IF(BF$3&gt;=Own_Funding_Month,BF41+(1-BF41)*Partner_Share,Partner_Share)</f>
        <v>0.848243870862415</v>
      </c>
      <c r="BG42" s="35" t="n">
        <f aca="false">IF(BG$3&gt;=Own_Funding_Month,BG41+(1-BG41)*Partner_Share,Partner_Share)</f>
        <v>0.846901867607458</v>
      </c>
      <c r="BH42" s="35" t="n">
        <f aca="false">IF(BH$3&gt;=Own_Funding_Month,BH41+(1-BH41)*Partner_Share,Partner_Share)</f>
        <v>0.845698913433551</v>
      </c>
      <c r="BI42" s="35" t="n">
        <f aca="false">IF(BI$3&gt;=Own_Funding_Month,BI41+(1-BI41)*Partner_Share,Partner_Share)</f>
        <v>0.844176462235584</v>
      </c>
      <c r="BJ42" s="35" t="n">
        <f aca="false">IF(BJ$3&gt;=Own_Funding_Month,BJ41+(1-BJ41)*Partner_Share,Partner_Share)</f>
        <v>0.842792897084003</v>
      </c>
      <c r="BK42" s="35" t="n">
        <f aca="false">IF(BK$3&gt;=Own_Funding_Month,BK41+(1-BK41)*Partner_Share,Partner_Share)</f>
        <v>0.841454226041789</v>
      </c>
      <c r="BL42" s="35" t="n">
        <f aca="false">IF(BL$3&gt;=Own_Funding_Month,BL41+(1-BL41)*Partner_Share,Partner_Share)</f>
        <v>0.840356544533413</v>
      </c>
    </row>
    <row r="43" customFormat="false" ht="15" hidden="false" customHeight="true" outlineLevel="0" collapsed="false">
      <c r="A43" s="9" t="s">
        <v>1276</v>
      </c>
      <c r="B43" s="15" t="s">
        <v>77</v>
      </c>
      <c r="D43" s="56" t="n">
        <f aca="false">SUM(E43:BL43)</f>
        <v>1030885274.04224</v>
      </c>
      <c r="E43" s="17" t="n">
        <f aca="false">E40*E42</f>
        <v>0</v>
      </c>
      <c r="F43" s="17" t="n">
        <f aca="false">F40*F42</f>
        <v>0</v>
      </c>
      <c r="G43" s="17" t="n">
        <f aca="false">G40*G42</f>
        <v>0</v>
      </c>
      <c r="H43" s="17" t="n">
        <f aca="false">H40*H42</f>
        <v>0</v>
      </c>
      <c r="I43" s="17" t="n">
        <f aca="false">I40*I42</f>
        <v>0</v>
      </c>
      <c r="J43" s="17" t="n">
        <f aca="false">J40*J42</f>
        <v>0</v>
      </c>
      <c r="K43" s="17" t="n">
        <f aca="false">K40*K42</f>
        <v>0</v>
      </c>
      <c r="L43" s="17" t="n">
        <f aca="false">L40*L42</f>
        <v>0</v>
      </c>
      <c r="M43" s="17" t="n">
        <f aca="false">M40*M42</f>
        <v>0</v>
      </c>
      <c r="N43" s="17" t="n">
        <f aca="false">N40*N42</f>
        <v>0</v>
      </c>
      <c r="O43" s="17" t="n">
        <f aca="false">O40*O42</f>
        <v>0</v>
      </c>
      <c r="P43" s="17" t="n">
        <f aca="false">P40*P42</f>
        <v>0</v>
      </c>
      <c r="Q43" s="17" t="n">
        <f aca="false">Q40*Q42</f>
        <v>0</v>
      </c>
      <c r="R43" s="17" t="n">
        <f aca="false">R40*R42</f>
        <v>0</v>
      </c>
      <c r="S43" s="17" t="n">
        <f aca="false">S40*S42</f>
        <v>0</v>
      </c>
      <c r="T43" s="17" t="n">
        <f aca="false">T40*T42</f>
        <v>0</v>
      </c>
      <c r="U43" s="17" t="n">
        <f aca="false">U40*U42</f>
        <v>0</v>
      </c>
      <c r="V43" s="17" t="n">
        <f aca="false">V40*V42</f>
        <v>75377.4293318827</v>
      </c>
      <c r="W43" s="17" t="n">
        <f aca="false">W40*W42</f>
        <v>245961.588281376</v>
      </c>
      <c r="X43" s="17" t="n">
        <f aca="false">X40*X42</f>
        <v>456138.580244107</v>
      </c>
      <c r="Y43" s="17" t="n">
        <f aca="false">Y40*Y42</f>
        <v>728230.92506279</v>
      </c>
      <c r="Z43" s="17" t="n">
        <f aca="false">Z40*Z42</f>
        <v>1067587.91924804</v>
      </c>
      <c r="AA43" s="17" t="n">
        <f aca="false">AA40*AA42</f>
        <v>1457177.13009712</v>
      </c>
      <c r="AB43" s="17" t="n">
        <f aca="false">AB40*AB42</f>
        <v>1897061.69093654</v>
      </c>
      <c r="AC43" s="17" t="n">
        <f aca="false">AC40*AC42</f>
        <v>4405571.52790202</v>
      </c>
      <c r="AD43" s="17" t="n">
        <f aca="false">AD40*AD42</f>
        <v>5465847.01820029</v>
      </c>
      <c r="AE43" s="17" t="n">
        <f aca="false">AE40*AE42</f>
        <v>6745769.47521033</v>
      </c>
      <c r="AF43" s="17" t="n">
        <f aca="false">AF40*AF42</f>
        <v>8259586.45900485</v>
      </c>
      <c r="AG43" s="17" t="n">
        <f aca="false">AG40*AG42</f>
        <v>9916990.0376909</v>
      </c>
      <c r="AH43" s="17" t="n">
        <f aca="false">AH40*AH42</f>
        <v>11341023.5725647</v>
      </c>
      <c r="AI43" s="17" t="n">
        <f aca="false">AI40*AI42</f>
        <v>12514443.7462178</v>
      </c>
      <c r="AJ43" s="17" t="n">
        <f aca="false">AJ40*AJ42</f>
        <v>13763809.7424567</v>
      </c>
      <c r="AK43" s="17" t="n">
        <f aca="false">AK40*AK42</f>
        <v>14983322.7024906</v>
      </c>
      <c r="AL43" s="17" t="n">
        <f aca="false">AL40*AL42</f>
        <v>16164869.8762673</v>
      </c>
      <c r="AM43" s="17" t="n">
        <f aca="false">AM40*AM42</f>
        <v>17416387.3965291</v>
      </c>
      <c r="AN43" s="17" t="n">
        <f aca="false">AN40*AN42</f>
        <v>18733453.4317916</v>
      </c>
      <c r="AO43" s="17" t="n">
        <f aca="false">AO40*AO42</f>
        <v>20137074.7588092</v>
      </c>
      <c r="AP43" s="17" t="n">
        <f aca="false">AP40*AP42</f>
        <v>21692978.8732878</v>
      </c>
      <c r="AQ43" s="17" t="n">
        <f aca="false">AQ40*AQ42</f>
        <v>23136226.6368429</v>
      </c>
      <c r="AR43" s="17" t="n">
        <f aca="false">AR40*AR42</f>
        <v>24425883.7468583</v>
      </c>
      <c r="AS43" s="17" t="n">
        <f aca="false">AS40*AS42</f>
        <v>25764034.1838644</v>
      </c>
      <c r="AT43" s="17" t="n">
        <f aca="false">AT40*AT42</f>
        <v>27106801.3854495</v>
      </c>
      <c r="AU43" s="17" t="n">
        <f aca="false">AU40*AU42</f>
        <v>28427747.6202571</v>
      </c>
      <c r="AV43" s="17" t="n">
        <f aca="false">AV40*AV42</f>
        <v>29798673.0076211</v>
      </c>
      <c r="AW43" s="17" t="n">
        <f aca="false">AW40*AW42</f>
        <v>31221871.1474886</v>
      </c>
      <c r="AX43" s="17" t="n">
        <f aca="false">AX40*AX42</f>
        <v>32667153.6714084</v>
      </c>
      <c r="AY43" s="17" t="n">
        <f aca="false">AY40*AY42</f>
        <v>34119455.1077584</v>
      </c>
      <c r="AZ43" s="17" t="n">
        <f aca="false">AZ40*AZ42</f>
        <v>35554804.4981029</v>
      </c>
      <c r="BA43" s="17" t="n">
        <f aca="false">BA40*BA42</f>
        <v>37050290.6175537</v>
      </c>
      <c r="BB43" s="17" t="n">
        <f aca="false">BB40*BB42</f>
        <v>38627949.2896547</v>
      </c>
      <c r="BC43" s="17" t="n">
        <f aca="false">BC40*BC42</f>
        <v>40220089.7533686</v>
      </c>
      <c r="BD43" s="17" t="n">
        <f aca="false">BD40*BD42</f>
        <v>41818770.0642175</v>
      </c>
      <c r="BE43" s="17" t="n">
        <f aca="false">BE40*BE42</f>
        <v>43404337.3507768</v>
      </c>
      <c r="BF43" s="17" t="n">
        <f aca="false">BF40*BF42</f>
        <v>45027478.87575</v>
      </c>
      <c r="BG43" s="17" t="n">
        <f aca="false">BG40*BG42</f>
        <v>46658100.9234667</v>
      </c>
      <c r="BH43" s="17" t="n">
        <f aca="false">BH40*BH42</f>
        <v>48305173.6987893</v>
      </c>
      <c r="BI43" s="17" t="n">
        <f aca="false">BI40*BI42</f>
        <v>49964620.2717144</v>
      </c>
      <c r="BJ43" s="17" t="n">
        <f aca="false">BJ40*BJ42</f>
        <v>51662875.3129049</v>
      </c>
      <c r="BK43" s="17" t="n">
        <f aca="false">BK40*BK42</f>
        <v>53368776.5516927</v>
      </c>
      <c r="BL43" s="17" t="n">
        <f aca="false">BL40*BL42</f>
        <v>55085496.445073</v>
      </c>
    </row>
    <row r="45" customFormat="false" ht="15" hidden="false" customHeight="true" outlineLevel="0" collapsed="false">
      <c r="A45" s="11" t="s">
        <v>1277</v>
      </c>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row>
    <row r="46" customFormat="false" ht="15" hidden="false" customHeight="true" outlineLevel="0" collapsed="false">
      <c r="A46" s="13" t="s">
        <v>1278</v>
      </c>
      <c r="B46" s="15" t="s">
        <v>77</v>
      </c>
      <c r="D46" s="56" t="n">
        <f aca="false">BL46</f>
        <v>1052977395.59266</v>
      </c>
      <c r="E46" s="33" t="n">
        <f aca="false">IF(E$3&gt;=Own_Funding_Month,E25*(E41*Capital_Ratio+(1-E41)*First_Loss),E25*First_Loss)</f>
        <v>0</v>
      </c>
      <c r="F46" s="33" t="n">
        <f aca="false">IF(F$3&gt;=Own_Funding_Month,F25*(F41*Capital_Ratio+(1-F41)*First_Loss),F25*First_Loss)</f>
        <v>0</v>
      </c>
      <c r="G46" s="33" t="n">
        <f aca="false">IF(G$3&gt;=Own_Funding_Month,G25*(G41*Capital_Ratio+(1-G41)*First_Loss),G25*First_Loss)</f>
        <v>0</v>
      </c>
      <c r="H46" s="33" t="n">
        <f aca="false">IF(H$3&gt;=Own_Funding_Month,H25*(H41*Capital_Ratio+(1-H41)*First_Loss),H25*First_Loss)</f>
        <v>0</v>
      </c>
      <c r="I46" s="33" t="n">
        <f aca="false">IF(I$3&gt;=Own_Funding_Month,I25*(I41*Capital_Ratio+(1-I41)*First_Loss),I25*First_Loss)</f>
        <v>0</v>
      </c>
      <c r="J46" s="33" t="n">
        <f aca="false">IF(J$3&gt;=Own_Funding_Month,J25*(J41*Capital_Ratio+(1-J41)*First_Loss),J25*First_Loss)</f>
        <v>0</v>
      </c>
      <c r="K46" s="33" t="n">
        <f aca="false">IF(K$3&gt;=Own_Funding_Month,K25*(K41*Capital_Ratio+(1-K41)*First_Loss),K25*First_Loss)</f>
        <v>0</v>
      </c>
      <c r="L46" s="33" t="n">
        <f aca="false">IF(L$3&gt;=Own_Funding_Month,L25*(L41*Capital_Ratio+(1-L41)*First_Loss),L25*First_Loss)</f>
        <v>0</v>
      </c>
      <c r="M46" s="33" t="n">
        <f aca="false">IF(M$3&gt;=Own_Funding_Month,M25*(M41*Capital_Ratio+(1-M41)*First_Loss),M25*First_Loss)</f>
        <v>0</v>
      </c>
      <c r="N46" s="33" t="n">
        <f aca="false">IF(N$3&gt;=Own_Funding_Month,N25*(N41*Capital_Ratio+(1-N41)*First_Loss),N25*First_Loss)</f>
        <v>0</v>
      </c>
      <c r="O46" s="33" t="n">
        <f aca="false">IF(O$3&gt;=Own_Funding_Month,O25*(O41*Capital_Ratio+(1-O41)*First_Loss),O25*First_Loss)</f>
        <v>0</v>
      </c>
      <c r="P46" s="33" t="n">
        <f aca="false">IF(P$3&gt;=Own_Funding_Month,P25*(P41*Capital_Ratio+(1-P41)*First_Loss),P25*First_Loss)</f>
        <v>0</v>
      </c>
      <c r="Q46" s="33" t="n">
        <f aca="false">IF(Q$3&gt;=Own_Funding_Month,Q25*(Q41*Capital_Ratio+(1-Q41)*First_Loss),Q25*First_Loss)</f>
        <v>0</v>
      </c>
      <c r="R46" s="33" t="n">
        <f aca="false">IF(R$3&gt;=Own_Funding_Month,R25*(R41*Capital_Ratio+(1-R41)*First_Loss),R25*First_Loss)</f>
        <v>0</v>
      </c>
      <c r="S46" s="33" t="n">
        <f aca="false">IF(S$3&gt;=Own_Funding_Month,S25*(S41*Capital_Ratio+(1-S41)*First_Loss),S25*First_Loss)</f>
        <v>0</v>
      </c>
      <c r="T46" s="33" t="n">
        <f aca="false">IF(T$3&gt;=Own_Funding_Month,T25*(T41*Capital_Ratio+(1-T41)*First_Loss),T25*First_Loss)</f>
        <v>0</v>
      </c>
      <c r="U46" s="33" t="n">
        <f aca="false">IF(U$3&gt;=Own_Funding_Month,U25*(U41*Capital_Ratio+(1-U41)*First_Loss),U25*First_Loss)</f>
        <v>0</v>
      </c>
      <c r="V46" s="33" t="n">
        <f aca="false">IF(V$3&gt;=Own_Funding_Month,V25*(V41*Capital_Ratio+(1-V41)*First_Loss),V25*First_Loss)</f>
        <v>3171515.45238977</v>
      </c>
      <c r="W46" s="33" t="n">
        <f aca="false">IF(W$3&gt;=Own_Funding_Month,W25*(W41*Capital_Ratio+(1-W41)*First_Loss),W25*First_Loss)</f>
        <v>7177351.3747622</v>
      </c>
      <c r="X46" s="33" t="n">
        <f aca="false">IF(X$3&gt;=Own_Funding_Month,X25*(X41*Capital_Ratio+(1-X41)*First_Loss),X25*First_Loss)</f>
        <v>12014740.5882815</v>
      </c>
      <c r="Y46" s="33" t="n">
        <f aca="false">IF(Y$3&gt;=Own_Funding_Month,Y25*(Y41*Capital_Ratio+(1-Y41)*First_Loss),Y25*First_Loss)</f>
        <v>18903687.8255837</v>
      </c>
      <c r="Z46" s="33" t="n">
        <f aca="false">IF(Z$3&gt;=Own_Funding_Month,Z25*(Z41*Capital_Ratio+(1-Z41)*First_Loss),Z25*First_Loss)</f>
        <v>26905155.7074892</v>
      </c>
      <c r="AA46" s="33" t="n">
        <f aca="false">IF(AA$3&gt;=Own_Funding_Month,AA25*(AA41*Capital_Ratio+(1-AA41)*First_Loss),AA25*First_Loss)</f>
        <v>36019368.6326155</v>
      </c>
      <c r="AB46" s="33" t="n">
        <f aca="false">IF(AB$3&gt;=Own_Funding_Month,AB25*(AB41*Capital_Ratio+(1-AB41)*First_Loss),AB25*First_Loss)</f>
        <v>46248763.9054858</v>
      </c>
      <c r="AC46" s="33" t="n">
        <f aca="false">IF(AC$3&gt;=Own_Funding_Month,AC25*(AC41*Capital_Ratio+(1-AC41)*First_Loss),AC25*First_Loss)</f>
        <v>83140167.9869665</v>
      </c>
      <c r="AD46" s="33" t="n">
        <f aca="false">IF(AD$3&gt;=Own_Funding_Month,AD25*(AD41*Capital_Ratio+(1-AD41)*First_Loss),AD25*First_Loss)</f>
        <v>102476287.820268</v>
      </c>
      <c r="AE46" s="33" t="n">
        <f aca="false">IF(AE$3&gt;=Own_Funding_Month,AE25*(AE41*Capital_Ratio+(1-AE41)*First_Loss),AE25*First_Loss)</f>
        <v>128642933.837067</v>
      </c>
      <c r="AF46" s="33" t="n">
        <f aca="false">IF(AF$3&gt;=Own_Funding_Month,AF25*(AF41*Capital_Ratio+(1-AF41)*First_Loss),AF25*First_Loss)</f>
        <v>157526435.622965</v>
      </c>
      <c r="AG46" s="33" t="n">
        <f aca="false">IF(AG$3&gt;=Own_Funding_Month,AG25*(AG41*Capital_Ratio+(1-AG41)*First_Loss),AG25*First_Loss)</f>
        <v>189136724.083222</v>
      </c>
      <c r="AH46" s="33" t="n">
        <f aca="false">IF(AH$3&gt;=Own_Funding_Month,AH25*(AH41*Capital_Ratio+(1-AH41)*First_Loss),AH25*First_Loss)</f>
        <v>211036217.895963</v>
      </c>
      <c r="AI46" s="33" t="n">
        <f aca="false">IF(AI$3&gt;=Own_Funding_Month,AI25*(AI41*Capital_Ratio+(1-AI41)*First_Loss),AI25*First_Loss)</f>
        <v>234953194.992696</v>
      </c>
      <c r="AJ46" s="33" t="n">
        <f aca="false">IF(AJ$3&gt;=Own_Funding_Month,AJ25*(AJ41*Capital_Ratio+(1-AJ41)*First_Loss),AJ25*First_Loss)</f>
        <v>260138112.957152</v>
      </c>
      <c r="AK46" s="33" t="n">
        <f aca="false">IF(AK$3&gt;=Own_Funding_Month,AK25*(AK41*Capital_Ratio+(1-AK41)*First_Loss),AK25*First_Loss)</f>
        <v>282764115.736758</v>
      </c>
      <c r="AL46" s="33" t="n">
        <f aca="false">IF(AL$3&gt;=Own_Funding_Month,AL25*(AL41*Capital_Ratio+(1-AL41)*First_Loss),AL25*First_Loss)</f>
        <v>306273082.219919</v>
      </c>
      <c r="AM46" s="33" t="n">
        <f aca="false">IF(AM$3&gt;=Own_Funding_Month,AM25*(AM41*Capital_Ratio+(1-AM41)*First_Loss),AM25*First_Loss)</f>
        <v>331616631.035199</v>
      </c>
      <c r="AN46" s="33" t="n">
        <f aca="false">IF(AN$3&gt;=Own_Funding_Month,AN25*(AN41*Capital_Ratio+(1-AN41)*First_Loss),AN25*First_Loss)</f>
        <v>357926840.20851</v>
      </c>
      <c r="AO46" s="33" t="n">
        <f aca="false">IF(AO$3&gt;=Own_Funding_Month,AO25*(AO41*Capital_Ratio+(1-AO41)*First_Loss),AO25*First_Loss)</f>
        <v>387577795.751745</v>
      </c>
      <c r="AP46" s="33" t="n">
        <f aca="false">IF(AP$3&gt;=Own_Funding_Month,AP25*(AP41*Capital_Ratio+(1-AP41)*First_Loss),AP25*First_Loss)</f>
        <v>419321274.045249</v>
      </c>
      <c r="AQ46" s="33" t="n">
        <f aca="false">IF(AQ$3&gt;=Own_Funding_Month,AQ25*(AQ41*Capital_Ratio+(1-AQ41)*First_Loss),AQ25*First_Loss)</f>
        <v>443325750.439445</v>
      </c>
      <c r="AR46" s="33" t="n">
        <f aca="false">IF(AR$3&gt;=Own_Funding_Month,AR25*(AR41*Capital_Ratio+(1-AR41)*First_Loss),AR25*First_Loss)</f>
        <v>467603336.410588</v>
      </c>
      <c r="AS46" s="33" t="n">
        <f aca="false">IF(AS$3&gt;=Own_Funding_Month,AS25*(AS41*Capital_Ratio+(1-AS41)*First_Loss),AS25*First_Loss)</f>
        <v>493184802.526532</v>
      </c>
      <c r="AT46" s="33" t="n">
        <f aca="false">IF(AT$3&gt;=Own_Funding_Month,AT25*(AT41*Capital_Ratio+(1-AT41)*First_Loss),AT25*First_Loss)</f>
        <v>517848756.828817</v>
      </c>
      <c r="AU46" s="33" t="n">
        <f aca="false">IF(AU$3&gt;=Own_Funding_Month,AU25*(AU41*Capital_Ratio+(1-AU41)*First_Loss),AU25*First_Loss)</f>
        <v>542750450.318434</v>
      </c>
      <c r="AV46" s="33" t="n">
        <f aca="false">IF(AV$3&gt;=Own_Funding_Month,AV25*(AV41*Capital_Ratio+(1-AV41)*First_Loss),AV25*First_Loss)</f>
        <v>569522217.468847</v>
      </c>
      <c r="AW46" s="33" t="n">
        <f aca="false">IF(AW$3&gt;=Own_Funding_Month,AW25*(AW41*Capital_Ratio+(1-AW41)*First_Loss),AW25*First_Loss)</f>
        <v>596290661.055236</v>
      </c>
      <c r="AX46" s="33" t="n">
        <f aca="false">IF(AX$3&gt;=Own_Funding_Month,AX25*(AX41*Capital_Ratio+(1-AX41)*First_Loss),AX25*First_Loss)</f>
        <v>623767079.399596</v>
      </c>
      <c r="AY46" s="33" t="n">
        <f aca="false">IF(AY$3&gt;=Own_Funding_Month,AY25*(AY41*Capital_Ratio+(1-AY41)*First_Loss),AY25*First_Loss)</f>
        <v>650949072.877137</v>
      </c>
      <c r="AZ46" s="33" t="n">
        <f aca="false">IF(AZ$3&gt;=Own_Funding_Month,AZ25*(AZ41*Capital_Ratio+(1-AZ41)*First_Loss),AZ25*First_Loss)</f>
        <v>677850536.296159</v>
      </c>
      <c r="BA46" s="33" t="n">
        <f aca="false">IF(BA$3&gt;=Own_Funding_Month,BA25*(BA41*Capital_Ratio+(1-BA41)*First_Loss),BA25*First_Loss)</f>
        <v>707914206.637956</v>
      </c>
      <c r="BB46" s="33" t="n">
        <f aca="false">IF(BB$3&gt;=Own_Funding_Month,BB25*(BB41*Capital_Ratio+(1-BB41)*First_Loss),BB25*First_Loss)</f>
        <v>737669942.368467</v>
      </c>
      <c r="BC46" s="33" t="n">
        <f aca="false">IF(BC$3&gt;=Own_Funding_Month,BC25*(BC41*Capital_Ratio+(1-BC41)*First_Loss),BC25*First_Loss)</f>
        <v>768133060.429718</v>
      </c>
      <c r="BD46" s="33" t="n">
        <f aca="false">IF(BD$3&gt;=Own_Funding_Month,BD25*(BD41*Capital_Ratio+(1-BD41)*First_Loss),BD25*First_Loss)</f>
        <v>798303879.466622</v>
      </c>
      <c r="BE46" s="33" t="n">
        <f aca="false">IF(BE$3&gt;=Own_Funding_Month,BE25*(BE41*Capital_Ratio+(1-BE41)*First_Loss),BE25*First_Loss)</f>
        <v>828797456.813138</v>
      </c>
      <c r="BF46" s="33" t="n">
        <f aca="false">IF(BF$3&gt;=Own_Funding_Month,BF25*(BF41*Capital_Ratio+(1-BF41)*First_Loss),BF25*First_Loss)</f>
        <v>860022538.162874</v>
      </c>
      <c r="BG46" s="33" t="n">
        <f aca="false">IF(BG$3&gt;=Own_Funding_Month,BG25*(BG41*Capital_Ratio+(1-BG41)*First_Loss),BG25*First_Loss)</f>
        <v>890981072.334586</v>
      </c>
      <c r="BH46" s="33" t="n">
        <f aca="false">IF(BH$3&gt;=Own_Funding_Month,BH25*(BH41*Capital_Ratio+(1-BH41)*First_Loss),BH25*First_Loss)</f>
        <v>922691272.241932</v>
      </c>
      <c r="BI46" s="33" t="n">
        <f aca="false">IF(BI$3&gt;=Own_Funding_Month,BI25*(BI41*Capital_Ratio+(1-BI41)*First_Loss),BI25*First_Loss)</f>
        <v>954754450.850941</v>
      </c>
      <c r="BJ46" s="33" t="n">
        <f aca="false">IF(BJ$3&gt;=Own_Funding_Month,BJ25*(BJ41*Capital_Ratio+(1-BJ41)*First_Loss),BJ25*First_Loss)</f>
        <v>987582277.573761</v>
      </c>
      <c r="BK46" s="33" t="n">
        <f aca="false">IF(BK$3&gt;=Own_Funding_Month,BK25*(BK41*Capital_Ratio+(1-BK41)*First_Loss),BK25*First_Loss)</f>
        <v>1020037091.19808</v>
      </c>
      <c r="BL46" s="33" t="n">
        <f aca="false">IF(BL$3&gt;=Own_Funding_Month,BL25*(BL41*Capital_Ratio+(1-BL41)*First_Loss),BL25*First_Loss)</f>
        <v>1052977395.59266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1279</v>
      </c>
    </row>
    <row r="2" customFormat="false" ht="15" hidden="false" customHeight="true" outlineLevel="0" collapsed="false">
      <c r="A2" s="3" t="s">
        <v>1280</v>
      </c>
    </row>
    <row r="3" customFormat="false" ht="15" hidden="false" customHeight="true" outlineLevel="0" collapsed="false">
      <c r="A3" s="9" t="s">
        <v>1131</v>
      </c>
      <c r="D3" s="9" t="s">
        <v>1132</v>
      </c>
      <c r="E3" s="21" t="n">
        <f aca="false">Credit!E3</f>
        <v>1</v>
      </c>
      <c r="F3" s="21" t="n">
        <f aca="false">Credit!F3</f>
        <v>2</v>
      </c>
      <c r="G3" s="21" t="n">
        <f aca="false">Credit!G3</f>
        <v>3</v>
      </c>
      <c r="H3" s="21" t="n">
        <f aca="false">Credit!H3</f>
        <v>4</v>
      </c>
      <c r="I3" s="21" t="n">
        <f aca="false">Credit!I3</f>
        <v>5</v>
      </c>
      <c r="J3" s="21" t="n">
        <f aca="false">Credit!J3</f>
        <v>6</v>
      </c>
      <c r="K3" s="21" t="n">
        <f aca="false">Credit!K3</f>
        <v>7</v>
      </c>
      <c r="L3" s="21" t="n">
        <f aca="false">Credit!L3</f>
        <v>8</v>
      </c>
      <c r="M3" s="21" t="n">
        <f aca="false">Credit!M3</f>
        <v>9</v>
      </c>
      <c r="N3" s="21" t="n">
        <f aca="false">Credit!N3</f>
        <v>10</v>
      </c>
      <c r="O3" s="21" t="n">
        <f aca="false">Credit!O3</f>
        <v>11</v>
      </c>
      <c r="P3" s="21" t="n">
        <f aca="false">Credit!P3</f>
        <v>12</v>
      </c>
      <c r="Q3" s="21" t="n">
        <f aca="false">Credit!Q3</f>
        <v>13</v>
      </c>
      <c r="R3" s="21" t="n">
        <f aca="false">Credit!R3</f>
        <v>14</v>
      </c>
      <c r="S3" s="21" t="n">
        <f aca="false">Credit!S3</f>
        <v>15</v>
      </c>
      <c r="T3" s="21" t="n">
        <f aca="false">Credit!T3</f>
        <v>16</v>
      </c>
      <c r="U3" s="21" t="n">
        <f aca="false">Credit!U3</f>
        <v>17</v>
      </c>
      <c r="V3" s="21" t="n">
        <f aca="false">Credit!V3</f>
        <v>18</v>
      </c>
      <c r="W3" s="21" t="n">
        <f aca="false">Credit!W3</f>
        <v>19</v>
      </c>
      <c r="X3" s="21" t="n">
        <f aca="false">Credit!X3</f>
        <v>20</v>
      </c>
      <c r="Y3" s="21" t="n">
        <f aca="false">Credit!Y3</f>
        <v>21</v>
      </c>
      <c r="Z3" s="21" t="n">
        <f aca="false">Credit!Z3</f>
        <v>22</v>
      </c>
      <c r="AA3" s="21" t="n">
        <f aca="false">Credit!AA3</f>
        <v>23</v>
      </c>
      <c r="AB3" s="21" t="n">
        <f aca="false">Credit!AB3</f>
        <v>24</v>
      </c>
      <c r="AC3" s="21" t="n">
        <f aca="false">Credit!AC3</f>
        <v>25</v>
      </c>
      <c r="AD3" s="21" t="n">
        <f aca="false">Credit!AD3</f>
        <v>26</v>
      </c>
      <c r="AE3" s="21" t="n">
        <f aca="false">Credit!AE3</f>
        <v>27</v>
      </c>
      <c r="AF3" s="21" t="n">
        <f aca="false">Credit!AF3</f>
        <v>28</v>
      </c>
      <c r="AG3" s="21" t="n">
        <f aca="false">Credit!AG3</f>
        <v>29</v>
      </c>
      <c r="AH3" s="21" t="n">
        <f aca="false">Credit!AH3</f>
        <v>30</v>
      </c>
      <c r="AI3" s="21" t="n">
        <f aca="false">Credit!AI3</f>
        <v>31</v>
      </c>
      <c r="AJ3" s="21" t="n">
        <f aca="false">Credit!AJ3</f>
        <v>32</v>
      </c>
      <c r="AK3" s="21" t="n">
        <f aca="false">Credit!AK3</f>
        <v>33</v>
      </c>
      <c r="AL3" s="21" t="n">
        <f aca="false">Credit!AL3</f>
        <v>34</v>
      </c>
      <c r="AM3" s="21" t="n">
        <f aca="false">Credit!AM3</f>
        <v>35</v>
      </c>
      <c r="AN3" s="21" t="n">
        <f aca="false">Credit!AN3</f>
        <v>36</v>
      </c>
      <c r="AO3" s="21" t="n">
        <f aca="false">Credit!AO3</f>
        <v>37</v>
      </c>
      <c r="AP3" s="21" t="n">
        <f aca="false">Credit!AP3</f>
        <v>38</v>
      </c>
      <c r="AQ3" s="21" t="n">
        <f aca="false">Credit!AQ3</f>
        <v>39</v>
      </c>
      <c r="AR3" s="21" t="n">
        <f aca="false">Credit!AR3</f>
        <v>40</v>
      </c>
      <c r="AS3" s="21" t="n">
        <f aca="false">Credit!AS3</f>
        <v>41</v>
      </c>
      <c r="AT3" s="21" t="n">
        <f aca="false">Credit!AT3</f>
        <v>42</v>
      </c>
      <c r="AU3" s="21" t="n">
        <f aca="false">Credit!AU3</f>
        <v>43</v>
      </c>
      <c r="AV3" s="21" t="n">
        <f aca="false">Credit!AV3</f>
        <v>44</v>
      </c>
      <c r="AW3" s="21" t="n">
        <f aca="false">Credit!AW3</f>
        <v>45</v>
      </c>
      <c r="AX3" s="21" t="n">
        <f aca="false">Credit!AX3</f>
        <v>46</v>
      </c>
      <c r="AY3" s="21" t="n">
        <f aca="false">Credit!AY3</f>
        <v>47</v>
      </c>
      <c r="AZ3" s="21" t="n">
        <f aca="false">Credit!AZ3</f>
        <v>48</v>
      </c>
      <c r="BA3" s="21" t="n">
        <f aca="false">Credit!BA3</f>
        <v>49</v>
      </c>
      <c r="BB3" s="21" t="n">
        <f aca="false">Credit!BB3</f>
        <v>50</v>
      </c>
      <c r="BC3" s="21" t="n">
        <f aca="false">Credit!BC3</f>
        <v>51</v>
      </c>
      <c r="BD3" s="21" t="n">
        <f aca="false">Credit!BD3</f>
        <v>52</v>
      </c>
      <c r="BE3" s="21" t="n">
        <f aca="false">Credit!BE3</f>
        <v>53</v>
      </c>
      <c r="BF3" s="21" t="n">
        <f aca="false">Credit!BF3</f>
        <v>54</v>
      </c>
      <c r="BG3" s="21" t="n">
        <f aca="false">Credit!BG3</f>
        <v>55</v>
      </c>
      <c r="BH3" s="21" t="n">
        <f aca="false">Credit!BH3</f>
        <v>56</v>
      </c>
      <c r="BI3" s="21" t="n">
        <f aca="false">Credit!BI3</f>
        <v>57</v>
      </c>
      <c r="BJ3" s="21" t="n">
        <f aca="false">Credit!BJ3</f>
        <v>58</v>
      </c>
      <c r="BK3" s="21" t="n">
        <f aca="false">Credit!BK3</f>
        <v>59</v>
      </c>
      <c r="BL3" s="21" t="n">
        <f aca="false">Credit!BL3</f>
        <v>60</v>
      </c>
    </row>
    <row r="4" customFormat="false" ht="15" hidden="false" customHeight="true" outlineLevel="0" collapsed="false">
      <c r="A4" s="9" t="s">
        <v>1133</v>
      </c>
      <c r="E4" s="54" t="n">
        <f aca="false">Credit!E4</f>
        <v>46388</v>
      </c>
      <c r="F4" s="54" t="n">
        <f aca="false">Credit!F4</f>
        <v>46419</v>
      </c>
      <c r="G4" s="54" t="n">
        <f aca="false">Credit!G4</f>
        <v>46447</v>
      </c>
      <c r="H4" s="54" t="n">
        <f aca="false">Credit!H4</f>
        <v>46478</v>
      </c>
      <c r="I4" s="54" t="n">
        <f aca="false">Credit!I4</f>
        <v>46508</v>
      </c>
      <c r="J4" s="54" t="n">
        <f aca="false">Credit!J4</f>
        <v>46539</v>
      </c>
      <c r="K4" s="54" t="n">
        <f aca="false">Credit!K4</f>
        <v>46569</v>
      </c>
      <c r="L4" s="54" t="n">
        <f aca="false">Credit!L4</f>
        <v>46600</v>
      </c>
      <c r="M4" s="54" t="n">
        <f aca="false">Credit!M4</f>
        <v>46631</v>
      </c>
      <c r="N4" s="54" t="n">
        <f aca="false">Credit!N4</f>
        <v>46661</v>
      </c>
      <c r="O4" s="54" t="n">
        <f aca="false">Credit!O4</f>
        <v>46692</v>
      </c>
      <c r="P4" s="54" t="n">
        <f aca="false">Credit!P4</f>
        <v>46722</v>
      </c>
      <c r="Q4" s="54" t="n">
        <f aca="false">Credit!Q4</f>
        <v>46753</v>
      </c>
      <c r="R4" s="54" t="n">
        <f aca="false">Credit!R4</f>
        <v>46784</v>
      </c>
      <c r="S4" s="54" t="n">
        <f aca="false">Credit!S4</f>
        <v>46813</v>
      </c>
      <c r="T4" s="54" t="n">
        <f aca="false">Credit!T4</f>
        <v>46844</v>
      </c>
      <c r="U4" s="54" t="n">
        <f aca="false">Credit!U4</f>
        <v>46874</v>
      </c>
      <c r="V4" s="54" t="n">
        <f aca="false">Credit!V4</f>
        <v>46905</v>
      </c>
      <c r="W4" s="54" t="n">
        <f aca="false">Credit!W4</f>
        <v>46935</v>
      </c>
      <c r="X4" s="54" t="n">
        <f aca="false">Credit!X4</f>
        <v>46966</v>
      </c>
      <c r="Y4" s="54" t="n">
        <f aca="false">Credit!Y4</f>
        <v>46997</v>
      </c>
      <c r="Z4" s="54" t="n">
        <f aca="false">Credit!Z4</f>
        <v>47027</v>
      </c>
      <c r="AA4" s="54" t="n">
        <f aca="false">Credit!AA4</f>
        <v>47058</v>
      </c>
      <c r="AB4" s="54" t="n">
        <f aca="false">Credit!AB4</f>
        <v>47088</v>
      </c>
      <c r="AC4" s="54" t="n">
        <f aca="false">Credit!AC4</f>
        <v>47119</v>
      </c>
      <c r="AD4" s="54" t="n">
        <f aca="false">Credit!AD4</f>
        <v>47150</v>
      </c>
      <c r="AE4" s="54" t="n">
        <f aca="false">Credit!AE4</f>
        <v>47178</v>
      </c>
      <c r="AF4" s="54" t="n">
        <f aca="false">Credit!AF4</f>
        <v>47209</v>
      </c>
      <c r="AG4" s="54" t="n">
        <f aca="false">Credit!AG4</f>
        <v>47239</v>
      </c>
      <c r="AH4" s="54" t="n">
        <f aca="false">Credit!AH4</f>
        <v>47270</v>
      </c>
      <c r="AI4" s="54" t="n">
        <f aca="false">Credit!AI4</f>
        <v>47300</v>
      </c>
      <c r="AJ4" s="54" t="n">
        <f aca="false">Credit!AJ4</f>
        <v>47331</v>
      </c>
      <c r="AK4" s="54" t="n">
        <f aca="false">Credit!AK4</f>
        <v>47362</v>
      </c>
      <c r="AL4" s="54" t="n">
        <f aca="false">Credit!AL4</f>
        <v>47392</v>
      </c>
      <c r="AM4" s="54" t="n">
        <f aca="false">Credit!AM4</f>
        <v>47423</v>
      </c>
      <c r="AN4" s="54" t="n">
        <f aca="false">Credit!AN4</f>
        <v>47453</v>
      </c>
      <c r="AO4" s="54" t="n">
        <f aca="false">Credit!AO4</f>
        <v>47484</v>
      </c>
      <c r="AP4" s="54" t="n">
        <f aca="false">Credit!AP4</f>
        <v>47515</v>
      </c>
      <c r="AQ4" s="54" t="n">
        <f aca="false">Credit!AQ4</f>
        <v>47543</v>
      </c>
      <c r="AR4" s="54" t="n">
        <f aca="false">Credit!AR4</f>
        <v>47574</v>
      </c>
      <c r="AS4" s="54" t="n">
        <f aca="false">Credit!AS4</f>
        <v>47604</v>
      </c>
      <c r="AT4" s="54" t="n">
        <f aca="false">Credit!AT4</f>
        <v>47635</v>
      </c>
      <c r="AU4" s="54" t="n">
        <f aca="false">Credit!AU4</f>
        <v>47665</v>
      </c>
      <c r="AV4" s="54" t="n">
        <f aca="false">Credit!AV4</f>
        <v>47696</v>
      </c>
      <c r="AW4" s="54" t="n">
        <f aca="false">Credit!AW4</f>
        <v>47727</v>
      </c>
      <c r="AX4" s="54" t="n">
        <f aca="false">Credit!AX4</f>
        <v>47757</v>
      </c>
      <c r="AY4" s="54" t="n">
        <f aca="false">Credit!AY4</f>
        <v>47788</v>
      </c>
      <c r="AZ4" s="54" t="n">
        <f aca="false">Credit!AZ4</f>
        <v>47818</v>
      </c>
      <c r="BA4" s="54" t="n">
        <f aca="false">Credit!BA4</f>
        <v>47849</v>
      </c>
      <c r="BB4" s="54" t="n">
        <f aca="false">Credit!BB4</f>
        <v>47880</v>
      </c>
      <c r="BC4" s="54" t="n">
        <f aca="false">Credit!BC4</f>
        <v>47908</v>
      </c>
      <c r="BD4" s="54" t="n">
        <f aca="false">Credit!BD4</f>
        <v>47939</v>
      </c>
      <c r="BE4" s="54" t="n">
        <f aca="false">Credit!BE4</f>
        <v>47969</v>
      </c>
      <c r="BF4" s="54" t="n">
        <f aca="false">Credit!BF4</f>
        <v>48000</v>
      </c>
      <c r="BG4" s="54" t="n">
        <f aca="false">Credit!BG4</f>
        <v>48030</v>
      </c>
      <c r="BH4" s="54" t="n">
        <f aca="false">Credit!BH4</f>
        <v>48061</v>
      </c>
      <c r="BI4" s="54" t="n">
        <f aca="false">Credit!BI4</f>
        <v>48092</v>
      </c>
      <c r="BJ4" s="54" t="n">
        <f aca="false">Credit!BJ4</f>
        <v>48122</v>
      </c>
      <c r="BK4" s="54" t="n">
        <f aca="false">Credit!BK4</f>
        <v>48153</v>
      </c>
      <c r="BL4" s="54" t="n">
        <f aca="false">Credit!BL4</f>
        <v>48183</v>
      </c>
    </row>
    <row r="5" customFormat="false" ht="15" hidden="false" customHeight="true" outlineLevel="0" collapsed="false">
      <c r="A5" s="9" t="s">
        <v>87</v>
      </c>
      <c r="E5" s="55" t="n">
        <f aca="false">Credit!E5</f>
        <v>1</v>
      </c>
      <c r="F5" s="55" t="n">
        <f aca="false">Credit!F5</f>
        <v>1</v>
      </c>
      <c r="G5" s="55" t="n">
        <f aca="false">Credit!G5</f>
        <v>1</v>
      </c>
      <c r="H5" s="55" t="n">
        <f aca="false">Credit!H5</f>
        <v>1</v>
      </c>
      <c r="I5" s="55" t="n">
        <f aca="false">Credit!I5</f>
        <v>1</v>
      </c>
      <c r="J5" s="55" t="n">
        <f aca="false">Credit!J5</f>
        <v>1</v>
      </c>
      <c r="K5" s="55" t="n">
        <f aca="false">Credit!K5</f>
        <v>1</v>
      </c>
      <c r="L5" s="55" t="n">
        <f aca="false">Credit!L5</f>
        <v>1</v>
      </c>
      <c r="M5" s="55" t="n">
        <f aca="false">Credit!M5</f>
        <v>1</v>
      </c>
      <c r="N5" s="55" t="n">
        <f aca="false">Credit!N5</f>
        <v>1</v>
      </c>
      <c r="O5" s="55" t="n">
        <f aca="false">Credit!O5</f>
        <v>1</v>
      </c>
      <c r="P5" s="55" t="n">
        <f aca="false">Credit!P5</f>
        <v>1</v>
      </c>
      <c r="Q5" s="55" t="n">
        <f aca="false">Credit!Q5</f>
        <v>2</v>
      </c>
      <c r="R5" s="55" t="n">
        <f aca="false">Credit!R5</f>
        <v>2</v>
      </c>
      <c r="S5" s="55" t="n">
        <f aca="false">Credit!S5</f>
        <v>2</v>
      </c>
      <c r="T5" s="55" t="n">
        <f aca="false">Credit!T5</f>
        <v>2</v>
      </c>
      <c r="U5" s="55" t="n">
        <f aca="false">Credit!U5</f>
        <v>2</v>
      </c>
      <c r="V5" s="55" t="n">
        <f aca="false">Credit!V5</f>
        <v>2</v>
      </c>
      <c r="W5" s="55" t="n">
        <f aca="false">Credit!W5</f>
        <v>2</v>
      </c>
      <c r="X5" s="55" t="n">
        <f aca="false">Credit!X5</f>
        <v>2</v>
      </c>
      <c r="Y5" s="55" t="n">
        <f aca="false">Credit!Y5</f>
        <v>2</v>
      </c>
      <c r="Z5" s="55" t="n">
        <f aca="false">Credit!Z5</f>
        <v>2</v>
      </c>
      <c r="AA5" s="55" t="n">
        <f aca="false">Credit!AA5</f>
        <v>2</v>
      </c>
      <c r="AB5" s="55" t="n">
        <f aca="false">Credit!AB5</f>
        <v>2</v>
      </c>
      <c r="AC5" s="55" t="n">
        <f aca="false">Credit!AC5</f>
        <v>3</v>
      </c>
      <c r="AD5" s="55" t="n">
        <f aca="false">Credit!AD5</f>
        <v>3</v>
      </c>
      <c r="AE5" s="55" t="n">
        <f aca="false">Credit!AE5</f>
        <v>3</v>
      </c>
      <c r="AF5" s="55" t="n">
        <f aca="false">Credit!AF5</f>
        <v>3</v>
      </c>
      <c r="AG5" s="55" t="n">
        <f aca="false">Credit!AG5</f>
        <v>3</v>
      </c>
      <c r="AH5" s="55" t="n">
        <f aca="false">Credit!AH5</f>
        <v>3</v>
      </c>
      <c r="AI5" s="55" t="n">
        <f aca="false">Credit!AI5</f>
        <v>3</v>
      </c>
      <c r="AJ5" s="55" t="n">
        <f aca="false">Credit!AJ5</f>
        <v>3</v>
      </c>
      <c r="AK5" s="55" t="n">
        <f aca="false">Credit!AK5</f>
        <v>3</v>
      </c>
      <c r="AL5" s="55" t="n">
        <f aca="false">Credit!AL5</f>
        <v>3</v>
      </c>
      <c r="AM5" s="55" t="n">
        <f aca="false">Credit!AM5</f>
        <v>3</v>
      </c>
      <c r="AN5" s="55" t="n">
        <f aca="false">Credit!AN5</f>
        <v>3</v>
      </c>
      <c r="AO5" s="55" t="n">
        <f aca="false">Credit!AO5</f>
        <v>4</v>
      </c>
      <c r="AP5" s="55" t="n">
        <f aca="false">Credit!AP5</f>
        <v>4</v>
      </c>
      <c r="AQ5" s="55" t="n">
        <f aca="false">Credit!AQ5</f>
        <v>4</v>
      </c>
      <c r="AR5" s="55" t="n">
        <f aca="false">Credit!AR5</f>
        <v>4</v>
      </c>
      <c r="AS5" s="55" t="n">
        <f aca="false">Credit!AS5</f>
        <v>4</v>
      </c>
      <c r="AT5" s="55" t="n">
        <f aca="false">Credit!AT5</f>
        <v>4</v>
      </c>
      <c r="AU5" s="55" t="n">
        <f aca="false">Credit!AU5</f>
        <v>4</v>
      </c>
      <c r="AV5" s="55" t="n">
        <f aca="false">Credit!AV5</f>
        <v>4</v>
      </c>
      <c r="AW5" s="55" t="n">
        <f aca="false">Credit!AW5</f>
        <v>4</v>
      </c>
      <c r="AX5" s="55" t="n">
        <f aca="false">Credit!AX5</f>
        <v>4</v>
      </c>
      <c r="AY5" s="55" t="n">
        <f aca="false">Credit!AY5</f>
        <v>4</v>
      </c>
      <c r="AZ5" s="55" t="n">
        <f aca="false">Credit!AZ5</f>
        <v>4</v>
      </c>
      <c r="BA5" s="55" t="n">
        <f aca="false">Credit!BA5</f>
        <v>5</v>
      </c>
      <c r="BB5" s="55" t="n">
        <f aca="false">Credit!BB5</f>
        <v>5</v>
      </c>
      <c r="BC5" s="55" t="n">
        <f aca="false">Credit!BC5</f>
        <v>5</v>
      </c>
      <c r="BD5" s="55" t="n">
        <f aca="false">Credit!BD5</f>
        <v>5</v>
      </c>
      <c r="BE5" s="55" t="n">
        <f aca="false">Credit!BE5</f>
        <v>5</v>
      </c>
      <c r="BF5" s="55" t="n">
        <f aca="false">Credit!BF5</f>
        <v>5</v>
      </c>
      <c r="BG5" s="55" t="n">
        <f aca="false">Credit!BG5</f>
        <v>5</v>
      </c>
      <c r="BH5" s="55" t="n">
        <f aca="false">Credit!BH5</f>
        <v>5</v>
      </c>
      <c r="BI5" s="55" t="n">
        <f aca="false">Credit!BI5</f>
        <v>5</v>
      </c>
      <c r="BJ5" s="55" t="n">
        <f aca="false">Credit!BJ5</f>
        <v>5</v>
      </c>
      <c r="BK5" s="55" t="n">
        <f aca="false">Credit!BK5</f>
        <v>5</v>
      </c>
      <c r="BL5" s="55" t="n">
        <f aca="false">Credit!BL5</f>
        <v>5</v>
      </c>
    </row>
    <row r="8" customFormat="false" ht="15" hidden="false" customHeight="true" outlineLevel="0" collapsed="false">
      <c r="A8" s="11" t="s">
        <v>413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10" customFormat="false" ht="15" hidden="false" customHeight="true" outlineLevel="0" collapsed="false">
      <c r="A10" s="11"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row>
    <row r="12" customFormat="false" ht="15" hidden="false" customHeight="true" outlineLevel="0" collapsed="false">
      <c r="A12" s="11" t="s">
        <v>1267</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row>
    <row r="13" customFormat="false" ht="15" hidden="false" customHeight="true" outlineLevel="0" collapsed="false">
      <c r="A13" s="13" t="s">
        <v>1047</v>
      </c>
      <c r="B13" s="15" t="s">
        <v>79</v>
      </c>
      <c r="D13" s="56" t="n">
        <f aca="false">Credit!D20/FX_EUR</f>
        <v>5739772.74179102</v>
      </c>
      <c r="E13" s="33" t="n">
        <f aca="false">Credit!E20/FX_EUR</f>
        <v>0</v>
      </c>
      <c r="F13" s="33" t="n">
        <f aca="false">Credit!F20/FX_EUR</f>
        <v>0</v>
      </c>
      <c r="G13" s="33" t="n">
        <f aca="false">Credit!G20/FX_EUR</f>
        <v>0</v>
      </c>
      <c r="H13" s="33" t="n">
        <f aca="false">Credit!H20/FX_EUR</f>
        <v>0</v>
      </c>
      <c r="I13" s="33" t="n">
        <f aca="false">Credit!I20/FX_EUR</f>
        <v>0</v>
      </c>
      <c r="J13" s="33" t="n">
        <f aca="false">Credit!J20/FX_EUR</f>
        <v>0</v>
      </c>
      <c r="K13" s="33" t="n">
        <f aca="false">Credit!K20/FX_EUR</f>
        <v>0</v>
      </c>
      <c r="L13" s="33" t="n">
        <f aca="false">Credit!L20/FX_EUR</f>
        <v>0</v>
      </c>
      <c r="M13" s="33" t="n">
        <f aca="false">Credit!M20/FX_EUR</f>
        <v>0</v>
      </c>
      <c r="N13" s="33" t="n">
        <f aca="false">Credit!N20/FX_EUR</f>
        <v>0</v>
      </c>
      <c r="O13" s="33" t="n">
        <f aca="false">Credit!O20/FX_EUR</f>
        <v>0</v>
      </c>
      <c r="P13" s="33" t="n">
        <f aca="false">Credit!P20/FX_EUR</f>
        <v>0</v>
      </c>
      <c r="Q13" s="33" t="n">
        <f aca="false">Credit!Q20/FX_EUR</f>
        <v>0</v>
      </c>
      <c r="R13" s="33" t="n">
        <f aca="false">Credit!R20/FX_EUR</f>
        <v>0</v>
      </c>
      <c r="S13" s="33" t="n">
        <f aca="false">Credit!S20/FX_EUR</f>
        <v>0</v>
      </c>
      <c r="T13" s="33" t="n">
        <f aca="false">Credit!T20/FX_EUR</f>
        <v>0</v>
      </c>
      <c r="U13" s="33" t="n">
        <f aca="false">Credit!U20/FX_EUR</f>
        <v>0</v>
      </c>
      <c r="V13" s="33" t="n">
        <f aca="false">Credit!V20/FX_EUR</f>
        <v>39468.9317444964</v>
      </c>
      <c r="W13" s="33" t="n">
        <f aca="false">Credit!W20/FX_EUR</f>
        <v>89320.8296693938</v>
      </c>
      <c r="X13" s="33" t="n">
        <f aca="false">Credit!X20/FX_EUR</f>
        <v>149521.256738444</v>
      </c>
      <c r="Y13" s="33" t="n">
        <f aca="false">Credit!Y20/FX_EUR</f>
        <v>221680.663936387</v>
      </c>
      <c r="Z13" s="33" t="n">
        <f aca="false">Credit!Z20/FX_EUR</f>
        <v>304956.471838382</v>
      </c>
      <c r="AA13" s="33" t="n">
        <f aca="false">Credit!AA20/FX_EUR</f>
        <v>399353.98905849</v>
      </c>
      <c r="AB13" s="33" t="n">
        <f aca="false">Credit!AB20/FX_EUR</f>
        <v>504900.76972741</v>
      </c>
      <c r="AC13" s="33" t="n">
        <f aca="false">Credit!AC20/FX_EUR</f>
        <v>635903.455711703</v>
      </c>
      <c r="AD13" s="33" t="n">
        <f aca="false">Credit!AD20/FX_EUR</f>
        <v>781481.303537313</v>
      </c>
      <c r="AE13" s="33" t="n">
        <f aca="false">Credit!AE20/FX_EUR</f>
        <v>945718.291635349</v>
      </c>
      <c r="AF13" s="33" t="n">
        <f aca="false">Credit!AF20/FX_EUR</f>
        <v>1125336.53752037</v>
      </c>
      <c r="AG13" s="33" t="n">
        <f aca="false">Credit!AG20/FX_EUR</f>
        <v>1320396.50719115</v>
      </c>
      <c r="AH13" s="33" t="n">
        <f aca="false">Credit!AH20/FX_EUR</f>
        <v>1413223.18851843</v>
      </c>
      <c r="AI13" s="33" t="n">
        <f aca="false">Credit!AI20/FX_EUR</f>
        <v>1511093.39827368</v>
      </c>
      <c r="AJ13" s="33" t="n">
        <f aca="false">Credit!AJ20/FX_EUR</f>
        <v>1609147.49428002</v>
      </c>
      <c r="AK13" s="33" t="n">
        <f aca="false">Credit!AK20/FX_EUR</f>
        <v>1707490.49131492</v>
      </c>
      <c r="AL13" s="33" t="n">
        <f aca="false">Credit!AL20/FX_EUR</f>
        <v>1806232.03760564</v>
      </c>
      <c r="AM13" s="33" t="n">
        <f aca="false">Credit!AM20/FX_EUR</f>
        <v>1910365.09234741</v>
      </c>
      <c r="AN13" s="33" t="n">
        <f aca="false">Credit!AN20/FX_EUR</f>
        <v>2015050.65388096</v>
      </c>
      <c r="AO13" s="33" t="n">
        <f aca="false">Credit!AO20/FX_EUR</f>
        <v>2135457.26074804</v>
      </c>
      <c r="AP13" s="33" t="n">
        <f aca="false">Credit!AP20/FX_EUR</f>
        <v>2261306.31524149</v>
      </c>
      <c r="AQ13" s="33" t="n">
        <f aca="false">Credit!AQ20/FX_EUR</f>
        <v>2387782.55550335</v>
      </c>
      <c r="AR13" s="33" t="n">
        <f aca="false">Credit!AR20/FX_EUR</f>
        <v>2515037.68032003</v>
      </c>
      <c r="AS13" s="33" t="n">
        <f aca="false">Credit!AS20/FX_EUR</f>
        <v>2648108.83901574</v>
      </c>
      <c r="AT13" s="33" t="n">
        <f aca="false">Credit!AT20/FX_EUR</f>
        <v>2782203.49509463</v>
      </c>
      <c r="AU13" s="33" t="n">
        <f aca="false">Credit!AU20/FX_EUR</f>
        <v>2917497.43438626</v>
      </c>
      <c r="AV13" s="33" t="n">
        <f aca="false">Credit!AV20/FX_EUR</f>
        <v>3063443.86832691</v>
      </c>
      <c r="AW13" s="33" t="n">
        <f aca="false">Credit!AW20/FX_EUR</f>
        <v>3209420.50793371</v>
      </c>
      <c r="AX13" s="33" t="n">
        <f aca="false">Credit!AX20/FX_EUR</f>
        <v>3358917.65829693</v>
      </c>
      <c r="AY13" s="33" t="n">
        <f aca="false">Credit!AY20/FX_EUR</f>
        <v>3507061.05952892</v>
      </c>
      <c r="AZ13" s="33" t="n">
        <f aca="false">Credit!AZ20/FX_EUR</f>
        <v>3653938.88259065</v>
      </c>
      <c r="BA13" s="33" t="n">
        <f aca="false">Credit!BA20/FX_EUR</f>
        <v>3819642.90817711</v>
      </c>
      <c r="BB13" s="33" t="n">
        <f aca="false">Credit!BB20/FX_EUR</f>
        <v>3983934.76520139</v>
      </c>
      <c r="BC13" s="33" t="n">
        <f aca="false">Credit!BC20/FX_EUR</f>
        <v>4151794.330023</v>
      </c>
      <c r="BD13" s="33" t="n">
        <f aca="false">Credit!BD20/FX_EUR</f>
        <v>4318367.05110371</v>
      </c>
      <c r="BE13" s="33" t="n">
        <f aca="false">Credit!BE20/FX_EUR</f>
        <v>4488152.22844277</v>
      </c>
      <c r="BF13" s="33" t="n">
        <f aca="false">Credit!BF20/FX_EUR</f>
        <v>4661677.26980919</v>
      </c>
      <c r="BG13" s="33" t="n">
        <f aca="false">Credit!BG20/FX_EUR</f>
        <v>4834100.11431314</v>
      </c>
      <c r="BH13" s="33" t="n">
        <f aca="false">Credit!BH20/FX_EUR</f>
        <v>5010421.10577746</v>
      </c>
      <c r="BI13" s="33" t="n">
        <f aca="false">Credit!BI20/FX_EUR</f>
        <v>5190197.89577309</v>
      </c>
      <c r="BJ13" s="33" t="n">
        <f aca="false">Credit!BJ20/FX_EUR</f>
        <v>5373977.59362392</v>
      </c>
      <c r="BK13" s="33" t="n">
        <f aca="false">Credit!BK20/FX_EUR</f>
        <v>5555893.55995633</v>
      </c>
      <c r="BL13" s="33" t="n">
        <f aca="false">Credit!BL20/FX_EUR</f>
        <v>5739772.74179102</v>
      </c>
    </row>
    <row r="14" customFormat="false" ht="15" hidden="false" customHeight="true" outlineLevel="0" collapsed="false">
      <c r="A14" s="13" t="s">
        <v>249</v>
      </c>
      <c r="B14" s="15" t="s">
        <v>79</v>
      </c>
      <c r="D14" s="56" t="n">
        <f aca="false">Credit!D21/FX_EUR</f>
        <v>1291448.86690298</v>
      </c>
      <c r="E14" s="33" t="n">
        <f aca="false">Credit!E21/FX_EUR</f>
        <v>0</v>
      </c>
      <c r="F14" s="33" t="n">
        <f aca="false">Credit!F21/FX_EUR</f>
        <v>0</v>
      </c>
      <c r="G14" s="33" t="n">
        <f aca="false">Credit!G21/FX_EUR</f>
        <v>0</v>
      </c>
      <c r="H14" s="33" t="n">
        <f aca="false">Credit!H21/FX_EUR</f>
        <v>0</v>
      </c>
      <c r="I14" s="33" t="n">
        <f aca="false">Credit!I21/FX_EUR</f>
        <v>0</v>
      </c>
      <c r="J14" s="33" t="n">
        <f aca="false">Credit!J21/FX_EUR</f>
        <v>0</v>
      </c>
      <c r="K14" s="33" t="n">
        <f aca="false">Credit!K21/FX_EUR</f>
        <v>0</v>
      </c>
      <c r="L14" s="33" t="n">
        <f aca="false">Credit!L21/FX_EUR</f>
        <v>0</v>
      </c>
      <c r="M14" s="33" t="n">
        <f aca="false">Credit!M21/FX_EUR</f>
        <v>0</v>
      </c>
      <c r="N14" s="33" t="n">
        <f aca="false">Credit!N21/FX_EUR</f>
        <v>0</v>
      </c>
      <c r="O14" s="33" t="n">
        <f aca="false">Credit!O21/FX_EUR</f>
        <v>0</v>
      </c>
      <c r="P14" s="33" t="n">
        <f aca="false">Credit!P21/FX_EUR</f>
        <v>0</v>
      </c>
      <c r="Q14" s="33" t="n">
        <f aca="false">Credit!Q21/FX_EUR</f>
        <v>0</v>
      </c>
      <c r="R14" s="33" t="n">
        <f aca="false">Credit!R21/FX_EUR</f>
        <v>0</v>
      </c>
      <c r="S14" s="33" t="n">
        <f aca="false">Credit!S21/FX_EUR</f>
        <v>0</v>
      </c>
      <c r="T14" s="33" t="n">
        <f aca="false">Credit!T21/FX_EUR</f>
        <v>0</v>
      </c>
      <c r="U14" s="33" t="n">
        <f aca="false">Credit!U21/FX_EUR</f>
        <v>0</v>
      </c>
      <c r="V14" s="33" t="n">
        <f aca="false">Credit!V21/FX_EUR</f>
        <v>8880.5096425117</v>
      </c>
      <c r="W14" s="33" t="n">
        <f aca="false">Credit!W21/FX_EUR</f>
        <v>20097.1866756136</v>
      </c>
      <c r="X14" s="33" t="n">
        <f aca="false">Credit!X21/FX_EUR</f>
        <v>33642.2827661498</v>
      </c>
      <c r="Y14" s="33" t="n">
        <f aca="false">Credit!Y21/FX_EUR</f>
        <v>49878.1493856871</v>
      </c>
      <c r="Z14" s="33" t="n">
        <f aca="false">Credit!Z21/FX_EUR</f>
        <v>68615.2061636359</v>
      </c>
      <c r="AA14" s="33" t="n">
        <f aca="false">Credit!AA21/FX_EUR</f>
        <v>89854.6475381602</v>
      </c>
      <c r="AB14" s="33" t="n">
        <f aca="false">Credit!AB21/FX_EUR</f>
        <v>113602.673188667</v>
      </c>
      <c r="AC14" s="33" t="n">
        <f aca="false">Credit!AC21/FX_EUR</f>
        <v>143078.277535133</v>
      </c>
      <c r="AD14" s="33" t="n">
        <f aca="false">Credit!AD21/FX_EUR</f>
        <v>175833.293295895</v>
      </c>
      <c r="AE14" s="33" t="n">
        <f aca="false">Credit!AE21/FX_EUR</f>
        <v>212786.615617954</v>
      </c>
      <c r="AF14" s="33" t="n">
        <f aca="false">Credit!AF21/FX_EUR</f>
        <v>253200.720942082</v>
      </c>
      <c r="AG14" s="33" t="n">
        <f aca="false">Credit!AG21/FX_EUR</f>
        <v>297089.214118009</v>
      </c>
      <c r="AH14" s="33" t="n">
        <f aca="false">Credit!AH21/FX_EUR</f>
        <v>317975.217416646</v>
      </c>
      <c r="AI14" s="33" t="n">
        <f aca="false">Credit!AI21/FX_EUR</f>
        <v>339996.014611579</v>
      </c>
      <c r="AJ14" s="33" t="n">
        <f aca="false">Credit!AJ21/FX_EUR</f>
        <v>362058.186213005</v>
      </c>
      <c r="AK14" s="33" t="n">
        <f aca="false">Credit!AK21/FX_EUR</f>
        <v>384185.360545858</v>
      </c>
      <c r="AL14" s="33" t="n">
        <f aca="false">Credit!AL21/FX_EUR</f>
        <v>406402.208461268</v>
      </c>
      <c r="AM14" s="33" t="n">
        <f aca="false">Credit!AM21/FX_EUR</f>
        <v>429832.145778166</v>
      </c>
      <c r="AN14" s="33" t="n">
        <f aca="false">Credit!AN21/FX_EUR</f>
        <v>453386.397123216</v>
      </c>
      <c r="AO14" s="33" t="n">
        <f aca="false">Credit!AO21/FX_EUR</f>
        <v>480477.88366831</v>
      </c>
      <c r="AP14" s="33" t="n">
        <f aca="false">Credit!AP21/FX_EUR</f>
        <v>508793.920929335</v>
      </c>
      <c r="AQ14" s="33" t="n">
        <f aca="false">Credit!AQ21/FX_EUR</f>
        <v>537251.074988254</v>
      </c>
      <c r="AR14" s="33" t="n">
        <f aca="false">Credit!AR21/FX_EUR</f>
        <v>565883.478072006</v>
      </c>
      <c r="AS14" s="33" t="n">
        <f aca="false">Credit!AS21/FX_EUR</f>
        <v>595824.488778542</v>
      </c>
      <c r="AT14" s="33" t="n">
        <f aca="false">Credit!AT21/FX_EUR</f>
        <v>625995.786396291</v>
      </c>
      <c r="AU14" s="33" t="n">
        <f aca="false">Credit!AU21/FX_EUR</f>
        <v>656436.922736908</v>
      </c>
      <c r="AV14" s="33" t="n">
        <f aca="false">Credit!AV21/FX_EUR</f>
        <v>689274.870373554</v>
      </c>
      <c r="AW14" s="33" t="n">
        <f aca="false">Credit!AW21/FX_EUR</f>
        <v>722119.614285084</v>
      </c>
      <c r="AX14" s="33" t="n">
        <f aca="false">Credit!AX21/FX_EUR</f>
        <v>755756.473116809</v>
      </c>
      <c r="AY14" s="33" t="n">
        <f aca="false">Credit!AY21/FX_EUR</f>
        <v>789088.738394007</v>
      </c>
      <c r="AZ14" s="33" t="n">
        <f aca="false">Credit!AZ21/FX_EUR</f>
        <v>822136.248582896</v>
      </c>
      <c r="BA14" s="33" t="n">
        <f aca="false">Credit!BA21/FX_EUR</f>
        <v>859419.654339849</v>
      </c>
      <c r="BB14" s="33" t="n">
        <f aca="false">Credit!BB21/FX_EUR</f>
        <v>896385.322170313</v>
      </c>
      <c r="BC14" s="33" t="n">
        <f aca="false">Credit!BC21/FX_EUR</f>
        <v>934153.724255176</v>
      </c>
      <c r="BD14" s="33" t="n">
        <f aca="false">Credit!BD21/FX_EUR</f>
        <v>971632.586498335</v>
      </c>
      <c r="BE14" s="33" t="n">
        <f aca="false">Credit!BE21/FX_EUR</f>
        <v>1009834.25139962</v>
      </c>
      <c r="BF14" s="33" t="n">
        <f aca="false">Credit!BF21/FX_EUR</f>
        <v>1048877.38570707</v>
      </c>
      <c r="BG14" s="33" t="n">
        <f aca="false">Credit!BG21/FX_EUR</f>
        <v>1087672.52572046</v>
      </c>
      <c r="BH14" s="33" t="n">
        <f aca="false">Credit!BH21/FX_EUR</f>
        <v>1127344.74879993</v>
      </c>
      <c r="BI14" s="33" t="n">
        <f aca="false">Credit!BI21/FX_EUR</f>
        <v>1167794.52654895</v>
      </c>
      <c r="BJ14" s="33" t="n">
        <f aca="false">Credit!BJ21/FX_EUR</f>
        <v>1209144.95856538</v>
      </c>
      <c r="BK14" s="33" t="n">
        <f aca="false">Credit!BK21/FX_EUR</f>
        <v>1250076.05099018</v>
      </c>
      <c r="BL14" s="33" t="n">
        <f aca="false">Credit!BL21/FX_EUR</f>
        <v>1291448.86690298</v>
      </c>
    </row>
    <row r="15" customFormat="false" ht="15" hidden="false" customHeight="true" outlineLevel="0" collapsed="false">
      <c r="A15" s="13" t="s">
        <v>251</v>
      </c>
      <c r="B15" s="15" t="s">
        <v>79</v>
      </c>
      <c r="D15" s="56" t="n">
        <f aca="false">Credit!D22/FX_EUR</f>
        <v>1721931.82253731</v>
      </c>
      <c r="E15" s="33" t="n">
        <f aca="false">Credit!E22/FX_EUR</f>
        <v>0</v>
      </c>
      <c r="F15" s="33" t="n">
        <f aca="false">Credit!F22/FX_EUR</f>
        <v>0</v>
      </c>
      <c r="G15" s="33" t="n">
        <f aca="false">Credit!G22/FX_EUR</f>
        <v>0</v>
      </c>
      <c r="H15" s="33" t="n">
        <f aca="false">Credit!H22/FX_EUR</f>
        <v>0</v>
      </c>
      <c r="I15" s="33" t="n">
        <f aca="false">Credit!I22/FX_EUR</f>
        <v>0</v>
      </c>
      <c r="J15" s="33" t="n">
        <f aca="false">Credit!J22/FX_EUR</f>
        <v>0</v>
      </c>
      <c r="K15" s="33" t="n">
        <f aca="false">Credit!K22/FX_EUR</f>
        <v>0</v>
      </c>
      <c r="L15" s="33" t="n">
        <f aca="false">Credit!L22/FX_EUR</f>
        <v>0</v>
      </c>
      <c r="M15" s="33" t="n">
        <f aca="false">Credit!M22/FX_EUR</f>
        <v>0</v>
      </c>
      <c r="N15" s="33" t="n">
        <f aca="false">Credit!N22/FX_EUR</f>
        <v>0</v>
      </c>
      <c r="O15" s="33" t="n">
        <f aca="false">Credit!O22/FX_EUR</f>
        <v>0</v>
      </c>
      <c r="P15" s="33" t="n">
        <f aca="false">Credit!P22/FX_EUR</f>
        <v>0</v>
      </c>
      <c r="Q15" s="33" t="n">
        <f aca="false">Credit!Q22/FX_EUR</f>
        <v>0</v>
      </c>
      <c r="R15" s="33" t="n">
        <f aca="false">Credit!R22/FX_EUR</f>
        <v>0</v>
      </c>
      <c r="S15" s="33" t="n">
        <f aca="false">Credit!S22/FX_EUR</f>
        <v>0</v>
      </c>
      <c r="T15" s="33" t="n">
        <f aca="false">Credit!T22/FX_EUR</f>
        <v>0</v>
      </c>
      <c r="U15" s="33" t="n">
        <f aca="false">Credit!U22/FX_EUR</f>
        <v>0</v>
      </c>
      <c r="V15" s="33" t="n">
        <f aca="false">Credit!V22/FX_EUR</f>
        <v>0</v>
      </c>
      <c r="W15" s="33" t="n">
        <f aca="false">Credit!W22/FX_EUR</f>
        <v>0</v>
      </c>
      <c r="X15" s="33" t="n">
        <f aca="false">Credit!X22/FX_EUR</f>
        <v>0</v>
      </c>
      <c r="Y15" s="33" t="n">
        <f aca="false">Credit!Y22/FX_EUR</f>
        <v>16626.049795229</v>
      </c>
      <c r="Z15" s="33" t="n">
        <f aca="false">Credit!Z22/FX_EUR</f>
        <v>36594.7766206058</v>
      </c>
      <c r="AA15" s="33" t="n">
        <f aca="false">Credit!AA22/FX_EUR</f>
        <v>59903.0983587735</v>
      </c>
      <c r="AB15" s="33" t="n">
        <f aca="false">Credit!AB22/FX_EUR</f>
        <v>86554.417667556</v>
      </c>
      <c r="AC15" s="33" t="n">
        <f aca="false">Credit!AC22/FX_EUR</f>
        <v>119231.897945944</v>
      </c>
      <c r="AD15" s="33" t="n">
        <f aca="false">Credit!AD22/FX_EUR</f>
        <v>156296.260707463</v>
      </c>
      <c r="AE15" s="33" t="n">
        <f aca="false">Credit!AE22/FX_EUR</f>
        <v>198600.841243423</v>
      </c>
      <c r="AF15" s="33" t="n">
        <f aca="false">Credit!AF22/FX_EUR</f>
        <v>245527.971822625</v>
      </c>
      <c r="AG15" s="33" t="n">
        <f aca="false">Credit!AG22/FX_EUR</f>
        <v>297089.214118009</v>
      </c>
      <c r="AH15" s="33" t="n">
        <f aca="false">Credit!AH22/FX_EUR</f>
        <v>353305.797129606</v>
      </c>
      <c r="AI15" s="33" t="n">
        <f aca="false">Credit!AI22/FX_EUR</f>
        <v>415550.684525263</v>
      </c>
      <c r="AJ15" s="33" t="n">
        <f aca="false">Credit!AJ22/FX_EUR</f>
        <v>482744.248284007</v>
      </c>
      <c r="AK15" s="33" t="n">
        <f aca="false">Credit!AK22/FX_EUR</f>
        <v>512247.147394477</v>
      </c>
      <c r="AL15" s="33" t="n">
        <f aca="false">Credit!AL22/FX_EUR</f>
        <v>541869.611281691</v>
      </c>
      <c r="AM15" s="33" t="n">
        <f aca="false">Credit!AM22/FX_EUR</f>
        <v>573109.527704222</v>
      </c>
      <c r="AN15" s="33" t="n">
        <f aca="false">Credit!AN22/FX_EUR</f>
        <v>604515.196164288</v>
      </c>
      <c r="AO15" s="33" t="n">
        <f aca="false">Credit!AO22/FX_EUR</f>
        <v>640637.178224413</v>
      </c>
      <c r="AP15" s="33" t="n">
        <f aca="false">Credit!AP22/FX_EUR</f>
        <v>678391.894572447</v>
      </c>
      <c r="AQ15" s="33" t="n">
        <f aca="false">Credit!AQ22/FX_EUR</f>
        <v>716334.766651006</v>
      </c>
      <c r="AR15" s="33" t="n">
        <f aca="false">Credit!AR22/FX_EUR</f>
        <v>754511.304096008</v>
      </c>
      <c r="AS15" s="33" t="n">
        <f aca="false">Credit!AS22/FX_EUR</f>
        <v>794432.651704723</v>
      </c>
      <c r="AT15" s="33" t="n">
        <f aca="false">Credit!AT22/FX_EUR</f>
        <v>834661.048528388</v>
      </c>
      <c r="AU15" s="33" t="n">
        <f aca="false">Credit!AU22/FX_EUR</f>
        <v>875249.230315877</v>
      </c>
      <c r="AV15" s="33" t="n">
        <f aca="false">Credit!AV22/FX_EUR</f>
        <v>919033.160498072</v>
      </c>
      <c r="AW15" s="33" t="n">
        <f aca="false">Credit!AW22/FX_EUR</f>
        <v>962826.152380112</v>
      </c>
      <c r="AX15" s="33" t="n">
        <f aca="false">Credit!AX22/FX_EUR</f>
        <v>1007675.29748908</v>
      </c>
      <c r="AY15" s="33" t="n">
        <f aca="false">Credit!AY22/FX_EUR</f>
        <v>1052118.31785868</v>
      </c>
      <c r="AZ15" s="33" t="n">
        <f aca="false">Credit!AZ22/FX_EUR</f>
        <v>1096181.66477719</v>
      </c>
      <c r="BA15" s="33" t="n">
        <f aca="false">Credit!BA22/FX_EUR</f>
        <v>1145892.87245313</v>
      </c>
      <c r="BB15" s="33" t="n">
        <f aca="false">Credit!BB22/FX_EUR</f>
        <v>1195180.42956042</v>
      </c>
      <c r="BC15" s="33" t="n">
        <f aca="false">Credit!BC22/FX_EUR</f>
        <v>1245538.2990069</v>
      </c>
      <c r="BD15" s="33" t="n">
        <f aca="false">Credit!BD22/FX_EUR</f>
        <v>1295510.11533111</v>
      </c>
      <c r="BE15" s="33" t="n">
        <f aca="false">Credit!BE22/FX_EUR</f>
        <v>1346445.66853283</v>
      </c>
      <c r="BF15" s="33" t="n">
        <f aca="false">Credit!BF22/FX_EUR</f>
        <v>1398503.18094276</v>
      </c>
      <c r="BG15" s="33" t="n">
        <f aca="false">Credit!BG22/FX_EUR</f>
        <v>1450230.03429394</v>
      </c>
      <c r="BH15" s="33" t="n">
        <f aca="false">Credit!BH22/FX_EUR</f>
        <v>1503126.33173324</v>
      </c>
      <c r="BI15" s="33" t="n">
        <f aca="false">Credit!BI22/FX_EUR</f>
        <v>1557059.36873193</v>
      </c>
      <c r="BJ15" s="33" t="n">
        <f aca="false">Credit!BJ22/FX_EUR</f>
        <v>1612193.27808718</v>
      </c>
      <c r="BK15" s="33" t="n">
        <f aca="false">Credit!BK22/FX_EUR</f>
        <v>1666768.0679869</v>
      </c>
      <c r="BL15" s="33" t="n">
        <f aca="false">Credit!BL22/FX_EUR</f>
        <v>1721931.82253731</v>
      </c>
    </row>
    <row r="16" customFormat="false" ht="15" hidden="false" customHeight="true" outlineLevel="0" collapsed="false">
      <c r="A16" s="13" t="s">
        <v>1048</v>
      </c>
      <c r="B16" s="15" t="s">
        <v>79</v>
      </c>
      <c r="D16" s="56" t="n">
        <f aca="false">Credit!D23/FX_EUR</f>
        <v>2869886.37089551</v>
      </c>
      <c r="E16" s="33" t="n">
        <f aca="false">Credit!E23/FX_EUR</f>
        <v>0</v>
      </c>
      <c r="F16" s="33" t="n">
        <f aca="false">Credit!F23/FX_EUR</f>
        <v>0</v>
      </c>
      <c r="G16" s="33" t="n">
        <f aca="false">Credit!G23/FX_EUR</f>
        <v>0</v>
      </c>
      <c r="H16" s="33" t="n">
        <f aca="false">Credit!H23/FX_EUR</f>
        <v>0</v>
      </c>
      <c r="I16" s="33" t="n">
        <f aca="false">Credit!I23/FX_EUR</f>
        <v>0</v>
      </c>
      <c r="J16" s="33" t="n">
        <f aca="false">Credit!J23/FX_EUR</f>
        <v>0</v>
      </c>
      <c r="K16" s="33" t="n">
        <f aca="false">Credit!K23/FX_EUR</f>
        <v>0</v>
      </c>
      <c r="L16" s="33" t="n">
        <f aca="false">Credit!L23/FX_EUR</f>
        <v>0</v>
      </c>
      <c r="M16" s="33" t="n">
        <f aca="false">Credit!M23/FX_EUR</f>
        <v>0</v>
      </c>
      <c r="N16" s="33" t="n">
        <f aca="false">Credit!N23/FX_EUR</f>
        <v>0</v>
      </c>
      <c r="O16" s="33" t="n">
        <f aca="false">Credit!O23/FX_EUR</f>
        <v>0</v>
      </c>
      <c r="P16" s="33" t="n">
        <f aca="false">Credit!P23/FX_EUR</f>
        <v>0</v>
      </c>
      <c r="Q16" s="33" t="n">
        <f aca="false">Credit!Q23/FX_EUR</f>
        <v>0</v>
      </c>
      <c r="R16" s="33" t="n">
        <f aca="false">Credit!R23/FX_EUR</f>
        <v>0</v>
      </c>
      <c r="S16" s="33" t="n">
        <f aca="false">Credit!S23/FX_EUR</f>
        <v>0</v>
      </c>
      <c r="T16" s="33" t="n">
        <f aca="false">Credit!T23/FX_EUR</f>
        <v>0</v>
      </c>
      <c r="U16" s="33" t="n">
        <f aca="false">Credit!U23/FX_EUR</f>
        <v>0</v>
      </c>
      <c r="V16" s="33" t="n">
        <f aca="false">Credit!V23/FX_EUR</f>
        <v>0</v>
      </c>
      <c r="W16" s="33" t="n">
        <f aca="false">Credit!W23/FX_EUR</f>
        <v>0</v>
      </c>
      <c r="X16" s="33" t="n">
        <f aca="false">Credit!X23/FX_EUR</f>
        <v>0</v>
      </c>
      <c r="Y16" s="33" t="n">
        <f aca="false">Credit!Y23/FX_EUR</f>
        <v>0</v>
      </c>
      <c r="Z16" s="33" t="n">
        <f aca="false">Credit!Z23/FX_EUR</f>
        <v>0</v>
      </c>
      <c r="AA16" s="33" t="n">
        <f aca="false">Credit!AA23/FX_EUR</f>
        <v>0</v>
      </c>
      <c r="AB16" s="33" t="n">
        <f aca="false">Credit!AB23/FX_EUR</f>
        <v>0</v>
      </c>
      <c r="AC16" s="33" t="n">
        <f aca="false">Credit!AC23/FX_EUR</f>
        <v>0</v>
      </c>
      <c r="AD16" s="33" t="n">
        <f aca="false">Credit!AD23/FX_EUR</f>
        <v>0</v>
      </c>
      <c r="AE16" s="33" t="n">
        <f aca="false">Credit!AE23/FX_EUR</f>
        <v>47285.9145817675</v>
      </c>
      <c r="AF16" s="33" t="n">
        <f aca="false">Credit!AF23/FX_EUR</f>
        <v>102303.32159276</v>
      </c>
      <c r="AG16" s="33" t="n">
        <f aca="false">Credit!AG23/FX_EUR</f>
        <v>165049.563398894</v>
      </c>
      <c r="AH16" s="33" t="n">
        <f aca="false">Credit!AH23/FX_EUR</f>
        <v>235537.198086404</v>
      </c>
      <c r="AI16" s="33" t="n">
        <f aca="false">Credit!AI23/FX_EUR</f>
        <v>314811.124640351</v>
      </c>
      <c r="AJ16" s="33" t="n">
        <f aca="false">Credit!AJ23/FX_EUR</f>
        <v>402286.873570005</v>
      </c>
      <c r="AK16" s="33" t="n">
        <f aca="false">Credit!AK23/FX_EUR</f>
        <v>498018.059966853</v>
      </c>
      <c r="AL16" s="33" t="n">
        <f aca="false">Credit!AL23/FX_EUR</f>
        <v>602077.345868545</v>
      </c>
      <c r="AM16" s="33" t="n">
        <f aca="false">Credit!AM23/FX_EUR</f>
        <v>716386.909630277</v>
      </c>
      <c r="AN16" s="33" t="n">
        <f aca="false">Credit!AN23/FX_EUR</f>
        <v>839604.439117067</v>
      </c>
      <c r="AO16" s="33" t="n">
        <f aca="false">Credit!AO23/FX_EUR</f>
        <v>978751.24450952</v>
      </c>
      <c r="AP16" s="33" t="n">
        <f aca="false">Credit!AP23/FX_EUR</f>
        <v>1130653.15762074</v>
      </c>
      <c r="AQ16" s="33" t="n">
        <f aca="false">Credit!AQ23/FX_EUR</f>
        <v>1193891.27775168</v>
      </c>
      <c r="AR16" s="33" t="n">
        <f aca="false">Credit!AR23/FX_EUR</f>
        <v>1257518.84016001</v>
      </c>
      <c r="AS16" s="33" t="n">
        <f aca="false">Credit!AS23/FX_EUR</f>
        <v>1324054.41950787</v>
      </c>
      <c r="AT16" s="33" t="n">
        <f aca="false">Credit!AT23/FX_EUR</f>
        <v>1391101.74754731</v>
      </c>
      <c r="AU16" s="33" t="n">
        <f aca="false">Credit!AU23/FX_EUR</f>
        <v>1458748.71719313</v>
      </c>
      <c r="AV16" s="33" t="n">
        <f aca="false">Credit!AV23/FX_EUR</f>
        <v>1531721.93416345</v>
      </c>
      <c r="AW16" s="33" t="n">
        <f aca="false">Credit!AW23/FX_EUR</f>
        <v>1604710.25396685</v>
      </c>
      <c r="AX16" s="33" t="n">
        <f aca="false">Credit!AX23/FX_EUR</f>
        <v>1679458.82914847</v>
      </c>
      <c r="AY16" s="33" t="n">
        <f aca="false">Credit!AY23/FX_EUR</f>
        <v>1753530.52976446</v>
      </c>
      <c r="AZ16" s="33" t="n">
        <f aca="false">Credit!AZ23/FX_EUR</f>
        <v>1826969.44129532</v>
      </c>
      <c r="BA16" s="33" t="n">
        <f aca="false">Credit!BA23/FX_EUR</f>
        <v>1909821.45408855</v>
      </c>
      <c r="BB16" s="33" t="n">
        <f aca="false">Credit!BB23/FX_EUR</f>
        <v>1991967.3826007</v>
      </c>
      <c r="BC16" s="33" t="n">
        <f aca="false">Credit!BC23/FX_EUR</f>
        <v>2075897.1650115</v>
      </c>
      <c r="BD16" s="33" t="n">
        <f aca="false">Credit!BD23/FX_EUR</f>
        <v>2159183.52555186</v>
      </c>
      <c r="BE16" s="33" t="n">
        <f aca="false">Credit!BE23/FX_EUR</f>
        <v>2244076.11422139</v>
      </c>
      <c r="BF16" s="33" t="n">
        <f aca="false">Credit!BF23/FX_EUR</f>
        <v>2330838.63490459</v>
      </c>
      <c r="BG16" s="33" t="n">
        <f aca="false">Credit!BG23/FX_EUR</f>
        <v>2417050.05715657</v>
      </c>
      <c r="BH16" s="33" t="n">
        <f aca="false">Credit!BH23/FX_EUR</f>
        <v>2505210.55288873</v>
      </c>
      <c r="BI16" s="33" t="n">
        <f aca="false">Credit!BI23/FX_EUR</f>
        <v>2595098.94788655</v>
      </c>
      <c r="BJ16" s="33" t="n">
        <f aca="false">Credit!BJ23/FX_EUR</f>
        <v>2686988.79681196</v>
      </c>
      <c r="BK16" s="33" t="n">
        <f aca="false">Credit!BK23/FX_EUR</f>
        <v>2777946.77997817</v>
      </c>
      <c r="BL16" s="33" t="n">
        <f aca="false">Credit!BL23/FX_EUR</f>
        <v>2869886.37089551</v>
      </c>
    </row>
    <row r="17" customFormat="false" ht="15" hidden="false" customHeight="true" outlineLevel="0" collapsed="false">
      <c r="A17" s="13" t="s">
        <v>1049</v>
      </c>
      <c r="B17" s="15" t="s">
        <v>79</v>
      </c>
      <c r="D17" s="56" t="n">
        <f aca="false">Credit!D24/FX_EUR</f>
        <v>353278.721925959</v>
      </c>
      <c r="E17" s="33" t="n">
        <f aca="false">Credit!E24/FX_EUR</f>
        <v>0</v>
      </c>
      <c r="F17" s="33" t="n">
        <f aca="false">Credit!F24/FX_EUR</f>
        <v>0</v>
      </c>
      <c r="G17" s="33" t="n">
        <f aca="false">Credit!G24/FX_EUR</f>
        <v>0</v>
      </c>
      <c r="H17" s="33" t="n">
        <f aca="false">Credit!H24/FX_EUR</f>
        <v>0</v>
      </c>
      <c r="I17" s="33" t="n">
        <f aca="false">Credit!I24/FX_EUR</f>
        <v>0</v>
      </c>
      <c r="J17" s="33" t="n">
        <f aca="false">Credit!J24/FX_EUR</f>
        <v>0</v>
      </c>
      <c r="K17" s="33" t="n">
        <f aca="false">Credit!K24/FX_EUR</f>
        <v>0</v>
      </c>
      <c r="L17" s="33" t="n">
        <f aca="false">Credit!L24/FX_EUR</f>
        <v>0</v>
      </c>
      <c r="M17" s="33" t="n">
        <f aca="false">Credit!M24/FX_EUR</f>
        <v>0</v>
      </c>
      <c r="N17" s="33" t="n">
        <f aca="false">Credit!N24/FX_EUR</f>
        <v>0</v>
      </c>
      <c r="O17" s="33" t="n">
        <f aca="false">Credit!O24/FX_EUR</f>
        <v>0</v>
      </c>
      <c r="P17" s="33" t="n">
        <f aca="false">Credit!P24/FX_EUR</f>
        <v>0</v>
      </c>
      <c r="Q17" s="33" t="n">
        <f aca="false">Credit!Q24/FX_EUR</f>
        <v>0</v>
      </c>
      <c r="R17" s="33" t="n">
        <f aca="false">Credit!R24/FX_EUR</f>
        <v>0</v>
      </c>
      <c r="S17" s="33" t="n">
        <f aca="false">Credit!S24/FX_EUR</f>
        <v>0</v>
      </c>
      <c r="T17" s="33" t="n">
        <f aca="false">Credit!T24/FX_EUR</f>
        <v>0</v>
      </c>
      <c r="U17" s="33" t="n">
        <f aca="false">Credit!U24/FX_EUR</f>
        <v>0</v>
      </c>
      <c r="V17" s="33" t="n">
        <f aca="false">Credit!V24/FX_EUR</f>
        <v>0</v>
      </c>
      <c r="W17" s="33" t="n">
        <f aca="false">Credit!W24/FX_EUR</f>
        <v>0</v>
      </c>
      <c r="X17" s="33" t="n">
        <f aca="false">Credit!X24/FX_EUR</f>
        <v>0</v>
      </c>
      <c r="Y17" s="33" t="n">
        <f aca="false">Credit!Y24/FX_EUR</f>
        <v>0</v>
      </c>
      <c r="Z17" s="33" t="n">
        <f aca="false">Credit!Z24/FX_EUR</f>
        <v>0</v>
      </c>
      <c r="AA17" s="33" t="n">
        <f aca="false">Credit!AA24/FX_EUR</f>
        <v>0</v>
      </c>
      <c r="AB17" s="33" t="n">
        <f aca="false">Credit!AB24/FX_EUR</f>
        <v>0</v>
      </c>
      <c r="AC17" s="33" t="n">
        <f aca="false">Credit!AC24/FX_EUR</f>
        <v>0</v>
      </c>
      <c r="AD17" s="33" t="n">
        <f aca="false">Credit!AD24/FX_EUR</f>
        <v>0</v>
      </c>
      <c r="AE17" s="33" t="n">
        <f aca="false">Credit!AE24/FX_EUR</f>
        <v>0</v>
      </c>
      <c r="AF17" s="33" t="n">
        <f aca="false">Credit!AF24/FX_EUR</f>
        <v>0</v>
      </c>
      <c r="AG17" s="33" t="n">
        <f aca="false">Credit!AG24/FX_EUR</f>
        <v>0</v>
      </c>
      <c r="AH17" s="33" t="n">
        <f aca="false">Credit!AH24/FX_EUR</f>
        <v>6949.5434577286</v>
      </c>
      <c r="AI17" s="33" t="n">
        <f aca="false">Credit!AI24/FX_EUR</f>
        <v>14884.4522532252</v>
      </c>
      <c r="AJ17" s="33" t="n">
        <f aca="false">Credit!AJ24/FX_EUR</f>
        <v>23813.9799815459</v>
      </c>
      <c r="AK17" s="33" t="n">
        <f aca="false">Credit!AK24/FX_EUR</f>
        <v>33749.2704440689</v>
      </c>
      <c r="AL17" s="33" t="n">
        <f aca="false">Credit!AL24/FX_EUR</f>
        <v>44703.4814045057</v>
      </c>
      <c r="AM17" s="33" t="n">
        <f aca="false">Credit!AM24/FX_EUR</f>
        <v>56829.1216815158</v>
      </c>
      <c r="AN17" s="33" t="n">
        <f aca="false">Credit!AN24/FX_EUR</f>
        <v>70050.5822376088</v>
      </c>
      <c r="AO17" s="33" t="n">
        <f aca="false">Credit!AO24/FX_EUR</f>
        <v>84951.2436604894</v>
      </c>
      <c r="AP17" s="33" t="n">
        <f aca="false">Credit!AP24/FX_EUR</f>
        <v>101328.930629978</v>
      </c>
      <c r="AQ17" s="33" t="n">
        <f aca="false">Credit!AQ24/FX_EUR</f>
        <v>119043.633689685</v>
      </c>
      <c r="AR17" s="33" t="n">
        <f aca="false">Credit!AR24/FX_EUR</f>
        <v>138120.205399526</v>
      </c>
      <c r="AS17" s="33" t="n">
        <f aca="false">Credit!AS24/FX_EUR</f>
        <v>158861.14329998</v>
      </c>
      <c r="AT17" s="33" t="n">
        <f aca="false">Credit!AT24/FX_EUR</f>
        <v>167137.935225277</v>
      </c>
      <c r="AU17" s="33" t="n">
        <f aca="false">Credit!AU24/FX_EUR</f>
        <v>175516.795620763</v>
      </c>
      <c r="AV17" s="33" t="n">
        <f aca="false">Credit!AV24/FX_EUR</f>
        <v>184529.468786166</v>
      </c>
      <c r="AW17" s="33" t="n">
        <f aca="false">Credit!AW24/FX_EUR</f>
        <v>193581.465631316</v>
      </c>
      <c r="AX17" s="33" t="n">
        <f aca="false">Credit!AX24/FX_EUR</f>
        <v>202868.711108437</v>
      </c>
      <c r="AY17" s="33" t="n">
        <f aca="false">Credit!AY24/FX_EUR</f>
        <v>212117.740803275</v>
      </c>
      <c r="AZ17" s="33" t="n">
        <f aca="false">Credit!AZ24/FX_EUR</f>
        <v>221332.665698405</v>
      </c>
      <c r="BA17" s="33" t="n">
        <f aca="false">Credit!BA24/FX_EUR</f>
        <v>231642.837783683</v>
      </c>
      <c r="BB17" s="33" t="n">
        <f aca="false">Credit!BB24/FX_EUR</f>
        <v>241915.451681773</v>
      </c>
      <c r="BC17" s="33" t="n">
        <f aca="false">Credit!BC24/FX_EUR</f>
        <v>252429.714890427</v>
      </c>
      <c r="BD17" s="33" t="n">
        <f aca="false">Credit!BD24/FX_EUR</f>
        <v>262913.246257411</v>
      </c>
      <c r="BE17" s="33" t="n">
        <f aca="false">Credit!BE24/FX_EUR</f>
        <v>273618.264030238</v>
      </c>
      <c r="BF17" s="33" t="n">
        <f aca="false">Credit!BF24/FX_EUR</f>
        <v>284575.011758222</v>
      </c>
      <c r="BG17" s="33" t="n">
        <f aca="false">Credit!BG24/FX_EUR</f>
        <v>295511.862358133</v>
      </c>
      <c r="BH17" s="33" t="n">
        <f aca="false">Credit!BH24/FX_EUR</f>
        <v>306709.272658172</v>
      </c>
      <c r="BI17" s="33" t="n">
        <f aca="false">Credit!BI24/FX_EUR</f>
        <v>318143.151371618</v>
      </c>
      <c r="BJ17" s="33" t="n">
        <f aca="false">Credit!BJ24/FX_EUR</f>
        <v>329844.914672558</v>
      </c>
      <c r="BK17" s="33" t="n">
        <f aca="false">Credit!BK24/FX_EUR</f>
        <v>341485.372905637</v>
      </c>
      <c r="BL17" s="33" t="n">
        <f aca="false">Credit!BL24/FX_EUR</f>
        <v>353278.721925959</v>
      </c>
    </row>
    <row r="18" customFormat="false" ht="15" hidden="false" customHeight="true" outlineLevel="0" collapsed="false">
      <c r="A18" s="9" t="s">
        <v>1268</v>
      </c>
      <c r="B18" s="15" t="s">
        <v>79</v>
      </c>
      <c r="D18" s="56" t="n">
        <f aca="false">Credit!D25/FX_EUR</f>
        <v>11976318.5240528</v>
      </c>
      <c r="E18" s="17" t="n">
        <f aca="false">Credit!E25/FX_EUR</f>
        <v>0</v>
      </c>
      <c r="F18" s="17" t="n">
        <f aca="false">Credit!F25/FX_EUR</f>
        <v>0</v>
      </c>
      <c r="G18" s="17" t="n">
        <f aca="false">Credit!G25/FX_EUR</f>
        <v>0</v>
      </c>
      <c r="H18" s="17" t="n">
        <f aca="false">Credit!H25/FX_EUR</f>
        <v>0</v>
      </c>
      <c r="I18" s="17" t="n">
        <f aca="false">Credit!I25/FX_EUR</f>
        <v>0</v>
      </c>
      <c r="J18" s="17" t="n">
        <f aca="false">Credit!J25/FX_EUR</f>
        <v>0</v>
      </c>
      <c r="K18" s="17" t="n">
        <f aca="false">Credit!K25/FX_EUR</f>
        <v>0</v>
      </c>
      <c r="L18" s="17" t="n">
        <f aca="false">Credit!L25/FX_EUR</f>
        <v>0</v>
      </c>
      <c r="M18" s="17" t="n">
        <f aca="false">Credit!M25/FX_EUR</f>
        <v>0</v>
      </c>
      <c r="N18" s="17" t="n">
        <f aca="false">Credit!N25/FX_EUR</f>
        <v>0</v>
      </c>
      <c r="O18" s="17" t="n">
        <f aca="false">Credit!O25/FX_EUR</f>
        <v>0</v>
      </c>
      <c r="P18" s="17" t="n">
        <f aca="false">Credit!P25/FX_EUR</f>
        <v>0</v>
      </c>
      <c r="Q18" s="17" t="n">
        <f aca="false">Credit!Q25/FX_EUR</f>
        <v>0</v>
      </c>
      <c r="R18" s="17" t="n">
        <f aca="false">Credit!R25/FX_EUR</f>
        <v>0</v>
      </c>
      <c r="S18" s="17" t="n">
        <f aca="false">Credit!S25/FX_EUR</f>
        <v>0</v>
      </c>
      <c r="T18" s="17" t="n">
        <f aca="false">Credit!T25/FX_EUR</f>
        <v>0</v>
      </c>
      <c r="U18" s="17" t="n">
        <f aca="false">Credit!U25/FX_EUR</f>
        <v>0</v>
      </c>
      <c r="V18" s="17" t="n">
        <f aca="false">Credit!V25/FX_EUR</f>
        <v>48349.4413870081</v>
      </c>
      <c r="W18" s="17" t="n">
        <f aca="false">Credit!W25/FX_EUR</f>
        <v>109418.016345007</v>
      </c>
      <c r="X18" s="17" t="n">
        <f aca="false">Credit!X25/FX_EUR</f>
        <v>183163.539504593</v>
      </c>
      <c r="Y18" s="17" t="n">
        <f aca="false">Credit!Y25/FX_EUR</f>
        <v>288184.863117303</v>
      </c>
      <c r="Z18" s="17" t="n">
        <f aca="false">Credit!Z25/FX_EUR</f>
        <v>410166.454622624</v>
      </c>
      <c r="AA18" s="17" t="n">
        <f aca="false">Credit!AA25/FX_EUR</f>
        <v>549111.734955424</v>
      </c>
      <c r="AB18" s="17" t="n">
        <f aca="false">Credit!AB25/FX_EUR</f>
        <v>705057.860583633</v>
      </c>
      <c r="AC18" s="17" t="n">
        <f aca="false">Credit!AC25/FX_EUR</f>
        <v>898213.63119278</v>
      </c>
      <c r="AD18" s="17" t="n">
        <f aca="false">Credit!AD25/FX_EUR</f>
        <v>1113610.85754067</v>
      </c>
      <c r="AE18" s="17" t="n">
        <f aca="false">Credit!AE25/FX_EUR</f>
        <v>1404391.66307849</v>
      </c>
      <c r="AF18" s="17" t="n">
        <f aca="false">Credit!AF25/FX_EUR</f>
        <v>1726368.55187783</v>
      </c>
      <c r="AG18" s="17" t="n">
        <f aca="false">Credit!AG25/FX_EUR</f>
        <v>2079624.49882607</v>
      </c>
      <c r="AH18" s="17" t="n">
        <f aca="false">Credit!AH25/FX_EUR</f>
        <v>2326990.94460881</v>
      </c>
      <c r="AI18" s="17" t="n">
        <f aca="false">Credit!AI25/FX_EUR</f>
        <v>2596335.6743041</v>
      </c>
      <c r="AJ18" s="17" t="n">
        <f aca="false">Credit!AJ25/FX_EUR</f>
        <v>2880050.78232858</v>
      </c>
      <c r="AK18" s="17" t="n">
        <f aca="false">Credit!AK25/FX_EUR</f>
        <v>3135690.32966618</v>
      </c>
      <c r="AL18" s="17" t="n">
        <f aca="false">Credit!AL25/FX_EUR</f>
        <v>3401284.68462164</v>
      </c>
      <c r="AM18" s="17" t="n">
        <f aca="false">Credit!AM25/FX_EUR</f>
        <v>3686522.79714159</v>
      </c>
      <c r="AN18" s="17" t="n">
        <f aca="false">Credit!AN25/FX_EUR</f>
        <v>3982607.26852314</v>
      </c>
      <c r="AO18" s="17" t="n">
        <f aca="false">Credit!AO25/FX_EUR</f>
        <v>4320274.81081078</v>
      </c>
      <c r="AP18" s="17" t="n">
        <f aca="false">Credit!AP25/FX_EUR</f>
        <v>4680474.21899399</v>
      </c>
      <c r="AQ18" s="17" t="n">
        <f aca="false">Credit!AQ25/FX_EUR</f>
        <v>4954303.30858397</v>
      </c>
      <c r="AR18" s="17" t="n">
        <f aca="false">Credit!AR25/FX_EUR</f>
        <v>5231071.50804758</v>
      </c>
      <c r="AS18" s="17" t="n">
        <f aca="false">Credit!AS25/FX_EUR</f>
        <v>5521281.54230686</v>
      </c>
      <c r="AT18" s="17" t="n">
        <f aca="false">Credit!AT25/FX_EUR</f>
        <v>5801100.0127919</v>
      </c>
      <c r="AU18" s="17" t="n">
        <f aca="false">Credit!AU25/FX_EUR</f>
        <v>6083449.10025294</v>
      </c>
      <c r="AV18" s="17" t="n">
        <f aca="false">Credit!AV25/FX_EUR</f>
        <v>6388003.30214815</v>
      </c>
      <c r="AW18" s="17" t="n">
        <f aca="false">Credit!AW25/FX_EUR</f>
        <v>6692657.99419708</v>
      </c>
      <c r="AX18" s="17" t="n">
        <f aca="false">Credit!AX25/FX_EUR</f>
        <v>7004676.96915972</v>
      </c>
      <c r="AY18" s="17" t="n">
        <f aca="false">Credit!AY25/FX_EUR</f>
        <v>7313916.38634934</v>
      </c>
      <c r="AZ18" s="17" t="n">
        <f aca="false">Credit!AZ25/FX_EUR</f>
        <v>7620558.90294447</v>
      </c>
      <c r="BA18" s="17" t="n">
        <f aca="false">Credit!BA25/FX_EUR</f>
        <v>7966419.72684233</v>
      </c>
      <c r="BB18" s="17" t="n">
        <f aca="false">Credit!BB25/FX_EUR</f>
        <v>8309383.35121459</v>
      </c>
      <c r="BC18" s="17" t="n">
        <f aca="false">Credit!BC25/FX_EUR</f>
        <v>8659813.23318701</v>
      </c>
      <c r="BD18" s="17" t="n">
        <f aca="false">Credit!BD25/FX_EUR</f>
        <v>9007606.52474242</v>
      </c>
      <c r="BE18" s="17" t="n">
        <f aca="false">Credit!BE25/FX_EUR</f>
        <v>9362126.52662685</v>
      </c>
      <c r="BF18" s="17" t="n">
        <f aca="false">Credit!BF25/FX_EUR</f>
        <v>9724471.48312183</v>
      </c>
      <c r="BG18" s="17" t="n">
        <f aca="false">Credit!BG25/FX_EUR</f>
        <v>10084564.5938422</v>
      </c>
      <c r="BH18" s="17" t="n">
        <f aca="false">Credit!BH25/FX_EUR</f>
        <v>10452812.0118575</v>
      </c>
      <c r="BI18" s="17" t="n">
        <f aca="false">Credit!BI25/FX_EUR</f>
        <v>10828293.8903121</v>
      </c>
      <c r="BJ18" s="17" t="n">
        <f aca="false">Credit!BJ25/FX_EUR</f>
        <v>11212149.541761</v>
      </c>
      <c r="BK18" s="17" t="n">
        <f aca="false">Credit!BK25/FX_EUR</f>
        <v>11592169.8318172</v>
      </c>
      <c r="BL18" s="17" t="n">
        <f aca="false">Credit!BL25/FX_EUR</f>
        <v>11976318.5240528</v>
      </c>
    </row>
    <row r="20" customFormat="false" ht="15" hidden="false" customHeight="true" outlineLevel="0" collapsed="false">
      <c r="A20" s="11" t="s">
        <v>1269</v>
      </c>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row>
    <row r="21" customFormat="false" ht="15" hidden="false" customHeight="true" outlineLevel="0" collapsed="false">
      <c r="A21" s="13" t="s">
        <v>1047</v>
      </c>
      <c r="B21" s="15" t="s">
        <v>79</v>
      </c>
      <c r="E21" s="33" t="n">
        <f aca="false">Credit!E28/FX_EUR</f>
        <v>0</v>
      </c>
      <c r="F21" s="33" t="n">
        <f aca="false">Credit!F28/FX_EUR</f>
        <v>0</v>
      </c>
      <c r="G21" s="33" t="n">
        <f aca="false">Credit!G28/FX_EUR</f>
        <v>0</v>
      </c>
      <c r="H21" s="33" t="n">
        <f aca="false">Credit!H28/FX_EUR</f>
        <v>0</v>
      </c>
      <c r="I21" s="33" t="n">
        <f aca="false">Credit!I28/FX_EUR</f>
        <v>0</v>
      </c>
      <c r="J21" s="33" t="n">
        <f aca="false">Credit!J28/FX_EUR</f>
        <v>0</v>
      </c>
      <c r="K21" s="33" t="n">
        <f aca="false">Credit!K28/FX_EUR</f>
        <v>0</v>
      </c>
      <c r="L21" s="33" t="n">
        <f aca="false">Credit!L28/FX_EUR</f>
        <v>0</v>
      </c>
      <c r="M21" s="33" t="n">
        <f aca="false">Credit!M28/FX_EUR</f>
        <v>0</v>
      </c>
      <c r="N21" s="33" t="n">
        <f aca="false">Credit!N28/FX_EUR</f>
        <v>0</v>
      </c>
      <c r="O21" s="33" t="n">
        <f aca="false">Credit!O28/FX_EUR</f>
        <v>0</v>
      </c>
      <c r="P21" s="33" t="n">
        <f aca="false">Credit!P28/FX_EUR</f>
        <v>0</v>
      </c>
      <c r="Q21" s="33" t="n">
        <f aca="false">Credit!Q28/FX_EUR</f>
        <v>0</v>
      </c>
      <c r="R21" s="33" t="n">
        <f aca="false">Credit!R28/FX_EUR</f>
        <v>0</v>
      </c>
      <c r="S21" s="33" t="n">
        <f aca="false">Credit!S28/FX_EUR</f>
        <v>0</v>
      </c>
      <c r="T21" s="33" t="n">
        <f aca="false">Credit!T28/FX_EUR</f>
        <v>0</v>
      </c>
      <c r="U21" s="33" t="n">
        <f aca="false">Credit!U28/FX_EUR</f>
        <v>0</v>
      </c>
      <c r="V21" s="33" t="n">
        <f aca="false">Credit!V28/FX_EUR</f>
        <v>19734.4658722482</v>
      </c>
      <c r="W21" s="33" t="n">
        <f aca="false">Credit!W28/FX_EUR</f>
        <v>64394.8807069451</v>
      </c>
      <c r="X21" s="33" t="n">
        <f aca="false">Credit!X28/FX_EUR</f>
        <v>119421.043203919</v>
      </c>
      <c r="Y21" s="33" t="n">
        <f aca="false">Credit!Y28/FX_EUR</f>
        <v>185600.960337415</v>
      </c>
      <c r="Z21" s="33" t="n">
        <f aca="false">Credit!Z28/FX_EUR</f>
        <v>263318.567887385</v>
      </c>
      <c r="AA21" s="33" t="n">
        <f aca="false">Credit!AA28/FX_EUR</f>
        <v>352155.230448436</v>
      </c>
      <c r="AB21" s="33" t="n">
        <f aca="false">Credit!AB28/FX_EUR</f>
        <v>452127.37939295</v>
      </c>
      <c r="AC21" s="33" t="n">
        <f aca="false">Credit!AC28/FX_EUR</f>
        <v>570402.112719556</v>
      </c>
      <c r="AD21" s="33" t="n">
        <f aca="false">Credit!AD28/FX_EUR</f>
        <v>708692.379624508</v>
      </c>
      <c r="AE21" s="33" t="n">
        <f aca="false">Credit!AE28/FX_EUR</f>
        <v>863599.797586331</v>
      </c>
      <c r="AF21" s="33" t="n">
        <f aca="false">Credit!AF28/FX_EUR</f>
        <v>1035527.41457786</v>
      </c>
      <c r="AG21" s="33" t="n">
        <f aca="false">Credit!AG28/FX_EUR</f>
        <v>1222866.52235576</v>
      </c>
      <c r="AH21" s="33" t="n">
        <f aca="false">Credit!AH28/FX_EUR</f>
        <v>1366809.84785479</v>
      </c>
      <c r="AI21" s="33" t="n">
        <f aca="false">Credit!AI28/FX_EUR</f>
        <v>1462158.29339605</v>
      </c>
      <c r="AJ21" s="33" t="n">
        <f aca="false">Credit!AJ28/FX_EUR</f>
        <v>1560120.44627685</v>
      </c>
      <c r="AK21" s="33" t="n">
        <f aca="false">Credit!AK28/FX_EUR</f>
        <v>1658318.99279747</v>
      </c>
      <c r="AL21" s="33" t="n">
        <f aca="false">Credit!AL28/FX_EUR</f>
        <v>1756861.26446028</v>
      </c>
      <c r="AM21" s="33" t="n">
        <f aca="false">Credit!AM28/FX_EUR</f>
        <v>1858298.56497652</v>
      </c>
      <c r="AN21" s="33" t="n">
        <f aca="false">Credit!AN28/FX_EUR</f>
        <v>1962707.87311418</v>
      </c>
      <c r="AO21" s="33" t="n">
        <f aca="false">Credit!AO28/FX_EUR</f>
        <v>2075253.9573145</v>
      </c>
      <c r="AP21" s="33" t="n">
        <f aca="false">Credit!AP28/FX_EUR</f>
        <v>2198381.78799477</v>
      </c>
      <c r="AQ21" s="33" t="n">
        <f aca="false">Credit!AQ28/FX_EUR</f>
        <v>2324544.43537242</v>
      </c>
      <c r="AR21" s="33" t="n">
        <f aca="false">Credit!AR28/FX_EUR</f>
        <v>2451410.11791169</v>
      </c>
      <c r="AS21" s="33" t="n">
        <f aca="false">Credit!AS28/FX_EUR</f>
        <v>2581573.25966789</v>
      </c>
      <c r="AT21" s="33" t="n">
        <f aca="false">Credit!AT28/FX_EUR</f>
        <v>2715156.16705519</v>
      </c>
      <c r="AU21" s="33" t="n">
        <f aca="false">Credit!AU28/FX_EUR</f>
        <v>2849850.46474044</v>
      </c>
      <c r="AV21" s="33" t="n">
        <f aca="false">Credit!AV28/FX_EUR</f>
        <v>2990470.65135658</v>
      </c>
      <c r="AW21" s="33" t="n">
        <f aca="false">Credit!AW28/FX_EUR</f>
        <v>3136432.18813031</v>
      </c>
      <c r="AX21" s="33" t="n">
        <f aca="false">Credit!AX28/FX_EUR</f>
        <v>3284169.08311532</v>
      </c>
      <c r="AY21" s="33" t="n">
        <f aca="false">Credit!AY28/FX_EUR</f>
        <v>3432989.35891293</v>
      </c>
      <c r="AZ21" s="33" t="n">
        <f aca="false">Credit!AZ28/FX_EUR</f>
        <v>3580499.97105979</v>
      </c>
      <c r="BA21" s="33" t="n">
        <f aca="false">Credit!BA28/FX_EUR</f>
        <v>3736790.89538388</v>
      </c>
      <c r="BB21" s="33" t="n">
        <f aca="false">Credit!BB28/FX_EUR</f>
        <v>3901788.83668925</v>
      </c>
      <c r="BC21" s="33" t="n">
        <f aca="false">Credit!BC28/FX_EUR</f>
        <v>4067864.5476122</v>
      </c>
      <c r="BD21" s="33" t="n">
        <f aca="false">Credit!BD28/FX_EUR</f>
        <v>4235080.69056336</v>
      </c>
      <c r="BE21" s="33" t="n">
        <f aca="false">Credit!BE28/FX_EUR</f>
        <v>4403259.63977324</v>
      </c>
      <c r="BF21" s="33" t="n">
        <f aca="false">Credit!BF28/FX_EUR</f>
        <v>4574914.74912598</v>
      </c>
      <c r="BG21" s="33" t="n">
        <f aca="false">Credit!BG28/FX_EUR</f>
        <v>4747888.69206116</v>
      </c>
      <c r="BH21" s="33" t="n">
        <f aca="false">Credit!BH28/FX_EUR</f>
        <v>4922260.6100453</v>
      </c>
      <c r="BI21" s="33" t="n">
        <f aca="false">Credit!BI28/FX_EUR</f>
        <v>5100309.50077527</v>
      </c>
      <c r="BJ21" s="33" t="n">
        <f aca="false">Credit!BJ28/FX_EUR</f>
        <v>5282087.74469851</v>
      </c>
      <c r="BK21" s="33" t="n">
        <f aca="false">Credit!BK28/FX_EUR</f>
        <v>5464935.57679013</v>
      </c>
      <c r="BL21" s="33" t="n">
        <f aca="false">Credit!BL28/FX_EUR</f>
        <v>5647833.15087368</v>
      </c>
    </row>
    <row r="22" customFormat="false" ht="15" hidden="false" customHeight="true" outlineLevel="0" collapsed="false">
      <c r="A22" s="13" t="s">
        <v>249</v>
      </c>
      <c r="B22" s="15" t="s">
        <v>79</v>
      </c>
      <c r="E22" s="33" t="n">
        <f aca="false">Credit!E29/FX_EUR</f>
        <v>0</v>
      </c>
      <c r="F22" s="33" t="n">
        <f aca="false">Credit!F29/FX_EUR</f>
        <v>0</v>
      </c>
      <c r="G22" s="33" t="n">
        <f aca="false">Credit!G29/FX_EUR</f>
        <v>0</v>
      </c>
      <c r="H22" s="33" t="n">
        <f aca="false">Credit!H29/FX_EUR</f>
        <v>0</v>
      </c>
      <c r="I22" s="33" t="n">
        <f aca="false">Credit!I29/FX_EUR</f>
        <v>0</v>
      </c>
      <c r="J22" s="33" t="n">
        <f aca="false">Credit!J29/FX_EUR</f>
        <v>0</v>
      </c>
      <c r="K22" s="33" t="n">
        <f aca="false">Credit!K29/FX_EUR</f>
        <v>0</v>
      </c>
      <c r="L22" s="33" t="n">
        <f aca="false">Credit!L29/FX_EUR</f>
        <v>0</v>
      </c>
      <c r="M22" s="33" t="n">
        <f aca="false">Credit!M29/FX_EUR</f>
        <v>0</v>
      </c>
      <c r="N22" s="33" t="n">
        <f aca="false">Credit!N29/FX_EUR</f>
        <v>0</v>
      </c>
      <c r="O22" s="33" t="n">
        <f aca="false">Credit!O29/FX_EUR</f>
        <v>0</v>
      </c>
      <c r="P22" s="33" t="n">
        <f aca="false">Credit!P29/FX_EUR</f>
        <v>0</v>
      </c>
      <c r="Q22" s="33" t="n">
        <f aca="false">Credit!Q29/FX_EUR</f>
        <v>0</v>
      </c>
      <c r="R22" s="33" t="n">
        <f aca="false">Credit!R29/FX_EUR</f>
        <v>0</v>
      </c>
      <c r="S22" s="33" t="n">
        <f aca="false">Credit!S29/FX_EUR</f>
        <v>0</v>
      </c>
      <c r="T22" s="33" t="n">
        <f aca="false">Credit!T29/FX_EUR</f>
        <v>0</v>
      </c>
      <c r="U22" s="33" t="n">
        <f aca="false">Credit!U29/FX_EUR</f>
        <v>0</v>
      </c>
      <c r="V22" s="33" t="n">
        <f aca="false">Credit!V29/FX_EUR</f>
        <v>4440.25482125585</v>
      </c>
      <c r="W22" s="33" t="n">
        <f aca="false">Credit!W29/FX_EUR</f>
        <v>14488.8481590626</v>
      </c>
      <c r="X22" s="33" t="n">
        <f aca="false">Credit!X29/FX_EUR</f>
        <v>26869.7347208817</v>
      </c>
      <c r="Y22" s="33" t="n">
        <f aca="false">Credit!Y29/FX_EUR</f>
        <v>41760.2160759185</v>
      </c>
      <c r="Z22" s="33" t="n">
        <f aca="false">Credit!Z29/FX_EUR</f>
        <v>59246.6777746615</v>
      </c>
      <c r="AA22" s="33" t="n">
        <f aca="false">Credit!AA29/FX_EUR</f>
        <v>79234.9268508981</v>
      </c>
      <c r="AB22" s="33" t="n">
        <f aca="false">Credit!AB29/FX_EUR</f>
        <v>101728.660363414</v>
      </c>
      <c r="AC22" s="33" t="n">
        <f aca="false">Credit!AC29/FX_EUR</f>
        <v>128340.4753619</v>
      </c>
      <c r="AD22" s="33" t="n">
        <f aca="false">Credit!AD29/FX_EUR</f>
        <v>159455.785415514</v>
      </c>
      <c r="AE22" s="33" t="n">
        <f aca="false">Credit!AE29/FX_EUR</f>
        <v>194309.954456924</v>
      </c>
      <c r="AF22" s="33" t="n">
        <f aca="false">Credit!AF29/FX_EUR</f>
        <v>232993.668280018</v>
      </c>
      <c r="AG22" s="33" t="n">
        <f aca="false">Credit!AG29/FX_EUR</f>
        <v>275144.967530046</v>
      </c>
      <c r="AH22" s="33" t="n">
        <f aca="false">Credit!AH29/FX_EUR</f>
        <v>307532.215767327</v>
      </c>
      <c r="AI22" s="33" t="n">
        <f aca="false">Credit!AI29/FX_EUR</f>
        <v>328985.616014112</v>
      </c>
      <c r="AJ22" s="33" t="n">
        <f aca="false">Credit!AJ29/FX_EUR</f>
        <v>351027.100412292</v>
      </c>
      <c r="AK22" s="33" t="n">
        <f aca="false">Credit!AK29/FX_EUR</f>
        <v>373121.773379431</v>
      </c>
      <c r="AL22" s="33" t="n">
        <f aca="false">Credit!AL29/FX_EUR</f>
        <v>395293.784503563</v>
      </c>
      <c r="AM22" s="33" t="n">
        <f aca="false">Credit!AM29/FX_EUR</f>
        <v>418117.177119717</v>
      </c>
      <c r="AN22" s="33" t="n">
        <f aca="false">Credit!AN29/FX_EUR</f>
        <v>441609.271450691</v>
      </c>
      <c r="AO22" s="33" t="n">
        <f aca="false">Credit!AO29/FX_EUR</f>
        <v>466932.140395763</v>
      </c>
      <c r="AP22" s="33" t="n">
        <f aca="false">Credit!AP29/FX_EUR</f>
        <v>494635.902298823</v>
      </c>
      <c r="AQ22" s="33" t="n">
        <f aca="false">Credit!AQ29/FX_EUR</f>
        <v>523022.497958795</v>
      </c>
      <c r="AR22" s="33" t="n">
        <f aca="false">Credit!AR29/FX_EUR</f>
        <v>551567.27653013</v>
      </c>
      <c r="AS22" s="33" t="n">
        <f aca="false">Credit!AS29/FX_EUR</f>
        <v>580853.983425274</v>
      </c>
      <c r="AT22" s="33" t="n">
        <f aca="false">Credit!AT29/FX_EUR</f>
        <v>610910.137587417</v>
      </c>
      <c r="AU22" s="33" t="n">
        <f aca="false">Credit!AU29/FX_EUR</f>
        <v>641216.3545666</v>
      </c>
      <c r="AV22" s="33" t="n">
        <f aca="false">Credit!AV29/FX_EUR</f>
        <v>672855.896555231</v>
      </c>
      <c r="AW22" s="33" t="n">
        <f aca="false">Credit!AW29/FX_EUR</f>
        <v>705697.242329319</v>
      </c>
      <c r="AX22" s="33" t="n">
        <f aca="false">Credit!AX29/FX_EUR</f>
        <v>738938.043700947</v>
      </c>
      <c r="AY22" s="33" t="n">
        <f aca="false">Credit!AY29/FX_EUR</f>
        <v>772422.605755408</v>
      </c>
      <c r="AZ22" s="33" t="n">
        <f aca="false">Credit!AZ29/FX_EUR</f>
        <v>805612.493488452</v>
      </c>
      <c r="BA22" s="33" t="n">
        <f aca="false">Credit!BA29/FX_EUR</f>
        <v>840777.951461373</v>
      </c>
      <c r="BB22" s="33" t="n">
        <f aca="false">Credit!BB29/FX_EUR</f>
        <v>877902.488255081</v>
      </c>
      <c r="BC22" s="33" t="n">
        <f aca="false">Credit!BC29/FX_EUR</f>
        <v>915269.523212744</v>
      </c>
      <c r="BD22" s="33" t="n">
        <f aca="false">Credit!BD29/FX_EUR</f>
        <v>952893.155376755</v>
      </c>
      <c r="BE22" s="33" t="n">
        <f aca="false">Credit!BE29/FX_EUR</f>
        <v>990733.418948979</v>
      </c>
      <c r="BF22" s="33" t="n">
        <f aca="false">Credit!BF29/FX_EUR</f>
        <v>1029355.81855335</v>
      </c>
      <c r="BG22" s="33" t="n">
        <f aca="false">Credit!BG29/FX_EUR</f>
        <v>1068274.95571376</v>
      </c>
      <c r="BH22" s="33" t="n">
        <f aca="false">Credit!BH29/FX_EUR</f>
        <v>1107508.63726019</v>
      </c>
      <c r="BI22" s="33" t="n">
        <f aca="false">Credit!BI29/FX_EUR</f>
        <v>1147569.63767444</v>
      </c>
      <c r="BJ22" s="33" t="n">
        <f aca="false">Credit!BJ29/FX_EUR</f>
        <v>1188469.74255716</v>
      </c>
      <c r="BK22" s="33" t="n">
        <f aca="false">Credit!BK29/FX_EUR</f>
        <v>1229610.50477778</v>
      </c>
      <c r="BL22" s="33" t="n">
        <f aca="false">Credit!BL29/FX_EUR</f>
        <v>1270762.45894658</v>
      </c>
    </row>
    <row r="23" customFormat="false" ht="15" hidden="false" customHeight="true" outlineLevel="0" collapsed="false">
      <c r="A23" s="13" t="s">
        <v>251</v>
      </c>
      <c r="B23" s="15" t="s">
        <v>79</v>
      </c>
      <c r="E23" s="33" t="n">
        <f aca="false">Credit!E30/FX_EUR</f>
        <v>0</v>
      </c>
      <c r="F23" s="33" t="n">
        <f aca="false">Credit!F30/FX_EUR</f>
        <v>0</v>
      </c>
      <c r="G23" s="33" t="n">
        <f aca="false">Credit!G30/FX_EUR</f>
        <v>0</v>
      </c>
      <c r="H23" s="33" t="n">
        <f aca="false">Credit!H30/FX_EUR</f>
        <v>0</v>
      </c>
      <c r="I23" s="33" t="n">
        <f aca="false">Credit!I30/FX_EUR</f>
        <v>0</v>
      </c>
      <c r="J23" s="33" t="n">
        <f aca="false">Credit!J30/FX_EUR</f>
        <v>0</v>
      </c>
      <c r="K23" s="33" t="n">
        <f aca="false">Credit!K30/FX_EUR</f>
        <v>0</v>
      </c>
      <c r="L23" s="33" t="n">
        <f aca="false">Credit!L30/FX_EUR</f>
        <v>0</v>
      </c>
      <c r="M23" s="33" t="n">
        <f aca="false">Credit!M30/FX_EUR</f>
        <v>0</v>
      </c>
      <c r="N23" s="33" t="n">
        <f aca="false">Credit!N30/FX_EUR</f>
        <v>0</v>
      </c>
      <c r="O23" s="33" t="n">
        <f aca="false">Credit!O30/FX_EUR</f>
        <v>0</v>
      </c>
      <c r="P23" s="33" t="n">
        <f aca="false">Credit!P30/FX_EUR</f>
        <v>0</v>
      </c>
      <c r="Q23" s="33" t="n">
        <f aca="false">Credit!Q30/FX_EUR</f>
        <v>0</v>
      </c>
      <c r="R23" s="33" t="n">
        <f aca="false">Credit!R30/FX_EUR</f>
        <v>0</v>
      </c>
      <c r="S23" s="33" t="n">
        <f aca="false">Credit!S30/FX_EUR</f>
        <v>0</v>
      </c>
      <c r="T23" s="33" t="n">
        <f aca="false">Credit!T30/FX_EUR</f>
        <v>0</v>
      </c>
      <c r="U23" s="33" t="n">
        <f aca="false">Credit!U30/FX_EUR</f>
        <v>0</v>
      </c>
      <c r="V23" s="33" t="n">
        <f aca="false">Credit!V30/FX_EUR</f>
        <v>0</v>
      </c>
      <c r="W23" s="33" t="n">
        <f aca="false">Credit!W30/FX_EUR</f>
        <v>0</v>
      </c>
      <c r="X23" s="33" t="n">
        <f aca="false">Credit!X30/FX_EUR</f>
        <v>0</v>
      </c>
      <c r="Y23" s="33" t="n">
        <f aca="false">Credit!Y30/FX_EUR</f>
        <v>8313.02489761451</v>
      </c>
      <c r="Z23" s="33" t="n">
        <f aca="false">Credit!Z30/FX_EUR</f>
        <v>26610.4132079174</v>
      </c>
      <c r="AA23" s="33" t="n">
        <f aca="false">Credit!AA30/FX_EUR</f>
        <v>48248.9374896897</v>
      </c>
      <c r="AB23" s="33" t="n">
        <f aca="false">Credit!AB30/FX_EUR</f>
        <v>73228.7580131647</v>
      </c>
      <c r="AC23" s="33" t="n">
        <f aca="false">Credit!AC30/FX_EUR</f>
        <v>102893.15780675</v>
      </c>
      <c r="AD23" s="33" t="n">
        <f aca="false">Credit!AD30/FX_EUR</f>
        <v>137764.079326703</v>
      </c>
      <c r="AE23" s="33" t="n">
        <f aca="false">Credit!AE30/FX_EUR</f>
        <v>177448.550975443</v>
      </c>
      <c r="AF23" s="33" t="n">
        <f aca="false">Credit!AF30/FX_EUR</f>
        <v>222064.406533024</v>
      </c>
      <c r="AG23" s="33" t="n">
        <f aca="false">Credit!AG30/FX_EUR</f>
        <v>271308.592970317</v>
      </c>
      <c r="AH23" s="33" t="n">
        <f aca="false">Credit!AH30/FX_EUR</f>
        <v>325197.505623808</v>
      </c>
      <c r="AI23" s="33" t="n">
        <f aca="false">Credit!AI30/FX_EUR</f>
        <v>384428.240827435</v>
      </c>
      <c r="AJ23" s="33" t="n">
        <f aca="false">Credit!AJ30/FX_EUR</f>
        <v>449147.466404635</v>
      </c>
      <c r="AK23" s="33" t="n">
        <f aca="false">Credit!AK30/FX_EUR</f>
        <v>497495.697839242</v>
      </c>
      <c r="AL23" s="33" t="n">
        <f aca="false">Credit!AL30/FX_EUR</f>
        <v>527058.379338084</v>
      </c>
      <c r="AM23" s="33" t="n">
        <f aca="false">Credit!AM30/FX_EUR</f>
        <v>557489.569492956</v>
      </c>
      <c r="AN23" s="33" t="n">
        <f aca="false">Credit!AN30/FX_EUR</f>
        <v>588812.361934255</v>
      </c>
      <c r="AO23" s="33" t="n">
        <f aca="false">Credit!AO30/FX_EUR</f>
        <v>622576.187194351</v>
      </c>
      <c r="AP23" s="33" t="n">
        <f aca="false">Credit!AP30/FX_EUR</f>
        <v>659514.53639843</v>
      </c>
      <c r="AQ23" s="33" t="n">
        <f aca="false">Credit!AQ30/FX_EUR</f>
        <v>697363.330611726</v>
      </c>
      <c r="AR23" s="33" t="n">
        <f aca="false">Credit!AR30/FX_EUR</f>
        <v>735423.035373507</v>
      </c>
      <c r="AS23" s="33" t="n">
        <f aca="false">Credit!AS30/FX_EUR</f>
        <v>774471.977900366</v>
      </c>
      <c r="AT23" s="33" t="n">
        <f aca="false">Credit!AT30/FX_EUR</f>
        <v>814546.850116556</v>
      </c>
      <c r="AU23" s="33" t="n">
        <f aca="false">Credit!AU30/FX_EUR</f>
        <v>854955.139422133</v>
      </c>
      <c r="AV23" s="33" t="n">
        <f aca="false">Credit!AV30/FX_EUR</f>
        <v>897141.195406974</v>
      </c>
      <c r="AW23" s="33" t="n">
        <f aca="false">Credit!AW30/FX_EUR</f>
        <v>940929.656439092</v>
      </c>
      <c r="AX23" s="33" t="n">
        <f aca="false">Credit!AX30/FX_EUR</f>
        <v>985250.724934596</v>
      </c>
      <c r="AY23" s="33" t="n">
        <f aca="false">Credit!AY30/FX_EUR</f>
        <v>1029896.80767388</v>
      </c>
      <c r="AZ23" s="33" t="n">
        <f aca="false">Credit!AZ30/FX_EUR</f>
        <v>1074149.99131794</v>
      </c>
      <c r="BA23" s="33" t="n">
        <f aca="false">Credit!BA30/FX_EUR</f>
        <v>1121037.26861516</v>
      </c>
      <c r="BB23" s="33" t="n">
        <f aca="false">Credit!BB30/FX_EUR</f>
        <v>1170536.65100677</v>
      </c>
      <c r="BC23" s="33" t="n">
        <f aca="false">Credit!BC30/FX_EUR</f>
        <v>1220359.36428366</v>
      </c>
      <c r="BD23" s="33" t="n">
        <f aca="false">Credit!BD30/FX_EUR</f>
        <v>1270524.20716901</v>
      </c>
      <c r="BE23" s="33" t="n">
        <f aca="false">Credit!BE30/FX_EUR</f>
        <v>1320977.89193197</v>
      </c>
      <c r="BF23" s="33" t="n">
        <f aca="false">Credit!BF30/FX_EUR</f>
        <v>1372474.42473779</v>
      </c>
      <c r="BG23" s="33" t="n">
        <f aca="false">Credit!BG30/FX_EUR</f>
        <v>1424366.60761835</v>
      </c>
      <c r="BH23" s="33" t="n">
        <f aca="false">Credit!BH30/FX_EUR</f>
        <v>1476678.18301359</v>
      </c>
      <c r="BI23" s="33" t="n">
        <f aca="false">Credit!BI30/FX_EUR</f>
        <v>1530092.85023258</v>
      </c>
      <c r="BJ23" s="33" t="n">
        <f aca="false">Credit!BJ30/FX_EUR</f>
        <v>1584626.32340955</v>
      </c>
      <c r="BK23" s="33" t="n">
        <f aca="false">Credit!BK30/FX_EUR</f>
        <v>1639480.67303704</v>
      </c>
      <c r="BL23" s="33" t="n">
        <f aca="false">Credit!BL30/FX_EUR</f>
        <v>1694349.9452621</v>
      </c>
    </row>
    <row r="24" customFormat="false" ht="15" hidden="false" customHeight="true" outlineLevel="0" collapsed="false">
      <c r="A24" s="13" t="s">
        <v>1048</v>
      </c>
      <c r="B24" s="15" t="s">
        <v>79</v>
      </c>
      <c r="E24" s="33" t="n">
        <f aca="false">Credit!E31/FX_EUR</f>
        <v>0</v>
      </c>
      <c r="F24" s="33" t="n">
        <f aca="false">Credit!F31/FX_EUR</f>
        <v>0</v>
      </c>
      <c r="G24" s="33" t="n">
        <f aca="false">Credit!G31/FX_EUR</f>
        <v>0</v>
      </c>
      <c r="H24" s="33" t="n">
        <f aca="false">Credit!H31/FX_EUR</f>
        <v>0</v>
      </c>
      <c r="I24" s="33" t="n">
        <f aca="false">Credit!I31/FX_EUR</f>
        <v>0</v>
      </c>
      <c r="J24" s="33" t="n">
        <f aca="false">Credit!J31/FX_EUR</f>
        <v>0</v>
      </c>
      <c r="K24" s="33" t="n">
        <f aca="false">Credit!K31/FX_EUR</f>
        <v>0</v>
      </c>
      <c r="L24" s="33" t="n">
        <f aca="false">Credit!L31/FX_EUR</f>
        <v>0</v>
      </c>
      <c r="M24" s="33" t="n">
        <f aca="false">Credit!M31/FX_EUR</f>
        <v>0</v>
      </c>
      <c r="N24" s="33" t="n">
        <f aca="false">Credit!N31/FX_EUR</f>
        <v>0</v>
      </c>
      <c r="O24" s="33" t="n">
        <f aca="false">Credit!O31/FX_EUR</f>
        <v>0</v>
      </c>
      <c r="P24" s="33" t="n">
        <f aca="false">Credit!P31/FX_EUR</f>
        <v>0</v>
      </c>
      <c r="Q24" s="33" t="n">
        <f aca="false">Credit!Q31/FX_EUR</f>
        <v>0</v>
      </c>
      <c r="R24" s="33" t="n">
        <f aca="false">Credit!R31/FX_EUR</f>
        <v>0</v>
      </c>
      <c r="S24" s="33" t="n">
        <f aca="false">Credit!S31/FX_EUR</f>
        <v>0</v>
      </c>
      <c r="T24" s="33" t="n">
        <f aca="false">Credit!T31/FX_EUR</f>
        <v>0</v>
      </c>
      <c r="U24" s="33" t="n">
        <f aca="false">Credit!U31/FX_EUR</f>
        <v>0</v>
      </c>
      <c r="V24" s="33" t="n">
        <f aca="false">Credit!V31/FX_EUR</f>
        <v>0</v>
      </c>
      <c r="W24" s="33" t="n">
        <f aca="false">Credit!W31/FX_EUR</f>
        <v>0</v>
      </c>
      <c r="X24" s="33" t="n">
        <f aca="false">Credit!X31/FX_EUR</f>
        <v>0</v>
      </c>
      <c r="Y24" s="33" t="n">
        <f aca="false">Credit!Y31/FX_EUR</f>
        <v>0</v>
      </c>
      <c r="Z24" s="33" t="n">
        <f aca="false">Credit!Z31/FX_EUR</f>
        <v>0</v>
      </c>
      <c r="AA24" s="33" t="n">
        <f aca="false">Credit!AA31/FX_EUR</f>
        <v>0</v>
      </c>
      <c r="AB24" s="33" t="n">
        <f aca="false">Credit!AB31/FX_EUR</f>
        <v>0</v>
      </c>
      <c r="AC24" s="33" t="n">
        <f aca="false">Credit!AC31/FX_EUR</f>
        <v>0</v>
      </c>
      <c r="AD24" s="33" t="n">
        <f aca="false">Credit!AD31/FX_EUR</f>
        <v>0</v>
      </c>
      <c r="AE24" s="33" t="n">
        <f aca="false">Credit!AE31/FX_EUR</f>
        <v>23642.9572908837</v>
      </c>
      <c r="AF24" s="33" t="n">
        <f aca="false">Credit!AF31/FX_EUR</f>
        <v>74794.618087264</v>
      </c>
      <c r="AG24" s="33" t="n">
        <f aca="false">Credit!AG31/FX_EUR</f>
        <v>133676.442495827</v>
      </c>
      <c r="AH24" s="33" t="n">
        <f aca="false">Credit!AH31/FX_EUR</f>
        <v>200293.380742649</v>
      </c>
      <c r="AI24" s="33" t="n">
        <f aca="false">Credit!AI31/FX_EUR</f>
        <v>275174.161363378</v>
      </c>
      <c r="AJ24" s="33" t="n">
        <f aca="false">Credit!AJ31/FX_EUR</f>
        <v>358548.999105178</v>
      </c>
      <c r="AK24" s="33" t="n">
        <f aca="false">Credit!AK31/FX_EUR</f>
        <v>450152.466768429</v>
      </c>
      <c r="AL24" s="33" t="n">
        <f aca="false">Credit!AL31/FX_EUR</f>
        <v>550047.702917699</v>
      </c>
      <c r="AM24" s="33" t="n">
        <f aca="false">Credit!AM31/FX_EUR</f>
        <v>659232.127749411</v>
      </c>
      <c r="AN24" s="33" t="n">
        <f aca="false">Credit!AN31/FX_EUR</f>
        <v>777995.674373672</v>
      </c>
      <c r="AO24" s="33" t="n">
        <f aca="false">Credit!AO31/FX_EUR</f>
        <v>909177.841813294</v>
      </c>
      <c r="AP24" s="33" t="n">
        <f aca="false">Credit!AP31/FX_EUR</f>
        <v>1054702.20106513</v>
      </c>
      <c r="AQ24" s="33" t="n">
        <f aca="false">Credit!AQ31/FX_EUR</f>
        <v>1162272.21768621</v>
      </c>
      <c r="AR24" s="33" t="n">
        <f aca="false">Credit!AR31/FX_EUR</f>
        <v>1225705.05895585</v>
      </c>
      <c r="AS24" s="33" t="n">
        <f aca="false">Credit!AS31/FX_EUR</f>
        <v>1290786.62983394</v>
      </c>
      <c r="AT24" s="33" t="n">
        <f aca="false">Credit!AT31/FX_EUR</f>
        <v>1357578.08352759</v>
      </c>
      <c r="AU24" s="33" t="n">
        <f aca="false">Credit!AU31/FX_EUR</f>
        <v>1424925.23237022</v>
      </c>
      <c r="AV24" s="33" t="n">
        <f aca="false">Credit!AV31/FX_EUR</f>
        <v>1495235.32567829</v>
      </c>
      <c r="AW24" s="33" t="n">
        <f aca="false">Credit!AW31/FX_EUR</f>
        <v>1568216.09406515</v>
      </c>
      <c r="AX24" s="33" t="n">
        <f aca="false">Credit!AX31/FX_EUR</f>
        <v>1642084.54155766</v>
      </c>
      <c r="AY24" s="33" t="n">
        <f aca="false">Credit!AY31/FX_EUR</f>
        <v>1716494.67945646</v>
      </c>
      <c r="AZ24" s="33" t="n">
        <f aca="false">Credit!AZ31/FX_EUR</f>
        <v>1790249.98552989</v>
      </c>
      <c r="BA24" s="33" t="n">
        <f aca="false">Credit!BA31/FX_EUR</f>
        <v>1868395.44769194</v>
      </c>
      <c r="BB24" s="33" t="n">
        <f aca="false">Credit!BB31/FX_EUR</f>
        <v>1950894.41834462</v>
      </c>
      <c r="BC24" s="33" t="n">
        <f aca="false">Credit!BC31/FX_EUR</f>
        <v>2033932.2738061</v>
      </c>
      <c r="BD24" s="33" t="n">
        <f aca="false">Credit!BD31/FX_EUR</f>
        <v>2117540.34528168</v>
      </c>
      <c r="BE24" s="33" t="n">
        <f aca="false">Credit!BE31/FX_EUR</f>
        <v>2201629.81988662</v>
      </c>
      <c r="BF24" s="33" t="n">
        <f aca="false">Credit!BF31/FX_EUR</f>
        <v>2287457.37456299</v>
      </c>
      <c r="BG24" s="33" t="n">
        <f aca="false">Credit!BG31/FX_EUR</f>
        <v>2373944.34603058</v>
      </c>
      <c r="BH24" s="33" t="n">
        <f aca="false">Credit!BH31/FX_EUR</f>
        <v>2461130.30502265</v>
      </c>
      <c r="BI24" s="33" t="n">
        <f aca="false">Credit!BI31/FX_EUR</f>
        <v>2550154.75038764</v>
      </c>
      <c r="BJ24" s="33" t="n">
        <f aca="false">Credit!BJ31/FX_EUR</f>
        <v>2641043.87234925</v>
      </c>
      <c r="BK24" s="33" t="n">
        <f aca="false">Credit!BK31/FX_EUR</f>
        <v>2732467.78839506</v>
      </c>
      <c r="BL24" s="33" t="n">
        <f aca="false">Credit!BL31/FX_EUR</f>
        <v>2823916.57543684</v>
      </c>
    </row>
    <row r="25" customFormat="false" ht="15" hidden="false" customHeight="true" outlineLevel="0" collapsed="false">
      <c r="A25" s="13" t="s">
        <v>1049</v>
      </c>
      <c r="B25" s="15" t="s">
        <v>79</v>
      </c>
      <c r="E25" s="33" t="n">
        <f aca="false">Credit!E32/FX_EUR</f>
        <v>0</v>
      </c>
      <c r="F25" s="33" t="n">
        <f aca="false">Credit!F32/FX_EUR</f>
        <v>0</v>
      </c>
      <c r="G25" s="33" t="n">
        <f aca="false">Credit!G32/FX_EUR</f>
        <v>0</v>
      </c>
      <c r="H25" s="33" t="n">
        <f aca="false">Credit!H32/FX_EUR</f>
        <v>0</v>
      </c>
      <c r="I25" s="33" t="n">
        <f aca="false">Credit!I32/FX_EUR</f>
        <v>0</v>
      </c>
      <c r="J25" s="33" t="n">
        <f aca="false">Credit!J32/FX_EUR</f>
        <v>0</v>
      </c>
      <c r="K25" s="33" t="n">
        <f aca="false">Credit!K32/FX_EUR</f>
        <v>0</v>
      </c>
      <c r="L25" s="33" t="n">
        <f aca="false">Credit!L32/FX_EUR</f>
        <v>0</v>
      </c>
      <c r="M25" s="33" t="n">
        <f aca="false">Credit!M32/FX_EUR</f>
        <v>0</v>
      </c>
      <c r="N25" s="33" t="n">
        <f aca="false">Credit!N32/FX_EUR</f>
        <v>0</v>
      </c>
      <c r="O25" s="33" t="n">
        <f aca="false">Credit!O32/FX_EUR</f>
        <v>0</v>
      </c>
      <c r="P25" s="33" t="n">
        <f aca="false">Credit!P32/FX_EUR</f>
        <v>0</v>
      </c>
      <c r="Q25" s="33" t="n">
        <f aca="false">Credit!Q32/FX_EUR</f>
        <v>0</v>
      </c>
      <c r="R25" s="33" t="n">
        <f aca="false">Credit!R32/FX_EUR</f>
        <v>0</v>
      </c>
      <c r="S25" s="33" t="n">
        <f aca="false">Credit!S32/FX_EUR</f>
        <v>0</v>
      </c>
      <c r="T25" s="33" t="n">
        <f aca="false">Credit!T32/FX_EUR</f>
        <v>0</v>
      </c>
      <c r="U25" s="33" t="n">
        <f aca="false">Credit!U32/FX_EUR</f>
        <v>0</v>
      </c>
      <c r="V25" s="33" t="n">
        <f aca="false">Credit!V32/FX_EUR</f>
        <v>0</v>
      </c>
      <c r="W25" s="33" t="n">
        <f aca="false">Credit!W32/FX_EUR</f>
        <v>0</v>
      </c>
      <c r="X25" s="33" t="n">
        <f aca="false">Credit!X32/FX_EUR</f>
        <v>0</v>
      </c>
      <c r="Y25" s="33" t="n">
        <f aca="false">Credit!Y32/FX_EUR</f>
        <v>0</v>
      </c>
      <c r="Z25" s="33" t="n">
        <f aca="false">Credit!Z32/FX_EUR</f>
        <v>0</v>
      </c>
      <c r="AA25" s="33" t="n">
        <f aca="false">Credit!AA32/FX_EUR</f>
        <v>0</v>
      </c>
      <c r="AB25" s="33" t="n">
        <f aca="false">Credit!AB32/FX_EUR</f>
        <v>0</v>
      </c>
      <c r="AC25" s="33" t="n">
        <f aca="false">Credit!AC32/FX_EUR</f>
        <v>0</v>
      </c>
      <c r="AD25" s="33" t="n">
        <f aca="false">Credit!AD32/FX_EUR</f>
        <v>0</v>
      </c>
      <c r="AE25" s="33" t="n">
        <f aca="false">Credit!AE32/FX_EUR</f>
        <v>0</v>
      </c>
      <c r="AF25" s="33" t="n">
        <f aca="false">Credit!AF32/FX_EUR</f>
        <v>0</v>
      </c>
      <c r="AG25" s="33" t="n">
        <f aca="false">Credit!AG32/FX_EUR</f>
        <v>0</v>
      </c>
      <c r="AH25" s="33" t="n">
        <f aca="false">Credit!AH32/FX_EUR</f>
        <v>3474.7717288643</v>
      </c>
      <c r="AI25" s="33" t="n">
        <f aca="false">Credit!AI32/FX_EUR</f>
        <v>10916.9978554769</v>
      </c>
      <c r="AJ25" s="33" t="n">
        <f aca="false">Credit!AJ32/FX_EUR</f>
        <v>19349.2161173855</v>
      </c>
      <c r="AK25" s="33" t="n">
        <f aca="false">Credit!AK32/FX_EUR</f>
        <v>28781.6252128074</v>
      </c>
      <c r="AL25" s="33" t="n">
        <f aca="false">Credit!AL32/FX_EUR</f>
        <v>39226.3759242873</v>
      </c>
      <c r="AM25" s="33" t="n">
        <f aca="false">Credit!AM32/FX_EUR</f>
        <v>50766.3015430108</v>
      </c>
      <c r="AN25" s="33" t="n">
        <f aca="false">Credit!AN32/FX_EUR</f>
        <v>63439.8519595623</v>
      </c>
      <c r="AO25" s="33" t="n">
        <f aca="false">Credit!AO32/FX_EUR</f>
        <v>77500.9129490491</v>
      </c>
      <c r="AP25" s="33" t="n">
        <f aca="false">Credit!AP32/FX_EUR</f>
        <v>93140.0871452338</v>
      </c>
      <c r="AQ25" s="33" t="n">
        <f aca="false">Credit!AQ32/FX_EUR</f>
        <v>110186.282159831</v>
      </c>
      <c r="AR25" s="33" t="n">
        <f aca="false">Credit!AR32/FX_EUR</f>
        <v>128581.919544605</v>
      </c>
      <c r="AS25" s="33" t="n">
        <f aca="false">Credit!AS32/FX_EUR</f>
        <v>148490.674349753</v>
      </c>
      <c r="AT25" s="33" t="n">
        <f aca="false">Credit!AT32/FX_EUR</f>
        <v>162999.539262629</v>
      </c>
      <c r="AU25" s="33" t="n">
        <f aca="false">Credit!AU32/FX_EUR</f>
        <v>171327.36542302</v>
      </c>
      <c r="AV25" s="33" t="n">
        <f aca="false">Credit!AV32/FX_EUR</f>
        <v>180023.132203465</v>
      </c>
      <c r="AW25" s="33" t="n">
        <f aca="false">Credit!AW32/FX_EUR</f>
        <v>189055.467208741</v>
      </c>
      <c r="AX25" s="33" t="n">
        <f aca="false">Credit!AX32/FX_EUR</f>
        <v>198225.088369877</v>
      </c>
      <c r="AY25" s="33" t="n">
        <f aca="false">Credit!AY32/FX_EUR</f>
        <v>207493.225955856</v>
      </c>
      <c r="AZ25" s="33" t="n">
        <f aca="false">Credit!AZ32/FX_EUR</f>
        <v>216725.20325084</v>
      </c>
      <c r="BA25" s="33" t="n">
        <f aca="false">Credit!BA32/FX_EUR</f>
        <v>226487.751741044</v>
      </c>
      <c r="BB25" s="33" t="n">
        <f aca="false">Credit!BB32/FX_EUR</f>
        <v>236779.144732728</v>
      </c>
      <c r="BC25" s="33" t="n">
        <f aca="false">Credit!BC32/FX_EUR</f>
        <v>247172.5832861</v>
      </c>
      <c r="BD25" s="33" t="n">
        <f aca="false">Credit!BD32/FX_EUR</f>
        <v>257671.480573919</v>
      </c>
      <c r="BE25" s="33" t="n">
        <f aca="false">Credit!BE32/FX_EUR</f>
        <v>268265.755143825</v>
      </c>
      <c r="BF25" s="33" t="n">
        <f aca="false">Credit!BF32/FX_EUR</f>
        <v>279096.63789423</v>
      </c>
      <c r="BG25" s="33" t="n">
        <f aca="false">Credit!BG32/FX_EUR</f>
        <v>290043.437058177</v>
      </c>
      <c r="BH25" s="33" t="n">
        <f aca="false">Credit!BH32/FX_EUR</f>
        <v>301110.567508153</v>
      </c>
      <c r="BI25" s="33" t="n">
        <f aca="false">Credit!BI32/FX_EUR</f>
        <v>312426.212014895</v>
      </c>
      <c r="BJ25" s="33" t="n">
        <f aca="false">Credit!BJ32/FX_EUR</f>
        <v>323994.033022088</v>
      </c>
      <c r="BK25" s="33" t="n">
        <f aca="false">Credit!BK32/FX_EUR</f>
        <v>335665.143789098</v>
      </c>
      <c r="BL25" s="33" t="n">
        <f aca="false">Credit!BL32/FX_EUR</f>
        <v>347382.047415798</v>
      </c>
    </row>
    <row r="26" customFormat="false" ht="15" hidden="false" customHeight="true" outlineLevel="0" collapsed="false">
      <c r="A26" s="9" t="s">
        <v>1270</v>
      </c>
      <c r="B26" s="15" t="s">
        <v>79</v>
      </c>
      <c r="E26" s="17" t="n">
        <f aca="false">Credit!E33/FX_EUR</f>
        <v>0</v>
      </c>
      <c r="F26" s="17" t="n">
        <f aca="false">Credit!F33/FX_EUR</f>
        <v>0</v>
      </c>
      <c r="G26" s="17" t="n">
        <f aca="false">Credit!G33/FX_EUR</f>
        <v>0</v>
      </c>
      <c r="H26" s="17" t="n">
        <f aca="false">Credit!H33/FX_EUR</f>
        <v>0</v>
      </c>
      <c r="I26" s="17" t="n">
        <f aca="false">Credit!I33/FX_EUR</f>
        <v>0</v>
      </c>
      <c r="J26" s="17" t="n">
        <f aca="false">Credit!J33/FX_EUR</f>
        <v>0</v>
      </c>
      <c r="K26" s="17" t="n">
        <f aca="false">Credit!K33/FX_EUR</f>
        <v>0</v>
      </c>
      <c r="L26" s="17" t="n">
        <f aca="false">Credit!L33/FX_EUR</f>
        <v>0</v>
      </c>
      <c r="M26" s="17" t="n">
        <f aca="false">Credit!M33/FX_EUR</f>
        <v>0</v>
      </c>
      <c r="N26" s="17" t="n">
        <f aca="false">Credit!N33/FX_EUR</f>
        <v>0</v>
      </c>
      <c r="O26" s="17" t="n">
        <f aca="false">Credit!O33/FX_EUR</f>
        <v>0</v>
      </c>
      <c r="P26" s="17" t="n">
        <f aca="false">Credit!P33/FX_EUR</f>
        <v>0</v>
      </c>
      <c r="Q26" s="17" t="n">
        <f aca="false">Credit!Q33/FX_EUR</f>
        <v>0</v>
      </c>
      <c r="R26" s="17" t="n">
        <f aca="false">Credit!R33/FX_EUR</f>
        <v>0</v>
      </c>
      <c r="S26" s="17" t="n">
        <f aca="false">Credit!S33/FX_EUR</f>
        <v>0</v>
      </c>
      <c r="T26" s="17" t="n">
        <f aca="false">Credit!T33/FX_EUR</f>
        <v>0</v>
      </c>
      <c r="U26" s="17" t="n">
        <f aca="false">Credit!U33/FX_EUR</f>
        <v>0</v>
      </c>
      <c r="V26" s="17" t="n">
        <f aca="false">Credit!V33/FX_EUR</f>
        <v>24174.7206935041</v>
      </c>
      <c r="W26" s="17" t="n">
        <f aca="false">Credit!W33/FX_EUR</f>
        <v>78883.7288660078</v>
      </c>
      <c r="X26" s="17" t="n">
        <f aca="false">Credit!X33/FX_EUR</f>
        <v>146290.7779248</v>
      </c>
      <c r="Y26" s="17" t="n">
        <f aca="false">Credit!Y33/FX_EUR</f>
        <v>235674.201310948</v>
      </c>
      <c r="Z26" s="17" t="n">
        <f aca="false">Credit!Z33/FX_EUR</f>
        <v>349175.658869964</v>
      </c>
      <c r="AA26" s="17" t="n">
        <f aca="false">Credit!AA33/FX_EUR</f>
        <v>479639.094789024</v>
      </c>
      <c r="AB26" s="17" t="n">
        <f aca="false">Credit!AB33/FX_EUR</f>
        <v>627084.797769528</v>
      </c>
      <c r="AC26" s="17" t="n">
        <f aca="false">Credit!AC33/FX_EUR</f>
        <v>801635.745888206</v>
      </c>
      <c r="AD26" s="17" t="n">
        <f aca="false">Credit!AD33/FX_EUR</f>
        <v>1005912.24436673</v>
      </c>
      <c r="AE26" s="17" t="n">
        <f aca="false">Credit!AE33/FX_EUR</f>
        <v>1259001.26030958</v>
      </c>
      <c r="AF26" s="17" t="n">
        <f aca="false">Credit!AF33/FX_EUR</f>
        <v>1565380.10747816</v>
      </c>
      <c r="AG26" s="17" t="n">
        <f aca="false">Credit!AG33/FX_EUR</f>
        <v>1902996.52535195</v>
      </c>
      <c r="AH26" s="17" t="n">
        <f aca="false">Credit!AH33/FX_EUR</f>
        <v>2203307.72171744</v>
      </c>
      <c r="AI26" s="17" t="n">
        <f aca="false">Credit!AI33/FX_EUR</f>
        <v>2461663.30945646</v>
      </c>
      <c r="AJ26" s="17" t="n">
        <f aca="false">Credit!AJ33/FX_EUR</f>
        <v>2738193.22831634</v>
      </c>
      <c r="AK26" s="17" t="n">
        <f aca="false">Credit!AK33/FX_EUR</f>
        <v>3007870.55599738</v>
      </c>
      <c r="AL26" s="17" t="n">
        <f aca="false">Credit!AL33/FX_EUR</f>
        <v>3268487.50714391</v>
      </c>
      <c r="AM26" s="17" t="n">
        <f aca="false">Credit!AM33/FX_EUR</f>
        <v>3543903.74088162</v>
      </c>
      <c r="AN26" s="17" t="n">
        <f aca="false">Credit!AN33/FX_EUR</f>
        <v>3834565.03283236</v>
      </c>
      <c r="AO26" s="17" t="n">
        <f aca="false">Credit!AO33/FX_EUR</f>
        <v>4151441.03966696</v>
      </c>
      <c r="AP26" s="17" t="n">
        <f aca="false">Credit!AP33/FX_EUR</f>
        <v>4500374.51490239</v>
      </c>
      <c r="AQ26" s="17" t="n">
        <f aca="false">Credit!AQ33/FX_EUR</f>
        <v>4817388.76378899</v>
      </c>
      <c r="AR26" s="17" t="n">
        <f aca="false">Credit!AR33/FX_EUR</f>
        <v>5092687.40831578</v>
      </c>
      <c r="AS26" s="17" t="n">
        <f aca="false">Credit!AS33/FX_EUR</f>
        <v>5376176.52517722</v>
      </c>
      <c r="AT26" s="17" t="n">
        <f aca="false">Credit!AT33/FX_EUR</f>
        <v>5661190.77754938</v>
      </c>
      <c r="AU26" s="17" t="n">
        <f aca="false">Credit!AU33/FX_EUR</f>
        <v>5942274.55652242</v>
      </c>
      <c r="AV26" s="17" t="n">
        <f aca="false">Credit!AV33/FX_EUR</f>
        <v>6235726.20120054</v>
      </c>
      <c r="AW26" s="17" t="n">
        <f aca="false">Credit!AW33/FX_EUR</f>
        <v>6540330.64817261</v>
      </c>
      <c r="AX26" s="17" t="n">
        <f aca="false">Credit!AX33/FX_EUR</f>
        <v>6848667.4816784</v>
      </c>
      <c r="AY26" s="17" t="n">
        <f aca="false">Credit!AY33/FX_EUR</f>
        <v>7159296.67775453</v>
      </c>
      <c r="AZ26" s="17" t="n">
        <f aca="false">Credit!AZ33/FX_EUR</f>
        <v>7467237.64464691</v>
      </c>
      <c r="BA26" s="17" t="n">
        <f aca="false">Credit!BA33/FX_EUR</f>
        <v>7793489.3148934</v>
      </c>
      <c r="BB26" s="17" t="n">
        <f aca="false">Credit!BB33/FX_EUR</f>
        <v>8137901.53902846</v>
      </c>
      <c r="BC26" s="17" t="n">
        <f aca="false">Credit!BC33/FX_EUR</f>
        <v>8484598.2922008</v>
      </c>
      <c r="BD26" s="17" t="n">
        <f aca="false">Credit!BD33/FX_EUR</f>
        <v>8833709.87896472</v>
      </c>
      <c r="BE26" s="17" t="n">
        <f aca="false">Credit!BE33/FX_EUR</f>
        <v>9184866.52568464</v>
      </c>
      <c r="BF26" s="17" t="n">
        <f aca="false">Credit!BF33/FX_EUR</f>
        <v>9543299.00487434</v>
      </c>
      <c r="BG26" s="17" t="n">
        <f aca="false">Credit!BG33/FX_EUR</f>
        <v>9904518.03848204</v>
      </c>
      <c r="BH26" s="17" t="n">
        <f aca="false">Credit!BH33/FX_EUR</f>
        <v>10268688.3028499</v>
      </c>
      <c r="BI26" s="17" t="n">
        <f aca="false">Credit!BI33/FX_EUR</f>
        <v>10640552.9510848</v>
      </c>
      <c r="BJ26" s="17" t="n">
        <f aca="false">Credit!BJ33/FX_EUR</f>
        <v>11020221.7160366</v>
      </c>
      <c r="BK26" s="17" t="n">
        <f aca="false">Credit!BK33/FX_EUR</f>
        <v>11402159.6867891</v>
      </c>
      <c r="BL26" s="17" t="n">
        <f aca="false">Credit!BL33/FX_EUR</f>
        <v>11784244.177935</v>
      </c>
    </row>
    <row r="28" customFormat="false" ht="15" hidden="false" customHeight="true" outlineLevel="0" collapsed="false">
      <c r="A28" s="11" t="s">
        <v>1271</v>
      </c>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row>
    <row r="29" customFormat="false" ht="15" hidden="false" customHeight="true" outlineLevel="0" collapsed="false">
      <c r="A29" s="13" t="s">
        <v>1272</v>
      </c>
      <c r="B29" s="15" t="s">
        <v>79</v>
      </c>
      <c r="D29" s="56" t="n">
        <f aca="false">Credit!D36/FX_EUR</f>
        <v>4106073.98642345</v>
      </c>
      <c r="E29" s="33" t="n">
        <f aca="false">Credit!E36/FX_EUR</f>
        <v>0</v>
      </c>
      <c r="F29" s="33" t="n">
        <f aca="false">Credit!F36/FX_EUR</f>
        <v>0</v>
      </c>
      <c r="G29" s="33" t="n">
        <f aca="false">Credit!G36/FX_EUR</f>
        <v>0</v>
      </c>
      <c r="H29" s="33" t="n">
        <f aca="false">Credit!H36/FX_EUR</f>
        <v>0</v>
      </c>
      <c r="I29" s="33" t="n">
        <f aca="false">Credit!I36/FX_EUR</f>
        <v>0</v>
      </c>
      <c r="J29" s="33" t="n">
        <f aca="false">Credit!J36/FX_EUR</f>
        <v>0</v>
      </c>
      <c r="K29" s="33" t="n">
        <f aca="false">Credit!K36/FX_EUR</f>
        <v>0</v>
      </c>
      <c r="L29" s="33" t="n">
        <f aca="false">Credit!L36/FX_EUR</f>
        <v>0</v>
      </c>
      <c r="M29" s="33" t="n">
        <f aca="false">Credit!M36/FX_EUR</f>
        <v>0</v>
      </c>
      <c r="N29" s="33" t="n">
        <f aca="false">Credit!N36/FX_EUR</f>
        <v>0</v>
      </c>
      <c r="O29" s="33" t="n">
        <f aca="false">Credit!O36/FX_EUR</f>
        <v>0</v>
      </c>
      <c r="P29" s="33" t="n">
        <f aca="false">Credit!P36/FX_EUR</f>
        <v>0</v>
      </c>
      <c r="Q29" s="33" t="n">
        <f aca="false">Credit!Q36/FX_EUR</f>
        <v>0</v>
      </c>
      <c r="R29" s="33" t="n">
        <f aca="false">Credit!R36/FX_EUR</f>
        <v>0</v>
      </c>
      <c r="S29" s="33" t="n">
        <f aca="false">Credit!S36/FX_EUR</f>
        <v>0</v>
      </c>
      <c r="T29" s="33" t="n">
        <f aca="false">Credit!T36/FX_EUR</f>
        <v>0</v>
      </c>
      <c r="U29" s="33" t="n">
        <f aca="false">Credit!U36/FX_EUR</f>
        <v>0</v>
      </c>
      <c r="V29" s="33" t="n">
        <f aca="false">Credit!V36/FX_EUR</f>
        <v>463.348813292161</v>
      </c>
      <c r="W29" s="33" t="n">
        <f aca="false">Credit!W36/FX_EUR</f>
        <v>1511.93813659848</v>
      </c>
      <c r="X29" s="33" t="n">
        <f aca="false">Credit!X36/FX_EUR</f>
        <v>2803.90657689201</v>
      </c>
      <c r="Y29" s="33" t="n">
        <f aca="false">Credit!Y36/FX_EUR</f>
        <v>4517.08885845984</v>
      </c>
      <c r="Z29" s="33" t="n">
        <f aca="false">Credit!Z36/FX_EUR</f>
        <v>6692.5334616743</v>
      </c>
      <c r="AA29" s="33" t="n">
        <f aca="false">Credit!AA36/FX_EUR</f>
        <v>9193.08265012295</v>
      </c>
      <c r="AB29" s="33" t="n">
        <f aca="false">Credit!AB36/FX_EUR</f>
        <v>12019.1252905826</v>
      </c>
      <c r="AC29" s="33" t="n">
        <f aca="false">Credit!AC36/FX_EUR</f>
        <v>15364.685129524</v>
      </c>
      <c r="AD29" s="33" t="n">
        <f aca="false">Credit!AD36/FX_EUR</f>
        <v>19279.9846836956</v>
      </c>
      <c r="AE29" s="33" t="n">
        <f aca="false">Credit!AE36/FX_EUR</f>
        <v>24111.1550248579</v>
      </c>
      <c r="AF29" s="33" t="n">
        <f aca="false">Credit!AF36/FX_EUR</f>
        <v>29940.7898782587</v>
      </c>
      <c r="AG29" s="33" t="n">
        <f aca="false">Credit!AG36/FX_EUR</f>
        <v>36362.7030338325</v>
      </c>
      <c r="AH29" s="33" t="n">
        <f aca="false">Credit!AH36/FX_EUR</f>
        <v>42063.153515632</v>
      </c>
      <c r="AI29" s="33" t="n">
        <f aca="false">Credit!AI36/FX_EUR</f>
        <v>46952.5682967793</v>
      </c>
      <c r="AJ29" s="33" t="n">
        <f aca="false">Credit!AJ36/FX_EUR</f>
        <v>52183.2460434756</v>
      </c>
      <c r="AK29" s="33" t="n">
        <f aca="false">Credit!AK36/FX_EUR</f>
        <v>57275.7252676428</v>
      </c>
      <c r="AL29" s="33" t="n">
        <f aca="false">Credit!AL36/FX_EUR</f>
        <v>62187.6374678269</v>
      </c>
      <c r="AM29" s="33" t="n">
        <f aca="false">Credit!AM36/FX_EUR</f>
        <v>67375.4615937731</v>
      </c>
      <c r="AN29" s="33" t="n">
        <f aca="false">Credit!AN36/FX_EUR</f>
        <v>72847.5000673089</v>
      </c>
      <c r="AO29" s="33" t="n">
        <f aca="false">Credit!AO36/FX_EUR</f>
        <v>78811.6383921056</v>
      </c>
      <c r="AP29" s="33" t="n">
        <f aca="false">Credit!AP36/FX_EUR</f>
        <v>85378.2597014081</v>
      </c>
      <c r="AQ29" s="33" t="n">
        <f aca="false">Credit!AQ36/FX_EUR</f>
        <v>91364.7244578837</v>
      </c>
      <c r="AR29" s="33" t="n">
        <f aca="false">Credit!AR36/FX_EUR</f>
        <v>96588.4211102559</v>
      </c>
      <c r="AS29" s="33" t="n">
        <f aca="false">Credit!AS36/FX_EUR</f>
        <v>101967.727874368</v>
      </c>
      <c r="AT29" s="33" t="n">
        <f aca="false">Credit!AT36/FX_EUR</f>
        <v>107374.84150009</v>
      </c>
      <c r="AU29" s="33" t="n">
        <f aca="false">Credit!AU36/FX_EUR</f>
        <v>112706.157973038</v>
      </c>
      <c r="AV29" s="33" t="n">
        <f aca="false">Credit!AV36/FX_EUR</f>
        <v>118272.056084945</v>
      </c>
      <c r="AW29" s="33" t="n">
        <f aca="false">Credit!AW36/FX_EUR</f>
        <v>124049.490678254</v>
      </c>
      <c r="AX29" s="33" t="n">
        <f aca="false">Credit!AX36/FX_EUR</f>
        <v>129897.722947538</v>
      </c>
      <c r="AY29" s="33" t="n">
        <f aca="false">Credit!AY36/FX_EUR</f>
        <v>135789.440757415</v>
      </c>
      <c r="AZ29" s="33" t="n">
        <f aca="false">Credit!AZ36/FX_EUR</f>
        <v>141630.179867791</v>
      </c>
      <c r="BA29" s="33" t="n">
        <f aca="false">Credit!BA36/FX_EUR</f>
        <v>147818.21566238</v>
      </c>
      <c r="BB29" s="33" t="n">
        <f aca="false">Credit!BB36/FX_EUR</f>
        <v>154350.700816092</v>
      </c>
      <c r="BC29" s="33" t="n">
        <f aca="false">Credit!BC36/FX_EUR</f>
        <v>160926.523705677</v>
      </c>
      <c r="BD29" s="33" t="n">
        <f aca="false">Credit!BD36/FX_EUR</f>
        <v>167548.155725756</v>
      </c>
      <c r="BE29" s="33" t="n">
        <f aca="false">Credit!BE36/FX_EUR</f>
        <v>174208.58355905</v>
      </c>
      <c r="BF29" s="33" t="n">
        <f aca="false">Credit!BF36/FX_EUR</f>
        <v>181007.016447956</v>
      </c>
      <c r="BG29" s="33" t="n">
        <f aca="false">Credit!BG36/FX_EUR</f>
        <v>187858.308782547</v>
      </c>
      <c r="BH29" s="33" t="n">
        <f aca="false">Credit!BH36/FX_EUR</f>
        <v>194765.583883771</v>
      </c>
      <c r="BI29" s="33" t="n">
        <f aca="false">Credit!BI36/FX_EUR</f>
        <v>201818.802603803</v>
      </c>
      <c r="BJ29" s="33" t="n">
        <f aca="false">Credit!BJ36/FX_EUR</f>
        <v>209020.04633041</v>
      </c>
      <c r="BK29" s="33" t="n">
        <f aca="false">Credit!BK36/FX_EUR</f>
        <v>216264.337506462</v>
      </c>
      <c r="BL29" s="33" t="n">
        <f aca="false">Credit!BL36/FX_EUR</f>
        <v>223511.416264223</v>
      </c>
    </row>
    <row r="30" customFormat="false" ht="15" hidden="false" customHeight="true" outlineLevel="0" collapsed="false">
      <c r="A30" s="13" t="s">
        <v>724</v>
      </c>
      <c r="B30" s="15" t="s">
        <v>79</v>
      </c>
      <c r="D30" s="56" t="n">
        <f aca="false">Credit!D37/FX_EUR</f>
        <v>-1622436.61221123</v>
      </c>
      <c r="E30" s="33" t="n">
        <f aca="false">Credit!E37/FX_EUR</f>
        <v>-0</v>
      </c>
      <c r="F30" s="33" t="n">
        <f aca="false">Credit!F37/FX_EUR</f>
        <v>-0</v>
      </c>
      <c r="G30" s="33" t="n">
        <f aca="false">Credit!G37/FX_EUR</f>
        <v>-0</v>
      </c>
      <c r="H30" s="33" t="n">
        <f aca="false">Credit!H37/FX_EUR</f>
        <v>-0</v>
      </c>
      <c r="I30" s="33" t="n">
        <f aca="false">Credit!I37/FX_EUR</f>
        <v>-0</v>
      </c>
      <c r="J30" s="33" t="n">
        <f aca="false">Credit!J37/FX_EUR</f>
        <v>-0</v>
      </c>
      <c r="K30" s="33" t="n">
        <f aca="false">Credit!K37/FX_EUR</f>
        <v>-0</v>
      </c>
      <c r="L30" s="33" t="n">
        <f aca="false">Credit!L37/FX_EUR</f>
        <v>-0</v>
      </c>
      <c r="M30" s="33" t="n">
        <f aca="false">Credit!M37/FX_EUR</f>
        <v>-0</v>
      </c>
      <c r="N30" s="33" t="n">
        <f aca="false">Credit!N37/FX_EUR</f>
        <v>-0</v>
      </c>
      <c r="O30" s="33" t="n">
        <f aca="false">Credit!O37/FX_EUR</f>
        <v>-0</v>
      </c>
      <c r="P30" s="33" t="n">
        <f aca="false">Credit!P37/FX_EUR</f>
        <v>-0</v>
      </c>
      <c r="Q30" s="33" t="n">
        <f aca="false">Credit!Q37/FX_EUR</f>
        <v>-0</v>
      </c>
      <c r="R30" s="33" t="n">
        <f aca="false">Credit!R37/FX_EUR</f>
        <v>-0</v>
      </c>
      <c r="S30" s="33" t="n">
        <f aca="false">Credit!S37/FX_EUR</f>
        <v>-0</v>
      </c>
      <c r="T30" s="33" t="n">
        <f aca="false">Credit!T37/FX_EUR</f>
        <v>-0</v>
      </c>
      <c r="U30" s="33" t="n">
        <f aca="false">Credit!U37/FX_EUR</f>
        <v>-0</v>
      </c>
      <c r="V30" s="33" t="n">
        <f aca="false">Credit!V37/FX_EUR</f>
        <v>-181.310405201281</v>
      </c>
      <c r="W30" s="33" t="n">
        <f aca="false">Credit!W37/FX_EUR</f>
        <v>-591.627966495058</v>
      </c>
      <c r="X30" s="33" t="n">
        <f aca="false">Credit!X37/FX_EUR</f>
        <v>-1097.180834436</v>
      </c>
      <c r="Y30" s="33" t="n">
        <f aca="false">Credit!Y37/FX_EUR</f>
        <v>-1767.55650983211</v>
      </c>
      <c r="Z30" s="33" t="n">
        <f aca="false">Credit!Z37/FX_EUR</f>
        <v>-2618.81744152473</v>
      </c>
      <c r="AA30" s="33" t="n">
        <f aca="false">Credit!AA37/FX_EUR</f>
        <v>-3597.29321091768</v>
      </c>
      <c r="AB30" s="33" t="n">
        <f aca="false">Credit!AB37/FX_EUR</f>
        <v>-4703.13598327146</v>
      </c>
      <c r="AC30" s="33" t="n">
        <f aca="false">Credit!AC37/FX_EUR</f>
        <v>-6012.26809416155</v>
      </c>
      <c r="AD30" s="33" t="n">
        <f aca="false">Credit!AD37/FX_EUR</f>
        <v>-7544.34183275044</v>
      </c>
      <c r="AE30" s="33" t="n">
        <f aca="false">Credit!AE37/FX_EUR</f>
        <v>-9442.50945232187</v>
      </c>
      <c r="AF30" s="33" t="n">
        <f aca="false">Credit!AF37/FX_EUR</f>
        <v>-11740.3508060862</v>
      </c>
      <c r="AG30" s="33" t="n">
        <f aca="false">Credit!AG37/FX_EUR</f>
        <v>-14272.4739401396</v>
      </c>
      <c r="AH30" s="33" t="n">
        <f aca="false">Credit!AH37/FX_EUR</f>
        <v>-16524.8079128808</v>
      </c>
      <c r="AI30" s="33" t="n">
        <f aca="false">Credit!AI37/FX_EUR</f>
        <v>-18462.4748209234</v>
      </c>
      <c r="AJ30" s="33" t="n">
        <f aca="false">Credit!AJ37/FX_EUR</f>
        <v>-20536.4492123726</v>
      </c>
      <c r="AK30" s="33" t="n">
        <f aca="false">Credit!AK37/FX_EUR</f>
        <v>-22559.0291699804</v>
      </c>
      <c r="AL30" s="33" t="n">
        <f aca="false">Credit!AL37/FX_EUR</f>
        <v>-24513.6563035793</v>
      </c>
      <c r="AM30" s="33" t="n">
        <f aca="false">Credit!AM37/FX_EUR</f>
        <v>-26579.2780566121</v>
      </c>
      <c r="AN30" s="33" t="n">
        <f aca="false">Credit!AN37/FX_EUR</f>
        <v>-28759.2377462427</v>
      </c>
      <c r="AO30" s="33" t="n">
        <f aca="false">Credit!AO37/FX_EUR</f>
        <v>-31135.8077975022</v>
      </c>
      <c r="AP30" s="33" t="n">
        <f aca="false">Credit!AP37/FX_EUR</f>
        <v>-33752.8088617679</v>
      </c>
      <c r="AQ30" s="33" t="n">
        <f aca="false">Credit!AQ37/FX_EUR</f>
        <v>-36130.4157284174</v>
      </c>
      <c r="AR30" s="33" t="n">
        <f aca="false">Credit!AR37/FX_EUR</f>
        <v>-38195.1555623683</v>
      </c>
      <c r="AS30" s="33" t="n">
        <f aca="false">Credit!AS37/FX_EUR</f>
        <v>-40321.3239388292</v>
      </c>
      <c r="AT30" s="33" t="n">
        <f aca="false">Credit!AT37/FX_EUR</f>
        <v>-42458.9308316203</v>
      </c>
      <c r="AU30" s="33" t="n">
        <f aca="false">Credit!AU37/FX_EUR</f>
        <v>-44567.0591739181</v>
      </c>
      <c r="AV30" s="33" t="n">
        <f aca="false">Credit!AV37/FX_EUR</f>
        <v>-46767.9465090041</v>
      </c>
      <c r="AW30" s="33" t="n">
        <f aca="false">Credit!AW37/FX_EUR</f>
        <v>-49052.4798612946</v>
      </c>
      <c r="AX30" s="33" t="n">
        <f aca="false">Credit!AX37/FX_EUR</f>
        <v>-51365.006112588</v>
      </c>
      <c r="AY30" s="33" t="n">
        <f aca="false">Credit!AY37/FX_EUR</f>
        <v>-53694.725083159</v>
      </c>
      <c r="AZ30" s="33" t="n">
        <f aca="false">Credit!AZ37/FX_EUR</f>
        <v>-56004.2823348518</v>
      </c>
      <c r="BA30" s="33" t="n">
        <f aca="false">Credit!BA37/FX_EUR</f>
        <v>-58451.1698617005</v>
      </c>
      <c r="BB30" s="33" t="n">
        <f aca="false">Credit!BB37/FX_EUR</f>
        <v>-61034.2615427134</v>
      </c>
      <c r="BC30" s="33" t="n">
        <f aca="false">Credit!BC37/FX_EUR</f>
        <v>-63634.487191506</v>
      </c>
      <c r="BD30" s="33" t="n">
        <f aca="false">Credit!BD37/FX_EUR</f>
        <v>-66252.8240922354</v>
      </c>
      <c r="BE30" s="33" t="n">
        <f aca="false">Credit!BE37/FX_EUR</f>
        <v>-68886.4989426348</v>
      </c>
      <c r="BF30" s="33" t="n">
        <f aca="false">Credit!BF37/FX_EUR</f>
        <v>-71574.7425365576</v>
      </c>
      <c r="BG30" s="33" t="n">
        <f aca="false">Credit!BG37/FX_EUR</f>
        <v>-74283.8852886153</v>
      </c>
      <c r="BH30" s="33" t="n">
        <f aca="false">Credit!BH37/FX_EUR</f>
        <v>-77015.1622713741</v>
      </c>
      <c r="BI30" s="33" t="n">
        <f aca="false">Credit!BI37/FX_EUR</f>
        <v>-79804.1471331362</v>
      </c>
      <c r="BJ30" s="33" t="n">
        <f aca="false">Credit!BJ37/FX_EUR</f>
        <v>-82651.6628702742</v>
      </c>
      <c r="BK30" s="33" t="n">
        <f aca="false">Credit!BK37/FX_EUR</f>
        <v>-85516.1976509183</v>
      </c>
      <c r="BL30" s="33" t="n">
        <f aca="false">Credit!BL37/FX_EUR</f>
        <v>-88381.8313345124</v>
      </c>
    </row>
    <row r="31" customFormat="false" ht="15" hidden="false" customHeight="true" outlineLevel="0" collapsed="false">
      <c r="A31" s="13" t="s">
        <v>1039</v>
      </c>
      <c r="B31" s="15" t="s">
        <v>79</v>
      </c>
      <c r="D31" s="56" t="n">
        <f aca="false">Credit!D38/FX_EUR</f>
        <v>-459110.418897149</v>
      </c>
      <c r="E31" s="33" t="n">
        <f aca="false">Credit!E38/FX_EUR</f>
        <v>-0</v>
      </c>
      <c r="F31" s="33" t="n">
        <f aca="false">Credit!F38/FX_EUR</f>
        <v>-0</v>
      </c>
      <c r="G31" s="33" t="n">
        <f aca="false">Credit!G38/FX_EUR</f>
        <v>-0</v>
      </c>
      <c r="H31" s="33" t="n">
        <f aca="false">Credit!H38/FX_EUR</f>
        <v>-0</v>
      </c>
      <c r="I31" s="33" t="n">
        <f aca="false">Credit!I38/FX_EUR</f>
        <v>-0</v>
      </c>
      <c r="J31" s="33" t="n">
        <f aca="false">Credit!J38/FX_EUR</f>
        <v>-0</v>
      </c>
      <c r="K31" s="33" t="n">
        <f aca="false">Credit!K38/FX_EUR</f>
        <v>-0</v>
      </c>
      <c r="L31" s="33" t="n">
        <f aca="false">Credit!L38/FX_EUR</f>
        <v>-0</v>
      </c>
      <c r="M31" s="33" t="n">
        <f aca="false">Credit!M38/FX_EUR</f>
        <v>-0</v>
      </c>
      <c r="N31" s="33" t="n">
        <f aca="false">Credit!N38/FX_EUR</f>
        <v>-0</v>
      </c>
      <c r="O31" s="33" t="n">
        <f aca="false">Credit!O38/FX_EUR</f>
        <v>-0</v>
      </c>
      <c r="P31" s="33" t="n">
        <f aca="false">Credit!P38/FX_EUR</f>
        <v>-0</v>
      </c>
      <c r="Q31" s="33" t="n">
        <f aca="false">Credit!Q38/FX_EUR</f>
        <v>-0</v>
      </c>
      <c r="R31" s="33" t="n">
        <f aca="false">Credit!R38/FX_EUR</f>
        <v>-0</v>
      </c>
      <c r="S31" s="33" t="n">
        <f aca="false">Credit!S38/FX_EUR</f>
        <v>-0</v>
      </c>
      <c r="T31" s="33" t="n">
        <f aca="false">Credit!T38/FX_EUR</f>
        <v>-0</v>
      </c>
      <c r="U31" s="33" t="n">
        <f aca="false">Credit!U38/FX_EUR</f>
        <v>-0</v>
      </c>
      <c r="V31" s="33" t="n">
        <f aca="false">Credit!V38/FX_EUR</f>
        <v>-32.0685070424034</v>
      </c>
      <c r="W31" s="33" t="n">
        <f aca="false">Credit!W38/FX_EUR</f>
        <v>-104.641681148786</v>
      </c>
      <c r="X31" s="33" t="n">
        <f aca="false">Credit!X38/FX_EUR</f>
        <v>-194.059195206368</v>
      </c>
      <c r="Y31" s="33" t="n">
        <f aca="false">Credit!Y38/FX_EUR</f>
        <v>-332.775403914354</v>
      </c>
      <c r="Z31" s="33" t="n">
        <f aca="false">Credit!Z38/FX_EUR</f>
        <v>-527.68172234669</v>
      </c>
      <c r="AA31" s="33" t="n">
        <f aca="false">Credit!AA38/FX_EUR</f>
        <v>-753.185765065045</v>
      </c>
      <c r="AB31" s="33" t="n">
        <f aca="false">Credit!AB38/FX_EUR</f>
        <v>-1009.31483406291</v>
      </c>
      <c r="AC31" s="33" t="n">
        <f aca="false">Credit!AC38/FX_EUR</f>
        <v>-1312.75277494459</v>
      </c>
      <c r="AD31" s="33" t="n">
        <f aca="false">Credit!AD38/FX_EUR</f>
        <v>-1668.24041436496</v>
      </c>
      <c r="AE31" s="33" t="n">
        <f aca="false">Credit!AE38/FX_EUR</f>
        <v>-2147.59159487198</v>
      </c>
      <c r="AF31" s="33" t="n">
        <f aca="false">Credit!AF38/FX_EUR</f>
        <v>-2764.78896681207</v>
      </c>
      <c r="AG31" s="33" t="n">
        <f aca="false">Credit!AG38/FX_EUR</f>
        <v>-3450.15346411956</v>
      </c>
      <c r="AH31" s="33" t="n">
        <f aca="false">Credit!AH38/FX_EUR</f>
        <v>-4112.54471598989</v>
      </c>
      <c r="AI31" s="33" t="n">
        <f aca="false">Credit!AI38/FX_EUR</f>
        <v>-4748.50658173541</v>
      </c>
      <c r="AJ31" s="33" t="n">
        <f aca="false">Credit!AJ38/FX_EUR</f>
        <v>-5438.84857471459</v>
      </c>
      <c r="AK31" s="33" t="n">
        <f aca="false">Credit!AK38/FX_EUR</f>
        <v>-6096.86248427049</v>
      </c>
      <c r="AL31" s="33" t="n">
        <f aca="false">Credit!AL38/FX_EUR</f>
        <v>-6713.89379023013</v>
      </c>
      <c r="AM31" s="33" t="n">
        <f aca="false">Credit!AM38/FX_EUR</f>
        <v>-7371.21935644557</v>
      </c>
      <c r="AN31" s="33" t="n">
        <f aca="false">Credit!AN38/FX_EUR</f>
        <v>-8070.06538059236</v>
      </c>
      <c r="AO31" s="33" t="n">
        <f aca="false">Credit!AO38/FX_EUR</f>
        <v>-8834.4173298455</v>
      </c>
      <c r="AP31" s="33" t="n">
        <f aca="false">Credit!AP38/FX_EUR</f>
        <v>-9677.64902946759</v>
      </c>
      <c r="AQ31" s="33" t="n">
        <f aca="false">Credit!AQ38/FX_EUR</f>
        <v>-10404.4707755946</v>
      </c>
      <c r="AR31" s="33" t="n">
        <f aca="false">Credit!AR38/FX_EUR</f>
        <v>-10987.7887535407</v>
      </c>
      <c r="AS31" s="33" t="n">
        <f aca="false">Credit!AS38/FX_EUR</f>
        <v>-11587.5619064703</v>
      </c>
      <c r="AT31" s="33" t="n">
        <f aca="false">Credit!AT38/FX_EUR</f>
        <v>-12195.6891619054</v>
      </c>
      <c r="AU31" s="33" t="n">
        <f aca="false">Credit!AU38/FX_EUR</f>
        <v>-12800.9987593824</v>
      </c>
      <c r="AV31" s="33" t="n">
        <f aca="false">Credit!AV38/FX_EUR</f>
        <v>-13432.9409587459</v>
      </c>
      <c r="AW31" s="33" t="n">
        <f aca="false">Credit!AW38/FX_EUR</f>
        <v>-14088.8948315864</v>
      </c>
      <c r="AX31" s="33" t="n">
        <f aca="false">Credit!AX38/FX_EUR</f>
        <v>-14752.861477555</v>
      </c>
      <c r="AY31" s="33" t="n">
        <f aca="false">Credit!AY38/FX_EUR</f>
        <v>-15421.7362009769</v>
      </c>
      <c r="AZ31" s="33" t="n">
        <f aca="false">Credit!AZ38/FX_EUR</f>
        <v>-16084.7813762443</v>
      </c>
      <c r="BA31" s="33" t="n">
        <f aca="false">Credit!BA38/FX_EUR</f>
        <v>-16787.2694776218</v>
      </c>
      <c r="BB31" s="33" t="n">
        <f aca="false">Credit!BB38/FX_EUR</f>
        <v>-17528.8746262934</v>
      </c>
      <c r="BC31" s="33" t="n">
        <f aca="false">Credit!BC38/FX_EUR</f>
        <v>-18275.3674810615</v>
      </c>
      <c r="BD31" s="33" t="n">
        <f aca="false">Credit!BD38/FX_EUR</f>
        <v>-19027.0290673722</v>
      </c>
      <c r="BE31" s="33" t="n">
        <f aca="false">Credit!BE38/FX_EUR</f>
        <v>-19783.0622695949</v>
      </c>
      <c r="BF31" s="33" t="n">
        <f aca="false">Credit!BF38/FX_EUR</f>
        <v>-20554.7442726742</v>
      </c>
      <c r="BG31" s="33" t="n">
        <f aca="false">Credit!BG38/FX_EUR</f>
        <v>-21332.3960195929</v>
      </c>
      <c r="BH31" s="33" t="n">
        <f aca="false">Credit!BH38/FX_EUR</f>
        <v>-22116.3725704186</v>
      </c>
      <c r="BI31" s="33" t="n">
        <f aca="false">Credit!BI38/FX_EUR</f>
        <v>-22916.8997267761</v>
      </c>
      <c r="BJ31" s="33" t="n">
        <f aca="false">Credit!BJ38/FX_EUR</f>
        <v>-23734.213413696</v>
      </c>
      <c r="BK31" s="33" t="n">
        <f aca="false">Credit!BK38/FX_EUR</f>
        <v>-24556.3802272261</v>
      </c>
      <c r="BL31" s="33" t="n">
        <f aca="false">Credit!BL38/FX_EUR</f>
        <v>-25378.8239756285</v>
      </c>
    </row>
    <row r="32" customFormat="false" ht="15" hidden="false" customHeight="true" outlineLevel="0" collapsed="false">
      <c r="A32" s="13" t="s">
        <v>726</v>
      </c>
      <c r="B32" s="15" t="s">
        <v>79</v>
      </c>
      <c r="D32" s="56" t="n">
        <f aca="false">Credit!D39/FX_EUR</f>
        <v>-180270.734690136</v>
      </c>
      <c r="E32" s="33" t="n">
        <f aca="false">Credit!E39/FX_EUR</f>
        <v>-0</v>
      </c>
      <c r="F32" s="33" t="n">
        <f aca="false">Credit!F39/FX_EUR</f>
        <v>-0</v>
      </c>
      <c r="G32" s="33" t="n">
        <f aca="false">Credit!G39/FX_EUR</f>
        <v>-0</v>
      </c>
      <c r="H32" s="33" t="n">
        <f aca="false">Credit!H39/FX_EUR</f>
        <v>-0</v>
      </c>
      <c r="I32" s="33" t="n">
        <f aca="false">Credit!I39/FX_EUR</f>
        <v>-0</v>
      </c>
      <c r="J32" s="33" t="n">
        <f aca="false">Credit!J39/FX_EUR</f>
        <v>-0</v>
      </c>
      <c r="K32" s="33" t="n">
        <f aca="false">Credit!K39/FX_EUR</f>
        <v>-0</v>
      </c>
      <c r="L32" s="33" t="n">
        <f aca="false">Credit!L39/FX_EUR</f>
        <v>-0</v>
      </c>
      <c r="M32" s="33" t="n">
        <f aca="false">Credit!M39/FX_EUR</f>
        <v>-0</v>
      </c>
      <c r="N32" s="33" t="n">
        <f aca="false">Credit!N39/FX_EUR</f>
        <v>-0</v>
      </c>
      <c r="O32" s="33" t="n">
        <f aca="false">Credit!O39/FX_EUR</f>
        <v>-0</v>
      </c>
      <c r="P32" s="33" t="n">
        <f aca="false">Credit!P39/FX_EUR</f>
        <v>-0</v>
      </c>
      <c r="Q32" s="33" t="n">
        <f aca="false">Credit!Q39/FX_EUR</f>
        <v>-0</v>
      </c>
      <c r="R32" s="33" t="n">
        <f aca="false">Credit!R39/FX_EUR</f>
        <v>-0</v>
      </c>
      <c r="S32" s="33" t="n">
        <f aca="false">Credit!S39/FX_EUR</f>
        <v>-0</v>
      </c>
      <c r="T32" s="33" t="n">
        <f aca="false">Credit!T39/FX_EUR</f>
        <v>-0</v>
      </c>
      <c r="U32" s="33" t="n">
        <f aca="false">Credit!U39/FX_EUR</f>
        <v>-0</v>
      </c>
      <c r="V32" s="33" t="n">
        <f aca="false">Credit!V39/FX_EUR</f>
        <v>-20.1456005779201</v>
      </c>
      <c r="W32" s="33" t="n">
        <f aca="false">Credit!W39/FX_EUR</f>
        <v>-65.7364407216732</v>
      </c>
      <c r="X32" s="33" t="n">
        <f aca="false">Credit!X39/FX_EUR</f>
        <v>-121.908981604</v>
      </c>
      <c r="Y32" s="33" t="n">
        <f aca="false">Credit!Y39/FX_EUR</f>
        <v>-196.395167759124</v>
      </c>
      <c r="Z32" s="33" t="n">
        <f aca="false">Credit!Z39/FX_EUR</f>
        <v>-290.97971572497</v>
      </c>
      <c r="AA32" s="33" t="n">
        <f aca="false">Credit!AA39/FX_EUR</f>
        <v>-399.69924565752</v>
      </c>
      <c r="AB32" s="33" t="n">
        <f aca="false">Credit!AB39/FX_EUR</f>
        <v>-522.57066480794</v>
      </c>
      <c r="AC32" s="33" t="n">
        <f aca="false">Credit!AC39/FX_EUR</f>
        <v>-668.029788240172</v>
      </c>
      <c r="AD32" s="33" t="n">
        <f aca="false">Credit!AD39/FX_EUR</f>
        <v>-838.260203638938</v>
      </c>
      <c r="AE32" s="33" t="n">
        <f aca="false">Credit!AE39/FX_EUR</f>
        <v>-1049.16771692465</v>
      </c>
      <c r="AF32" s="33" t="n">
        <f aca="false">Credit!AF39/FX_EUR</f>
        <v>-1304.48342289847</v>
      </c>
      <c r="AG32" s="33" t="n">
        <f aca="false">Credit!AG39/FX_EUR</f>
        <v>-1585.83043779329</v>
      </c>
      <c r="AH32" s="33" t="n">
        <f aca="false">Credit!AH39/FX_EUR</f>
        <v>-1836.08976809786</v>
      </c>
      <c r="AI32" s="33" t="n">
        <f aca="false">Credit!AI39/FX_EUR</f>
        <v>-2051.38609121371</v>
      </c>
      <c r="AJ32" s="33" t="n">
        <f aca="false">Credit!AJ39/FX_EUR</f>
        <v>-2281.82769026362</v>
      </c>
      <c r="AK32" s="33" t="n">
        <f aca="false">Credit!AK39/FX_EUR</f>
        <v>-2506.55879666449</v>
      </c>
      <c r="AL32" s="33" t="n">
        <f aca="false">Credit!AL39/FX_EUR</f>
        <v>-2723.73958928659</v>
      </c>
      <c r="AM32" s="33" t="n">
        <f aca="false">Credit!AM39/FX_EUR</f>
        <v>-2953.25311740135</v>
      </c>
      <c r="AN32" s="33" t="n">
        <f aca="false">Credit!AN39/FX_EUR</f>
        <v>-3195.47086069364</v>
      </c>
      <c r="AO32" s="33" t="n">
        <f aca="false">Credit!AO39/FX_EUR</f>
        <v>-3459.53419972247</v>
      </c>
      <c r="AP32" s="33" t="n">
        <f aca="false">Credit!AP39/FX_EUR</f>
        <v>-3750.31209575199</v>
      </c>
      <c r="AQ32" s="33" t="n">
        <f aca="false">Credit!AQ39/FX_EUR</f>
        <v>-4014.49063649082</v>
      </c>
      <c r="AR32" s="33" t="n">
        <f aca="false">Credit!AR39/FX_EUR</f>
        <v>-4243.90617359648</v>
      </c>
      <c r="AS32" s="33" t="n">
        <f aca="false">Credit!AS39/FX_EUR</f>
        <v>-4480.14710431435</v>
      </c>
      <c r="AT32" s="33" t="n">
        <f aca="false">Credit!AT39/FX_EUR</f>
        <v>-4717.65898129115</v>
      </c>
      <c r="AU32" s="33" t="n">
        <f aca="false">Credit!AU39/FX_EUR</f>
        <v>-4951.89546376868</v>
      </c>
      <c r="AV32" s="33" t="n">
        <f aca="false">Credit!AV39/FX_EUR</f>
        <v>-5196.43850100045</v>
      </c>
      <c r="AW32" s="33" t="n">
        <f aca="false">Credit!AW39/FX_EUR</f>
        <v>-5450.27554014384</v>
      </c>
      <c r="AX32" s="33" t="n">
        <f aca="false">Credit!AX39/FX_EUR</f>
        <v>-5707.22290139867</v>
      </c>
      <c r="AY32" s="33" t="n">
        <f aca="false">Credit!AY39/FX_EUR</f>
        <v>-5966.08056479544</v>
      </c>
      <c r="AZ32" s="33" t="n">
        <f aca="false">Credit!AZ39/FX_EUR</f>
        <v>-6222.69803720576</v>
      </c>
      <c r="BA32" s="33" t="n">
        <f aca="false">Credit!BA39/FX_EUR</f>
        <v>-6494.57442907783</v>
      </c>
      <c r="BB32" s="33" t="n">
        <f aca="false">Credit!BB39/FX_EUR</f>
        <v>-6781.58461585705</v>
      </c>
      <c r="BC32" s="33" t="n">
        <f aca="false">Credit!BC39/FX_EUR</f>
        <v>-7070.498576834</v>
      </c>
      <c r="BD32" s="33" t="n">
        <f aca="false">Credit!BD39/FX_EUR</f>
        <v>-7361.42489913726</v>
      </c>
      <c r="BE32" s="33" t="n">
        <f aca="false">Credit!BE39/FX_EUR</f>
        <v>-7654.05543807053</v>
      </c>
      <c r="BF32" s="33" t="n">
        <f aca="false">Credit!BF39/FX_EUR</f>
        <v>-7952.74917072862</v>
      </c>
      <c r="BG32" s="33" t="n">
        <f aca="false">Credit!BG39/FX_EUR</f>
        <v>-8253.76503206836</v>
      </c>
      <c r="BH32" s="33" t="n">
        <f aca="false">Credit!BH39/FX_EUR</f>
        <v>-8557.2402523749</v>
      </c>
      <c r="BI32" s="33" t="n">
        <f aca="false">Credit!BI39/FX_EUR</f>
        <v>-8867.12745923735</v>
      </c>
      <c r="BJ32" s="33" t="n">
        <f aca="false">Credit!BJ39/FX_EUR</f>
        <v>-9183.51809669713</v>
      </c>
      <c r="BK32" s="33" t="n">
        <f aca="false">Credit!BK39/FX_EUR</f>
        <v>-9501.79973899092</v>
      </c>
      <c r="BL32" s="33" t="n">
        <f aca="false">Credit!BL39/FX_EUR</f>
        <v>-9820.20348161249</v>
      </c>
    </row>
    <row r="33" customFormat="false" ht="15" hidden="false" customHeight="true" outlineLevel="0" collapsed="false">
      <c r="A33" s="9" t="s">
        <v>1273</v>
      </c>
      <c r="B33" s="15" t="s">
        <v>79</v>
      </c>
      <c r="D33" s="56" t="n">
        <f aca="false">Credit!D40/FX_EUR</f>
        <v>1844256.22062493</v>
      </c>
      <c r="E33" s="17" t="n">
        <f aca="false">Credit!E40/FX_EUR</f>
        <v>0</v>
      </c>
      <c r="F33" s="17" t="n">
        <f aca="false">Credit!F40/FX_EUR</f>
        <v>0</v>
      </c>
      <c r="G33" s="17" t="n">
        <f aca="false">Credit!G40/FX_EUR</f>
        <v>0</v>
      </c>
      <c r="H33" s="17" t="n">
        <f aca="false">Credit!H40/FX_EUR</f>
        <v>0</v>
      </c>
      <c r="I33" s="17" t="n">
        <f aca="false">Credit!I40/FX_EUR</f>
        <v>0</v>
      </c>
      <c r="J33" s="17" t="n">
        <f aca="false">Credit!J40/FX_EUR</f>
        <v>0</v>
      </c>
      <c r="K33" s="17" t="n">
        <f aca="false">Credit!K40/FX_EUR</f>
        <v>0</v>
      </c>
      <c r="L33" s="17" t="n">
        <f aca="false">Credit!L40/FX_EUR</f>
        <v>0</v>
      </c>
      <c r="M33" s="17" t="n">
        <f aca="false">Credit!M40/FX_EUR</f>
        <v>0</v>
      </c>
      <c r="N33" s="17" t="n">
        <f aca="false">Credit!N40/FX_EUR</f>
        <v>0</v>
      </c>
      <c r="O33" s="17" t="n">
        <f aca="false">Credit!O40/FX_EUR</f>
        <v>0</v>
      </c>
      <c r="P33" s="17" t="n">
        <f aca="false">Credit!P40/FX_EUR</f>
        <v>0</v>
      </c>
      <c r="Q33" s="17" t="n">
        <f aca="false">Credit!Q40/FX_EUR</f>
        <v>0</v>
      </c>
      <c r="R33" s="17" t="n">
        <f aca="false">Credit!R40/FX_EUR</f>
        <v>0</v>
      </c>
      <c r="S33" s="17" t="n">
        <f aca="false">Credit!S40/FX_EUR</f>
        <v>0</v>
      </c>
      <c r="T33" s="17" t="n">
        <f aca="false">Credit!T40/FX_EUR</f>
        <v>0</v>
      </c>
      <c r="U33" s="17" t="n">
        <f aca="false">Credit!U40/FX_EUR</f>
        <v>0</v>
      </c>
      <c r="V33" s="17" t="n">
        <f aca="false">Credit!V40/FX_EUR</f>
        <v>229.824300470557</v>
      </c>
      <c r="W33" s="17" t="n">
        <f aca="false">Credit!W40/FX_EUR</f>
        <v>749.932048232965</v>
      </c>
      <c r="X33" s="17" t="n">
        <f aca="false">Credit!X40/FX_EUR</f>
        <v>1390.75756564564</v>
      </c>
      <c r="Y33" s="17" t="n">
        <f aca="false">Credit!Y40/FX_EUR</f>
        <v>2220.36177695425</v>
      </c>
      <c r="Z33" s="17" t="n">
        <f aca="false">Credit!Z40/FX_EUR</f>
        <v>3255.05458207792</v>
      </c>
      <c r="AA33" s="17" t="n">
        <f aca="false">Credit!AA40/FX_EUR</f>
        <v>4442.90442848271</v>
      </c>
      <c r="AB33" s="17" t="n">
        <f aca="false">Credit!AB40/FX_EUR</f>
        <v>5784.10380844031</v>
      </c>
      <c r="AC33" s="17" t="n">
        <f aca="false">Credit!AC40/FX_EUR</f>
        <v>7371.63447217765</v>
      </c>
      <c r="AD33" s="17" t="n">
        <f aca="false">Credit!AD40/FX_EUR</f>
        <v>9229.14223294123</v>
      </c>
      <c r="AE33" s="17" t="n">
        <f aca="false">Credit!AE40/FX_EUR</f>
        <v>11471.8862607394</v>
      </c>
      <c r="AF33" s="17" t="n">
        <f aca="false">Credit!AF40/FX_EUR</f>
        <v>14131.166682462</v>
      </c>
      <c r="AG33" s="17" t="n">
        <f aca="false">Credit!AG40/FX_EUR</f>
        <v>17054.24519178</v>
      </c>
      <c r="AH33" s="17" t="n">
        <f aca="false">Credit!AH40/FX_EUR</f>
        <v>19589.7111186635</v>
      </c>
      <c r="AI33" s="17" t="n">
        <f aca="false">Credit!AI40/FX_EUR</f>
        <v>21690.2008029067</v>
      </c>
      <c r="AJ33" s="17" t="n">
        <f aca="false">Credit!AJ40/FX_EUR</f>
        <v>23926.1205661248</v>
      </c>
      <c r="AK33" s="17" t="n">
        <f aca="false">Credit!AK40/FX_EUR</f>
        <v>26113.2748167275</v>
      </c>
      <c r="AL33" s="17" t="n">
        <f aca="false">Credit!AL40/FX_EUR</f>
        <v>28236.3477847309</v>
      </c>
      <c r="AM33" s="17" t="n">
        <f aca="false">Credit!AM40/FX_EUR</f>
        <v>30471.7110633141</v>
      </c>
      <c r="AN33" s="17" t="n">
        <f aca="false">Credit!AN40/FX_EUR</f>
        <v>32822.7260797802</v>
      </c>
      <c r="AO33" s="17" t="n">
        <f aca="false">Credit!AO40/FX_EUR</f>
        <v>35381.8790650355</v>
      </c>
      <c r="AP33" s="17" t="n">
        <f aca="false">Credit!AP40/FX_EUR</f>
        <v>38197.4897144207</v>
      </c>
      <c r="AQ33" s="17" t="n">
        <f aca="false">Credit!AQ40/FX_EUR</f>
        <v>40815.3473173808</v>
      </c>
      <c r="AR33" s="17" t="n">
        <f aca="false">Credit!AR40/FX_EUR</f>
        <v>43161.5706207503</v>
      </c>
      <c r="AS33" s="17" t="n">
        <f aca="false">Credit!AS40/FX_EUR</f>
        <v>45578.6949247546</v>
      </c>
      <c r="AT33" s="17" t="n">
        <f aca="false">Credit!AT40/FX_EUR</f>
        <v>48002.5625252733</v>
      </c>
      <c r="AU33" s="17" t="n">
        <f aca="false">Credit!AU40/FX_EUR</f>
        <v>50386.2045759686</v>
      </c>
      <c r="AV33" s="17" t="n">
        <f aca="false">Credit!AV40/FX_EUR</f>
        <v>52874.7301161947</v>
      </c>
      <c r="AW33" s="17" t="n">
        <f aca="false">Credit!AW40/FX_EUR</f>
        <v>55457.8404452292</v>
      </c>
      <c r="AX33" s="17" t="n">
        <f aca="false">Credit!AX40/FX_EUR</f>
        <v>58072.6324559963</v>
      </c>
      <c r="AY33" s="17" t="n">
        <f aca="false">Credit!AY40/FX_EUR</f>
        <v>60706.8989084835</v>
      </c>
      <c r="AZ33" s="17" t="n">
        <f aca="false">Credit!AZ40/FX_EUR</f>
        <v>63318.418119489</v>
      </c>
      <c r="BA33" s="17" t="n">
        <f aca="false">Credit!BA40/FX_EUR</f>
        <v>66085.2018939801</v>
      </c>
      <c r="BB33" s="17" t="n">
        <f aca="false">Credit!BB40/FX_EUR</f>
        <v>69005.9800312277</v>
      </c>
      <c r="BC33" s="17" t="n">
        <f aca="false">Credit!BC40/FX_EUR</f>
        <v>71946.1704562754</v>
      </c>
      <c r="BD33" s="17" t="n">
        <f aca="false">Credit!BD40/FX_EUR</f>
        <v>74906.8776670108</v>
      </c>
      <c r="BE33" s="17" t="n">
        <f aca="false">Credit!BE40/FX_EUR</f>
        <v>77884.9669087498</v>
      </c>
      <c r="BF33" s="17" t="n">
        <f aca="false">Credit!BF40/FX_EUR</f>
        <v>80924.7804679953</v>
      </c>
      <c r="BG33" s="17" t="n">
        <f aca="false">Credit!BG40/FX_EUR</f>
        <v>83988.2624422704</v>
      </c>
      <c r="BH33" s="17" t="n">
        <f aca="false">Credit!BH40/FX_EUR</f>
        <v>87076.808789603</v>
      </c>
      <c r="BI33" s="17" t="n">
        <f aca="false">Credit!BI40/FX_EUR</f>
        <v>90230.6282846531</v>
      </c>
      <c r="BJ33" s="17" t="n">
        <f aca="false">Credit!BJ40/FX_EUR</f>
        <v>93450.6519497424</v>
      </c>
      <c r="BK33" s="17" t="n">
        <f aca="false">Credit!BK40/FX_EUR</f>
        <v>96689.9598893267</v>
      </c>
      <c r="BL33" s="17" t="n">
        <f aca="false">Credit!BL40/FX_EUR</f>
        <v>99930.5574724699</v>
      </c>
    </row>
    <row r="34" customFormat="false" ht="15" hidden="false" customHeight="true" outlineLevel="0" collapsed="false">
      <c r="A34" s="9" t="s">
        <v>1276</v>
      </c>
      <c r="B34" s="15" t="s">
        <v>79</v>
      </c>
      <c r="D34" s="56" t="n">
        <f aca="false">Credit!D43/FX_EUR</f>
        <v>1571574.46912258</v>
      </c>
      <c r="E34" s="17" t="n">
        <f aca="false">Credit!E43/FX_EUR</f>
        <v>0</v>
      </c>
      <c r="F34" s="17" t="n">
        <f aca="false">Credit!F43/FX_EUR</f>
        <v>0</v>
      </c>
      <c r="G34" s="17" t="n">
        <f aca="false">Credit!G43/FX_EUR</f>
        <v>0</v>
      </c>
      <c r="H34" s="17" t="n">
        <f aca="false">Credit!H43/FX_EUR</f>
        <v>0</v>
      </c>
      <c r="I34" s="17" t="n">
        <f aca="false">Credit!I43/FX_EUR</f>
        <v>0</v>
      </c>
      <c r="J34" s="17" t="n">
        <f aca="false">Credit!J43/FX_EUR</f>
        <v>0</v>
      </c>
      <c r="K34" s="17" t="n">
        <f aca="false">Credit!K43/FX_EUR</f>
        <v>0</v>
      </c>
      <c r="L34" s="17" t="n">
        <f aca="false">Credit!L43/FX_EUR</f>
        <v>0</v>
      </c>
      <c r="M34" s="17" t="n">
        <f aca="false">Credit!M43/FX_EUR</f>
        <v>0</v>
      </c>
      <c r="N34" s="17" t="n">
        <f aca="false">Credit!N43/FX_EUR</f>
        <v>0</v>
      </c>
      <c r="O34" s="17" t="n">
        <f aca="false">Credit!O43/FX_EUR</f>
        <v>0</v>
      </c>
      <c r="P34" s="17" t="n">
        <f aca="false">Credit!P43/FX_EUR</f>
        <v>0</v>
      </c>
      <c r="Q34" s="17" t="n">
        <f aca="false">Credit!Q43/FX_EUR</f>
        <v>0</v>
      </c>
      <c r="R34" s="17" t="n">
        <f aca="false">Credit!R43/FX_EUR</f>
        <v>0</v>
      </c>
      <c r="S34" s="17" t="n">
        <f aca="false">Credit!S43/FX_EUR</f>
        <v>0</v>
      </c>
      <c r="T34" s="17" t="n">
        <f aca="false">Credit!T43/FX_EUR</f>
        <v>0</v>
      </c>
      <c r="U34" s="17" t="n">
        <f aca="false">Credit!U43/FX_EUR</f>
        <v>0</v>
      </c>
      <c r="V34" s="17" t="n">
        <f aca="false">Credit!V43/FX_EUR</f>
        <v>114.912150235279</v>
      </c>
      <c r="W34" s="17" t="n">
        <f aca="false">Credit!W43/FX_EUR</f>
        <v>374.966024116483</v>
      </c>
      <c r="X34" s="17" t="n">
        <f aca="false">Credit!X43/FX_EUR</f>
        <v>695.378782822818</v>
      </c>
      <c r="Y34" s="17" t="n">
        <f aca="false">Credit!Y43/FX_EUR</f>
        <v>1110.18088847713</v>
      </c>
      <c r="Z34" s="17" t="n">
        <f aca="false">Credit!Z43/FX_EUR</f>
        <v>1627.52729103896</v>
      </c>
      <c r="AA34" s="17" t="n">
        <f aca="false">Credit!AA43/FX_EUR</f>
        <v>2221.45221424136</v>
      </c>
      <c r="AB34" s="17" t="n">
        <f aca="false">Credit!AB43/FX_EUR</f>
        <v>2892.05190422016</v>
      </c>
      <c r="AC34" s="17" t="n">
        <f aca="false">Credit!AC43/FX_EUR</f>
        <v>6716.25049797779</v>
      </c>
      <c r="AD34" s="17" t="n">
        <f aca="false">Credit!AD43/FX_EUR</f>
        <v>8332.63006294664</v>
      </c>
      <c r="AE34" s="17" t="n">
        <f aca="false">Credit!AE43/FX_EUR</f>
        <v>10283.8592700594</v>
      </c>
      <c r="AF34" s="17" t="n">
        <f aca="false">Credit!AF43/FX_EUR</f>
        <v>12591.6583846271</v>
      </c>
      <c r="AG34" s="17" t="n">
        <f aca="false">Credit!AG43/FX_EUR</f>
        <v>15118.3538519917</v>
      </c>
      <c r="AH34" s="17" t="n">
        <f aca="false">Credit!AH43/FX_EUR</f>
        <v>17289.2789810379</v>
      </c>
      <c r="AI34" s="17" t="n">
        <f aca="false">Credit!AI43/FX_EUR</f>
        <v>19078.1465038376</v>
      </c>
      <c r="AJ34" s="17" t="n">
        <f aca="false">Credit!AJ43/FX_EUR</f>
        <v>20982.7926868022</v>
      </c>
      <c r="AK34" s="17" t="n">
        <f aca="false">Credit!AK43/FX_EUR</f>
        <v>22841.9282094568</v>
      </c>
      <c r="AL34" s="17" t="n">
        <f aca="false">Credit!AL43/FX_EUR</f>
        <v>24643.1852640757</v>
      </c>
      <c r="AM34" s="17" t="n">
        <f aca="false">Credit!AM43/FX_EUR</f>
        <v>26551.1114242688</v>
      </c>
      <c r="AN34" s="17" t="n">
        <f aca="false">Credit!AN43/FX_EUR</f>
        <v>28558.9656513943</v>
      </c>
      <c r="AO34" s="17" t="n">
        <f aca="false">Credit!AO43/FX_EUR</f>
        <v>30698.7725701673</v>
      </c>
      <c r="AP34" s="17" t="n">
        <f aca="false">Credit!AP43/FX_EUR</f>
        <v>33070.7331018463</v>
      </c>
      <c r="AQ34" s="17" t="n">
        <f aca="false">Credit!AQ43/FX_EUR</f>
        <v>35270.950133687</v>
      </c>
      <c r="AR34" s="17" t="n">
        <f aca="false">Credit!AR43/FX_EUR</f>
        <v>37237.0197236379</v>
      </c>
      <c r="AS34" s="17" t="n">
        <f aca="false">Credit!AS43/FX_EUR</f>
        <v>39277.0169140118</v>
      </c>
      <c r="AT34" s="17" t="n">
        <f aca="false">Credit!AT43/FX_EUR</f>
        <v>41324.0523166146</v>
      </c>
      <c r="AU34" s="17" t="n">
        <f aca="false">Credit!AU43/FX_EUR</f>
        <v>43337.8218698133</v>
      </c>
      <c r="AV34" s="17" t="n">
        <f aca="false">Credit!AV43/FX_EUR</f>
        <v>45427.7841499078</v>
      </c>
      <c r="AW34" s="17" t="n">
        <f aca="false">Credit!AW43/FX_EUR</f>
        <v>47597.435727477</v>
      </c>
      <c r="AX34" s="17" t="n">
        <f aca="false">Credit!AX43/FX_EUR</f>
        <v>49800.7547314968</v>
      </c>
      <c r="AY34" s="17" t="n">
        <f aca="false">Credit!AY43/FX_EUR</f>
        <v>52014.773998537</v>
      </c>
      <c r="AZ34" s="17" t="n">
        <f aca="false">Credit!AZ43/FX_EUR</f>
        <v>54202.9500380405</v>
      </c>
      <c r="BA34" s="17" t="n">
        <f aca="false">Credit!BA43/FX_EUR</f>
        <v>56482.8039300651</v>
      </c>
      <c r="BB34" s="17" t="n">
        <f aca="false">Credit!BB43/FX_EUR</f>
        <v>58887.9290710439</v>
      </c>
      <c r="BC34" s="17" t="n">
        <f aca="false">Credit!BC43/FX_EUR</f>
        <v>61315.1315610148</v>
      </c>
      <c r="BD34" s="17" t="n">
        <f aca="false">Credit!BD43/FX_EUR</f>
        <v>63752.303983672</v>
      </c>
      <c r="BE34" s="17" t="n">
        <f aca="false">Credit!BE43/FX_EUR</f>
        <v>66169.4857296695</v>
      </c>
      <c r="BF34" s="17" t="n">
        <f aca="false">Credit!BF43/FX_EUR</f>
        <v>68643.9490328635</v>
      </c>
      <c r="BG34" s="17" t="n">
        <f aca="false">Credit!BG43/FX_EUR</f>
        <v>71129.8163194641</v>
      </c>
      <c r="BH34" s="17" t="n">
        <f aca="false">Credit!BH43/FX_EUR</f>
        <v>73640.7625786283</v>
      </c>
      <c r="BI34" s="17" t="n">
        <f aca="false">Credit!BI43/FX_EUR</f>
        <v>76170.5725706325</v>
      </c>
      <c r="BJ34" s="17" t="n">
        <f aca="false">Credit!BJ43/FX_EUR</f>
        <v>78759.5456911122</v>
      </c>
      <c r="BK34" s="17" t="n">
        <f aca="false">Credit!BK43/FX_EUR</f>
        <v>81360.175364685</v>
      </c>
      <c r="BL34" s="17" t="n">
        <f aca="false">Credit!BL43/FX_EUR</f>
        <v>83977.2979708625</v>
      </c>
    </row>
    <row r="36" customFormat="false" ht="15" hidden="false" customHeight="true" outlineLevel="0" collapsed="false">
      <c r="A36" s="11" t="s">
        <v>1277</v>
      </c>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row>
    <row r="37" customFormat="false" ht="15" hidden="false" customHeight="true" outlineLevel="0" collapsed="false">
      <c r="A37" s="13" t="s">
        <v>1278</v>
      </c>
      <c r="B37" s="15" t="s">
        <v>79</v>
      </c>
      <c r="D37" s="56" t="n">
        <f aca="false">Credit!D46/FX_EUR</f>
        <v>1605253.69131309</v>
      </c>
      <c r="E37" s="33" t="n">
        <f aca="false">Credit!E46/FX_EUR</f>
        <v>0</v>
      </c>
      <c r="F37" s="33" t="n">
        <f aca="false">Credit!F46/FX_EUR</f>
        <v>0</v>
      </c>
      <c r="G37" s="33" t="n">
        <f aca="false">Credit!G46/FX_EUR</f>
        <v>0</v>
      </c>
      <c r="H37" s="33" t="n">
        <f aca="false">Credit!H46/FX_EUR</f>
        <v>0</v>
      </c>
      <c r="I37" s="33" t="n">
        <f aca="false">Credit!I46/FX_EUR</f>
        <v>0</v>
      </c>
      <c r="J37" s="33" t="n">
        <f aca="false">Credit!J46/FX_EUR</f>
        <v>0</v>
      </c>
      <c r="K37" s="33" t="n">
        <f aca="false">Credit!K46/FX_EUR</f>
        <v>0</v>
      </c>
      <c r="L37" s="33" t="n">
        <f aca="false">Credit!L46/FX_EUR</f>
        <v>0</v>
      </c>
      <c r="M37" s="33" t="n">
        <f aca="false">Credit!M46/FX_EUR</f>
        <v>0</v>
      </c>
      <c r="N37" s="33" t="n">
        <f aca="false">Credit!N46/FX_EUR</f>
        <v>0</v>
      </c>
      <c r="O37" s="33" t="n">
        <f aca="false">Credit!O46/FX_EUR</f>
        <v>0</v>
      </c>
      <c r="P37" s="33" t="n">
        <f aca="false">Credit!P46/FX_EUR</f>
        <v>0</v>
      </c>
      <c r="Q37" s="33" t="n">
        <f aca="false">Credit!Q46/FX_EUR</f>
        <v>0</v>
      </c>
      <c r="R37" s="33" t="n">
        <f aca="false">Credit!R46/FX_EUR</f>
        <v>0</v>
      </c>
      <c r="S37" s="33" t="n">
        <f aca="false">Credit!S46/FX_EUR</f>
        <v>0</v>
      </c>
      <c r="T37" s="33" t="n">
        <f aca="false">Credit!T46/FX_EUR</f>
        <v>0</v>
      </c>
      <c r="U37" s="33" t="n">
        <f aca="false">Credit!U46/FX_EUR</f>
        <v>0</v>
      </c>
      <c r="V37" s="33" t="n">
        <f aca="false">Credit!V46/FX_EUR</f>
        <v>4834.94413870081</v>
      </c>
      <c r="W37" s="33" t="n">
        <f aca="false">Credit!W46/FX_EUR</f>
        <v>10941.8016345007</v>
      </c>
      <c r="X37" s="33" t="n">
        <f aca="false">Credit!X46/FX_EUR</f>
        <v>18316.3539504593</v>
      </c>
      <c r="Y37" s="33" t="n">
        <f aca="false">Credit!Y46/FX_EUR</f>
        <v>28818.4863117303</v>
      </c>
      <c r="Z37" s="33" t="n">
        <f aca="false">Credit!Z46/FX_EUR</f>
        <v>41016.6454622624</v>
      </c>
      <c r="AA37" s="33" t="n">
        <f aca="false">Credit!AA46/FX_EUR</f>
        <v>54911.1734955424</v>
      </c>
      <c r="AB37" s="33" t="n">
        <f aca="false">Credit!AB46/FX_EUR</f>
        <v>70505.7860583633</v>
      </c>
      <c r="AC37" s="33" t="n">
        <f aca="false">Credit!AC46/FX_EUR</f>
        <v>126746.369025662</v>
      </c>
      <c r="AD37" s="33" t="n">
        <f aca="false">Credit!AD46/FX_EUR</f>
        <v>156224.093683379</v>
      </c>
      <c r="AE37" s="33" t="n">
        <f aca="false">Credit!AE46/FX_EUR</f>
        <v>196114.88837998</v>
      </c>
      <c r="AF37" s="33" t="n">
        <f aca="false">Credit!AF46/FX_EUR</f>
        <v>240147.502996333</v>
      </c>
      <c r="AG37" s="33" t="n">
        <f aca="false">Credit!AG46/FX_EUR</f>
        <v>288337.077099904</v>
      </c>
      <c r="AH37" s="33" t="n">
        <f aca="false">Credit!AH46/FX_EUR</f>
        <v>321722.640197395</v>
      </c>
      <c r="AI37" s="33" t="n">
        <f aca="false">Credit!AI46/FX_EUR</f>
        <v>358183.836734261</v>
      </c>
      <c r="AJ37" s="33" t="n">
        <f aca="false">Credit!AJ46/FX_EUR</f>
        <v>396577.996663122</v>
      </c>
      <c r="AK37" s="33" t="n">
        <f aca="false">Credit!AK46/FX_EUR</f>
        <v>431071.115540742</v>
      </c>
      <c r="AL37" s="33" t="n">
        <f aca="false">Credit!AL46/FX_EUR</f>
        <v>466910.303906993</v>
      </c>
      <c r="AM37" s="33" t="n">
        <f aca="false">Credit!AM46/FX_EUR</f>
        <v>505546.29500897</v>
      </c>
      <c r="AN37" s="33" t="n">
        <f aca="false">Credit!AN46/FX_EUR</f>
        <v>545655.95032679</v>
      </c>
      <c r="AO37" s="33" t="n">
        <f aca="false">Credit!AO46/FX_EUR</f>
        <v>590858.540653954</v>
      </c>
      <c r="AP37" s="33" t="n">
        <f aca="false">Credit!AP46/FX_EUR</f>
        <v>639251.16134937</v>
      </c>
      <c r="AQ37" s="33" t="n">
        <f aca="false">Credit!AQ46/FX_EUR</f>
        <v>675845.749705308</v>
      </c>
      <c r="AR37" s="33" t="n">
        <f aca="false">Credit!AR46/FX_EUR</f>
        <v>712856.690927283</v>
      </c>
      <c r="AS37" s="33" t="n">
        <f aca="false">Credit!AS46/FX_EUR</f>
        <v>751855.384615961</v>
      </c>
      <c r="AT37" s="33" t="n">
        <f aca="false">Credit!AT46/FX_EUR</f>
        <v>789455.340561679</v>
      </c>
      <c r="AU37" s="33" t="n">
        <f aca="false">Credit!AU46/FX_EUR</f>
        <v>827417.727562072</v>
      </c>
      <c r="AV37" s="33" t="n">
        <f aca="false">Credit!AV46/FX_EUR</f>
        <v>868231.023479965</v>
      </c>
      <c r="AW37" s="33" t="n">
        <f aca="false">Credit!AW46/FX_EUR</f>
        <v>909039.252657166</v>
      </c>
      <c r="AX37" s="33" t="n">
        <f aca="false">Credit!AX46/FX_EUR</f>
        <v>950926.782395181</v>
      </c>
      <c r="AY37" s="33" t="n">
        <f aca="false">Credit!AY46/FX_EUR</f>
        <v>992365.464317229</v>
      </c>
      <c r="AZ37" s="33" t="n">
        <f aca="false">Credit!AZ46/FX_EUR</f>
        <v>1033376.48092201</v>
      </c>
      <c r="BA37" s="33" t="n">
        <f aca="false">Credit!BA46/FX_EUR</f>
        <v>1079208.25090357</v>
      </c>
      <c r="BB37" s="33" t="n">
        <f aca="false">Credit!BB46/FX_EUR</f>
        <v>1124570.5775965</v>
      </c>
      <c r="BC37" s="33" t="n">
        <f aca="false">Credit!BC46/FX_EUR</f>
        <v>1171011.30170075</v>
      </c>
      <c r="BD37" s="33" t="n">
        <f aca="false">Credit!BD46/FX_EUR</f>
        <v>1217006.41881499</v>
      </c>
      <c r="BE37" s="33" t="n">
        <f aca="false">Credit!BE46/FX_EUR</f>
        <v>1263493.57780028</v>
      </c>
      <c r="BF37" s="33" t="n">
        <f aca="false">Credit!BF46/FX_EUR</f>
        <v>1311095.90744953</v>
      </c>
      <c r="BG37" s="33" t="n">
        <f aca="false">Credit!BG46/FX_EUR</f>
        <v>1358291.88854542</v>
      </c>
      <c r="BH37" s="33" t="n">
        <f aca="false">Credit!BH46/FX_EUR</f>
        <v>1406633.77666818</v>
      </c>
      <c r="BI37" s="33" t="n">
        <f aca="false">Credit!BI46/FX_EUR</f>
        <v>1455513.77735269</v>
      </c>
      <c r="BJ37" s="33" t="n">
        <f aca="false">Credit!BJ46/FX_EUR</f>
        <v>1505559.47657203</v>
      </c>
      <c r="BK37" s="33" t="n">
        <f aca="false">Credit!BK46/FX_EUR</f>
        <v>1555036.52098853</v>
      </c>
      <c r="BL37" s="33" t="n">
        <f aca="false">Credit!BL46/FX_EUR</f>
        <v>1605253.69131309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30</v>
      </c>
    </row>
    <row r="2" customFormat="false" ht="15" hidden="false" customHeight="true" outlineLevel="0" collapsed="false">
      <c r="A2" s="3" t="s">
        <v>1281</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1282</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645</v>
      </c>
      <c r="B9" s="15" t="s">
        <v>77</v>
      </c>
      <c r="D9" s="56" t="n">
        <f aca="false">SUM(E9:BL9)</f>
        <v>287156738.110995</v>
      </c>
      <c r="E9" s="33" t="n">
        <f aca="false">'Clients &amp; revenue'!E17*Bank_Fee</f>
        <v>0</v>
      </c>
      <c r="F9" s="33" t="n">
        <f aca="false">'Clients &amp; revenue'!F17*Bank_Fee</f>
        <v>0</v>
      </c>
      <c r="G9" s="33" t="n">
        <f aca="false">'Clients &amp; revenue'!G17*Bank_Fee</f>
        <v>0</v>
      </c>
      <c r="H9" s="33" t="n">
        <f aca="false">'Clients &amp; revenue'!H17*Bank_Fee</f>
        <v>0</v>
      </c>
      <c r="I9" s="33" t="n">
        <f aca="false">'Clients &amp; revenue'!I17*Bank_Fee</f>
        <v>74200</v>
      </c>
      <c r="J9" s="33" t="n">
        <f aca="false">'Clients &amp; revenue'!J17*Bank_Fee</f>
        <v>147895.7</v>
      </c>
      <c r="K9" s="33" t="n">
        <f aca="false">'Clients &amp; revenue'!K17*Bank_Fee</f>
        <v>221140.1235</v>
      </c>
      <c r="L9" s="33" t="n">
        <f aca="false">'Clients &amp; revenue'!L17*Bank_Fee</f>
        <v>293987.981033125</v>
      </c>
      <c r="M9" s="33" t="n">
        <f aca="false">'Clients &amp; revenue'!M17*Bank_Fee</f>
        <v>366495.799335509</v>
      </c>
      <c r="N9" s="33" t="n">
        <f aca="false">'Clients &amp; revenue'!N17*Bank_Fee</f>
        <v>438722.057730154</v>
      </c>
      <c r="O9" s="33" t="n">
        <f aca="false">'Clients &amp; revenue'!O17*Bank_Fee</f>
        <v>510727.332168047</v>
      </c>
      <c r="P9" s="33" t="n">
        <f aca="false">'Clients &amp; revenue'!P17*Bank_Fee</f>
        <v>582574.447396228</v>
      </c>
      <c r="Q9" s="33" t="n">
        <f aca="false">'Clients &amp; revenue'!Q17*Bank_Fee</f>
        <v>680528.637750458</v>
      </c>
      <c r="R9" s="33" t="n">
        <f aca="false">'Clients &amp; revenue'!R17*Bank_Fee</f>
        <v>778025.417099814</v>
      </c>
      <c r="S9" s="33" t="n">
        <f aca="false">'Clients &amp; revenue'!S17*Bank_Fee</f>
        <v>875143.022001991</v>
      </c>
      <c r="T9" s="33" t="n">
        <f aca="false">'Clients &amp; revenue'!T17*Bank_Fee</f>
        <v>971962.495944513</v>
      </c>
      <c r="U9" s="33" t="n">
        <f aca="false">'Clients &amp; revenue'!U17*Bank_Fee</f>
        <v>1068567.89294847</v>
      </c>
      <c r="V9" s="33" t="n">
        <f aca="false">'Clients &amp; revenue'!V17*Bank_Fee</f>
        <v>1165046.49271461</v>
      </c>
      <c r="W9" s="33" t="n">
        <f aca="false">'Clients &amp; revenue'!W17*Bank_Fee</f>
        <v>1318289.02801755</v>
      </c>
      <c r="X9" s="33" t="n">
        <f aca="false">'Clients &amp; revenue'!X17*Bank_Fee</f>
        <v>1471192.72509569</v>
      </c>
      <c r="Y9" s="33" t="n">
        <f aca="false">'Clients &amp; revenue'!Y17*Bank_Fee</f>
        <v>1635896.06182936</v>
      </c>
      <c r="Z9" s="33" t="n">
        <f aca="false">'Clients &amp; revenue'!Z17*Bank_Fee</f>
        <v>1800344.99157921</v>
      </c>
      <c r="AA9" s="33" t="n">
        <f aca="false">'Clients &amp; revenue'!AA17*Bank_Fee</f>
        <v>1964692.8345063</v>
      </c>
      <c r="AB9" s="33" t="n">
        <f aca="false">'Clients &amp; revenue'!AB17*Bank_Fee</f>
        <v>2129099.10562339</v>
      </c>
      <c r="AC9" s="33" t="n">
        <f aca="false">'Clients &amp; revenue'!AC17*Bank_Fee</f>
        <v>2346329.94242783</v>
      </c>
      <c r="AD9" s="33" t="n">
        <f aca="false">'Clients &amp; revenue'!AD17*Bank_Fee</f>
        <v>2563090.65712212</v>
      </c>
      <c r="AE9" s="33" t="n">
        <f aca="false">'Clients &amp; revenue'!AE17*Bank_Fee</f>
        <v>2791577.40041812</v>
      </c>
      <c r="AF9" s="33" t="n">
        <f aca="false">'Clients &amp; revenue'!AF17*Bank_Fee</f>
        <v>3019796.09649101</v>
      </c>
      <c r="AG9" s="33" t="n">
        <f aca="false">'Clients &amp; revenue'!AG17*Bank_Fee</f>
        <v>3247962.49375345</v>
      </c>
      <c r="AH9" s="33" t="n">
        <f aca="false">'Clients &amp; revenue'!AH17*Bank_Fee</f>
        <v>3476301.16151618</v>
      </c>
      <c r="AI9" s="33" t="n">
        <f aca="false">'Clients &amp; revenue'!AI17*Bank_Fee</f>
        <v>3717046.09594279</v>
      </c>
      <c r="AJ9" s="33" t="n">
        <f aca="false">'Clients &amp; revenue'!AJ17*Bank_Fee</f>
        <v>3958243.3608954</v>
      </c>
      <c r="AK9" s="33" t="n">
        <f aca="false">'Clients &amp; revenue'!AK17*Bank_Fee</f>
        <v>4200151.27579299</v>
      </c>
      <c r="AL9" s="33" t="n">
        <f aca="false">'Clients &amp; revenue'!AL17*Bank_Fee</f>
        <v>4443039.5575938</v>
      </c>
      <c r="AM9" s="33" t="n">
        <f aca="false">'Clients &amp; revenue'!AM17*Bank_Fee</f>
        <v>4699190.08080348</v>
      </c>
      <c r="AN9" s="33" t="n">
        <f aca="false">'Clients &amp; revenue'!AN17*Bank_Fee</f>
        <v>4956699.68162923</v>
      </c>
      <c r="AO9" s="33" t="n">
        <f aca="false">'Clients &amp; revenue'!AO17*Bank_Fee</f>
        <v>5252880.51895689</v>
      </c>
      <c r="AP9" s="33" t="n">
        <f aca="false">'Clients &amp; revenue'!AP17*Bank_Fee</f>
        <v>5562448.89985073</v>
      </c>
      <c r="AQ9" s="33" t="n">
        <f aca="false">'Clients &amp; revenue'!AQ17*Bank_Fee</f>
        <v>5873560.05660117</v>
      </c>
      <c r="AR9" s="33" t="n">
        <f aca="false">'Clients &amp; revenue'!AR17*Bank_Fee</f>
        <v>6186587.14376132</v>
      </c>
      <c r="AS9" s="33" t="n">
        <f aca="false">'Clients &amp; revenue'!AS17*Bank_Fee</f>
        <v>6513920.73642844</v>
      </c>
      <c r="AT9" s="33" t="n">
        <f aca="false">'Clients &amp; revenue'!AT17*Bank_Fee</f>
        <v>6843771.9676192</v>
      </c>
      <c r="AU9" s="33" t="n">
        <f aca="false">'Clients &amp; revenue'!AU17*Bank_Fee</f>
        <v>7176573.2421289</v>
      </c>
      <c r="AV9" s="33" t="n">
        <f aca="false">'Clients &amp; revenue'!AV17*Bank_Fee</f>
        <v>7535577.93576042</v>
      </c>
      <c r="AW9" s="33" t="n">
        <f aca="false">'Clients &amp; revenue'!AW17*Bank_Fee</f>
        <v>7894656.93046002</v>
      </c>
      <c r="AX9" s="33" t="n">
        <f aca="false">'Clients &amp; revenue'!AX17*Bank_Fee</f>
        <v>8262395.81393805</v>
      </c>
      <c r="AY9" s="33" t="n">
        <f aca="false">'Clients &amp; revenue'!AY17*Bank_Fee</f>
        <v>8626804.6928453</v>
      </c>
      <c r="AZ9" s="33" t="n">
        <f aca="false">'Clients &amp; revenue'!AZ17*Bank_Fee</f>
        <v>8988100.45352818</v>
      </c>
      <c r="BA9" s="33" t="n">
        <f aca="false">'Clients &amp; revenue'!BA17*Bank_Fee</f>
        <v>9395705.63669674</v>
      </c>
      <c r="BB9" s="33" t="n">
        <f aca="false">'Clients &amp; revenue'!BB17*Bank_Fee</f>
        <v>9799837.11291453</v>
      </c>
      <c r="BC9" s="33" t="n">
        <f aca="false">'Clients &amp; revenue'!BC17*Bank_Fee</f>
        <v>10212744.5750209</v>
      </c>
      <c r="BD9" s="33" t="n">
        <f aca="false">'Clients &amp; revenue'!BD17*Bank_Fee</f>
        <v>10622486.6090281</v>
      </c>
      <c r="BE9" s="33" t="n">
        <f aca="false">'Clients &amp; revenue'!BE17*Bank_Fee</f>
        <v>11040130.7674224</v>
      </c>
      <c r="BF9" s="33" t="n">
        <f aca="false">'Clients &amp; revenue'!BF17*Bank_Fee</f>
        <v>11466974.3882708</v>
      </c>
      <c r="BG9" s="33" t="n">
        <f aca="false">'Clients &amp; revenue'!BG17*Bank_Fee</f>
        <v>11891106.7825669</v>
      </c>
      <c r="BH9" s="33" t="n">
        <f aca="false">'Clients &amp; revenue'!BH17*Bank_Fee</f>
        <v>12324827.9898092</v>
      </c>
      <c r="BI9" s="33" t="n">
        <f aca="false">'Clients &amp; revenue'!BI17*Bank_Fee</f>
        <v>12767049.9041911</v>
      </c>
      <c r="BJ9" s="33" t="n">
        <f aca="false">'Clients &amp; revenue'!BJ17*Bank_Fee</f>
        <v>13219118.3264279</v>
      </c>
      <c r="BK9" s="33" t="n">
        <f aca="false">'Clients &amp; revenue'!BK17*Bank_Fee</f>
        <v>13666602.269656</v>
      </c>
      <c r="BL9" s="33" t="n">
        <f aca="false">'Clients &amp; revenue'!BL17*Bank_Fee</f>
        <v>14118915.4064513</v>
      </c>
    </row>
    <row r="10" customFormat="false" ht="15" hidden="false" customHeight="true" outlineLevel="0" collapsed="false">
      <c r="A10" s="13" t="s">
        <v>1283</v>
      </c>
      <c r="B10" s="15" t="s">
        <v>77</v>
      </c>
      <c r="D10" s="56" t="n">
        <f aca="false">SUM(E10:BL10)</f>
        <v>82534739.9192964</v>
      </c>
      <c r="E10" s="33" t="n">
        <f aca="false">'Sales &amp; marketing'!E33*(KYB_Cost+KYC_Cost*KYC_Persons)+MAX(0,'Clients &amp; revenue'!E32-0)*KYC_Cost</f>
        <v>0</v>
      </c>
      <c r="F10" s="33" t="n">
        <f aca="false">'Sales &amp; marketing'!F33*(KYB_Cost+KYC_Cost*KYC_Persons)+MAX(0,'Clients &amp; revenue'!F32-'Clients &amp; revenue'!E32)*KYC_Cost</f>
        <v>0</v>
      </c>
      <c r="G10" s="33" t="n">
        <f aca="false">'Sales &amp; marketing'!G33*(KYB_Cost+KYC_Cost*KYC_Persons)+MAX(0,'Clients &amp; revenue'!G32-'Clients &amp; revenue'!F32)*KYC_Cost</f>
        <v>0</v>
      </c>
      <c r="H10" s="33" t="n">
        <f aca="false">'Sales &amp; marketing'!H33*(KYB_Cost+KYC_Cost*KYC_Persons)+MAX(0,'Clients &amp; revenue'!H32-'Clients &amp; revenue'!G32)*KYC_Cost</f>
        <v>0</v>
      </c>
      <c r="I10" s="33" t="n">
        <f aca="false">'Sales &amp; marketing'!I33*(KYB_Cost+KYC_Cost*KYC_Persons)+MAX(0,'Clients &amp; revenue'!I32-'Clients &amp; revenue'!H32)*KYC_Cost</f>
        <v>163240</v>
      </c>
      <c r="J10" s="33" t="n">
        <f aca="false">'Sales &amp; marketing'!J33*(KYB_Cost+KYC_Cost*KYC_Persons)+MAX(0,'Clients &amp; revenue'!J32-'Clients &amp; revenue'!I32)*KYC_Cost</f>
        <v>164824</v>
      </c>
      <c r="K10" s="33" t="n">
        <f aca="false">'Sales &amp; marketing'!K33*(KYB_Cost+KYC_Cost*KYC_Persons)+MAX(0,'Clients &amp; revenue'!K32-'Clients &amp; revenue'!J32)*KYC_Cost</f>
        <v>166503.04</v>
      </c>
      <c r="L10" s="33" t="n">
        <f aca="false">'Sales &amp; marketing'!L33*(KYB_Cost+KYC_Cost*KYC_Persons)+MAX(0,'Clients &amp; revenue'!L32-'Clients &amp; revenue'!K32)*KYC_Cost</f>
        <v>168282.8224</v>
      </c>
      <c r="M10" s="33" t="n">
        <f aca="false">'Sales &amp; marketing'!M33*(KYB_Cost+KYC_Cost*KYC_Persons)+MAX(0,'Clients &amp; revenue'!M32-'Clients &amp; revenue'!L32)*KYC_Cost</f>
        <v>170169.391744</v>
      </c>
      <c r="N10" s="33" t="n">
        <f aca="false">'Sales &amp; marketing'!N33*(KYB_Cost+KYC_Cost*KYC_Persons)+MAX(0,'Clients &amp; revenue'!N32-'Clients &amp; revenue'!M32)*KYC_Cost</f>
        <v>172169.15524864</v>
      </c>
      <c r="O10" s="33" t="n">
        <f aca="false">'Sales &amp; marketing'!O33*(KYB_Cost+KYC_Cost*KYC_Persons)+MAX(0,'Clients &amp; revenue'!O32-'Clients &amp; revenue'!N32)*KYC_Cost</f>
        <v>174288.904563558</v>
      </c>
      <c r="P10" s="33" t="n">
        <f aca="false">'Sales &amp; marketing'!P33*(KYB_Cost+KYC_Cost*KYC_Persons)+MAX(0,'Clients &amp; revenue'!P32-'Clients &amp; revenue'!O32)*KYC_Cost</f>
        <v>176535.838837372</v>
      </c>
      <c r="Q10" s="33" t="n">
        <f aca="false">'Sales &amp; marketing'!Q33*(KYB_Cost+KYC_Cost*KYC_Persons)+MAX(0,'Clients &amp; revenue'!Q32-'Clients &amp; revenue'!P32)*KYC_Cost</f>
        <v>236557.589167614</v>
      </c>
      <c r="R10" s="33" t="n">
        <f aca="false">'Sales &amp; marketing'!R33*(KYB_Cost+KYC_Cost*KYC_Persons)+MAX(0,'Clients &amp; revenue'!R32-'Clients &amp; revenue'!Q32)*KYC_Cost</f>
        <v>239082.244517671</v>
      </c>
      <c r="S10" s="33" t="n">
        <f aca="false">'Sales &amp; marketing'!S33*(KYB_Cost+KYC_Cost*KYC_Persons)+MAX(0,'Clients &amp; revenue'!S32-'Clients &amp; revenue'!R32)*KYC_Cost</f>
        <v>241758.379188731</v>
      </c>
      <c r="T10" s="33" t="n">
        <f aca="false">'Sales &amp; marketing'!T33*(KYB_Cost+KYC_Cost*KYC_Persons)+MAX(0,'Clients &amp; revenue'!T32-'Clients &amp; revenue'!S32)*KYC_Cost</f>
        <v>244595.081940055</v>
      </c>
      <c r="U10" s="33" t="n">
        <f aca="false">'Sales &amp; marketing'!U33*(KYB_Cost+KYC_Cost*KYC_Persons)+MAX(0,'Clients &amp; revenue'!U32-'Clients &amp; revenue'!T32)*KYC_Cost</f>
        <v>247601.986856459</v>
      </c>
      <c r="V10" s="33" t="n">
        <f aca="false">'Sales &amp; marketing'!V33*(KYB_Cost+KYC_Cost*KYC_Persons)+MAX(0,'Clients &amp; revenue'!V32-'Clients &amp; revenue'!U32)*KYC_Cost</f>
        <v>250789.306067846</v>
      </c>
      <c r="W10" s="33" t="n">
        <f aca="false">'Sales &amp; marketing'!W33*(KYB_Cost+KYC_Cost*KYC_Persons)+MAX(0,'Clients &amp; revenue'!W32-'Clients &amp; revenue'!V32)*KYC_Cost</f>
        <v>379127.864431917</v>
      </c>
      <c r="X10" s="33" t="n">
        <f aca="false">'Sales &amp; marketing'!X33*(KYB_Cost+KYC_Cost*KYC_Persons)+MAX(0,'Clients &amp; revenue'!X32-'Clients &amp; revenue'!W32)*KYC_Cost</f>
        <v>383897.136297832</v>
      </c>
      <c r="Y10" s="33" t="n">
        <f aca="false">'Sales &amp; marketing'!Y33*(KYB_Cost+KYC_Cost*KYC_Persons)+MAX(0,'Clients &amp; revenue'!Y32-'Clients &amp; revenue'!X32)*KYC_Cost</f>
        <v>415352.564475702</v>
      </c>
      <c r="Z10" s="33" t="n">
        <f aca="false">'Sales &amp; marketing'!Z33*(KYB_Cost+KYC_Cost*KYC_Persons)+MAX(0,'Clients &amp; revenue'!Z32-'Clients &amp; revenue'!Y32)*KYC_Cost</f>
        <v>420711.318344244</v>
      </c>
      <c r="AA10" s="33" t="n">
        <f aca="false">'Sales &amp; marketing'!AA33*(KYB_Cost+KYC_Cost*KYC_Persons)+MAX(0,'Clients &amp; revenue'!AA32-'Clients &amp; revenue'!Z32)*KYC_Cost</f>
        <v>426391.597444898</v>
      </c>
      <c r="AB10" s="33" t="n">
        <f aca="false">'Sales &amp; marketing'!AB33*(KYB_Cost+KYC_Cost*KYC_Persons)+MAX(0,'Clients &amp; revenue'!AB32-'Clients &amp; revenue'!AA32)*KYC_Cost</f>
        <v>432412.693291592</v>
      </c>
      <c r="AC10" s="33" t="n">
        <f aca="false">'Sales &amp; marketing'!AC33*(KYB_Cost+KYC_Cost*KYC_Persons)+MAX(0,'Clients &amp; revenue'!AC32-'Clients &amp; revenue'!AB32)*KYC_Cost</f>
        <v>554515.054889088</v>
      </c>
      <c r="AD10" s="33" t="n">
        <f aca="false">'Sales &amp; marketing'!AD33*(KYB_Cost+KYC_Cost*KYC_Persons)+MAX(0,'Clients &amp; revenue'!AD32-'Clients &amp; revenue'!AC32)*KYC_Cost</f>
        <v>561280.358182433</v>
      </c>
      <c r="AE10" s="33" t="n">
        <f aca="false">'Sales &amp; marketing'!AE33*(KYB_Cost+KYC_Cost*KYC_Persons)+MAX(0,'Clients &amp; revenue'!AE32-'Clients &amp; revenue'!AD32)*KYC_Cost</f>
        <v>594851.579673379</v>
      </c>
      <c r="AF10" s="33" t="n">
        <f aca="false">'Sales &amp; marketing'!AF33*(KYB_Cost+KYC_Cost*KYC_Persons)+MAX(0,'Clients &amp; revenue'!AF32-'Clients &amp; revenue'!AE32)*KYC_Cost</f>
        <v>602453.074453782</v>
      </c>
      <c r="AG10" s="33" t="n">
        <f aca="false">'Sales &amp; marketing'!AG33*(KYB_Cost+KYC_Cost*KYC_Persons)+MAX(0,'Clients &amp; revenue'!AG32-'Clients &amp; revenue'!AF32)*KYC_Cost</f>
        <v>9795513.70303163</v>
      </c>
      <c r="AH10" s="33" t="n">
        <f aca="false">'Sales &amp; marketing'!AH33*(KYB_Cost+KYC_Cost*KYC_Persons)+MAX(0,'Clients &amp; revenue'!AH32-'Clients &amp; revenue'!AG32)*KYC_Cost</f>
        <v>1280628.27861242</v>
      </c>
      <c r="AI10" s="33" t="n">
        <f aca="false">'Sales &amp; marketing'!AI33*(KYB_Cost+KYC_Cost*KYC_Persons)+MAX(0,'Clients &amp; revenue'!AI32-'Clients &amp; revenue'!AH32)*KYC_Cost</f>
        <v>1352571.07449919</v>
      </c>
      <c r="AJ10" s="33" t="n">
        <f aca="false">'Sales &amp; marketing'!AJ33*(KYB_Cost+KYC_Cost*KYC_Persons)+MAX(0,'Clients &amp; revenue'!AJ32-'Clients &amp; revenue'!AI32)*KYC_Cost</f>
        <v>1366538.15804669</v>
      </c>
      <c r="AK10" s="33" t="n">
        <f aca="false">'Sales &amp; marketing'!AK33*(KYB_Cost+KYC_Cost*KYC_Persons)+MAX(0,'Clients &amp; revenue'!AK32-'Clients &amp; revenue'!AJ32)*KYC_Cost</f>
        <v>1381750.5871123</v>
      </c>
      <c r="AL10" s="33" t="n">
        <f aca="false">'Sales &amp; marketing'!AL33*(KYB_Cost+KYC_Cost*KYC_Persons)+MAX(0,'Clients &amp; revenue'!AL32-'Clients &amp; revenue'!AK32)*KYC_Cost</f>
        <v>1398277.97902417</v>
      </c>
      <c r="AM10" s="33" t="n">
        <f aca="false">'Sales &amp; marketing'!AM33*(KYB_Cost+KYC_Cost*KYC_Persons)+MAX(0,'Clients &amp; revenue'!AM32-'Clients &amp; revenue'!AL32)*KYC_Cost</f>
        <v>1474994.20150971</v>
      </c>
      <c r="AN10" s="33" t="n">
        <f aca="false">'Sales &amp; marketing'!AN33*(KYB_Cost+KYC_Cost*KYC_Persons)+MAX(0,'Clients &amp; revenue'!AN32-'Clients &amp; revenue'!AM32)*KYC_Cost</f>
        <v>1494026.62654128</v>
      </c>
      <c r="AO10" s="33" t="n">
        <f aca="false">'Sales &amp; marketing'!AO33*(KYB_Cost+KYC_Cost*KYC_Persons)+MAX(0,'Clients &amp; revenue'!AO32-'Clients &amp; revenue'!AN32)*KYC_Cost</f>
        <v>1695913.78693301</v>
      </c>
      <c r="AP10" s="33" t="n">
        <f aca="false">'Sales &amp; marketing'!AP33*(KYB_Cost+KYC_Cost*KYC_Persons)+MAX(0,'Clients &amp; revenue'!AP32-'Clients &amp; revenue'!AO32)*KYC_Cost</f>
        <v>1775861.57365987</v>
      </c>
      <c r="AQ10" s="33" t="n">
        <f aca="false">'Sales &amp; marketing'!AQ33*(KYB_Cost+KYC_Cost*KYC_Persons)+MAX(0,'Clients &amp; revenue'!AQ32-'Clients &amp; revenue'!AP32)*KYC_Cost</f>
        <v>1798408.26783427</v>
      </c>
      <c r="AR10" s="33" t="n">
        <f aca="false">'Sales &amp; marketing'!AR33*(KYB_Cost+KYC_Cost*KYC_Persons)+MAX(0,'Clients &amp; revenue'!AR32-'Clients &amp; revenue'!AQ32)*KYC_Cost</f>
        <v>1822808.24842348</v>
      </c>
      <c r="AS10" s="33" t="n">
        <f aca="false">'Sales &amp; marketing'!AS33*(KYB_Cost+KYC_Cost*KYC_Persons)+MAX(0,'Clients &amp; revenue'!AS32-'Clients &amp; revenue'!AR32)*KYC_Cost</f>
        <v>1907966.46941737</v>
      </c>
      <c r="AT10" s="33" t="n">
        <f aca="false">'Sales &amp; marketing'!AT33*(KYB_Cost+KYC_Cost*KYC_Persons)+MAX(0,'Clients &amp; revenue'!AT32-'Clients &amp; revenue'!AS32)*KYC_Cost</f>
        <v>1936043.27143246</v>
      </c>
      <c r="AU10" s="33" t="n">
        <f aca="false">'Sales &amp; marketing'!AU33*(KYB_Cost+KYC_Cost*KYC_Persons)+MAX(0,'Clients &amp; revenue'!AU32-'Clients &amp; revenue'!AT32)*KYC_Cost</f>
        <v>1966312.15097832</v>
      </c>
      <c r="AV10" s="33" t="n">
        <f aca="false">'Sales &amp; marketing'!AV33*(KYB_Cost+KYC_Cost*KYC_Persons)+MAX(0,'Clients &amp; revenue'!AV32-'Clients &amp; revenue'!AU32)*KYC_Cost</f>
        <v>2110618.32721081</v>
      </c>
      <c r="AW10" s="33" t="n">
        <f aca="false">'Sales &amp; marketing'!AW33*(KYB_Cost+KYC_Cost*KYC_Persons)+MAX(0,'Clients &amp; revenue'!AW32-'Clients &amp; revenue'!AV32)*KYC_Cost</f>
        <v>2128187.50768572</v>
      </c>
      <c r="AX10" s="33" t="n">
        <f aca="false">'Sales &amp; marketing'!AX33*(KYB_Cost+KYC_Cost*KYC_Persons)+MAX(0,'Clients &amp; revenue'!AX32-'Clients &amp; revenue'!AW32)*KYC_Cost</f>
        <v>2187768.5122843</v>
      </c>
      <c r="AY10" s="33" t="n">
        <f aca="false">'Sales &amp; marketing'!AY33*(KYB_Cost+KYC_Cost*KYC_Persons)+MAX(0,'Clients &amp; revenue'!AY32-'Clients &amp; revenue'!AX32)*KYC_Cost</f>
        <v>2188985.23548009</v>
      </c>
      <c r="AZ10" s="33" t="n">
        <f aca="false">'Sales &amp; marketing'!AZ33*(KYB_Cost+KYC_Cost*KYC_Persons)+MAX(0,'Clients &amp; revenue'!AZ32-'Clients &amp; revenue'!AY32)*KYC_Cost</f>
        <v>2191031.08849798</v>
      </c>
      <c r="BA10" s="33" t="n">
        <f aca="false">'Sales &amp; marketing'!BA33*(KYB_Cost+KYC_Cost*KYC_Persons)+MAX(0,'Clients &amp; revenue'!BA32-'Clients &amp; revenue'!AZ32)*KYC_Cost</f>
        <v>2435026.44432146</v>
      </c>
      <c r="BB10" s="33" t="n">
        <f aca="false">'Sales &amp; marketing'!BB33*(KYB_Cost+KYC_Cost*KYC_Persons)+MAX(0,'Clients &amp; revenue'!BB32-'Clients &amp; revenue'!BA32)*KYC_Cost</f>
        <v>2437415.13179191</v>
      </c>
      <c r="BC10" s="33" t="n">
        <f aca="false">'Sales &amp; marketing'!BC33*(KYB_Cost+KYC_Cost*KYC_Persons)+MAX(0,'Clients &amp; revenue'!BC32-'Clients &amp; revenue'!BB32)*KYC_Cost</f>
        <v>2499579.87558204</v>
      </c>
      <c r="BD10" s="33" t="n">
        <f aca="false">'Sales &amp; marketing'!BD33*(KYB_Cost+KYC_Cost*KYC_Persons)+MAX(0,'Clients &amp; revenue'!BD32-'Clients &amp; revenue'!BC32)*KYC_Cost</f>
        <v>2503617.92096008</v>
      </c>
      <c r="BE10" s="33" t="n">
        <f aca="false">'Sales &amp; marketing'!BE33*(KYB_Cost+KYC_Cost*KYC_Persons)+MAX(0,'Clients &amp; revenue'!BE32-'Clients &amp; revenue'!BD32)*KYC_Cost</f>
        <v>2561655.94223803</v>
      </c>
      <c r="BF10" s="33" t="n">
        <f aca="false">'Sales &amp; marketing'!BF33*(KYB_Cost+KYC_Cost*KYC_Persons)+MAX(0,'Clients &amp; revenue'!BF32-'Clients &amp; revenue'!BE32)*KYC_Cost</f>
        <v>2626392.48498064</v>
      </c>
      <c r="BG10" s="33" t="n">
        <f aca="false">'Sales &amp; marketing'!BG33*(KYB_Cost+KYC_Cost*KYC_Persons)+MAX(0,'Clients &amp; revenue'!BG32-'Clients &amp; revenue'!BF32)*KYC_Cost</f>
        <v>2633174.25721098</v>
      </c>
      <c r="BH10" s="33" t="n">
        <f aca="false">'Sales &amp; marketing'!BH33*(KYB_Cost+KYC_Cost*KYC_Persons)+MAX(0,'Clients &amp; revenue'!BH32-'Clients &amp; revenue'!BG32)*KYC_Cost</f>
        <v>2700018.06524579</v>
      </c>
      <c r="BI10" s="33" t="n">
        <f aca="false">'Sales &amp; marketing'!BI33*(KYB_Cost+KYC_Cost*KYC_Persons)+MAX(0,'Clients &amp; revenue'!BI32-'Clients &amp; revenue'!BH32)*KYC_Cost</f>
        <v>2761958.0967336</v>
      </c>
      <c r="BJ10" s="33" t="n">
        <f aca="false">'Sales &amp; marketing'!BJ33*(KYB_Cost+KYC_Cost*KYC_Persons)+MAX(0,'Clients &amp; revenue'!BJ32-'Clients &amp; revenue'!BI32)*KYC_Cost</f>
        <v>2830863.08718665</v>
      </c>
      <c r="BK10" s="33" t="n">
        <f aca="false">'Sales &amp; marketing'!BK33*(KYB_Cost+KYC_Cost*KYC_Persons)+MAX(0,'Clients &amp; revenue'!BK32-'Clients &amp; revenue'!BJ32)*KYC_Cost</f>
        <v>2829495.21101526</v>
      </c>
      <c r="BL10" s="33" t="n">
        <f aca="false">'Sales &amp; marketing'!BL33*(KYB_Cost+KYC_Cost*KYC_Persons)+MAX(0,'Clients &amp; revenue'!BL32-'Clients &amp; revenue'!BK32)*KYC_Cost</f>
        <v>2873947.37179811</v>
      </c>
    </row>
    <row r="11" customFormat="false" ht="15" hidden="false" customHeight="true" outlineLevel="0" collapsed="false">
      <c r="A11" s="13" t="s">
        <v>1284</v>
      </c>
      <c r="B11" s="15" t="s">
        <v>77</v>
      </c>
      <c r="D11" s="56" t="n">
        <f aca="false">SUM(E11:BL11)</f>
        <v>476835030.828574</v>
      </c>
      <c r="E11" s="33" t="n">
        <f aca="false">'Clients &amp; revenue'!E35*Card_Proc_Fee</f>
        <v>0</v>
      </c>
      <c r="F11" s="33" t="n">
        <f aca="false">'Clients &amp; revenue'!F35*Card_Proc_Fee</f>
        <v>0</v>
      </c>
      <c r="G11" s="33" t="n">
        <f aca="false">'Clients &amp; revenue'!G35*Card_Proc_Fee</f>
        <v>0</v>
      </c>
      <c r="H11" s="33" t="n">
        <f aca="false">'Clients &amp; revenue'!H35*Card_Proc_Fee</f>
        <v>0</v>
      </c>
      <c r="I11" s="33" t="n">
        <f aca="false">'Clients &amp; revenue'!I35*Card_Proc_Fee</f>
        <v>118720</v>
      </c>
      <c r="J11" s="33" t="n">
        <f aca="false">'Clients &amp; revenue'!J35*Card_Proc_Fee</f>
        <v>236989.28</v>
      </c>
      <c r="K11" s="33" t="n">
        <f aca="false">'Clients &amp; revenue'!K35*Card_Proc_Fee</f>
        <v>354885.6714</v>
      </c>
      <c r="L11" s="33" t="n">
        <f aca="false">'Clients &amp; revenue'!L35*Card_Proc_Fee</f>
        <v>472490.053327</v>
      </c>
      <c r="M11" s="33" t="n">
        <f aca="false">'Clients &amp; revenue'!M35*Card_Proc_Fee</f>
        <v>589886.562804166</v>
      </c>
      <c r="N11" s="33" t="n">
        <f aca="false">'Clients &amp; revenue'!N35*Card_Proc_Fee</f>
        <v>707162.817042226</v>
      </c>
      <c r="O11" s="33" t="n">
        <f aca="false">'Clients &amp; revenue'!O35*Card_Proc_Fee</f>
        <v>824410.148589499</v>
      </c>
      <c r="P11" s="33" t="n">
        <f aca="false">'Clients &amp; revenue'!P35*Card_Proc_Fee</f>
        <v>941723.854120993</v>
      </c>
      <c r="Q11" s="33" t="n">
        <f aca="false">'Clients &amp; revenue'!Q35*Card_Proc_Fee</f>
        <v>1101123.45769363</v>
      </c>
      <c r="R11" s="33" t="n">
        <f aca="false">'Clients &amp; revenue'!R35*Card_Proc_Fee</f>
        <v>1260227.06934414</v>
      </c>
      <c r="S11" s="33" t="n">
        <f aca="false">'Clients &amp; revenue'!S35*Card_Proc_Fee</f>
        <v>1419152.0873586</v>
      </c>
      <c r="T11" s="33" t="n">
        <f aca="false">'Clients &amp; revenue'!T35*Card_Proc_Fee</f>
        <v>1578020.88112515</v>
      </c>
      <c r="U11" s="33" t="n">
        <f aca="false">'Clients &amp; revenue'!U35*Card_Proc_Fee</f>
        <v>1736961.12406518</v>
      </c>
      <c r="V11" s="33" t="n">
        <f aca="false">'Clients &amp; revenue'!V35*Card_Proc_Fee</f>
        <v>1896106.14592382</v>
      </c>
      <c r="W11" s="33" t="n">
        <f aca="false">'Clients &amp; revenue'!W35*Card_Proc_Fee</f>
        <v>2146475.30559274</v>
      </c>
      <c r="X11" s="33" t="n">
        <f aca="false">'Clients &amp; revenue'!X35*Card_Proc_Fee</f>
        <v>2396971.50570834</v>
      </c>
      <c r="Y11" s="33" t="n">
        <f aca="false">'Clients &amp; revenue'!Y35*Card_Proc_Fee</f>
        <v>2667006.11994295</v>
      </c>
      <c r="Z11" s="33" t="n">
        <f aca="false">'Clients &amp; revenue'!Z35*Card_Proc_Fee</f>
        <v>2937340.88515329</v>
      </c>
      <c r="AA11" s="33" t="n">
        <f aca="false">'Clients &amp; revenue'!AA35*Card_Proc_Fee</f>
        <v>3208210.85126717</v>
      </c>
      <c r="AB11" s="33" t="n">
        <f aca="false">'Clients &amp; revenue'!AB35*Card_Proc_Fee</f>
        <v>3479861.85481759</v>
      </c>
      <c r="AC11" s="33" t="n">
        <f aca="false">'Clients &amp; revenue'!AC35*Card_Proc_Fee</f>
        <v>3836711.22144687</v>
      </c>
      <c r="AD11" s="33" t="n">
        <f aca="false">'Clients &amp; revenue'!AD35*Card_Proc_Fee</f>
        <v>4193732.34957918</v>
      </c>
      <c r="AE11" s="33" t="n">
        <f aca="false">'Clients &amp; revenue'!AE35*Card_Proc_Fee</f>
        <v>4570425.01794987</v>
      </c>
      <c r="AF11" s="33" t="n">
        <f aca="false">'Clients &amp; revenue'!AF35*Card_Proc_Fee</f>
        <v>4947643.37419975</v>
      </c>
      <c r="AG11" s="33" t="n">
        <f aca="false">'Clients &amp; revenue'!AG35*Card_Proc_Fee</f>
        <v>5325719.14661832</v>
      </c>
      <c r="AH11" s="33" t="n">
        <f aca="false">'Clients &amp; revenue'!AH35*Card_Proc_Fee</f>
        <v>5704999.39486585</v>
      </c>
      <c r="AI11" s="33" t="n">
        <f aca="false">'Clients &amp; revenue'!AI35*Card_Proc_Fee</f>
        <v>6105047.50592359</v>
      </c>
      <c r="AJ11" s="33" t="n">
        <f aca="false">'Clients &amp; revenue'!AJ35*Card_Proc_Fee</f>
        <v>6506785.04845302</v>
      </c>
      <c r="AK11" s="33" t="n">
        <f aca="false">'Clients &amp; revenue'!AK35*Card_Proc_Fee</f>
        <v>6910615.2130936</v>
      </c>
      <c r="AL11" s="33" t="n">
        <f aca="false">'Clients &amp; revenue'!AL35*Card_Proc_Fee</f>
        <v>7316960.80545989</v>
      </c>
      <c r="AM11" s="33" t="n">
        <f aca="false">'Clients &amp; revenue'!AM35*Card_Proc_Fee</f>
        <v>7745465.49891024</v>
      </c>
      <c r="AN11" s="33" t="n">
        <f aca="false">'Clients &amp; revenue'!AN35*Card_Proc_Fee</f>
        <v>8177135.96114068</v>
      </c>
      <c r="AO11" s="33" t="n">
        <f aca="false">'Clients &amp; revenue'!AO35*Card_Proc_Fee</f>
        <v>8671665.583058</v>
      </c>
      <c r="AP11" s="33" t="n">
        <f aca="false">'Clients &amp; revenue'!AP35*Card_Proc_Fee</f>
        <v>9188773.57767319</v>
      </c>
      <c r="AQ11" s="33" t="n">
        <f aca="false">'Clients &amp; revenue'!AQ35*Card_Proc_Fee</f>
        <v>9709557.85612682</v>
      </c>
      <c r="AR11" s="33" t="n">
        <f aca="false">'Clients &amp; revenue'!AR35*Card_Proc_Fee</f>
        <v>10234607.522646</v>
      </c>
      <c r="AS11" s="33" t="n">
        <f aca="false">'Clients &amp; revenue'!AS35*Card_Proc_Fee</f>
        <v>10783741.4583237</v>
      </c>
      <c r="AT11" s="33" t="n">
        <f aca="false">'Clients &amp; revenue'!AT35*Card_Proc_Fee</f>
        <v>11338150.9998276</v>
      </c>
      <c r="AU11" s="33" t="n">
        <f aca="false">'Clients &amp; revenue'!AU35*Card_Proc_Fee</f>
        <v>11898524.2532061</v>
      </c>
      <c r="AV11" s="33" t="n">
        <f aca="false">'Clients &amp; revenue'!AV35*Card_Proc_Fee</f>
        <v>12502065.0125084</v>
      </c>
      <c r="AW11" s="33" t="n">
        <f aca="false">'Clients &amp; revenue'!AW35*Card_Proc_Fee</f>
        <v>13107076.7290293</v>
      </c>
      <c r="AX11" s="33" t="n">
        <f aca="false">'Clients &amp; revenue'!AX35*Card_Proc_Fee</f>
        <v>13727279.5571426</v>
      </c>
      <c r="AY11" s="33" t="n">
        <f aca="false">'Clients &amp; revenue'!AY35*Card_Proc_Fee</f>
        <v>14343514.3199079</v>
      </c>
      <c r="AZ11" s="33" t="n">
        <f aca="false">'Clients &amp; revenue'!AZ35*Card_Proc_Fee</f>
        <v>14956094.8301517</v>
      </c>
      <c r="BA11" s="33" t="n">
        <f aca="false">'Clients &amp; revenue'!BA35*Card_Proc_Fee</f>
        <v>15644065.4275392</v>
      </c>
      <c r="BB11" s="33" t="n">
        <f aca="false">'Clients &amp; revenue'!BB35*Card_Proc_Fee</f>
        <v>16327979.0269756</v>
      </c>
      <c r="BC11" s="33" t="n">
        <f aca="false">'Clients &amp; revenue'!BC35*Card_Proc_Fee</f>
        <v>17027399.4591045</v>
      </c>
      <c r="BD11" s="33" t="n">
        <f aca="false">'Clients &amp; revenue'!BD35*Card_Proc_Fee</f>
        <v>17723244.0539505</v>
      </c>
      <c r="BE11" s="33" t="n">
        <f aca="false">'Clients &amp; revenue'!BE35*Card_Proc_Fee</f>
        <v>18433186.8772745</v>
      </c>
      <c r="BF11" s="33" t="n">
        <f aca="false">'Clients &amp; revenue'!BF35*Card_Proc_Fee</f>
        <v>19159323.2260433</v>
      </c>
      <c r="BG11" s="33" t="n">
        <f aca="false">'Clients &amp; revenue'!BG35*Card_Proc_Fee</f>
        <v>19882621.5408971</v>
      </c>
      <c r="BH11" s="33" t="n">
        <f aca="false">'Clients &amp; revenue'!BH35*Card_Proc_Fee</f>
        <v>20622729.9395469</v>
      </c>
      <c r="BI11" s="33" t="n">
        <f aca="false">'Clients &amp; revenue'!BI35*Card_Proc_Fee</f>
        <v>21377934.9704853</v>
      </c>
      <c r="BJ11" s="33" t="n">
        <f aca="false">'Clients &amp; revenue'!BJ35*Card_Proc_Fee</f>
        <v>22150411.8667608</v>
      </c>
      <c r="BK11" s="33" t="n">
        <f aca="false">'Clients &amp; revenue'!BK35*Card_Proc_Fee</f>
        <v>22917099.1899986</v>
      </c>
      <c r="BL11" s="33" t="n">
        <f aca="false">'Clients &amp; revenue'!BL35*Card_Proc_Fee</f>
        <v>23693017.337479</v>
      </c>
    </row>
    <row r="12" customFormat="false" ht="15" hidden="false" customHeight="true" outlineLevel="0" collapsed="false">
      <c r="A12" s="13" t="s">
        <v>1028</v>
      </c>
      <c r="B12" s="15" t="s">
        <v>77</v>
      </c>
      <c r="D12" s="56" t="n">
        <f aca="false">SUM(E12:BL12)</f>
        <v>66800164.6007787</v>
      </c>
      <c r="E12" s="33" t="n">
        <f aca="false">'Clients &amp; revenue'!E33*Card_Prod_Cost</f>
        <v>0</v>
      </c>
      <c r="F12" s="33" t="n">
        <f aca="false">'Clients &amp; revenue'!F33*Card_Prod_Cost</f>
        <v>0</v>
      </c>
      <c r="G12" s="33" t="n">
        <f aca="false">'Clients &amp; revenue'!G33*Card_Prod_Cost</f>
        <v>0</v>
      </c>
      <c r="H12" s="33" t="n">
        <f aca="false">'Clients &amp; revenue'!H33*Card_Prod_Cost</f>
        <v>0</v>
      </c>
      <c r="I12" s="33" t="n">
        <f aca="false">'Clients &amp; revenue'!I33*Card_Prod_Cost</f>
        <v>267120</v>
      </c>
      <c r="J12" s="33" t="n">
        <f aca="false">'Clients &amp; revenue'!J33*Card_Prod_Cost</f>
        <v>269712</v>
      </c>
      <c r="K12" s="33" t="n">
        <f aca="false">'Clients &amp; revenue'!K33*Card_Prod_Cost</f>
        <v>272459.52</v>
      </c>
      <c r="L12" s="33" t="n">
        <f aca="false">'Clients &amp; revenue'!L33*Card_Prod_Cost</f>
        <v>275371.8912</v>
      </c>
      <c r="M12" s="33" t="n">
        <f aca="false">'Clients &amp; revenue'!M33*Card_Prod_Cost</f>
        <v>278459.004672</v>
      </c>
      <c r="N12" s="33" t="n">
        <f aca="false">'Clients &amp; revenue'!N33*Card_Prod_Cost</f>
        <v>281731.34495232</v>
      </c>
      <c r="O12" s="33" t="n">
        <f aca="false">'Clients &amp; revenue'!O33*Card_Prod_Cost</f>
        <v>285200.025649459</v>
      </c>
      <c r="P12" s="33" t="n">
        <f aca="false">'Clients &amp; revenue'!P33*Card_Prod_Cost</f>
        <v>288876.827188427</v>
      </c>
      <c r="Q12" s="33" t="n">
        <f aca="false">'Clients &amp; revenue'!Q33*Card_Prod_Cost</f>
        <v>387094.236819732</v>
      </c>
      <c r="R12" s="33" t="n">
        <f aca="false">'Clients &amp; revenue'!R33*Card_Prod_Cost</f>
        <v>391225.491028916</v>
      </c>
      <c r="S12" s="33" t="n">
        <f aca="false">'Clients &amp; revenue'!S33*Card_Prod_Cost</f>
        <v>395604.620490651</v>
      </c>
      <c r="T12" s="33" t="n">
        <f aca="false">'Clients &amp; revenue'!T33*Card_Prod_Cost</f>
        <v>400246.49772009</v>
      </c>
      <c r="U12" s="33" t="n">
        <f aca="false">'Clients &amp; revenue'!U33*Card_Prod_Cost</f>
        <v>405166.887583296</v>
      </c>
      <c r="V12" s="33" t="n">
        <f aca="false">'Clients &amp; revenue'!V33*Card_Prod_Cost</f>
        <v>410382.500838294</v>
      </c>
      <c r="W12" s="33" t="n">
        <f aca="false">'Clients &amp; revenue'!W33*Card_Prod_Cost</f>
        <v>620391.050888591</v>
      </c>
      <c r="X12" s="33" t="n">
        <f aca="false">'Clients &amp; revenue'!X33*Card_Prod_Cost</f>
        <v>628195.313941907</v>
      </c>
      <c r="Y12" s="33" t="n">
        <f aca="false">'Clients &amp; revenue'!Y33*Card_Prod_Cost</f>
        <v>679667.832778421</v>
      </c>
      <c r="Z12" s="33" t="n">
        <f aca="false">'Clients &amp; revenue'!Z33*Card_Prod_Cost</f>
        <v>688436.702745126</v>
      </c>
      <c r="AA12" s="33" t="n">
        <f aca="false">'Clients &amp; revenue'!AA33*Card_Prod_Cost</f>
        <v>697731.704909834</v>
      </c>
      <c r="AB12" s="33" t="n">
        <f aca="false">'Clients &amp; revenue'!AB33*Card_Prod_Cost</f>
        <v>707584.407204424</v>
      </c>
      <c r="AC12" s="33" t="n">
        <f aca="false">'Clients &amp; revenue'!AC33*Card_Prod_Cost</f>
        <v>907388.271636689</v>
      </c>
      <c r="AD12" s="33" t="n">
        <f aca="false">'Clients &amp; revenue'!AD33*Card_Prod_Cost</f>
        <v>918458.767934891</v>
      </c>
      <c r="AE12" s="33" t="n">
        <f aca="false">'Clients &amp; revenue'!AE33*Card_Prod_Cost</f>
        <v>973393.494010984</v>
      </c>
      <c r="AF12" s="33" t="n">
        <f aca="false">'Clients &amp; revenue'!AF33*Card_Prod_Cost</f>
        <v>985832.303651643</v>
      </c>
      <c r="AG12" s="33" t="n">
        <f aca="false">'Clients &amp; revenue'!AG33*Card_Prod_Cost</f>
        <v>999017.441870742</v>
      </c>
      <c r="AH12" s="33" t="n">
        <f aca="false">'Clients &amp; revenue'!AH33*Card_Prod_Cost</f>
        <v>1012993.68838299</v>
      </c>
      <c r="AI12" s="33" t="n">
        <f aca="false">'Clients &amp; revenue'!AI33*Card_Prod_Cost</f>
        <v>1071008.50968597</v>
      </c>
      <c r="AJ12" s="33" t="n">
        <f aca="false">'Clients &amp; revenue'!AJ33*Card_Prod_Cost</f>
        <v>1086712.22026712</v>
      </c>
      <c r="AK12" s="33" t="n">
        <f aca="false">'Clients &amp; revenue'!AK33*Card_Prod_Cost</f>
        <v>1103358.15348315</v>
      </c>
      <c r="AL12" s="33" t="n">
        <f aca="false">'Clients &amp; revenue'!AL33*Card_Prod_Cost</f>
        <v>1121002.84269214</v>
      </c>
      <c r="AM12" s="33" t="n">
        <f aca="false">'Clients &amp; revenue'!AM33*Card_Prod_Cost</f>
        <v>1182906.21325367</v>
      </c>
      <c r="AN12" s="33" t="n">
        <f aca="false">'Clients &amp; revenue'!AN33*Card_Prod_Cost</f>
        <v>1202731.78604889</v>
      </c>
      <c r="AO12" s="33" t="n">
        <f aca="false">'Clients &amp; revenue'!AO33*Card_Prod_Cost</f>
        <v>1356946.89321182</v>
      </c>
      <c r="AP12" s="33" t="n">
        <f aca="false">'Clients &amp; revenue'!AP33*Card_Prod_Cost</f>
        <v>1422422.90680453</v>
      </c>
      <c r="AQ12" s="33" t="n">
        <f aca="false">'Clients &amp; revenue'!AQ33*Card_Prod_Cost</f>
        <v>1446035.4812128</v>
      </c>
      <c r="AR12" s="33" t="n">
        <f aca="false">'Clients &amp; revenue'!AR33*Card_Prod_Cost</f>
        <v>1471064.81008557</v>
      </c>
      <c r="AS12" s="33" t="n">
        <f aca="false">'Clients &amp; revenue'!AS33*Card_Prod_Cost</f>
        <v>1540795.89869071</v>
      </c>
      <c r="AT12" s="33" t="n">
        <f aca="false">'Clients &amp; revenue'!AT33*Card_Prod_Cost</f>
        <v>1568918.85261215</v>
      </c>
      <c r="AU12" s="33" t="n">
        <f aca="false">'Clients &amp; revenue'!AU33*Card_Prod_Cost</f>
        <v>1598729.18376888</v>
      </c>
      <c r="AV12" s="33" t="n">
        <f aca="false">'Clients &amp; revenue'!AV33*Card_Prod_Cost</f>
        <v>1712408.13479501</v>
      </c>
      <c r="AW12" s="33" t="n">
        <f aca="false">'Clients &amp; revenue'!AW33*Card_Prod_Cost</f>
        <v>1733560.00799887</v>
      </c>
      <c r="AX12" s="33" t="n">
        <f aca="false">'Clients &amp; revenue'!AX33*Card_Prod_Cost</f>
        <v>1785604.0084788</v>
      </c>
      <c r="AY12" s="33" t="n">
        <f aca="false">'Clients &amp; revenue'!AY33*Card_Prod_Cost</f>
        <v>1794978.64898753</v>
      </c>
      <c r="AZ12" s="33" t="n">
        <f aca="false">'Clients &amp; revenue'!AZ33*Card_Prod_Cost</f>
        <v>1804915.76792678</v>
      </c>
      <c r="BA12" s="33" t="n">
        <f aca="false">'Clients &amp; revenue'!BA33*Card_Prod_Cost</f>
        <v>1992569.11400239</v>
      </c>
      <c r="BB12" s="33" t="n">
        <f aca="false">'Clients &amp; revenue'!BB33*Card_Prod_Cost</f>
        <v>2003734.46084253</v>
      </c>
      <c r="BC12" s="33" t="n">
        <f aca="false">'Clients &amp; revenue'!BC33*Card_Prod_Cost</f>
        <v>2058769.72849309</v>
      </c>
      <c r="BD12" s="33" t="n">
        <f aca="false">'Clients &amp; revenue'!BD33*Card_Prod_Cost</f>
        <v>2071315.11220267</v>
      </c>
      <c r="BE12" s="33" t="n">
        <f aca="false">'Clients &amp; revenue'!BE33*Card_Prod_Cost</f>
        <v>2123493.21893483</v>
      </c>
      <c r="BF12" s="33" t="n">
        <f aca="false">'Clients &amp; revenue'!BF33*Card_Prod_Cost</f>
        <v>2180789.21207092</v>
      </c>
      <c r="BG12" s="33" t="n">
        <f aca="false">'Clients &amp; revenue'!BG33*Card_Prod_Cost</f>
        <v>2195730.96479518</v>
      </c>
      <c r="BH12" s="33" t="n">
        <f aca="false">'Clients &amp; revenue'!BH33*Card_Prod_Cost</f>
        <v>2254769.22268289</v>
      </c>
      <c r="BI12" s="33" t="n">
        <f aca="false">'Clients &amp; revenue'!BI33*Card_Prod_Cost</f>
        <v>2310437.77604386</v>
      </c>
      <c r="BJ12" s="33" t="n">
        <f aca="false">'Clients &amp; revenue'!BJ33*Card_Prod_Cost</f>
        <v>2371433.64260649</v>
      </c>
      <c r="BK12" s="33" t="n">
        <f aca="false">'Clients &amp; revenue'!BK33*Card_Prod_Cost</f>
        <v>2381040</v>
      </c>
      <c r="BL12" s="33" t="n">
        <f aca="false">'Clients &amp; revenue'!BL33*Card_Prod_Cost</f>
        <v>2424240</v>
      </c>
    </row>
    <row r="13" customFormat="false" ht="15" hidden="false" customHeight="true" outlineLevel="0" collapsed="false">
      <c r="A13" s="13" t="s">
        <v>658</v>
      </c>
      <c r="B13" s="15" t="s">
        <v>77</v>
      </c>
      <c r="D13" s="56" t="n">
        <f aca="false">SUM(E13:BL13)</f>
        <v>3960924272.42866</v>
      </c>
      <c r="E13" s="33" t="n">
        <f aca="false">'Clients &amp; revenue'!E37*(Scheme_Rate+Scheme_Fixed/FX_Avg_Txn)</f>
        <v>0</v>
      </c>
      <c r="F13" s="33" t="n">
        <f aca="false">'Clients &amp; revenue'!F37*(Scheme_Rate+Scheme_Fixed/FX_Avg_Txn)</f>
        <v>0</v>
      </c>
      <c r="G13" s="33" t="n">
        <f aca="false">'Clients &amp; revenue'!G37*(Scheme_Rate+Scheme_Fixed/FX_Avg_Txn)</f>
        <v>0</v>
      </c>
      <c r="H13" s="33" t="n">
        <f aca="false">'Clients &amp; revenue'!H37*(Scheme_Rate+Scheme_Fixed/FX_Avg_Txn)</f>
        <v>0</v>
      </c>
      <c r="I13" s="33" t="n">
        <f aca="false">'Clients &amp; revenue'!I37*(Scheme_Rate+Scheme_Fixed/FX_Avg_Txn)</f>
        <v>968557.333333333</v>
      </c>
      <c r="J13" s="33" t="n">
        <f aca="false">'Clients &amp; revenue'!J37*(Scheme_Rate+Scheme_Fixed/FX_Avg_Txn)</f>
        <v>1934841.40666667</v>
      </c>
      <c r="K13" s="33" t="n">
        <f aca="false">'Clients &amp; revenue'!K37*(Scheme_Rate+Scheme_Fixed/FX_Avg_Txn)</f>
        <v>2899463.86345</v>
      </c>
      <c r="L13" s="33" t="n">
        <f aca="false">'Clients &amp; revenue'!L37*(Scheme_Rate+Scheme_Fixed/FX_Avg_Txn)</f>
        <v>3863062.45525246</v>
      </c>
      <c r="M13" s="33" t="n">
        <f aca="false">'Clients &amp; revenue'!M37*(Scheme_Rate+Scheme_Fixed/FX_Avg_Txn)</f>
        <v>4826302.77574974</v>
      </c>
      <c r="N13" s="33" t="n">
        <f aca="false">'Clients &amp; revenue'!N37*(Scheme_Rate+Scheme_Fixed/FX_Avg_Txn)</f>
        <v>5789880.09587726</v>
      </c>
      <c r="O13" s="33" t="n">
        <f aca="false">'Clients &amp; revenue'!O37*(Scheme_Rate+Scheme_Fixed/FX_Avg_Txn)</f>
        <v>6754521.30627108</v>
      </c>
      <c r="P13" s="33" t="n">
        <f aca="false">'Clients &amp; revenue'!P37*(Scheme_Rate+Scheme_Fixed/FX_Avg_Txn)</f>
        <v>7720986.97348495</v>
      </c>
      <c r="Q13" s="33" t="n">
        <f aca="false">'Clients &amp; revenue'!Q37*(Scheme_Rate+Scheme_Fixed/FX_Avg_Txn)</f>
        <v>9032070.85019355</v>
      </c>
      <c r="R13" s="33" t="n">
        <f aca="false">'Clients &amp; revenue'!R37*(Scheme_Rate+Scheme_Fixed/FX_Avg_Txn)</f>
        <v>10342488.9200036</v>
      </c>
      <c r="S13" s="33" t="n">
        <f aca="false">'Clients &amp; revenue'!S37*(Scheme_Rate+Scheme_Fixed/FX_Avg_Txn)</f>
        <v>11653173.2053811</v>
      </c>
      <c r="T13" s="33" t="n">
        <f aca="false">'Clients &amp; revenue'!T37*(Scheme_Rate+Scheme_Fixed/FX_Avg_Txn)</f>
        <v>12965098.0309276</v>
      </c>
      <c r="U13" s="33" t="n">
        <f aca="false">'Clients &amp; revenue'!U37*(Scheme_Rate+Scheme_Fixed/FX_Avg_Txn)</f>
        <v>14279282.7751114</v>
      </c>
      <c r="V13" s="33" t="n">
        <f aca="false">'Clients &amp; revenue'!V37*(Scheme_Rate+Scheme_Fixed/FX_Avg_Txn)</f>
        <v>15596794.7834609</v>
      </c>
      <c r="W13" s="33" t="n">
        <f aca="false">'Clients &amp; revenue'!W37*(Scheme_Rate+Scheme_Fixed/FX_Avg_Txn)</f>
        <v>17660181.7863061</v>
      </c>
      <c r="X13" s="33" t="n">
        <f aca="false">'Clients &amp; revenue'!X37*(Scheme_Rate+Scheme_Fixed/FX_Avg_Txn)</f>
        <v>19727301.3247399</v>
      </c>
      <c r="Y13" s="33" t="n">
        <f aca="false">'Clients &amp; revenue'!Y37*(Scheme_Rate+Scheme_Fixed/FX_Avg_Txn)</f>
        <v>21956485.116888</v>
      </c>
      <c r="Z13" s="33" t="n">
        <f aca="false">'Clients &amp; revenue'!Z37*(Scheme_Rate+Scheme_Fixed/FX_Avg_Txn)</f>
        <v>24190978.2618195</v>
      </c>
      <c r="AA13" s="33" t="n">
        <f aca="false">'Clients &amp; revenue'!AA37*(Scheme_Rate+Scheme_Fixed/FX_Avg_Txn)</f>
        <v>26432665.6567122</v>
      </c>
      <c r="AB13" s="33" t="n">
        <f aca="false">'Clients &amp; revenue'!AB37*(Scheme_Rate+Scheme_Fixed/FX_Avg_Txn)</f>
        <v>28683523.4421785</v>
      </c>
      <c r="AC13" s="33" t="n">
        <f aca="false">'Clients &amp; revenue'!AC37*(Scheme_Rate+Scheme_Fixed/FX_Avg_Txn)</f>
        <v>31632230.1516712</v>
      </c>
      <c r="AD13" s="33" t="n">
        <f aca="false">'Clients &amp; revenue'!AD37*(Scheme_Rate+Scheme_Fixed/FX_Avg_Txn)</f>
        <v>34586082.8907117</v>
      </c>
      <c r="AE13" s="33" t="n">
        <f aca="false">'Clients &amp; revenue'!AE37*(Scheme_Rate+Scheme_Fixed/FX_Avg_Txn)</f>
        <v>37704121.9488212</v>
      </c>
      <c r="AF13" s="33" t="n">
        <f aca="false">'Clients &amp; revenue'!AF37*(Scheme_Rate+Scheme_Fixed/FX_Avg_Txn)</f>
        <v>40830334.8989417</v>
      </c>
      <c r="AG13" s="33" t="n">
        <f aca="false">'Clients &amp; revenue'!AG37*(Scheme_Rate+Scheme_Fixed/FX_Avg_Txn)</f>
        <v>43967385.1821883</v>
      </c>
      <c r="AH13" s="33" t="n">
        <f aca="false">'Clients &amp; revenue'!AH37*(Scheme_Rate+Scheme_Fixed/FX_Avg_Txn)</f>
        <v>47118065.848562</v>
      </c>
      <c r="AI13" s="33" t="n">
        <f aca="false">'Clients &amp; revenue'!AI37*(Scheme_Rate+Scheme_Fixed/FX_Avg_Txn)</f>
        <v>50441947.8039173</v>
      </c>
      <c r="AJ13" s="33" t="n">
        <f aca="false">'Clients &amp; revenue'!AJ37*(Scheme_Rate+Scheme_Fixed/FX_Avg_Txn)</f>
        <v>53783580.9437656</v>
      </c>
      <c r="AK13" s="33" t="n">
        <f aca="false">'Clients &amp; revenue'!AK37*(Scheme_Rate+Scheme_Fixed/FX_Avg_Txn)</f>
        <v>57146224.6402692</v>
      </c>
      <c r="AL13" s="33" t="n">
        <f aca="false">'Clients &amp; revenue'!AL37*(Scheme_Rate+Scheme_Fixed/FX_Avg_Txn)</f>
        <v>60533303.4993594</v>
      </c>
      <c r="AM13" s="33" t="n">
        <f aca="false">'Clients &amp; revenue'!AM37*(Scheme_Rate+Scheme_Fixed/FX_Avg_Txn)</f>
        <v>64105057.7451227</v>
      </c>
      <c r="AN13" s="33" t="n">
        <f aca="false">'Clients &amp; revenue'!AN37*(Scheme_Rate+Scheme_Fixed/FX_Avg_Txn)</f>
        <v>67706746.6192955</v>
      </c>
      <c r="AO13" s="33" t="n">
        <f aca="false">'Clients &amp; revenue'!AO37*(Scheme_Rate+Scheme_Fixed/FX_Avg_Txn)</f>
        <v>71825354.6032507</v>
      </c>
      <c r="AP13" s="33" t="n">
        <f aca="false">'Clients &amp; revenue'!AP37*(Scheme_Rate+Scheme_Fixed/FX_Avg_Txn)</f>
        <v>76132949.6209015</v>
      </c>
      <c r="AQ13" s="33" t="n">
        <f aca="false">'Clients &amp; revenue'!AQ37*(Scheme_Rate+Scheme_Fixed/FX_Avg_Txn)</f>
        <v>80475529.0023952</v>
      </c>
      <c r="AR13" s="33" t="n">
        <f aca="false">'Clients &amp; revenue'!AR37*(Scheme_Rate+Scheme_Fixed/FX_Avg_Txn)</f>
        <v>84857879.6238895</v>
      </c>
      <c r="AS13" s="33" t="n">
        <f aca="false">'Clients &amp; revenue'!AS37*(Scheme_Rate+Scheme_Fixed/FX_Avg_Txn)</f>
        <v>89441678.572177</v>
      </c>
      <c r="AT13" s="33" t="n">
        <f aca="false">'Clients &amp; revenue'!AT37*(Scheme_Rate+Scheme_Fixed/FX_Avg_Txn)</f>
        <v>94073701.1293009</v>
      </c>
      <c r="AU13" s="33" t="n">
        <f aca="false">'Clients &amp; revenue'!AU37*(Scheme_Rate+Scheme_Fixed/FX_Avg_Txn)</f>
        <v>98759558.5195992</v>
      </c>
      <c r="AV13" s="33" t="n">
        <f aca="false">'Clients &amp; revenue'!AV37*(Scheme_Rate+Scheme_Fixed/FX_Avg_Txn)</f>
        <v>103802777.360697</v>
      </c>
      <c r="AW13" s="33" t="n">
        <f aca="false">'Clients &amp; revenue'!AW37*(Scheme_Rate+Scheme_Fixed/FX_Avg_Txn)</f>
        <v>108863628.903981</v>
      </c>
      <c r="AX13" s="33" t="n">
        <f aca="false">'Clients &amp; revenue'!AX37*(Scheme_Rate+Scheme_Fixed/FX_Avg_Txn)</f>
        <v>114053993.628391</v>
      </c>
      <c r="AY13" s="33" t="n">
        <f aca="false">'Clients &amp; revenue'!AY37*(Scheme_Rate+Scheme_Fixed/FX_Avg_Txn)</f>
        <v>119217674.463894</v>
      </c>
      <c r="AZ13" s="33" t="n">
        <f aca="false">'Clients &amp; revenue'!AZ37*(Scheme_Rate+Scheme_Fixed/FX_Avg_Txn)</f>
        <v>124357113.587576</v>
      </c>
      <c r="BA13" s="33" t="n">
        <f aca="false">'Clients &amp; revenue'!BA37*(Scheme_Rate+Scheme_Fixed/FX_Avg_Txn)</f>
        <v>130117068.354819</v>
      </c>
      <c r="BB13" s="33" t="n">
        <f aca="false">'Clients &amp; revenue'!BB37*(Scheme_Rate+Scheme_Fixed/FX_Avg_Txn)</f>
        <v>135850206.461708</v>
      </c>
      <c r="BC13" s="33" t="n">
        <f aca="false">'Clients &amp; revenue'!BC37*(Scheme_Rate+Scheme_Fixed/FX_Avg_Txn)</f>
        <v>141716009.704153</v>
      </c>
      <c r="BD13" s="33" t="n">
        <f aca="false">'Clients &amp; revenue'!BD37*(Scheme_Rate+Scheme_Fixed/FX_Avg_Txn)</f>
        <v>147558901.887781</v>
      </c>
      <c r="BE13" s="33" t="n">
        <f aca="false">'Clients &amp; revenue'!BE37*(Scheme_Rate+Scheme_Fixed/FX_Avg_Txn)</f>
        <v>153522953.57813</v>
      </c>
      <c r="BF13" s="33" t="n">
        <f aca="false">'Clients &amp; revenue'!BF37*(Scheme_Rate+Scheme_Fixed/FX_Avg_Txn)</f>
        <v>159625349.168728</v>
      </c>
      <c r="BG13" s="33" t="n">
        <f aca="false">'Clients &amp; revenue'!BG37*(Scheme_Rate+Scheme_Fixed/FX_Avg_Txn)</f>
        <v>165710936.810883</v>
      </c>
      <c r="BH13" s="33" t="n">
        <f aca="false">'Clients &amp; revenue'!BH37*(Scheme_Rate+Scheme_Fixed/FX_Avg_Txn)</f>
        <v>171939899.920302</v>
      </c>
      <c r="BI13" s="33" t="n">
        <f aca="false">'Clients &amp; revenue'!BI37*(Scheme_Rate+Scheme_Fixed/FX_Avg_Txn)</f>
        <v>178298380.967719</v>
      </c>
      <c r="BJ13" s="33" t="n">
        <f aca="false">'Clients &amp; revenue'!BJ37*(Scheme_Rate+Scheme_Fixed/FX_Avg_Txn)</f>
        <v>184804225.863734</v>
      </c>
      <c r="BK13" s="33" t="n">
        <f aca="false">'Clients &amp; revenue'!BK37*(Scheme_Rate+Scheme_Fixed/FX_Avg_Txn)</f>
        <v>191269415.859903</v>
      </c>
      <c r="BL13" s="33" t="n">
        <f aca="false">'Clients &amp; revenue'!BL37*(Scheme_Rate+Scheme_Fixed/FX_Avg_Txn)</f>
        <v>197816342.298316</v>
      </c>
    </row>
    <row r="14" customFormat="false" ht="15" hidden="false" customHeight="true" outlineLevel="0" collapsed="false">
      <c r="A14" s="13" t="s">
        <v>662</v>
      </c>
      <c r="B14" s="15" t="s">
        <v>77</v>
      </c>
      <c r="D14" s="56" t="n">
        <f aca="false">SUM(E14:BL14)</f>
        <v>471931937.857239</v>
      </c>
      <c r="E14" s="33" t="n">
        <f aca="false">('Clients &amp; revenue'!E36+'Clients &amp; revenue'!E37)*Fraud_Rate</f>
        <v>0</v>
      </c>
      <c r="F14" s="33" t="n">
        <f aca="false">('Clients &amp; revenue'!F36+'Clients &amp; revenue'!F37)*Fraud_Rate</f>
        <v>0</v>
      </c>
      <c r="G14" s="33" t="n">
        <f aca="false">('Clients &amp; revenue'!G36+'Clients &amp; revenue'!G37)*Fraud_Rate</f>
        <v>0</v>
      </c>
      <c r="H14" s="33" t="n">
        <f aca="false">('Clients &amp; revenue'!H36+'Clients &amp; revenue'!H37)*Fraud_Rate</f>
        <v>0</v>
      </c>
      <c r="I14" s="33" t="n">
        <f aca="false">('Clients &amp; revenue'!I36+'Clients &amp; revenue'!I37)*Fraud_Rate</f>
        <v>115752</v>
      </c>
      <c r="J14" s="33" t="n">
        <f aca="false">('Clients &amp; revenue'!J36+'Clients &amp; revenue'!J37)*Fraud_Rate</f>
        <v>231202.56</v>
      </c>
      <c r="K14" s="33" t="n">
        <f aca="false">('Clients &amp; revenue'!K36+'Clients &amp; revenue'!K37)*Fraud_Rate</f>
        <v>346425.3933</v>
      </c>
      <c r="L14" s="33" t="n">
        <f aca="false">('Clients &amp; revenue'!L36+'Clients &amp; revenue'!L37)*Fraud_Rate</f>
        <v>461497.303329</v>
      </c>
      <c r="M14" s="33" t="n">
        <f aca="false">('Clients &amp; revenue'!M36+'Clients &amp; revenue'!M37)*Fraud_Rate</f>
        <v>576498.390620698</v>
      </c>
      <c r="N14" s="33" t="n">
        <f aca="false">('Clients &amp; revenue'!N36+'Clients &amp; revenue'!N37)*Fraud_Rate</f>
        <v>691512.271830893</v>
      </c>
      <c r="O14" s="33" t="n">
        <f aca="false">('Clients &amp; revenue'!O36+'Clients &amp; revenue'!O37)*Fraud_Rate</f>
        <v>806626.311526017</v>
      </c>
      <c r="P14" s="33" t="n">
        <f aca="false">('Clients &amp; revenue'!P36+'Clients &amp; revenue'!P37)*Fraud_Rate</f>
        <v>921931.867515857</v>
      </c>
      <c r="Q14" s="33" t="n">
        <f aca="false">('Clients &amp; revenue'!Q36+'Clients &amp; revenue'!Q37)*Fraud_Rate</f>
        <v>1078396.55054978</v>
      </c>
      <c r="R14" s="33" t="n">
        <f aca="false">('Clients &amp; revenue'!R36+'Clients &amp; revenue'!R37)*Fraud_Rate</f>
        <v>1234745.4592448</v>
      </c>
      <c r="S14" s="33" t="n">
        <f aca="false">('Clients &amp; revenue'!S36+'Clients &amp; revenue'!S37)*Fraud_Rate</f>
        <v>1391090.66446587</v>
      </c>
      <c r="T14" s="33" t="n">
        <f aca="false">('Clients &amp; revenue'!T36+'Clients &amp; revenue'!T37)*Fraud_Rate</f>
        <v>1547549.25144265</v>
      </c>
      <c r="U14" s="33" t="n">
        <f aca="false">('Clients &amp; revenue'!U36+'Clients &amp; revenue'!U37)*Fraud_Rate</f>
        <v>1704243.64808151</v>
      </c>
      <c r="V14" s="33" t="n">
        <f aca="false">('Clients &amp; revenue'!V36+'Clients &amp; revenue'!V37)*Fraud_Rate</f>
        <v>1861301.97249921</v>
      </c>
      <c r="W14" s="33" t="n">
        <f aca="false">('Clients &amp; revenue'!W36+'Clients &amp; revenue'!W37)*Fraud_Rate</f>
        <v>2107466.40094053</v>
      </c>
      <c r="X14" s="33" t="n">
        <f aca="false">('Clients &amp; revenue'!X36+'Clients &amp; revenue'!X37)*Fraud_Rate</f>
        <v>2354021.39731122</v>
      </c>
      <c r="Y14" s="33" t="n">
        <f aca="false">('Clients &amp; revenue'!Y36+'Clients &amp; revenue'!Y37)*Fraud_Rate</f>
        <v>2619890.04283191</v>
      </c>
      <c r="Z14" s="33" t="n">
        <f aca="false">('Clients &amp; revenue'!Z36+'Clients &amp; revenue'!Z37)*Fraud_Rate</f>
        <v>2886334.62824207</v>
      </c>
      <c r="AA14" s="33" t="n">
        <f aca="false">('Clients &amp; revenue'!AA36+'Clients &amp; revenue'!AA37)*Fraud_Rate</f>
        <v>3153581.32964582</v>
      </c>
      <c r="AB14" s="33" t="n">
        <f aca="false">('Clients &amp; revenue'!AB36+'Clients &amp; revenue'!AB37)*Fraud_Rate</f>
        <v>3421867.15305205</v>
      </c>
      <c r="AC14" s="33" t="n">
        <f aca="false">('Clients &amp; revenue'!AC36+'Clients &amp; revenue'!AC37)*Fraud_Rate</f>
        <v>3773496.62801334</v>
      </c>
      <c r="AD14" s="33" t="n">
        <f aca="false">('Clients &amp; revenue'!AD36+'Clients &amp; revenue'!AD37)*Fraud_Rate</f>
        <v>4125664.62212325</v>
      </c>
      <c r="AE14" s="33" t="n">
        <f aca="false">('Clients &amp; revenue'!AE36+'Clients &amp; revenue'!AE37)*Fraud_Rate</f>
        <v>4497379.23973747</v>
      </c>
      <c r="AF14" s="33" t="n">
        <f aca="false">('Clients &amp; revenue'!AF36+'Clients &amp; revenue'!AF37)*Fraud_Rate</f>
        <v>4869991.81838895</v>
      </c>
      <c r="AG14" s="33" t="n">
        <f aca="false">('Clients &amp; revenue'!AG36+'Clients &amp; revenue'!AG37)*Fraud_Rate</f>
        <v>5243821.86315252</v>
      </c>
      <c r="AH14" s="33" t="n">
        <f aca="false">('Clients &amp; revenue'!AH36+'Clients &amp; revenue'!AH37)*Fraud_Rate</f>
        <v>5619204.26492067</v>
      </c>
      <c r="AI14" s="33" t="n">
        <f aca="false">('Clients &amp; revenue'!AI36+'Clients &amp; revenue'!AI37)*Fraud_Rate</f>
        <v>6015210.28391273</v>
      </c>
      <c r="AJ14" s="33" t="n">
        <f aca="false">('Clients &amp; revenue'!AJ36+'Clients &amp; revenue'!AJ37)*Fraud_Rate</f>
        <v>6413258.19115077</v>
      </c>
      <c r="AK14" s="33" t="n">
        <f aca="false">('Clients &amp; revenue'!AK36+'Clients &amp; revenue'!AK37)*Fraud_Rate</f>
        <v>6813738.42939926</v>
      </c>
      <c r="AL14" s="33" t="n">
        <f aca="false">('Clients &amp; revenue'!AL36+'Clients &amp; revenue'!AL37)*Fraud_Rate</f>
        <v>7217061.07161492</v>
      </c>
      <c r="AM14" s="33" t="n">
        <f aca="false">('Clients &amp; revenue'!AM36+'Clients &amp; revenue'!AM37)*Fraud_Rate</f>
        <v>7642377.05904518</v>
      </c>
      <c r="AN14" s="33" t="n">
        <f aca="false">('Clients &amp; revenue'!AN36+'Clients &amp; revenue'!AN37)*Fraud_Rate</f>
        <v>8071189.11257316</v>
      </c>
      <c r="AO14" s="33" t="n">
        <f aca="false">('Clients &amp; revenue'!AO36+'Clients &amp; revenue'!AO37)*Fraud_Rate</f>
        <v>8561697.17972281</v>
      </c>
      <c r="AP14" s="33" t="n">
        <f aca="false">('Clients &amp; revenue'!AP36+'Clients &amp; revenue'!AP37)*Fraud_Rate</f>
        <v>9074695.79634261</v>
      </c>
      <c r="AQ14" s="33" t="n">
        <f aca="false">('Clients &amp; revenue'!AQ36+'Clients &amp; revenue'!AQ37)*Fraud_Rate</f>
        <v>9591776.09163588</v>
      </c>
      <c r="AR14" s="33" t="n">
        <f aca="false">('Clients &amp; revenue'!AR36+'Clients &amp; revenue'!AR37)*Fraud_Rate</f>
        <v>10113510.8934426</v>
      </c>
      <c r="AS14" s="33" t="n">
        <f aca="false">('Clients &amp; revenue'!AS36+'Clients &amp; revenue'!AS37)*Fraud_Rate</f>
        <v>10659222.7714969</v>
      </c>
      <c r="AT14" s="33" t="n">
        <f aca="false">('Clients &amp; revenue'!AT36+'Clients &amp; revenue'!AT37)*Fraud_Rate</f>
        <v>11210595.4951974</v>
      </c>
      <c r="AU14" s="33" t="n">
        <f aca="false">('Clients &amp; revenue'!AU36+'Clients &amp; revenue'!AU37)*Fraud_Rate</f>
        <v>11768300.0595826</v>
      </c>
      <c r="AV14" s="33" t="n">
        <f aca="false">('Clients &amp; revenue'!AV36+'Clients &amp; revenue'!AV37)*Fraud_Rate</f>
        <v>12368611.0604885</v>
      </c>
      <c r="AW14" s="33" t="n">
        <f aca="false">('Clients &amp; revenue'!AW36+'Clients &amp; revenue'!AW37)*Fraud_Rate</f>
        <v>12970918.5043467</v>
      </c>
      <c r="AX14" s="33" t="n">
        <f aca="false">('Clients &amp; revenue'!AX36+'Clients &amp; revenue'!AX37)*Fraud_Rate</f>
        <v>13588594.6896531</v>
      </c>
      <c r="AY14" s="33" t="n">
        <f aca="false">('Clients &amp; revenue'!AY36+'Clients &amp; revenue'!AY37)*Fraud_Rate</f>
        <v>14202970.5811142</v>
      </c>
      <c r="AZ14" s="33" t="n">
        <f aca="false">('Clients &amp; revenue'!AZ36+'Clients &amp; revenue'!AZ37)*Fraud_Rate</f>
        <v>14814340.9090392</v>
      </c>
      <c r="BA14" s="33" t="n">
        <f aca="false">('Clients &amp; revenue'!BA36+'Clients &amp; revenue'!BA37)*Fraud_Rate</f>
        <v>15499763.172946</v>
      </c>
      <c r="BB14" s="33" t="n">
        <f aca="false">('Clients &amp; revenue'!BB36+'Clients &amp; revenue'!BB37)*Fraud_Rate</f>
        <v>16181857.75668</v>
      </c>
      <c r="BC14" s="33" t="n">
        <f aca="false">('Clients &amp; revenue'!BC36+'Clients &amp; revenue'!BC37)*Fraud_Rate</f>
        <v>16879687.3647724</v>
      </c>
      <c r="BD14" s="33" t="n">
        <f aca="false">('Clients &amp; revenue'!BD36+'Clients &amp; revenue'!BD37)*Fraud_Rate</f>
        <v>17574657.257471</v>
      </c>
      <c r="BE14" s="33" t="n">
        <f aca="false">('Clients &amp; revenue'!BE36+'Clients &amp; revenue'!BE37)*Fraud_Rate</f>
        <v>18283988.2059017</v>
      </c>
      <c r="BF14" s="33" t="n">
        <f aca="false">('Clients &amp; revenue'!BF36+'Clients &amp; revenue'!BF37)*Fraud_Rate</f>
        <v>19009732.3713458</v>
      </c>
      <c r="BG14" s="33" t="n">
        <f aca="false">('Clients &amp; revenue'!BG36+'Clients &amp; revenue'!BG37)*Fraud_Rate</f>
        <v>19733345.5621875</v>
      </c>
      <c r="BH14" s="33" t="n">
        <f aca="false">('Clients &amp; revenue'!BH36+'Clients &amp; revenue'!BH37)*Fraud_Rate</f>
        <v>20473974.0162012</v>
      </c>
      <c r="BI14" s="33" t="n">
        <f aca="false">('Clients &amp; revenue'!BI36+'Clients &amp; revenue'!BI37)*Fraud_Rate</f>
        <v>21229959.4164405</v>
      </c>
      <c r="BJ14" s="33" t="n">
        <f aca="false">('Clients &amp; revenue'!BJ36+'Clients &amp; revenue'!BJ37)*Fraud_Rate</f>
        <v>22003432.7811718</v>
      </c>
      <c r="BK14" s="33" t="n">
        <f aca="false">('Clients &amp; revenue'!BK36+'Clients &amp; revenue'!BK37)*Fraud_Rate</f>
        <v>22771921.7879541</v>
      </c>
      <c r="BL14" s="33" t="n">
        <f aca="false">('Clients &amp; revenue'!BL36+'Clients &amp; revenue'!BL37)*Fraud_Rate</f>
        <v>23550056.9516424</v>
      </c>
    </row>
    <row r="15" customFormat="false" ht="15" hidden="false" customHeight="true" outlineLevel="0" collapsed="false">
      <c r="A15" s="13" t="s">
        <v>315</v>
      </c>
      <c r="B15" s="15" t="s">
        <v>77</v>
      </c>
      <c r="D15" s="56" t="n">
        <f aca="false">SUM(E15:BL15)</f>
        <v>4010550362.61625</v>
      </c>
      <c r="E15" s="33" t="n">
        <f aca="false">'Clients &amp; revenue'!E31*Wallet_Share*(IF(MM_Cost_Cap&gt;0,MIN(MM_Cost_Pct*Avg_Salary,MM_Cost_Cap),MM_Cost_Pct*Avg_Salary)+MM_Cost_Flat)+'Clients &amp; revenue'!E40*Sup_Wallet_Share*(IF(MM_Cost_Cap&gt;0,MIN(MM_Cost_Pct*Sup_Avg_Amount,MM_Cost_Cap),MM_Cost_Pct*Sup_Avg_Amount)+MM_Cost_Flat)</f>
        <v>0</v>
      </c>
      <c r="F15" s="33" t="n">
        <f aca="false">'Clients &amp; revenue'!F31*Wallet_Share*(IF(MM_Cost_Cap&gt;0,MIN(MM_Cost_Pct*Avg_Salary,MM_Cost_Cap),MM_Cost_Pct*Avg_Salary)+MM_Cost_Flat)+'Clients &amp; revenue'!F40*Sup_Wallet_Share*(IF(MM_Cost_Cap&gt;0,MIN(MM_Cost_Pct*Sup_Avg_Amount,MM_Cost_Cap),MM_Cost_Pct*Sup_Avg_Amount)+MM_Cost_Flat)</f>
        <v>0</v>
      </c>
      <c r="G15" s="33" t="n">
        <f aca="false">'Clients &amp; revenue'!G31*Wallet_Share*(IF(MM_Cost_Cap&gt;0,MIN(MM_Cost_Pct*Avg_Salary,MM_Cost_Cap),MM_Cost_Pct*Avg_Salary)+MM_Cost_Flat)+'Clients &amp; revenue'!G40*Sup_Wallet_Share*(IF(MM_Cost_Cap&gt;0,MIN(MM_Cost_Pct*Sup_Avg_Amount,MM_Cost_Cap),MM_Cost_Pct*Sup_Avg_Amount)+MM_Cost_Flat)</f>
        <v>0</v>
      </c>
      <c r="H15" s="33" t="n">
        <f aca="false">'Clients &amp; revenue'!H31*Wallet_Share*(IF(MM_Cost_Cap&gt;0,MIN(MM_Cost_Pct*Avg_Salary,MM_Cost_Cap),MM_Cost_Pct*Avg_Salary)+MM_Cost_Flat)+'Clients &amp; revenue'!H40*Sup_Wallet_Share*(IF(MM_Cost_Cap&gt;0,MIN(MM_Cost_Pct*Sup_Avg_Amount,MM_Cost_Cap),MM_Cost_Pct*Sup_Avg_Amount)+MM_Cost_Flat)</f>
        <v>0</v>
      </c>
      <c r="I15" s="33" t="n">
        <f aca="false">'Clients &amp; revenue'!I31*Wallet_Share*(IF(MM_Cost_Cap&gt;0,MIN(MM_Cost_Pct*Avg_Salary,MM_Cost_Cap),MM_Cost_Pct*Avg_Salary)+MM_Cost_Flat)+'Clients &amp; revenue'!I40*Sup_Wallet_Share*(IF(MM_Cost_Cap&gt;0,MIN(MM_Cost_Pct*Sup_Avg_Amount,MM_Cost_Cap),MM_Cost_Pct*Sup_Avg_Amount)+MM_Cost_Flat)</f>
        <v>968310</v>
      </c>
      <c r="J15" s="33" t="n">
        <f aca="false">'Clients &amp; revenue'!J31*Wallet_Share*(IF(MM_Cost_Cap&gt;0,MIN(MM_Cost_Pct*Avg_Salary,MM_Cost_Cap),MM_Cost_Pct*Avg_Salary)+MM_Cost_Flat)+'Clients &amp; revenue'!J40*Sup_Wallet_Share*(IF(MM_Cost_Cap&gt;0,MIN(MM_Cost_Pct*Sup_Avg_Amount,MM_Cost_Cap),MM_Cost_Pct*Sup_Avg_Amount)+MM_Cost_Flat)</f>
        <v>1935340.475</v>
      </c>
      <c r="K15" s="33" t="n">
        <f aca="false">'Clients &amp; revenue'!K31*Wallet_Share*(IF(MM_Cost_Cap&gt;0,MIN(MM_Cost_Pct*Avg_Salary,MM_Cost_Cap),MM_Cost_Pct*Avg_Salary)+MM_Cost_Flat)+'Clients &amp; revenue'!K40*Sup_Wallet_Share*(IF(MM_Cost_Cap&gt;0,MIN(MM_Cost_Pct*Sup_Avg_Amount,MM_Cost_Cap),MM_Cost_Pct*Sup_Avg_Amount)+MM_Cost_Flat)</f>
        <v>2901687.5433125</v>
      </c>
      <c r="L15" s="33" t="n">
        <f aca="false">'Clients &amp; revenue'!L31*Wallet_Share*(IF(MM_Cost_Cap&gt;0,MIN(MM_Cost_Pct*Avg_Salary,MM_Cost_Cap),MM_Cost_Pct*Avg_Salary)+MM_Cost_Flat)+'Clients &amp; revenue'!L40*Sup_Wallet_Share*(IF(MM_Cost_Cap&gt;0,MIN(MM_Cost_Pct*Sup_Avg_Amount,MM_Cost_Cap),MM_Cost_Pct*Sup_Avg_Amount)+MM_Cost_Flat)</f>
        <v>3867974.27015172</v>
      </c>
      <c r="M15" s="33" t="n">
        <f aca="false">'Clients &amp; revenue'!M31*Wallet_Share*(IF(MM_Cost_Cap&gt;0,MIN(MM_Cost_Pct*Avg_Salary,MM_Cost_Cap),MM_Cost_Pct*Avg_Salary)+MM_Cost_Flat)+'Clients &amp; revenue'!M40*Sup_Wallet_Share*(IF(MM_Cost_Cap&gt;0,MIN(MM_Cost_Pct*Sup_Avg_Amount,MM_Cost_Cap),MM_Cost_Pct*Sup_Avg_Amount)+MM_Cost_Flat)</f>
        <v>4834852.41635022</v>
      </c>
      <c r="N15" s="33" t="n">
        <f aca="false">'Clients &amp; revenue'!N31*Wallet_Share*(IF(MM_Cost_Cap&gt;0,MIN(MM_Cost_Pct*Avg_Salary,MM_Cost_Cap),MM_Cost_Pct*Avg_Salary)+MM_Cost_Flat)+'Clients &amp; revenue'!N40*Sup_Wallet_Share*(IF(MM_Cost_Cap&gt;0,MIN(MM_Cost_Pct*Sup_Avg_Amount,MM_Cost_Cap),MM_Cost_Pct*Sup_Avg_Amount)+MM_Cost_Flat)</f>
        <v>5803004.28981573</v>
      </c>
      <c r="O15" s="33" t="n">
        <f aca="false">'Clients &amp; revenue'!O31*Wallet_Share*(IF(MM_Cost_Cap&gt;0,MIN(MM_Cost_Pct*Avg_Salary,MM_Cost_Cap),MM_Cost_Pct*Avg_Salary)+MM_Cost_Flat)+'Clients &amp; revenue'!O40*Sup_Wallet_Share*(IF(MM_Cost_Cap&gt;0,MIN(MM_Cost_Pct*Sup_Avg_Amount,MM_Cost_Cap),MM_Cost_Pct*Sup_Avg_Amount)+MM_Cost_Flat)</f>
        <v>6773144.7059313</v>
      </c>
      <c r="P15" s="33" t="n">
        <f aca="false">'Clients &amp; revenue'!P31*Wallet_Share*(IF(MM_Cost_Cap&gt;0,MIN(MM_Cost_Pct*Avg_Salary,MM_Cost_Cap),MM_Cost_Pct*Avg_Salary)+MM_Cost_Flat)+'Clients &amp; revenue'!P40*Sup_Wallet_Share*(IF(MM_Cost_Cap&gt;0,MIN(MM_Cost_Pct*Sup_Avg_Amount,MM_Cost_Cap),MM_Cost_Pct*Sup_Avg_Amount)+MM_Cost_Flat)</f>
        <v>7746023.06347341</v>
      </c>
      <c r="Q15" s="33" t="n">
        <f aca="false">'Clients &amp; revenue'!Q31*Wallet_Share*(IF(MM_Cost_Cap&gt;0,MIN(MM_Cost_Pct*Avg_Salary,MM_Cost_Cap),MM_Cost_Pct*Avg_Salary)+MM_Cost_Flat)+'Clients &amp; revenue'!Q40*Sup_Wallet_Share*(IF(MM_Cost_Cap&gt;0,MIN(MM_Cost_Pct*Sup_Avg_Amount,MM_Cost_Cap),MM_Cost_Pct*Sup_Avg_Amount)+MM_Cost_Flat)</f>
        <v>9064335.54301639</v>
      </c>
      <c r="R15" s="33" t="n">
        <f aca="false">'Clients &amp; revenue'!R31*Wallet_Share*(IF(MM_Cost_Cap&gt;0,MIN(MM_Cost_Pct*Avg_Salary,MM_Cost_Cap),MM_Cost_Pct*Avg_Salary)+MM_Cost_Flat)+'Clients &amp; revenue'!R40*Sup_Wallet_Share*(IF(MM_Cost_Cap&gt;0,MIN(MM_Cost_Pct*Sup_Avg_Amount,MM_Cost_Cap),MM_Cost_Pct*Sup_Avg_Amount)+MM_Cost_Flat)</f>
        <v>10383227.9102089</v>
      </c>
      <c r="S15" s="33" t="n">
        <f aca="false">'Clients &amp; revenue'!S31*Wallet_Share*(IF(MM_Cost_Cap&gt;0,MIN(MM_Cost_Pct*Avg_Salary,MM_Cost_Cap),MM_Cost_Pct*Avg_Salary)+MM_Cost_Flat)+'Clients &amp; revenue'!S40*Sup_Wallet_Share*(IF(MM_Cost_Cap&gt;0,MIN(MM_Cost_Pct*Sup_Avg_Amount,MM_Cost_Cap),MM_Cost_Pct*Sup_Avg_Amount)+MM_Cost_Flat)</f>
        <v>11703615.0350634</v>
      </c>
      <c r="T15" s="33" t="n">
        <f aca="false">'Clients &amp; revenue'!T31*Wallet_Share*(IF(MM_Cost_Cap&gt;0,MIN(MM_Cost_Pct*Avg_Salary,MM_Cost_Cap),MM_Cost_Pct*Avg_Salary)+MM_Cost_Flat)+'Clients &amp; revenue'!T40*Sup_Wallet_Share*(IF(MM_Cost_Cap&gt;0,MIN(MM_Cost_Pct*Sup_Avg_Amount,MM_Cost_Cap),MM_Cost_Pct*Sup_Avg_Amount)+MM_Cost_Flat)</f>
        <v>13026455.2756073</v>
      </c>
      <c r="U15" s="33" t="n">
        <f aca="false">'Clients &amp; revenue'!U31*Wallet_Share*(IF(MM_Cost_Cap&gt;0,MIN(MM_Cost_Pct*Avg_Salary,MM_Cost_Cap),MM_Cost_Pct*Avg_Salary)+MM_Cost_Flat)+'Clients &amp; revenue'!U40*Sup_Wallet_Share*(IF(MM_Cost_Cap&gt;0,MIN(MM_Cost_Pct*Sup_Avg_Amount,MM_Cost_Cap),MM_Cost_Pct*Sup_Avg_Amount)+MM_Cost_Flat)</f>
        <v>14352753.2560163</v>
      </c>
      <c r="V15" s="33" t="n">
        <f aca="false">'Clients &amp; revenue'!V31*Wallet_Share*(IF(MM_Cost_Cap&gt;0,MIN(MM_Cost_Pct*Avg_Salary,MM_Cost_Cap),MM_Cost_Pct*Avg_Salary)+MM_Cost_Flat)+'Clients &amp; revenue'!V40*Sup_Wallet_Share*(IF(MM_Cost_Cap&gt;0,MIN(MM_Cost_Pct*Sup_Avg_Amount,MM_Cost_Cap),MM_Cost_Pct*Sup_Avg_Amount)+MM_Cost_Flat)</f>
        <v>15683562.8086621</v>
      </c>
      <c r="W15" s="33" t="n">
        <f aca="false">'Clients &amp; revenue'!W31*Wallet_Share*(IF(MM_Cost_Cap&gt;0,MIN(MM_Cost_Pct*Avg_Salary,MM_Cost_Cap),MM_Cost_Pct*Avg_Salary)+MM_Cost_Flat)+'Clients &amp; revenue'!W40*Sup_Wallet_Share*(IF(MM_Cost_Cap&gt;0,MIN(MM_Cost_Pct*Sup_Avg_Amount,MM_Cost_Cap),MM_Cost_Pct*Sup_Avg_Amount)+MM_Cost_Flat)</f>
        <v>17761230.0899591</v>
      </c>
      <c r="X15" s="33" t="n">
        <f aca="false">'Clients &amp; revenue'!X31*Wallet_Share*(IF(MM_Cost_Cap&gt;0,MIN(MM_Cost_Pct*Avg_Salary,MM_Cost_Cap),MM_Cost_Pct*Avg_Salary)+MM_Cost_Flat)+'Clients &amp; revenue'!X40*Sup_Wallet_Share*(IF(MM_Cost_Cap&gt;0,MIN(MM_Cost_Pct*Sup_Avg_Amount,MM_Cost_Cap),MM_Cost_Pct*Sup_Avg_Amount)+MM_Cost_Flat)</f>
        <v>19844551.7804846</v>
      </c>
      <c r="Y15" s="33" t="n">
        <f aca="false">'Clients &amp; revenue'!Y31*Wallet_Share*(IF(MM_Cost_Cap&gt;0,MIN(MM_Cost_Pct*Avg_Salary,MM_Cost_Cap),MM_Cost_Pct*Avg_Salary)+MM_Cost_Flat)+'Clients &amp; revenue'!Y40*Sup_Wallet_Share*(IF(MM_Cost_Cap&gt;0,MIN(MM_Cost_Pct*Sup_Avg_Amount,MM_Cost_Cap),MM_Cost_Pct*Sup_Avg_Amount)+MM_Cost_Flat)</f>
        <v>22091797.9762273</v>
      </c>
      <c r="Z15" s="33" t="n">
        <f aca="false">'Clients &amp; revenue'!Z31*Wallet_Share*(IF(MM_Cost_Cap&gt;0,MIN(MM_Cost_Pct*Avg_Salary,MM_Cost_Cap),MM_Cost_Pct*Avg_Salary)+MM_Cost_Flat)+'Clients &amp; revenue'!Z40*Sup_Wallet_Share*(IF(MM_Cost_Cap&gt;0,MIN(MM_Cost_Pct*Sup_Avg_Amount,MM_Cost_Cap),MM_Cost_Pct*Sup_Avg_Amount)+MM_Cost_Flat)</f>
        <v>24346395.2749342</v>
      </c>
      <c r="AA15" s="33" t="n">
        <f aca="false">'Clients &amp; revenue'!AA31*Wallet_Share*(IF(MM_Cost_Cap&gt;0,MIN(MM_Cost_Pct*Avg_Salary,MM_Cost_Cap),MM_Cost_Pct*Avg_Salary)+MM_Cost_Flat)+'Clients &amp; revenue'!AA40*Sup_Wallet_Share*(IF(MM_Cost_Cap&gt;0,MIN(MM_Cost_Pct*Sup_Avg_Amount,MM_Cost_Cap),MM_Cost_Pct*Sup_Avg_Amount)+MM_Cost_Flat)</f>
        <v>26610206.9966624</v>
      </c>
      <c r="AB15" s="33" t="n">
        <f aca="false">'Clients &amp; revenue'!AB31*Wallet_Share*(IF(MM_Cost_Cap&gt;0,MIN(MM_Cost_Pct*Avg_Salary,MM_Cost_Cap),MM_Cost_Pct*Avg_Salary)+MM_Cost_Flat)+'Clients &amp; revenue'!AB40*Sup_Wallet_Share*(IF(MM_Cost_Cap&gt;0,MIN(MM_Cost_Pct*Sup_Avg_Amount,MM_Cost_Cap),MM_Cost_Pct*Sup_Avg_Amount)+MM_Cost_Flat)</f>
        <v>28885189.9211073</v>
      </c>
      <c r="AC15" s="33" t="n">
        <f aca="false">'Clients &amp; revenue'!AC31*Wallet_Share*(IF(MM_Cost_Cap&gt;0,MIN(MM_Cost_Pct*Avg_Salary,MM_Cost_Cap),MM_Cost_Pct*Avg_Salary)+MM_Cost_Flat)+'Clients &amp; revenue'!AC40*Sup_Wallet_Share*(IF(MM_Cost_Cap&gt;0,MIN(MM_Cost_Pct*Sup_Avg_Amount,MM_Cost_Cap),MM_Cost_Pct*Sup_Avg_Amount)+MM_Cost_Flat)</f>
        <v>31859830.1655564</v>
      </c>
      <c r="AD15" s="33" t="n">
        <f aca="false">'Clients &amp; revenue'!AD31*Wallet_Share*(IF(MM_Cost_Cap&gt;0,MIN(MM_Cost_Pct*Avg_Salary,MM_Cost_Cap),MM_Cost_Pct*Avg_Salary)+MM_Cost_Flat)+'Clients &amp; revenue'!AD40*Sup_Wallet_Share*(IF(MM_Cost_Cap&gt;0,MIN(MM_Cost_Pct*Sup_Avg_Amount,MM_Cost_Cap),MM_Cost_Pct*Sup_Avg_Amount)+MM_Cost_Flat)</f>
        <v>34842291.5860958</v>
      </c>
      <c r="AE15" s="33" t="n">
        <f aca="false">'Clients &amp; revenue'!AE31*Wallet_Share*(IF(MM_Cost_Cap&gt;0,MIN(MM_Cost_Pct*Avg_Salary,MM_Cost_Cap),MM_Cost_Pct*Avg_Salary)+MM_Cost_Flat)+'Clients &amp; revenue'!AE40*Sup_Wallet_Share*(IF(MM_Cost_Cap&gt;0,MIN(MM_Cost_Pct*Sup_Avg_Amount,MM_Cost_Cap),MM_Cost_Pct*Sup_Avg_Amount)+MM_Cost_Flat)</f>
        <v>37991544.3961012</v>
      </c>
      <c r="AF15" s="33" t="n">
        <f aca="false">'Clients &amp; revenue'!AF31*Wallet_Share*(IF(MM_Cost_Cap&gt;0,MIN(MM_Cost_Pct*Avg_Salary,MM_Cost_Cap),MM_Cost_Pct*Avg_Salary)+MM_Cost_Flat)+'Clients &amp; revenue'!AF40*Sup_Wallet_Share*(IF(MM_Cost_Cap&gt;0,MIN(MM_Cost_Pct*Sup_Avg_Amount,MM_Cost_Cap),MM_Cost_Pct*Sup_Avg_Amount)+MM_Cost_Flat)</f>
        <v>41151750.0496936</v>
      </c>
      <c r="AG15" s="33" t="n">
        <f aca="false">'Clients &amp; revenue'!AG31*Wallet_Share*(IF(MM_Cost_Cap&gt;0,MIN(MM_Cost_Pct*Avg_Salary,MM_Cost_Cap),MM_Cost_Pct*Avg_Salary)+MM_Cost_Flat)+'Clients &amp; revenue'!AG40*Sup_Wallet_Share*(IF(MM_Cost_Cap&gt;0,MIN(MM_Cost_Pct*Sup_Avg_Amount,MM_Cost_Cap),MM_Cost_Pct*Sup_Avg_Amount)+MM_Cost_Flat)</f>
        <v>44325543.6527078</v>
      </c>
      <c r="AH15" s="33" t="n">
        <f aca="false">'Clients &amp; revenue'!AH31*Wallet_Share*(IF(MM_Cost_Cap&gt;0,MIN(MM_Cost_Pct*Avg_Salary,MM_Cost_Cap),MM_Cost_Pct*Avg_Salary)+MM_Cost_Flat)+'Clients &amp; revenue'!AH40*Sup_Wallet_Share*(IF(MM_Cost_Cap&gt;0,MIN(MM_Cost_Pct*Sup_Avg_Amount,MM_Cost_Cap),MM_Cost_Pct*Sup_Avg_Amount)+MM_Cost_Flat)</f>
        <v>47515693.0201367</v>
      </c>
      <c r="AI15" s="33" t="n">
        <f aca="false">'Clients &amp; revenue'!AI31*Wallet_Share*(IF(MM_Cost_Cap&gt;0,MIN(MM_Cost_Pct*Avg_Salary,MM_Cost_Cap),MM_Cost_Pct*Avg_Salary)+MM_Cost_Flat)+'Clients &amp; revenue'!AI40*Sup_Wallet_Share*(IF(MM_Cost_Cap&gt;0,MIN(MM_Cost_Pct*Sup_Avg_Amount,MM_Cost_Cap),MM_Cost_Pct*Sup_Avg_Amount)+MM_Cost_Flat)</f>
        <v>50881707.0117171</v>
      </c>
      <c r="AJ15" s="33" t="n">
        <f aca="false">'Clients &amp; revenue'!AJ31*Wallet_Share*(IF(MM_Cost_Cap&gt;0,MIN(MM_Cost_Pct*Avg_Salary,MM_Cost_Cap),MM_Cost_Pct*Avg_Salary)+MM_Cost_Flat)+'Clients &amp; revenue'!AJ40*Sup_Wallet_Share*(IF(MM_Cost_Cap&gt;0,MIN(MM_Cost_Pct*Sup_Avg_Amount,MM_Cost_Cap),MM_Cost_Pct*Sup_Avg_Amount)+MM_Cost_Flat)</f>
        <v>54268317.8615612</v>
      </c>
      <c r="AK15" s="33" t="n">
        <f aca="false">'Clients &amp; revenue'!AK31*Wallet_Share*(IF(MM_Cost_Cap&gt;0,MIN(MM_Cost_Pct*Avg_Salary,MM_Cost_Cap),MM_Cost_Pct*Avg_Salary)+MM_Cost_Flat)+'Clients &amp; revenue'!AK40*Sup_Wallet_Share*(IF(MM_Cost_Cap&gt;0,MIN(MM_Cost_Pct*Sup_Avg_Amount,MM_Cost_Cap),MM_Cost_Pct*Sup_Avg_Amount)+MM_Cost_Flat)</f>
        <v>57678765.5178315</v>
      </c>
      <c r="AL15" s="33" t="n">
        <f aca="false">'Clients &amp; revenue'!AL31*Wallet_Share*(IF(MM_Cost_Cap&gt;0,MIN(MM_Cost_Pct*Avg_Salary,MM_Cost_Cap),MM_Cost_Pct*Avg_Salary)+MM_Cost_Flat)+'Clients &amp; revenue'!AL40*Sup_Wallet_Share*(IF(MM_Cost_Cap&gt;0,MIN(MM_Cost_Pct*Sup_Avg_Amount,MM_Cost_Cap),MM_Cost_Pct*Sup_Avg_Amount)+MM_Cost_Flat)</f>
        <v>61116458.7446286</v>
      </c>
      <c r="AM15" s="33" t="n">
        <f aca="false">'Clients &amp; revenue'!AM31*Wallet_Share*(IF(MM_Cost_Cap&gt;0,MIN(MM_Cost_Pct*Avg_Salary,MM_Cost_Cap),MM_Cost_Pct*Avg_Salary)+MM_Cost_Flat)+'Clients &amp; revenue'!AM40*Sup_Wallet_Share*(IF(MM_Cost_Cap&gt;0,MIN(MM_Cost_Pct*Sup_Avg_Amount,MM_Cost_Cap),MM_Cost_Pct*Sup_Avg_Amount)+MM_Cost_Flat)</f>
        <v>64741585.6247006</v>
      </c>
      <c r="AN15" s="33" t="n">
        <f aca="false">'Clients &amp; revenue'!AN31*Wallet_Share*(IF(MM_Cost_Cap&gt;0,MIN(MM_Cost_Pct*Avg_Salary,MM_Cost_Cap),MM_Cost_Pct*Avg_Salary)+MM_Cost_Flat)+'Clients &amp; revenue'!AN40*Sup_Wallet_Share*(IF(MM_Cost_Cap&gt;0,MIN(MM_Cost_Pct*Sup_Avg_Amount,MM_Cost_Cap),MM_Cost_Pct*Sup_Avg_Amount)+MM_Cost_Flat)</f>
        <v>68399598.1862376</v>
      </c>
      <c r="AO15" s="33" t="n">
        <f aca="false">'Clients &amp; revenue'!AO31*Wallet_Share*(IF(MM_Cost_Cap&gt;0,MIN(MM_Cost_Pct*Avg_Salary,MM_Cost_Cap),MM_Cost_Pct*Avg_Salary)+MM_Cost_Flat)+'Clients &amp; revenue'!AO40*Sup_Wallet_Share*(IF(MM_Cost_Cap&gt;0,MIN(MM_Cost_Pct*Sup_Avg_Amount,MM_Cost_Cap),MM_Cost_Pct*Sup_Avg_Amount)+MM_Cost_Flat)</f>
        <v>72577349.1775531</v>
      </c>
      <c r="AP15" s="33" t="n">
        <f aca="false">'Clients &amp; revenue'!AP31*Wallet_Share*(IF(MM_Cost_Cap&gt;0,MIN(MM_Cost_Pct*Avg_Salary,MM_Cost_Cap),MM_Cost_Pct*Avg_Salary)+MM_Cost_Flat)+'Clients &amp; revenue'!AP40*Sup_Wallet_Share*(IF(MM_Cost_Cap&gt;0,MIN(MM_Cost_Pct*Sup_Avg_Amount,MM_Cost_Cap),MM_Cost_Pct*Sup_Avg_Amount)+MM_Cost_Flat)</f>
        <v>76947482.3750897</v>
      </c>
      <c r="AQ15" s="33" t="n">
        <f aca="false">'Clients &amp; revenue'!AQ31*Wallet_Share*(IF(MM_Cost_Cap&gt;0,MIN(MM_Cost_Pct*Avg_Salary,MM_Cost_Cap),MM_Cost_Pct*Avg_Salary)+MM_Cost_Flat)+'Clients &amp; revenue'!AQ40*Sup_Wallet_Share*(IF(MM_Cost_Cap&gt;0,MIN(MM_Cost_Pct*Sup_Avg_Amount,MM_Cost_Cap),MM_Cost_Pct*Sup_Avg_Amount)+MM_Cost_Flat)</f>
        <v>81356183.8630628</v>
      </c>
      <c r="AR15" s="33" t="n">
        <f aca="false">'Clients &amp; revenue'!AR31*Wallet_Share*(IF(MM_Cost_Cap&gt;0,MIN(MM_Cost_Pct*Avg_Salary,MM_Cost_Cap),MM_Cost_Pct*Avg_Salary)+MM_Cost_Flat)+'Clients &amp; revenue'!AR40*Sup_Wallet_Share*(IF(MM_Cost_Cap&gt;0,MIN(MM_Cost_Pct*Sup_Avg_Amount,MM_Cost_Cap),MM_Cost_Pct*Sup_Avg_Amount)+MM_Cost_Flat)</f>
        <v>85808228.8921697</v>
      </c>
      <c r="AS15" s="33" t="n">
        <f aca="false">'Clients &amp; revenue'!AS31*Wallet_Share*(IF(MM_Cost_Cap&gt;0,MIN(MM_Cost_Pct*Avg_Salary,MM_Cost_Cap),MM_Cost_Pct*Avg_Salary)+MM_Cost_Flat)+'Clients &amp; revenue'!AS40*Sup_Wallet_Share*(IF(MM_Cost_Cap&gt;0,MIN(MM_Cost_Pct*Sup_Avg_Amount,MM_Cost_Cap),MM_Cost_Pct*Sup_Avg_Amount)+MM_Cost_Flat)</f>
        <v>90465247.9513961</v>
      </c>
      <c r="AT15" s="33" t="n">
        <f aca="false">'Clients &amp; revenue'!AT31*Wallet_Share*(IF(MM_Cost_Cap&gt;0,MIN(MM_Cost_Pct*Avg_Salary,MM_Cost_Cap),MM_Cost_Pct*Avg_Salary)+MM_Cost_Flat)+'Clients &amp; revenue'!AT40*Sup_Wallet_Share*(IF(MM_Cost_Cap&gt;0,MIN(MM_Cost_Pct*Sup_Avg_Amount,MM_Cost_Cap),MM_Cost_Pct*Sup_Avg_Amount)+MM_Cost_Flat)</f>
        <v>95174216.0375131</v>
      </c>
      <c r="AU15" s="33" t="n">
        <f aca="false">'Clients &amp; revenue'!AU31*Wallet_Share*(IF(MM_Cost_Cap&gt;0,MIN(MM_Cost_Pct*Avg_Salary,MM_Cost_Cap),MM_Cost_Pct*Avg_Salary)+MM_Cost_Flat)+'Clients &amp; revenue'!AU40*Sup_Wallet_Share*(IF(MM_Cost_Cap&gt;0,MIN(MM_Cost_Pct*Sup_Avg_Amount,MM_Cost_Cap),MM_Cost_Pct*Sup_Avg_Amount)+MM_Cost_Flat)</f>
        <v>99940744.3496147</v>
      </c>
      <c r="AV15" s="33" t="n">
        <f aca="false">'Clients &amp; revenue'!AV31*Wallet_Share*(IF(MM_Cost_Cap&gt;0,MIN(MM_Cost_Pct*Avg_Salary,MM_Cost_Cap),MM_Cost_Pct*Avg_Salary)+MM_Cost_Flat)+'Clients &amp; revenue'!AV40*Sup_Wallet_Share*(IF(MM_Cost_Cap&gt;0,MIN(MM_Cost_Pct*Sup_Avg_Amount,MM_Cost_Cap),MM_Cost_Pct*Sup_Avg_Amount)+MM_Cost_Flat)</f>
        <v>105068289.185787</v>
      </c>
      <c r="AW15" s="33" t="n">
        <f aca="false">'Clients &amp; revenue'!AW31*Wallet_Share*(IF(MM_Cost_Cap&gt;0,MIN(MM_Cost_Pct*Avg_Salary,MM_Cost_Cap),MM_Cost_Pct*Avg_Salary)+MM_Cost_Flat)+'Clients &amp; revenue'!AW40*Sup_Wallet_Share*(IF(MM_Cost_Cap&gt;0,MIN(MM_Cost_Pct*Sup_Avg_Amount,MM_Cost_Cap),MM_Cost_Pct*Sup_Avg_Amount)+MM_Cost_Flat)</f>
        <v>110217526.927981</v>
      </c>
      <c r="AX15" s="33" t="n">
        <f aca="false">'Clients &amp; revenue'!AX31*Wallet_Share*(IF(MM_Cost_Cap&gt;0,MIN(MM_Cost_Pct*Avg_Salary,MM_Cost_Cap),MM_Cost_Pct*Avg_Salary)+MM_Cost_Flat)+'Clients &amp; revenue'!AX40*Sup_Wallet_Share*(IF(MM_Cost_Cap&gt;0,MIN(MM_Cost_Pct*Sup_Avg_Amount,MM_Cost_Cap),MM_Cost_Pct*Sup_Avg_Amount)+MM_Cost_Flat)</f>
        <v>115500275.371288</v>
      </c>
      <c r="AY15" s="33" t="n">
        <f aca="false">'Clients &amp; revenue'!AY31*Wallet_Share*(IF(MM_Cost_Cap&gt;0,MIN(MM_Cost_Pct*Avg_Salary,MM_Cost_Cap),MM_Cost_Pct*Avg_Salary)+MM_Cost_Flat)+'Clients &amp; revenue'!AY40*Sup_Wallet_Share*(IF(MM_Cost_Cap&gt;0,MIN(MM_Cost_Pct*Sup_Avg_Amount,MM_Cost_Cap),MM_Cost_Pct*Sup_Avg_Amount)+MM_Cost_Flat)</f>
        <v>120760458.438694</v>
      </c>
      <c r="AZ15" s="33" t="n">
        <f aca="false">'Clients &amp; revenue'!AZ31*Wallet_Share*(IF(MM_Cost_Cap&gt;0,MIN(MM_Cost_Pct*Avg_Salary,MM_Cost_Cap),MM_Cost_Pct*Avg_Salary)+MM_Cost_Flat)+'Clients &amp; revenue'!AZ40*Sup_Wallet_Share*(IF(MM_Cost_Cap&gt;0,MIN(MM_Cost_Pct*Sup_Avg_Amount,MM_Cost_Cap),MM_Cost_Pct*Sup_Avg_Amount)+MM_Cost_Flat)</f>
        <v>126000437.610208</v>
      </c>
      <c r="BA15" s="33" t="n">
        <f aca="false">'Clients &amp; revenue'!BA31*Wallet_Share*(IF(MM_Cost_Cap&gt;0,MIN(MM_Cost_Pct*Avg_Salary,MM_Cost_Cap),MM_Cost_Pct*Avg_Salary)+MM_Cost_Flat)+'Clients &amp; revenue'!BA40*Sup_Wallet_Share*(IF(MM_Cost_Cap&gt;0,MIN(MM_Cost_Pct*Sup_Avg_Amount,MM_Cost_Cap),MM_Cost_Pct*Sup_Avg_Amount)+MM_Cost_Flat)</f>
        <v>131864729.125838</v>
      </c>
      <c r="BB15" s="33" t="n">
        <f aca="false">'Clients &amp; revenue'!BB31*Wallet_Share*(IF(MM_Cost_Cap&gt;0,MIN(MM_Cost_Pct*Avg_Salary,MM_Cost_Cap),MM_Cost_Pct*Avg_Salary)+MM_Cost_Flat)+'Clients &amp; revenue'!BB40*Sup_Wallet_Share*(IF(MM_Cost_Cap&gt;0,MIN(MM_Cost_Pct*Sup_Avg_Amount,MM_Cost_Cap),MM_Cost_Pct*Sup_Avg_Amount)+MM_Cost_Flat)</f>
        <v>137706751.700487</v>
      </c>
      <c r="BC15" s="33" t="n">
        <f aca="false">'Clients &amp; revenue'!BC31*Wallet_Share*(IF(MM_Cost_Cap&gt;0,MIN(MM_Cost_Pct*Avg_Salary,MM_Cost_Cap),MM_Cost_Pct*Avg_Salary)+MM_Cost_Flat)+'Clients &amp; revenue'!BC40*Sup_Wallet_Share*(IF(MM_Cost_Cap&gt;0,MIN(MM_Cost_Pct*Sup_Avg_Amount,MM_Cost_Cap),MM_Cost_Pct*Sup_Avg_Amount)+MM_Cost_Flat)</f>
        <v>143685860.70339</v>
      </c>
      <c r="BD15" s="33" t="n">
        <f aca="false">'Clients &amp; revenue'!BD31*Wallet_Share*(IF(MM_Cost_Cap&gt;0,MIN(MM_Cost_Pct*Avg_Salary,MM_Cost_Cap),MM_Cost_Pct*Avg_Salary)+MM_Cost_Flat)+'Clients &amp; revenue'!BD40*Sup_Wallet_Share*(IF(MM_Cost_Cap&gt;0,MIN(MM_Cost_Pct*Sup_Avg_Amount,MM_Cost_Cap),MM_Cost_Pct*Sup_Avg_Amount)+MM_Cost_Flat)</f>
        <v>149646598.679162</v>
      </c>
      <c r="BE15" s="33" t="n">
        <f aca="false">'Clients &amp; revenue'!BE31*Wallet_Share*(IF(MM_Cost_Cap&gt;0,MIN(MM_Cost_Pct*Avg_Salary,MM_Cost_Cap),MM_Cost_Pct*Avg_Salary)+MM_Cost_Flat)+'Clients &amp; revenue'!BE40*Sup_Wallet_Share*(IF(MM_Cost_Cap&gt;0,MIN(MM_Cost_Pct*Sup_Avg_Amount,MM_Cost_Cap),MM_Cost_Pct*Sup_Avg_Amount)+MM_Cost_Flat)</f>
        <v>155732917.901742</v>
      </c>
      <c r="BF15" s="33" t="n">
        <f aca="false">'Clients &amp; revenue'!BF31*Wallet_Share*(IF(MM_Cost_Cap&gt;0,MIN(MM_Cost_Pct*Avg_Salary,MM_Cost_Cap),MM_Cost_Pct*Avg_Salary)+MM_Cost_Flat)+'Clients &amp; revenue'!BF40*Sup_Wallet_Share*(IF(MM_Cost_Cap&gt;0,MIN(MM_Cost_Pct*Sup_Avg_Amount,MM_Cost_Cap),MM_Cost_Pct*Sup_Avg_Amount)+MM_Cost_Flat)</f>
        <v>161962065.727238</v>
      </c>
      <c r="BG15" s="33" t="n">
        <f aca="false">'Clients &amp; revenue'!BG31*Wallet_Share*(IF(MM_Cost_Cap&gt;0,MIN(MM_Cost_Pct*Avg_Salary,MM_Cost_Cap),MM_Cost_Pct*Avg_Salary)+MM_Cost_Flat)+'Clients &amp; revenue'!BG40*Sup_Wallet_Share*(IF(MM_Cost_Cap&gt;0,MIN(MM_Cost_Pct*Sup_Avg_Amount,MM_Cost_Cap),MM_Cost_Pct*Sup_Avg_Amount)+MM_Cost_Flat)</f>
        <v>168179014.06519</v>
      </c>
      <c r="BH15" s="33" t="n">
        <f aca="false">'Clients &amp; revenue'!BH31*Wallet_Share*(IF(MM_Cost_Cap&gt;0,MIN(MM_Cost_Pct*Avg_Salary,MM_Cost_Cap),MM_Cost_Pct*Avg_Salary)+MM_Cost_Flat)+'Clients &amp; revenue'!BH40*Sup_Wallet_Share*(IF(MM_Cost_Cap&gt;0,MIN(MM_Cost_Pct*Sup_Avg_Amount,MM_Cost_Cap),MM_Cost_Pct*Sup_Avg_Amount)+MM_Cost_Flat)</f>
        <v>174543829.419261</v>
      </c>
      <c r="BI15" s="33" t="n">
        <f aca="false">'Clients &amp; revenue'!BI31*Wallet_Share*(IF(MM_Cost_Cap&gt;0,MIN(MM_Cost_Pct*Avg_Salary,MM_Cost_Cap),MM_Cost_Pct*Avg_Salary)+MM_Cost_Flat)+'Clients &amp; revenue'!BI40*Sup_Wallet_Share*(IF(MM_Cost_Cap&gt;0,MIN(MM_Cost_Pct*Sup_Avg_Amount,MM_Cost_Cap),MM_Cost_Pct*Sup_Avg_Amount)+MM_Cost_Flat)</f>
        <v>181042747.09268</v>
      </c>
      <c r="BJ15" s="33" t="n">
        <f aca="false">'Clients &amp; revenue'!BJ31*Wallet_Share*(IF(MM_Cost_Cap&gt;0,MIN(MM_Cost_Pct*Avg_Salary,MM_Cost_Cap),MM_Cost_Pct*Avg_Salary)+MM_Cost_Flat)+'Clients &amp; revenue'!BJ40*Sup_Wallet_Share*(IF(MM_Cost_Cap&gt;0,MIN(MM_Cost_Pct*Sup_Avg_Amount,MM_Cost_Cap),MM_Cost_Pct*Sup_Avg_Amount)+MM_Cost_Flat)</f>
        <v>187693682.400742</v>
      </c>
      <c r="BK15" s="33" t="n">
        <f aca="false">'Clients &amp; revenue'!BK31*Wallet_Share*(IF(MM_Cost_Cap&gt;0,MIN(MM_Cost_Pct*Avg_Salary,MM_Cost_Cap),MM_Cost_Pct*Avg_Salary)+MM_Cost_Flat)+'Clients &amp; revenue'!BK40*Sup_Wallet_Share*(IF(MM_Cost_Cap&gt;0,MIN(MM_Cost_Pct*Sup_Avg_Amount,MM_Cost_Cap),MM_Cost_Pct*Sup_Avg_Amount)+MM_Cost_Flat)</f>
        <v>194308755.948506</v>
      </c>
      <c r="BL15" s="33" t="n">
        <f aca="false">'Clients &amp; revenue'!BL31*Wallet_Share*(IF(MM_Cost_Cap&gt;0,MIN(MM_Cost_Pct*Avg_Salary,MM_Cost_Cap),MM_Cost_Pct*Avg_Salary)+MM_Cost_Flat)+'Clients &amp; revenue'!BL40*Sup_Wallet_Share*(IF(MM_Cost_Cap&gt;0,MIN(MM_Cost_Pct*Sup_Avg_Amount,MM_Cost_Cap),MM_Cost_Pct*Sup_Avg_Amount)+MM_Cost_Flat)</f>
        <v>201010225.222709</v>
      </c>
    </row>
    <row r="16" customFormat="false" ht="15" hidden="false" customHeight="true" outlineLevel="0" collapsed="false">
      <c r="A16" s="13" t="s">
        <v>1011</v>
      </c>
      <c r="B16" s="15" t="s">
        <v>77</v>
      </c>
      <c r="D16" s="56" t="n">
        <f aca="false">SUM(E16:BL16)</f>
        <v>161721295.108207</v>
      </c>
      <c r="E16" s="33" t="n">
        <f aca="false">'Clients &amp; revenue'!E31*(1-Wallet_Share)*Bank_Payout_Cost</f>
        <v>0</v>
      </c>
      <c r="F16" s="33" t="n">
        <f aca="false">'Clients &amp; revenue'!F31*(1-Wallet_Share)*Bank_Payout_Cost</f>
        <v>0</v>
      </c>
      <c r="G16" s="33" t="n">
        <f aca="false">'Clients &amp; revenue'!G31*(1-Wallet_Share)*Bank_Payout_Cost</f>
        <v>0</v>
      </c>
      <c r="H16" s="33" t="n">
        <f aca="false">'Clients &amp; revenue'!H31*(1-Wallet_Share)*Bank_Payout_Cost</f>
        <v>0</v>
      </c>
      <c r="I16" s="33" t="n">
        <f aca="false">'Clients &amp; revenue'!I31*(1-Wallet_Share)*Bank_Payout_Cost</f>
        <v>38955</v>
      </c>
      <c r="J16" s="33" t="n">
        <f aca="false">'Clients &amp; revenue'!J31*(1-Wallet_Share)*Bank_Payout_Cost</f>
        <v>77865.9875</v>
      </c>
      <c r="K16" s="33" t="n">
        <f aca="false">'Clients &amp; revenue'!K31*(1-Wallet_Share)*Bank_Payout_Cost</f>
        <v>116756.82265625</v>
      </c>
      <c r="L16" s="33" t="n">
        <f aca="false">'Clients &amp; revenue'!L31*(1-Wallet_Share)*Bank_Payout_Cost</f>
        <v>155652.456234297</v>
      </c>
      <c r="M16" s="33" t="n">
        <f aca="false">'Clients &amp; revenue'!M31*(1-Wallet_Share)*Bank_Payout_Cost</f>
        <v>194579.000065684</v>
      </c>
      <c r="N16" s="33" t="n">
        <f aca="false">'Clients &amp; revenue'!N31*(1-Wallet_Share)*Bank_Payout_Cost</f>
        <v>233563.801649926</v>
      </c>
      <c r="O16" s="33" t="n">
        <f aca="false">'Clients &amp; revenue'!O31*(1-Wallet_Share)*Bank_Payout_Cost</f>
        <v>272635.523151922</v>
      </c>
      <c r="P16" s="33" t="n">
        <f aca="false">'Clients &amp; revenue'!P31*(1-Wallet_Share)*Bank_Payout_Cost</f>
        <v>311824.225059955</v>
      </c>
      <c r="Q16" s="33" t="n">
        <f aca="false">'Clients &amp; revenue'!Q31*(1-Wallet_Share)*Bank_Payout_Cost</f>
        <v>364916.454785296</v>
      </c>
      <c r="R16" s="33" t="n">
        <f aca="false">'Clients &amp; revenue'!R31*(1-Wallet_Share)*Bank_Payout_Cost</f>
        <v>418041.328001292</v>
      </c>
      <c r="S16" s="33" t="n">
        <f aca="false">'Clients &amp; revenue'!S31*(1-Wallet_Share)*Bank_Payout_Cost</f>
        <v>471235.515693882</v>
      </c>
      <c r="T16" s="33" t="n">
        <f aca="false">'Clients &amp; revenue'!T31*(1-Wallet_Share)*Bank_Payout_Cost</f>
        <v>524537.447567477</v>
      </c>
      <c r="U16" s="33" t="n">
        <f aca="false">'Clients &amp; revenue'!U31*(1-Wallet_Share)*Bank_Payout_Cost</f>
        <v>577987.424002132</v>
      </c>
      <c r="V16" s="33" t="n">
        <f aca="false">'Clients &amp; revenue'!V31*(1-Wallet_Share)*Bank_Payout_Cost</f>
        <v>631627.734623705</v>
      </c>
      <c r="W16" s="33" t="n">
        <f aca="false">'Clients &amp; revenue'!W31*(1-Wallet_Share)*Bank_Payout_Cost</f>
        <v>715322.78388562</v>
      </c>
      <c r="X16" s="33" t="n">
        <f aca="false">'Clients &amp; revenue'!X31*(1-Wallet_Share)*Bank_Payout_Cost</f>
        <v>799259.674084725</v>
      </c>
      <c r="Y16" s="33" t="n">
        <f aca="false">'Clients &amp; revenue'!Y31*(1-Wallet_Share)*Bank_Payout_Cost</f>
        <v>889805.423134038</v>
      </c>
      <c r="Z16" s="33" t="n">
        <f aca="false">'Clients &amp; revenue'!Z31*(1-Wallet_Share)*Bank_Payout_Cost</f>
        <v>980662.153726118</v>
      </c>
      <c r="AA16" s="33" t="n">
        <f aca="false">'Clients &amp; revenue'!AA31*(1-Wallet_Share)*Bank_Payout_Cost</f>
        <v>1071904.65743332</v>
      </c>
      <c r="AB16" s="33" t="n">
        <f aca="false">'Clients &amp; revenue'!AB31*(1-Wallet_Share)*Bank_Payout_Cost</f>
        <v>1163611.50282051</v>
      </c>
      <c r="AC16" s="33" t="n">
        <f aca="false">'Clients &amp; revenue'!AC31*(1-Wallet_Share)*Bank_Payout_Cost</f>
        <v>1283480.27237248</v>
      </c>
      <c r="AD16" s="33" t="n">
        <f aca="false">'Clients &amp; revenue'!AD31*(1-Wallet_Share)*Bank_Payout_Cost</f>
        <v>1403683.65097029</v>
      </c>
      <c r="AE16" s="33" t="n">
        <f aca="false">'Clients &amp; revenue'!AE31*(1-Wallet_Share)*Bank_Payout_Cost</f>
        <v>1530616.75629353</v>
      </c>
      <c r="AF16" s="33" t="n">
        <f aca="false">'Clients &amp; revenue'!AF31*(1-Wallet_Share)*Bank_Payout_Cost</f>
        <v>1658011.2148035</v>
      </c>
      <c r="AG16" s="33" t="n">
        <f aca="false">'Clients &amp; revenue'!AG31*(1-Wallet_Share)*Bank_Payout_Cost</f>
        <v>1785972.81413262</v>
      </c>
      <c r="AH16" s="33" t="n">
        <f aca="false">'Clients &amp; revenue'!AH31*(1-Wallet_Share)*Bank_Payout_Cost</f>
        <v>1914612.70471854</v>
      </c>
      <c r="AI16" s="33" t="n">
        <f aca="false">'Clients &amp; revenue'!AI31*(1-Wallet_Share)*Bank_Payout_Cost</f>
        <v>2050347.73580045</v>
      </c>
      <c r="AJ16" s="33" t="n">
        <f aca="false">'Clients &amp; revenue'!AJ31*(1-Wallet_Share)*Bank_Payout_Cost</f>
        <v>2186932.56134569</v>
      </c>
      <c r="AK16" s="33" t="n">
        <f aca="false">'Clients &amp; revenue'!AK31*(1-Wallet_Share)*Bank_Payout_Cost</f>
        <v>2324497.37023141</v>
      </c>
      <c r="AL16" s="33" t="n">
        <f aca="false">'Clients &amp; revenue'!AL31*(1-Wallet_Share)*Bank_Payout_Cost</f>
        <v>2463179.17033905</v>
      </c>
      <c r="AM16" s="33" t="n">
        <f aca="false">'Clients &amp; revenue'!AM31*(1-Wallet_Share)*Bank_Payout_Cost</f>
        <v>2609422.21195894</v>
      </c>
      <c r="AN16" s="33" t="n">
        <f aca="false">'Clients &amp; revenue'!AN31*(1-Wallet_Share)*Bank_Payout_Cost</f>
        <v>2757010.18637011</v>
      </c>
      <c r="AO16" s="33" t="n">
        <f aca="false">'Clients &amp; revenue'!AO31*(1-Wallet_Share)*Bank_Payout_Cost</f>
        <v>2925529.05423469</v>
      </c>
      <c r="AP16" s="33" t="n">
        <f aca="false">'Clients &amp; revenue'!AP31*(1-Wallet_Share)*Bank_Payout_Cost</f>
        <v>3101812.99629826</v>
      </c>
      <c r="AQ16" s="33" t="n">
        <f aca="false">'Clients &amp; revenue'!AQ31*(1-Wallet_Share)*Bank_Payout_Cost</f>
        <v>3279675.20261575</v>
      </c>
      <c r="AR16" s="33" t="n">
        <f aca="false">'Clients &amp; revenue'!AR31*(1-Wallet_Share)*Bank_Payout_Cost</f>
        <v>3459307.68552435</v>
      </c>
      <c r="AS16" s="33" t="n">
        <f aca="false">'Clients &amp; revenue'!AS31*(1-Wallet_Share)*Bank_Payout_Cost</f>
        <v>3647212.76414689</v>
      </c>
      <c r="AT16" s="33" t="n">
        <f aca="false">'Clients &amp; revenue'!AT31*(1-Wallet_Share)*Bank_Payout_Cost</f>
        <v>3837235.45017984</v>
      </c>
      <c r="AU16" s="33" t="n">
        <f aca="false">'Clients &amp; revenue'!AU31*(1-Wallet_Share)*Bank_Payout_Cost</f>
        <v>4029601.47467531</v>
      </c>
      <c r="AV16" s="33" t="n">
        <f aca="false">'Clients &amp; revenue'!AV31*(1-Wallet_Share)*Bank_Payout_Cost</f>
        <v>4236518.88647986</v>
      </c>
      <c r="AW16" s="33" t="n">
        <f aca="false">'Clients &amp; revenue'!AW31*(1-Wallet_Share)*Bank_Payout_Cost</f>
        <v>4444339.11078925</v>
      </c>
      <c r="AX16" s="33" t="n">
        <f aca="false">'Clients &amp; revenue'!AX31*(1-Wallet_Share)*Bank_Payout_Cost</f>
        <v>4657560.28963949</v>
      </c>
      <c r="AY16" s="33" t="n">
        <f aca="false">'Clients &amp; revenue'!AY31*(1-Wallet_Share)*Bank_Payout_Cost</f>
        <v>4869904.09164327</v>
      </c>
      <c r="AZ16" s="33" t="n">
        <f aca="false">'Clients &amp; revenue'!AZ31*(1-Wallet_Share)*Bank_Payout_Cost</f>
        <v>5081464.89877349</v>
      </c>
      <c r="BA16" s="33" t="n">
        <f aca="false">'Clients &amp; revenue'!BA31*(1-Wallet_Share)*Bank_Payout_Cost</f>
        <v>5318170.93304251</v>
      </c>
      <c r="BB16" s="33" t="n">
        <f aca="false">'Clients &amp; revenue'!BB31*(1-Wallet_Share)*Bank_Payout_Cost</f>
        <v>5554014.68785872</v>
      </c>
      <c r="BC16" s="33" t="n">
        <f aca="false">'Clients &amp; revenue'!BC31*(1-Wallet_Share)*Bank_Payout_Cost</f>
        <v>5795406.3471633</v>
      </c>
      <c r="BD16" s="33" t="n">
        <f aca="false">'Clients &amp; revenue'!BD31*(1-Wallet_Share)*Bank_Payout_Cost</f>
        <v>6036092.44963454</v>
      </c>
      <c r="BE16" s="33" t="n">
        <f aca="false">'Clients &amp; revenue'!BE31*(1-Wallet_Share)*Bank_Payout_Cost</f>
        <v>6281863.5466469</v>
      </c>
      <c r="BF16" s="33" t="n">
        <f aca="false">'Clients &amp; revenue'!BF31*(1-Wallet_Share)*Bank_Payout_Cost</f>
        <v>6533413.98457607</v>
      </c>
      <c r="BG16" s="33" t="n">
        <f aca="false">'Clients &amp; revenue'!BG31*(1-Wallet_Share)*Bank_Payout_Cost</f>
        <v>6784507.61438989</v>
      </c>
      <c r="BH16" s="33" t="n">
        <f aca="false">'Clients &amp; revenue'!BH31*(1-Wallet_Share)*Bank_Payout_Cost</f>
        <v>7041583.30277629</v>
      </c>
      <c r="BI16" s="33" t="n">
        <f aca="false">'Clients &amp; revenue'!BI31*(1-Wallet_Share)*Bank_Payout_Cost</f>
        <v>7304087.95004952</v>
      </c>
      <c r="BJ16" s="33" t="n">
        <f aca="false">'Clients &amp; revenue'!BJ31*(1-Wallet_Share)*Bank_Payout_Cost</f>
        <v>7572742.82428536</v>
      </c>
      <c r="BK16" s="33" t="n">
        <f aca="false">'Clients &amp; revenue'!BK31*(1-Wallet_Share)*Bank_Payout_Cost</f>
        <v>7839990.22642721</v>
      </c>
      <c r="BL16" s="33" t="n">
        <f aca="false">'Clients &amp; revenue'!BL31*(1-Wallet_Share)*Bank_Payout_Cost</f>
        <v>8110747.77094351</v>
      </c>
    </row>
    <row r="17" customFormat="false" ht="15" hidden="false" customHeight="true" outlineLevel="0" collapsed="false">
      <c r="A17" s="13" t="s">
        <v>1285</v>
      </c>
      <c r="B17" s="15" t="s">
        <v>77</v>
      </c>
      <c r="D17" s="56" t="n">
        <f aca="false">SUM(E17:BL17)</f>
        <v>604292929.22116</v>
      </c>
      <c r="E17" s="33" t="n">
        <f aca="false">'Clients &amp; revenue'!E40*(1-Sup_Wallet_Share)*Supplier_Payout_Cost</f>
        <v>0</v>
      </c>
      <c r="F17" s="33" t="n">
        <f aca="false">'Clients &amp; revenue'!F40*(1-Sup_Wallet_Share)*Supplier_Payout_Cost</f>
        <v>0</v>
      </c>
      <c r="G17" s="33" t="n">
        <f aca="false">'Clients &amp; revenue'!G40*(1-Sup_Wallet_Share)*Supplier_Payout_Cost</f>
        <v>0</v>
      </c>
      <c r="H17" s="33" t="n">
        <f aca="false">'Clients &amp; revenue'!H40*(1-Sup_Wallet_Share)*Supplier_Payout_Cost</f>
        <v>0</v>
      </c>
      <c r="I17" s="33" t="n">
        <f aca="false">'Clients &amp; revenue'!I40*(1-Sup_Wallet_Share)*Supplier_Payout_Cost</f>
        <v>146916</v>
      </c>
      <c r="J17" s="33" t="n">
        <f aca="false">'Clients &amp; revenue'!J40*(1-Sup_Wallet_Share)*Supplier_Payout_Cost</f>
        <v>293554.71</v>
      </c>
      <c r="K17" s="33" t="n">
        <f aca="false">'Clients &amp; revenue'!K40*(1-Sup_Wallet_Share)*Supplier_Payout_Cost</f>
        <v>440007.930675</v>
      </c>
      <c r="L17" s="33" t="n">
        <f aca="false">'Clients &amp; revenue'!L40*(1-Sup_Wallet_Share)*Supplier_Payout_Cost</f>
        <v>586371.478337438</v>
      </c>
      <c r="M17" s="33" t="n">
        <f aca="false">'Clients &amp; revenue'!M40*(1-Sup_Wallet_Share)*Supplier_Payout_Cost</f>
        <v>732745.449078226</v>
      </c>
      <c r="N17" s="33" t="n">
        <f aca="false">'Clients &amp; revenue'!N40*(1-Sup_Wallet_Share)*Supplier_Payout_Cost</f>
        <v>879234.498361694</v>
      </c>
      <c r="O17" s="33" t="n">
        <f aca="false">'Clients &amp; revenue'!O40*(1-Sup_Wallet_Share)*Supplier_Payout_Cost</f>
        <v>1025948.13700879</v>
      </c>
      <c r="P17" s="33" t="n">
        <f aca="false">'Clients &amp; revenue'!P40*(1-Sup_Wallet_Share)*Supplier_Payout_Cost</f>
        <v>1173001.04455884</v>
      </c>
      <c r="Q17" s="33" t="n">
        <f aca="false">'Clients &amp; revenue'!Q40*(1-Sup_Wallet_Share)*Supplier_Payout_Cost</f>
        <v>1372389.40105939</v>
      </c>
      <c r="R17" s="33" t="n">
        <f aca="false">'Clients &amp; revenue'!R40*(1-Sup_Wallet_Share)*Supplier_Payout_Cost</f>
        <v>1571761.94839667</v>
      </c>
      <c r="S17" s="33" t="n">
        <f aca="false">'Clients &amp; revenue'!S40*(1-Sup_Wallet_Share)*Supplier_Payout_Cost</f>
        <v>1771258.98902052</v>
      </c>
      <c r="T17" s="33" t="n">
        <f aca="false">'Clients &amp; revenue'!T40*(1-Sup_Wallet_Share)*Supplier_Payout_Cost</f>
        <v>1971027.32104107</v>
      </c>
      <c r="U17" s="33" t="n">
        <f aca="false">'Clients &amp; revenue'!U40*(1-Sup_Wallet_Share)*Supplier_Payout_Cost</f>
        <v>2171220.657586</v>
      </c>
      <c r="V17" s="33" t="n">
        <f aca="false">'Clients &amp; revenue'!V40*(1-Sup_Wallet_Share)*Supplier_Payout_Cost</f>
        <v>2372000.07081884</v>
      </c>
      <c r="W17" s="33" t="n">
        <f aca="false">'Clients &amp; revenue'!W40*(1-Sup_Wallet_Share)*Supplier_Payout_Cost</f>
        <v>2685998.46210712</v>
      </c>
      <c r="X17" s="33" t="n">
        <f aca="false">'Clients &amp; revenue'!X40*(1-Sup_Wallet_Share)*Supplier_Payout_Cost</f>
        <v>3000694.69991809</v>
      </c>
      <c r="Y17" s="33" t="n">
        <f aca="false">'Clients &amp; revenue'!Y40*(1-Sup_Wallet_Share)*Supplier_Payout_Cost</f>
        <v>3340104.07081427</v>
      </c>
      <c r="Z17" s="33" t="n">
        <f aca="false">'Clients &amp; revenue'!Z40*(1-Sup_Wallet_Share)*Supplier_Payout_Cost</f>
        <v>3680458.88058375</v>
      </c>
      <c r="AA17" s="33" t="n">
        <f aca="false">'Clients &amp; revenue'!AA40*(1-Sup_Wallet_Share)*Supplier_Payout_Cost</f>
        <v>4022043.72945477</v>
      </c>
      <c r="AB17" s="33" t="n">
        <f aca="false">'Clients &amp; revenue'!AB40*(1-Sup_Wallet_Share)*Supplier_Payout_Cost</f>
        <v>4365157.20695014</v>
      </c>
      <c r="AC17" s="33" t="n">
        <f aca="false">'Clients &amp; revenue'!AC40*(1-Sup_Wallet_Share)*Supplier_Payout_Cost</f>
        <v>4814260.77861189</v>
      </c>
      <c r="AD17" s="33" t="n">
        <f aca="false">'Clients &amp; revenue'!AD40*(1-Sup_Wallet_Share)*Supplier_Payout_Cost</f>
        <v>5264328.55513134</v>
      </c>
      <c r="AE17" s="33" t="n">
        <f aca="false">'Clients &amp; revenue'!AE40*(1-Sup_Wallet_Share)*Supplier_Payout_Cost</f>
        <v>5739482.7818186</v>
      </c>
      <c r="AF17" s="33" t="n">
        <f aca="false">'Clients &amp; revenue'!AF40*(1-Sup_Wallet_Share)*Supplier_Payout_Cost</f>
        <v>6216067.92200576</v>
      </c>
      <c r="AG17" s="33" t="n">
        <f aca="false">'Clients &amp; revenue'!AG40*(1-Sup_Wallet_Share)*Supplier_Payout_Cost</f>
        <v>6694486.26271835</v>
      </c>
      <c r="AH17" s="33" t="n">
        <f aca="false">'Clients &amp; revenue'!AH40*(1-Sup_Wallet_Share)*Supplier_Payout_Cost</f>
        <v>7175159.959504</v>
      </c>
      <c r="AI17" s="33" t="n">
        <f aca="false">'Clients &amp; revenue'!AI40*(1-Sup_Wallet_Share)*Supplier_Payout_Cost</f>
        <v>7682292.29382526</v>
      </c>
      <c r="AJ17" s="33" t="n">
        <f aca="false">'Clients &amp; revenue'!AJ40*(1-Sup_Wallet_Share)*Supplier_Payout_Cost</f>
        <v>8192313.60479903</v>
      </c>
      <c r="AK17" s="33" t="n">
        <f aca="false">'Clients &amp; revenue'!AK40*(1-Sup_Wallet_Share)*Supplier_Payout_Cost</f>
        <v>8705717.18526315</v>
      </c>
      <c r="AL17" s="33" t="n">
        <f aca="false">'Clients &amp; revenue'!AL40*(1-Sup_Wallet_Share)*Supplier_Payout_Cost</f>
        <v>9223021.63442773</v>
      </c>
      <c r="AM17" s="33" t="n">
        <f aca="false">'Clients &amp; revenue'!AM40*(1-Sup_Wallet_Share)*Supplier_Payout_Cost</f>
        <v>9768532.44156357</v>
      </c>
      <c r="AN17" s="33" t="n">
        <f aca="false">'Clients &amp; revenue'!AN40*(1-Sup_Wallet_Share)*Supplier_Payout_Cost</f>
        <v>10318788.2636185</v>
      </c>
      <c r="AO17" s="33" t="n">
        <f aca="false">'Clients &amp; revenue'!AO40*(1-Sup_Wallet_Share)*Supplier_Payout_Cost</f>
        <v>10947657.1879167</v>
      </c>
      <c r="AP17" s="33" t="n">
        <f aca="false">'Clients &amp; revenue'!AP40*(1-Sup_Wallet_Share)*Supplier_Payout_Cost</f>
        <v>11605430.3234446</v>
      </c>
      <c r="AQ17" s="33" t="n">
        <f aca="false">'Clients &amp; revenue'!AQ40*(1-Sup_Wallet_Share)*Supplier_Payout_Cost</f>
        <v>12268758.0601193</v>
      </c>
      <c r="AR17" s="33" t="n">
        <f aca="false">'Clients &amp; revenue'!AR40*(1-Sup_Wallet_Share)*Supplier_Payout_Cost</f>
        <v>12938365.9823162</v>
      </c>
      <c r="AS17" s="33" t="n">
        <f aca="false">'Clients &amp; revenue'!AS40*(1-Sup_Wallet_Share)*Supplier_Payout_Cost</f>
        <v>13638777.9703438</v>
      </c>
      <c r="AT17" s="33" t="n">
        <f aca="false">'Clients &amp; revenue'!AT40*(1-Sup_Wallet_Share)*Supplier_Payout_Cost</f>
        <v>14346763.1776468</v>
      </c>
      <c r="AU17" s="33" t="n">
        <f aca="false">'Clients &amp; revenue'!AU40*(1-Sup_Wallet_Share)*Supplier_Payout_Cost</f>
        <v>15063173.0348154</v>
      </c>
      <c r="AV17" s="33" t="n">
        <f aca="false">'Clients &amp; revenue'!AV40*(1-Sup_Wallet_Share)*Supplier_Payout_Cost</f>
        <v>15834048.7764109</v>
      </c>
      <c r="AW17" s="33" t="n">
        <f aca="false">'Clients &amp; revenue'!AW40*(1-Sup_Wallet_Share)*Supplier_Payout_Cost</f>
        <v>16607880.3508514</v>
      </c>
      <c r="AX17" s="33" t="n">
        <f aca="false">'Clients &amp; revenue'!AX40*(1-Sup_Wallet_Share)*Supplier_Payout_Cost</f>
        <v>17401636.2810756</v>
      </c>
      <c r="AY17" s="33" t="n">
        <f aca="false">'Clients &amp; revenue'!AY40*(1-Sup_Wallet_Share)*Supplier_Payout_Cost</f>
        <v>18191629.4706199</v>
      </c>
      <c r="AZ17" s="33" t="n">
        <f aca="false">'Clients &amp; revenue'!AZ40*(1-Sup_Wallet_Share)*Supplier_Payout_Cost</f>
        <v>18978225.1226486</v>
      </c>
      <c r="BA17" s="33" t="n">
        <f aca="false">'Clients &amp; revenue'!BA40*(1-Sup_Wallet_Share)*Supplier_Payout_Cost</f>
        <v>19859218.507315</v>
      </c>
      <c r="BB17" s="33" t="n">
        <f aca="false">'Clients &amp; revenue'!BB40*(1-Sup_Wallet_Share)*Supplier_Payout_Cost</f>
        <v>20736458.7841521</v>
      </c>
      <c r="BC17" s="33" t="n">
        <f aca="false">'Clients &amp; revenue'!BC40*(1-Sup_Wallet_Share)*Supplier_Payout_Cost</f>
        <v>21634131.4107859</v>
      </c>
      <c r="BD17" s="33" t="n">
        <f aca="false">'Clients &amp; revenue'!BD40*(1-Sup_Wallet_Share)*Supplier_Payout_Cost</f>
        <v>22528643.3401407</v>
      </c>
      <c r="BE17" s="33" t="n">
        <f aca="false">'Clients &amp; revenue'!BE40*(1-Sup_Wallet_Share)*Supplier_Payout_Cost</f>
        <v>23441842.649837</v>
      </c>
      <c r="BF17" s="33" t="n">
        <f aca="false">'Clients &amp; revenue'!BF40*(1-Sup_Wallet_Share)*Supplier_Payout_Cost</f>
        <v>24376340.7510667</v>
      </c>
      <c r="BG17" s="33" t="n">
        <f aca="false">'Clients &amp; revenue'!BG40*(1-Sup_Wallet_Share)*Supplier_Payout_Cost</f>
        <v>25308609.3073409</v>
      </c>
      <c r="BH17" s="33" t="n">
        <f aca="false">'Clients &amp; revenue'!BH40*(1-Sup_Wallet_Share)*Supplier_Payout_Cost</f>
        <v>26262940.8491925</v>
      </c>
      <c r="BI17" s="33" t="n">
        <f aca="false">'Clients &amp; revenue'!BI40*(1-Sup_Wallet_Share)*Supplier_Payout_Cost</f>
        <v>27237239.6693417</v>
      </c>
      <c r="BJ17" s="33" t="n">
        <f aca="false">'Clients &amp; revenue'!BJ40*(1-Sup_Wallet_Share)*Supplier_Payout_Cost</f>
        <v>28234217.9698371</v>
      </c>
      <c r="BK17" s="33" t="n">
        <f aca="false">'Clients &amp; revenue'!BK40*(1-Sup_Wallet_Share)*Supplier_Payout_Cost</f>
        <v>29225362.4746287</v>
      </c>
      <c r="BL17" s="33" t="n">
        <f aca="false">'Clients &amp; revenue'!BL40*(1-Sup_Wallet_Share)*Supplier_Payout_Cost</f>
        <v>30229231.4002548</v>
      </c>
    </row>
    <row r="18" customFormat="false" ht="15" hidden="false" customHeight="true" outlineLevel="0" collapsed="false">
      <c r="A18" s="13" t="s">
        <v>1017</v>
      </c>
      <c r="B18" s="15" t="s">
        <v>77</v>
      </c>
      <c r="D18" s="56" t="n">
        <f aca="false">SUM(E18:BL18)</f>
        <v>797330142.579157</v>
      </c>
      <c r="E18" s="33" t="n">
        <f aca="false">'Clients &amp; revenue'!E50*PL_Momo_Share*PL_Cost</f>
        <v>0</v>
      </c>
      <c r="F18" s="33" t="n">
        <f aca="false">'Clients &amp; revenue'!F50*PL_Momo_Share*PL_Cost</f>
        <v>0</v>
      </c>
      <c r="G18" s="33" t="n">
        <f aca="false">'Clients &amp; revenue'!G50*PL_Momo_Share*PL_Cost</f>
        <v>0</v>
      </c>
      <c r="H18" s="33" t="n">
        <f aca="false">'Clients &amp; revenue'!H50*PL_Momo_Share*PL_Cost</f>
        <v>0</v>
      </c>
      <c r="I18" s="33" t="n">
        <f aca="false">'Clients &amp; revenue'!I50*PL_Momo_Share*PL_Cost</f>
        <v>0</v>
      </c>
      <c r="J18" s="33" t="n">
        <f aca="false">'Clients &amp; revenue'!J50*PL_Momo_Share*PL_Cost</f>
        <v>0</v>
      </c>
      <c r="K18" s="33" t="n">
        <f aca="false">'Clients &amp; revenue'!K50*PL_Momo_Share*PL_Cost</f>
        <v>0</v>
      </c>
      <c r="L18" s="33" t="n">
        <f aca="false">'Clients &amp; revenue'!L50*PL_Momo_Share*PL_Cost</f>
        <v>0</v>
      </c>
      <c r="M18" s="33" t="n">
        <f aca="false">'Clients &amp; revenue'!M50*PL_Momo_Share*PL_Cost</f>
        <v>0</v>
      </c>
      <c r="N18" s="33" t="n">
        <f aca="false">'Clients &amp; revenue'!N50*PL_Momo_Share*PL_Cost</f>
        <v>0</v>
      </c>
      <c r="O18" s="33" t="n">
        <f aca="false">'Clients &amp; revenue'!O50*PL_Momo_Share*PL_Cost</f>
        <v>0</v>
      </c>
      <c r="P18" s="33" t="n">
        <f aca="false">'Clients &amp; revenue'!P50*PL_Momo_Share*PL_Cost</f>
        <v>0</v>
      </c>
      <c r="Q18" s="33" t="n">
        <f aca="false">'Clients &amp; revenue'!Q50*PL_Momo_Share*PL_Cost</f>
        <v>0</v>
      </c>
      <c r="R18" s="33" t="n">
        <f aca="false">'Clients &amp; revenue'!R50*PL_Momo_Share*PL_Cost</f>
        <v>0</v>
      </c>
      <c r="S18" s="33" t="n">
        <f aca="false">'Clients &amp; revenue'!S50*PL_Momo_Share*PL_Cost</f>
        <v>0</v>
      </c>
      <c r="T18" s="33" t="n">
        <f aca="false">'Clients &amp; revenue'!T50*PL_Momo_Share*PL_Cost</f>
        <v>0</v>
      </c>
      <c r="U18" s="33" t="n">
        <f aca="false">'Clients &amp; revenue'!U50*PL_Momo_Share*PL_Cost</f>
        <v>0</v>
      </c>
      <c r="V18" s="33" t="n">
        <f aca="false">'Clients &amp; revenue'!V50*PL_Momo_Share*PL_Cost</f>
        <v>276697.031265258</v>
      </c>
      <c r="W18" s="33" t="n">
        <f aca="false">'Clients &amp; revenue'!W50*PL_Momo_Share*PL_Cost</f>
        <v>626620.028320476</v>
      </c>
      <c r="X18" s="33" t="n">
        <f aca="false">'Clients &amp; revenue'!X50*PL_Momo_Share*PL_Cost</f>
        <v>1049981.79310067</v>
      </c>
      <c r="Y18" s="33" t="n">
        <f aca="false">'Clients &amp; revenue'!Y50*PL_Momo_Share*PL_Cost</f>
        <v>1558221.62253333</v>
      </c>
      <c r="Z18" s="33" t="n">
        <f aca="false">'Clients &amp; revenue'!Z50*PL_Momo_Share*PL_Cost</f>
        <v>2146080.46618781</v>
      </c>
      <c r="AA18" s="33" t="n">
        <f aca="false">'Clients &amp; revenue'!AA50*PL_Momo_Share*PL_Cost</f>
        <v>2814056.25799174</v>
      </c>
      <c r="AB18" s="33" t="n">
        <f aca="false">'Clients &amp; revenue'!AB50*PL_Momo_Share*PL_Cost</f>
        <v>3562791.81752879</v>
      </c>
      <c r="AC18" s="33" t="n">
        <f aca="false">'Clients &amp; revenue'!AC50*PL_Momo_Share*PL_Cost</f>
        <v>4490452.23197947</v>
      </c>
      <c r="AD18" s="33" t="n">
        <f aca="false">'Clients &amp; revenue'!AD50*PL_Momo_Share*PL_Cost</f>
        <v>5523666.43721037</v>
      </c>
      <c r="AE18" s="33" t="n">
        <f aca="false">'Clients &amp; revenue'!AE50*PL_Momo_Share*PL_Cost</f>
        <v>6690919.89640868</v>
      </c>
      <c r="AF18" s="33" t="n">
        <f aca="false">'Clients &amp; revenue'!AF50*PL_Momo_Share*PL_Cost</f>
        <v>7970546.73538596</v>
      </c>
      <c r="AG18" s="33" t="n">
        <f aca="false">'Clients &amp; revenue'!AG50*PL_Momo_Share*PL_Cost</f>
        <v>9363568.72426842</v>
      </c>
      <c r="AH18" s="33" t="n">
        <f aca="false">'Clients &amp; revenue'!AH50*PL_Momo_Share*PL_Cost</f>
        <v>10034978.1095905</v>
      </c>
      <c r="AI18" s="33" t="n">
        <f aca="false">'Clients &amp; revenue'!AI50*PL_Momo_Share*PL_Cost</f>
        <v>10743313.1986905</v>
      </c>
      <c r="AJ18" s="33" t="n">
        <f aca="false">'Clients &amp; revenue'!AJ50*PL_Momo_Share*PL_Cost</f>
        <v>11455511.5113977</v>
      </c>
      <c r="AK18" s="33" t="n">
        <f aca="false">'Clients &amp; revenue'!AK50*PL_Momo_Share*PL_Cost</f>
        <v>12172266.1532926</v>
      </c>
      <c r="AL18" s="33" t="n">
        <f aca="false">'Clients &amp; revenue'!AL50*PL_Momo_Share*PL_Cost</f>
        <v>12894305.4750915</v>
      </c>
      <c r="AM18" s="33" t="n">
        <f aca="false">'Clients &amp; revenue'!AM50*PL_Momo_Share*PL_Cost</f>
        <v>13655715.285673</v>
      </c>
      <c r="AN18" s="33" t="n">
        <f aca="false">'Clients &amp; revenue'!AN50*PL_Momo_Share*PL_Cost</f>
        <v>14423584.2962209</v>
      </c>
      <c r="AO18" s="33" t="n">
        <f aca="false">'Clients &amp; revenue'!AO50*PL_Momo_Share*PL_Cost</f>
        <v>15301502.5142947</v>
      </c>
      <c r="AP18" s="33" t="n">
        <f aca="false">'Clients &amp; revenue'!AP50*PL_Momo_Share*PL_Cost</f>
        <v>16219727.6708401</v>
      </c>
      <c r="AQ18" s="33" t="n">
        <f aca="false">'Clients &amp; revenue'!AQ50*PL_Momo_Share*PL_Cost</f>
        <v>17145505.4448428</v>
      </c>
      <c r="AR18" s="33" t="n">
        <f aca="false">'Clients &amp; revenue'!AR50*PL_Momo_Share*PL_Cost</f>
        <v>18079854.173474</v>
      </c>
      <c r="AS18" s="33" t="n">
        <f aca="false">'Clients &amp; revenue'!AS50*PL_Momo_Share*PL_Cost</f>
        <v>19057165.5574122</v>
      </c>
      <c r="AT18" s="33" t="n">
        <f aca="false">'Clients &amp; revenue'!AT50*PL_Momo_Share*PL_Cost</f>
        <v>20044851.0822043</v>
      </c>
      <c r="AU18" s="33" t="n">
        <f aca="false">'Clients &amp; revenue'!AU50*PL_Momo_Share*PL_Cost</f>
        <v>21044104.7811364</v>
      </c>
      <c r="AV18" s="33" t="n">
        <f aca="false">'Clients &amp; revenue'!AV50*PL_Momo_Share*PL_Cost</f>
        <v>22119492.534461</v>
      </c>
      <c r="AW18" s="33" t="n">
        <f aca="false">'Clients &amp; revenue'!AW50*PL_Momo_Share*PL_Cost</f>
        <v>23198757.7886268</v>
      </c>
      <c r="AX18" s="33" t="n">
        <f aca="false">'Clients &amp; revenue'!AX50*PL_Momo_Share*PL_Cost</f>
        <v>24305698.8654214</v>
      </c>
      <c r="AY18" s="33" t="n">
        <f aca="false">'Clients &amp; revenue'!AY50*PL_Momo_Share*PL_Cost</f>
        <v>25407092.7256964</v>
      </c>
      <c r="AZ18" s="33" t="n">
        <f aca="false">'Clients &amp; revenue'!AZ50*PL_Momo_Share*PL_Cost</f>
        <v>26503456.9685509</v>
      </c>
      <c r="BA18" s="33" t="n">
        <f aca="false">'Clients &amp; revenue'!BA50*PL_Momo_Share*PL_Cost</f>
        <v>27731940.6748998</v>
      </c>
      <c r="BB18" s="33" t="n">
        <f aca="false">'Clients &amp; revenue'!BB50*PL_Momo_Share*PL_Cost</f>
        <v>28954862.4643787</v>
      </c>
      <c r="BC18" s="33" t="n">
        <f aca="false">'Clients &amp; revenue'!BC50*PL_Momo_Share*PL_Cost</f>
        <v>30206144.821489</v>
      </c>
      <c r="BD18" s="33" t="n">
        <f aca="false">'Clients &amp; revenue'!BD50*PL_Momo_Share*PL_Cost</f>
        <v>31452696.7458997</v>
      </c>
      <c r="BE18" s="33" t="n">
        <f aca="false">'Clients &amp; revenue'!BE50*PL_Momo_Share*PL_Cost</f>
        <v>32725162.5973483</v>
      </c>
      <c r="BF18" s="33" t="n">
        <f aca="false">'Clients &amp; revenue'!BF50*PL_Momo_Share*PL_Cost</f>
        <v>34027200.1505071</v>
      </c>
      <c r="BG18" s="33" t="n">
        <f aca="false">'Clients &amp; revenue'!BG50*PL_Momo_Share*PL_Cost</f>
        <v>35325808.8079927</v>
      </c>
      <c r="BH18" s="33" t="n">
        <f aca="false">'Clients &amp; revenue'!BH50*PL_Momo_Share*PL_Cost</f>
        <v>36655060.5564257</v>
      </c>
      <c r="BI18" s="33" t="n">
        <f aca="false">'Clients &amp; revenue'!BI50*PL_Momo_Share*PL_Cost</f>
        <v>38012010.6472902</v>
      </c>
      <c r="BJ18" s="33" t="n">
        <f aca="false">'Clients &amp; revenue'!BJ50*PL_Momo_Share*PL_Cost</f>
        <v>39400457.7592818</v>
      </c>
      <c r="BK18" s="33" t="n">
        <f aca="false">'Clients &amp; revenue'!BK50*PL_Momo_Share*PL_Cost</f>
        <v>40780410.1508165</v>
      </c>
      <c r="BL18" s="33" t="n">
        <f aca="false">'Clients &amp; revenue'!BL50*PL_Momo_Share*PL_Cost</f>
        <v>42177900.0237286</v>
      </c>
    </row>
    <row r="19" customFormat="false" ht="15" hidden="false" customHeight="true" outlineLevel="0" collapsed="false">
      <c r="A19" s="13" t="s">
        <v>1286</v>
      </c>
      <c r="B19" s="15" t="s">
        <v>77</v>
      </c>
      <c r="D19" s="56" t="n">
        <f aca="false">SUM(E19:BL19)</f>
        <v>1522179444.91065</v>
      </c>
      <c r="E19" s="33" t="n">
        <f aca="false">'Clients &amp; revenue'!E48*Intl_Cost</f>
        <v>0</v>
      </c>
      <c r="F19" s="33" t="n">
        <f aca="false">'Clients &amp; revenue'!F48*Intl_Cost</f>
        <v>0</v>
      </c>
      <c r="G19" s="33" t="n">
        <f aca="false">'Clients &amp; revenue'!G48*Intl_Cost</f>
        <v>0</v>
      </c>
      <c r="H19" s="33" t="n">
        <f aca="false">'Clients &amp; revenue'!H48*Intl_Cost</f>
        <v>0</v>
      </c>
      <c r="I19" s="33" t="n">
        <f aca="false">'Clients &amp; revenue'!I48*Intl_Cost</f>
        <v>0</v>
      </c>
      <c r="J19" s="33" t="n">
        <f aca="false">'Clients &amp; revenue'!J48*Intl_Cost</f>
        <v>0</v>
      </c>
      <c r="K19" s="33" t="n">
        <f aca="false">'Clients &amp; revenue'!K48*Intl_Cost</f>
        <v>0</v>
      </c>
      <c r="L19" s="33" t="n">
        <f aca="false">'Clients &amp; revenue'!L48*Intl_Cost</f>
        <v>0</v>
      </c>
      <c r="M19" s="33" t="n">
        <f aca="false">'Clients &amp; revenue'!M48*Intl_Cost</f>
        <v>0</v>
      </c>
      <c r="N19" s="33" t="n">
        <f aca="false">'Clients &amp; revenue'!N48*Intl_Cost</f>
        <v>0</v>
      </c>
      <c r="O19" s="33" t="n">
        <f aca="false">'Clients &amp; revenue'!O48*Intl_Cost</f>
        <v>0</v>
      </c>
      <c r="P19" s="33" t="n">
        <f aca="false">'Clients &amp; revenue'!P48*Intl_Cost</f>
        <v>0</v>
      </c>
      <c r="Q19" s="33" t="n">
        <f aca="false">'Clients &amp; revenue'!Q48*Intl_Cost</f>
        <v>298484.232496145</v>
      </c>
      <c r="R19" s="33" t="n">
        <f aca="false">'Clients &amp; revenue'!R48*Intl_Cost</f>
        <v>683488.502146641</v>
      </c>
      <c r="S19" s="33" t="n">
        <f aca="false">'Clients &amp; revenue'!S48*Intl_Cost</f>
        <v>1154995.49003014</v>
      </c>
      <c r="T19" s="33" t="n">
        <f aca="false">'Clients &amp; revenue'!T48*Intl_Cost</f>
        <v>1713118.28855705</v>
      </c>
      <c r="U19" s="33" t="n">
        <f aca="false">'Clients &amp; revenue'!U48*Intl_Cost</f>
        <v>2358107.75563293</v>
      </c>
      <c r="V19" s="33" t="n">
        <f aca="false">'Clients &amp; revenue'!V48*Intl_Cost</f>
        <v>3090360.44645591</v>
      </c>
      <c r="W19" s="33" t="n">
        <f aca="false">'Clients &amp; revenue'!W48*Intl_Cost</f>
        <v>4082190.36238145</v>
      </c>
      <c r="X19" s="33" t="n">
        <f aca="false">'Clients &amp; revenue'!X48*Intl_Cost</f>
        <v>5211046.46301276</v>
      </c>
      <c r="Y19" s="33" t="n">
        <f aca="false">'Clients &amp; revenue'!Y48*Intl_Cost</f>
        <v>6524395.60431921</v>
      </c>
      <c r="Z19" s="33" t="n">
        <f aca="false">'Clients &amp; revenue'!Z48*Intl_Cost</f>
        <v>7986367.82393479</v>
      </c>
      <c r="AA19" s="33" t="n">
        <f aca="false">'Clients &amp; revenue'!AA48*Intl_Cost</f>
        <v>9598110.76831515</v>
      </c>
      <c r="AB19" s="33" t="n">
        <f aca="false">'Clients &amp; revenue'!AB48*Intl_Cost</f>
        <v>11361059.5114043</v>
      </c>
      <c r="AC19" s="33" t="n">
        <f aca="false">'Clients &amp; revenue'!AC48*Intl_Cost</f>
        <v>12528328.2212529</v>
      </c>
      <c r="AD19" s="33" t="n">
        <f aca="false">'Clients &amp; revenue'!AD48*Intl_Cost</f>
        <v>13697269.0773281</v>
      </c>
      <c r="AE19" s="33" t="n">
        <f aca="false">'Clients &amp; revenue'!AE48*Intl_Cost</f>
        <v>14931051.7990221</v>
      </c>
      <c r="AF19" s="33" t="n">
        <f aca="false">'Clients &amp; revenue'!AF48*Intl_Cost</f>
        <v>16167700.818068</v>
      </c>
      <c r="AG19" s="33" t="n">
        <f aca="false">'Clients &amp; revenue'!AG48*Intl_Cost</f>
        <v>17408282.1456832</v>
      </c>
      <c r="AH19" s="33" t="n">
        <f aca="false">'Clients &amp; revenue'!AH48*Intl_Cost</f>
        <v>18653912.6776705</v>
      </c>
      <c r="AI19" s="33" t="n">
        <f aca="false">'Clients &amp; revenue'!AI48*Intl_Cost</f>
        <v>19967971.4625331</v>
      </c>
      <c r="AJ19" s="33" t="n">
        <f aca="false">'Clients &amp; revenue'!AJ48*Intl_Cost</f>
        <v>21288704.8018567</v>
      </c>
      <c r="AK19" s="33" t="n">
        <f aca="false">'Clients &amp; revenue'!AK48*Intl_Cost</f>
        <v>22617413.8692625</v>
      </c>
      <c r="AL19" s="33" t="n">
        <f aca="false">'Clients &amp; revenue'!AL48*Intl_Cost</f>
        <v>23955464.8124481</v>
      </c>
      <c r="AM19" s="33" t="n">
        <f aca="false">'Clients &amp; revenue'!AM48*Intl_Cost</f>
        <v>25366500.8660816</v>
      </c>
      <c r="AN19" s="33" t="n">
        <f aca="false">'Clients &amp; revenue'!AN48*Intl_Cost</f>
        <v>26789048.3476693</v>
      </c>
      <c r="AO19" s="33" t="n">
        <f aca="false">'Clients &amp; revenue'!AO48*Intl_Cost</f>
        <v>28416513.2257449</v>
      </c>
      <c r="AP19" s="33" t="n">
        <f aca="false">'Clients &amp; revenue'!AP48*Intl_Cost</f>
        <v>30118588.6181207</v>
      </c>
      <c r="AQ19" s="33" t="n">
        <f aca="false">'Clients &amp; revenue'!AQ48*Intl_Cost</f>
        <v>31834095.4717092</v>
      </c>
      <c r="AR19" s="33" t="n">
        <f aca="false">'Clients &amp; revenue'!AR48*Intl_Cost</f>
        <v>33564941.187013</v>
      </c>
      <c r="AS19" s="33" t="n">
        <f aca="false">'Clients &amp; revenue'!AS48*Intl_Cost</f>
        <v>35375339.6617278</v>
      </c>
      <c r="AT19" s="33" t="n">
        <f aca="false">'Clients &amp; revenue'!AT48*Intl_Cost</f>
        <v>37204419.1008756</v>
      </c>
      <c r="AU19" s="33" t="n">
        <f aca="false">'Clients &amp; revenue'!AU48*Intl_Cost</f>
        <v>39054412.507241</v>
      </c>
      <c r="AV19" s="33" t="n">
        <f aca="false">'Clients &amp; revenue'!AV48*Intl_Cost</f>
        <v>41045866.0263469</v>
      </c>
      <c r="AW19" s="33" t="n">
        <f aca="false">'Clients &amp; revenue'!AW48*Intl_Cost</f>
        <v>43043815.4586047</v>
      </c>
      <c r="AX19" s="33" t="n">
        <f aca="false">'Clients &amp; revenue'!AX48*Intl_Cost</f>
        <v>45092703.3828284</v>
      </c>
      <c r="AY19" s="33" t="n">
        <f aca="false">'Clients &amp; revenue'!AY48*Intl_Cost</f>
        <v>47130490.2107585</v>
      </c>
      <c r="AZ19" s="33" t="n">
        <f aca="false">'Clients &amp; revenue'!AZ48*Intl_Cost</f>
        <v>49158163.2035007</v>
      </c>
      <c r="BA19" s="33" t="n">
        <f aca="false">'Clients &amp; revenue'!BA48*Intl_Cost</f>
        <v>51431797.8674306</v>
      </c>
      <c r="BB19" s="33" t="n">
        <f aca="false">'Clients &amp; revenue'!BB48*Intl_Cost</f>
        <v>53694227.1915102</v>
      </c>
      <c r="BC19" s="33" t="n">
        <f aca="false">'Clients &amp; revenue'!BC48*Intl_Cost</f>
        <v>56008806.5188556</v>
      </c>
      <c r="BD19" s="33" t="n">
        <f aca="false">'Clients &amp; revenue'!BD48*Intl_Cost</f>
        <v>58313743.5053918</v>
      </c>
      <c r="BE19" s="33" t="n">
        <f aca="false">'Clients &amp; revenue'!BE48*Intl_Cost</f>
        <v>60666272.2599678</v>
      </c>
      <c r="BF19" s="33" t="n">
        <f aca="false">'Clients &amp; revenue'!BF48*Intl_Cost</f>
        <v>63073212.1990145</v>
      </c>
      <c r="BG19" s="33" t="n">
        <f aca="false">'Clients &amp; revenue'!BG48*Intl_Cost</f>
        <v>65472938.5881421</v>
      </c>
      <c r="BH19" s="33" t="n">
        <f aca="false">'Clients &amp; revenue'!BH48*Intl_Cost</f>
        <v>67929083.6317258</v>
      </c>
      <c r="BI19" s="33" t="n">
        <f aca="false">'Clients &amp; revenue'!BI48*Intl_Cost</f>
        <v>70436135.2776713</v>
      </c>
      <c r="BJ19" s="33" t="n">
        <f aca="false">'Clients &amp; revenue'!BJ48*Intl_Cost</f>
        <v>73001174.6116796</v>
      </c>
      <c r="BK19" s="33" t="n">
        <f aca="false">'Clients &amp; revenue'!BK48*Intl_Cost</f>
        <v>75549523.0158461</v>
      </c>
      <c r="BL19" s="33" t="n">
        <f aca="false">'Clients &amp; revenue'!BL48*Intl_Cost</f>
        <v>78129808.0413823</v>
      </c>
    </row>
    <row r="20" customFormat="false" ht="15" hidden="false" customHeight="true" outlineLevel="0" collapsed="false">
      <c r="A20" s="13" t="s">
        <v>1287</v>
      </c>
      <c r="B20" s="15" t="s">
        <v>77</v>
      </c>
      <c r="D20" s="56" t="n">
        <f aca="false">SUM(E20:BL20)</f>
        <v>27165780.5468876</v>
      </c>
      <c r="E20" s="33" t="n">
        <f aca="false">'Clients &amp; revenue'!E47*Payslip_Cost</f>
        <v>0</v>
      </c>
      <c r="F20" s="33" t="n">
        <f aca="false">'Clients &amp; revenue'!F47*Payslip_Cost</f>
        <v>0</v>
      </c>
      <c r="G20" s="33" t="n">
        <f aca="false">'Clients &amp; revenue'!G47*Payslip_Cost</f>
        <v>0</v>
      </c>
      <c r="H20" s="33" t="n">
        <f aca="false">'Clients &amp; revenue'!H47*Payslip_Cost</f>
        <v>0</v>
      </c>
      <c r="I20" s="33" t="n">
        <f aca="false">'Clients &amp; revenue'!I47*Payslip_Cost</f>
        <v>0</v>
      </c>
      <c r="J20" s="33" t="n">
        <f aca="false">'Clients &amp; revenue'!J47*Payslip_Cost</f>
        <v>0</v>
      </c>
      <c r="K20" s="33" t="n">
        <f aca="false">'Clients &amp; revenue'!K47*Payslip_Cost</f>
        <v>0</v>
      </c>
      <c r="L20" s="33" t="n">
        <f aca="false">'Clients &amp; revenue'!L47*Payslip_Cost</f>
        <v>0</v>
      </c>
      <c r="M20" s="33" t="n">
        <f aca="false">'Clients &amp; revenue'!M47*Payslip_Cost</f>
        <v>0</v>
      </c>
      <c r="N20" s="33" t="n">
        <f aca="false">'Clients &amp; revenue'!N47*Payslip_Cost</f>
        <v>0</v>
      </c>
      <c r="O20" s="33" t="n">
        <f aca="false">'Clients &amp; revenue'!O47*Payslip_Cost</f>
        <v>3894.7931878846</v>
      </c>
      <c r="P20" s="33" t="n">
        <f aca="false">'Clients &amp; revenue'!P47*Payslip_Cost</f>
        <v>8909.26357314156</v>
      </c>
      <c r="Q20" s="33" t="n">
        <f aca="false">'Clients &amp; revenue'!Q47*Payslip_Cost</f>
        <v>15639.2766336556</v>
      </c>
      <c r="R20" s="33" t="n">
        <f aca="false">'Clients &amp; revenue'!R47*Payslip_Cost</f>
        <v>23888.0758857881</v>
      </c>
      <c r="S20" s="33" t="n">
        <f aca="false">'Clients &amp; revenue'!S47*Payslip_Cost</f>
        <v>33659.6796924201</v>
      </c>
      <c r="T20" s="33" t="n">
        <f aca="false">'Clients &amp; revenue'!T47*Payslip_Cost</f>
        <v>44960.3526486409</v>
      </c>
      <c r="U20" s="33" t="n">
        <f aca="false">'Clients &amp; revenue'!U47*Payslip_Cost</f>
        <v>57798.7424002132</v>
      </c>
      <c r="V20" s="33" t="n">
        <f aca="false">'Clients &amp; revenue'!V47*Payslip_Cost</f>
        <v>72186.0268141377</v>
      </c>
      <c r="W20" s="33" t="n">
        <f aca="false">'Clients &amp; revenue'!W47*Payslip_Cost</f>
        <v>91970.0722138655</v>
      </c>
      <c r="X20" s="33" t="n">
        <f aca="false">'Clients &amp; revenue'!X47*Payslip_Cost</f>
        <v>114179.953440675</v>
      </c>
      <c r="Y20" s="33" t="n">
        <f aca="false">'Clients &amp; revenue'!Y47*Payslip_Cost</f>
        <v>139826.566492492</v>
      </c>
      <c r="Z20" s="33" t="n">
        <f aca="false">'Clients &amp; revenue'!Z47*Payslip_Cost</f>
        <v>168113.512067334</v>
      </c>
      <c r="AA20" s="33" t="n">
        <f aca="false">'Clients &amp; revenue'!AA47*Payslip_Cost</f>
        <v>183755.084131426</v>
      </c>
      <c r="AB20" s="33" t="n">
        <f aca="false">'Clients &amp; revenue'!AB47*Payslip_Cost</f>
        <v>199476.257626372</v>
      </c>
      <c r="AC20" s="33" t="n">
        <f aca="false">'Clients &amp; revenue'!AC47*Payslip_Cost</f>
        <v>220025.189549569</v>
      </c>
      <c r="AD20" s="33" t="n">
        <f aca="false">'Clients &amp; revenue'!AD47*Payslip_Cost</f>
        <v>240631.483023479</v>
      </c>
      <c r="AE20" s="33" t="n">
        <f aca="false">'Clients &amp; revenue'!AE47*Payslip_Cost</f>
        <v>262391.443936033</v>
      </c>
      <c r="AF20" s="33" t="n">
        <f aca="false">'Clients &amp; revenue'!AF47*Payslip_Cost</f>
        <v>284230.493966314</v>
      </c>
      <c r="AG20" s="33" t="n">
        <f aca="false">'Clients &amp; revenue'!AG47*Payslip_Cost</f>
        <v>306166.768137021</v>
      </c>
      <c r="AH20" s="33" t="n">
        <f aca="false">'Clients &amp; revenue'!AH47*Payslip_Cost</f>
        <v>328219.320808892</v>
      </c>
      <c r="AI20" s="33" t="n">
        <f aca="false">'Clients &amp; revenue'!AI47*Payslip_Cost</f>
        <v>351488.183280077</v>
      </c>
      <c r="AJ20" s="33" t="n">
        <f aca="false">'Clients &amp; revenue'!AJ47*Payslip_Cost</f>
        <v>374902.724802118</v>
      </c>
      <c r="AK20" s="33" t="n">
        <f aca="false">'Clients &amp; revenue'!AK47*Payslip_Cost</f>
        <v>398485.263468242</v>
      </c>
      <c r="AL20" s="33" t="n">
        <f aca="false">'Clients &amp; revenue'!AL47*Payslip_Cost</f>
        <v>422259.286343837</v>
      </c>
      <c r="AM20" s="33" t="n">
        <f aca="false">'Clients &amp; revenue'!AM47*Payslip_Cost</f>
        <v>447329.522050105</v>
      </c>
      <c r="AN20" s="33" t="n">
        <f aca="false">'Clients &amp; revenue'!AN47*Payslip_Cost</f>
        <v>472630.317663447</v>
      </c>
      <c r="AO20" s="33" t="n">
        <f aca="false">'Clients &amp; revenue'!AO47*Payslip_Cost</f>
        <v>501519.266440233</v>
      </c>
      <c r="AP20" s="33" t="n">
        <f aca="false">'Clients &amp; revenue'!AP47*Payslip_Cost</f>
        <v>531739.370793988</v>
      </c>
      <c r="AQ20" s="33" t="n">
        <f aca="false">'Clients &amp; revenue'!AQ47*Payslip_Cost</f>
        <v>562230.034734129</v>
      </c>
      <c r="AR20" s="33" t="n">
        <f aca="false">'Clients &amp; revenue'!AR47*Payslip_Cost</f>
        <v>593024.174661317</v>
      </c>
      <c r="AS20" s="33" t="n">
        <f aca="false">'Clients &amp; revenue'!AS47*Payslip_Cost</f>
        <v>625236.473853752</v>
      </c>
      <c r="AT20" s="33" t="n">
        <f aca="false">'Clients &amp; revenue'!AT47*Payslip_Cost</f>
        <v>657811.791459401</v>
      </c>
      <c r="AU20" s="33" t="n">
        <f aca="false">'Clients &amp; revenue'!AU47*Payslip_Cost</f>
        <v>690788.824230053</v>
      </c>
      <c r="AV20" s="33" t="n">
        <f aca="false">'Clients &amp; revenue'!AV47*Payslip_Cost</f>
        <v>726260.380539404</v>
      </c>
      <c r="AW20" s="33" t="n">
        <f aca="false">'Clients &amp; revenue'!AW47*Payslip_Cost</f>
        <v>761886.704706729</v>
      </c>
      <c r="AX20" s="33" t="n">
        <f aca="false">'Clients &amp; revenue'!AX47*Payslip_Cost</f>
        <v>798438.906795341</v>
      </c>
      <c r="AY20" s="33" t="n">
        <f aca="false">'Clients &amp; revenue'!AY47*Payslip_Cost</f>
        <v>834840.701424561</v>
      </c>
      <c r="AZ20" s="33" t="n">
        <f aca="false">'Clients &amp; revenue'!AZ47*Payslip_Cost</f>
        <v>871108.26836117</v>
      </c>
      <c r="BA20" s="33" t="n">
        <f aca="false">'Clients &amp; revenue'!BA47*Payslip_Cost</f>
        <v>911686.44566443</v>
      </c>
      <c r="BB20" s="33" t="n">
        <f aca="false">'Clients &amp; revenue'!BB47*Payslip_Cost</f>
        <v>952116.803632923</v>
      </c>
      <c r="BC20" s="33" t="n">
        <f aca="false">'Clients &amp; revenue'!BC47*Payslip_Cost</f>
        <v>993498.23094228</v>
      </c>
      <c r="BD20" s="33" t="n">
        <f aca="false">'Clients &amp; revenue'!BD47*Payslip_Cost</f>
        <v>1034758.70565164</v>
      </c>
      <c r="BE20" s="33" t="n">
        <f aca="false">'Clients &amp; revenue'!BE47*Payslip_Cost</f>
        <v>1076890.8937109</v>
      </c>
      <c r="BF20" s="33" t="n">
        <f aca="false">'Clients &amp; revenue'!BF47*Payslip_Cost</f>
        <v>1120013.82592733</v>
      </c>
      <c r="BG20" s="33" t="n">
        <f aca="false">'Clients &amp; revenue'!BG47*Payslip_Cost</f>
        <v>1163058.44818112</v>
      </c>
      <c r="BH20" s="33" t="n">
        <f aca="false">'Clients &amp; revenue'!BH47*Payslip_Cost</f>
        <v>1207128.56619022</v>
      </c>
      <c r="BI20" s="33" t="n">
        <f aca="false">'Clients &amp; revenue'!BI47*Payslip_Cost</f>
        <v>1252129.36286563</v>
      </c>
      <c r="BJ20" s="33" t="n">
        <f aca="false">'Clients &amp; revenue'!BJ47*Payslip_Cost</f>
        <v>1298184.4841632</v>
      </c>
      <c r="BK20" s="33" t="n">
        <f aca="false">'Clients &amp; revenue'!BK47*Payslip_Cost</f>
        <v>1343998.32453038</v>
      </c>
      <c r="BL20" s="33" t="n">
        <f aca="false">'Clients &amp; revenue'!BL47*Payslip_Cost</f>
        <v>1390413.90359032</v>
      </c>
    </row>
    <row r="21" customFormat="false" ht="15" hidden="false" customHeight="true" outlineLevel="0" collapsed="false">
      <c r="A21" s="13" t="s">
        <v>1019</v>
      </c>
      <c r="B21" s="15" t="s">
        <v>77</v>
      </c>
      <c r="D21" s="56" t="n">
        <f aca="false">SUM(E21:BL21)</f>
        <v>92003483.1721698</v>
      </c>
      <c r="E21" s="33" t="n">
        <f aca="false">'Clients &amp; revenue'!E17*Notif_Cost+'Clients &amp; revenue'!E32*Emp_Notif</f>
        <v>0</v>
      </c>
      <c r="F21" s="33" t="n">
        <f aca="false">'Clients &amp; revenue'!F17*Notif_Cost+'Clients &amp; revenue'!F32*Emp_Notif</f>
        <v>0</v>
      </c>
      <c r="G21" s="33" t="n">
        <f aca="false">'Clients &amp; revenue'!G17*Notif_Cost+'Clients &amp; revenue'!G32*Emp_Notif</f>
        <v>0</v>
      </c>
      <c r="H21" s="33" t="n">
        <f aca="false">'Clients &amp; revenue'!H17*Notif_Cost+'Clients &amp; revenue'!H32*Emp_Notif</f>
        <v>0</v>
      </c>
      <c r="I21" s="33" t="n">
        <f aca="false">'Clients &amp; revenue'!I17*Notif_Cost+'Clients &amp; revenue'!I32*Emp_Notif</f>
        <v>17313.3333333333</v>
      </c>
      <c r="J21" s="33" t="n">
        <f aca="false">'Clients &amp; revenue'!J17*Notif_Cost+'Clients &amp; revenue'!J32*Emp_Notif</f>
        <v>34508.9966666667</v>
      </c>
      <c r="K21" s="33" t="n">
        <f aca="false">'Clients &amp; revenue'!K17*Notif_Cost+'Clients &amp; revenue'!K32*Emp_Notif</f>
        <v>51599.36215</v>
      </c>
      <c r="L21" s="33" t="n">
        <f aca="false">'Clients &amp; revenue'!L17*Notif_Cost+'Clients &amp; revenue'!L32*Emp_Notif</f>
        <v>68597.1955743958</v>
      </c>
      <c r="M21" s="33" t="n">
        <f aca="false">'Clients &amp; revenue'!M17*Notif_Cost+'Clients &amp; revenue'!M32*Emp_Notif</f>
        <v>85515.6865116189</v>
      </c>
      <c r="N21" s="33" t="n">
        <f aca="false">'Clients &amp; revenue'!N17*Notif_Cost+'Clients &amp; revenue'!N32*Emp_Notif</f>
        <v>102368.480137036</v>
      </c>
      <c r="O21" s="33" t="n">
        <f aca="false">'Clients &amp; revenue'!O17*Notif_Cost+'Clients &amp; revenue'!O32*Emp_Notif</f>
        <v>119169.710839211</v>
      </c>
      <c r="P21" s="33" t="n">
        <f aca="false">'Clients &amp; revenue'!P17*Notif_Cost+'Clients &amp; revenue'!P32*Emp_Notif</f>
        <v>135934.037725787</v>
      </c>
      <c r="Q21" s="33" t="n">
        <f aca="false">'Clients &amp; revenue'!Q17*Notif_Cost+'Clients &amp; revenue'!Q32*Emp_Notif</f>
        <v>158790.015475107</v>
      </c>
      <c r="R21" s="33" t="n">
        <f aca="false">'Clients &amp; revenue'!R17*Notif_Cost+'Clients &amp; revenue'!R32*Emp_Notif</f>
        <v>181539.263989957</v>
      </c>
      <c r="S21" s="33" t="n">
        <f aca="false">'Clients &amp; revenue'!S17*Notif_Cost+'Clients &amp; revenue'!S32*Emp_Notif</f>
        <v>204200.038467131</v>
      </c>
      <c r="T21" s="33" t="n">
        <f aca="false">'Clients &amp; revenue'!T17*Notif_Cost+'Clients &amp; revenue'!T32*Emp_Notif</f>
        <v>226791.24905372</v>
      </c>
      <c r="U21" s="33" t="n">
        <f aca="false">'Clients &amp; revenue'!U17*Notif_Cost+'Clients &amp; revenue'!U32*Emp_Notif</f>
        <v>249332.508354642</v>
      </c>
      <c r="V21" s="33" t="n">
        <f aca="false">'Clients &amp; revenue'!V17*Notif_Cost+'Clients &amp; revenue'!V32*Emp_Notif</f>
        <v>271844.181633409</v>
      </c>
      <c r="W21" s="33" t="n">
        <f aca="false">'Clients &amp; revenue'!W17*Notif_Cost+'Clients &amp; revenue'!W32*Emp_Notif</f>
        <v>307600.773204094</v>
      </c>
      <c r="X21" s="33" t="n">
        <f aca="false">'Clients &amp; revenue'!X17*Notif_Cost+'Clients &amp; revenue'!X32*Emp_Notif</f>
        <v>343278.302522327</v>
      </c>
      <c r="Y21" s="33" t="n">
        <f aca="false">'Clients &amp; revenue'!Y17*Notif_Cost+'Clients &amp; revenue'!Y32*Emp_Notif</f>
        <v>381709.081093517</v>
      </c>
      <c r="Z21" s="33" t="n">
        <f aca="false">'Clients &amp; revenue'!Z17*Notif_Cost+'Clients &amp; revenue'!Z32*Emp_Notif</f>
        <v>420080.498035148</v>
      </c>
      <c r="AA21" s="33" t="n">
        <f aca="false">'Clients &amp; revenue'!AA17*Notif_Cost+'Clients &amp; revenue'!AA32*Emp_Notif</f>
        <v>458428.32805147</v>
      </c>
      <c r="AB21" s="33" t="n">
        <f aca="false">'Clients &amp; revenue'!AB17*Notif_Cost+'Clients &amp; revenue'!AB32*Emp_Notif</f>
        <v>496789.791312124</v>
      </c>
      <c r="AC21" s="33" t="n">
        <f aca="false">'Clients &amp; revenue'!AC17*Notif_Cost+'Clients &amp; revenue'!AC32*Emp_Notif</f>
        <v>547476.986566494</v>
      </c>
      <c r="AD21" s="33" t="n">
        <f aca="false">'Clients &amp; revenue'!AD17*Notif_Cost+'Clients &amp; revenue'!AD32*Emp_Notif</f>
        <v>598054.486661829</v>
      </c>
      <c r="AE21" s="33" t="n">
        <f aca="false">'Clients &amp; revenue'!AE17*Notif_Cost+'Clients &amp; revenue'!AE32*Emp_Notif</f>
        <v>651368.060097561</v>
      </c>
      <c r="AF21" s="33" t="n">
        <f aca="false">'Clients &amp; revenue'!AF17*Notif_Cost+'Clients &amp; revenue'!AF32*Emp_Notif</f>
        <v>704619.089181235</v>
      </c>
      <c r="AG21" s="33" t="n">
        <f aca="false">'Clients &amp; revenue'!AG17*Notif_Cost+'Clients &amp; revenue'!AG32*Emp_Notif</f>
        <v>1064024.68334616</v>
      </c>
      <c r="AH21" s="33" t="n">
        <f aca="false">'Clients &amp; revenue'!AH17*Notif_Cost+'Clients &amp; revenue'!AH32*Emp_Notif</f>
        <v>1139356.258496</v>
      </c>
      <c r="AI21" s="33" t="n">
        <f aca="false">'Clients &amp; revenue'!AI17*Notif_Cost+'Clients &amp; revenue'!AI32*Emp_Notif</f>
        <v>1218798.93900006</v>
      </c>
      <c r="AJ21" s="33" t="n">
        <f aca="false">'Clients &amp; revenue'!AJ17*Notif_Cost+'Clients &amp; revenue'!AJ32*Emp_Notif</f>
        <v>1298492.84234438</v>
      </c>
      <c r="AK21" s="33" t="n">
        <f aca="false">'Clients &amp; revenue'!AK17*Notif_Cost+'Clients &amp; revenue'!AK32*Emp_Notif</f>
        <v>1378520.56115327</v>
      </c>
      <c r="AL21" s="33" t="n">
        <f aca="false">'Clients &amp; revenue'!AL17*Notif_Cost+'Clients &amp; revenue'!AL32*Emp_Notif</f>
        <v>1458968.51644906</v>
      </c>
      <c r="AM21" s="33" t="n">
        <f aca="false">'Clients &amp; revenue'!AM17*Notif_Cost+'Clients &amp; revenue'!AM32*Emp_Notif</f>
        <v>1543807.20757092</v>
      </c>
      <c r="AN21" s="33" t="n">
        <f aca="false">'Clients &amp; revenue'!AN17*Notif_Cost+'Clients &amp; revenue'!AN32*Emp_Notif</f>
        <v>1629193.57671027</v>
      </c>
      <c r="AO21" s="33" t="n">
        <f aca="false">'Clients &amp; revenue'!AO17*Notif_Cost+'Clients &amp; revenue'!AO32*Emp_Notif</f>
        <v>1727191.38753017</v>
      </c>
      <c r="AP21" s="33" t="n">
        <f aca="false">'Clients &amp; revenue'!AP17*Notif_Cost+'Clients &amp; revenue'!AP32*Emp_Notif</f>
        <v>1829644.11409249</v>
      </c>
      <c r="AQ21" s="33" t="n">
        <f aca="false">'Clients &amp; revenue'!AQ17*Notif_Cost+'Clients &amp; revenue'!AQ32*Emp_Notif</f>
        <v>1932727.3812744</v>
      </c>
      <c r="AR21" s="33" t="n">
        <f aca="false">'Clients &amp; revenue'!AR17*Notif_Cost+'Clients &amp; revenue'!AR32*Emp_Notif</f>
        <v>2036561.17487229</v>
      </c>
      <c r="AS21" s="33" t="n">
        <f aca="false">'Clients &amp; revenue'!AS17*Notif_Cost+'Clients &amp; revenue'!AS32*Emp_Notif</f>
        <v>2145151.31235372</v>
      </c>
      <c r="AT21" s="33" t="n">
        <f aca="false">'Clients &amp; revenue'!AT17*Notif_Cost+'Clients &amp; revenue'!AT32*Emp_Notif</f>
        <v>2254691.91723721</v>
      </c>
      <c r="AU21" s="33" t="n">
        <f aca="false">'Clients &amp; revenue'!AU17*Notif_Cost+'Clients &amp; revenue'!AU32*Emp_Notif</f>
        <v>2365322.5807268</v>
      </c>
      <c r="AV21" s="33" t="n">
        <f aca="false">'Clients &amp; revenue'!AV17*Notif_Cost+'Clients &amp; revenue'!AV32*Emp_Notif</f>
        <v>2484561.8988835</v>
      </c>
      <c r="AW21" s="33" t="n">
        <f aca="false">'Clients &amp; revenue'!AW17*Notif_Cost+'Clients &amp; revenue'!AW32*Emp_Notif</f>
        <v>2603973.32181407</v>
      </c>
      <c r="AX21" s="33" t="n">
        <f aca="false">'Clients &amp; revenue'!AX17*Notif_Cost+'Clients &amp; revenue'!AX32*Emp_Notif</f>
        <v>2726331.26338089</v>
      </c>
      <c r="AY21" s="33" t="n">
        <f aca="false">'Clients &amp; revenue'!AY17*Notif_Cost+'Clients &amp; revenue'!AY32*Emp_Notif</f>
        <v>2847761.7964218</v>
      </c>
      <c r="AZ21" s="33" t="n">
        <f aca="false">'Clients &amp; revenue'!AZ17*Notif_Cost+'Clients &amp; revenue'!AZ32*Emp_Notif</f>
        <v>2968331.70751775</v>
      </c>
      <c r="BA21" s="33" t="n">
        <f aca="false">'Clients &amp; revenue'!BA17*Notif_Cost+'Clients &amp; revenue'!BA32*Emp_Notif</f>
        <v>3104017.76089367</v>
      </c>
      <c r="BB21" s="33" t="n">
        <f aca="false">'Clients &amp; revenue'!BB17*Notif_Cost+'Clients &amp; revenue'!BB32*Emp_Notif</f>
        <v>3238745.46331298</v>
      </c>
      <c r="BC21" s="33" t="n">
        <f aca="false">'Clients &amp; revenue'!BC17*Notif_Cost+'Clients &amp; revenue'!BC32*Emp_Notif</f>
        <v>3376471.96511382</v>
      </c>
      <c r="BD21" s="33" t="n">
        <f aca="false">'Clients &amp; revenue'!BD17*Notif_Cost+'Clients &amp; revenue'!BD32*Emp_Notif</f>
        <v>3513338.91442487</v>
      </c>
      <c r="BE21" s="33" t="n">
        <f aca="false">'Clients &amp; revenue'!BE17*Notif_Cost+'Clients &amp; revenue'!BE32*Emp_Notif</f>
        <v>3652921.40610945</v>
      </c>
      <c r="BF21" s="33" t="n">
        <f aca="false">'Clients &amp; revenue'!BF17*Notif_Cost+'Clients &amp; revenue'!BF32*Emp_Notif</f>
        <v>3795641.18319052</v>
      </c>
      <c r="BG21" s="33" t="n">
        <f aca="false">'Clients &amp; revenue'!BG17*Notif_Cost+'Clients &amp; revenue'!BG32*Emp_Notif</f>
        <v>3937650.03078007</v>
      </c>
      <c r="BH21" s="33" t="n">
        <f aca="false">'Clients &amp; revenue'!BH17*Notif_Cost+'Clients &amp; revenue'!BH32*Emp_Notif</f>
        <v>4082921.76381238</v>
      </c>
      <c r="BI21" s="33" t="n">
        <f aca="false">'Clients &amp; revenue'!BI17*Notif_Cost+'Clients &amp; revenue'!BI32*Emp_Notif</f>
        <v>4231107.67384356</v>
      </c>
      <c r="BJ21" s="33" t="n">
        <f aca="false">'Clients &amp; revenue'!BJ17*Notif_Cost+'Clients &amp; revenue'!BJ32*Emp_Notif</f>
        <v>4382645.42699637</v>
      </c>
      <c r="BK21" s="33" t="n">
        <f aca="false">'Clients &amp; revenue'!BK17*Notif_Cost+'Clients &amp; revenue'!BK32*Emp_Notif</f>
        <v>4532872.18745012</v>
      </c>
      <c r="BL21" s="33" t="n">
        <f aca="false">'Clients &amp; revenue'!BL17*Notif_Cost+'Clients &amp; revenue'!BL32*Emp_Notif</f>
        <v>4684827.49842895</v>
      </c>
    </row>
    <row r="22" customFormat="false" ht="15" hidden="false" customHeight="true" outlineLevel="0" collapsed="false">
      <c r="A22" s="13" t="s">
        <v>1288</v>
      </c>
      <c r="B22" s="15" t="s">
        <v>77</v>
      </c>
      <c r="D22" s="56" t="n">
        <f aca="false">SUM(E22:BL22)</f>
        <v>125001221.398021</v>
      </c>
      <c r="E22" s="33" t="n">
        <f aca="false">'Clients &amp; revenue'!E32*EmpAcc_Cost</f>
        <v>0</v>
      </c>
      <c r="F22" s="33" t="n">
        <f aca="false">'Clients &amp; revenue'!F32*EmpAcc_Cost</f>
        <v>0</v>
      </c>
      <c r="G22" s="33" t="n">
        <f aca="false">'Clients &amp; revenue'!G32*EmpAcc_Cost</f>
        <v>0</v>
      </c>
      <c r="H22" s="33" t="n">
        <f aca="false">'Clients &amp; revenue'!H32*EmpAcc_Cost</f>
        <v>0</v>
      </c>
      <c r="I22" s="33" t="n">
        <f aca="false">'Clients &amp; revenue'!I32*EmpAcc_Cost</f>
        <v>0</v>
      </c>
      <c r="J22" s="33" t="n">
        <f aca="false">'Clients &amp; revenue'!J32*EmpAcc_Cost</f>
        <v>0</v>
      </c>
      <c r="K22" s="33" t="n">
        <f aca="false">'Clients &amp; revenue'!K32*EmpAcc_Cost</f>
        <v>0</v>
      </c>
      <c r="L22" s="33" t="n">
        <f aca="false">'Clients &amp; revenue'!L32*EmpAcc_Cost</f>
        <v>0</v>
      </c>
      <c r="M22" s="33" t="n">
        <f aca="false">'Clients &amp; revenue'!M32*EmpAcc_Cost</f>
        <v>0</v>
      </c>
      <c r="N22" s="33" t="n">
        <f aca="false">'Clients &amp; revenue'!N32*EmpAcc_Cost</f>
        <v>0</v>
      </c>
      <c r="O22" s="33" t="n">
        <f aca="false">'Clients &amp; revenue'!O32*EmpAcc_Cost</f>
        <v>0</v>
      </c>
      <c r="P22" s="33" t="n">
        <f aca="false">'Clients &amp; revenue'!P32*EmpAcc_Cost</f>
        <v>0</v>
      </c>
      <c r="Q22" s="33" t="n">
        <f aca="false">'Clients &amp; revenue'!Q32*EmpAcc_Cost</f>
        <v>0</v>
      </c>
      <c r="R22" s="33" t="n">
        <f aca="false">'Clients &amp; revenue'!R32*EmpAcc_Cost</f>
        <v>0</v>
      </c>
      <c r="S22" s="33" t="n">
        <f aca="false">'Clients &amp; revenue'!S32*EmpAcc_Cost</f>
        <v>0</v>
      </c>
      <c r="T22" s="33" t="n">
        <f aca="false">'Clients &amp; revenue'!T32*EmpAcc_Cost</f>
        <v>0</v>
      </c>
      <c r="U22" s="33" t="n">
        <f aca="false">'Clients &amp; revenue'!U32*EmpAcc_Cost</f>
        <v>0</v>
      </c>
      <c r="V22" s="33" t="n">
        <f aca="false">'Clients &amp; revenue'!V32*EmpAcc_Cost</f>
        <v>0</v>
      </c>
      <c r="W22" s="33" t="n">
        <f aca="false">'Clients &amp; revenue'!W32*EmpAcc_Cost</f>
        <v>0</v>
      </c>
      <c r="X22" s="33" t="n">
        <f aca="false">'Clients &amp; revenue'!X32*EmpAcc_Cost</f>
        <v>0</v>
      </c>
      <c r="Y22" s="33" t="n">
        <f aca="false">'Clients &amp; revenue'!Y32*EmpAcc_Cost</f>
        <v>0</v>
      </c>
      <c r="Z22" s="33" t="n">
        <f aca="false">'Clients &amp; revenue'!Z32*EmpAcc_Cost</f>
        <v>0</v>
      </c>
      <c r="AA22" s="33" t="n">
        <f aca="false">'Clients &amp; revenue'!AA32*EmpAcc_Cost</f>
        <v>0</v>
      </c>
      <c r="AB22" s="33" t="n">
        <f aca="false">'Clients &amp; revenue'!AB32*EmpAcc_Cost</f>
        <v>0</v>
      </c>
      <c r="AC22" s="33" t="n">
        <f aca="false">'Clients &amp; revenue'!AC32*EmpAcc_Cost</f>
        <v>0</v>
      </c>
      <c r="AD22" s="33" t="n">
        <f aca="false">'Clients &amp; revenue'!AD32*EmpAcc_Cost</f>
        <v>0</v>
      </c>
      <c r="AE22" s="33" t="n">
        <f aca="false">'Clients &amp; revenue'!AE32*EmpAcc_Cost</f>
        <v>0</v>
      </c>
      <c r="AF22" s="33" t="n">
        <f aca="false">'Clients &amp; revenue'!AF32*EmpAcc_Cost</f>
        <v>0</v>
      </c>
      <c r="AG22" s="33" t="n">
        <f aca="false">'Clients &amp; revenue'!AG32*EmpAcc_Cost</f>
        <v>1530833.8406851</v>
      </c>
      <c r="AH22" s="33" t="n">
        <f aca="false">'Clients &amp; revenue'!AH32*EmpAcc_Cost</f>
        <v>1641096.60404446</v>
      </c>
      <c r="AI22" s="33" t="n">
        <f aca="false">'Clients &amp; revenue'!AI32*EmpAcc_Cost</f>
        <v>1757440.91640039</v>
      </c>
      <c r="AJ22" s="33" t="n">
        <f aca="false">'Clients &amp; revenue'!AJ32*EmpAcc_Cost</f>
        <v>1874513.62401059</v>
      </c>
      <c r="AK22" s="33" t="n">
        <f aca="false">'Clients &amp; revenue'!AK32*EmpAcc_Cost</f>
        <v>1992426.31734121</v>
      </c>
      <c r="AL22" s="33" t="n">
        <f aca="false">'Clients &amp; revenue'!AL32*EmpAcc_Cost</f>
        <v>2111296.43171919</v>
      </c>
      <c r="AM22" s="33" t="n">
        <f aca="false">'Clients &amp; revenue'!AM32*EmpAcc_Cost</f>
        <v>2236647.61025052</v>
      </c>
      <c r="AN22" s="33" t="n">
        <f aca="false">'Clients &amp; revenue'!AN32*EmpAcc_Cost</f>
        <v>2363151.58831724</v>
      </c>
      <c r="AO22" s="33" t="n">
        <f aca="false">'Clients &amp; revenue'!AO32*EmpAcc_Cost</f>
        <v>2507596.33220116</v>
      </c>
      <c r="AP22" s="33" t="n">
        <f aca="false">'Clients &amp; revenue'!AP32*EmpAcc_Cost</f>
        <v>2658696.85396994</v>
      </c>
      <c r="AQ22" s="33" t="n">
        <f aca="false">'Clients &amp; revenue'!AQ32*EmpAcc_Cost</f>
        <v>2811150.17367065</v>
      </c>
      <c r="AR22" s="33" t="n">
        <f aca="false">'Clients &amp; revenue'!AR32*EmpAcc_Cost</f>
        <v>2965120.87330658</v>
      </c>
      <c r="AS22" s="33" t="n">
        <f aca="false">'Clients &amp; revenue'!AS32*EmpAcc_Cost</f>
        <v>3126182.36926876</v>
      </c>
      <c r="AT22" s="33" t="n">
        <f aca="false">'Clients &amp; revenue'!AT32*EmpAcc_Cost</f>
        <v>3289058.95729701</v>
      </c>
      <c r="AU22" s="33" t="n">
        <f aca="false">'Clients &amp; revenue'!AU32*EmpAcc_Cost</f>
        <v>3453944.12115027</v>
      </c>
      <c r="AV22" s="33" t="n">
        <f aca="false">'Clients &amp; revenue'!AV32*EmpAcc_Cost</f>
        <v>3631301.90269702</v>
      </c>
      <c r="AW22" s="33" t="n">
        <f aca="false">'Clients &amp; revenue'!AW32*EmpAcc_Cost</f>
        <v>3809433.52353364</v>
      </c>
      <c r="AX22" s="33" t="n">
        <f aca="false">'Clients &amp; revenue'!AX32*EmpAcc_Cost</f>
        <v>3992194.53397671</v>
      </c>
      <c r="AY22" s="33" t="n">
        <f aca="false">'Clients &amp; revenue'!AY32*EmpAcc_Cost</f>
        <v>4174203.50712281</v>
      </c>
      <c r="AZ22" s="33" t="n">
        <f aca="false">'Clients &amp; revenue'!AZ32*EmpAcc_Cost</f>
        <v>4355541.34180585</v>
      </c>
      <c r="BA22" s="33" t="n">
        <f aca="false">'Clients &amp; revenue'!BA32*EmpAcc_Cost</f>
        <v>4558432.22832215</v>
      </c>
      <c r="BB22" s="33" t="n">
        <f aca="false">'Clients &amp; revenue'!BB32*EmpAcc_Cost</f>
        <v>4760584.01816462</v>
      </c>
      <c r="BC22" s="33" t="n">
        <f aca="false">'Clients &amp; revenue'!BC32*EmpAcc_Cost</f>
        <v>4967491.1547114</v>
      </c>
      <c r="BD22" s="33" t="n">
        <f aca="false">'Clients &amp; revenue'!BD32*EmpAcc_Cost</f>
        <v>5173793.52825818</v>
      </c>
      <c r="BE22" s="33" t="n">
        <f aca="false">'Clients &amp; revenue'!BE32*EmpAcc_Cost</f>
        <v>5384454.46855449</v>
      </c>
      <c r="BF22" s="33" t="n">
        <f aca="false">'Clients &amp; revenue'!BF32*EmpAcc_Cost</f>
        <v>5600069.12963663</v>
      </c>
      <c r="BG22" s="33" t="n">
        <f aca="false">'Clients &amp; revenue'!BG32*EmpAcc_Cost</f>
        <v>5815292.24090562</v>
      </c>
      <c r="BH22" s="33" t="n">
        <f aca="false">'Clients &amp; revenue'!BH32*EmpAcc_Cost</f>
        <v>6035642.8309511</v>
      </c>
      <c r="BI22" s="33" t="n">
        <f aca="false">'Clients &amp; revenue'!BI32*EmpAcc_Cost</f>
        <v>6260646.81432816</v>
      </c>
      <c r="BJ22" s="33" t="n">
        <f aca="false">'Clients &amp; revenue'!BJ32*EmpAcc_Cost</f>
        <v>6490922.42081602</v>
      </c>
      <c r="BK22" s="33" t="n">
        <f aca="false">'Clients &amp; revenue'!BK32*EmpAcc_Cost</f>
        <v>6719991.6226519</v>
      </c>
      <c r="BL22" s="33" t="n">
        <f aca="false">'Clients &amp; revenue'!BL32*EmpAcc_Cost</f>
        <v>6952069.51795158</v>
      </c>
    </row>
    <row r="23" customFormat="false" ht="15" hidden="false" customHeight="true" outlineLevel="0" collapsed="false">
      <c r="A23" s="9" t="s">
        <v>1289</v>
      </c>
      <c r="B23" s="15" t="s">
        <v>77</v>
      </c>
      <c r="D23" s="56" t="n">
        <f aca="false">SUM(E23:BL23)</f>
        <v>12686427543.2981</v>
      </c>
      <c r="E23" s="17" t="n">
        <f aca="false">SUM(E9:E22)</f>
        <v>0</v>
      </c>
      <c r="F23" s="17" t="n">
        <f aca="false">SUM(F9:F22)</f>
        <v>0</v>
      </c>
      <c r="G23" s="17" t="n">
        <f aca="false">SUM(G9:G22)</f>
        <v>0</v>
      </c>
      <c r="H23" s="17" t="n">
        <f aca="false">SUM(H9:H22)</f>
        <v>0</v>
      </c>
      <c r="I23" s="17" t="n">
        <f aca="false">SUM(I9:I22)</f>
        <v>2879083.66666667</v>
      </c>
      <c r="J23" s="17" t="n">
        <f aca="false">SUM(J9:J22)</f>
        <v>5326735.11583334</v>
      </c>
      <c r="K23" s="17" t="n">
        <f aca="false">SUM(K9:K22)</f>
        <v>7770929.27044375</v>
      </c>
      <c r="L23" s="17" t="n">
        <f aca="false">SUM(L9:L22)</f>
        <v>10213287.9068394</v>
      </c>
      <c r="M23" s="17" t="n">
        <f aca="false">SUM(M9:M22)</f>
        <v>12655504.4769319</v>
      </c>
      <c r="N23" s="17" t="n">
        <f aca="false">SUM(N9:N22)</f>
        <v>15099348.8126459</v>
      </c>
      <c r="O23" s="17" t="n">
        <f aca="false">SUM(O9:O22)</f>
        <v>17550566.8988868</v>
      </c>
      <c r="P23" s="17" t="n">
        <f aca="false">SUM(P9:P22)</f>
        <v>20008321.442935</v>
      </c>
      <c r="Q23" s="17" t="n">
        <f aca="false">SUM(Q9:Q22)</f>
        <v>23790326.2456407</v>
      </c>
      <c r="R23" s="17" t="n">
        <f aca="false">SUM(R9:R22)</f>
        <v>27507741.6298682</v>
      </c>
      <c r="S23" s="17" t="n">
        <f aca="false">SUM(S9:S22)</f>
        <v>31314886.7268545</v>
      </c>
      <c r="T23" s="17" t="n">
        <f aca="false">SUM(T9:T22)</f>
        <v>35214362.1735753</v>
      </c>
      <c r="U23" s="17" t="n">
        <f aca="false">SUM(U9:U22)</f>
        <v>39209024.6586385</v>
      </c>
      <c r="V23" s="17" t="n">
        <f aca="false">SUM(V9:V22)</f>
        <v>43578699.501778</v>
      </c>
      <c r="W23" s="17" t="n">
        <f aca="false">SUM(W9:W22)</f>
        <v>50502864.0082491</v>
      </c>
      <c r="X23" s="17" t="n">
        <f aca="false">SUM(X9:X22)</f>
        <v>57324572.0696586</v>
      </c>
      <c r="Y23" s="17" t="n">
        <f aca="false">SUM(Y9:Y22)</f>
        <v>64900158.0833605</v>
      </c>
      <c r="Z23" s="17" t="n">
        <f aca="false">SUM(Z9:Z22)</f>
        <v>72652305.3973526</v>
      </c>
      <c r="AA23" s="17" t="n">
        <f aca="false">SUM(AA9:AA22)</f>
        <v>80641779.7965265</v>
      </c>
      <c r="AB23" s="17" t="n">
        <f aca="false">SUM(AB9:AB22)</f>
        <v>88888424.664917</v>
      </c>
      <c r="AC23" s="17" t="n">
        <f aca="false">SUM(AC9:AC22)</f>
        <v>98794525.1159743</v>
      </c>
      <c r="AD23" s="17" t="n">
        <f aca="false">SUM(AD9:AD22)</f>
        <v>108518234.922075</v>
      </c>
      <c r="AE23" s="17" t="n">
        <f aca="false">SUM(AE9:AE22)</f>
        <v>118929123.814289</v>
      </c>
      <c r="AF23" s="17" t="n">
        <f aca="false">SUM(AF9:AF22)</f>
        <v>129408977.889231</v>
      </c>
      <c r="AG23" s="17" t="n">
        <f aca="false">SUM(AG9:AG22)</f>
        <v>151058298.722294</v>
      </c>
      <c r="AH23" s="17" t="n">
        <f aca="false">SUM(AH9:AH22)</f>
        <v>152615221.29183</v>
      </c>
      <c r="AI23" s="17" t="n">
        <f aca="false">SUM(AI9:AI22)</f>
        <v>163356191.015129</v>
      </c>
      <c r="AJ23" s="17" t="n">
        <f aca="false">SUM(AJ9:AJ22)</f>
        <v>174054807.454696</v>
      </c>
      <c r="AK23" s="17" t="n">
        <f aca="false">SUM(AK9:AK22)</f>
        <v>184823930.536994</v>
      </c>
      <c r="AL23" s="17" t="n">
        <f aca="false">SUM(AL9:AL22)</f>
        <v>195674599.827191</v>
      </c>
      <c r="AM23" s="17" t="n">
        <f aca="false">SUM(AM9:AM22)</f>
        <v>207219531.568494</v>
      </c>
      <c r="AN23" s="17" t="n">
        <f aca="false">SUM(AN9:AN22)</f>
        <v>218761534.550036</v>
      </c>
      <c r="AO23" s="17" t="n">
        <f aca="false">SUM(AO9:AO22)</f>
        <v>232269316.711049</v>
      </c>
      <c r="AP23" s="17" t="n">
        <f aca="false">SUM(AP9:AP22)</f>
        <v>246170274.697882</v>
      </c>
      <c r="AQ23" s="17" t="n">
        <f aca="false">SUM(AQ9:AQ22)</f>
        <v>260085192.387835</v>
      </c>
      <c r="AR23" s="17" t="n">
        <f aca="false">SUM(AR9:AR22)</f>
        <v>274131862.385586</v>
      </c>
      <c r="AS23" s="17" t="n">
        <f aca="false">SUM(AS9:AS22)</f>
        <v>288927639.967037</v>
      </c>
      <c r="AT23" s="17" t="n">
        <f aca="false">SUM(AT9:AT22)</f>
        <v>303780229.230403</v>
      </c>
      <c r="AU23" s="17" t="n">
        <f aca="false">SUM(AU9:AU22)</f>
        <v>318810089.082854</v>
      </c>
      <c r="AV23" s="17" t="n">
        <f aca="false">SUM(AV9:AV22)</f>
        <v>335178397.423066</v>
      </c>
      <c r="AW23" s="17" t="n">
        <f aca="false">SUM(AW9:AW22)</f>
        <v>351385641.770409</v>
      </c>
      <c r="AX23" s="17" t="n">
        <f aca="false">SUM(AX9:AX22)</f>
        <v>368080475.104294</v>
      </c>
      <c r="AY23" s="17" t="n">
        <f aca="false">SUM(AY9:AY22)</f>
        <v>384591308.88461</v>
      </c>
      <c r="AZ23" s="17" t="n">
        <f aca="false">SUM(AZ9:AZ22)</f>
        <v>401028325.758086</v>
      </c>
      <c r="BA23" s="17" t="n">
        <f aca="false">SUM(BA9:BA22)</f>
        <v>419864191.693732</v>
      </c>
      <c r="BB23" s="17" t="n">
        <f aca="false">SUM(BB9:BB22)</f>
        <v>438198791.06441</v>
      </c>
      <c r="BC23" s="17" t="n">
        <f aca="false">SUM(BC9:BC22)</f>
        <v>457062001.859577</v>
      </c>
      <c r="BD23" s="17" t="n">
        <f aca="false">SUM(BD9:BD22)</f>
        <v>475753888.709956</v>
      </c>
      <c r="BE23" s="17" t="n">
        <f aca="false">SUM(BE9:BE22)</f>
        <v>494927734.313819</v>
      </c>
      <c r="BF23" s="17" t="n">
        <f aca="false">SUM(BF9:BF22)</f>
        <v>514556517.802596</v>
      </c>
      <c r="BG23" s="17" t="n">
        <f aca="false">SUM(BG9:BG22)</f>
        <v>534033795.021463</v>
      </c>
      <c r="BH23" s="17" t="n">
        <f aca="false">SUM(BH9:BH22)</f>
        <v>554074410.074123</v>
      </c>
      <c r="BI23" s="17" t="n">
        <f aca="false">SUM(BI9:BI22)</f>
        <v>574521825.619683</v>
      </c>
      <c r="BJ23" s="17" t="n">
        <f aca="false">SUM(BJ9:BJ22)</f>
        <v>595453513.46569</v>
      </c>
      <c r="BK23" s="17" t="n">
        <f aca="false">SUM(BK9:BK22)</f>
        <v>616136478.269384</v>
      </c>
      <c r="BL23" s="17" t="n">
        <f aca="false">SUM(BL9:BL22)</f>
        <v>637161742.744675</v>
      </c>
    </row>
    <row r="25" customFormat="false" ht="15" hidden="false" customHeight="true" outlineLevel="0" collapsed="false">
      <c r="A25" s="11" t="s">
        <v>22</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customFormat="false" ht="15" hidden="false" customHeight="true" outlineLevel="0" collapsed="false">
      <c r="A26" s="13" t="s">
        <v>1104</v>
      </c>
      <c r="B26" s="15" t="s">
        <v>77</v>
      </c>
      <c r="D26" s="56" t="n">
        <f aca="false">SUM(E26:BL26)</f>
        <v>355069191.75</v>
      </c>
      <c r="E26" s="24" t="n">
        <f aca="false">Staff!E98</f>
        <v>0</v>
      </c>
      <c r="F26" s="24" t="n">
        <f aca="false">Staff!F98</f>
        <v>0</v>
      </c>
      <c r="G26" s="24" t="n">
        <f aca="false">Staff!G98</f>
        <v>0</v>
      </c>
      <c r="H26" s="24" t="n">
        <f aca="false">Staff!H98</f>
        <v>0</v>
      </c>
      <c r="I26" s="24" t="n">
        <f aca="false">Staff!I98</f>
        <v>0</v>
      </c>
      <c r="J26" s="24" t="n">
        <f aca="false">Staff!J98</f>
        <v>0</v>
      </c>
      <c r="K26" s="24" t="n">
        <f aca="false">Staff!K98</f>
        <v>0</v>
      </c>
      <c r="L26" s="24" t="n">
        <f aca="false">Staff!L98</f>
        <v>0</v>
      </c>
      <c r="M26" s="24" t="n">
        <f aca="false">Staff!M98</f>
        <v>0</v>
      </c>
      <c r="N26" s="24" t="n">
        <f aca="false">Staff!N98</f>
        <v>0</v>
      </c>
      <c r="O26" s="24" t="n">
        <f aca="false">Staff!O98</f>
        <v>0</v>
      </c>
      <c r="P26" s="24" t="n">
        <f aca="false">Staff!P98</f>
        <v>0</v>
      </c>
      <c r="Q26" s="24" t="n">
        <f aca="false">Staff!Q98</f>
        <v>3412500</v>
      </c>
      <c r="R26" s="24" t="n">
        <f aca="false">Staff!R98</f>
        <v>3412500</v>
      </c>
      <c r="S26" s="24" t="n">
        <f aca="false">Staff!S98</f>
        <v>3412500</v>
      </c>
      <c r="T26" s="24" t="n">
        <f aca="false">Staff!T98</f>
        <v>3412500</v>
      </c>
      <c r="U26" s="24" t="n">
        <f aca="false">Staff!U98</f>
        <v>3412500</v>
      </c>
      <c r="V26" s="24" t="n">
        <f aca="false">Staff!V98</f>
        <v>7234500</v>
      </c>
      <c r="W26" s="24" t="n">
        <f aca="false">Staff!W98</f>
        <v>7234500</v>
      </c>
      <c r="X26" s="24" t="n">
        <f aca="false">Staff!X98</f>
        <v>7234500</v>
      </c>
      <c r="Y26" s="24" t="n">
        <f aca="false">Staff!Y98</f>
        <v>7234500</v>
      </c>
      <c r="Z26" s="24" t="n">
        <f aca="false">Staff!Z98</f>
        <v>7234500</v>
      </c>
      <c r="AA26" s="24" t="n">
        <f aca="false">Staff!AA98</f>
        <v>7234500</v>
      </c>
      <c r="AB26" s="24" t="n">
        <f aca="false">Staff!AB98</f>
        <v>7234500</v>
      </c>
      <c r="AC26" s="24" t="n">
        <f aca="false">Staff!AC98</f>
        <v>7596225</v>
      </c>
      <c r="AD26" s="24" t="n">
        <f aca="false">Staff!AD98</f>
        <v>7596225</v>
      </c>
      <c r="AE26" s="24" t="n">
        <f aca="false">Staff!AE98</f>
        <v>7596225</v>
      </c>
      <c r="AF26" s="24" t="n">
        <f aca="false">Staff!AF98</f>
        <v>7596225</v>
      </c>
      <c r="AG26" s="24" t="n">
        <f aca="false">Staff!AG98</f>
        <v>7596225</v>
      </c>
      <c r="AH26" s="24" t="n">
        <f aca="false">Staff!AH98</f>
        <v>7596225</v>
      </c>
      <c r="AI26" s="24" t="n">
        <f aca="false">Staff!AI98</f>
        <v>7596225</v>
      </c>
      <c r="AJ26" s="24" t="n">
        <f aca="false">Staff!AJ98</f>
        <v>7596225</v>
      </c>
      <c r="AK26" s="24" t="n">
        <f aca="false">Staff!AK98</f>
        <v>7596225</v>
      </c>
      <c r="AL26" s="24" t="n">
        <f aca="false">Staff!AL98</f>
        <v>7596225</v>
      </c>
      <c r="AM26" s="24" t="n">
        <f aca="false">Staff!AM98</f>
        <v>7596225</v>
      </c>
      <c r="AN26" s="24" t="n">
        <f aca="false">Staff!AN98</f>
        <v>7596225</v>
      </c>
      <c r="AO26" s="24" t="n">
        <f aca="false">Staff!AO98</f>
        <v>7976036.25</v>
      </c>
      <c r="AP26" s="24" t="n">
        <f aca="false">Staff!AP98</f>
        <v>7976036.25</v>
      </c>
      <c r="AQ26" s="24" t="n">
        <f aca="false">Staff!AQ98</f>
        <v>7976036.25</v>
      </c>
      <c r="AR26" s="24" t="n">
        <f aca="false">Staff!AR98</f>
        <v>7976036.25</v>
      </c>
      <c r="AS26" s="24" t="n">
        <f aca="false">Staff!AS98</f>
        <v>7976036.25</v>
      </c>
      <c r="AT26" s="24" t="n">
        <f aca="false">Staff!AT98</f>
        <v>7976036.25</v>
      </c>
      <c r="AU26" s="24" t="n">
        <f aca="false">Staff!AU98</f>
        <v>7976036.25</v>
      </c>
      <c r="AV26" s="24" t="n">
        <f aca="false">Staff!AV98</f>
        <v>7976036.25</v>
      </c>
      <c r="AW26" s="24" t="n">
        <f aca="false">Staff!AW98</f>
        <v>7976036.25</v>
      </c>
      <c r="AX26" s="24" t="n">
        <f aca="false">Staff!AX98</f>
        <v>7976036.25</v>
      </c>
      <c r="AY26" s="24" t="n">
        <f aca="false">Staff!AY98</f>
        <v>7976036.25</v>
      </c>
      <c r="AZ26" s="24" t="n">
        <f aca="false">Staff!AZ98</f>
        <v>7976036.25</v>
      </c>
      <c r="BA26" s="24" t="n">
        <f aca="false">Staff!BA98</f>
        <v>8374838.0625</v>
      </c>
      <c r="BB26" s="24" t="n">
        <f aca="false">Staff!BB98</f>
        <v>8374838.0625</v>
      </c>
      <c r="BC26" s="24" t="n">
        <f aca="false">Staff!BC98</f>
        <v>8374838.0625</v>
      </c>
      <c r="BD26" s="24" t="n">
        <f aca="false">Staff!BD98</f>
        <v>8374838.0625</v>
      </c>
      <c r="BE26" s="24" t="n">
        <f aca="false">Staff!BE98</f>
        <v>8374838.0625</v>
      </c>
      <c r="BF26" s="24" t="n">
        <f aca="false">Staff!BF98</f>
        <v>8374838.0625</v>
      </c>
      <c r="BG26" s="24" t="n">
        <f aca="false">Staff!BG98</f>
        <v>8374838.0625</v>
      </c>
      <c r="BH26" s="24" t="n">
        <f aca="false">Staff!BH98</f>
        <v>8374838.0625</v>
      </c>
      <c r="BI26" s="24" t="n">
        <f aca="false">Staff!BI98</f>
        <v>8374838.0625</v>
      </c>
      <c r="BJ26" s="24" t="n">
        <f aca="false">Staff!BJ98</f>
        <v>8374838.0625</v>
      </c>
      <c r="BK26" s="24" t="n">
        <f aca="false">Staff!BK98</f>
        <v>8374838.0625</v>
      </c>
      <c r="BL26" s="24" t="n">
        <f aca="false">Staff!BL98</f>
        <v>8374838.0625</v>
      </c>
    </row>
    <row r="27" customFormat="false" ht="15" hidden="false" customHeight="true" outlineLevel="0" collapsed="false">
      <c r="A27" s="13" t="s">
        <v>1108</v>
      </c>
      <c r="B27" s="15" t="s">
        <v>77</v>
      </c>
      <c r="D27" s="56" t="n">
        <f aca="false">SUM(E27:BL27)</f>
        <v>553525927.5</v>
      </c>
      <c r="E27" s="24" t="n">
        <f aca="false">Staff!E99</f>
        <v>6370000</v>
      </c>
      <c r="F27" s="24" t="n">
        <f aca="false">Staff!F99</f>
        <v>6370000</v>
      </c>
      <c r="G27" s="24" t="n">
        <f aca="false">Staff!G99</f>
        <v>6370000</v>
      </c>
      <c r="H27" s="24" t="n">
        <f aca="false">Staff!H99</f>
        <v>6370000</v>
      </c>
      <c r="I27" s="24" t="n">
        <f aca="false">Staff!I99</f>
        <v>6370000</v>
      </c>
      <c r="J27" s="24" t="n">
        <f aca="false">Staff!J99</f>
        <v>6370000</v>
      </c>
      <c r="K27" s="24" t="n">
        <f aca="false">Staff!K99</f>
        <v>6370000</v>
      </c>
      <c r="L27" s="24" t="n">
        <f aca="false">Staff!L99</f>
        <v>6370000</v>
      </c>
      <c r="M27" s="24" t="n">
        <f aca="false">Staff!M99</f>
        <v>6370000</v>
      </c>
      <c r="N27" s="24" t="n">
        <f aca="false">Staff!N99</f>
        <v>6370000</v>
      </c>
      <c r="O27" s="24" t="n">
        <f aca="false">Staff!O99</f>
        <v>6370000</v>
      </c>
      <c r="P27" s="24" t="n">
        <f aca="false">Staff!P99</f>
        <v>6370000</v>
      </c>
      <c r="Q27" s="24" t="n">
        <f aca="false">Staff!Q99</f>
        <v>6688500</v>
      </c>
      <c r="R27" s="24" t="n">
        <f aca="false">Staff!R99</f>
        <v>6688500</v>
      </c>
      <c r="S27" s="24" t="n">
        <f aca="false">Staff!S99</f>
        <v>6688500</v>
      </c>
      <c r="T27" s="24" t="n">
        <f aca="false">Staff!T99</f>
        <v>6688500</v>
      </c>
      <c r="U27" s="24" t="n">
        <f aca="false">Staff!U99</f>
        <v>6688500</v>
      </c>
      <c r="V27" s="24" t="n">
        <f aca="false">Staff!V99</f>
        <v>6688500</v>
      </c>
      <c r="W27" s="24" t="n">
        <f aca="false">Staff!W99</f>
        <v>6688500</v>
      </c>
      <c r="X27" s="24" t="n">
        <f aca="false">Staff!X99</f>
        <v>6688500</v>
      </c>
      <c r="Y27" s="24" t="n">
        <f aca="false">Staff!Y99</f>
        <v>6688500</v>
      </c>
      <c r="Z27" s="24" t="n">
        <f aca="false">Staff!Z99</f>
        <v>6688500</v>
      </c>
      <c r="AA27" s="24" t="n">
        <f aca="false">Staff!AA99</f>
        <v>6688500</v>
      </c>
      <c r="AB27" s="24" t="n">
        <f aca="false">Staff!AB99</f>
        <v>6688500</v>
      </c>
      <c r="AC27" s="24" t="n">
        <f aca="false">Staff!AC99</f>
        <v>7022925</v>
      </c>
      <c r="AD27" s="24" t="n">
        <f aca="false">Staff!AD99</f>
        <v>7022925</v>
      </c>
      <c r="AE27" s="24" t="n">
        <f aca="false">Staff!AE99</f>
        <v>7022925</v>
      </c>
      <c r="AF27" s="24" t="n">
        <f aca="false">Staff!AF99</f>
        <v>8742825</v>
      </c>
      <c r="AG27" s="24" t="n">
        <f aca="false">Staff!AG99</f>
        <v>8742825</v>
      </c>
      <c r="AH27" s="24" t="n">
        <f aca="false">Staff!AH99</f>
        <v>8742825</v>
      </c>
      <c r="AI27" s="24" t="n">
        <f aca="false">Staff!AI99</f>
        <v>8742825</v>
      </c>
      <c r="AJ27" s="24" t="n">
        <f aca="false">Staff!AJ99</f>
        <v>8742825</v>
      </c>
      <c r="AK27" s="24" t="n">
        <f aca="false">Staff!AK99</f>
        <v>8742825</v>
      </c>
      <c r="AL27" s="24" t="n">
        <f aca="false">Staff!AL99</f>
        <v>8742825</v>
      </c>
      <c r="AM27" s="24" t="n">
        <f aca="false">Staff!AM99</f>
        <v>8742825</v>
      </c>
      <c r="AN27" s="24" t="n">
        <f aca="false">Staff!AN99</f>
        <v>8742825</v>
      </c>
      <c r="AO27" s="24" t="n">
        <f aca="false">Staff!AO99</f>
        <v>9179966.25</v>
      </c>
      <c r="AP27" s="24" t="n">
        <f aca="false">Staff!AP99</f>
        <v>9179966.25</v>
      </c>
      <c r="AQ27" s="24" t="n">
        <f aca="false">Staff!AQ99</f>
        <v>9179966.25</v>
      </c>
      <c r="AR27" s="24" t="n">
        <f aca="false">Staff!AR99</f>
        <v>10985861.25</v>
      </c>
      <c r="AS27" s="24" t="n">
        <f aca="false">Staff!AS99</f>
        <v>10985861.25</v>
      </c>
      <c r="AT27" s="24" t="n">
        <f aca="false">Staff!AT99</f>
        <v>10985861.25</v>
      </c>
      <c r="AU27" s="24" t="n">
        <f aca="false">Staff!AU99</f>
        <v>10985861.25</v>
      </c>
      <c r="AV27" s="24" t="n">
        <f aca="false">Staff!AV99</f>
        <v>10985861.25</v>
      </c>
      <c r="AW27" s="24" t="n">
        <f aca="false">Staff!AW99</f>
        <v>10985861.25</v>
      </c>
      <c r="AX27" s="24" t="n">
        <f aca="false">Staff!AX99</f>
        <v>10985861.25</v>
      </c>
      <c r="AY27" s="24" t="n">
        <f aca="false">Staff!AY99</f>
        <v>10985861.25</v>
      </c>
      <c r="AZ27" s="24" t="n">
        <f aca="false">Staff!AZ99</f>
        <v>10985861.25</v>
      </c>
      <c r="BA27" s="24" t="n">
        <f aca="false">Staff!BA99</f>
        <v>13431344.0625</v>
      </c>
      <c r="BB27" s="24" t="n">
        <f aca="false">Staff!BB99</f>
        <v>13431344.0625</v>
      </c>
      <c r="BC27" s="24" t="n">
        <f aca="false">Staff!BC99</f>
        <v>13431344.0625</v>
      </c>
      <c r="BD27" s="24" t="n">
        <f aca="false">Staff!BD99</f>
        <v>13431344.0625</v>
      </c>
      <c r="BE27" s="24" t="n">
        <f aca="false">Staff!BE99</f>
        <v>13431344.0625</v>
      </c>
      <c r="BF27" s="24" t="n">
        <f aca="false">Staff!BF99</f>
        <v>13431344.0625</v>
      </c>
      <c r="BG27" s="24" t="n">
        <f aca="false">Staff!BG99</f>
        <v>13431344.0625</v>
      </c>
      <c r="BH27" s="24" t="n">
        <f aca="false">Staff!BH99</f>
        <v>15327533.8125</v>
      </c>
      <c r="BI27" s="24" t="n">
        <f aca="false">Staff!BI99</f>
        <v>15327533.8125</v>
      </c>
      <c r="BJ27" s="24" t="n">
        <f aca="false">Staff!BJ99</f>
        <v>15327533.8125</v>
      </c>
      <c r="BK27" s="24" t="n">
        <f aca="false">Staff!BK99</f>
        <v>15327533.8125</v>
      </c>
      <c r="BL27" s="24" t="n">
        <f aca="false">Staff!BL99</f>
        <v>15327533.8125</v>
      </c>
    </row>
    <row r="28" customFormat="false" ht="15" hidden="false" customHeight="true" outlineLevel="0" collapsed="false">
      <c r="A28" s="13" t="s">
        <v>1126</v>
      </c>
      <c r="B28" s="15" t="s">
        <v>77</v>
      </c>
      <c r="D28" s="56" t="n">
        <f aca="false">SUM(E28:BL28)</f>
        <v>83377271.25</v>
      </c>
      <c r="E28" s="24" t="n">
        <f aca="false">Staff!E100</f>
        <v>0</v>
      </c>
      <c r="F28" s="24" t="n">
        <f aca="false">Staff!F100</f>
        <v>0</v>
      </c>
      <c r="G28" s="24" t="n">
        <f aca="false">Staff!G100</f>
        <v>0</v>
      </c>
      <c r="H28" s="24" t="n">
        <f aca="false">Staff!H100</f>
        <v>0</v>
      </c>
      <c r="I28" s="24" t="n">
        <f aca="false">Staff!I100</f>
        <v>0</v>
      </c>
      <c r="J28" s="24" t="n">
        <f aca="false">Staff!J100</f>
        <v>0</v>
      </c>
      <c r="K28" s="24" t="n">
        <f aca="false">Staff!K100</f>
        <v>0</v>
      </c>
      <c r="L28" s="24" t="n">
        <f aca="false">Staff!L100</f>
        <v>0</v>
      </c>
      <c r="M28" s="24" t="n">
        <f aca="false">Staff!M100</f>
        <v>0</v>
      </c>
      <c r="N28" s="24" t="n">
        <f aca="false">Staff!N100</f>
        <v>0</v>
      </c>
      <c r="O28" s="24" t="n">
        <f aca="false">Staff!O100</f>
        <v>0</v>
      </c>
      <c r="P28" s="24" t="n">
        <f aca="false">Staff!P100</f>
        <v>0</v>
      </c>
      <c r="Q28" s="24" t="n">
        <f aca="false">Staff!Q100</f>
        <v>0</v>
      </c>
      <c r="R28" s="24" t="n">
        <f aca="false">Staff!R100</f>
        <v>0</v>
      </c>
      <c r="S28" s="24" t="n">
        <f aca="false">Staff!S100</f>
        <v>0</v>
      </c>
      <c r="T28" s="24" t="n">
        <f aca="false">Staff!T100</f>
        <v>0</v>
      </c>
      <c r="U28" s="24" t="n">
        <f aca="false">Staff!U100</f>
        <v>0</v>
      </c>
      <c r="V28" s="24" t="n">
        <f aca="false">Staff!V100</f>
        <v>0</v>
      </c>
      <c r="W28" s="24" t="n">
        <f aca="false">Staff!W100</f>
        <v>0</v>
      </c>
      <c r="X28" s="24" t="n">
        <f aca="false">Staff!X100</f>
        <v>0</v>
      </c>
      <c r="Y28" s="24" t="n">
        <f aca="false">Staff!Y100</f>
        <v>0</v>
      </c>
      <c r="Z28" s="24" t="n">
        <f aca="false">Staff!Z100</f>
        <v>0</v>
      </c>
      <c r="AA28" s="24" t="n">
        <f aca="false">Staff!AA100</f>
        <v>0</v>
      </c>
      <c r="AB28" s="24" t="n">
        <f aca="false">Staff!AB100</f>
        <v>2047500</v>
      </c>
      <c r="AC28" s="24" t="n">
        <f aca="false">Staff!AC100</f>
        <v>2149875</v>
      </c>
      <c r="AD28" s="24" t="n">
        <f aca="false">Staff!AD100</f>
        <v>2149875</v>
      </c>
      <c r="AE28" s="24" t="n">
        <f aca="false">Staff!AE100</f>
        <v>2149875</v>
      </c>
      <c r="AF28" s="24" t="n">
        <f aca="false">Staff!AF100</f>
        <v>2149875</v>
      </c>
      <c r="AG28" s="24" t="n">
        <f aca="false">Staff!AG100</f>
        <v>2149875</v>
      </c>
      <c r="AH28" s="24" t="n">
        <f aca="false">Staff!AH100</f>
        <v>2149875</v>
      </c>
      <c r="AI28" s="24" t="n">
        <f aca="false">Staff!AI100</f>
        <v>2149875</v>
      </c>
      <c r="AJ28" s="24" t="n">
        <f aca="false">Staff!AJ100</f>
        <v>2149875</v>
      </c>
      <c r="AK28" s="24" t="n">
        <f aca="false">Staff!AK100</f>
        <v>2149875</v>
      </c>
      <c r="AL28" s="24" t="n">
        <f aca="false">Staff!AL100</f>
        <v>2149875</v>
      </c>
      <c r="AM28" s="24" t="n">
        <f aca="false">Staff!AM100</f>
        <v>2149875</v>
      </c>
      <c r="AN28" s="24" t="n">
        <f aca="false">Staff!AN100</f>
        <v>2149875</v>
      </c>
      <c r="AO28" s="24" t="n">
        <f aca="false">Staff!AO100</f>
        <v>2257368.75</v>
      </c>
      <c r="AP28" s="24" t="n">
        <f aca="false">Staff!AP100</f>
        <v>2257368.75</v>
      </c>
      <c r="AQ28" s="24" t="n">
        <f aca="false">Staff!AQ100</f>
        <v>2257368.75</v>
      </c>
      <c r="AR28" s="24" t="n">
        <f aca="false">Staff!AR100</f>
        <v>2257368.75</v>
      </c>
      <c r="AS28" s="24" t="n">
        <f aca="false">Staff!AS100</f>
        <v>2257368.75</v>
      </c>
      <c r="AT28" s="24" t="n">
        <f aca="false">Staff!AT100</f>
        <v>2257368.75</v>
      </c>
      <c r="AU28" s="24" t="n">
        <f aca="false">Staff!AU100</f>
        <v>2257368.75</v>
      </c>
      <c r="AV28" s="24" t="n">
        <f aca="false">Staff!AV100</f>
        <v>2257368.75</v>
      </c>
      <c r="AW28" s="24" t="n">
        <f aca="false">Staff!AW100</f>
        <v>2257368.75</v>
      </c>
      <c r="AX28" s="24" t="n">
        <f aca="false">Staff!AX100</f>
        <v>2257368.75</v>
      </c>
      <c r="AY28" s="24" t="n">
        <f aca="false">Staff!AY100</f>
        <v>2257368.75</v>
      </c>
      <c r="AZ28" s="24" t="n">
        <f aca="false">Staff!AZ100</f>
        <v>2257368.75</v>
      </c>
      <c r="BA28" s="24" t="n">
        <f aca="false">Staff!BA100</f>
        <v>2370237.1875</v>
      </c>
      <c r="BB28" s="24" t="n">
        <f aca="false">Staff!BB100</f>
        <v>2370237.1875</v>
      </c>
      <c r="BC28" s="24" t="n">
        <f aca="false">Staff!BC100</f>
        <v>2370237.1875</v>
      </c>
      <c r="BD28" s="24" t="n">
        <f aca="false">Staff!BD100</f>
        <v>2370237.1875</v>
      </c>
      <c r="BE28" s="24" t="n">
        <f aca="false">Staff!BE100</f>
        <v>2370237.1875</v>
      </c>
      <c r="BF28" s="24" t="n">
        <f aca="false">Staff!BF100</f>
        <v>2370237.1875</v>
      </c>
      <c r="BG28" s="24" t="n">
        <f aca="false">Staff!BG100</f>
        <v>2370237.1875</v>
      </c>
      <c r="BH28" s="24" t="n">
        <f aca="false">Staff!BH100</f>
        <v>2370237.1875</v>
      </c>
      <c r="BI28" s="24" t="n">
        <f aca="false">Staff!BI100</f>
        <v>2370237.1875</v>
      </c>
      <c r="BJ28" s="24" t="n">
        <f aca="false">Staff!BJ100</f>
        <v>2370237.1875</v>
      </c>
      <c r="BK28" s="24" t="n">
        <f aca="false">Staff!BK100</f>
        <v>2370237.1875</v>
      </c>
      <c r="BL28" s="24" t="n">
        <f aca="false">Staff!BL100</f>
        <v>2370237.1875</v>
      </c>
    </row>
    <row r="29" customFormat="false" ht="15" hidden="false" customHeight="true" outlineLevel="0" collapsed="false">
      <c r="A29" s="13" t="s">
        <v>28</v>
      </c>
      <c r="B29" s="15" t="s">
        <v>77</v>
      </c>
      <c r="D29" s="56" t="n">
        <f aca="false">SUM(E29:BL29)</f>
        <v>149092909.875</v>
      </c>
      <c r="E29" s="24" t="n">
        <f aca="false">Staff!E101</f>
        <v>0</v>
      </c>
      <c r="F29" s="24" t="n">
        <f aca="false">Staff!F101</f>
        <v>0</v>
      </c>
      <c r="G29" s="24" t="n">
        <f aca="false">Staff!G101</f>
        <v>0</v>
      </c>
      <c r="H29" s="24" t="n">
        <f aca="false">Staff!H101</f>
        <v>0</v>
      </c>
      <c r="I29" s="24" t="n">
        <f aca="false">Staff!I101</f>
        <v>0</v>
      </c>
      <c r="J29" s="24" t="n">
        <f aca="false">Staff!J101</f>
        <v>0</v>
      </c>
      <c r="K29" s="24" t="n">
        <f aca="false">Staff!K101</f>
        <v>0</v>
      </c>
      <c r="L29" s="24" t="n">
        <f aca="false">Staff!L101</f>
        <v>0</v>
      </c>
      <c r="M29" s="24" t="n">
        <f aca="false">Staff!M101</f>
        <v>0</v>
      </c>
      <c r="N29" s="24" t="n">
        <f aca="false">Staff!N101</f>
        <v>0</v>
      </c>
      <c r="O29" s="24" t="n">
        <f aca="false">Staff!O101</f>
        <v>0</v>
      </c>
      <c r="P29" s="24" t="n">
        <f aca="false">Staff!P101</f>
        <v>0</v>
      </c>
      <c r="Q29" s="24" t="n">
        <f aca="false">Staff!Q101</f>
        <v>0</v>
      </c>
      <c r="R29" s="24" t="n">
        <f aca="false">Staff!R101</f>
        <v>0</v>
      </c>
      <c r="S29" s="24" t="n">
        <f aca="false">Staff!S101</f>
        <v>0</v>
      </c>
      <c r="T29" s="24" t="n">
        <f aca="false">Staff!T101</f>
        <v>819000</v>
      </c>
      <c r="U29" s="24" t="n">
        <f aca="false">Staff!U101</f>
        <v>819000</v>
      </c>
      <c r="V29" s="24" t="n">
        <f aca="false">Staff!V101</f>
        <v>819000</v>
      </c>
      <c r="W29" s="24" t="n">
        <f aca="false">Staff!W101</f>
        <v>819000</v>
      </c>
      <c r="X29" s="24" t="n">
        <f aca="false">Staff!X101</f>
        <v>819000</v>
      </c>
      <c r="Y29" s="24" t="n">
        <f aca="false">Staff!Y101</f>
        <v>819000</v>
      </c>
      <c r="Z29" s="24" t="n">
        <f aca="false">Staff!Z101</f>
        <v>819000</v>
      </c>
      <c r="AA29" s="24" t="n">
        <f aca="false">Staff!AA101</f>
        <v>819000</v>
      </c>
      <c r="AB29" s="24" t="n">
        <f aca="false">Staff!AB101</f>
        <v>819000</v>
      </c>
      <c r="AC29" s="24" t="n">
        <f aca="false">Staff!AC101</f>
        <v>859950</v>
      </c>
      <c r="AD29" s="24" t="n">
        <f aca="false">Staff!AD101</f>
        <v>859950</v>
      </c>
      <c r="AE29" s="24" t="n">
        <f aca="false">Staff!AE101</f>
        <v>859950</v>
      </c>
      <c r="AF29" s="24" t="n">
        <f aca="false">Staff!AF101</f>
        <v>859950</v>
      </c>
      <c r="AG29" s="24" t="n">
        <f aca="false">Staff!AG101</f>
        <v>1719900</v>
      </c>
      <c r="AH29" s="24" t="n">
        <f aca="false">Staff!AH101</f>
        <v>1719900</v>
      </c>
      <c r="AI29" s="24" t="n">
        <f aca="false">Staff!AI101</f>
        <v>1719900</v>
      </c>
      <c r="AJ29" s="24" t="n">
        <f aca="false">Staff!AJ101</f>
        <v>1719900</v>
      </c>
      <c r="AK29" s="24" t="n">
        <f aca="false">Staff!AK101</f>
        <v>1719900</v>
      </c>
      <c r="AL29" s="24" t="n">
        <f aca="false">Staff!AL101</f>
        <v>2579850</v>
      </c>
      <c r="AM29" s="24" t="n">
        <f aca="false">Staff!AM101</f>
        <v>2579850</v>
      </c>
      <c r="AN29" s="24" t="n">
        <f aca="false">Staff!AN101</f>
        <v>2579850</v>
      </c>
      <c r="AO29" s="24" t="n">
        <f aca="false">Staff!AO101</f>
        <v>2708842.5</v>
      </c>
      <c r="AP29" s="24" t="n">
        <f aca="false">Staff!AP101</f>
        <v>2708842.5</v>
      </c>
      <c r="AQ29" s="24" t="n">
        <f aca="false">Staff!AQ101</f>
        <v>3611790</v>
      </c>
      <c r="AR29" s="24" t="n">
        <f aca="false">Staff!AR101</f>
        <v>3611790</v>
      </c>
      <c r="AS29" s="24" t="n">
        <f aca="false">Staff!AS101</f>
        <v>3611790</v>
      </c>
      <c r="AT29" s="24" t="n">
        <f aca="false">Staff!AT101</f>
        <v>3611790</v>
      </c>
      <c r="AU29" s="24" t="n">
        <f aca="false">Staff!AU101</f>
        <v>3611790</v>
      </c>
      <c r="AV29" s="24" t="n">
        <f aca="false">Staff!AV101</f>
        <v>3611790</v>
      </c>
      <c r="AW29" s="24" t="n">
        <f aca="false">Staff!AW101</f>
        <v>4514737.5</v>
      </c>
      <c r="AX29" s="24" t="n">
        <f aca="false">Staff!AX101</f>
        <v>4514737.5</v>
      </c>
      <c r="AY29" s="24" t="n">
        <f aca="false">Staff!AY101</f>
        <v>4514737.5</v>
      </c>
      <c r="AZ29" s="24" t="n">
        <f aca="false">Staff!AZ101</f>
        <v>4514737.5</v>
      </c>
      <c r="BA29" s="24" t="n">
        <f aca="false">Staff!BA101</f>
        <v>4740474.375</v>
      </c>
      <c r="BB29" s="24" t="n">
        <f aca="false">Staff!BB101</f>
        <v>5688569.25</v>
      </c>
      <c r="BC29" s="24" t="n">
        <f aca="false">Staff!BC101</f>
        <v>5688569.25</v>
      </c>
      <c r="BD29" s="24" t="n">
        <f aca="false">Staff!BD101</f>
        <v>5688569.25</v>
      </c>
      <c r="BE29" s="24" t="n">
        <f aca="false">Staff!BE101</f>
        <v>5688569.25</v>
      </c>
      <c r="BF29" s="24" t="n">
        <f aca="false">Staff!BF101</f>
        <v>6636664.125</v>
      </c>
      <c r="BG29" s="24" t="n">
        <f aca="false">Staff!BG101</f>
        <v>6636664.125</v>
      </c>
      <c r="BH29" s="24" t="n">
        <f aca="false">Staff!BH101</f>
        <v>6636664.125</v>
      </c>
      <c r="BI29" s="24" t="n">
        <f aca="false">Staff!BI101</f>
        <v>6636664.125</v>
      </c>
      <c r="BJ29" s="24" t="n">
        <f aca="false">Staff!BJ101</f>
        <v>7584759</v>
      </c>
      <c r="BK29" s="24" t="n">
        <f aca="false">Staff!BK101</f>
        <v>7584759</v>
      </c>
      <c r="BL29" s="24" t="n">
        <f aca="false">Staff!BL101</f>
        <v>7584759</v>
      </c>
    </row>
    <row r="30" customFormat="false" ht="15" hidden="false" customHeight="true" outlineLevel="0" collapsed="false">
      <c r="A30" s="13" t="s">
        <v>1290</v>
      </c>
      <c r="B30" s="15" t="s">
        <v>77</v>
      </c>
      <c r="D30" s="56" t="n">
        <f aca="false">SUM(E30:BL30)</f>
        <v>250801974.15</v>
      </c>
      <c r="E30" s="24" t="n">
        <f aca="false">Staff!E102</f>
        <v>0</v>
      </c>
      <c r="F30" s="24" t="n">
        <f aca="false">Staff!F102</f>
        <v>0</v>
      </c>
      <c r="G30" s="24" t="n">
        <f aca="false">Staff!G102</f>
        <v>0</v>
      </c>
      <c r="H30" s="24" t="n">
        <f aca="false">Staff!H102</f>
        <v>728000</v>
      </c>
      <c r="I30" s="24" t="n">
        <f aca="false">Staff!I102</f>
        <v>728000</v>
      </c>
      <c r="J30" s="24" t="n">
        <f aca="false">Staff!J102</f>
        <v>728000</v>
      </c>
      <c r="K30" s="24" t="n">
        <f aca="false">Staff!K102</f>
        <v>728000</v>
      </c>
      <c r="L30" s="24" t="n">
        <f aca="false">Staff!L102</f>
        <v>728000</v>
      </c>
      <c r="M30" s="24" t="n">
        <f aca="false">Staff!M102</f>
        <v>728000</v>
      </c>
      <c r="N30" s="24" t="n">
        <f aca="false">Staff!N102</f>
        <v>728000</v>
      </c>
      <c r="O30" s="24" t="n">
        <f aca="false">Staff!O102</f>
        <v>728000</v>
      </c>
      <c r="P30" s="24" t="n">
        <f aca="false">Staff!P102</f>
        <v>728000</v>
      </c>
      <c r="Q30" s="24" t="n">
        <f aca="false">Staff!Q102</f>
        <v>764400</v>
      </c>
      <c r="R30" s="24" t="n">
        <f aca="false">Staff!R102</f>
        <v>764400</v>
      </c>
      <c r="S30" s="24" t="n">
        <f aca="false">Staff!S102</f>
        <v>764400</v>
      </c>
      <c r="T30" s="24" t="n">
        <f aca="false">Staff!T102</f>
        <v>764400</v>
      </c>
      <c r="U30" s="24" t="n">
        <f aca="false">Staff!U102</f>
        <v>764400</v>
      </c>
      <c r="V30" s="24" t="n">
        <f aca="false">Staff!V102</f>
        <v>764400</v>
      </c>
      <c r="W30" s="24" t="n">
        <f aca="false">Staff!W102</f>
        <v>764400</v>
      </c>
      <c r="X30" s="24" t="n">
        <f aca="false">Staff!X102</f>
        <v>764400</v>
      </c>
      <c r="Y30" s="24" t="n">
        <f aca="false">Staff!Y102</f>
        <v>1146600</v>
      </c>
      <c r="Z30" s="24" t="n">
        <f aca="false">Staff!Z102</f>
        <v>1146600</v>
      </c>
      <c r="AA30" s="24" t="n">
        <f aca="false">Staff!AA102</f>
        <v>1146600</v>
      </c>
      <c r="AB30" s="24" t="n">
        <f aca="false">Staff!AB102</f>
        <v>1146600</v>
      </c>
      <c r="AC30" s="24" t="n">
        <f aca="false">Staff!AC102</f>
        <v>1605240</v>
      </c>
      <c r="AD30" s="24" t="n">
        <f aca="false">Staff!AD102</f>
        <v>1605240</v>
      </c>
      <c r="AE30" s="24" t="n">
        <f aca="false">Staff!AE102</f>
        <v>1605240</v>
      </c>
      <c r="AF30" s="24" t="n">
        <f aca="false">Staff!AF102</f>
        <v>2006550</v>
      </c>
      <c r="AG30" s="24" t="n">
        <f aca="false">Staff!AG102</f>
        <v>2809170</v>
      </c>
      <c r="AH30" s="24" t="n">
        <f aca="false">Staff!AH102</f>
        <v>2809170</v>
      </c>
      <c r="AI30" s="24" t="n">
        <f aca="false">Staff!AI102</f>
        <v>3210480</v>
      </c>
      <c r="AJ30" s="24" t="n">
        <f aca="false">Staff!AJ102</f>
        <v>3210480</v>
      </c>
      <c r="AK30" s="24" t="n">
        <f aca="false">Staff!AK102</f>
        <v>3611790</v>
      </c>
      <c r="AL30" s="24" t="n">
        <f aca="false">Staff!AL102</f>
        <v>3611790</v>
      </c>
      <c r="AM30" s="24" t="n">
        <f aca="false">Staff!AM102</f>
        <v>4013100</v>
      </c>
      <c r="AN30" s="24" t="n">
        <f aca="false">Staff!AN102</f>
        <v>4013100</v>
      </c>
      <c r="AO30" s="24" t="n">
        <f aca="false">Staff!AO102</f>
        <v>4635130.5</v>
      </c>
      <c r="AP30" s="24" t="n">
        <f aca="false">Staff!AP102</f>
        <v>4635130.5</v>
      </c>
      <c r="AQ30" s="24" t="n">
        <f aca="false">Staff!AQ102</f>
        <v>5056506</v>
      </c>
      <c r="AR30" s="24" t="n">
        <f aca="false">Staff!AR102</f>
        <v>5477881.5</v>
      </c>
      <c r="AS30" s="24" t="n">
        <f aca="false">Staff!AS102</f>
        <v>5477881.5</v>
      </c>
      <c r="AT30" s="24" t="n">
        <f aca="false">Staff!AT102</f>
        <v>5899257</v>
      </c>
      <c r="AU30" s="24" t="n">
        <f aca="false">Staff!AU102</f>
        <v>6320632.5</v>
      </c>
      <c r="AV30" s="24" t="n">
        <f aca="false">Staff!AV102</f>
        <v>6320632.5</v>
      </c>
      <c r="AW30" s="24" t="n">
        <f aca="false">Staff!AW102</f>
        <v>6742008</v>
      </c>
      <c r="AX30" s="24" t="n">
        <f aca="false">Staff!AX102</f>
        <v>7163383.5</v>
      </c>
      <c r="AY30" s="24" t="n">
        <f aca="false">Staff!AY102</f>
        <v>7584759</v>
      </c>
      <c r="AZ30" s="24" t="n">
        <f aca="false">Staff!AZ102</f>
        <v>7584759</v>
      </c>
      <c r="BA30" s="24" t="n">
        <f aca="false">Staff!BA102</f>
        <v>8406441.225</v>
      </c>
      <c r="BB30" s="24" t="n">
        <f aca="false">Staff!BB102</f>
        <v>8848885.5</v>
      </c>
      <c r="BC30" s="24" t="n">
        <f aca="false">Staff!BC102</f>
        <v>9291329.775</v>
      </c>
      <c r="BD30" s="24" t="n">
        <f aca="false">Staff!BD102</f>
        <v>9733774.05</v>
      </c>
      <c r="BE30" s="24" t="n">
        <f aca="false">Staff!BE102</f>
        <v>9733774.05</v>
      </c>
      <c r="BF30" s="24" t="n">
        <f aca="false">Staff!BF102</f>
        <v>10176218.325</v>
      </c>
      <c r="BG30" s="24" t="n">
        <f aca="false">Staff!BG102</f>
        <v>10618662.6</v>
      </c>
      <c r="BH30" s="24" t="n">
        <f aca="false">Staff!BH102</f>
        <v>11061106.875</v>
      </c>
      <c r="BI30" s="24" t="n">
        <f aca="false">Staff!BI102</f>
        <v>11503551.15</v>
      </c>
      <c r="BJ30" s="24" t="n">
        <f aca="false">Staff!BJ102</f>
        <v>11945995.425</v>
      </c>
      <c r="BK30" s="24" t="n">
        <f aca="false">Staff!BK102</f>
        <v>12388439.7</v>
      </c>
      <c r="BL30" s="24" t="n">
        <f aca="false">Staff!BL102</f>
        <v>12830883.975</v>
      </c>
    </row>
    <row r="31" customFormat="false" ht="15" hidden="false" customHeight="true" outlineLevel="0" collapsed="false">
      <c r="A31" s="13" t="s">
        <v>1114</v>
      </c>
      <c r="B31" s="15" t="s">
        <v>77</v>
      </c>
      <c r="D31" s="56" t="n">
        <f aca="false">SUM(E31:BL31)</f>
        <v>434116542.84375</v>
      </c>
      <c r="E31" s="24" t="n">
        <f aca="false">Staff!E103</f>
        <v>1560000</v>
      </c>
      <c r="F31" s="24" t="n">
        <f aca="false">Staff!F103</f>
        <v>1560000</v>
      </c>
      <c r="G31" s="24" t="n">
        <f aca="false">Staff!G103</f>
        <v>1560000</v>
      </c>
      <c r="H31" s="24" t="n">
        <f aca="false">Staff!H103</f>
        <v>2600000</v>
      </c>
      <c r="I31" s="24" t="n">
        <f aca="false">Staff!I103</f>
        <v>2600000</v>
      </c>
      <c r="J31" s="24" t="n">
        <f aca="false">Staff!J103</f>
        <v>2600000</v>
      </c>
      <c r="K31" s="24" t="n">
        <f aca="false">Staff!K103</f>
        <v>2600000</v>
      </c>
      <c r="L31" s="24" t="n">
        <f aca="false">Staff!L103</f>
        <v>2600000</v>
      </c>
      <c r="M31" s="24" t="n">
        <f aca="false">Staff!M103</f>
        <v>2600000</v>
      </c>
      <c r="N31" s="24" t="n">
        <f aca="false">Staff!N103</f>
        <v>2600000</v>
      </c>
      <c r="O31" s="24" t="n">
        <f aca="false">Staff!O103</f>
        <v>2600000</v>
      </c>
      <c r="P31" s="24" t="n">
        <f aca="false">Staff!P103</f>
        <v>2600000</v>
      </c>
      <c r="Q31" s="24" t="n">
        <f aca="false">Staff!Q103</f>
        <v>2730000</v>
      </c>
      <c r="R31" s="24" t="n">
        <f aca="false">Staff!R103</f>
        <v>2730000</v>
      </c>
      <c r="S31" s="24" t="n">
        <f aca="false">Staff!S103</f>
        <v>2730000</v>
      </c>
      <c r="T31" s="24" t="n">
        <f aca="false">Staff!T103</f>
        <v>2730000</v>
      </c>
      <c r="U31" s="24" t="n">
        <f aca="false">Staff!U103</f>
        <v>2730000</v>
      </c>
      <c r="V31" s="24" t="n">
        <f aca="false">Staff!V103</f>
        <v>3958500</v>
      </c>
      <c r="W31" s="24" t="n">
        <f aca="false">Staff!W103</f>
        <v>3958500</v>
      </c>
      <c r="X31" s="24" t="n">
        <f aca="false">Staff!X103</f>
        <v>4504500</v>
      </c>
      <c r="Y31" s="24" t="n">
        <f aca="false">Staff!Y103</f>
        <v>4504500</v>
      </c>
      <c r="Z31" s="24" t="n">
        <f aca="false">Staff!Z103</f>
        <v>4504500</v>
      </c>
      <c r="AA31" s="24" t="n">
        <f aca="false">Staff!AA103</f>
        <v>4504500</v>
      </c>
      <c r="AB31" s="24" t="n">
        <f aca="false">Staff!AB103</f>
        <v>4504500</v>
      </c>
      <c r="AC31" s="24" t="n">
        <f aca="false">Staff!AC103</f>
        <v>4729725</v>
      </c>
      <c r="AD31" s="24" t="n">
        <f aca="false">Staff!AD103</f>
        <v>5303025</v>
      </c>
      <c r="AE31" s="24" t="n">
        <f aca="false">Staff!AE103</f>
        <v>5303025</v>
      </c>
      <c r="AF31" s="24" t="n">
        <f aca="false">Staff!AF103</f>
        <v>5303025</v>
      </c>
      <c r="AG31" s="24" t="n">
        <f aca="false">Staff!AG103</f>
        <v>5303025</v>
      </c>
      <c r="AH31" s="24" t="n">
        <f aca="false">Staff!AH103</f>
        <v>5876325</v>
      </c>
      <c r="AI31" s="24" t="n">
        <f aca="false">Staff!AI103</f>
        <v>5876325</v>
      </c>
      <c r="AJ31" s="24" t="n">
        <f aca="false">Staff!AJ103</f>
        <v>5876325</v>
      </c>
      <c r="AK31" s="24" t="n">
        <f aca="false">Staff!AK103</f>
        <v>5876325</v>
      </c>
      <c r="AL31" s="24" t="n">
        <f aca="false">Staff!AL103</f>
        <v>6449625</v>
      </c>
      <c r="AM31" s="24" t="n">
        <f aca="false">Staff!AM103</f>
        <v>6449625</v>
      </c>
      <c r="AN31" s="24" t="n">
        <f aca="false">Staff!AN103</f>
        <v>7094587.5</v>
      </c>
      <c r="AO31" s="24" t="n">
        <f aca="false">Staff!AO103</f>
        <v>8051281.875</v>
      </c>
      <c r="AP31" s="24" t="n">
        <f aca="false">Staff!AP103</f>
        <v>8051281.875</v>
      </c>
      <c r="AQ31" s="24" t="n">
        <f aca="false">Staff!AQ103</f>
        <v>8051281.875</v>
      </c>
      <c r="AR31" s="24" t="n">
        <f aca="false">Staff!AR103</f>
        <v>8653246.875</v>
      </c>
      <c r="AS31" s="24" t="n">
        <f aca="false">Staff!AS103</f>
        <v>8653246.875</v>
      </c>
      <c r="AT31" s="24" t="n">
        <f aca="false">Staff!AT103</f>
        <v>8653246.875</v>
      </c>
      <c r="AU31" s="24" t="n">
        <f aca="false">Staff!AU103</f>
        <v>9932422.5</v>
      </c>
      <c r="AV31" s="24" t="n">
        <f aca="false">Staff!AV103</f>
        <v>9932422.5</v>
      </c>
      <c r="AW31" s="24" t="n">
        <f aca="false">Staff!AW103</f>
        <v>10534387.5</v>
      </c>
      <c r="AX31" s="24" t="n">
        <f aca="false">Staff!AX103</f>
        <v>10534387.5</v>
      </c>
      <c r="AY31" s="24" t="n">
        <f aca="false">Staff!AY103</f>
        <v>10534387.5</v>
      </c>
      <c r="AZ31" s="24" t="n">
        <f aca="false">Staff!AZ103</f>
        <v>11813563.125</v>
      </c>
      <c r="BA31" s="24" t="n">
        <f aca="false">Staff!BA103</f>
        <v>12404241.28125</v>
      </c>
      <c r="BB31" s="24" t="n">
        <f aca="false">Staff!BB103</f>
        <v>13036304.53125</v>
      </c>
      <c r="BC31" s="24" t="n">
        <f aca="false">Staff!BC103</f>
        <v>13036304.53125</v>
      </c>
      <c r="BD31" s="24" t="n">
        <f aca="false">Staff!BD103</f>
        <v>13747375.6875</v>
      </c>
      <c r="BE31" s="24" t="n">
        <f aca="false">Staff!BE103</f>
        <v>14379438.9375</v>
      </c>
      <c r="BF31" s="24" t="n">
        <f aca="false">Staff!BF103</f>
        <v>14379438.9375</v>
      </c>
      <c r="BG31" s="24" t="n">
        <f aca="false">Staff!BG103</f>
        <v>15011502.1875</v>
      </c>
      <c r="BH31" s="24" t="n">
        <f aca="false">Staff!BH103</f>
        <v>15722573.34375</v>
      </c>
      <c r="BI31" s="24" t="n">
        <f aca="false">Staff!BI103</f>
        <v>16354636.59375</v>
      </c>
      <c r="BJ31" s="24" t="n">
        <f aca="false">Staff!BJ103</f>
        <v>16354636.59375</v>
      </c>
      <c r="BK31" s="24" t="n">
        <f aca="false">Staff!BK103</f>
        <v>16986699.84375</v>
      </c>
      <c r="BL31" s="24" t="n">
        <f aca="false">Staff!BL103</f>
        <v>17697771</v>
      </c>
    </row>
    <row r="32" customFormat="false" ht="15" hidden="false" customHeight="true" outlineLevel="0" collapsed="false">
      <c r="A32" s="13" t="s">
        <v>1119</v>
      </c>
      <c r="B32" s="15" t="s">
        <v>77</v>
      </c>
      <c r="D32" s="56" t="n">
        <f aca="false">SUM(E32:BL32)</f>
        <v>106469801.75</v>
      </c>
      <c r="E32" s="24" t="n">
        <f aca="false">Staff!E104</f>
        <v>0</v>
      </c>
      <c r="F32" s="24" t="n">
        <f aca="false">Staff!F104</f>
        <v>0</v>
      </c>
      <c r="G32" s="24" t="n">
        <f aca="false">Staff!G104</f>
        <v>0</v>
      </c>
      <c r="H32" s="24" t="n">
        <f aca="false">Staff!H104</f>
        <v>1170000</v>
      </c>
      <c r="I32" s="24" t="n">
        <f aca="false">Staff!I104</f>
        <v>1690000</v>
      </c>
      <c r="J32" s="24" t="n">
        <f aca="false">Staff!J104</f>
        <v>1690000</v>
      </c>
      <c r="K32" s="24" t="n">
        <f aca="false">Staff!K104</f>
        <v>1690000</v>
      </c>
      <c r="L32" s="24" t="n">
        <f aca="false">Staff!L104</f>
        <v>1690000</v>
      </c>
      <c r="M32" s="24" t="n">
        <f aca="false">Staff!M104</f>
        <v>1690000</v>
      </c>
      <c r="N32" s="24" t="n">
        <f aca="false">Staff!N104</f>
        <v>1690000</v>
      </c>
      <c r="O32" s="24" t="n">
        <f aca="false">Staff!O104</f>
        <v>1690000</v>
      </c>
      <c r="P32" s="24" t="n">
        <f aca="false">Staff!P104</f>
        <v>1690000</v>
      </c>
      <c r="Q32" s="24" t="n">
        <f aca="false">Staff!Q104</f>
        <v>1774500</v>
      </c>
      <c r="R32" s="24" t="n">
        <f aca="false">Staff!R104</f>
        <v>1774500</v>
      </c>
      <c r="S32" s="24" t="n">
        <f aca="false">Staff!S104</f>
        <v>1774500</v>
      </c>
      <c r="T32" s="24" t="n">
        <f aca="false">Staff!T104</f>
        <v>1774500</v>
      </c>
      <c r="U32" s="24" t="n">
        <f aca="false">Staff!U104</f>
        <v>1774500</v>
      </c>
      <c r="V32" s="24" t="n">
        <f aca="false">Staff!V104</f>
        <v>1774500</v>
      </c>
      <c r="W32" s="24" t="n">
        <f aca="false">Staff!W104</f>
        <v>1774500</v>
      </c>
      <c r="X32" s="24" t="n">
        <f aca="false">Staff!X104</f>
        <v>1774500</v>
      </c>
      <c r="Y32" s="24" t="n">
        <f aca="false">Staff!Y104</f>
        <v>1774500</v>
      </c>
      <c r="Z32" s="24" t="n">
        <f aca="false">Staff!Z104</f>
        <v>1774500</v>
      </c>
      <c r="AA32" s="24" t="n">
        <f aca="false">Staff!AA104</f>
        <v>1774500</v>
      </c>
      <c r="AB32" s="24" t="n">
        <f aca="false">Staff!AB104</f>
        <v>1774500</v>
      </c>
      <c r="AC32" s="24" t="n">
        <f aca="false">Staff!AC104</f>
        <v>1863225</v>
      </c>
      <c r="AD32" s="24" t="n">
        <f aca="false">Staff!AD104</f>
        <v>1863225</v>
      </c>
      <c r="AE32" s="24" t="n">
        <f aca="false">Staff!AE104</f>
        <v>1863225</v>
      </c>
      <c r="AF32" s="24" t="n">
        <f aca="false">Staff!AF104</f>
        <v>1863225</v>
      </c>
      <c r="AG32" s="24" t="n">
        <f aca="false">Staff!AG104</f>
        <v>1863225</v>
      </c>
      <c r="AH32" s="24" t="n">
        <f aca="false">Staff!AH104</f>
        <v>1863225</v>
      </c>
      <c r="AI32" s="24" t="n">
        <f aca="false">Staff!AI104</f>
        <v>1863225</v>
      </c>
      <c r="AJ32" s="24" t="n">
        <f aca="false">Staff!AJ104</f>
        <v>1863225</v>
      </c>
      <c r="AK32" s="24" t="n">
        <f aca="false">Staff!AK104</f>
        <v>1863225</v>
      </c>
      <c r="AL32" s="24" t="n">
        <f aca="false">Staff!AL104</f>
        <v>1863225</v>
      </c>
      <c r="AM32" s="24" t="n">
        <f aca="false">Staff!AM104</f>
        <v>1863225</v>
      </c>
      <c r="AN32" s="24" t="n">
        <f aca="false">Staff!AN104</f>
        <v>1863225</v>
      </c>
      <c r="AO32" s="24" t="n">
        <f aca="false">Staff!AO104</f>
        <v>1956386.25</v>
      </c>
      <c r="AP32" s="24" t="n">
        <f aca="false">Staff!AP104</f>
        <v>1956386.25</v>
      </c>
      <c r="AQ32" s="24" t="n">
        <f aca="false">Staff!AQ104</f>
        <v>1956386.25</v>
      </c>
      <c r="AR32" s="24" t="n">
        <f aca="false">Staff!AR104</f>
        <v>1956386.25</v>
      </c>
      <c r="AS32" s="24" t="n">
        <f aca="false">Staff!AS104</f>
        <v>1956386.25</v>
      </c>
      <c r="AT32" s="24" t="n">
        <f aca="false">Staff!AT104</f>
        <v>1956386.25</v>
      </c>
      <c r="AU32" s="24" t="n">
        <f aca="false">Staff!AU104</f>
        <v>1956386.25</v>
      </c>
      <c r="AV32" s="24" t="n">
        <f aca="false">Staff!AV104</f>
        <v>1956386.25</v>
      </c>
      <c r="AW32" s="24" t="n">
        <f aca="false">Staff!AW104</f>
        <v>1956386.25</v>
      </c>
      <c r="AX32" s="24" t="n">
        <f aca="false">Staff!AX104</f>
        <v>1956386.25</v>
      </c>
      <c r="AY32" s="24" t="n">
        <f aca="false">Staff!AY104</f>
        <v>1956386.25</v>
      </c>
      <c r="AZ32" s="24" t="n">
        <f aca="false">Staff!AZ104</f>
        <v>1956386.25</v>
      </c>
      <c r="BA32" s="24" t="n">
        <f aca="false">Staff!BA104</f>
        <v>2054205.5625</v>
      </c>
      <c r="BB32" s="24" t="n">
        <f aca="false">Staff!BB104</f>
        <v>2054205.5625</v>
      </c>
      <c r="BC32" s="24" t="n">
        <f aca="false">Staff!BC104</f>
        <v>2054205.5625</v>
      </c>
      <c r="BD32" s="24" t="n">
        <f aca="false">Staff!BD104</f>
        <v>2054205.5625</v>
      </c>
      <c r="BE32" s="24" t="n">
        <f aca="false">Staff!BE104</f>
        <v>2054205.5625</v>
      </c>
      <c r="BF32" s="24" t="n">
        <f aca="false">Staff!BF104</f>
        <v>2054205.5625</v>
      </c>
      <c r="BG32" s="24" t="n">
        <f aca="false">Staff!BG104</f>
        <v>2054205.5625</v>
      </c>
      <c r="BH32" s="24" t="n">
        <f aca="false">Staff!BH104</f>
        <v>2054205.5625</v>
      </c>
      <c r="BI32" s="24" t="n">
        <f aca="false">Staff!BI104</f>
        <v>2054205.5625</v>
      </c>
      <c r="BJ32" s="24" t="n">
        <f aca="false">Staff!BJ104</f>
        <v>2054205.5625</v>
      </c>
      <c r="BK32" s="24" t="n">
        <f aca="false">Staff!BK104</f>
        <v>2054205.5625</v>
      </c>
      <c r="BL32" s="24" t="n">
        <f aca="false">Staff!BL104</f>
        <v>2054205.5625</v>
      </c>
    </row>
    <row r="33" customFormat="false" ht="15" hidden="false" customHeight="true" outlineLevel="0" collapsed="false">
      <c r="A33" s="13" t="s">
        <v>1111</v>
      </c>
      <c r="B33" s="15" t="s">
        <v>77</v>
      </c>
      <c r="D33" s="56" t="n">
        <f aca="false">SUM(E33:BL33)</f>
        <v>129299771.25</v>
      </c>
      <c r="E33" s="24" t="n">
        <f aca="false">Staff!E105</f>
        <v>1950000</v>
      </c>
      <c r="F33" s="24" t="n">
        <f aca="false">Staff!F105</f>
        <v>1950000</v>
      </c>
      <c r="G33" s="24" t="n">
        <f aca="false">Staff!G105</f>
        <v>1950000</v>
      </c>
      <c r="H33" s="24" t="n">
        <f aca="false">Staff!H105</f>
        <v>1950000</v>
      </c>
      <c r="I33" s="24" t="n">
        <f aca="false">Staff!I105</f>
        <v>1950000</v>
      </c>
      <c r="J33" s="24" t="n">
        <f aca="false">Staff!J105</f>
        <v>1950000</v>
      </c>
      <c r="K33" s="24" t="n">
        <f aca="false">Staff!K105</f>
        <v>1950000</v>
      </c>
      <c r="L33" s="24" t="n">
        <f aca="false">Staff!L105</f>
        <v>1950000</v>
      </c>
      <c r="M33" s="24" t="n">
        <f aca="false">Staff!M105</f>
        <v>1950000</v>
      </c>
      <c r="N33" s="24" t="n">
        <f aca="false">Staff!N105</f>
        <v>1950000</v>
      </c>
      <c r="O33" s="24" t="n">
        <f aca="false">Staff!O105</f>
        <v>1950000</v>
      </c>
      <c r="P33" s="24" t="n">
        <f aca="false">Staff!P105</f>
        <v>1950000</v>
      </c>
      <c r="Q33" s="24" t="n">
        <f aca="false">Staff!Q105</f>
        <v>2047500</v>
      </c>
      <c r="R33" s="24" t="n">
        <f aca="false">Staff!R105</f>
        <v>2047500</v>
      </c>
      <c r="S33" s="24" t="n">
        <f aca="false">Staff!S105</f>
        <v>2047500</v>
      </c>
      <c r="T33" s="24" t="n">
        <f aca="false">Staff!T105</f>
        <v>2047500</v>
      </c>
      <c r="U33" s="24" t="n">
        <f aca="false">Staff!U105</f>
        <v>2047500</v>
      </c>
      <c r="V33" s="24" t="n">
        <f aca="false">Staff!V105</f>
        <v>2047500</v>
      </c>
      <c r="W33" s="24" t="n">
        <f aca="false">Staff!W105</f>
        <v>2047500</v>
      </c>
      <c r="X33" s="24" t="n">
        <f aca="false">Staff!X105</f>
        <v>2047500</v>
      </c>
      <c r="Y33" s="24" t="n">
        <f aca="false">Staff!Y105</f>
        <v>2047500</v>
      </c>
      <c r="Z33" s="24" t="n">
        <f aca="false">Staff!Z105</f>
        <v>2047500</v>
      </c>
      <c r="AA33" s="24" t="n">
        <f aca="false">Staff!AA105</f>
        <v>2047500</v>
      </c>
      <c r="AB33" s="24" t="n">
        <f aca="false">Staff!AB105</f>
        <v>2047500</v>
      </c>
      <c r="AC33" s="24" t="n">
        <f aca="false">Staff!AC105</f>
        <v>2149875</v>
      </c>
      <c r="AD33" s="24" t="n">
        <f aca="false">Staff!AD105</f>
        <v>2149875</v>
      </c>
      <c r="AE33" s="24" t="n">
        <f aca="false">Staff!AE105</f>
        <v>2149875</v>
      </c>
      <c r="AF33" s="24" t="n">
        <f aca="false">Staff!AF105</f>
        <v>2149875</v>
      </c>
      <c r="AG33" s="24" t="n">
        <f aca="false">Staff!AG105</f>
        <v>2149875</v>
      </c>
      <c r="AH33" s="24" t="n">
        <f aca="false">Staff!AH105</f>
        <v>2149875</v>
      </c>
      <c r="AI33" s="24" t="n">
        <f aca="false">Staff!AI105</f>
        <v>2149875</v>
      </c>
      <c r="AJ33" s="24" t="n">
        <f aca="false">Staff!AJ105</f>
        <v>2149875</v>
      </c>
      <c r="AK33" s="24" t="n">
        <f aca="false">Staff!AK105</f>
        <v>2149875</v>
      </c>
      <c r="AL33" s="24" t="n">
        <f aca="false">Staff!AL105</f>
        <v>2149875</v>
      </c>
      <c r="AM33" s="24" t="n">
        <f aca="false">Staff!AM105</f>
        <v>2149875</v>
      </c>
      <c r="AN33" s="24" t="n">
        <f aca="false">Staff!AN105</f>
        <v>2149875</v>
      </c>
      <c r="AO33" s="24" t="n">
        <f aca="false">Staff!AO105</f>
        <v>2257368.75</v>
      </c>
      <c r="AP33" s="24" t="n">
        <f aca="false">Staff!AP105</f>
        <v>2257368.75</v>
      </c>
      <c r="AQ33" s="24" t="n">
        <f aca="false">Staff!AQ105</f>
        <v>2257368.75</v>
      </c>
      <c r="AR33" s="24" t="n">
        <f aca="false">Staff!AR105</f>
        <v>2257368.75</v>
      </c>
      <c r="AS33" s="24" t="n">
        <f aca="false">Staff!AS105</f>
        <v>2257368.75</v>
      </c>
      <c r="AT33" s="24" t="n">
        <f aca="false">Staff!AT105</f>
        <v>2257368.75</v>
      </c>
      <c r="AU33" s="24" t="n">
        <f aca="false">Staff!AU105</f>
        <v>2257368.75</v>
      </c>
      <c r="AV33" s="24" t="n">
        <f aca="false">Staff!AV105</f>
        <v>2257368.75</v>
      </c>
      <c r="AW33" s="24" t="n">
        <f aca="false">Staff!AW105</f>
        <v>2257368.75</v>
      </c>
      <c r="AX33" s="24" t="n">
        <f aca="false">Staff!AX105</f>
        <v>2257368.75</v>
      </c>
      <c r="AY33" s="24" t="n">
        <f aca="false">Staff!AY105</f>
        <v>2257368.75</v>
      </c>
      <c r="AZ33" s="24" t="n">
        <f aca="false">Staff!AZ105</f>
        <v>2257368.75</v>
      </c>
      <c r="BA33" s="24" t="n">
        <f aca="false">Staff!BA105</f>
        <v>2370237.1875</v>
      </c>
      <c r="BB33" s="24" t="n">
        <f aca="false">Staff!BB105</f>
        <v>2370237.1875</v>
      </c>
      <c r="BC33" s="24" t="n">
        <f aca="false">Staff!BC105</f>
        <v>2370237.1875</v>
      </c>
      <c r="BD33" s="24" t="n">
        <f aca="false">Staff!BD105</f>
        <v>2370237.1875</v>
      </c>
      <c r="BE33" s="24" t="n">
        <f aca="false">Staff!BE105</f>
        <v>2370237.1875</v>
      </c>
      <c r="BF33" s="24" t="n">
        <f aca="false">Staff!BF105</f>
        <v>2370237.1875</v>
      </c>
      <c r="BG33" s="24" t="n">
        <f aca="false">Staff!BG105</f>
        <v>2370237.1875</v>
      </c>
      <c r="BH33" s="24" t="n">
        <f aca="false">Staff!BH105</f>
        <v>2370237.1875</v>
      </c>
      <c r="BI33" s="24" t="n">
        <f aca="false">Staff!BI105</f>
        <v>2370237.1875</v>
      </c>
      <c r="BJ33" s="24" t="n">
        <f aca="false">Staff!BJ105</f>
        <v>2370237.1875</v>
      </c>
      <c r="BK33" s="24" t="n">
        <f aca="false">Staff!BK105</f>
        <v>2370237.1875</v>
      </c>
      <c r="BL33" s="24" t="n">
        <f aca="false">Staff!BL105</f>
        <v>2370237.1875</v>
      </c>
    </row>
    <row r="34" customFormat="false" ht="15" hidden="false" customHeight="true" outlineLevel="0" collapsed="false">
      <c r="A34" s="9" t="s">
        <v>1291</v>
      </c>
      <c r="B34" s="15" t="s">
        <v>77</v>
      </c>
      <c r="D34" s="56" t="n">
        <f aca="false">SUM(E34:BL34)</f>
        <v>2061753390.36875</v>
      </c>
      <c r="E34" s="17" t="n">
        <f aca="false">SUM(E26:E33)</f>
        <v>9880000</v>
      </c>
      <c r="F34" s="17" t="n">
        <f aca="false">SUM(F26:F33)</f>
        <v>9880000</v>
      </c>
      <c r="G34" s="17" t="n">
        <f aca="false">SUM(G26:G33)</f>
        <v>9880000</v>
      </c>
      <c r="H34" s="17" t="n">
        <f aca="false">SUM(H26:H33)</f>
        <v>12818000</v>
      </c>
      <c r="I34" s="17" t="n">
        <f aca="false">SUM(I26:I33)</f>
        <v>13338000</v>
      </c>
      <c r="J34" s="17" t="n">
        <f aca="false">SUM(J26:J33)</f>
        <v>13338000</v>
      </c>
      <c r="K34" s="17" t="n">
        <f aca="false">SUM(K26:K33)</f>
        <v>13338000</v>
      </c>
      <c r="L34" s="17" t="n">
        <f aca="false">SUM(L26:L33)</f>
        <v>13338000</v>
      </c>
      <c r="M34" s="17" t="n">
        <f aca="false">SUM(M26:M33)</f>
        <v>13338000</v>
      </c>
      <c r="N34" s="17" t="n">
        <f aca="false">SUM(N26:N33)</f>
        <v>13338000</v>
      </c>
      <c r="O34" s="17" t="n">
        <f aca="false">SUM(O26:O33)</f>
        <v>13338000</v>
      </c>
      <c r="P34" s="17" t="n">
        <f aca="false">SUM(P26:P33)</f>
        <v>13338000</v>
      </c>
      <c r="Q34" s="17" t="n">
        <f aca="false">SUM(Q26:Q33)</f>
        <v>17417400</v>
      </c>
      <c r="R34" s="17" t="n">
        <f aca="false">SUM(R26:R33)</f>
        <v>17417400</v>
      </c>
      <c r="S34" s="17" t="n">
        <f aca="false">SUM(S26:S33)</f>
        <v>17417400</v>
      </c>
      <c r="T34" s="17" t="n">
        <f aca="false">SUM(T26:T33)</f>
        <v>18236400</v>
      </c>
      <c r="U34" s="17" t="n">
        <f aca="false">SUM(U26:U33)</f>
        <v>18236400</v>
      </c>
      <c r="V34" s="17" t="n">
        <f aca="false">SUM(V26:V33)</f>
        <v>23286900</v>
      </c>
      <c r="W34" s="17" t="n">
        <f aca="false">SUM(W26:W33)</f>
        <v>23286900</v>
      </c>
      <c r="X34" s="17" t="n">
        <f aca="false">SUM(X26:X33)</f>
        <v>23832900</v>
      </c>
      <c r="Y34" s="17" t="n">
        <f aca="false">SUM(Y26:Y33)</f>
        <v>24215100</v>
      </c>
      <c r="Z34" s="17" t="n">
        <f aca="false">SUM(Z26:Z33)</f>
        <v>24215100</v>
      </c>
      <c r="AA34" s="17" t="n">
        <f aca="false">SUM(AA26:AA33)</f>
        <v>24215100</v>
      </c>
      <c r="AB34" s="17" t="n">
        <f aca="false">SUM(AB26:AB33)</f>
        <v>26262600</v>
      </c>
      <c r="AC34" s="17" t="n">
        <f aca="false">SUM(AC26:AC33)</f>
        <v>27977040</v>
      </c>
      <c r="AD34" s="17" t="n">
        <f aca="false">SUM(AD26:AD33)</f>
        <v>28550340</v>
      </c>
      <c r="AE34" s="17" t="n">
        <f aca="false">SUM(AE26:AE33)</f>
        <v>28550340</v>
      </c>
      <c r="AF34" s="17" t="n">
        <f aca="false">SUM(AF26:AF33)</f>
        <v>30671550</v>
      </c>
      <c r="AG34" s="17" t="n">
        <f aca="false">SUM(AG26:AG33)</f>
        <v>32334120</v>
      </c>
      <c r="AH34" s="17" t="n">
        <f aca="false">SUM(AH26:AH33)</f>
        <v>32907420</v>
      </c>
      <c r="AI34" s="17" t="n">
        <f aca="false">SUM(AI26:AI33)</f>
        <v>33308730</v>
      </c>
      <c r="AJ34" s="17" t="n">
        <f aca="false">SUM(AJ26:AJ33)</f>
        <v>33308730</v>
      </c>
      <c r="AK34" s="17" t="n">
        <f aca="false">SUM(AK26:AK33)</f>
        <v>33710040</v>
      </c>
      <c r="AL34" s="17" t="n">
        <f aca="false">SUM(AL26:AL33)</f>
        <v>35143290</v>
      </c>
      <c r="AM34" s="17" t="n">
        <f aca="false">SUM(AM26:AM33)</f>
        <v>35544600</v>
      </c>
      <c r="AN34" s="17" t="n">
        <f aca="false">SUM(AN26:AN33)</f>
        <v>36189562.5</v>
      </c>
      <c r="AO34" s="17" t="n">
        <f aca="false">SUM(AO26:AO33)</f>
        <v>39022381.125</v>
      </c>
      <c r="AP34" s="17" t="n">
        <f aca="false">SUM(AP26:AP33)</f>
        <v>39022381.125</v>
      </c>
      <c r="AQ34" s="17" t="n">
        <f aca="false">SUM(AQ26:AQ33)</f>
        <v>40346704.125</v>
      </c>
      <c r="AR34" s="17" t="n">
        <f aca="false">SUM(AR26:AR33)</f>
        <v>43175939.625</v>
      </c>
      <c r="AS34" s="17" t="n">
        <f aca="false">SUM(AS26:AS33)</f>
        <v>43175939.625</v>
      </c>
      <c r="AT34" s="17" t="n">
        <f aca="false">SUM(AT26:AT33)</f>
        <v>43597315.125</v>
      </c>
      <c r="AU34" s="17" t="n">
        <f aca="false">SUM(AU26:AU33)</f>
        <v>45297866.25</v>
      </c>
      <c r="AV34" s="17" t="n">
        <f aca="false">SUM(AV26:AV33)</f>
        <v>45297866.25</v>
      </c>
      <c r="AW34" s="17" t="n">
        <f aca="false">SUM(AW26:AW33)</f>
        <v>47224154.25</v>
      </c>
      <c r="AX34" s="17" t="n">
        <f aca="false">SUM(AX26:AX33)</f>
        <v>47645529.75</v>
      </c>
      <c r="AY34" s="17" t="n">
        <f aca="false">SUM(AY26:AY33)</f>
        <v>48066905.25</v>
      </c>
      <c r="AZ34" s="17" t="n">
        <f aca="false">SUM(AZ26:AZ33)</f>
        <v>49346080.875</v>
      </c>
      <c r="BA34" s="17" t="n">
        <f aca="false">SUM(BA26:BA33)</f>
        <v>54152018.94375</v>
      </c>
      <c r="BB34" s="17" t="n">
        <f aca="false">SUM(BB26:BB33)</f>
        <v>56174621.34375</v>
      </c>
      <c r="BC34" s="17" t="n">
        <f aca="false">SUM(BC26:BC33)</f>
        <v>56617065.61875</v>
      </c>
      <c r="BD34" s="17" t="n">
        <f aca="false">SUM(BD26:BD33)</f>
        <v>57770581.05</v>
      </c>
      <c r="BE34" s="17" t="n">
        <f aca="false">SUM(BE26:BE33)</f>
        <v>58402644.3</v>
      </c>
      <c r="BF34" s="17" t="n">
        <f aca="false">SUM(BF26:BF33)</f>
        <v>59793183.45</v>
      </c>
      <c r="BG34" s="17" t="n">
        <f aca="false">SUM(BG26:BG33)</f>
        <v>60867690.975</v>
      </c>
      <c r="BH34" s="17" t="n">
        <f aca="false">SUM(BH26:BH33)</f>
        <v>63917396.15625</v>
      </c>
      <c r="BI34" s="17" t="n">
        <f aca="false">SUM(BI26:BI33)</f>
        <v>64991903.68125</v>
      </c>
      <c r="BJ34" s="17" t="n">
        <f aca="false">SUM(BJ26:BJ33)</f>
        <v>66382442.83125</v>
      </c>
      <c r="BK34" s="17" t="n">
        <f aca="false">SUM(BK26:BK33)</f>
        <v>67456950.35625</v>
      </c>
      <c r="BL34" s="17" t="n">
        <f aca="false">SUM(BL26:BL33)</f>
        <v>68610465.7875</v>
      </c>
    </row>
    <row r="36" customFormat="false" ht="15" hidden="false" customHeight="true" outlineLevel="0" collapsed="false">
      <c r="A36" s="11" t="s">
        <v>1292</v>
      </c>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row>
    <row r="37" customFormat="false" ht="15" hidden="false" customHeight="true" outlineLevel="0" collapsed="false">
      <c r="A37" s="13" t="s">
        <v>1293</v>
      </c>
      <c r="B37" s="15" t="s">
        <v>77</v>
      </c>
      <c r="D37" s="56" t="n">
        <f aca="false">SUM(E37:BL37)</f>
        <v>333160560.3</v>
      </c>
      <c r="E37" s="33" t="n">
        <f aca="false">IF(E$3&gt;=Office_Start,Staff!E83*Regus_EUR*FX_EUR,0)</f>
        <v>983935.5</v>
      </c>
      <c r="F37" s="33" t="n">
        <f aca="false">IF(F$3&gt;=Office_Start,Staff!F83*Regus_EUR*FX_EUR,0)</f>
        <v>983935.5</v>
      </c>
      <c r="G37" s="33" t="n">
        <f aca="false">IF(G$3&gt;=Office_Start,Staff!G83*Regus_EUR*FX_EUR,0)</f>
        <v>983935.5</v>
      </c>
      <c r="H37" s="33" t="n">
        <f aca="false">IF(H$3&gt;=Office_Start,Staff!H83*Regus_EUR*FX_EUR,0)</f>
        <v>1967871</v>
      </c>
      <c r="I37" s="33" t="n">
        <f aca="false">IF(I$3&gt;=Office_Start,Staff!I83*Regus_EUR*FX_EUR,0)</f>
        <v>2164658.1</v>
      </c>
      <c r="J37" s="33" t="n">
        <f aca="false">IF(J$3&gt;=Office_Start,Staff!J83*Regus_EUR*FX_EUR,0)</f>
        <v>2164658.1</v>
      </c>
      <c r="K37" s="33" t="n">
        <f aca="false">IF(K$3&gt;=Office_Start,Staff!K83*Regus_EUR*FX_EUR,0)</f>
        <v>2164658.1</v>
      </c>
      <c r="L37" s="33" t="n">
        <f aca="false">IF(L$3&gt;=Office_Start,Staff!L83*Regus_EUR*FX_EUR,0)</f>
        <v>2164658.1</v>
      </c>
      <c r="M37" s="33" t="n">
        <f aca="false">IF(M$3&gt;=Office_Start,Staff!M83*Regus_EUR*FX_EUR,0)</f>
        <v>2164658.1</v>
      </c>
      <c r="N37" s="33" t="n">
        <f aca="false">IF(N$3&gt;=Office_Start,Staff!N83*Regus_EUR*FX_EUR,0)</f>
        <v>2164658.1</v>
      </c>
      <c r="O37" s="33" t="n">
        <f aca="false">IF(O$3&gt;=Office_Start,Staff!O83*Regus_EUR*FX_EUR,0)</f>
        <v>2164658.1</v>
      </c>
      <c r="P37" s="33" t="n">
        <f aca="false">IF(P$3&gt;=Office_Start,Staff!P83*Regus_EUR*FX_EUR,0)</f>
        <v>2164658.1</v>
      </c>
      <c r="Q37" s="33" t="n">
        <f aca="false">IF(Q$3&gt;=Office_Start,Staff!Q83*Regus_EUR*FX_EUR,0)</f>
        <v>2361445.2</v>
      </c>
      <c r="R37" s="33" t="n">
        <f aca="false">IF(R$3&gt;=Office_Start,Staff!R83*Regus_EUR*FX_EUR,0)</f>
        <v>2361445.2</v>
      </c>
      <c r="S37" s="33" t="n">
        <f aca="false">IF(S$3&gt;=Office_Start,Staff!S83*Regus_EUR*FX_EUR,0)</f>
        <v>2361445.2</v>
      </c>
      <c r="T37" s="33" t="n">
        <f aca="false">IF(T$3&gt;=Office_Start,Staff!T83*Regus_EUR*FX_EUR,0)</f>
        <v>2558232.3</v>
      </c>
      <c r="U37" s="33" t="n">
        <f aca="false">IF(U$3&gt;=Office_Start,Staff!U83*Regus_EUR*FX_EUR,0)</f>
        <v>2558232.3</v>
      </c>
      <c r="V37" s="33" t="n">
        <f aca="false">IF(V$3&gt;=Office_Start,Staff!V83*Regus_EUR*FX_EUR,0)</f>
        <v>2558232.3</v>
      </c>
      <c r="W37" s="33" t="n">
        <f aca="false">IF(W$3&gt;=Office_Start,Staff!W83*Regus_EUR*FX_EUR,0)</f>
        <v>2558232.3</v>
      </c>
      <c r="X37" s="33" t="n">
        <f aca="false">IF(X$3&gt;=Office_Start,Staff!X83*Regus_EUR*FX_EUR,0)</f>
        <v>2755019.4</v>
      </c>
      <c r="Y37" s="33" t="n">
        <f aca="false">IF(Y$3&gt;=Office_Start,Staff!Y83*Regus_EUR*FX_EUR,0)</f>
        <v>2951806.5</v>
      </c>
      <c r="Z37" s="33" t="n">
        <f aca="false">IF(Z$3&gt;=Office_Start,Staff!Z83*Regus_EUR*FX_EUR,0)</f>
        <v>2951806.5</v>
      </c>
      <c r="AA37" s="33" t="n">
        <f aca="false">IF(AA$3&gt;=Office_Start,Staff!AA83*Regus_EUR*FX_EUR,0)</f>
        <v>2951806.5</v>
      </c>
      <c r="AB37" s="33" t="n">
        <f aca="false">IF(AB$3&gt;=Office_Start,Staff!AB83*Regus_EUR*FX_EUR,0)</f>
        <v>3148593.6</v>
      </c>
      <c r="AC37" s="33" t="n">
        <f aca="false">IF(AC$3&gt;=Office_Start,Staff!AC83*Regus_EUR*FX_EUR,0)</f>
        <v>3345380.7</v>
      </c>
      <c r="AD37" s="33" t="n">
        <f aca="false">IF(AD$3&gt;=Office_Start,Staff!AD83*Regus_EUR*FX_EUR,0)</f>
        <v>3542167.8</v>
      </c>
      <c r="AE37" s="33" t="n">
        <f aca="false">IF(AE$3&gt;=Office_Start,Staff!AE83*Regus_EUR*FX_EUR,0)</f>
        <v>3542167.8</v>
      </c>
      <c r="AF37" s="33" t="n">
        <f aca="false">IF(AF$3&gt;=Office_Start,Staff!AF83*Regus_EUR*FX_EUR,0)</f>
        <v>3935742</v>
      </c>
      <c r="AG37" s="33" t="n">
        <f aca="false">IF(AG$3&gt;=Office_Start,Staff!AG83*Regus_EUR*FX_EUR,0)</f>
        <v>4526103.3</v>
      </c>
      <c r="AH37" s="33" t="n">
        <f aca="false">IF(AH$3&gt;=Office_Start,Staff!AH83*Regus_EUR*FX_EUR,0)</f>
        <v>4722890.4</v>
      </c>
      <c r="AI37" s="33" t="n">
        <f aca="false">IF(AI$3&gt;=Office_Start,Staff!AI83*Regus_EUR*FX_EUR,0)</f>
        <v>4919677.5</v>
      </c>
      <c r="AJ37" s="33" t="n">
        <f aca="false">IF(AJ$3&gt;=Office_Start,Staff!AJ83*Regus_EUR*FX_EUR,0)</f>
        <v>4919677.5</v>
      </c>
      <c r="AK37" s="33" t="n">
        <f aca="false">IF(AK$3&gt;=Office_Start,Staff!AK83*Regus_EUR*FX_EUR,0)</f>
        <v>5116464.6</v>
      </c>
      <c r="AL37" s="33" t="n">
        <f aca="false">IF(AL$3&gt;=Office_Start,Staff!AL83*Regus_EUR*FX_EUR,0)</f>
        <v>5510038.8</v>
      </c>
      <c r="AM37" s="33" t="n">
        <f aca="false">IF(AM$3&gt;=Office_Start,Staff!AM83*Regus_EUR*FX_EUR,0)</f>
        <v>5706825.9</v>
      </c>
      <c r="AN37" s="33" t="n">
        <f aca="false">IF(AN$3&gt;=Office_Start,Staff!AN83*Regus_EUR*FX_EUR,0)</f>
        <v>5706825.9</v>
      </c>
      <c r="AO37" s="33" t="n">
        <f aca="false">IF(AO$3&gt;=Office_Start,Staff!AO83*Regus_EUR*FX_EUR,0)</f>
        <v>6100400.1</v>
      </c>
      <c r="AP37" s="33" t="n">
        <f aca="false">IF(AP$3&gt;=Office_Start,Staff!AP83*Regus_EUR*FX_EUR,0)</f>
        <v>6100400.1</v>
      </c>
      <c r="AQ37" s="33" t="n">
        <f aca="false">IF(AQ$3&gt;=Office_Start,Staff!AQ83*Regus_EUR*FX_EUR,0)</f>
        <v>6493974.3</v>
      </c>
      <c r="AR37" s="33" t="n">
        <f aca="false">IF(AR$3&gt;=Office_Start,Staff!AR83*Regus_EUR*FX_EUR,0)</f>
        <v>7084335.6</v>
      </c>
      <c r="AS37" s="33" t="n">
        <f aca="false">IF(AS$3&gt;=Office_Start,Staff!AS83*Regus_EUR*FX_EUR,0)</f>
        <v>7084335.6</v>
      </c>
      <c r="AT37" s="33" t="n">
        <f aca="false">IF(AT$3&gt;=Office_Start,Staff!AT83*Regus_EUR*FX_EUR,0)</f>
        <v>7281122.7</v>
      </c>
      <c r="AU37" s="33" t="n">
        <f aca="false">IF(AU$3&gt;=Office_Start,Staff!AU83*Regus_EUR*FX_EUR,0)</f>
        <v>7674696.9</v>
      </c>
      <c r="AV37" s="33" t="n">
        <f aca="false">IF(AV$3&gt;=Office_Start,Staff!AV83*Regus_EUR*FX_EUR,0)</f>
        <v>7674696.9</v>
      </c>
      <c r="AW37" s="33" t="n">
        <f aca="false">IF(AW$3&gt;=Office_Start,Staff!AW83*Regus_EUR*FX_EUR,0)</f>
        <v>8265058.2</v>
      </c>
      <c r="AX37" s="33" t="n">
        <f aca="false">IF(AX$3&gt;=Office_Start,Staff!AX83*Regus_EUR*FX_EUR,0)</f>
        <v>8461845.3</v>
      </c>
      <c r="AY37" s="33" t="n">
        <f aca="false">IF(AY$3&gt;=Office_Start,Staff!AY83*Regus_EUR*FX_EUR,0)</f>
        <v>8658632.4</v>
      </c>
      <c r="AZ37" s="33" t="n">
        <f aca="false">IF(AZ$3&gt;=Office_Start,Staff!AZ83*Regus_EUR*FX_EUR,0)</f>
        <v>8855419.5</v>
      </c>
      <c r="BA37" s="33" t="n">
        <f aca="false">IF(BA$3&gt;=Office_Start,Staff!BA83*Regus_EUR*FX_EUR,0)</f>
        <v>9248993.7</v>
      </c>
      <c r="BB37" s="33" t="n">
        <f aca="false">IF(BB$3&gt;=Office_Start,Staff!BB83*Regus_EUR*FX_EUR,0)</f>
        <v>9839355</v>
      </c>
      <c r="BC37" s="33" t="n">
        <f aca="false">IF(BC$3&gt;=Office_Start,Staff!BC83*Regus_EUR*FX_EUR,0)</f>
        <v>10036142.1</v>
      </c>
      <c r="BD37" s="33" t="n">
        <f aca="false">IF(BD$3&gt;=Office_Start,Staff!BD83*Regus_EUR*FX_EUR,0)</f>
        <v>10232929.2</v>
      </c>
      <c r="BE37" s="33" t="n">
        <f aca="false">IF(BE$3&gt;=Office_Start,Staff!BE83*Regus_EUR*FX_EUR,0)</f>
        <v>10429716.3</v>
      </c>
      <c r="BF37" s="33" t="n">
        <f aca="false">IF(BF$3&gt;=Office_Start,Staff!BF83*Regus_EUR*FX_EUR,0)</f>
        <v>10823290.5</v>
      </c>
      <c r="BG37" s="33" t="n">
        <f aca="false">IF(BG$3&gt;=Office_Start,Staff!BG83*Regus_EUR*FX_EUR,0)</f>
        <v>11216864.7</v>
      </c>
      <c r="BH37" s="33" t="n">
        <f aca="false">IF(BH$3&gt;=Office_Start,Staff!BH83*Regus_EUR*FX_EUR,0)</f>
        <v>11610438.9</v>
      </c>
      <c r="BI37" s="33" t="n">
        <f aca="false">IF(BI$3&gt;=Office_Start,Staff!BI83*Regus_EUR*FX_EUR,0)</f>
        <v>12004013.1</v>
      </c>
      <c r="BJ37" s="33" t="n">
        <f aca="false">IF(BJ$3&gt;=Office_Start,Staff!BJ83*Regus_EUR*FX_EUR,0)</f>
        <v>12397587.3</v>
      </c>
      <c r="BK37" s="33" t="n">
        <f aca="false">IF(BK$3&gt;=Office_Start,Staff!BK83*Regus_EUR*FX_EUR,0)</f>
        <v>12791161.5</v>
      </c>
      <c r="BL37" s="33" t="n">
        <f aca="false">IF(BL$3&gt;=Office_Start,Staff!BL83*Regus_EUR*FX_EUR,0)</f>
        <v>12987948.6</v>
      </c>
    </row>
    <row r="38" customFormat="false" ht="15" hidden="false" customHeight="true" outlineLevel="0" collapsed="false">
      <c r="A38" s="13" t="s">
        <v>1294</v>
      </c>
      <c r="B38" s="15" t="s">
        <v>77</v>
      </c>
      <c r="D38" s="56" t="n">
        <f aca="false">SUM(E38:BL38)</f>
        <v>39357420</v>
      </c>
      <c r="E38" s="33" t="n">
        <f aca="false">IF(E$3&gt;=CI_Office_Start,Staff!E84*Regus_EUR*FX_EUR,0)</f>
        <v>0</v>
      </c>
      <c r="F38" s="33" t="n">
        <f aca="false">IF(F$3&gt;=CI_Office_Start,Staff!F84*Regus_EUR*FX_EUR,0)</f>
        <v>0</v>
      </c>
      <c r="G38" s="33" t="n">
        <f aca="false">IF(G$3&gt;=CI_Office_Start,Staff!G84*Regus_EUR*FX_EUR,0)</f>
        <v>0</v>
      </c>
      <c r="H38" s="33" t="n">
        <f aca="false">IF(H$3&gt;=CI_Office_Start,Staff!H84*Regus_EUR*FX_EUR,0)</f>
        <v>0</v>
      </c>
      <c r="I38" s="33" t="n">
        <f aca="false">IF(I$3&gt;=CI_Office_Start,Staff!I84*Regus_EUR*FX_EUR,0)</f>
        <v>0</v>
      </c>
      <c r="J38" s="33" t="n">
        <f aca="false">IF(J$3&gt;=CI_Office_Start,Staff!J84*Regus_EUR*FX_EUR,0)</f>
        <v>0</v>
      </c>
      <c r="K38" s="33" t="n">
        <f aca="false">IF(K$3&gt;=CI_Office_Start,Staff!K84*Regus_EUR*FX_EUR,0)</f>
        <v>0</v>
      </c>
      <c r="L38" s="33" t="n">
        <f aca="false">IF(L$3&gt;=CI_Office_Start,Staff!L84*Regus_EUR*FX_EUR,0)</f>
        <v>0</v>
      </c>
      <c r="M38" s="33" t="n">
        <f aca="false">IF(M$3&gt;=CI_Office_Start,Staff!M84*Regus_EUR*FX_EUR,0)</f>
        <v>0</v>
      </c>
      <c r="N38" s="33" t="n">
        <f aca="false">IF(N$3&gt;=CI_Office_Start,Staff!N84*Regus_EUR*FX_EUR,0)</f>
        <v>0</v>
      </c>
      <c r="O38" s="33" t="n">
        <f aca="false">IF(O$3&gt;=CI_Office_Start,Staff!O84*Regus_EUR*FX_EUR,0)</f>
        <v>0</v>
      </c>
      <c r="P38" s="33" t="n">
        <f aca="false">IF(P$3&gt;=CI_Office_Start,Staff!P84*Regus_EUR*FX_EUR,0)</f>
        <v>0</v>
      </c>
      <c r="Q38" s="33" t="n">
        <f aca="false">IF(Q$3&gt;=CI_Office_Start,Staff!Q84*Regus_EUR*FX_EUR,0)</f>
        <v>0</v>
      </c>
      <c r="R38" s="33" t="n">
        <f aca="false">IF(R$3&gt;=CI_Office_Start,Staff!R84*Regus_EUR*FX_EUR,0)</f>
        <v>0</v>
      </c>
      <c r="S38" s="33" t="n">
        <f aca="false">IF(S$3&gt;=CI_Office_Start,Staff!S84*Regus_EUR*FX_EUR,0)</f>
        <v>0</v>
      </c>
      <c r="T38" s="33" t="n">
        <f aca="false">IF(T$3&gt;=CI_Office_Start,Staff!T84*Regus_EUR*FX_EUR,0)</f>
        <v>0</v>
      </c>
      <c r="U38" s="33" t="n">
        <f aca="false">IF(U$3&gt;=CI_Office_Start,Staff!U84*Regus_EUR*FX_EUR,0)</f>
        <v>0</v>
      </c>
      <c r="V38" s="33" t="n">
        <f aca="false">IF(V$3&gt;=CI_Office_Start,Staff!V84*Regus_EUR*FX_EUR,0)</f>
        <v>590361.3</v>
      </c>
      <c r="W38" s="33" t="n">
        <f aca="false">IF(W$3&gt;=CI_Office_Start,Staff!W84*Regus_EUR*FX_EUR,0)</f>
        <v>590361.3</v>
      </c>
      <c r="X38" s="33" t="n">
        <f aca="false">IF(X$3&gt;=CI_Office_Start,Staff!X84*Regus_EUR*FX_EUR,0)</f>
        <v>590361.3</v>
      </c>
      <c r="Y38" s="33" t="n">
        <f aca="false">IF(Y$3&gt;=CI_Office_Start,Staff!Y84*Regus_EUR*FX_EUR,0)</f>
        <v>590361.3</v>
      </c>
      <c r="Z38" s="33" t="n">
        <f aca="false">IF(Z$3&gt;=CI_Office_Start,Staff!Z84*Regus_EUR*FX_EUR,0)</f>
        <v>590361.3</v>
      </c>
      <c r="AA38" s="33" t="n">
        <f aca="false">IF(AA$3&gt;=CI_Office_Start,Staff!AA84*Regus_EUR*FX_EUR,0)</f>
        <v>590361.3</v>
      </c>
      <c r="AB38" s="33" t="n">
        <f aca="false">IF(AB$3&gt;=CI_Office_Start,Staff!AB84*Regus_EUR*FX_EUR,0)</f>
        <v>590361.3</v>
      </c>
      <c r="AC38" s="33" t="n">
        <f aca="false">IF(AC$3&gt;=CI_Office_Start,Staff!AC84*Regus_EUR*FX_EUR,0)</f>
        <v>590361.3</v>
      </c>
      <c r="AD38" s="33" t="n">
        <f aca="false">IF(AD$3&gt;=CI_Office_Start,Staff!AD84*Regus_EUR*FX_EUR,0)</f>
        <v>590361.3</v>
      </c>
      <c r="AE38" s="33" t="n">
        <f aca="false">IF(AE$3&gt;=CI_Office_Start,Staff!AE84*Regus_EUR*FX_EUR,0)</f>
        <v>590361.3</v>
      </c>
      <c r="AF38" s="33" t="n">
        <f aca="false">IF(AF$3&gt;=CI_Office_Start,Staff!AF84*Regus_EUR*FX_EUR,0)</f>
        <v>590361.3</v>
      </c>
      <c r="AG38" s="33" t="n">
        <f aca="false">IF(AG$3&gt;=CI_Office_Start,Staff!AG84*Regus_EUR*FX_EUR,0)</f>
        <v>590361.3</v>
      </c>
      <c r="AH38" s="33" t="n">
        <f aca="false">IF(AH$3&gt;=CI_Office_Start,Staff!AH84*Regus_EUR*FX_EUR,0)</f>
        <v>590361.3</v>
      </c>
      <c r="AI38" s="33" t="n">
        <f aca="false">IF(AI$3&gt;=CI_Office_Start,Staff!AI84*Regus_EUR*FX_EUR,0)</f>
        <v>590361.3</v>
      </c>
      <c r="AJ38" s="33" t="n">
        <f aca="false">IF(AJ$3&gt;=CI_Office_Start,Staff!AJ84*Regus_EUR*FX_EUR,0)</f>
        <v>590361.3</v>
      </c>
      <c r="AK38" s="33" t="n">
        <f aca="false">IF(AK$3&gt;=CI_Office_Start,Staff!AK84*Regus_EUR*FX_EUR,0)</f>
        <v>590361.3</v>
      </c>
      <c r="AL38" s="33" t="n">
        <f aca="false">IF(AL$3&gt;=CI_Office_Start,Staff!AL84*Regus_EUR*FX_EUR,0)</f>
        <v>590361.3</v>
      </c>
      <c r="AM38" s="33" t="n">
        <f aca="false">IF(AM$3&gt;=CI_Office_Start,Staff!AM84*Regus_EUR*FX_EUR,0)</f>
        <v>590361.3</v>
      </c>
      <c r="AN38" s="33" t="n">
        <f aca="false">IF(AN$3&gt;=CI_Office_Start,Staff!AN84*Regus_EUR*FX_EUR,0)</f>
        <v>787148.4</v>
      </c>
      <c r="AO38" s="33" t="n">
        <f aca="false">IF(AO$3&gt;=CI_Office_Start,Staff!AO84*Regus_EUR*FX_EUR,0)</f>
        <v>787148.4</v>
      </c>
      <c r="AP38" s="33" t="n">
        <f aca="false">IF(AP$3&gt;=CI_Office_Start,Staff!AP84*Regus_EUR*FX_EUR,0)</f>
        <v>787148.4</v>
      </c>
      <c r="AQ38" s="33" t="n">
        <f aca="false">IF(AQ$3&gt;=CI_Office_Start,Staff!AQ84*Regus_EUR*FX_EUR,0)</f>
        <v>787148.4</v>
      </c>
      <c r="AR38" s="33" t="n">
        <f aca="false">IF(AR$3&gt;=CI_Office_Start,Staff!AR84*Regus_EUR*FX_EUR,0)</f>
        <v>787148.4</v>
      </c>
      <c r="AS38" s="33" t="n">
        <f aca="false">IF(AS$3&gt;=CI_Office_Start,Staff!AS84*Regus_EUR*FX_EUR,0)</f>
        <v>787148.4</v>
      </c>
      <c r="AT38" s="33" t="n">
        <f aca="false">IF(AT$3&gt;=CI_Office_Start,Staff!AT84*Regus_EUR*FX_EUR,0)</f>
        <v>787148.4</v>
      </c>
      <c r="AU38" s="33" t="n">
        <f aca="false">IF(AU$3&gt;=CI_Office_Start,Staff!AU84*Regus_EUR*FX_EUR,0)</f>
        <v>983935.5</v>
      </c>
      <c r="AV38" s="33" t="n">
        <f aca="false">IF(AV$3&gt;=CI_Office_Start,Staff!AV84*Regus_EUR*FX_EUR,0)</f>
        <v>983935.5</v>
      </c>
      <c r="AW38" s="33" t="n">
        <f aca="false">IF(AW$3&gt;=CI_Office_Start,Staff!AW84*Regus_EUR*FX_EUR,0)</f>
        <v>983935.5</v>
      </c>
      <c r="AX38" s="33" t="n">
        <f aca="false">IF(AX$3&gt;=CI_Office_Start,Staff!AX84*Regus_EUR*FX_EUR,0)</f>
        <v>983935.5</v>
      </c>
      <c r="AY38" s="33" t="n">
        <f aca="false">IF(AY$3&gt;=CI_Office_Start,Staff!AY84*Regus_EUR*FX_EUR,0)</f>
        <v>983935.5</v>
      </c>
      <c r="AZ38" s="33" t="n">
        <f aca="false">IF(AZ$3&gt;=CI_Office_Start,Staff!AZ84*Regus_EUR*FX_EUR,0)</f>
        <v>1180722.6</v>
      </c>
      <c r="BA38" s="33" t="n">
        <f aca="false">IF(BA$3&gt;=CI_Office_Start,Staff!BA84*Regus_EUR*FX_EUR,0)</f>
        <v>1180722.6</v>
      </c>
      <c r="BB38" s="33" t="n">
        <f aca="false">IF(BB$3&gt;=CI_Office_Start,Staff!BB84*Regus_EUR*FX_EUR,0)</f>
        <v>1180722.6</v>
      </c>
      <c r="BC38" s="33" t="n">
        <f aca="false">IF(BC$3&gt;=CI_Office_Start,Staff!BC84*Regus_EUR*FX_EUR,0)</f>
        <v>1180722.6</v>
      </c>
      <c r="BD38" s="33" t="n">
        <f aca="false">IF(BD$3&gt;=CI_Office_Start,Staff!BD84*Regus_EUR*FX_EUR,0)</f>
        <v>1377509.7</v>
      </c>
      <c r="BE38" s="33" t="n">
        <f aca="false">IF(BE$3&gt;=CI_Office_Start,Staff!BE84*Regus_EUR*FX_EUR,0)</f>
        <v>1377509.7</v>
      </c>
      <c r="BF38" s="33" t="n">
        <f aca="false">IF(BF$3&gt;=CI_Office_Start,Staff!BF84*Regus_EUR*FX_EUR,0)</f>
        <v>1377509.7</v>
      </c>
      <c r="BG38" s="33" t="n">
        <f aca="false">IF(BG$3&gt;=CI_Office_Start,Staff!BG84*Regus_EUR*FX_EUR,0)</f>
        <v>1377509.7</v>
      </c>
      <c r="BH38" s="33" t="n">
        <f aca="false">IF(BH$3&gt;=CI_Office_Start,Staff!BH84*Regus_EUR*FX_EUR,0)</f>
        <v>1574296.8</v>
      </c>
      <c r="BI38" s="33" t="n">
        <f aca="false">IF(BI$3&gt;=CI_Office_Start,Staff!BI84*Regus_EUR*FX_EUR,0)</f>
        <v>1574296.8</v>
      </c>
      <c r="BJ38" s="33" t="n">
        <f aca="false">IF(BJ$3&gt;=CI_Office_Start,Staff!BJ84*Regus_EUR*FX_EUR,0)</f>
        <v>1574296.8</v>
      </c>
      <c r="BK38" s="33" t="n">
        <f aca="false">IF(BK$3&gt;=CI_Office_Start,Staff!BK84*Regus_EUR*FX_EUR,0)</f>
        <v>1574296.8</v>
      </c>
      <c r="BL38" s="33" t="n">
        <f aca="false">IF(BL$3&gt;=CI_Office_Start,Staff!BL84*Regus_EUR*FX_EUR,0)</f>
        <v>1771083.9</v>
      </c>
    </row>
    <row r="39" customFormat="false" ht="15" hidden="false" customHeight="true" outlineLevel="0" collapsed="false">
      <c r="A39" s="13" t="s">
        <v>1295</v>
      </c>
      <c r="B39" s="15" t="s">
        <v>77</v>
      </c>
      <c r="D39" s="56" t="n">
        <f aca="false">SUM(E39:BL39)</f>
        <v>9465000</v>
      </c>
      <c r="E39" s="33" t="n">
        <f aca="false">Staff!E82*Phone_Cost</f>
        <v>25000</v>
      </c>
      <c r="F39" s="33" t="n">
        <f aca="false">Staff!F82*Phone_Cost</f>
        <v>25000</v>
      </c>
      <c r="G39" s="33" t="n">
        <f aca="false">Staff!G82*Phone_Cost</f>
        <v>25000</v>
      </c>
      <c r="H39" s="33" t="n">
        <f aca="false">Staff!H82*Phone_Cost</f>
        <v>50000</v>
      </c>
      <c r="I39" s="33" t="n">
        <f aca="false">Staff!I82*Phone_Cost</f>
        <v>55000</v>
      </c>
      <c r="J39" s="33" t="n">
        <f aca="false">Staff!J82*Phone_Cost</f>
        <v>55000</v>
      </c>
      <c r="K39" s="33" t="n">
        <f aca="false">Staff!K82*Phone_Cost</f>
        <v>55000</v>
      </c>
      <c r="L39" s="33" t="n">
        <f aca="false">Staff!L82*Phone_Cost</f>
        <v>55000</v>
      </c>
      <c r="M39" s="33" t="n">
        <f aca="false">Staff!M82*Phone_Cost</f>
        <v>55000</v>
      </c>
      <c r="N39" s="33" t="n">
        <f aca="false">Staff!N82*Phone_Cost</f>
        <v>55000</v>
      </c>
      <c r="O39" s="33" t="n">
        <f aca="false">Staff!O82*Phone_Cost</f>
        <v>55000</v>
      </c>
      <c r="P39" s="33" t="n">
        <f aca="false">Staff!P82*Phone_Cost</f>
        <v>55000</v>
      </c>
      <c r="Q39" s="33" t="n">
        <f aca="false">Staff!Q82*Phone_Cost</f>
        <v>60000</v>
      </c>
      <c r="R39" s="33" t="n">
        <f aca="false">Staff!R82*Phone_Cost</f>
        <v>60000</v>
      </c>
      <c r="S39" s="33" t="n">
        <f aca="false">Staff!S82*Phone_Cost</f>
        <v>60000</v>
      </c>
      <c r="T39" s="33" t="n">
        <f aca="false">Staff!T82*Phone_Cost</f>
        <v>65000</v>
      </c>
      <c r="U39" s="33" t="n">
        <f aca="false">Staff!U82*Phone_Cost</f>
        <v>65000</v>
      </c>
      <c r="V39" s="33" t="n">
        <f aca="false">Staff!V82*Phone_Cost</f>
        <v>80000</v>
      </c>
      <c r="W39" s="33" t="n">
        <f aca="false">Staff!W82*Phone_Cost</f>
        <v>80000</v>
      </c>
      <c r="X39" s="33" t="n">
        <f aca="false">Staff!X82*Phone_Cost</f>
        <v>85000</v>
      </c>
      <c r="Y39" s="33" t="n">
        <f aca="false">Staff!Y82*Phone_Cost</f>
        <v>90000</v>
      </c>
      <c r="Z39" s="33" t="n">
        <f aca="false">Staff!Z82*Phone_Cost</f>
        <v>90000</v>
      </c>
      <c r="AA39" s="33" t="n">
        <f aca="false">Staff!AA82*Phone_Cost</f>
        <v>90000</v>
      </c>
      <c r="AB39" s="33" t="n">
        <f aca="false">Staff!AB82*Phone_Cost</f>
        <v>95000</v>
      </c>
      <c r="AC39" s="33" t="n">
        <f aca="false">Staff!AC82*Phone_Cost</f>
        <v>100000</v>
      </c>
      <c r="AD39" s="33" t="n">
        <f aca="false">Staff!AD82*Phone_Cost</f>
        <v>105000</v>
      </c>
      <c r="AE39" s="33" t="n">
        <f aca="false">Staff!AE82*Phone_Cost</f>
        <v>105000</v>
      </c>
      <c r="AF39" s="33" t="n">
        <f aca="false">Staff!AF82*Phone_Cost</f>
        <v>115000</v>
      </c>
      <c r="AG39" s="33" t="n">
        <f aca="false">Staff!AG82*Phone_Cost</f>
        <v>130000</v>
      </c>
      <c r="AH39" s="33" t="n">
        <f aca="false">Staff!AH82*Phone_Cost</f>
        <v>135000</v>
      </c>
      <c r="AI39" s="33" t="n">
        <f aca="false">Staff!AI82*Phone_Cost</f>
        <v>140000</v>
      </c>
      <c r="AJ39" s="33" t="n">
        <f aca="false">Staff!AJ82*Phone_Cost</f>
        <v>140000</v>
      </c>
      <c r="AK39" s="33" t="n">
        <f aca="false">Staff!AK82*Phone_Cost</f>
        <v>145000</v>
      </c>
      <c r="AL39" s="33" t="n">
        <f aca="false">Staff!AL82*Phone_Cost</f>
        <v>155000</v>
      </c>
      <c r="AM39" s="33" t="n">
        <f aca="false">Staff!AM82*Phone_Cost</f>
        <v>160000</v>
      </c>
      <c r="AN39" s="33" t="n">
        <f aca="false">Staff!AN82*Phone_Cost</f>
        <v>165000</v>
      </c>
      <c r="AO39" s="33" t="n">
        <f aca="false">Staff!AO82*Phone_Cost</f>
        <v>175000</v>
      </c>
      <c r="AP39" s="33" t="n">
        <f aca="false">Staff!AP82*Phone_Cost</f>
        <v>175000</v>
      </c>
      <c r="AQ39" s="33" t="n">
        <f aca="false">Staff!AQ82*Phone_Cost</f>
        <v>185000</v>
      </c>
      <c r="AR39" s="33" t="n">
        <f aca="false">Staff!AR82*Phone_Cost</f>
        <v>200000</v>
      </c>
      <c r="AS39" s="33" t="n">
        <f aca="false">Staff!AS82*Phone_Cost</f>
        <v>200000</v>
      </c>
      <c r="AT39" s="33" t="n">
        <f aca="false">Staff!AT82*Phone_Cost</f>
        <v>205000</v>
      </c>
      <c r="AU39" s="33" t="n">
        <f aca="false">Staff!AU82*Phone_Cost</f>
        <v>220000</v>
      </c>
      <c r="AV39" s="33" t="n">
        <f aca="false">Staff!AV82*Phone_Cost</f>
        <v>220000</v>
      </c>
      <c r="AW39" s="33" t="n">
        <f aca="false">Staff!AW82*Phone_Cost</f>
        <v>235000</v>
      </c>
      <c r="AX39" s="33" t="n">
        <f aca="false">Staff!AX82*Phone_Cost</f>
        <v>240000</v>
      </c>
      <c r="AY39" s="33" t="n">
        <f aca="false">Staff!AY82*Phone_Cost</f>
        <v>245000</v>
      </c>
      <c r="AZ39" s="33" t="n">
        <f aca="false">Staff!AZ82*Phone_Cost</f>
        <v>255000</v>
      </c>
      <c r="BA39" s="33" t="n">
        <f aca="false">Staff!BA82*Phone_Cost</f>
        <v>265000</v>
      </c>
      <c r="BB39" s="33" t="n">
        <f aca="false">Staff!BB82*Phone_Cost</f>
        <v>280000</v>
      </c>
      <c r="BC39" s="33" t="n">
        <f aca="false">Staff!BC82*Phone_Cost</f>
        <v>285000</v>
      </c>
      <c r="BD39" s="33" t="n">
        <f aca="false">Staff!BD82*Phone_Cost</f>
        <v>295000</v>
      </c>
      <c r="BE39" s="33" t="n">
        <f aca="false">Staff!BE82*Phone_Cost</f>
        <v>300000</v>
      </c>
      <c r="BF39" s="33" t="n">
        <f aca="false">Staff!BF82*Phone_Cost</f>
        <v>310000</v>
      </c>
      <c r="BG39" s="33" t="n">
        <f aca="false">Staff!BG82*Phone_Cost</f>
        <v>320000</v>
      </c>
      <c r="BH39" s="33" t="n">
        <f aca="false">Staff!BH82*Phone_Cost</f>
        <v>335000</v>
      </c>
      <c r="BI39" s="33" t="n">
        <f aca="false">Staff!BI82*Phone_Cost</f>
        <v>345000</v>
      </c>
      <c r="BJ39" s="33" t="n">
        <f aca="false">Staff!BJ82*Phone_Cost</f>
        <v>355000</v>
      </c>
      <c r="BK39" s="33" t="n">
        <f aca="false">Staff!BK82*Phone_Cost</f>
        <v>365000</v>
      </c>
      <c r="BL39" s="33" t="n">
        <f aca="false">Staff!BL82*Phone_Cost</f>
        <v>375000</v>
      </c>
    </row>
    <row r="40" customFormat="false" ht="15" hidden="false" customHeight="true" outlineLevel="0" collapsed="false">
      <c r="A40" s="13" t="s">
        <v>1296</v>
      </c>
      <c r="B40" s="15" t="s">
        <v>77</v>
      </c>
      <c r="D40" s="56" t="n">
        <f aca="false">SUM(E40:BL40)</f>
        <v>30422538</v>
      </c>
      <c r="E40" s="33" t="n">
        <f aca="false">(Staff!E88-Staff!E89)*Laptop_EUR*FX_EUR+Staff!E89*Laptop_Dev_USD*FX_USD</f>
        <v>4135957</v>
      </c>
      <c r="F40" s="33" t="n">
        <f aca="false">(Staff!F88-Staff!F89)*Laptop_EUR*FX_EUR+Staff!F89*Laptop_Dev_USD*FX_USD</f>
        <v>0</v>
      </c>
      <c r="G40" s="33" t="n">
        <f aca="false">(Staff!G88-Staff!G89)*Laptop_EUR*FX_EUR+Staff!G89*Laptop_Dev_USD*FX_USD</f>
        <v>0</v>
      </c>
      <c r="H40" s="33" t="n">
        <f aca="false">(Staff!H88-Staff!H89)*Laptop_EUR*FX_EUR+Staff!H89*Laptop_Dev_USD*FX_USD</f>
        <v>1639892.5</v>
      </c>
      <c r="I40" s="33" t="n">
        <f aca="false">(Staff!I88-Staff!I89)*Laptop_EUR*FX_EUR+Staff!I89*Laptop_Dev_USD*FX_USD</f>
        <v>327978.5</v>
      </c>
      <c r="J40" s="33" t="n">
        <f aca="false">(Staff!J88-Staff!J89)*Laptop_EUR*FX_EUR+Staff!J89*Laptop_Dev_USD*FX_USD</f>
        <v>0</v>
      </c>
      <c r="K40" s="33" t="n">
        <f aca="false">(Staff!K88-Staff!K89)*Laptop_EUR*FX_EUR+Staff!K89*Laptop_Dev_USD*FX_USD</f>
        <v>0</v>
      </c>
      <c r="L40" s="33" t="n">
        <f aca="false">(Staff!L88-Staff!L89)*Laptop_EUR*FX_EUR+Staff!L89*Laptop_Dev_USD*FX_USD</f>
        <v>0</v>
      </c>
      <c r="M40" s="33" t="n">
        <f aca="false">(Staff!M88-Staff!M89)*Laptop_EUR*FX_EUR+Staff!M89*Laptop_Dev_USD*FX_USD</f>
        <v>0</v>
      </c>
      <c r="N40" s="33" t="n">
        <f aca="false">(Staff!N88-Staff!N89)*Laptop_EUR*FX_EUR+Staff!N89*Laptop_Dev_USD*FX_USD</f>
        <v>0</v>
      </c>
      <c r="O40" s="33" t="n">
        <f aca="false">(Staff!O88-Staff!O89)*Laptop_EUR*FX_EUR+Staff!O89*Laptop_Dev_USD*FX_USD</f>
        <v>0</v>
      </c>
      <c r="P40" s="33" t="n">
        <f aca="false">(Staff!P88-Staff!P89)*Laptop_EUR*FX_EUR+Staff!P89*Laptop_Dev_USD*FX_USD</f>
        <v>0</v>
      </c>
      <c r="Q40" s="33" t="n">
        <f aca="false">(Staff!Q88-Staff!Q89)*Laptop_EUR*FX_EUR+Staff!Q89*Laptop_Dev_USD*FX_USD</f>
        <v>327978.5</v>
      </c>
      <c r="R40" s="33" t="n">
        <f aca="false">(Staff!R88-Staff!R89)*Laptop_EUR*FX_EUR+Staff!R89*Laptop_Dev_USD*FX_USD</f>
        <v>0</v>
      </c>
      <c r="S40" s="33" t="n">
        <f aca="false">(Staff!S88-Staff!S89)*Laptop_EUR*FX_EUR+Staff!S89*Laptop_Dev_USD*FX_USD</f>
        <v>0</v>
      </c>
      <c r="T40" s="33" t="n">
        <f aca="false">(Staff!T88-Staff!T89)*Laptop_EUR*FX_EUR+Staff!T89*Laptop_Dev_USD*FX_USD</f>
        <v>327978.5</v>
      </c>
      <c r="U40" s="33" t="n">
        <f aca="false">(Staff!U88-Staff!U89)*Laptop_EUR*FX_EUR+Staff!U89*Laptop_Dev_USD*FX_USD</f>
        <v>0</v>
      </c>
      <c r="V40" s="33" t="n">
        <f aca="false">(Staff!V88-Staff!V89)*Laptop_EUR*FX_EUR+Staff!V89*Laptop_Dev_USD*FX_USD</f>
        <v>983935.5</v>
      </c>
      <c r="W40" s="33" t="n">
        <f aca="false">(Staff!W88-Staff!W89)*Laptop_EUR*FX_EUR+Staff!W89*Laptop_Dev_USD*FX_USD</f>
        <v>0</v>
      </c>
      <c r="X40" s="33" t="n">
        <f aca="false">(Staff!X88-Staff!X89)*Laptop_EUR*FX_EUR+Staff!X89*Laptop_Dev_USD*FX_USD</f>
        <v>327978.5</v>
      </c>
      <c r="Y40" s="33" t="n">
        <f aca="false">(Staff!Y88-Staff!Y89)*Laptop_EUR*FX_EUR+Staff!Y89*Laptop_Dev_USD*FX_USD</f>
        <v>327978.5</v>
      </c>
      <c r="Z40" s="33" t="n">
        <f aca="false">(Staff!Z88-Staff!Z89)*Laptop_EUR*FX_EUR+Staff!Z89*Laptop_Dev_USD*FX_USD</f>
        <v>0</v>
      </c>
      <c r="AA40" s="33" t="n">
        <f aca="false">(Staff!AA88-Staff!AA89)*Laptop_EUR*FX_EUR+Staff!AA89*Laptop_Dev_USD*FX_USD</f>
        <v>0</v>
      </c>
      <c r="AB40" s="33" t="n">
        <f aca="false">(Staff!AB88-Staff!AB89)*Laptop_EUR*FX_EUR+Staff!AB89*Laptop_Dev_USD*FX_USD</f>
        <v>327978.5</v>
      </c>
      <c r="AC40" s="33" t="n">
        <f aca="false">(Staff!AC88-Staff!AC89)*Laptop_EUR*FX_EUR+Staff!AC89*Laptop_Dev_USD*FX_USD</f>
        <v>327978.5</v>
      </c>
      <c r="AD40" s="33" t="n">
        <f aca="false">(Staff!AD88-Staff!AD89)*Laptop_EUR*FX_EUR+Staff!AD89*Laptop_Dev_USD*FX_USD</f>
        <v>327978.5</v>
      </c>
      <c r="AE40" s="33" t="n">
        <f aca="false">(Staff!AE88-Staff!AE89)*Laptop_EUR*FX_EUR+Staff!AE89*Laptop_Dev_USD*FX_USD</f>
        <v>0</v>
      </c>
      <c r="AF40" s="33" t="n">
        <f aca="false">(Staff!AF88-Staff!AF89)*Laptop_EUR*FX_EUR+Staff!AF89*Laptop_Dev_USD*FX_USD</f>
        <v>1487978.5</v>
      </c>
      <c r="AG40" s="33" t="n">
        <f aca="false">(Staff!AG88-Staff!AG89)*Laptop_EUR*FX_EUR+Staff!AG89*Laptop_Dev_USD*FX_USD</f>
        <v>983935.5</v>
      </c>
      <c r="AH40" s="33" t="n">
        <f aca="false">(Staff!AH88-Staff!AH89)*Laptop_EUR*FX_EUR+Staff!AH89*Laptop_Dev_USD*FX_USD</f>
        <v>327978.5</v>
      </c>
      <c r="AI40" s="33" t="n">
        <f aca="false">(Staff!AI88-Staff!AI89)*Laptop_EUR*FX_EUR+Staff!AI89*Laptop_Dev_USD*FX_USD</f>
        <v>327978.5</v>
      </c>
      <c r="AJ40" s="33" t="n">
        <f aca="false">(Staff!AJ88-Staff!AJ89)*Laptop_EUR*FX_EUR+Staff!AJ89*Laptop_Dev_USD*FX_USD</f>
        <v>0</v>
      </c>
      <c r="AK40" s="33" t="n">
        <f aca="false">(Staff!AK88-Staff!AK89)*Laptop_EUR*FX_EUR+Staff!AK89*Laptop_Dev_USD*FX_USD</f>
        <v>327978.5</v>
      </c>
      <c r="AL40" s="33" t="n">
        <f aca="false">(Staff!AL88-Staff!AL89)*Laptop_EUR*FX_EUR+Staff!AL89*Laptop_Dev_USD*FX_USD</f>
        <v>655957</v>
      </c>
      <c r="AM40" s="33" t="n">
        <f aca="false">(Staff!AM88-Staff!AM89)*Laptop_EUR*FX_EUR+Staff!AM89*Laptop_Dev_USD*FX_USD</f>
        <v>327978.5</v>
      </c>
      <c r="AN40" s="33" t="n">
        <f aca="false">(Staff!AN88-Staff!AN89)*Laptop_EUR*FX_EUR+Staff!AN89*Laptop_Dev_USD*FX_USD</f>
        <v>327978.5</v>
      </c>
      <c r="AO40" s="33" t="n">
        <f aca="false">(Staff!AO88-Staff!AO89)*Laptop_EUR*FX_EUR+Staff!AO89*Laptop_Dev_USD*FX_USD</f>
        <v>655957</v>
      </c>
      <c r="AP40" s="33" t="n">
        <f aca="false">(Staff!AP88-Staff!AP89)*Laptop_EUR*FX_EUR+Staff!AP89*Laptop_Dev_USD*FX_USD</f>
        <v>0</v>
      </c>
      <c r="AQ40" s="33" t="n">
        <f aca="false">(Staff!AQ88-Staff!AQ89)*Laptop_EUR*FX_EUR+Staff!AQ89*Laptop_Dev_USD*FX_USD</f>
        <v>655957</v>
      </c>
      <c r="AR40" s="33" t="n">
        <f aca="false">(Staff!AR88-Staff!AR89)*Laptop_EUR*FX_EUR+Staff!AR89*Laptop_Dev_USD*FX_USD</f>
        <v>1815957</v>
      </c>
      <c r="AS40" s="33" t="n">
        <f aca="false">(Staff!AS88-Staff!AS89)*Laptop_EUR*FX_EUR+Staff!AS89*Laptop_Dev_USD*FX_USD</f>
        <v>0</v>
      </c>
      <c r="AT40" s="33" t="n">
        <f aca="false">(Staff!AT88-Staff!AT89)*Laptop_EUR*FX_EUR+Staff!AT89*Laptop_Dev_USD*FX_USD</f>
        <v>327978.5</v>
      </c>
      <c r="AU40" s="33" t="n">
        <f aca="false">(Staff!AU88-Staff!AU89)*Laptop_EUR*FX_EUR+Staff!AU89*Laptop_Dev_USD*FX_USD</f>
        <v>983935.5</v>
      </c>
      <c r="AV40" s="33" t="n">
        <f aca="false">(Staff!AV88-Staff!AV89)*Laptop_EUR*FX_EUR+Staff!AV89*Laptop_Dev_USD*FX_USD</f>
        <v>0</v>
      </c>
      <c r="AW40" s="33" t="n">
        <f aca="false">(Staff!AW88-Staff!AW89)*Laptop_EUR*FX_EUR+Staff!AW89*Laptop_Dev_USD*FX_USD</f>
        <v>983935.5</v>
      </c>
      <c r="AX40" s="33" t="n">
        <f aca="false">(Staff!AX88-Staff!AX89)*Laptop_EUR*FX_EUR+Staff!AX89*Laptop_Dev_USD*FX_USD</f>
        <v>327978.5</v>
      </c>
      <c r="AY40" s="33" t="n">
        <f aca="false">(Staff!AY88-Staff!AY89)*Laptop_EUR*FX_EUR+Staff!AY89*Laptop_Dev_USD*FX_USD</f>
        <v>327978.5</v>
      </c>
      <c r="AZ40" s="33" t="n">
        <f aca="false">(Staff!AZ88-Staff!AZ89)*Laptop_EUR*FX_EUR+Staff!AZ89*Laptop_Dev_USD*FX_USD</f>
        <v>655957</v>
      </c>
      <c r="BA40" s="33" t="n">
        <f aca="false">(Staff!BA88-Staff!BA89)*Laptop_EUR*FX_EUR+Staff!BA89*Laptop_Dev_USD*FX_USD</f>
        <v>1487978.5</v>
      </c>
      <c r="BB40" s="33" t="n">
        <f aca="false">(Staff!BB88-Staff!BB89)*Laptop_EUR*FX_EUR+Staff!BB89*Laptop_Dev_USD*FX_USD</f>
        <v>983935.5</v>
      </c>
      <c r="BC40" s="33" t="n">
        <f aca="false">(Staff!BC88-Staff!BC89)*Laptop_EUR*FX_EUR+Staff!BC89*Laptop_Dev_USD*FX_USD</f>
        <v>327978.5</v>
      </c>
      <c r="BD40" s="33" t="n">
        <f aca="false">(Staff!BD88-Staff!BD89)*Laptop_EUR*FX_EUR+Staff!BD89*Laptop_Dev_USD*FX_USD</f>
        <v>655957</v>
      </c>
      <c r="BE40" s="33" t="n">
        <f aca="false">(Staff!BE88-Staff!BE89)*Laptop_EUR*FX_EUR+Staff!BE89*Laptop_Dev_USD*FX_USD</f>
        <v>327978.5</v>
      </c>
      <c r="BF40" s="33" t="n">
        <f aca="false">(Staff!BF88-Staff!BF89)*Laptop_EUR*FX_EUR+Staff!BF89*Laptop_Dev_USD*FX_USD</f>
        <v>655957</v>
      </c>
      <c r="BG40" s="33" t="n">
        <f aca="false">(Staff!BG88-Staff!BG89)*Laptop_EUR*FX_EUR+Staff!BG89*Laptop_Dev_USD*FX_USD</f>
        <v>655957</v>
      </c>
      <c r="BH40" s="33" t="n">
        <f aca="false">(Staff!BH88-Staff!BH89)*Laptop_EUR*FX_EUR+Staff!BH89*Laptop_Dev_USD*FX_USD</f>
        <v>1815957</v>
      </c>
      <c r="BI40" s="33" t="n">
        <f aca="false">(Staff!BI88-Staff!BI89)*Laptop_EUR*FX_EUR+Staff!BI89*Laptop_Dev_USD*FX_USD</f>
        <v>655957</v>
      </c>
      <c r="BJ40" s="33" t="n">
        <f aca="false">(Staff!BJ88-Staff!BJ89)*Laptop_EUR*FX_EUR+Staff!BJ89*Laptop_Dev_USD*FX_USD</f>
        <v>655957</v>
      </c>
      <c r="BK40" s="33" t="n">
        <f aca="false">(Staff!BK88-Staff!BK89)*Laptop_EUR*FX_EUR+Staff!BK89*Laptop_Dev_USD*FX_USD</f>
        <v>655957</v>
      </c>
      <c r="BL40" s="33" t="n">
        <f aca="false">(Staff!BL88-Staff!BL89)*Laptop_EUR*FX_EUR+Staff!BL89*Laptop_Dev_USD*FX_USD</f>
        <v>655957</v>
      </c>
    </row>
    <row r="41" customFormat="false" ht="15" hidden="false" customHeight="true" outlineLevel="0" collapsed="false">
      <c r="A41" s="9" t="s">
        <v>1297</v>
      </c>
      <c r="B41" s="15" t="s">
        <v>77</v>
      </c>
      <c r="D41" s="56" t="n">
        <f aca="false">SUM(E41:BL41)</f>
        <v>412405518.3</v>
      </c>
      <c r="E41" s="17" t="n">
        <f aca="false">SUM(E37:E40)</f>
        <v>5144892.5</v>
      </c>
      <c r="F41" s="17" t="n">
        <f aca="false">SUM(F37:F40)</f>
        <v>1008935.5</v>
      </c>
      <c r="G41" s="17" t="n">
        <f aca="false">SUM(G37:G40)</f>
        <v>1008935.5</v>
      </c>
      <c r="H41" s="17" t="n">
        <f aca="false">SUM(H37:H40)</f>
        <v>3657763.5</v>
      </c>
      <c r="I41" s="17" t="n">
        <f aca="false">SUM(I37:I40)</f>
        <v>2547636.6</v>
      </c>
      <c r="J41" s="17" t="n">
        <f aca="false">SUM(J37:J40)</f>
        <v>2219658.1</v>
      </c>
      <c r="K41" s="17" t="n">
        <f aca="false">SUM(K37:K40)</f>
        <v>2219658.1</v>
      </c>
      <c r="L41" s="17" t="n">
        <f aca="false">SUM(L37:L40)</f>
        <v>2219658.1</v>
      </c>
      <c r="M41" s="17" t="n">
        <f aca="false">SUM(M37:M40)</f>
        <v>2219658.1</v>
      </c>
      <c r="N41" s="17" t="n">
        <f aca="false">SUM(N37:N40)</f>
        <v>2219658.1</v>
      </c>
      <c r="O41" s="17" t="n">
        <f aca="false">SUM(O37:O40)</f>
        <v>2219658.1</v>
      </c>
      <c r="P41" s="17" t="n">
        <f aca="false">SUM(P37:P40)</f>
        <v>2219658.1</v>
      </c>
      <c r="Q41" s="17" t="n">
        <f aca="false">SUM(Q37:Q40)</f>
        <v>2749423.7</v>
      </c>
      <c r="R41" s="17" t="n">
        <f aca="false">SUM(R37:R40)</f>
        <v>2421445.2</v>
      </c>
      <c r="S41" s="17" t="n">
        <f aca="false">SUM(S37:S40)</f>
        <v>2421445.2</v>
      </c>
      <c r="T41" s="17" t="n">
        <f aca="false">SUM(T37:T40)</f>
        <v>2951210.8</v>
      </c>
      <c r="U41" s="17" t="n">
        <f aca="false">SUM(U37:U40)</f>
        <v>2623232.3</v>
      </c>
      <c r="V41" s="17" t="n">
        <f aca="false">SUM(V37:V40)</f>
        <v>4212529.1</v>
      </c>
      <c r="W41" s="17" t="n">
        <f aca="false">SUM(W37:W40)</f>
        <v>3228593.6</v>
      </c>
      <c r="X41" s="17" t="n">
        <f aca="false">SUM(X37:X40)</f>
        <v>3758359.2</v>
      </c>
      <c r="Y41" s="17" t="n">
        <f aca="false">SUM(Y37:Y40)</f>
        <v>3960146.3</v>
      </c>
      <c r="Z41" s="17" t="n">
        <f aca="false">SUM(Z37:Z40)</f>
        <v>3632167.8</v>
      </c>
      <c r="AA41" s="17" t="n">
        <f aca="false">SUM(AA37:AA40)</f>
        <v>3632167.8</v>
      </c>
      <c r="AB41" s="17" t="n">
        <f aca="false">SUM(AB37:AB40)</f>
        <v>4161933.4</v>
      </c>
      <c r="AC41" s="17" t="n">
        <f aca="false">SUM(AC37:AC40)</f>
        <v>4363720.5</v>
      </c>
      <c r="AD41" s="17" t="n">
        <f aca="false">SUM(AD37:AD40)</f>
        <v>4565507.6</v>
      </c>
      <c r="AE41" s="17" t="n">
        <f aca="false">SUM(AE37:AE40)</f>
        <v>4237529.1</v>
      </c>
      <c r="AF41" s="17" t="n">
        <f aca="false">SUM(AF37:AF40)</f>
        <v>6129081.8</v>
      </c>
      <c r="AG41" s="17" t="n">
        <f aca="false">SUM(AG37:AG40)</f>
        <v>6230400.1</v>
      </c>
      <c r="AH41" s="17" t="n">
        <f aca="false">SUM(AH37:AH40)</f>
        <v>5776230.2</v>
      </c>
      <c r="AI41" s="17" t="n">
        <f aca="false">SUM(AI37:AI40)</f>
        <v>5978017.3</v>
      </c>
      <c r="AJ41" s="17" t="n">
        <f aca="false">SUM(AJ37:AJ40)</f>
        <v>5650038.8</v>
      </c>
      <c r="AK41" s="17" t="n">
        <f aca="false">SUM(AK37:AK40)</f>
        <v>6179804.4</v>
      </c>
      <c r="AL41" s="17" t="n">
        <f aca="false">SUM(AL37:AL40)</f>
        <v>6911357.1</v>
      </c>
      <c r="AM41" s="17" t="n">
        <f aca="false">SUM(AM37:AM40)</f>
        <v>6785165.7</v>
      </c>
      <c r="AN41" s="17" t="n">
        <f aca="false">SUM(AN37:AN40)</f>
        <v>6986952.8</v>
      </c>
      <c r="AO41" s="17" t="n">
        <f aca="false">SUM(AO37:AO40)</f>
        <v>7718505.5</v>
      </c>
      <c r="AP41" s="17" t="n">
        <f aca="false">SUM(AP37:AP40)</f>
        <v>7062548.5</v>
      </c>
      <c r="AQ41" s="17" t="n">
        <f aca="false">SUM(AQ37:AQ40)</f>
        <v>8122079.7</v>
      </c>
      <c r="AR41" s="17" t="n">
        <f aca="false">SUM(AR37:AR40)</f>
        <v>9887441</v>
      </c>
      <c r="AS41" s="17" t="n">
        <f aca="false">SUM(AS37:AS40)</f>
        <v>8071484</v>
      </c>
      <c r="AT41" s="17" t="n">
        <f aca="false">SUM(AT37:AT40)</f>
        <v>8601249.6</v>
      </c>
      <c r="AU41" s="17" t="n">
        <f aca="false">SUM(AU37:AU40)</f>
        <v>9862567.9</v>
      </c>
      <c r="AV41" s="17" t="n">
        <f aca="false">SUM(AV37:AV40)</f>
        <v>8878632.4</v>
      </c>
      <c r="AW41" s="17" t="n">
        <f aca="false">SUM(AW37:AW40)</f>
        <v>10467929.2</v>
      </c>
      <c r="AX41" s="17" t="n">
        <f aca="false">SUM(AX37:AX40)</f>
        <v>10013759.3</v>
      </c>
      <c r="AY41" s="17" t="n">
        <f aca="false">SUM(AY37:AY40)</f>
        <v>10215546.4</v>
      </c>
      <c r="AZ41" s="17" t="n">
        <f aca="false">SUM(AZ37:AZ40)</f>
        <v>10947099.1</v>
      </c>
      <c r="BA41" s="17" t="n">
        <f aca="false">SUM(BA37:BA40)</f>
        <v>12182694.8</v>
      </c>
      <c r="BB41" s="17" t="n">
        <f aca="false">SUM(BB37:BB40)</f>
        <v>12284013.1</v>
      </c>
      <c r="BC41" s="17" t="n">
        <f aca="false">SUM(BC37:BC40)</f>
        <v>11829843.2</v>
      </c>
      <c r="BD41" s="17" t="n">
        <f aca="false">SUM(BD37:BD40)</f>
        <v>12561395.9</v>
      </c>
      <c r="BE41" s="17" t="n">
        <f aca="false">SUM(BE37:BE40)</f>
        <v>12435204.5</v>
      </c>
      <c r="BF41" s="17" t="n">
        <f aca="false">SUM(BF37:BF40)</f>
        <v>13166757.2</v>
      </c>
      <c r="BG41" s="17" t="n">
        <f aca="false">SUM(BG37:BG40)</f>
        <v>13570331.4</v>
      </c>
      <c r="BH41" s="17" t="n">
        <f aca="false">SUM(BH37:BH40)</f>
        <v>15335692.7</v>
      </c>
      <c r="BI41" s="17" t="n">
        <f aca="false">SUM(BI37:BI40)</f>
        <v>14579266.9</v>
      </c>
      <c r="BJ41" s="17" t="n">
        <f aca="false">SUM(BJ37:BJ40)</f>
        <v>14982841.1</v>
      </c>
      <c r="BK41" s="17" t="n">
        <f aca="false">SUM(BK37:BK40)</f>
        <v>15386415.3</v>
      </c>
      <c r="BL41" s="17" t="n">
        <f aca="false">SUM(BL37:BL40)</f>
        <v>15789989.5</v>
      </c>
    </row>
    <row r="43" customFormat="false" ht="15" hidden="false" customHeight="true" outlineLevel="0" collapsed="false">
      <c r="A43" s="11" t="s">
        <v>833</v>
      </c>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row>
    <row r="44" customFormat="false" ht="15" hidden="false" customHeight="true" outlineLevel="0" collapsed="false">
      <c r="A44" s="13" t="s">
        <v>1298</v>
      </c>
      <c r="B44" s="15" t="s">
        <v>77</v>
      </c>
      <c r="D44" s="56" t="n">
        <f aca="false">SUM(E44:BL44)</f>
        <v>184150970</v>
      </c>
      <c r="E44" s="33" t="n">
        <f aca="false">IF(E$3&lt;=Maak_Lease_Months,IF(Maak_Option=1,Maak_Lease_EUR*FX_EUR/12,0),Maak_Maint_USD*FX_USD/12)</f>
        <v>3826415.83333333</v>
      </c>
      <c r="F44" s="33" t="n">
        <f aca="false">IF(F$3&lt;=Maak_Lease_Months,IF(Maak_Option=1,Maak_Lease_EUR*FX_EUR/12,0),Maak_Maint_USD*FX_USD/12)</f>
        <v>3826415.83333333</v>
      </c>
      <c r="G44" s="33" t="n">
        <f aca="false">IF(G$3&lt;=Maak_Lease_Months,IF(Maak_Option=1,Maak_Lease_EUR*FX_EUR/12,0),Maak_Maint_USD*FX_USD/12)</f>
        <v>3826415.83333333</v>
      </c>
      <c r="H44" s="33" t="n">
        <f aca="false">IF(H$3&lt;=Maak_Lease_Months,IF(Maak_Option=1,Maak_Lease_EUR*FX_EUR/12,0),Maak_Maint_USD*FX_USD/12)</f>
        <v>3826415.83333333</v>
      </c>
      <c r="I44" s="33" t="n">
        <f aca="false">IF(I$3&lt;=Maak_Lease_Months,IF(Maak_Option=1,Maak_Lease_EUR*FX_EUR/12,0),Maak_Maint_USD*FX_USD/12)</f>
        <v>3826415.83333333</v>
      </c>
      <c r="J44" s="33" t="n">
        <f aca="false">IF(J$3&lt;=Maak_Lease_Months,IF(Maak_Option=1,Maak_Lease_EUR*FX_EUR/12,0),Maak_Maint_USD*FX_USD/12)</f>
        <v>3826415.83333333</v>
      </c>
      <c r="K44" s="33" t="n">
        <f aca="false">IF(K$3&lt;=Maak_Lease_Months,IF(Maak_Option=1,Maak_Lease_EUR*FX_EUR/12,0),Maak_Maint_USD*FX_USD/12)</f>
        <v>3826415.83333333</v>
      </c>
      <c r="L44" s="33" t="n">
        <f aca="false">IF(L$3&lt;=Maak_Lease_Months,IF(Maak_Option=1,Maak_Lease_EUR*FX_EUR/12,0),Maak_Maint_USD*FX_USD/12)</f>
        <v>3826415.83333333</v>
      </c>
      <c r="M44" s="33" t="n">
        <f aca="false">IF(M$3&lt;=Maak_Lease_Months,IF(Maak_Option=1,Maak_Lease_EUR*FX_EUR/12,0),Maak_Maint_USD*FX_USD/12)</f>
        <v>3826415.83333333</v>
      </c>
      <c r="N44" s="33" t="n">
        <f aca="false">IF(N$3&lt;=Maak_Lease_Months,IF(Maak_Option=1,Maak_Lease_EUR*FX_EUR/12,0),Maak_Maint_USD*FX_USD/12)</f>
        <v>3826415.83333333</v>
      </c>
      <c r="O44" s="33" t="n">
        <f aca="false">IF(O$3&lt;=Maak_Lease_Months,IF(Maak_Option=1,Maak_Lease_EUR*FX_EUR/12,0),Maak_Maint_USD*FX_USD/12)</f>
        <v>3826415.83333333</v>
      </c>
      <c r="P44" s="33" t="n">
        <f aca="false">IF(P$3&lt;=Maak_Lease_Months,IF(Maak_Option=1,Maak_Lease_EUR*FX_EUR/12,0),Maak_Maint_USD*FX_USD/12)</f>
        <v>3826415.83333333</v>
      </c>
      <c r="Q44" s="33" t="n">
        <f aca="false">IF(Q$3&lt;=Maak_Lease_Months,IF(Maak_Option=1,Maak_Lease_EUR*FX_EUR/12,0),Maak_Maint_USD*FX_USD/12)</f>
        <v>3826415.83333333</v>
      </c>
      <c r="R44" s="33" t="n">
        <f aca="false">IF(R$3&lt;=Maak_Lease_Months,IF(Maak_Option=1,Maak_Lease_EUR*FX_EUR/12,0),Maak_Maint_USD*FX_USD/12)</f>
        <v>3826415.83333333</v>
      </c>
      <c r="S44" s="33" t="n">
        <f aca="false">IF(S$3&lt;=Maak_Lease_Months,IF(Maak_Option=1,Maak_Lease_EUR*FX_EUR/12,0),Maak_Maint_USD*FX_USD/12)</f>
        <v>3826415.83333333</v>
      </c>
      <c r="T44" s="33" t="n">
        <f aca="false">IF(T$3&lt;=Maak_Lease_Months,IF(Maak_Option=1,Maak_Lease_EUR*FX_EUR/12,0),Maak_Maint_USD*FX_USD/12)</f>
        <v>3826415.83333333</v>
      </c>
      <c r="U44" s="33" t="n">
        <f aca="false">IF(U$3&lt;=Maak_Lease_Months,IF(Maak_Option=1,Maak_Lease_EUR*FX_EUR/12,0),Maak_Maint_USD*FX_USD/12)</f>
        <v>3826415.83333333</v>
      </c>
      <c r="V44" s="33" t="n">
        <f aca="false">IF(V$3&lt;=Maak_Lease_Months,IF(Maak_Option=1,Maak_Lease_EUR*FX_EUR/12,0),Maak_Maint_USD*FX_USD/12)</f>
        <v>3826415.83333333</v>
      </c>
      <c r="W44" s="33" t="n">
        <f aca="false">IF(W$3&lt;=Maak_Lease_Months,IF(Maak_Option=1,Maak_Lease_EUR*FX_EUR/12,0),Maak_Maint_USD*FX_USD/12)</f>
        <v>3826415.83333333</v>
      </c>
      <c r="X44" s="33" t="n">
        <f aca="false">IF(X$3&lt;=Maak_Lease_Months,IF(Maak_Option=1,Maak_Lease_EUR*FX_EUR/12,0),Maak_Maint_USD*FX_USD/12)</f>
        <v>3826415.83333333</v>
      </c>
      <c r="Y44" s="33" t="n">
        <f aca="false">IF(Y$3&lt;=Maak_Lease_Months,IF(Maak_Option=1,Maak_Lease_EUR*FX_EUR/12,0),Maak_Maint_USD*FX_USD/12)</f>
        <v>3826415.83333333</v>
      </c>
      <c r="Z44" s="33" t="n">
        <f aca="false">IF(Z$3&lt;=Maak_Lease_Months,IF(Maak_Option=1,Maak_Lease_EUR*FX_EUR/12,0),Maak_Maint_USD*FX_USD/12)</f>
        <v>3826415.83333333</v>
      </c>
      <c r="AA44" s="33" t="n">
        <f aca="false">IF(AA$3&lt;=Maak_Lease_Months,IF(Maak_Option=1,Maak_Lease_EUR*FX_EUR/12,0),Maak_Maint_USD*FX_USD/12)</f>
        <v>3826415.83333333</v>
      </c>
      <c r="AB44" s="33" t="n">
        <f aca="false">IF(AB$3&lt;=Maak_Lease_Months,IF(Maak_Option=1,Maak_Lease_EUR*FX_EUR/12,0),Maak_Maint_USD*FX_USD/12)</f>
        <v>3826415.83333333</v>
      </c>
      <c r="AC44" s="33" t="n">
        <f aca="false">IF(AC$3&lt;=Maak_Lease_Months,IF(Maak_Option=1,Maak_Lease_EUR*FX_EUR/12,0),Maak_Maint_USD*FX_USD/12)</f>
        <v>3826415.83333333</v>
      </c>
      <c r="AD44" s="33" t="n">
        <f aca="false">IF(AD$3&lt;=Maak_Lease_Months,IF(Maak_Option=1,Maak_Lease_EUR*FX_EUR/12,0),Maak_Maint_USD*FX_USD/12)</f>
        <v>3826415.83333333</v>
      </c>
      <c r="AE44" s="33" t="n">
        <f aca="false">IF(AE$3&lt;=Maak_Lease_Months,IF(Maak_Option=1,Maak_Lease_EUR*FX_EUR/12,0),Maak_Maint_USD*FX_USD/12)</f>
        <v>3826415.83333333</v>
      </c>
      <c r="AF44" s="33" t="n">
        <f aca="false">IF(AF$3&lt;=Maak_Lease_Months,IF(Maak_Option=1,Maak_Lease_EUR*FX_EUR/12,0),Maak_Maint_USD*FX_USD/12)</f>
        <v>3826415.83333333</v>
      </c>
      <c r="AG44" s="33" t="n">
        <f aca="false">IF(AG$3&lt;=Maak_Lease_Months,IF(Maak_Option=1,Maak_Lease_EUR*FX_EUR/12,0),Maak_Maint_USD*FX_USD/12)</f>
        <v>3826415.83333333</v>
      </c>
      <c r="AH44" s="33" t="n">
        <f aca="false">IF(AH$3&lt;=Maak_Lease_Months,IF(Maak_Option=1,Maak_Lease_EUR*FX_EUR/12,0),Maak_Maint_USD*FX_USD/12)</f>
        <v>3826415.83333333</v>
      </c>
      <c r="AI44" s="33" t="n">
        <f aca="false">IF(AI$3&lt;=Maak_Lease_Months,IF(Maak_Option=1,Maak_Lease_EUR*FX_EUR/12,0),Maak_Maint_USD*FX_USD/12)</f>
        <v>3826415.83333333</v>
      </c>
      <c r="AJ44" s="33" t="n">
        <f aca="false">IF(AJ$3&lt;=Maak_Lease_Months,IF(Maak_Option=1,Maak_Lease_EUR*FX_EUR/12,0),Maak_Maint_USD*FX_USD/12)</f>
        <v>3826415.83333333</v>
      </c>
      <c r="AK44" s="33" t="n">
        <f aca="false">IF(AK$3&lt;=Maak_Lease_Months,IF(Maak_Option=1,Maak_Lease_EUR*FX_EUR/12,0),Maak_Maint_USD*FX_USD/12)</f>
        <v>3826415.83333333</v>
      </c>
      <c r="AL44" s="33" t="n">
        <f aca="false">IF(AL$3&lt;=Maak_Lease_Months,IF(Maak_Option=1,Maak_Lease_EUR*FX_EUR/12,0),Maak_Maint_USD*FX_USD/12)</f>
        <v>3826415.83333333</v>
      </c>
      <c r="AM44" s="33" t="n">
        <f aca="false">IF(AM$3&lt;=Maak_Lease_Months,IF(Maak_Option=1,Maak_Lease_EUR*FX_EUR/12,0),Maak_Maint_USD*FX_USD/12)</f>
        <v>3826415.83333333</v>
      </c>
      <c r="AN44" s="33" t="n">
        <f aca="false">IF(AN$3&lt;=Maak_Lease_Months,IF(Maak_Option=1,Maak_Lease_EUR*FX_EUR/12,0),Maak_Maint_USD*FX_USD/12)</f>
        <v>3826415.83333333</v>
      </c>
      <c r="AO44" s="33" t="n">
        <f aca="false">IF(AO$3&lt;=Maak_Lease_Months,IF(Maak_Option=1,Maak_Lease_EUR*FX_EUR/12,0),Maak_Maint_USD*FX_USD/12)</f>
        <v>1933333.33333333</v>
      </c>
      <c r="AP44" s="33" t="n">
        <f aca="false">IF(AP$3&lt;=Maak_Lease_Months,IF(Maak_Option=1,Maak_Lease_EUR*FX_EUR/12,0),Maak_Maint_USD*FX_USD/12)</f>
        <v>1933333.33333333</v>
      </c>
      <c r="AQ44" s="33" t="n">
        <f aca="false">IF(AQ$3&lt;=Maak_Lease_Months,IF(Maak_Option=1,Maak_Lease_EUR*FX_EUR/12,0),Maak_Maint_USD*FX_USD/12)</f>
        <v>1933333.33333333</v>
      </c>
      <c r="AR44" s="33" t="n">
        <f aca="false">IF(AR$3&lt;=Maak_Lease_Months,IF(Maak_Option=1,Maak_Lease_EUR*FX_EUR/12,0),Maak_Maint_USD*FX_USD/12)</f>
        <v>1933333.33333333</v>
      </c>
      <c r="AS44" s="33" t="n">
        <f aca="false">IF(AS$3&lt;=Maak_Lease_Months,IF(Maak_Option=1,Maak_Lease_EUR*FX_EUR/12,0),Maak_Maint_USD*FX_USD/12)</f>
        <v>1933333.33333333</v>
      </c>
      <c r="AT44" s="33" t="n">
        <f aca="false">IF(AT$3&lt;=Maak_Lease_Months,IF(Maak_Option=1,Maak_Lease_EUR*FX_EUR/12,0),Maak_Maint_USD*FX_USD/12)</f>
        <v>1933333.33333333</v>
      </c>
      <c r="AU44" s="33" t="n">
        <f aca="false">IF(AU$3&lt;=Maak_Lease_Months,IF(Maak_Option=1,Maak_Lease_EUR*FX_EUR/12,0),Maak_Maint_USD*FX_USD/12)</f>
        <v>1933333.33333333</v>
      </c>
      <c r="AV44" s="33" t="n">
        <f aca="false">IF(AV$3&lt;=Maak_Lease_Months,IF(Maak_Option=1,Maak_Lease_EUR*FX_EUR/12,0),Maak_Maint_USD*FX_USD/12)</f>
        <v>1933333.33333333</v>
      </c>
      <c r="AW44" s="33" t="n">
        <f aca="false">IF(AW$3&lt;=Maak_Lease_Months,IF(Maak_Option=1,Maak_Lease_EUR*FX_EUR/12,0),Maak_Maint_USD*FX_USD/12)</f>
        <v>1933333.33333333</v>
      </c>
      <c r="AX44" s="33" t="n">
        <f aca="false">IF(AX$3&lt;=Maak_Lease_Months,IF(Maak_Option=1,Maak_Lease_EUR*FX_EUR/12,0),Maak_Maint_USD*FX_USD/12)</f>
        <v>1933333.33333333</v>
      </c>
      <c r="AY44" s="33" t="n">
        <f aca="false">IF(AY$3&lt;=Maak_Lease_Months,IF(Maak_Option=1,Maak_Lease_EUR*FX_EUR/12,0),Maak_Maint_USD*FX_USD/12)</f>
        <v>1933333.33333333</v>
      </c>
      <c r="AZ44" s="33" t="n">
        <f aca="false">IF(AZ$3&lt;=Maak_Lease_Months,IF(Maak_Option=1,Maak_Lease_EUR*FX_EUR/12,0),Maak_Maint_USD*FX_USD/12)</f>
        <v>1933333.33333333</v>
      </c>
      <c r="BA44" s="33" t="n">
        <f aca="false">IF(BA$3&lt;=Maak_Lease_Months,IF(Maak_Option=1,Maak_Lease_EUR*FX_EUR/12,0),Maak_Maint_USD*FX_USD/12)</f>
        <v>1933333.33333333</v>
      </c>
      <c r="BB44" s="33" t="n">
        <f aca="false">IF(BB$3&lt;=Maak_Lease_Months,IF(Maak_Option=1,Maak_Lease_EUR*FX_EUR/12,0),Maak_Maint_USD*FX_USD/12)</f>
        <v>1933333.33333333</v>
      </c>
      <c r="BC44" s="33" t="n">
        <f aca="false">IF(BC$3&lt;=Maak_Lease_Months,IF(Maak_Option=1,Maak_Lease_EUR*FX_EUR/12,0),Maak_Maint_USD*FX_USD/12)</f>
        <v>1933333.33333333</v>
      </c>
      <c r="BD44" s="33" t="n">
        <f aca="false">IF(BD$3&lt;=Maak_Lease_Months,IF(Maak_Option=1,Maak_Lease_EUR*FX_EUR/12,0),Maak_Maint_USD*FX_USD/12)</f>
        <v>1933333.33333333</v>
      </c>
      <c r="BE44" s="33" t="n">
        <f aca="false">IF(BE$3&lt;=Maak_Lease_Months,IF(Maak_Option=1,Maak_Lease_EUR*FX_EUR/12,0),Maak_Maint_USD*FX_USD/12)</f>
        <v>1933333.33333333</v>
      </c>
      <c r="BF44" s="33" t="n">
        <f aca="false">IF(BF$3&lt;=Maak_Lease_Months,IF(Maak_Option=1,Maak_Lease_EUR*FX_EUR/12,0),Maak_Maint_USD*FX_USD/12)</f>
        <v>1933333.33333333</v>
      </c>
      <c r="BG44" s="33" t="n">
        <f aca="false">IF(BG$3&lt;=Maak_Lease_Months,IF(Maak_Option=1,Maak_Lease_EUR*FX_EUR/12,0),Maak_Maint_USD*FX_USD/12)</f>
        <v>1933333.33333333</v>
      </c>
      <c r="BH44" s="33" t="n">
        <f aca="false">IF(BH$3&lt;=Maak_Lease_Months,IF(Maak_Option=1,Maak_Lease_EUR*FX_EUR/12,0),Maak_Maint_USD*FX_USD/12)</f>
        <v>1933333.33333333</v>
      </c>
      <c r="BI44" s="33" t="n">
        <f aca="false">IF(BI$3&lt;=Maak_Lease_Months,IF(Maak_Option=1,Maak_Lease_EUR*FX_EUR/12,0),Maak_Maint_USD*FX_USD/12)</f>
        <v>1933333.33333333</v>
      </c>
      <c r="BJ44" s="33" t="n">
        <f aca="false">IF(BJ$3&lt;=Maak_Lease_Months,IF(Maak_Option=1,Maak_Lease_EUR*FX_EUR/12,0),Maak_Maint_USD*FX_USD/12)</f>
        <v>1933333.33333333</v>
      </c>
      <c r="BK44" s="33" t="n">
        <f aca="false">IF(BK$3&lt;=Maak_Lease_Months,IF(Maak_Option=1,Maak_Lease_EUR*FX_EUR/12,0),Maak_Maint_USD*FX_USD/12)</f>
        <v>1933333.33333333</v>
      </c>
      <c r="BL44" s="33" t="n">
        <f aca="false">IF(BL$3&lt;=Maak_Lease_Months,IF(Maak_Option=1,Maak_Lease_EUR*FX_EUR/12,0),Maak_Maint_USD*FX_USD/12)</f>
        <v>1933333.33333333</v>
      </c>
    </row>
    <row r="45" customFormat="false" ht="15" hidden="false" customHeight="true" outlineLevel="0" collapsed="false">
      <c r="A45" s="13" t="s">
        <v>834</v>
      </c>
      <c r="B45" s="15" t="s">
        <v>77</v>
      </c>
      <c r="D45" s="56" t="n">
        <f aca="false">SUM(E45:BL45)</f>
        <v>262740000</v>
      </c>
      <c r="E45" s="33" t="n">
        <f aca="false">IF(E$3&gt;=Cloud_Start,INDEX(Cloud_USD,1,E$5)*FX_USD,0)</f>
        <v>0</v>
      </c>
      <c r="F45" s="33" t="n">
        <f aca="false">IF(F$3&gt;=Cloud_Start,INDEX(Cloud_USD,1,F$5)*FX_USD,0)</f>
        <v>1740000</v>
      </c>
      <c r="G45" s="33" t="n">
        <f aca="false">IF(G$3&gt;=Cloud_Start,INDEX(Cloud_USD,1,G$5)*FX_USD,0)</f>
        <v>1740000</v>
      </c>
      <c r="H45" s="33" t="n">
        <f aca="false">IF(H$3&gt;=Cloud_Start,INDEX(Cloud_USD,1,H$5)*FX_USD,0)</f>
        <v>1740000</v>
      </c>
      <c r="I45" s="33" t="n">
        <f aca="false">IF(I$3&gt;=Cloud_Start,INDEX(Cloud_USD,1,I$5)*FX_USD,0)</f>
        <v>1740000</v>
      </c>
      <c r="J45" s="33" t="n">
        <f aca="false">IF(J$3&gt;=Cloud_Start,INDEX(Cloud_USD,1,J$5)*FX_USD,0)</f>
        <v>1740000</v>
      </c>
      <c r="K45" s="33" t="n">
        <f aca="false">IF(K$3&gt;=Cloud_Start,INDEX(Cloud_USD,1,K$5)*FX_USD,0)</f>
        <v>1740000</v>
      </c>
      <c r="L45" s="33" t="n">
        <f aca="false">IF(L$3&gt;=Cloud_Start,INDEX(Cloud_USD,1,L$5)*FX_USD,0)</f>
        <v>1740000</v>
      </c>
      <c r="M45" s="33" t="n">
        <f aca="false">IF(M$3&gt;=Cloud_Start,INDEX(Cloud_USD,1,M$5)*FX_USD,0)</f>
        <v>1740000</v>
      </c>
      <c r="N45" s="33" t="n">
        <f aca="false">IF(N$3&gt;=Cloud_Start,INDEX(Cloud_USD,1,N$5)*FX_USD,0)</f>
        <v>1740000</v>
      </c>
      <c r="O45" s="33" t="n">
        <f aca="false">IF(O$3&gt;=Cloud_Start,INDEX(Cloud_USD,1,O$5)*FX_USD,0)</f>
        <v>1740000</v>
      </c>
      <c r="P45" s="33" t="n">
        <f aca="false">IF(P$3&gt;=Cloud_Start,INDEX(Cloud_USD,1,P$5)*FX_USD,0)</f>
        <v>1740000</v>
      </c>
      <c r="Q45" s="33" t="n">
        <f aca="false">IF(Q$3&gt;=Cloud_Start,INDEX(Cloud_USD,1,Q$5)*FX_USD,0)</f>
        <v>2900000</v>
      </c>
      <c r="R45" s="33" t="n">
        <f aca="false">IF(R$3&gt;=Cloud_Start,INDEX(Cloud_USD,1,R$5)*FX_USD,0)</f>
        <v>2900000</v>
      </c>
      <c r="S45" s="33" t="n">
        <f aca="false">IF(S$3&gt;=Cloud_Start,INDEX(Cloud_USD,1,S$5)*FX_USD,0)</f>
        <v>2900000</v>
      </c>
      <c r="T45" s="33" t="n">
        <f aca="false">IF(T$3&gt;=Cloud_Start,INDEX(Cloud_USD,1,T$5)*FX_USD,0)</f>
        <v>2900000</v>
      </c>
      <c r="U45" s="33" t="n">
        <f aca="false">IF(U$3&gt;=Cloud_Start,INDEX(Cloud_USD,1,U$5)*FX_USD,0)</f>
        <v>2900000</v>
      </c>
      <c r="V45" s="33" t="n">
        <f aca="false">IF(V$3&gt;=Cloud_Start,INDEX(Cloud_USD,1,V$5)*FX_USD,0)</f>
        <v>2900000</v>
      </c>
      <c r="W45" s="33" t="n">
        <f aca="false">IF(W$3&gt;=Cloud_Start,INDEX(Cloud_USD,1,W$5)*FX_USD,0)</f>
        <v>2900000</v>
      </c>
      <c r="X45" s="33" t="n">
        <f aca="false">IF(X$3&gt;=Cloud_Start,INDEX(Cloud_USD,1,X$5)*FX_USD,0)</f>
        <v>2900000</v>
      </c>
      <c r="Y45" s="33" t="n">
        <f aca="false">IF(Y$3&gt;=Cloud_Start,INDEX(Cloud_USD,1,Y$5)*FX_USD,0)</f>
        <v>2900000</v>
      </c>
      <c r="Z45" s="33" t="n">
        <f aca="false">IF(Z$3&gt;=Cloud_Start,INDEX(Cloud_USD,1,Z$5)*FX_USD,0)</f>
        <v>2900000</v>
      </c>
      <c r="AA45" s="33" t="n">
        <f aca="false">IF(AA$3&gt;=Cloud_Start,INDEX(Cloud_USD,1,AA$5)*FX_USD,0)</f>
        <v>2900000</v>
      </c>
      <c r="AB45" s="33" t="n">
        <f aca="false">IF(AB$3&gt;=Cloud_Start,INDEX(Cloud_USD,1,AB$5)*FX_USD,0)</f>
        <v>2900000</v>
      </c>
      <c r="AC45" s="33" t="n">
        <f aca="false">IF(AC$3&gt;=Cloud_Start,INDEX(Cloud_USD,1,AC$5)*FX_USD,0)</f>
        <v>4640000</v>
      </c>
      <c r="AD45" s="33" t="n">
        <f aca="false">IF(AD$3&gt;=Cloud_Start,INDEX(Cloud_USD,1,AD$5)*FX_USD,0)</f>
        <v>4640000</v>
      </c>
      <c r="AE45" s="33" t="n">
        <f aca="false">IF(AE$3&gt;=Cloud_Start,INDEX(Cloud_USD,1,AE$5)*FX_USD,0)</f>
        <v>4640000</v>
      </c>
      <c r="AF45" s="33" t="n">
        <f aca="false">IF(AF$3&gt;=Cloud_Start,INDEX(Cloud_USD,1,AF$5)*FX_USD,0)</f>
        <v>4640000</v>
      </c>
      <c r="AG45" s="33" t="n">
        <f aca="false">IF(AG$3&gt;=Cloud_Start,INDEX(Cloud_USD,1,AG$5)*FX_USD,0)</f>
        <v>4640000</v>
      </c>
      <c r="AH45" s="33" t="n">
        <f aca="false">IF(AH$3&gt;=Cloud_Start,INDEX(Cloud_USD,1,AH$5)*FX_USD,0)</f>
        <v>4640000</v>
      </c>
      <c r="AI45" s="33" t="n">
        <f aca="false">IF(AI$3&gt;=Cloud_Start,INDEX(Cloud_USD,1,AI$5)*FX_USD,0)</f>
        <v>4640000</v>
      </c>
      <c r="AJ45" s="33" t="n">
        <f aca="false">IF(AJ$3&gt;=Cloud_Start,INDEX(Cloud_USD,1,AJ$5)*FX_USD,0)</f>
        <v>4640000</v>
      </c>
      <c r="AK45" s="33" t="n">
        <f aca="false">IF(AK$3&gt;=Cloud_Start,INDEX(Cloud_USD,1,AK$5)*FX_USD,0)</f>
        <v>4640000</v>
      </c>
      <c r="AL45" s="33" t="n">
        <f aca="false">IF(AL$3&gt;=Cloud_Start,INDEX(Cloud_USD,1,AL$5)*FX_USD,0)</f>
        <v>4640000</v>
      </c>
      <c r="AM45" s="33" t="n">
        <f aca="false">IF(AM$3&gt;=Cloud_Start,INDEX(Cloud_USD,1,AM$5)*FX_USD,0)</f>
        <v>4640000</v>
      </c>
      <c r="AN45" s="33" t="n">
        <f aca="false">IF(AN$3&gt;=Cloud_Start,INDEX(Cloud_USD,1,AN$5)*FX_USD,0)</f>
        <v>4640000</v>
      </c>
      <c r="AO45" s="33" t="n">
        <f aca="false">IF(AO$3&gt;=Cloud_Start,INDEX(Cloud_USD,1,AO$5)*FX_USD,0)</f>
        <v>5800000</v>
      </c>
      <c r="AP45" s="33" t="n">
        <f aca="false">IF(AP$3&gt;=Cloud_Start,INDEX(Cloud_USD,1,AP$5)*FX_USD,0)</f>
        <v>5800000</v>
      </c>
      <c r="AQ45" s="33" t="n">
        <f aca="false">IF(AQ$3&gt;=Cloud_Start,INDEX(Cloud_USD,1,AQ$5)*FX_USD,0)</f>
        <v>5800000</v>
      </c>
      <c r="AR45" s="33" t="n">
        <f aca="false">IF(AR$3&gt;=Cloud_Start,INDEX(Cloud_USD,1,AR$5)*FX_USD,0)</f>
        <v>5800000</v>
      </c>
      <c r="AS45" s="33" t="n">
        <f aca="false">IF(AS$3&gt;=Cloud_Start,INDEX(Cloud_USD,1,AS$5)*FX_USD,0)</f>
        <v>5800000</v>
      </c>
      <c r="AT45" s="33" t="n">
        <f aca="false">IF(AT$3&gt;=Cloud_Start,INDEX(Cloud_USD,1,AT$5)*FX_USD,0)</f>
        <v>5800000</v>
      </c>
      <c r="AU45" s="33" t="n">
        <f aca="false">IF(AU$3&gt;=Cloud_Start,INDEX(Cloud_USD,1,AU$5)*FX_USD,0)</f>
        <v>5800000</v>
      </c>
      <c r="AV45" s="33" t="n">
        <f aca="false">IF(AV$3&gt;=Cloud_Start,INDEX(Cloud_USD,1,AV$5)*FX_USD,0)</f>
        <v>5800000</v>
      </c>
      <c r="AW45" s="33" t="n">
        <f aca="false">IF(AW$3&gt;=Cloud_Start,INDEX(Cloud_USD,1,AW$5)*FX_USD,0)</f>
        <v>5800000</v>
      </c>
      <c r="AX45" s="33" t="n">
        <f aca="false">IF(AX$3&gt;=Cloud_Start,INDEX(Cloud_USD,1,AX$5)*FX_USD,0)</f>
        <v>5800000</v>
      </c>
      <c r="AY45" s="33" t="n">
        <f aca="false">IF(AY$3&gt;=Cloud_Start,INDEX(Cloud_USD,1,AY$5)*FX_USD,0)</f>
        <v>5800000</v>
      </c>
      <c r="AZ45" s="33" t="n">
        <f aca="false">IF(AZ$3&gt;=Cloud_Start,INDEX(Cloud_USD,1,AZ$5)*FX_USD,0)</f>
        <v>5800000</v>
      </c>
      <c r="BA45" s="33" t="n">
        <f aca="false">IF(BA$3&gt;=Cloud_Start,INDEX(Cloud_USD,1,BA$5)*FX_USD,0)</f>
        <v>6960000</v>
      </c>
      <c r="BB45" s="33" t="n">
        <f aca="false">IF(BB$3&gt;=Cloud_Start,INDEX(Cloud_USD,1,BB$5)*FX_USD,0)</f>
        <v>6960000</v>
      </c>
      <c r="BC45" s="33" t="n">
        <f aca="false">IF(BC$3&gt;=Cloud_Start,INDEX(Cloud_USD,1,BC$5)*FX_USD,0)</f>
        <v>6960000</v>
      </c>
      <c r="BD45" s="33" t="n">
        <f aca="false">IF(BD$3&gt;=Cloud_Start,INDEX(Cloud_USD,1,BD$5)*FX_USD,0)</f>
        <v>6960000</v>
      </c>
      <c r="BE45" s="33" t="n">
        <f aca="false">IF(BE$3&gt;=Cloud_Start,INDEX(Cloud_USD,1,BE$5)*FX_USD,0)</f>
        <v>6960000</v>
      </c>
      <c r="BF45" s="33" t="n">
        <f aca="false">IF(BF$3&gt;=Cloud_Start,INDEX(Cloud_USD,1,BF$5)*FX_USD,0)</f>
        <v>6960000</v>
      </c>
      <c r="BG45" s="33" t="n">
        <f aca="false">IF(BG$3&gt;=Cloud_Start,INDEX(Cloud_USD,1,BG$5)*FX_USD,0)</f>
        <v>6960000</v>
      </c>
      <c r="BH45" s="33" t="n">
        <f aca="false">IF(BH$3&gt;=Cloud_Start,INDEX(Cloud_USD,1,BH$5)*FX_USD,0)</f>
        <v>6960000</v>
      </c>
      <c r="BI45" s="33" t="n">
        <f aca="false">IF(BI$3&gt;=Cloud_Start,INDEX(Cloud_USD,1,BI$5)*FX_USD,0)</f>
        <v>6960000</v>
      </c>
      <c r="BJ45" s="33" t="n">
        <f aca="false">IF(BJ$3&gt;=Cloud_Start,INDEX(Cloud_USD,1,BJ$5)*FX_USD,0)</f>
        <v>6960000</v>
      </c>
      <c r="BK45" s="33" t="n">
        <f aca="false">IF(BK$3&gt;=Cloud_Start,INDEX(Cloud_USD,1,BK$5)*FX_USD,0)</f>
        <v>6960000</v>
      </c>
      <c r="BL45" s="33" t="n">
        <f aca="false">IF(BL$3&gt;=Cloud_Start,INDEX(Cloud_USD,1,BL$5)*FX_USD,0)</f>
        <v>6960000</v>
      </c>
    </row>
    <row r="46" customFormat="false" ht="15" hidden="false" customHeight="true" outlineLevel="0" collapsed="false">
      <c r="A46" s="13" t="s">
        <v>841</v>
      </c>
      <c r="B46" s="15" t="s">
        <v>77</v>
      </c>
      <c r="D46" s="56" t="n">
        <f aca="false">SUM(E46:BL46)</f>
        <v>86420000</v>
      </c>
      <c r="E46" s="33" t="n">
        <f aca="false">INDEX(Monitoring_USD,1,E$5)*FX_USD/12</f>
        <v>435000</v>
      </c>
      <c r="F46" s="33" t="n">
        <f aca="false">INDEX(Monitoring_USD,1,F$5)*FX_USD/12</f>
        <v>435000</v>
      </c>
      <c r="G46" s="33" t="n">
        <f aca="false">INDEX(Monitoring_USD,1,G$5)*FX_USD/12</f>
        <v>435000</v>
      </c>
      <c r="H46" s="33" t="n">
        <f aca="false">INDEX(Monitoring_USD,1,H$5)*FX_USD/12</f>
        <v>435000</v>
      </c>
      <c r="I46" s="33" t="n">
        <f aca="false">INDEX(Monitoring_USD,1,I$5)*FX_USD/12</f>
        <v>435000</v>
      </c>
      <c r="J46" s="33" t="n">
        <f aca="false">INDEX(Monitoring_USD,1,J$5)*FX_USD/12</f>
        <v>435000</v>
      </c>
      <c r="K46" s="33" t="n">
        <f aca="false">INDEX(Monitoring_USD,1,K$5)*FX_USD/12</f>
        <v>435000</v>
      </c>
      <c r="L46" s="33" t="n">
        <f aca="false">INDEX(Monitoring_USD,1,L$5)*FX_USD/12</f>
        <v>435000</v>
      </c>
      <c r="M46" s="33" t="n">
        <f aca="false">INDEX(Monitoring_USD,1,M$5)*FX_USD/12</f>
        <v>435000</v>
      </c>
      <c r="N46" s="33" t="n">
        <f aca="false">INDEX(Monitoring_USD,1,N$5)*FX_USD/12</f>
        <v>435000</v>
      </c>
      <c r="O46" s="33" t="n">
        <f aca="false">INDEX(Monitoring_USD,1,O$5)*FX_USD/12</f>
        <v>435000</v>
      </c>
      <c r="P46" s="33" t="n">
        <f aca="false">INDEX(Monitoring_USD,1,P$5)*FX_USD/12</f>
        <v>435000</v>
      </c>
      <c r="Q46" s="33" t="n">
        <f aca="false">INDEX(Monitoring_USD,1,Q$5)*FX_USD/12</f>
        <v>966666.666666667</v>
      </c>
      <c r="R46" s="33" t="n">
        <f aca="false">INDEX(Monitoring_USD,1,R$5)*FX_USD/12</f>
        <v>966666.666666667</v>
      </c>
      <c r="S46" s="33" t="n">
        <f aca="false">INDEX(Monitoring_USD,1,S$5)*FX_USD/12</f>
        <v>966666.666666667</v>
      </c>
      <c r="T46" s="33" t="n">
        <f aca="false">INDEX(Monitoring_USD,1,T$5)*FX_USD/12</f>
        <v>966666.666666667</v>
      </c>
      <c r="U46" s="33" t="n">
        <f aca="false">INDEX(Monitoring_USD,1,U$5)*FX_USD/12</f>
        <v>966666.666666667</v>
      </c>
      <c r="V46" s="33" t="n">
        <f aca="false">INDEX(Monitoring_USD,1,V$5)*FX_USD/12</f>
        <v>966666.666666667</v>
      </c>
      <c r="W46" s="33" t="n">
        <f aca="false">INDEX(Monitoring_USD,1,W$5)*FX_USD/12</f>
        <v>966666.666666667</v>
      </c>
      <c r="X46" s="33" t="n">
        <f aca="false">INDEX(Monitoring_USD,1,X$5)*FX_USD/12</f>
        <v>966666.666666667</v>
      </c>
      <c r="Y46" s="33" t="n">
        <f aca="false">INDEX(Monitoring_USD,1,Y$5)*FX_USD/12</f>
        <v>966666.666666667</v>
      </c>
      <c r="Z46" s="33" t="n">
        <f aca="false">INDEX(Monitoring_USD,1,Z$5)*FX_USD/12</f>
        <v>966666.666666667</v>
      </c>
      <c r="AA46" s="33" t="n">
        <f aca="false">INDEX(Monitoring_USD,1,AA$5)*FX_USD/12</f>
        <v>966666.666666667</v>
      </c>
      <c r="AB46" s="33" t="n">
        <f aca="false">INDEX(Monitoring_USD,1,AB$5)*FX_USD/12</f>
        <v>966666.666666667</v>
      </c>
      <c r="AC46" s="33" t="n">
        <f aca="false">INDEX(Monitoring_USD,1,AC$5)*FX_USD/12</f>
        <v>1450000</v>
      </c>
      <c r="AD46" s="33" t="n">
        <f aca="false">INDEX(Monitoring_USD,1,AD$5)*FX_USD/12</f>
        <v>1450000</v>
      </c>
      <c r="AE46" s="33" t="n">
        <f aca="false">INDEX(Monitoring_USD,1,AE$5)*FX_USD/12</f>
        <v>1450000</v>
      </c>
      <c r="AF46" s="33" t="n">
        <f aca="false">INDEX(Monitoring_USD,1,AF$5)*FX_USD/12</f>
        <v>1450000</v>
      </c>
      <c r="AG46" s="33" t="n">
        <f aca="false">INDEX(Monitoring_USD,1,AG$5)*FX_USD/12</f>
        <v>1450000</v>
      </c>
      <c r="AH46" s="33" t="n">
        <f aca="false">INDEX(Monitoring_USD,1,AH$5)*FX_USD/12</f>
        <v>1450000</v>
      </c>
      <c r="AI46" s="33" t="n">
        <f aca="false">INDEX(Monitoring_USD,1,AI$5)*FX_USD/12</f>
        <v>1450000</v>
      </c>
      <c r="AJ46" s="33" t="n">
        <f aca="false">INDEX(Monitoring_USD,1,AJ$5)*FX_USD/12</f>
        <v>1450000</v>
      </c>
      <c r="AK46" s="33" t="n">
        <f aca="false">INDEX(Monitoring_USD,1,AK$5)*FX_USD/12</f>
        <v>1450000</v>
      </c>
      <c r="AL46" s="33" t="n">
        <f aca="false">INDEX(Monitoring_USD,1,AL$5)*FX_USD/12</f>
        <v>1450000</v>
      </c>
      <c r="AM46" s="33" t="n">
        <f aca="false">INDEX(Monitoring_USD,1,AM$5)*FX_USD/12</f>
        <v>1450000</v>
      </c>
      <c r="AN46" s="33" t="n">
        <f aca="false">INDEX(Monitoring_USD,1,AN$5)*FX_USD/12</f>
        <v>1450000</v>
      </c>
      <c r="AO46" s="33" t="n">
        <f aca="false">INDEX(Monitoring_USD,1,AO$5)*FX_USD/12</f>
        <v>1933333.33333333</v>
      </c>
      <c r="AP46" s="33" t="n">
        <f aca="false">INDEX(Monitoring_USD,1,AP$5)*FX_USD/12</f>
        <v>1933333.33333333</v>
      </c>
      <c r="AQ46" s="33" t="n">
        <f aca="false">INDEX(Monitoring_USD,1,AQ$5)*FX_USD/12</f>
        <v>1933333.33333333</v>
      </c>
      <c r="AR46" s="33" t="n">
        <f aca="false">INDEX(Monitoring_USD,1,AR$5)*FX_USD/12</f>
        <v>1933333.33333333</v>
      </c>
      <c r="AS46" s="33" t="n">
        <f aca="false">INDEX(Monitoring_USD,1,AS$5)*FX_USD/12</f>
        <v>1933333.33333333</v>
      </c>
      <c r="AT46" s="33" t="n">
        <f aca="false">INDEX(Monitoring_USD,1,AT$5)*FX_USD/12</f>
        <v>1933333.33333333</v>
      </c>
      <c r="AU46" s="33" t="n">
        <f aca="false">INDEX(Monitoring_USD,1,AU$5)*FX_USD/12</f>
        <v>1933333.33333333</v>
      </c>
      <c r="AV46" s="33" t="n">
        <f aca="false">INDEX(Monitoring_USD,1,AV$5)*FX_USD/12</f>
        <v>1933333.33333333</v>
      </c>
      <c r="AW46" s="33" t="n">
        <f aca="false">INDEX(Monitoring_USD,1,AW$5)*FX_USD/12</f>
        <v>1933333.33333333</v>
      </c>
      <c r="AX46" s="33" t="n">
        <f aca="false">INDEX(Monitoring_USD,1,AX$5)*FX_USD/12</f>
        <v>1933333.33333333</v>
      </c>
      <c r="AY46" s="33" t="n">
        <f aca="false">INDEX(Monitoring_USD,1,AY$5)*FX_USD/12</f>
        <v>1933333.33333333</v>
      </c>
      <c r="AZ46" s="33" t="n">
        <f aca="false">INDEX(Monitoring_USD,1,AZ$5)*FX_USD/12</f>
        <v>1933333.33333333</v>
      </c>
      <c r="BA46" s="33" t="n">
        <f aca="false">INDEX(Monitoring_USD,1,BA$5)*FX_USD/12</f>
        <v>2416666.66666667</v>
      </c>
      <c r="BB46" s="33" t="n">
        <f aca="false">INDEX(Monitoring_USD,1,BB$5)*FX_USD/12</f>
        <v>2416666.66666667</v>
      </c>
      <c r="BC46" s="33" t="n">
        <f aca="false">INDEX(Monitoring_USD,1,BC$5)*FX_USD/12</f>
        <v>2416666.66666667</v>
      </c>
      <c r="BD46" s="33" t="n">
        <f aca="false">INDEX(Monitoring_USD,1,BD$5)*FX_USD/12</f>
        <v>2416666.66666667</v>
      </c>
      <c r="BE46" s="33" t="n">
        <f aca="false">INDEX(Monitoring_USD,1,BE$5)*FX_USD/12</f>
        <v>2416666.66666667</v>
      </c>
      <c r="BF46" s="33" t="n">
        <f aca="false">INDEX(Monitoring_USD,1,BF$5)*FX_USD/12</f>
        <v>2416666.66666667</v>
      </c>
      <c r="BG46" s="33" t="n">
        <f aca="false">INDEX(Monitoring_USD,1,BG$5)*FX_USD/12</f>
        <v>2416666.66666667</v>
      </c>
      <c r="BH46" s="33" t="n">
        <f aca="false">INDEX(Monitoring_USD,1,BH$5)*FX_USD/12</f>
        <v>2416666.66666667</v>
      </c>
      <c r="BI46" s="33" t="n">
        <f aca="false">INDEX(Monitoring_USD,1,BI$5)*FX_USD/12</f>
        <v>2416666.66666667</v>
      </c>
      <c r="BJ46" s="33" t="n">
        <f aca="false">INDEX(Monitoring_USD,1,BJ$5)*FX_USD/12</f>
        <v>2416666.66666667</v>
      </c>
      <c r="BK46" s="33" t="n">
        <f aca="false">INDEX(Monitoring_USD,1,BK$5)*FX_USD/12</f>
        <v>2416666.66666667</v>
      </c>
      <c r="BL46" s="33" t="n">
        <f aca="false">INDEX(Monitoring_USD,1,BL$5)*FX_USD/12</f>
        <v>2416666.66666667</v>
      </c>
    </row>
    <row r="47" customFormat="false" ht="15" hidden="false" customHeight="true" outlineLevel="0" collapsed="false">
      <c r="A47" s="13" t="s">
        <v>1299</v>
      </c>
      <c r="B47" s="15" t="s">
        <v>77</v>
      </c>
      <c r="D47" s="56" t="n">
        <f aca="false">SUM(E47:BL47)</f>
        <v>87000</v>
      </c>
      <c r="E47" s="33" t="n">
        <f aca="false">IF(E$3&gt;=Launch_SN-1,MAX(0,KYC_Min_USD*FX_USD-E10),0)</f>
        <v>0</v>
      </c>
      <c r="F47" s="33" t="n">
        <f aca="false">IF(F$3&gt;=Launch_SN-1,MAX(0,KYC_Min_USD*FX_USD-F10),0)</f>
        <v>0</v>
      </c>
      <c r="G47" s="33" t="n">
        <f aca="false">IF(G$3&gt;=Launch_SN-1,MAX(0,KYC_Min_USD*FX_USD-G10),0)</f>
        <v>0</v>
      </c>
      <c r="H47" s="33" t="n">
        <f aca="false">IF(H$3&gt;=Launch_SN-1,MAX(0,KYC_Min_USD*FX_USD-H10),0)</f>
        <v>87000</v>
      </c>
      <c r="I47" s="33" t="n">
        <f aca="false">IF(I$3&gt;=Launch_SN-1,MAX(0,KYC_Min_USD*FX_USD-I10),0)</f>
        <v>0</v>
      </c>
      <c r="J47" s="33" t="n">
        <f aca="false">IF(J$3&gt;=Launch_SN-1,MAX(0,KYC_Min_USD*FX_USD-J10),0)</f>
        <v>0</v>
      </c>
      <c r="K47" s="33" t="n">
        <f aca="false">IF(K$3&gt;=Launch_SN-1,MAX(0,KYC_Min_USD*FX_USD-K10),0)</f>
        <v>0</v>
      </c>
      <c r="L47" s="33" t="n">
        <f aca="false">IF(L$3&gt;=Launch_SN-1,MAX(0,KYC_Min_USD*FX_USD-L10),0)</f>
        <v>0</v>
      </c>
      <c r="M47" s="33" t="n">
        <f aca="false">IF(M$3&gt;=Launch_SN-1,MAX(0,KYC_Min_USD*FX_USD-M10),0)</f>
        <v>0</v>
      </c>
      <c r="N47" s="33" t="n">
        <f aca="false">IF(N$3&gt;=Launch_SN-1,MAX(0,KYC_Min_USD*FX_USD-N10),0)</f>
        <v>0</v>
      </c>
      <c r="O47" s="33" t="n">
        <f aca="false">IF(O$3&gt;=Launch_SN-1,MAX(0,KYC_Min_USD*FX_USD-O10),0)</f>
        <v>0</v>
      </c>
      <c r="P47" s="33" t="n">
        <f aca="false">IF(P$3&gt;=Launch_SN-1,MAX(0,KYC_Min_USD*FX_USD-P10),0)</f>
        <v>0</v>
      </c>
      <c r="Q47" s="33" t="n">
        <f aca="false">IF(Q$3&gt;=Launch_SN-1,MAX(0,KYC_Min_USD*FX_USD-Q10),0)</f>
        <v>0</v>
      </c>
      <c r="R47" s="33" t="n">
        <f aca="false">IF(R$3&gt;=Launch_SN-1,MAX(0,KYC_Min_USD*FX_USD-R10),0)</f>
        <v>0</v>
      </c>
      <c r="S47" s="33" t="n">
        <f aca="false">IF(S$3&gt;=Launch_SN-1,MAX(0,KYC_Min_USD*FX_USD-S10),0)</f>
        <v>0</v>
      </c>
      <c r="T47" s="33" t="n">
        <f aca="false">IF(T$3&gt;=Launch_SN-1,MAX(0,KYC_Min_USD*FX_USD-T10),0)</f>
        <v>0</v>
      </c>
      <c r="U47" s="33" t="n">
        <f aca="false">IF(U$3&gt;=Launch_SN-1,MAX(0,KYC_Min_USD*FX_USD-U10),0)</f>
        <v>0</v>
      </c>
      <c r="V47" s="33" t="n">
        <f aca="false">IF(V$3&gt;=Launch_SN-1,MAX(0,KYC_Min_USD*FX_USD-V10),0)</f>
        <v>0</v>
      </c>
      <c r="W47" s="33" t="n">
        <f aca="false">IF(W$3&gt;=Launch_SN-1,MAX(0,KYC_Min_USD*FX_USD-W10),0)</f>
        <v>0</v>
      </c>
      <c r="X47" s="33" t="n">
        <f aca="false">IF(X$3&gt;=Launch_SN-1,MAX(0,KYC_Min_USD*FX_USD-X10),0)</f>
        <v>0</v>
      </c>
      <c r="Y47" s="33" t="n">
        <f aca="false">IF(Y$3&gt;=Launch_SN-1,MAX(0,KYC_Min_USD*FX_USD-Y10),0)</f>
        <v>0</v>
      </c>
      <c r="Z47" s="33" t="n">
        <f aca="false">IF(Z$3&gt;=Launch_SN-1,MAX(0,KYC_Min_USD*FX_USD-Z10),0)</f>
        <v>0</v>
      </c>
      <c r="AA47" s="33" t="n">
        <f aca="false">IF(AA$3&gt;=Launch_SN-1,MAX(0,KYC_Min_USD*FX_USD-AA10),0)</f>
        <v>0</v>
      </c>
      <c r="AB47" s="33" t="n">
        <f aca="false">IF(AB$3&gt;=Launch_SN-1,MAX(0,KYC_Min_USD*FX_USD-AB10),0)</f>
        <v>0</v>
      </c>
      <c r="AC47" s="33" t="n">
        <f aca="false">IF(AC$3&gt;=Launch_SN-1,MAX(0,KYC_Min_USD*FX_USD-AC10),0)</f>
        <v>0</v>
      </c>
      <c r="AD47" s="33" t="n">
        <f aca="false">IF(AD$3&gt;=Launch_SN-1,MAX(0,KYC_Min_USD*FX_USD-AD10),0)</f>
        <v>0</v>
      </c>
      <c r="AE47" s="33" t="n">
        <f aca="false">IF(AE$3&gt;=Launch_SN-1,MAX(0,KYC_Min_USD*FX_USD-AE10),0)</f>
        <v>0</v>
      </c>
      <c r="AF47" s="33" t="n">
        <f aca="false">IF(AF$3&gt;=Launch_SN-1,MAX(0,KYC_Min_USD*FX_USD-AF10),0)</f>
        <v>0</v>
      </c>
      <c r="AG47" s="33" t="n">
        <f aca="false">IF(AG$3&gt;=Launch_SN-1,MAX(0,KYC_Min_USD*FX_USD-AG10),0)</f>
        <v>0</v>
      </c>
      <c r="AH47" s="33" t="n">
        <f aca="false">IF(AH$3&gt;=Launch_SN-1,MAX(0,KYC_Min_USD*FX_USD-AH10),0)</f>
        <v>0</v>
      </c>
      <c r="AI47" s="33" t="n">
        <f aca="false">IF(AI$3&gt;=Launch_SN-1,MAX(0,KYC_Min_USD*FX_USD-AI10),0)</f>
        <v>0</v>
      </c>
      <c r="AJ47" s="33" t="n">
        <f aca="false">IF(AJ$3&gt;=Launch_SN-1,MAX(0,KYC_Min_USD*FX_USD-AJ10),0)</f>
        <v>0</v>
      </c>
      <c r="AK47" s="33" t="n">
        <f aca="false">IF(AK$3&gt;=Launch_SN-1,MAX(0,KYC_Min_USD*FX_USD-AK10),0)</f>
        <v>0</v>
      </c>
      <c r="AL47" s="33" t="n">
        <f aca="false">IF(AL$3&gt;=Launch_SN-1,MAX(0,KYC_Min_USD*FX_USD-AL10),0)</f>
        <v>0</v>
      </c>
      <c r="AM47" s="33" t="n">
        <f aca="false">IF(AM$3&gt;=Launch_SN-1,MAX(0,KYC_Min_USD*FX_USD-AM10),0)</f>
        <v>0</v>
      </c>
      <c r="AN47" s="33" t="n">
        <f aca="false">IF(AN$3&gt;=Launch_SN-1,MAX(0,KYC_Min_USD*FX_USD-AN10),0)</f>
        <v>0</v>
      </c>
      <c r="AO47" s="33" t="n">
        <f aca="false">IF(AO$3&gt;=Launch_SN-1,MAX(0,KYC_Min_USD*FX_USD-AO10),0)</f>
        <v>0</v>
      </c>
      <c r="AP47" s="33" t="n">
        <f aca="false">IF(AP$3&gt;=Launch_SN-1,MAX(0,KYC_Min_USD*FX_USD-AP10),0)</f>
        <v>0</v>
      </c>
      <c r="AQ47" s="33" t="n">
        <f aca="false">IF(AQ$3&gt;=Launch_SN-1,MAX(0,KYC_Min_USD*FX_USD-AQ10),0)</f>
        <v>0</v>
      </c>
      <c r="AR47" s="33" t="n">
        <f aca="false">IF(AR$3&gt;=Launch_SN-1,MAX(0,KYC_Min_USD*FX_USD-AR10),0)</f>
        <v>0</v>
      </c>
      <c r="AS47" s="33" t="n">
        <f aca="false">IF(AS$3&gt;=Launch_SN-1,MAX(0,KYC_Min_USD*FX_USD-AS10),0)</f>
        <v>0</v>
      </c>
      <c r="AT47" s="33" t="n">
        <f aca="false">IF(AT$3&gt;=Launch_SN-1,MAX(0,KYC_Min_USD*FX_USD-AT10),0)</f>
        <v>0</v>
      </c>
      <c r="AU47" s="33" t="n">
        <f aca="false">IF(AU$3&gt;=Launch_SN-1,MAX(0,KYC_Min_USD*FX_USD-AU10),0)</f>
        <v>0</v>
      </c>
      <c r="AV47" s="33" t="n">
        <f aca="false">IF(AV$3&gt;=Launch_SN-1,MAX(0,KYC_Min_USD*FX_USD-AV10),0)</f>
        <v>0</v>
      </c>
      <c r="AW47" s="33" t="n">
        <f aca="false">IF(AW$3&gt;=Launch_SN-1,MAX(0,KYC_Min_USD*FX_USD-AW10),0)</f>
        <v>0</v>
      </c>
      <c r="AX47" s="33" t="n">
        <f aca="false">IF(AX$3&gt;=Launch_SN-1,MAX(0,KYC_Min_USD*FX_USD-AX10),0)</f>
        <v>0</v>
      </c>
      <c r="AY47" s="33" t="n">
        <f aca="false">IF(AY$3&gt;=Launch_SN-1,MAX(0,KYC_Min_USD*FX_USD-AY10),0)</f>
        <v>0</v>
      </c>
      <c r="AZ47" s="33" t="n">
        <f aca="false">IF(AZ$3&gt;=Launch_SN-1,MAX(0,KYC_Min_USD*FX_USD-AZ10),0)</f>
        <v>0</v>
      </c>
      <c r="BA47" s="33" t="n">
        <f aca="false">IF(BA$3&gt;=Launch_SN-1,MAX(0,KYC_Min_USD*FX_USD-BA10),0)</f>
        <v>0</v>
      </c>
      <c r="BB47" s="33" t="n">
        <f aca="false">IF(BB$3&gt;=Launch_SN-1,MAX(0,KYC_Min_USD*FX_USD-BB10),0)</f>
        <v>0</v>
      </c>
      <c r="BC47" s="33" t="n">
        <f aca="false">IF(BC$3&gt;=Launch_SN-1,MAX(0,KYC_Min_USD*FX_USD-BC10),0)</f>
        <v>0</v>
      </c>
      <c r="BD47" s="33" t="n">
        <f aca="false">IF(BD$3&gt;=Launch_SN-1,MAX(0,KYC_Min_USD*FX_USD-BD10),0)</f>
        <v>0</v>
      </c>
      <c r="BE47" s="33" t="n">
        <f aca="false">IF(BE$3&gt;=Launch_SN-1,MAX(0,KYC_Min_USD*FX_USD-BE10),0)</f>
        <v>0</v>
      </c>
      <c r="BF47" s="33" t="n">
        <f aca="false">IF(BF$3&gt;=Launch_SN-1,MAX(0,KYC_Min_USD*FX_USD-BF10),0)</f>
        <v>0</v>
      </c>
      <c r="BG47" s="33" t="n">
        <f aca="false">IF(BG$3&gt;=Launch_SN-1,MAX(0,KYC_Min_USD*FX_USD-BG10),0)</f>
        <v>0</v>
      </c>
      <c r="BH47" s="33" t="n">
        <f aca="false">IF(BH$3&gt;=Launch_SN-1,MAX(0,KYC_Min_USD*FX_USD-BH10),0)</f>
        <v>0</v>
      </c>
      <c r="BI47" s="33" t="n">
        <f aca="false">IF(BI$3&gt;=Launch_SN-1,MAX(0,KYC_Min_USD*FX_USD-BI10),0)</f>
        <v>0</v>
      </c>
      <c r="BJ47" s="33" t="n">
        <f aca="false">IF(BJ$3&gt;=Launch_SN-1,MAX(0,KYC_Min_USD*FX_USD-BJ10),0)</f>
        <v>0</v>
      </c>
      <c r="BK47" s="33" t="n">
        <f aca="false">IF(BK$3&gt;=Launch_SN-1,MAX(0,KYC_Min_USD*FX_USD-BK10),0)</f>
        <v>0</v>
      </c>
      <c r="BL47" s="33" t="n">
        <f aca="false">IF(BL$3&gt;=Launch_SN-1,MAX(0,KYC_Min_USD*FX_USD-BL10),0)</f>
        <v>0</v>
      </c>
    </row>
    <row r="48" customFormat="false" ht="15" hidden="false" customHeight="true" outlineLevel="0" collapsed="false">
      <c r="A48" s="13" t="s">
        <v>1300</v>
      </c>
      <c r="B48" s="15" t="s">
        <v>77</v>
      </c>
      <c r="D48" s="56" t="n">
        <f aca="false">SUM(E48:BL48)</f>
        <v>19762920</v>
      </c>
      <c r="E48" s="33" t="n">
        <f aca="false">Staff!E82*(Gmail_USD+ClickUp_USD)*FX_USD</f>
        <v>52200</v>
      </c>
      <c r="F48" s="33" t="n">
        <f aca="false">Staff!F82*(Gmail_USD+ClickUp_USD)*FX_USD</f>
        <v>52200</v>
      </c>
      <c r="G48" s="33" t="n">
        <f aca="false">Staff!G82*(Gmail_USD+ClickUp_USD)*FX_USD</f>
        <v>52200</v>
      </c>
      <c r="H48" s="33" t="n">
        <f aca="false">Staff!H82*(Gmail_USD+ClickUp_USD)*FX_USD</f>
        <v>104400</v>
      </c>
      <c r="I48" s="33" t="n">
        <f aca="false">Staff!I82*(Gmail_USD+ClickUp_USD)*FX_USD</f>
        <v>114840</v>
      </c>
      <c r="J48" s="33" t="n">
        <f aca="false">Staff!J82*(Gmail_USD+ClickUp_USD)*FX_USD</f>
        <v>114840</v>
      </c>
      <c r="K48" s="33" t="n">
        <f aca="false">Staff!K82*(Gmail_USD+ClickUp_USD)*FX_USD</f>
        <v>114840</v>
      </c>
      <c r="L48" s="33" t="n">
        <f aca="false">Staff!L82*(Gmail_USD+ClickUp_USD)*FX_USD</f>
        <v>114840</v>
      </c>
      <c r="M48" s="33" t="n">
        <f aca="false">Staff!M82*(Gmail_USD+ClickUp_USD)*FX_USD</f>
        <v>114840</v>
      </c>
      <c r="N48" s="33" t="n">
        <f aca="false">Staff!N82*(Gmail_USD+ClickUp_USD)*FX_USD</f>
        <v>114840</v>
      </c>
      <c r="O48" s="33" t="n">
        <f aca="false">Staff!O82*(Gmail_USD+ClickUp_USD)*FX_USD</f>
        <v>114840</v>
      </c>
      <c r="P48" s="33" t="n">
        <f aca="false">Staff!P82*(Gmail_USD+ClickUp_USD)*FX_USD</f>
        <v>114840</v>
      </c>
      <c r="Q48" s="33" t="n">
        <f aca="false">Staff!Q82*(Gmail_USD+ClickUp_USD)*FX_USD</f>
        <v>125280</v>
      </c>
      <c r="R48" s="33" t="n">
        <f aca="false">Staff!R82*(Gmail_USD+ClickUp_USD)*FX_USD</f>
        <v>125280</v>
      </c>
      <c r="S48" s="33" t="n">
        <f aca="false">Staff!S82*(Gmail_USD+ClickUp_USD)*FX_USD</f>
        <v>125280</v>
      </c>
      <c r="T48" s="33" t="n">
        <f aca="false">Staff!T82*(Gmail_USD+ClickUp_USD)*FX_USD</f>
        <v>135720</v>
      </c>
      <c r="U48" s="33" t="n">
        <f aca="false">Staff!U82*(Gmail_USD+ClickUp_USD)*FX_USD</f>
        <v>135720</v>
      </c>
      <c r="V48" s="33" t="n">
        <f aca="false">Staff!V82*(Gmail_USD+ClickUp_USD)*FX_USD</f>
        <v>167040</v>
      </c>
      <c r="W48" s="33" t="n">
        <f aca="false">Staff!W82*(Gmail_USD+ClickUp_USD)*FX_USD</f>
        <v>167040</v>
      </c>
      <c r="X48" s="33" t="n">
        <f aca="false">Staff!X82*(Gmail_USD+ClickUp_USD)*FX_USD</f>
        <v>177480</v>
      </c>
      <c r="Y48" s="33" t="n">
        <f aca="false">Staff!Y82*(Gmail_USD+ClickUp_USD)*FX_USD</f>
        <v>187920</v>
      </c>
      <c r="Z48" s="33" t="n">
        <f aca="false">Staff!Z82*(Gmail_USD+ClickUp_USD)*FX_USD</f>
        <v>187920</v>
      </c>
      <c r="AA48" s="33" t="n">
        <f aca="false">Staff!AA82*(Gmail_USD+ClickUp_USD)*FX_USD</f>
        <v>187920</v>
      </c>
      <c r="AB48" s="33" t="n">
        <f aca="false">Staff!AB82*(Gmail_USD+ClickUp_USD)*FX_USD</f>
        <v>198360</v>
      </c>
      <c r="AC48" s="33" t="n">
        <f aca="false">Staff!AC82*(Gmail_USD+ClickUp_USD)*FX_USD</f>
        <v>208800</v>
      </c>
      <c r="AD48" s="33" t="n">
        <f aca="false">Staff!AD82*(Gmail_USD+ClickUp_USD)*FX_USD</f>
        <v>219240</v>
      </c>
      <c r="AE48" s="33" t="n">
        <f aca="false">Staff!AE82*(Gmail_USD+ClickUp_USD)*FX_USD</f>
        <v>219240</v>
      </c>
      <c r="AF48" s="33" t="n">
        <f aca="false">Staff!AF82*(Gmail_USD+ClickUp_USD)*FX_USD</f>
        <v>240120</v>
      </c>
      <c r="AG48" s="33" t="n">
        <f aca="false">Staff!AG82*(Gmail_USD+ClickUp_USD)*FX_USD</f>
        <v>271440</v>
      </c>
      <c r="AH48" s="33" t="n">
        <f aca="false">Staff!AH82*(Gmail_USD+ClickUp_USD)*FX_USD</f>
        <v>281880</v>
      </c>
      <c r="AI48" s="33" t="n">
        <f aca="false">Staff!AI82*(Gmail_USD+ClickUp_USD)*FX_USD</f>
        <v>292320</v>
      </c>
      <c r="AJ48" s="33" t="n">
        <f aca="false">Staff!AJ82*(Gmail_USD+ClickUp_USD)*FX_USD</f>
        <v>292320</v>
      </c>
      <c r="AK48" s="33" t="n">
        <f aca="false">Staff!AK82*(Gmail_USD+ClickUp_USD)*FX_USD</f>
        <v>302760</v>
      </c>
      <c r="AL48" s="33" t="n">
        <f aca="false">Staff!AL82*(Gmail_USD+ClickUp_USD)*FX_USD</f>
        <v>323640</v>
      </c>
      <c r="AM48" s="33" t="n">
        <f aca="false">Staff!AM82*(Gmail_USD+ClickUp_USD)*FX_USD</f>
        <v>334080</v>
      </c>
      <c r="AN48" s="33" t="n">
        <f aca="false">Staff!AN82*(Gmail_USD+ClickUp_USD)*FX_USD</f>
        <v>344520</v>
      </c>
      <c r="AO48" s="33" t="n">
        <f aca="false">Staff!AO82*(Gmail_USD+ClickUp_USD)*FX_USD</f>
        <v>365400</v>
      </c>
      <c r="AP48" s="33" t="n">
        <f aca="false">Staff!AP82*(Gmail_USD+ClickUp_USD)*FX_USD</f>
        <v>365400</v>
      </c>
      <c r="AQ48" s="33" t="n">
        <f aca="false">Staff!AQ82*(Gmail_USD+ClickUp_USD)*FX_USD</f>
        <v>386280</v>
      </c>
      <c r="AR48" s="33" t="n">
        <f aca="false">Staff!AR82*(Gmail_USD+ClickUp_USD)*FX_USD</f>
        <v>417600</v>
      </c>
      <c r="AS48" s="33" t="n">
        <f aca="false">Staff!AS82*(Gmail_USD+ClickUp_USD)*FX_USD</f>
        <v>417600</v>
      </c>
      <c r="AT48" s="33" t="n">
        <f aca="false">Staff!AT82*(Gmail_USD+ClickUp_USD)*FX_USD</f>
        <v>428040</v>
      </c>
      <c r="AU48" s="33" t="n">
        <f aca="false">Staff!AU82*(Gmail_USD+ClickUp_USD)*FX_USD</f>
        <v>459360</v>
      </c>
      <c r="AV48" s="33" t="n">
        <f aca="false">Staff!AV82*(Gmail_USD+ClickUp_USD)*FX_USD</f>
        <v>459360</v>
      </c>
      <c r="AW48" s="33" t="n">
        <f aca="false">Staff!AW82*(Gmail_USD+ClickUp_USD)*FX_USD</f>
        <v>490680</v>
      </c>
      <c r="AX48" s="33" t="n">
        <f aca="false">Staff!AX82*(Gmail_USD+ClickUp_USD)*FX_USD</f>
        <v>501120</v>
      </c>
      <c r="AY48" s="33" t="n">
        <f aca="false">Staff!AY82*(Gmail_USD+ClickUp_USD)*FX_USD</f>
        <v>511560</v>
      </c>
      <c r="AZ48" s="33" t="n">
        <f aca="false">Staff!AZ82*(Gmail_USD+ClickUp_USD)*FX_USD</f>
        <v>532440</v>
      </c>
      <c r="BA48" s="33" t="n">
        <f aca="false">Staff!BA82*(Gmail_USD+ClickUp_USD)*FX_USD</f>
        <v>553320</v>
      </c>
      <c r="BB48" s="33" t="n">
        <f aca="false">Staff!BB82*(Gmail_USD+ClickUp_USD)*FX_USD</f>
        <v>584640</v>
      </c>
      <c r="BC48" s="33" t="n">
        <f aca="false">Staff!BC82*(Gmail_USD+ClickUp_USD)*FX_USD</f>
        <v>595080</v>
      </c>
      <c r="BD48" s="33" t="n">
        <f aca="false">Staff!BD82*(Gmail_USD+ClickUp_USD)*FX_USD</f>
        <v>615960</v>
      </c>
      <c r="BE48" s="33" t="n">
        <f aca="false">Staff!BE82*(Gmail_USD+ClickUp_USD)*FX_USD</f>
        <v>626400</v>
      </c>
      <c r="BF48" s="33" t="n">
        <f aca="false">Staff!BF82*(Gmail_USD+ClickUp_USD)*FX_USD</f>
        <v>647280</v>
      </c>
      <c r="BG48" s="33" t="n">
        <f aca="false">Staff!BG82*(Gmail_USD+ClickUp_USD)*FX_USD</f>
        <v>668160</v>
      </c>
      <c r="BH48" s="33" t="n">
        <f aca="false">Staff!BH82*(Gmail_USD+ClickUp_USD)*FX_USD</f>
        <v>699480</v>
      </c>
      <c r="BI48" s="33" t="n">
        <f aca="false">Staff!BI82*(Gmail_USD+ClickUp_USD)*FX_USD</f>
        <v>720360</v>
      </c>
      <c r="BJ48" s="33" t="n">
        <f aca="false">Staff!BJ82*(Gmail_USD+ClickUp_USD)*FX_USD</f>
        <v>741240</v>
      </c>
      <c r="BK48" s="33" t="n">
        <f aca="false">Staff!BK82*(Gmail_USD+ClickUp_USD)*FX_USD</f>
        <v>762120</v>
      </c>
      <c r="BL48" s="33" t="n">
        <f aca="false">Staff!BL82*(Gmail_USD+ClickUp_USD)*FX_USD</f>
        <v>783000</v>
      </c>
    </row>
    <row r="49" customFormat="false" ht="15" hidden="false" customHeight="true" outlineLevel="0" collapsed="false">
      <c r="A49" s="13" t="s">
        <v>1301</v>
      </c>
      <c r="B49" s="15" t="s">
        <v>77</v>
      </c>
      <c r="D49" s="56" t="n">
        <f aca="false">SUM(E49:BL49)</f>
        <v>5379500</v>
      </c>
      <c r="E49" s="33" t="n">
        <f aca="false">(Staff!E85+Claude_Shared)*Claude_USD*FX_USD</f>
        <v>72500</v>
      </c>
      <c r="F49" s="33" t="n">
        <f aca="false">(Staff!F85+Claude_Shared)*Claude_USD*FX_USD</f>
        <v>72500</v>
      </c>
      <c r="G49" s="33" t="n">
        <f aca="false">(Staff!G85+Claude_Shared)*Claude_USD*FX_USD</f>
        <v>72500</v>
      </c>
      <c r="H49" s="33" t="n">
        <f aca="false">(Staff!H85+Claude_Shared)*Claude_USD*FX_USD</f>
        <v>72500</v>
      </c>
      <c r="I49" s="33" t="n">
        <f aca="false">(Staff!I85+Claude_Shared)*Claude_USD*FX_USD</f>
        <v>72500</v>
      </c>
      <c r="J49" s="33" t="n">
        <f aca="false">(Staff!J85+Claude_Shared)*Claude_USD*FX_USD</f>
        <v>72500</v>
      </c>
      <c r="K49" s="33" t="n">
        <f aca="false">(Staff!K85+Claude_Shared)*Claude_USD*FX_USD</f>
        <v>72500</v>
      </c>
      <c r="L49" s="33" t="n">
        <f aca="false">(Staff!L85+Claude_Shared)*Claude_USD*FX_USD</f>
        <v>72500</v>
      </c>
      <c r="M49" s="33" t="n">
        <f aca="false">(Staff!M85+Claude_Shared)*Claude_USD*FX_USD</f>
        <v>72500</v>
      </c>
      <c r="N49" s="33" t="n">
        <f aca="false">(Staff!N85+Claude_Shared)*Claude_USD*FX_USD</f>
        <v>72500</v>
      </c>
      <c r="O49" s="33" t="n">
        <f aca="false">(Staff!O85+Claude_Shared)*Claude_USD*FX_USD</f>
        <v>72500</v>
      </c>
      <c r="P49" s="33" t="n">
        <f aca="false">(Staff!P85+Claude_Shared)*Claude_USD*FX_USD</f>
        <v>72500</v>
      </c>
      <c r="Q49" s="33" t="n">
        <f aca="false">(Staff!Q85+Claude_Shared)*Claude_USD*FX_USD</f>
        <v>72500</v>
      </c>
      <c r="R49" s="33" t="n">
        <f aca="false">(Staff!R85+Claude_Shared)*Claude_USD*FX_USD</f>
        <v>72500</v>
      </c>
      <c r="S49" s="33" t="n">
        <f aca="false">(Staff!S85+Claude_Shared)*Claude_USD*FX_USD</f>
        <v>72500</v>
      </c>
      <c r="T49" s="33" t="n">
        <f aca="false">(Staff!T85+Claude_Shared)*Claude_USD*FX_USD</f>
        <v>72500</v>
      </c>
      <c r="U49" s="33" t="n">
        <f aca="false">(Staff!U85+Claude_Shared)*Claude_USD*FX_USD</f>
        <v>72500</v>
      </c>
      <c r="V49" s="33" t="n">
        <f aca="false">(Staff!V85+Claude_Shared)*Claude_USD*FX_USD</f>
        <v>72500</v>
      </c>
      <c r="W49" s="33" t="n">
        <f aca="false">(Staff!W85+Claude_Shared)*Claude_USD*FX_USD</f>
        <v>72500</v>
      </c>
      <c r="X49" s="33" t="n">
        <f aca="false">(Staff!X85+Claude_Shared)*Claude_USD*FX_USD</f>
        <v>72500</v>
      </c>
      <c r="Y49" s="33" t="n">
        <f aca="false">(Staff!Y85+Claude_Shared)*Claude_USD*FX_USD</f>
        <v>72500</v>
      </c>
      <c r="Z49" s="33" t="n">
        <f aca="false">(Staff!Z85+Claude_Shared)*Claude_USD*FX_USD</f>
        <v>72500</v>
      </c>
      <c r="AA49" s="33" t="n">
        <f aca="false">(Staff!AA85+Claude_Shared)*Claude_USD*FX_USD</f>
        <v>72500</v>
      </c>
      <c r="AB49" s="33" t="n">
        <f aca="false">(Staff!AB85+Claude_Shared)*Claude_USD*FX_USD</f>
        <v>72500</v>
      </c>
      <c r="AC49" s="33" t="n">
        <f aca="false">(Staff!AC85+Claude_Shared)*Claude_USD*FX_USD</f>
        <v>72500</v>
      </c>
      <c r="AD49" s="33" t="n">
        <f aca="false">(Staff!AD85+Claude_Shared)*Claude_USD*FX_USD</f>
        <v>72500</v>
      </c>
      <c r="AE49" s="33" t="n">
        <f aca="false">(Staff!AE85+Claude_Shared)*Claude_USD*FX_USD</f>
        <v>72500</v>
      </c>
      <c r="AF49" s="33" t="n">
        <f aca="false">(Staff!AF85+Claude_Shared)*Claude_USD*FX_USD</f>
        <v>87000</v>
      </c>
      <c r="AG49" s="33" t="n">
        <f aca="false">(Staff!AG85+Claude_Shared)*Claude_USD*FX_USD</f>
        <v>87000</v>
      </c>
      <c r="AH49" s="33" t="n">
        <f aca="false">(Staff!AH85+Claude_Shared)*Claude_USD*FX_USD</f>
        <v>87000</v>
      </c>
      <c r="AI49" s="33" t="n">
        <f aca="false">(Staff!AI85+Claude_Shared)*Claude_USD*FX_USD</f>
        <v>87000</v>
      </c>
      <c r="AJ49" s="33" t="n">
        <f aca="false">(Staff!AJ85+Claude_Shared)*Claude_USD*FX_USD</f>
        <v>87000</v>
      </c>
      <c r="AK49" s="33" t="n">
        <f aca="false">(Staff!AK85+Claude_Shared)*Claude_USD*FX_USD</f>
        <v>87000</v>
      </c>
      <c r="AL49" s="33" t="n">
        <f aca="false">(Staff!AL85+Claude_Shared)*Claude_USD*FX_USD</f>
        <v>87000</v>
      </c>
      <c r="AM49" s="33" t="n">
        <f aca="false">(Staff!AM85+Claude_Shared)*Claude_USD*FX_USD</f>
        <v>87000</v>
      </c>
      <c r="AN49" s="33" t="n">
        <f aca="false">(Staff!AN85+Claude_Shared)*Claude_USD*FX_USD</f>
        <v>87000</v>
      </c>
      <c r="AO49" s="33" t="n">
        <f aca="false">(Staff!AO85+Claude_Shared)*Claude_USD*FX_USD</f>
        <v>87000</v>
      </c>
      <c r="AP49" s="33" t="n">
        <f aca="false">(Staff!AP85+Claude_Shared)*Claude_USD*FX_USD</f>
        <v>87000</v>
      </c>
      <c r="AQ49" s="33" t="n">
        <f aca="false">(Staff!AQ85+Claude_Shared)*Claude_USD*FX_USD</f>
        <v>87000</v>
      </c>
      <c r="AR49" s="33" t="n">
        <f aca="false">(Staff!AR85+Claude_Shared)*Claude_USD*FX_USD</f>
        <v>101500</v>
      </c>
      <c r="AS49" s="33" t="n">
        <f aca="false">(Staff!AS85+Claude_Shared)*Claude_USD*FX_USD</f>
        <v>101500</v>
      </c>
      <c r="AT49" s="33" t="n">
        <f aca="false">(Staff!AT85+Claude_Shared)*Claude_USD*FX_USD</f>
        <v>101500</v>
      </c>
      <c r="AU49" s="33" t="n">
        <f aca="false">(Staff!AU85+Claude_Shared)*Claude_USD*FX_USD</f>
        <v>101500</v>
      </c>
      <c r="AV49" s="33" t="n">
        <f aca="false">(Staff!AV85+Claude_Shared)*Claude_USD*FX_USD</f>
        <v>101500</v>
      </c>
      <c r="AW49" s="33" t="n">
        <f aca="false">(Staff!AW85+Claude_Shared)*Claude_USD*FX_USD</f>
        <v>101500</v>
      </c>
      <c r="AX49" s="33" t="n">
        <f aca="false">(Staff!AX85+Claude_Shared)*Claude_USD*FX_USD</f>
        <v>101500</v>
      </c>
      <c r="AY49" s="33" t="n">
        <f aca="false">(Staff!AY85+Claude_Shared)*Claude_USD*FX_USD</f>
        <v>101500</v>
      </c>
      <c r="AZ49" s="33" t="n">
        <f aca="false">(Staff!AZ85+Claude_Shared)*Claude_USD*FX_USD</f>
        <v>101500</v>
      </c>
      <c r="BA49" s="33" t="n">
        <f aca="false">(Staff!BA85+Claude_Shared)*Claude_USD*FX_USD</f>
        <v>116000</v>
      </c>
      <c r="BB49" s="33" t="n">
        <f aca="false">(Staff!BB85+Claude_Shared)*Claude_USD*FX_USD</f>
        <v>116000</v>
      </c>
      <c r="BC49" s="33" t="n">
        <f aca="false">(Staff!BC85+Claude_Shared)*Claude_USD*FX_USD</f>
        <v>116000</v>
      </c>
      <c r="BD49" s="33" t="n">
        <f aca="false">(Staff!BD85+Claude_Shared)*Claude_USD*FX_USD</f>
        <v>116000</v>
      </c>
      <c r="BE49" s="33" t="n">
        <f aca="false">(Staff!BE85+Claude_Shared)*Claude_USD*FX_USD</f>
        <v>116000</v>
      </c>
      <c r="BF49" s="33" t="n">
        <f aca="false">(Staff!BF85+Claude_Shared)*Claude_USD*FX_USD</f>
        <v>116000</v>
      </c>
      <c r="BG49" s="33" t="n">
        <f aca="false">(Staff!BG85+Claude_Shared)*Claude_USD*FX_USD</f>
        <v>116000</v>
      </c>
      <c r="BH49" s="33" t="n">
        <f aca="false">(Staff!BH85+Claude_Shared)*Claude_USD*FX_USD</f>
        <v>130500</v>
      </c>
      <c r="BI49" s="33" t="n">
        <f aca="false">(Staff!BI85+Claude_Shared)*Claude_USD*FX_USD</f>
        <v>130500</v>
      </c>
      <c r="BJ49" s="33" t="n">
        <f aca="false">(Staff!BJ85+Claude_Shared)*Claude_USD*FX_USD</f>
        <v>130500</v>
      </c>
      <c r="BK49" s="33" t="n">
        <f aca="false">(Staff!BK85+Claude_Shared)*Claude_USD*FX_USD</f>
        <v>130500</v>
      </c>
      <c r="BL49" s="33" t="n">
        <f aca="false">(Staff!BL85+Claude_Shared)*Claude_USD*FX_USD</f>
        <v>130500</v>
      </c>
    </row>
    <row r="50" customFormat="false" ht="15" hidden="false" customHeight="true" outlineLevel="0" collapsed="false">
      <c r="A50" s="13" t="s">
        <v>1302</v>
      </c>
      <c r="B50" s="15" t="s">
        <v>77</v>
      </c>
      <c r="D50" s="56" t="n">
        <f aca="false">SUM(E50:BL50)</f>
        <v>928000</v>
      </c>
      <c r="E50" s="33" t="n">
        <f aca="false">(Website_USD+Domain_USD/12)*FX_USD</f>
        <v>15466.6666666667</v>
      </c>
      <c r="F50" s="33" t="n">
        <f aca="false">(Website_USD+Domain_USD/12)*FX_USD</f>
        <v>15466.6666666667</v>
      </c>
      <c r="G50" s="33" t="n">
        <f aca="false">(Website_USD+Domain_USD/12)*FX_USD</f>
        <v>15466.6666666667</v>
      </c>
      <c r="H50" s="33" t="n">
        <f aca="false">(Website_USD+Domain_USD/12)*FX_USD</f>
        <v>15466.6666666667</v>
      </c>
      <c r="I50" s="33" t="n">
        <f aca="false">(Website_USD+Domain_USD/12)*FX_USD</f>
        <v>15466.6666666667</v>
      </c>
      <c r="J50" s="33" t="n">
        <f aca="false">(Website_USD+Domain_USD/12)*FX_USD</f>
        <v>15466.6666666667</v>
      </c>
      <c r="K50" s="33" t="n">
        <f aca="false">(Website_USD+Domain_USD/12)*FX_USD</f>
        <v>15466.6666666667</v>
      </c>
      <c r="L50" s="33" t="n">
        <f aca="false">(Website_USD+Domain_USD/12)*FX_USD</f>
        <v>15466.6666666667</v>
      </c>
      <c r="M50" s="33" t="n">
        <f aca="false">(Website_USD+Domain_USD/12)*FX_USD</f>
        <v>15466.6666666667</v>
      </c>
      <c r="N50" s="33" t="n">
        <f aca="false">(Website_USD+Domain_USD/12)*FX_USD</f>
        <v>15466.6666666667</v>
      </c>
      <c r="O50" s="33" t="n">
        <f aca="false">(Website_USD+Domain_USD/12)*FX_USD</f>
        <v>15466.6666666667</v>
      </c>
      <c r="P50" s="33" t="n">
        <f aca="false">(Website_USD+Domain_USD/12)*FX_USD</f>
        <v>15466.6666666667</v>
      </c>
      <c r="Q50" s="33" t="n">
        <f aca="false">(Website_USD+Domain_USD/12)*FX_USD</f>
        <v>15466.6666666667</v>
      </c>
      <c r="R50" s="33" t="n">
        <f aca="false">(Website_USD+Domain_USD/12)*FX_USD</f>
        <v>15466.6666666667</v>
      </c>
      <c r="S50" s="33" t="n">
        <f aca="false">(Website_USD+Domain_USD/12)*FX_USD</f>
        <v>15466.6666666667</v>
      </c>
      <c r="T50" s="33" t="n">
        <f aca="false">(Website_USD+Domain_USD/12)*FX_USD</f>
        <v>15466.6666666667</v>
      </c>
      <c r="U50" s="33" t="n">
        <f aca="false">(Website_USD+Domain_USD/12)*FX_USD</f>
        <v>15466.6666666667</v>
      </c>
      <c r="V50" s="33" t="n">
        <f aca="false">(Website_USD+Domain_USD/12)*FX_USD</f>
        <v>15466.6666666667</v>
      </c>
      <c r="W50" s="33" t="n">
        <f aca="false">(Website_USD+Domain_USD/12)*FX_USD</f>
        <v>15466.6666666667</v>
      </c>
      <c r="X50" s="33" t="n">
        <f aca="false">(Website_USD+Domain_USD/12)*FX_USD</f>
        <v>15466.6666666667</v>
      </c>
      <c r="Y50" s="33" t="n">
        <f aca="false">(Website_USD+Domain_USD/12)*FX_USD</f>
        <v>15466.6666666667</v>
      </c>
      <c r="Z50" s="33" t="n">
        <f aca="false">(Website_USD+Domain_USD/12)*FX_USD</f>
        <v>15466.6666666667</v>
      </c>
      <c r="AA50" s="33" t="n">
        <f aca="false">(Website_USD+Domain_USD/12)*FX_USD</f>
        <v>15466.6666666667</v>
      </c>
      <c r="AB50" s="33" t="n">
        <f aca="false">(Website_USD+Domain_USD/12)*FX_USD</f>
        <v>15466.6666666667</v>
      </c>
      <c r="AC50" s="33" t="n">
        <f aca="false">(Website_USD+Domain_USD/12)*FX_USD</f>
        <v>15466.6666666667</v>
      </c>
      <c r="AD50" s="33" t="n">
        <f aca="false">(Website_USD+Domain_USD/12)*FX_USD</f>
        <v>15466.6666666667</v>
      </c>
      <c r="AE50" s="33" t="n">
        <f aca="false">(Website_USD+Domain_USD/12)*FX_USD</f>
        <v>15466.6666666667</v>
      </c>
      <c r="AF50" s="33" t="n">
        <f aca="false">(Website_USD+Domain_USD/12)*FX_USD</f>
        <v>15466.6666666667</v>
      </c>
      <c r="AG50" s="33" t="n">
        <f aca="false">(Website_USD+Domain_USD/12)*FX_USD</f>
        <v>15466.6666666667</v>
      </c>
      <c r="AH50" s="33" t="n">
        <f aca="false">(Website_USD+Domain_USD/12)*FX_USD</f>
        <v>15466.6666666667</v>
      </c>
      <c r="AI50" s="33" t="n">
        <f aca="false">(Website_USD+Domain_USD/12)*FX_USD</f>
        <v>15466.6666666667</v>
      </c>
      <c r="AJ50" s="33" t="n">
        <f aca="false">(Website_USD+Domain_USD/12)*FX_USD</f>
        <v>15466.6666666667</v>
      </c>
      <c r="AK50" s="33" t="n">
        <f aca="false">(Website_USD+Domain_USD/12)*FX_USD</f>
        <v>15466.6666666667</v>
      </c>
      <c r="AL50" s="33" t="n">
        <f aca="false">(Website_USD+Domain_USD/12)*FX_USD</f>
        <v>15466.6666666667</v>
      </c>
      <c r="AM50" s="33" t="n">
        <f aca="false">(Website_USD+Domain_USD/12)*FX_USD</f>
        <v>15466.6666666667</v>
      </c>
      <c r="AN50" s="33" t="n">
        <f aca="false">(Website_USD+Domain_USD/12)*FX_USD</f>
        <v>15466.6666666667</v>
      </c>
      <c r="AO50" s="33" t="n">
        <f aca="false">(Website_USD+Domain_USD/12)*FX_USD</f>
        <v>15466.6666666667</v>
      </c>
      <c r="AP50" s="33" t="n">
        <f aca="false">(Website_USD+Domain_USD/12)*FX_USD</f>
        <v>15466.6666666667</v>
      </c>
      <c r="AQ50" s="33" t="n">
        <f aca="false">(Website_USD+Domain_USD/12)*FX_USD</f>
        <v>15466.6666666667</v>
      </c>
      <c r="AR50" s="33" t="n">
        <f aca="false">(Website_USD+Domain_USD/12)*FX_USD</f>
        <v>15466.6666666667</v>
      </c>
      <c r="AS50" s="33" t="n">
        <f aca="false">(Website_USD+Domain_USD/12)*FX_USD</f>
        <v>15466.6666666667</v>
      </c>
      <c r="AT50" s="33" t="n">
        <f aca="false">(Website_USD+Domain_USD/12)*FX_USD</f>
        <v>15466.6666666667</v>
      </c>
      <c r="AU50" s="33" t="n">
        <f aca="false">(Website_USD+Domain_USD/12)*FX_USD</f>
        <v>15466.6666666667</v>
      </c>
      <c r="AV50" s="33" t="n">
        <f aca="false">(Website_USD+Domain_USD/12)*FX_USD</f>
        <v>15466.6666666667</v>
      </c>
      <c r="AW50" s="33" t="n">
        <f aca="false">(Website_USD+Domain_USD/12)*FX_USD</f>
        <v>15466.6666666667</v>
      </c>
      <c r="AX50" s="33" t="n">
        <f aca="false">(Website_USD+Domain_USD/12)*FX_USD</f>
        <v>15466.6666666667</v>
      </c>
      <c r="AY50" s="33" t="n">
        <f aca="false">(Website_USD+Domain_USD/12)*FX_USD</f>
        <v>15466.6666666667</v>
      </c>
      <c r="AZ50" s="33" t="n">
        <f aca="false">(Website_USD+Domain_USD/12)*FX_USD</f>
        <v>15466.6666666667</v>
      </c>
      <c r="BA50" s="33" t="n">
        <f aca="false">(Website_USD+Domain_USD/12)*FX_USD</f>
        <v>15466.6666666667</v>
      </c>
      <c r="BB50" s="33" t="n">
        <f aca="false">(Website_USD+Domain_USD/12)*FX_USD</f>
        <v>15466.6666666667</v>
      </c>
      <c r="BC50" s="33" t="n">
        <f aca="false">(Website_USD+Domain_USD/12)*FX_USD</f>
        <v>15466.6666666667</v>
      </c>
      <c r="BD50" s="33" t="n">
        <f aca="false">(Website_USD+Domain_USD/12)*FX_USD</f>
        <v>15466.6666666667</v>
      </c>
      <c r="BE50" s="33" t="n">
        <f aca="false">(Website_USD+Domain_USD/12)*FX_USD</f>
        <v>15466.6666666667</v>
      </c>
      <c r="BF50" s="33" t="n">
        <f aca="false">(Website_USD+Domain_USD/12)*FX_USD</f>
        <v>15466.6666666667</v>
      </c>
      <c r="BG50" s="33" t="n">
        <f aca="false">(Website_USD+Domain_USD/12)*FX_USD</f>
        <v>15466.6666666667</v>
      </c>
      <c r="BH50" s="33" t="n">
        <f aca="false">(Website_USD+Domain_USD/12)*FX_USD</f>
        <v>15466.6666666667</v>
      </c>
      <c r="BI50" s="33" t="n">
        <f aca="false">(Website_USD+Domain_USD/12)*FX_USD</f>
        <v>15466.6666666667</v>
      </c>
      <c r="BJ50" s="33" t="n">
        <f aca="false">(Website_USD+Domain_USD/12)*FX_USD</f>
        <v>15466.6666666667</v>
      </c>
      <c r="BK50" s="33" t="n">
        <f aca="false">(Website_USD+Domain_USD/12)*FX_USD</f>
        <v>15466.6666666667</v>
      </c>
      <c r="BL50" s="33" t="n">
        <f aca="false">(Website_USD+Domain_USD/12)*FX_USD</f>
        <v>15466.6666666667</v>
      </c>
    </row>
    <row r="51" customFormat="false" ht="15" hidden="false" customHeight="true" outlineLevel="0" collapsed="false">
      <c r="A51" s="13" t="s">
        <v>843</v>
      </c>
      <c r="B51" s="15" t="s">
        <v>77</v>
      </c>
      <c r="D51" s="56" t="n">
        <f aca="false">SUM(E51:BL51)</f>
        <v>35400000</v>
      </c>
      <c r="E51" s="33" t="n">
        <f aca="false">INDEX(Freelance,1,E$5)/12</f>
        <v>658333.333333333</v>
      </c>
      <c r="F51" s="33" t="n">
        <f aca="false">INDEX(Freelance,1,F$5)/12</f>
        <v>658333.333333333</v>
      </c>
      <c r="G51" s="33" t="n">
        <f aca="false">INDEX(Freelance,1,G$5)/12</f>
        <v>658333.333333333</v>
      </c>
      <c r="H51" s="33" t="n">
        <f aca="false">INDEX(Freelance,1,H$5)/12</f>
        <v>658333.333333333</v>
      </c>
      <c r="I51" s="33" t="n">
        <f aca="false">INDEX(Freelance,1,I$5)/12</f>
        <v>658333.333333333</v>
      </c>
      <c r="J51" s="33" t="n">
        <f aca="false">INDEX(Freelance,1,J$5)/12</f>
        <v>658333.333333333</v>
      </c>
      <c r="K51" s="33" t="n">
        <f aca="false">INDEX(Freelance,1,K$5)/12</f>
        <v>658333.333333333</v>
      </c>
      <c r="L51" s="33" t="n">
        <f aca="false">INDEX(Freelance,1,L$5)/12</f>
        <v>658333.333333333</v>
      </c>
      <c r="M51" s="33" t="n">
        <f aca="false">INDEX(Freelance,1,M$5)/12</f>
        <v>658333.333333333</v>
      </c>
      <c r="N51" s="33" t="n">
        <f aca="false">INDEX(Freelance,1,N$5)/12</f>
        <v>658333.333333333</v>
      </c>
      <c r="O51" s="33" t="n">
        <f aca="false">INDEX(Freelance,1,O$5)/12</f>
        <v>658333.333333333</v>
      </c>
      <c r="P51" s="33" t="n">
        <f aca="false">INDEX(Freelance,1,P$5)/12</f>
        <v>658333.333333333</v>
      </c>
      <c r="Q51" s="33" t="n">
        <f aca="false">INDEX(Freelance,1,Q$5)/12</f>
        <v>816666.666666667</v>
      </c>
      <c r="R51" s="33" t="n">
        <f aca="false">INDEX(Freelance,1,R$5)/12</f>
        <v>816666.666666667</v>
      </c>
      <c r="S51" s="33" t="n">
        <f aca="false">INDEX(Freelance,1,S$5)/12</f>
        <v>816666.666666667</v>
      </c>
      <c r="T51" s="33" t="n">
        <f aca="false">INDEX(Freelance,1,T$5)/12</f>
        <v>816666.666666667</v>
      </c>
      <c r="U51" s="33" t="n">
        <f aca="false">INDEX(Freelance,1,U$5)/12</f>
        <v>816666.666666667</v>
      </c>
      <c r="V51" s="33" t="n">
        <f aca="false">INDEX(Freelance,1,V$5)/12</f>
        <v>816666.666666667</v>
      </c>
      <c r="W51" s="33" t="n">
        <f aca="false">INDEX(Freelance,1,W$5)/12</f>
        <v>816666.666666667</v>
      </c>
      <c r="X51" s="33" t="n">
        <f aca="false">INDEX(Freelance,1,X$5)/12</f>
        <v>816666.666666667</v>
      </c>
      <c r="Y51" s="33" t="n">
        <f aca="false">INDEX(Freelance,1,Y$5)/12</f>
        <v>816666.666666667</v>
      </c>
      <c r="Z51" s="33" t="n">
        <f aca="false">INDEX(Freelance,1,Z$5)/12</f>
        <v>816666.666666667</v>
      </c>
      <c r="AA51" s="33" t="n">
        <f aca="false">INDEX(Freelance,1,AA$5)/12</f>
        <v>816666.666666667</v>
      </c>
      <c r="AB51" s="33" t="n">
        <f aca="false">INDEX(Freelance,1,AB$5)/12</f>
        <v>816666.666666667</v>
      </c>
      <c r="AC51" s="33" t="n">
        <f aca="false">INDEX(Freelance,1,AC$5)/12</f>
        <v>491666.666666667</v>
      </c>
      <c r="AD51" s="33" t="n">
        <f aca="false">INDEX(Freelance,1,AD$5)/12</f>
        <v>491666.666666667</v>
      </c>
      <c r="AE51" s="33" t="n">
        <f aca="false">INDEX(Freelance,1,AE$5)/12</f>
        <v>491666.666666667</v>
      </c>
      <c r="AF51" s="33" t="n">
        <f aca="false">INDEX(Freelance,1,AF$5)/12</f>
        <v>491666.666666667</v>
      </c>
      <c r="AG51" s="33" t="n">
        <f aca="false">INDEX(Freelance,1,AG$5)/12</f>
        <v>491666.666666667</v>
      </c>
      <c r="AH51" s="33" t="n">
        <f aca="false">INDEX(Freelance,1,AH$5)/12</f>
        <v>491666.666666667</v>
      </c>
      <c r="AI51" s="33" t="n">
        <f aca="false">INDEX(Freelance,1,AI$5)/12</f>
        <v>491666.666666667</v>
      </c>
      <c r="AJ51" s="33" t="n">
        <f aca="false">INDEX(Freelance,1,AJ$5)/12</f>
        <v>491666.666666667</v>
      </c>
      <c r="AK51" s="33" t="n">
        <f aca="false">INDEX(Freelance,1,AK$5)/12</f>
        <v>491666.666666667</v>
      </c>
      <c r="AL51" s="33" t="n">
        <f aca="false">INDEX(Freelance,1,AL$5)/12</f>
        <v>491666.666666667</v>
      </c>
      <c r="AM51" s="33" t="n">
        <f aca="false">INDEX(Freelance,1,AM$5)/12</f>
        <v>491666.666666667</v>
      </c>
      <c r="AN51" s="33" t="n">
        <f aca="false">INDEX(Freelance,1,AN$5)/12</f>
        <v>491666.666666667</v>
      </c>
      <c r="AO51" s="33" t="n">
        <f aca="false">INDEX(Freelance,1,AO$5)/12</f>
        <v>491666.666666667</v>
      </c>
      <c r="AP51" s="33" t="n">
        <f aca="false">INDEX(Freelance,1,AP$5)/12</f>
        <v>491666.666666667</v>
      </c>
      <c r="AQ51" s="33" t="n">
        <f aca="false">INDEX(Freelance,1,AQ$5)/12</f>
        <v>491666.666666667</v>
      </c>
      <c r="AR51" s="33" t="n">
        <f aca="false">INDEX(Freelance,1,AR$5)/12</f>
        <v>491666.666666667</v>
      </c>
      <c r="AS51" s="33" t="n">
        <f aca="false">INDEX(Freelance,1,AS$5)/12</f>
        <v>491666.666666667</v>
      </c>
      <c r="AT51" s="33" t="n">
        <f aca="false">INDEX(Freelance,1,AT$5)/12</f>
        <v>491666.666666667</v>
      </c>
      <c r="AU51" s="33" t="n">
        <f aca="false">INDEX(Freelance,1,AU$5)/12</f>
        <v>491666.666666667</v>
      </c>
      <c r="AV51" s="33" t="n">
        <f aca="false">INDEX(Freelance,1,AV$5)/12</f>
        <v>491666.666666667</v>
      </c>
      <c r="AW51" s="33" t="n">
        <f aca="false">INDEX(Freelance,1,AW$5)/12</f>
        <v>491666.666666667</v>
      </c>
      <c r="AX51" s="33" t="n">
        <f aca="false">INDEX(Freelance,1,AX$5)/12</f>
        <v>491666.666666667</v>
      </c>
      <c r="AY51" s="33" t="n">
        <f aca="false">INDEX(Freelance,1,AY$5)/12</f>
        <v>491666.666666667</v>
      </c>
      <c r="AZ51" s="33" t="n">
        <f aca="false">INDEX(Freelance,1,AZ$5)/12</f>
        <v>491666.666666667</v>
      </c>
      <c r="BA51" s="33" t="n">
        <f aca="false">INDEX(Freelance,1,BA$5)/12</f>
        <v>491666.666666667</v>
      </c>
      <c r="BB51" s="33" t="n">
        <f aca="false">INDEX(Freelance,1,BB$5)/12</f>
        <v>491666.666666667</v>
      </c>
      <c r="BC51" s="33" t="n">
        <f aca="false">INDEX(Freelance,1,BC$5)/12</f>
        <v>491666.666666667</v>
      </c>
      <c r="BD51" s="33" t="n">
        <f aca="false">INDEX(Freelance,1,BD$5)/12</f>
        <v>491666.666666667</v>
      </c>
      <c r="BE51" s="33" t="n">
        <f aca="false">INDEX(Freelance,1,BE$5)/12</f>
        <v>491666.666666667</v>
      </c>
      <c r="BF51" s="33" t="n">
        <f aca="false">INDEX(Freelance,1,BF$5)/12</f>
        <v>491666.666666667</v>
      </c>
      <c r="BG51" s="33" t="n">
        <f aca="false">INDEX(Freelance,1,BG$5)/12</f>
        <v>491666.666666667</v>
      </c>
      <c r="BH51" s="33" t="n">
        <f aca="false">INDEX(Freelance,1,BH$5)/12</f>
        <v>491666.666666667</v>
      </c>
      <c r="BI51" s="33" t="n">
        <f aca="false">INDEX(Freelance,1,BI$5)/12</f>
        <v>491666.666666667</v>
      </c>
      <c r="BJ51" s="33" t="n">
        <f aca="false">INDEX(Freelance,1,BJ$5)/12</f>
        <v>491666.666666667</v>
      </c>
      <c r="BK51" s="33" t="n">
        <f aca="false">INDEX(Freelance,1,BK$5)/12</f>
        <v>491666.666666667</v>
      </c>
      <c r="BL51" s="33" t="n">
        <f aca="false">INDEX(Freelance,1,BL$5)/12</f>
        <v>491666.666666667</v>
      </c>
    </row>
    <row r="52" customFormat="false" ht="15" hidden="false" customHeight="true" outlineLevel="0" collapsed="false">
      <c r="A52" s="13" t="s">
        <v>819</v>
      </c>
      <c r="B52" s="15" t="s">
        <v>77</v>
      </c>
      <c r="D52" s="56" t="n">
        <f aca="false">SUM(E52:BL52)</f>
        <v>29000000</v>
      </c>
      <c r="E52" s="33" t="n">
        <f aca="false">IF(AND(E$3&gt;=Audit_Month,MOD(E$3-Audit_Month,12)=0),Tech_Audit_USD*FX_USD,0)</f>
        <v>0</v>
      </c>
      <c r="F52" s="33" t="n">
        <f aca="false">IF(AND(F$3&gt;=Audit_Month,MOD(F$3-Audit_Month,12)=0),Tech_Audit_USD*FX_USD,0)</f>
        <v>0</v>
      </c>
      <c r="G52" s="33" t="n">
        <f aca="false">IF(AND(G$3&gt;=Audit_Month,MOD(G$3-Audit_Month,12)=0),Tech_Audit_USD*FX_USD,0)</f>
        <v>0</v>
      </c>
      <c r="H52" s="33" t="n">
        <f aca="false">IF(AND(H$3&gt;=Audit_Month,MOD(H$3-Audit_Month,12)=0),Tech_Audit_USD*FX_USD,0)</f>
        <v>5800000</v>
      </c>
      <c r="I52" s="33" t="n">
        <f aca="false">IF(AND(I$3&gt;=Audit_Month,MOD(I$3-Audit_Month,12)=0),Tech_Audit_USD*FX_USD,0)</f>
        <v>0</v>
      </c>
      <c r="J52" s="33" t="n">
        <f aca="false">IF(AND(J$3&gt;=Audit_Month,MOD(J$3-Audit_Month,12)=0),Tech_Audit_USD*FX_USD,0)</f>
        <v>0</v>
      </c>
      <c r="K52" s="33" t="n">
        <f aca="false">IF(AND(K$3&gt;=Audit_Month,MOD(K$3-Audit_Month,12)=0),Tech_Audit_USD*FX_USD,0)</f>
        <v>0</v>
      </c>
      <c r="L52" s="33" t="n">
        <f aca="false">IF(AND(L$3&gt;=Audit_Month,MOD(L$3-Audit_Month,12)=0),Tech_Audit_USD*FX_USD,0)</f>
        <v>0</v>
      </c>
      <c r="M52" s="33" t="n">
        <f aca="false">IF(AND(M$3&gt;=Audit_Month,MOD(M$3-Audit_Month,12)=0),Tech_Audit_USD*FX_USD,0)</f>
        <v>0</v>
      </c>
      <c r="N52" s="33" t="n">
        <f aca="false">IF(AND(N$3&gt;=Audit_Month,MOD(N$3-Audit_Month,12)=0),Tech_Audit_USD*FX_USD,0)</f>
        <v>0</v>
      </c>
      <c r="O52" s="33" t="n">
        <f aca="false">IF(AND(O$3&gt;=Audit_Month,MOD(O$3-Audit_Month,12)=0),Tech_Audit_USD*FX_USD,0)</f>
        <v>0</v>
      </c>
      <c r="P52" s="33" t="n">
        <f aca="false">IF(AND(P$3&gt;=Audit_Month,MOD(P$3-Audit_Month,12)=0),Tech_Audit_USD*FX_USD,0)</f>
        <v>0</v>
      </c>
      <c r="Q52" s="33" t="n">
        <f aca="false">IF(AND(Q$3&gt;=Audit_Month,MOD(Q$3-Audit_Month,12)=0),Tech_Audit_USD*FX_USD,0)</f>
        <v>0</v>
      </c>
      <c r="R52" s="33" t="n">
        <f aca="false">IF(AND(R$3&gt;=Audit_Month,MOD(R$3-Audit_Month,12)=0),Tech_Audit_USD*FX_USD,0)</f>
        <v>0</v>
      </c>
      <c r="S52" s="33" t="n">
        <f aca="false">IF(AND(S$3&gt;=Audit_Month,MOD(S$3-Audit_Month,12)=0),Tech_Audit_USD*FX_USD,0)</f>
        <v>0</v>
      </c>
      <c r="T52" s="33" t="n">
        <f aca="false">IF(AND(T$3&gt;=Audit_Month,MOD(T$3-Audit_Month,12)=0),Tech_Audit_USD*FX_USD,0)</f>
        <v>5800000</v>
      </c>
      <c r="U52" s="33" t="n">
        <f aca="false">IF(AND(U$3&gt;=Audit_Month,MOD(U$3-Audit_Month,12)=0),Tech_Audit_USD*FX_USD,0)</f>
        <v>0</v>
      </c>
      <c r="V52" s="33" t="n">
        <f aca="false">IF(AND(V$3&gt;=Audit_Month,MOD(V$3-Audit_Month,12)=0),Tech_Audit_USD*FX_USD,0)</f>
        <v>0</v>
      </c>
      <c r="W52" s="33" t="n">
        <f aca="false">IF(AND(W$3&gt;=Audit_Month,MOD(W$3-Audit_Month,12)=0),Tech_Audit_USD*FX_USD,0)</f>
        <v>0</v>
      </c>
      <c r="X52" s="33" t="n">
        <f aca="false">IF(AND(X$3&gt;=Audit_Month,MOD(X$3-Audit_Month,12)=0),Tech_Audit_USD*FX_USD,0)</f>
        <v>0</v>
      </c>
      <c r="Y52" s="33" t="n">
        <f aca="false">IF(AND(Y$3&gt;=Audit_Month,MOD(Y$3-Audit_Month,12)=0),Tech_Audit_USD*FX_USD,0)</f>
        <v>0</v>
      </c>
      <c r="Z52" s="33" t="n">
        <f aca="false">IF(AND(Z$3&gt;=Audit_Month,MOD(Z$3-Audit_Month,12)=0),Tech_Audit_USD*FX_USD,0)</f>
        <v>0</v>
      </c>
      <c r="AA52" s="33" t="n">
        <f aca="false">IF(AND(AA$3&gt;=Audit_Month,MOD(AA$3-Audit_Month,12)=0),Tech_Audit_USD*FX_USD,0)</f>
        <v>0</v>
      </c>
      <c r="AB52" s="33" t="n">
        <f aca="false">IF(AND(AB$3&gt;=Audit_Month,MOD(AB$3-Audit_Month,12)=0),Tech_Audit_USD*FX_USD,0)</f>
        <v>0</v>
      </c>
      <c r="AC52" s="33" t="n">
        <f aca="false">IF(AND(AC$3&gt;=Audit_Month,MOD(AC$3-Audit_Month,12)=0),Tech_Audit_USD*FX_USD,0)</f>
        <v>0</v>
      </c>
      <c r="AD52" s="33" t="n">
        <f aca="false">IF(AND(AD$3&gt;=Audit_Month,MOD(AD$3-Audit_Month,12)=0),Tech_Audit_USD*FX_USD,0)</f>
        <v>0</v>
      </c>
      <c r="AE52" s="33" t="n">
        <f aca="false">IF(AND(AE$3&gt;=Audit_Month,MOD(AE$3-Audit_Month,12)=0),Tech_Audit_USD*FX_USD,0)</f>
        <v>0</v>
      </c>
      <c r="AF52" s="33" t="n">
        <f aca="false">IF(AND(AF$3&gt;=Audit_Month,MOD(AF$3-Audit_Month,12)=0),Tech_Audit_USD*FX_USD,0)</f>
        <v>5800000</v>
      </c>
      <c r="AG52" s="33" t="n">
        <f aca="false">IF(AND(AG$3&gt;=Audit_Month,MOD(AG$3-Audit_Month,12)=0),Tech_Audit_USD*FX_USD,0)</f>
        <v>0</v>
      </c>
      <c r="AH52" s="33" t="n">
        <f aca="false">IF(AND(AH$3&gt;=Audit_Month,MOD(AH$3-Audit_Month,12)=0),Tech_Audit_USD*FX_USD,0)</f>
        <v>0</v>
      </c>
      <c r="AI52" s="33" t="n">
        <f aca="false">IF(AND(AI$3&gt;=Audit_Month,MOD(AI$3-Audit_Month,12)=0),Tech_Audit_USD*FX_USD,0)</f>
        <v>0</v>
      </c>
      <c r="AJ52" s="33" t="n">
        <f aca="false">IF(AND(AJ$3&gt;=Audit_Month,MOD(AJ$3-Audit_Month,12)=0),Tech_Audit_USD*FX_USD,0)</f>
        <v>0</v>
      </c>
      <c r="AK52" s="33" t="n">
        <f aca="false">IF(AND(AK$3&gt;=Audit_Month,MOD(AK$3-Audit_Month,12)=0),Tech_Audit_USD*FX_USD,0)</f>
        <v>0</v>
      </c>
      <c r="AL52" s="33" t="n">
        <f aca="false">IF(AND(AL$3&gt;=Audit_Month,MOD(AL$3-Audit_Month,12)=0),Tech_Audit_USD*FX_USD,0)</f>
        <v>0</v>
      </c>
      <c r="AM52" s="33" t="n">
        <f aca="false">IF(AND(AM$3&gt;=Audit_Month,MOD(AM$3-Audit_Month,12)=0),Tech_Audit_USD*FX_USD,0)</f>
        <v>0</v>
      </c>
      <c r="AN52" s="33" t="n">
        <f aca="false">IF(AND(AN$3&gt;=Audit_Month,MOD(AN$3-Audit_Month,12)=0),Tech_Audit_USD*FX_USD,0)</f>
        <v>0</v>
      </c>
      <c r="AO52" s="33" t="n">
        <f aca="false">IF(AND(AO$3&gt;=Audit_Month,MOD(AO$3-Audit_Month,12)=0),Tech_Audit_USD*FX_USD,0)</f>
        <v>0</v>
      </c>
      <c r="AP52" s="33" t="n">
        <f aca="false">IF(AND(AP$3&gt;=Audit_Month,MOD(AP$3-Audit_Month,12)=0),Tech_Audit_USD*FX_USD,0)</f>
        <v>0</v>
      </c>
      <c r="AQ52" s="33" t="n">
        <f aca="false">IF(AND(AQ$3&gt;=Audit_Month,MOD(AQ$3-Audit_Month,12)=0),Tech_Audit_USD*FX_USD,0)</f>
        <v>0</v>
      </c>
      <c r="AR52" s="33" t="n">
        <f aca="false">IF(AND(AR$3&gt;=Audit_Month,MOD(AR$3-Audit_Month,12)=0),Tech_Audit_USD*FX_USD,0)</f>
        <v>5800000</v>
      </c>
      <c r="AS52" s="33" t="n">
        <f aca="false">IF(AND(AS$3&gt;=Audit_Month,MOD(AS$3-Audit_Month,12)=0),Tech_Audit_USD*FX_USD,0)</f>
        <v>0</v>
      </c>
      <c r="AT52" s="33" t="n">
        <f aca="false">IF(AND(AT$3&gt;=Audit_Month,MOD(AT$3-Audit_Month,12)=0),Tech_Audit_USD*FX_USD,0)</f>
        <v>0</v>
      </c>
      <c r="AU52" s="33" t="n">
        <f aca="false">IF(AND(AU$3&gt;=Audit_Month,MOD(AU$3-Audit_Month,12)=0),Tech_Audit_USD*FX_USD,0)</f>
        <v>0</v>
      </c>
      <c r="AV52" s="33" t="n">
        <f aca="false">IF(AND(AV$3&gt;=Audit_Month,MOD(AV$3-Audit_Month,12)=0),Tech_Audit_USD*FX_USD,0)</f>
        <v>0</v>
      </c>
      <c r="AW52" s="33" t="n">
        <f aca="false">IF(AND(AW$3&gt;=Audit_Month,MOD(AW$3-Audit_Month,12)=0),Tech_Audit_USD*FX_USD,0)</f>
        <v>0</v>
      </c>
      <c r="AX52" s="33" t="n">
        <f aca="false">IF(AND(AX$3&gt;=Audit_Month,MOD(AX$3-Audit_Month,12)=0),Tech_Audit_USD*FX_USD,0)</f>
        <v>0</v>
      </c>
      <c r="AY52" s="33" t="n">
        <f aca="false">IF(AND(AY$3&gt;=Audit_Month,MOD(AY$3-Audit_Month,12)=0),Tech_Audit_USD*FX_USD,0)</f>
        <v>0</v>
      </c>
      <c r="AZ52" s="33" t="n">
        <f aca="false">IF(AND(AZ$3&gt;=Audit_Month,MOD(AZ$3-Audit_Month,12)=0),Tech_Audit_USD*FX_USD,0)</f>
        <v>0</v>
      </c>
      <c r="BA52" s="33" t="n">
        <f aca="false">IF(AND(BA$3&gt;=Audit_Month,MOD(BA$3-Audit_Month,12)=0),Tech_Audit_USD*FX_USD,0)</f>
        <v>0</v>
      </c>
      <c r="BB52" s="33" t="n">
        <f aca="false">IF(AND(BB$3&gt;=Audit_Month,MOD(BB$3-Audit_Month,12)=0),Tech_Audit_USD*FX_USD,0)</f>
        <v>0</v>
      </c>
      <c r="BC52" s="33" t="n">
        <f aca="false">IF(AND(BC$3&gt;=Audit_Month,MOD(BC$3-Audit_Month,12)=0),Tech_Audit_USD*FX_USD,0)</f>
        <v>0</v>
      </c>
      <c r="BD52" s="33" t="n">
        <f aca="false">IF(AND(BD$3&gt;=Audit_Month,MOD(BD$3-Audit_Month,12)=0),Tech_Audit_USD*FX_USD,0)</f>
        <v>5800000</v>
      </c>
      <c r="BE52" s="33" t="n">
        <f aca="false">IF(AND(BE$3&gt;=Audit_Month,MOD(BE$3-Audit_Month,12)=0),Tech_Audit_USD*FX_USD,0)</f>
        <v>0</v>
      </c>
      <c r="BF52" s="33" t="n">
        <f aca="false">IF(AND(BF$3&gt;=Audit_Month,MOD(BF$3-Audit_Month,12)=0),Tech_Audit_USD*FX_USD,0)</f>
        <v>0</v>
      </c>
      <c r="BG52" s="33" t="n">
        <f aca="false">IF(AND(BG$3&gt;=Audit_Month,MOD(BG$3-Audit_Month,12)=0),Tech_Audit_USD*FX_USD,0)</f>
        <v>0</v>
      </c>
      <c r="BH52" s="33" t="n">
        <f aca="false">IF(AND(BH$3&gt;=Audit_Month,MOD(BH$3-Audit_Month,12)=0),Tech_Audit_USD*FX_USD,0)</f>
        <v>0</v>
      </c>
      <c r="BI52" s="33" t="n">
        <f aca="false">IF(AND(BI$3&gt;=Audit_Month,MOD(BI$3-Audit_Month,12)=0),Tech_Audit_USD*FX_USD,0)</f>
        <v>0</v>
      </c>
      <c r="BJ52" s="33" t="n">
        <f aca="false">IF(AND(BJ$3&gt;=Audit_Month,MOD(BJ$3-Audit_Month,12)=0),Tech_Audit_USD*FX_USD,0)</f>
        <v>0</v>
      </c>
      <c r="BK52" s="33" t="n">
        <f aca="false">IF(AND(BK$3&gt;=Audit_Month,MOD(BK$3-Audit_Month,12)=0),Tech_Audit_USD*FX_USD,0)</f>
        <v>0</v>
      </c>
      <c r="BL52" s="33" t="n">
        <f aca="false">IF(AND(BL$3&gt;=Audit_Month,MOD(BL$3-Audit_Month,12)=0),Tech_Audit_USD*FX_USD,0)</f>
        <v>0</v>
      </c>
    </row>
    <row r="53" customFormat="false" ht="15" hidden="false" customHeight="true" outlineLevel="0" collapsed="false">
      <c r="A53" s="13" t="s">
        <v>1303</v>
      </c>
      <c r="B53" s="15" t="s">
        <v>77</v>
      </c>
      <c r="D53" s="56" t="n">
        <f aca="false">SUM(E53:BL53)</f>
        <v>29000000</v>
      </c>
      <c r="E53" s="33" t="n">
        <f aca="false">IF(E$3=Proc_Setup_Month,Proc_Setup_USD*FX_USD,0)</f>
        <v>0</v>
      </c>
      <c r="F53" s="33" t="n">
        <f aca="false">IF(F$3=Proc_Setup_Month,Proc_Setup_USD*FX_USD,0)</f>
        <v>0</v>
      </c>
      <c r="G53" s="33" t="n">
        <f aca="false">IF(G$3=Proc_Setup_Month,Proc_Setup_USD*FX_USD,0)</f>
        <v>29000000</v>
      </c>
      <c r="H53" s="33" t="n">
        <f aca="false">IF(H$3=Proc_Setup_Month,Proc_Setup_USD*FX_USD,0)</f>
        <v>0</v>
      </c>
      <c r="I53" s="33" t="n">
        <f aca="false">IF(I$3=Proc_Setup_Month,Proc_Setup_USD*FX_USD,0)</f>
        <v>0</v>
      </c>
      <c r="J53" s="33" t="n">
        <f aca="false">IF(J$3=Proc_Setup_Month,Proc_Setup_USD*FX_USD,0)</f>
        <v>0</v>
      </c>
      <c r="K53" s="33" t="n">
        <f aca="false">IF(K$3=Proc_Setup_Month,Proc_Setup_USD*FX_USD,0)</f>
        <v>0</v>
      </c>
      <c r="L53" s="33" t="n">
        <f aca="false">IF(L$3=Proc_Setup_Month,Proc_Setup_USD*FX_USD,0)</f>
        <v>0</v>
      </c>
      <c r="M53" s="33" t="n">
        <f aca="false">IF(M$3=Proc_Setup_Month,Proc_Setup_USD*FX_USD,0)</f>
        <v>0</v>
      </c>
      <c r="N53" s="33" t="n">
        <f aca="false">IF(N$3=Proc_Setup_Month,Proc_Setup_USD*FX_USD,0)</f>
        <v>0</v>
      </c>
      <c r="O53" s="33" t="n">
        <f aca="false">IF(O$3=Proc_Setup_Month,Proc_Setup_USD*FX_USD,0)</f>
        <v>0</v>
      </c>
      <c r="P53" s="33" t="n">
        <f aca="false">IF(P$3=Proc_Setup_Month,Proc_Setup_USD*FX_USD,0)</f>
        <v>0</v>
      </c>
      <c r="Q53" s="33" t="n">
        <f aca="false">IF(Q$3=Proc_Setup_Month,Proc_Setup_USD*FX_USD,0)</f>
        <v>0</v>
      </c>
      <c r="R53" s="33" t="n">
        <f aca="false">IF(R$3=Proc_Setup_Month,Proc_Setup_USD*FX_USD,0)</f>
        <v>0</v>
      </c>
      <c r="S53" s="33" t="n">
        <f aca="false">IF(S$3=Proc_Setup_Month,Proc_Setup_USD*FX_USD,0)</f>
        <v>0</v>
      </c>
      <c r="T53" s="33" t="n">
        <f aca="false">IF(T$3=Proc_Setup_Month,Proc_Setup_USD*FX_USD,0)</f>
        <v>0</v>
      </c>
      <c r="U53" s="33" t="n">
        <f aca="false">IF(U$3=Proc_Setup_Month,Proc_Setup_USD*FX_USD,0)</f>
        <v>0</v>
      </c>
      <c r="V53" s="33" t="n">
        <f aca="false">IF(V$3=Proc_Setup_Month,Proc_Setup_USD*FX_USD,0)</f>
        <v>0</v>
      </c>
      <c r="W53" s="33" t="n">
        <f aca="false">IF(W$3=Proc_Setup_Month,Proc_Setup_USD*FX_USD,0)</f>
        <v>0</v>
      </c>
      <c r="X53" s="33" t="n">
        <f aca="false">IF(X$3=Proc_Setup_Month,Proc_Setup_USD*FX_USD,0)</f>
        <v>0</v>
      </c>
      <c r="Y53" s="33" t="n">
        <f aca="false">IF(Y$3=Proc_Setup_Month,Proc_Setup_USD*FX_USD,0)</f>
        <v>0</v>
      </c>
      <c r="Z53" s="33" t="n">
        <f aca="false">IF(Z$3=Proc_Setup_Month,Proc_Setup_USD*FX_USD,0)</f>
        <v>0</v>
      </c>
      <c r="AA53" s="33" t="n">
        <f aca="false">IF(AA$3=Proc_Setup_Month,Proc_Setup_USD*FX_USD,0)</f>
        <v>0</v>
      </c>
      <c r="AB53" s="33" t="n">
        <f aca="false">IF(AB$3=Proc_Setup_Month,Proc_Setup_USD*FX_USD,0)</f>
        <v>0</v>
      </c>
      <c r="AC53" s="33" t="n">
        <f aca="false">IF(AC$3=Proc_Setup_Month,Proc_Setup_USD*FX_USD,0)</f>
        <v>0</v>
      </c>
      <c r="AD53" s="33" t="n">
        <f aca="false">IF(AD$3=Proc_Setup_Month,Proc_Setup_USD*FX_USD,0)</f>
        <v>0</v>
      </c>
      <c r="AE53" s="33" t="n">
        <f aca="false">IF(AE$3=Proc_Setup_Month,Proc_Setup_USD*FX_USD,0)</f>
        <v>0</v>
      </c>
      <c r="AF53" s="33" t="n">
        <f aca="false">IF(AF$3=Proc_Setup_Month,Proc_Setup_USD*FX_USD,0)</f>
        <v>0</v>
      </c>
      <c r="AG53" s="33" t="n">
        <f aca="false">IF(AG$3=Proc_Setup_Month,Proc_Setup_USD*FX_USD,0)</f>
        <v>0</v>
      </c>
      <c r="AH53" s="33" t="n">
        <f aca="false">IF(AH$3=Proc_Setup_Month,Proc_Setup_USD*FX_USD,0)</f>
        <v>0</v>
      </c>
      <c r="AI53" s="33" t="n">
        <f aca="false">IF(AI$3=Proc_Setup_Month,Proc_Setup_USD*FX_USD,0)</f>
        <v>0</v>
      </c>
      <c r="AJ53" s="33" t="n">
        <f aca="false">IF(AJ$3=Proc_Setup_Month,Proc_Setup_USD*FX_USD,0)</f>
        <v>0</v>
      </c>
      <c r="AK53" s="33" t="n">
        <f aca="false">IF(AK$3=Proc_Setup_Month,Proc_Setup_USD*FX_USD,0)</f>
        <v>0</v>
      </c>
      <c r="AL53" s="33" t="n">
        <f aca="false">IF(AL$3=Proc_Setup_Month,Proc_Setup_USD*FX_USD,0)</f>
        <v>0</v>
      </c>
      <c r="AM53" s="33" t="n">
        <f aca="false">IF(AM$3=Proc_Setup_Month,Proc_Setup_USD*FX_USD,0)</f>
        <v>0</v>
      </c>
      <c r="AN53" s="33" t="n">
        <f aca="false">IF(AN$3=Proc_Setup_Month,Proc_Setup_USD*FX_USD,0)</f>
        <v>0</v>
      </c>
      <c r="AO53" s="33" t="n">
        <f aca="false">IF(AO$3=Proc_Setup_Month,Proc_Setup_USD*FX_USD,0)</f>
        <v>0</v>
      </c>
      <c r="AP53" s="33" t="n">
        <f aca="false">IF(AP$3=Proc_Setup_Month,Proc_Setup_USD*FX_USD,0)</f>
        <v>0</v>
      </c>
      <c r="AQ53" s="33" t="n">
        <f aca="false">IF(AQ$3=Proc_Setup_Month,Proc_Setup_USD*FX_USD,0)</f>
        <v>0</v>
      </c>
      <c r="AR53" s="33" t="n">
        <f aca="false">IF(AR$3=Proc_Setup_Month,Proc_Setup_USD*FX_USD,0)</f>
        <v>0</v>
      </c>
      <c r="AS53" s="33" t="n">
        <f aca="false">IF(AS$3=Proc_Setup_Month,Proc_Setup_USD*FX_USD,0)</f>
        <v>0</v>
      </c>
      <c r="AT53" s="33" t="n">
        <f aca="false">IF(AT$3=Proc_Setup_Month,Proc_Setup_USD*FX_USD,0)</f>
        <v>0</v>
      </c>
      <c r="AU53" s="33" t="n">
        <f aca="false">IF(AU$3=Proc_Setup_Month,Proc_Setup_USD*FX_USD,0)</f>
        <v>0</v>
      </c>
      <c r="AV53" s="33" t="n">
        <f aca="false">IF(AV$3=Proc_Setup_Month,Proc_Setup_USD*FX_USD,0)</f>
        <v>0</v>
      </c>
      <c r="AW53" s="33" t="n">
        <f aca="false">IF(AW$3=Proc_Setup_Month,Proc_Setup_USD*FX_USD,0)</f>
        <v>0</v>
      </c>
      <c r="AX53" s="33" t="n">
        <f aca="false">IF(AX$3=Proc_Setup_Month,Proc_Setup_USD*FX_USD,0)</f>
        <v>0</v>
      </c>
      <c r="AY53" s="33" t="n">
        <f aca="false">IF(AY$3=Proc_Setup_Month,Proc_Setup_USD*FX_USD,0)</f>
        <v>0</v>
      </c>
      <c r="AZ53" s="33" t="n">
        <f aca="false">IF(AZ$3=Proc_Setup_Month,Proc_Setup_USD*FX_USD,0)</f>
        <v>0</v>
      </c>
      <c r="BA53" s="33" t="n">
        <f aca="false">IF(BA$3=Proc_Setup_Month,Proc_Setup_USD*FX_USD,0)</f>
        <v>0</v>
      </c>
      <c r="BB53" s="33" t="n">
        <f aca="false">IF(BB$3=Proc_Setup_Month,Proc_Setup_USD*FX_USD,0)</f>
        <v>0</v>
      </c>
      <c r="BC53" s="33" t="n">
        <f aca="false">IF(BC$3=Proc_Setup_Month,Proc_Setup_USD*FX_USD,0)</f>
        <v>0</v>
      </c>
      <c r="BD53" s="33" t="n">
        <f aca="false">IF(BD$3=Proc_Setup_Month,Proc_Setup_USD*FX_USD,0)</f>
        <v>0</v>
      </c>
      <c r="BE53" s="33" t="n">
        <f aca="false">IF(BE$3=Proc_Setup_Month,Proc_Setup_USD*FX_USD,0)</f>
        <v>0</v>
      </c>
      <c r="BF53" s="33" t="n">
        <f aca="false">IF(BF$3=Proc_Setup_Month,Proc_Setup_USD*FX_USD,0)</f>
        <v>0</v>
      </c>
      <c r="BG53" s="33" t="n">
        <f aca="false">IF(BG$3=Proc_Setup_Month,Proc_Setup_USD*FX_USD,0)</f>
        <v>0</v>
      </c>
      <c r="BH53" s="33" t="n">
        <f aca="false">IF(BH$3=Proc_Setup_Month,Proc_Setup_USD*FX_USD,0)</f>
        <v>0</v>
      </c>
      <c r="BI53" s="33" t="n">
        <f aca="false">IF(BI$3=Proc_Setup_Month,Proc_Setup_USD*FX_USD,0)</f>
        <v>0</v>
      </c>
      <c r="BJ53" s="33" t="n">
        <f aca="false">IF(BJ$3=Proc_Setup_Month,Proc_Setup_USD*FX_USD,0)</f>
        <v>0</v>
      </c>
      <c r="BK53" s="33" t="n">
        <f aca="false">IF(BK$3=Proc_Setup_Month,Proc_Setup_USD*FX_USD,0)</f>
        <v>0</v>
      </c>
      <c r="BL53" s="33" t="n">
        <f aca="false">IF(BL$3=Proc_Setup_Month,Proc_Setup_USD*FX_USD,0)</f>
        <v>0</v>
      </c>
    </row>
    <row r="54" customFormat="false" ht="15" hidden="false" customHeight="true" outlineLevel="0" collapsed="false">
      <c r="A54" s="13" t="s">
        <v>1304</v>
      </c>
      <c r="B54" s="15" t="s">
        <v>77</v>
      </c>
      <c r="D54" s="56" t="n">
        <f aca="false">SUM(E54:BL54)</f>
        <v>29521244.3449355</v>
      </c>
      <c r="E54" s="33" t="n">
        <f aca="false">IF(E$3&gt;=Proc_Min_Start,MAX(0,INDEX(Proc_Min_USD,1,E$5)*FX_USD-E11),0)</f>
        <v>0</v>
      </c>
      <c r="F54" s="33" t="n">
        <f aca="false">IF(F$3&gt;=Proc_Min_Start,MAX(0,INDEX(Proc_Min_USD,1,F$5)*FX_USD-F11),0)</f>
        <v>0</v>
      </c>
      <c r="G54" s="33" t="n">
        <f aca="false">IF(G$3&gt;=Proc_Min_Start,MAX(0,INDEX(Proc_Min_USD,1,G$5)*FX_USD-G11),0)</f>
        <v>0</v>
      </c>
      <c r="H54" s="33" t="n">
        <f aca="false">IF(H$3&gt;=Proc_Min_Start,MAX(0,INDEX(Proc_Min_USD,1,H$5)*FX_USD-H11),0)</f>
        <v>0</v>
      </c>
      <c r="I54" s="33" t="n">
        <f aca="false">IF(I$3&gt;=Proc_Min_Start,MAX(0,INDEX(Proc_Min_USD,1,I$5)*FX_USD-I11),0)</f>
        <v>2781280</v>
      </c>
      <c r="J54" s="33" t="n">
        <f aca="false">IF(J$3&gt;=Proc_Min_Start,MAX(0,INDEX(Proc_Min_USD,1,J$5)*FX_USD-J11),0)</f>
        <v>2663010.72</v>
      </c>
      <c r="K54" s="33" t="n">
        <f aca="false">IF(K$3&gt;=Proc_Min_Start,MAX(0,INDEX(Proc_Min_USD,1,K$5)*FX_USD-K11),0)</f>
        <v>2545114.3286</v>
      </c>
      <c r="L54" s="33" t="n">
        <f aca="false">IF(L$3&gt;=Proc_Min_Start,MAX(0,INDEX(Proc_Min_USD,1,L$5)*FX_USD-L11),0)</f>
        <v>2427509.946673</v>
      </c>
      <c r="M54" s="33" t="n">
        <f aca="false">IF(M$3&gt;=Proc_Min_Start,MAX(0,INDEX(Proc_Min_USD,1,M$5)*FX_USD-M11),0)</f>
        <v>2310113.43719583</v>
      </c>
      <c r="N54" s="33" t="n">
        <f aca="false">IF(N$3&gt;=Proc_Min_Start,MAX(0,INDEX(Proc_Min_USD,1,N$5)*FX_USD-N11),0)</f>
        <v>2192837.18295777</v>
      </c>
      <c r="O54" s="33" t="n">
        <f aca="false">IF(O$3&gt;=Proc_Min_Start,MAX(0,INDEX(Proc_Min_USD,1,O$5)*FX_USD-O11),0)</f>
        <v>2075589.8514105</v>
      </c>
      <c r="P54" s="33" t="n">
        <f aca="false">IF(P$3&gt;=Proc_Min_Start,MAX(0,INDEX(Proc_Min_USD,1,P$5)*FX_USD-P11),0)</f>
        <v>1958276.14587901</v>
      </c>
      <c r="Q54" s="33" t="n">
        <f aca="false">IF(Q$3&gt;=Proc_Min_Start,MAX(0,INDEX(Proc_Min_USD,1,Q$5)*FX_USD-Q11),0)</f>
        <v>1798876.54230637</v>
      </c>
      <c r="R54" s="33" t="n">
        <f aca="false">IF(R$3&gt;=Proc_Min_Start,MAX(0,INDEX(Proc_Min_USD,1,R$5)*FX_USD-R11),0)</f>
        <v>1639772.93065586</v>
      </c>
      <c r="S54" s="33" t="n">
        <f aca="false">IF(S$3&gt;=Proc_Min_Start,MAX(0,INDEX(Proc_Min_USD,1,S$5)*FX_USD-S11),0)</f>
        <v>1480847.9126414</v>
      </c>
      <c r="T54" s="33" t="n">
        <f aca="false">IF(T$3&gt;=Proc_Min_Start,MAX(0,INDEX(Proc_Min_USD,1,T$5)*FX_USD-T11),0)</f>
        <v>1321979.11887485</v>
      </c>
      <c r="U54" s="33" t="n">
        <f aca="false">IF(U$3&gt;=Proc_Min_Start,MAX(0,INDEX(Proc_Min_USD,1,U$5)*FX_USD-U11),0)</f>
        <v>1163038.87593482</v>
      </c>
      <c r="V54" s="33" t="n">
        <f aca="false">IF(V$3&gt;=Proc_Min_Start,MAX(0,INDEX(Proc_Min_USD,1,V$5)*FX_USD-V11),0)</f>
        <v>1003893.85407618</v>
      </c>
      <c r="W54" s="33" t="n">
        <f aca="false">IF(W$3&gt;=Proc_Min_Start,MAX(0,INDEX(Proc_Min_USD,1,W$5)*FX_USD-W11),0)</f>
        <v>753524.69440726</v>
      </c>
      <c r="X54" s="33" t="n">
        <f aca="false">IF(X$3&gt;=Proc_Min_Start,MAX(0,INDEX(Proc_Min_USD,1,X$5)*FX_USD-X11),0)</f>
        <v>503028.494291655</v>
      </c>
      <c r="Y54" s="33" t="n">
        <f aca="false">IF(Y$3&gt;=Proc_Min_Start,MAX(0,INDEX(Proc_Min_USD,1,Y$5)*FX_USD-Y11),0)</f>
        <v>232993.880057052</v>
      </c>
      <c r="Z54" s="33" t="n">
        <f aca="false">IF(Z$3&gt;=Proc_Min_Start,MAX(0,INDEX(Proc_Min_USD,1,Z$5)*FX_USD-Z11),0)</f>
        <v>0</v>
      </c>
      <c r="AA54" s="33" t="n">
        <f aca="false">IF(AA$3&gt;=Proc_Min_Start,MAX(0,INDEX(Proc_Min_USD,1,AA$5)*FX_USD-AA11),0)</f>
        <v>0</v>
      </c>
      <c r="AB54" s="33" t="n">
        <f aca="false">IF(AB$3&gt;=Proc_Min_Start,MAX(0,INDEX(Proc_Min_USD,1,AB$5)*FX_USD-AB11),0)</f>
        <v>0</v>
      </c>
      <c r="AC54" s="33" t="n">
        <f aca="false">IF(AC$3&gt;=Proc_Min_Start,MAX(0,INDEX(Proc_Min_USD,1,AC$5)*FX_USD-AC11),0)</f>
        <v>513288.778553128</v>
      </c>
      <c r="AD54" s="33" t="n">
        <f aca="false">IF(AD$3&gt;=Proc_Min_Start,MAX(0,INDEX(Proc_Min_USD,1,AD$5)*FX_USD-AD11),0)</f>
        <v>156267.650420817</v>
      </c>
      <c r="AE54" s="33" t="n">
        <f aca="false">IF(AE$3&gt;=Proc_Min_Start,MAX(0,INDEX(Proc_Min_USD,1,AE$5)*FX_USD-AE11),0)</f>
        <v>0</v>
      </c>
      <c r="AF54" s="33" t="n">
        <f aca="false">IF(AF$3&gt;=Proc_Min_Start,MAX(0,INDEX(Proc_Min_USD,1,AF$5)*FX_USD-AF11),0)</f>
        <v>0</v>
      </c>
      <c r="AG54" s="33" t="n">
        <f aca="false">IF(AG$3&gt;=Proc_Min_Start,MAX(0,INDEX(Proc_Min_USD,1,AG$5)*FX_USD-AG11),0)</f>
        <v>0</v>
      </c>
      <c r="AH54" s="33" t="n">
        <f aca="false">IF(AH$3&gt;=Proc_Min_Start,MAX(0,INDEX(Proc_Min_USD,1,AH$5)*FX_USD-AH11),0)</f>
        <v>0</v>
      </c>
      <c r="AI54" s="33" t="n">
        <f aca="false">IF(AI$3&gt;=Proc_Min_Start,MAX(0,INDEX(Proc_Min_USD,1,AI$5)*FX_USD-AI11),0)</f>
        <v>0</v>
      </c>
      <c r="AJ54" s="33" t="n">
        <f aca="false">IF(AJ$3&gt;=Proc_Min_Start,MAX(0,INDEX(Proc_Min_USD,1,AJ$5)*FX_USD-AJ11),0)</f>
        <v>0</v>
      </c>
      <c r="AK54" s="33" t="n">
        <f aca="false">IF(AK$3&gt;=Proc_Min_Start,MAX(0,INDEX(Proc_Min_USD,1,AK$5)*FX_USD-AK11),0)</f>
        <v>0</v>
      </c>
      <c r="AL54" s="33" t="n">
        <f aca="false">IF(AL$3&gt;=Proc_Min_Start,MAX(0,INDEX(Proc_Min_USD,1,AL$5)*FX_USD-AL11),0)</f>
        <v>0</v>
      </c>
      <c r="AM54" s="33" t="n">
        <f aca="false">IF(AM$3&gt;=Proc_Min_Start,MAX(0,INDEX(Proc_Min_USD,1,AM$5)*FX_USD-AM11),0)</f>
        <v>0</v>
      </c>
      <c r="AN54" s="33" t="n">
        <f aca="false">IF(AN$3&gt;=Proc_Min_Start,MAX(0,INDEX(Proc_Min_USD,1,AN$5)*FX_USD-AN11),0)</f>
        <v>0</v>
      </c>
      <c r="AO54" s="33" t="n">
        <f aca="false">IF(AO$3&gt;=Proc_Min_Start,MAX(0,INDEX(Proc_Min_USD,1,AO$5)*FX_USD-AO11),0)</f>
        <v>0</v>
      </c>
      <c r="AP54" s="33" t="n">
        <f aca="false">IF(AP$3&gt;=Proc_Min_Start,MAX(0,INDEX(Proc_Min_USD,1,AP$5)*FX_USD-AP11),0)</f>
        <v>0</v>
      </c>
      <c r="AQ54" s="33" t="n">
        <f aca="false">IF(AQ$3&gt;=Proc_Min_Start,MAX(0,INDEX(Proc_Min_USD,1,AQ$5)*FX_USD-AQ11),0)</f>
        <v>0</v>
      </c>
      <c r="AR54" s="33" t="n">
        <f aca="false">IF(AR$3&gt;=Proc_Min_Start,MAX(0,INDEX(Proc_Min_USD,1,AR$5)*FX_USD-AR11),0)</f>
        <v>0</v>
      </c>
      <c r="AS54" s="33" t="n">
        <f aca="false">IF(AS$3&gt;=Proc_Min_Start,MAX(0,INDEX(Proc_Min_USD,1,AS$5)*FX_USD-AS11),0)</f>
        <v>0</v>
      </c>
      <c r="AT54" s="33" t="n">
        <f aca="false">IF(AT$3&gt;=Proc_Min_Start,MAX(0,INDEX(Proc_Min_USD,1,AT$5)*FX_USD-AT11),0)</f>
        <v>0</v>
      </c>
      <c r="AU54" s="33" t="n">
        <f aca="false">IF(AU$3&gt;=Proc_Min_Start,MAX(0,INDEX(Proc_Min_USD,1,AU$5)*FX_USD-AU11),0)</f>
        <v>0</v>
      </c>
      <c r="AV54" s="33" t="n">
        <f aca="false">IF(AV$3&gt;=Proc_Min_Start,MAX(0,INDEX(Proc_Min_USD,1,AV$5)*FX_USD-AV11),0)</f>
        <v>0</v>
      </c>
      <c r="AW54" s="33" t="n">
        <f aca="false">IF(AW$3&gt;=Proc_Min_Start,MAX(0,INDEX(Proc_Min_USD,1,AW$5)*FX_USD-AW11),0)</f>
        <v>0</v>
      </c>
      <c r="AX54" s="33" t="n">
        <f aca="false">IF(AX$3&gt;=Proc_Min_Start,MAX(0,INDEX(Proc_Min_USD,1,AX$5)*FX_USD-AX11),0)</f>
        <v>0</v>
      </c>
      <c r="AY54" s="33" t="n">
        <f aca="false">IF(AY$3&gt;=Proc_Min_Start,MAX(0,INDEX(Proc_Min_USD,1,AY$5)*FX_USD-AY11),0)</f>
        <v>0</v>
      </c>
      <c r="AZ54" s="33" t="n">
        <f aca="false">IF(AZ$3&gt;=Proc_Min_Start,MAX(0,INDEX(Proc_Min_USD,1,AZ$5)*FX_USD-AZ11),0)</f>
        <v>0</v>
      </c>
      <c r="BA54" s="33" t="n">
        <f aca="false">IF(BA$3&gt;=Proc_Min_Start,MAX(0,INDEX(Proc_Min_USD,1,BA$5)*FX_USD-BA11),0)</f>
        <v>0</v>
      </c>
      <c r="BB54" s="33" t="n">
        <f aca="false">IF(BB$3&gt;=Proc_Min_Start,MAX(0,INDEX(Proc_Min_USD,1,BB$5)*FX_USD-BB11),0)</f>
        <v>0</v>
      </c>
      <c r="BC54" s="33" t="n">
        <f aca="false">IF(BC$3&gt;=Proc_Min_Start,MAX(0,INDEX(Proc_Min_USD,1,BC$5)*FX_USD-BC11),0)</f>
        <v>0</v>
      </c>
      <c r="BD54" s="33" t="n">
        <f aca="false">IF(BD$3&gt;=Proc_Min_Start,MAX(0,INDEX(Proc_Min_USD,1,BD$5)*FX_USD-BD11),0)</f>
        <v>0</v>
      </c>
      <c r="BE54" s="33" t="n">
        <f aca="false">IF(BE$3&gt;=Proc_Min_Start,MAX(0,INDEX(Proc_Min_USD,1,BE$5)*FX_USD-BE11),0)</f>
        <v>0</v>
      </c>
      <c r="BF54" s="33" t="n">
        <f aca="false">IF(BF$3&gt;=Proc_Min_Start,MAX(0,INDEX(Proc_Min_USD,1,BF$5)*FX_USD-BF11),0)</f>
        <v>0</v>
      </c>
      <c r="BG54" s="33" t="n">
        <f aca="false">IF(BG$3&gt;=Proc_Min_Start,MAX(0,INDEX(Proc_Min_USD,1,BG$5)*FX_USD-BG11),0)</f>
        <v>0</v>
      </c>
      <c r="BH54" s="33" t="n">
        <f aca="false">IF(BH$3&gt;=Proc_Min_Start,MAX(0,INDEX(Proc_Min_USD,1,BH$5)*FX_USD-BH11),0)</f>
        <v>0</v>
      </c>
      <c r="BI54" s="33" t="n">
        <f aca="false">IF(BI$3&gt;=Proc_Min_Start,MAX(0,INDEX(Proc_Min_USD,1,BI$5)*FX_USD-BI11),0)</f>
        <v>0</v>
      </c>
      <c r="BJ54" s="33" t="n">
        <f aca="false">IF(BJ$3&gt;=Proc_Min_Start,MAX(0,INDEX(Proc_Min_USD,1,BJ$5)*FX_USD-BJ11),0)</f>
        <v>0</v>
      </c>
      <c r="BK54" s="33" t="n">
        <f aca="false">IF(BK$3&gt;=Proc_Min_Start,MAX(0,INDEX(Proc_Min_USD,1,BK$5)*FX_USD-BK11),0)</f>
        <v>0</v>
      </c>
      <c r="BL54" s="33" t="n">
        <f aca="false">IF(BL$3&gt;=Proc_Min_Start,MAX(0,INDEX(Proc_Min_USD,1,BL$5)*FX_USD-BL11),0)</f>
        <v>0</v>
      </c>
    </row>
    <row r="55" customFormat="false" ht="15" hidden="false" customHeight="true" outlineLevel="0" collapsed="false">
      <c r="A55" s="9" t="s">
        <v>1305</v>
      </c>
      <c r="B55" s="15" t="s">
        <v>77</v>
      </c>
      <c r="D55" s="56" t="n">
        <f aca="false">SUM(E55:BL55)</f>
        <v>682389634.344936</v>
      </c>
      <c r="E55" s="17" t="n">
        <f aca="false">SUM(E44:E54)</f>
        <v>5059915.83333333</v>
      </c>
      <c r="F55" s="17" t="n">
        <f aca="false">SUM(F44:F54)</f>
        <v>6799915.83333333</v>
      </c>
      <c r="G55" s="17" t="n">
        <f aca="false">SUM(G44:G54)</f>
        <v>35799915.8333333</v>
      </c>
      <c r="H55" s="17" t="n">
        <f aca="false">SUM(H44:H54)</f>
        <v>12739115.8333333</v>
      </c>
      <c r="I55" s="17" t="n">
        <f aca="false">SUM(I44:I54)</f>
        <v>9643835.83333333</v>
      </c>
      <c r="J55" s="17" t="n">
        <f aca="false">SUM(J44:J54)</f>
        <v>9525566.55333334</v>
      </c>
      <c r="K55" s="17" t="n">
        <f aca="false">SUM(K44:K54)</f>
        <v>9407670.16193334</v>
      </c>
      <c r="L55" s="17" t="n">
        <f aca="false">SUM(L44:L54)</f>
        <v>9290065.78000633</v>
      </c>
      <c r="M55" s="17" t="n">
        <f aca="false">SUM(M44:M54)</f>
        <v>9172669.27052917</v>
      </c>
      <c r="N55" s="17" t="n">
        <f aca="false">SUM(N44:N54)</f>
        <v>9055393.01629111</v>
      </c>
      <c r="O55" s="17" t="n">
        <f aca="false">SUM(O44:O54)</f>
        <v>8938145.68474384</v>
      </c>
      <c r="P55" s="17" t="n">
        <f aca="false">SUM(P44:P54)</f>
        <v>8820831.97921234</v>
      </c>
      <c r="Q55" s="17" t="n">
        <f aca="false">SUM(Q44:Q54)</f>
        <v>10521872.3756397</v>
      </c>
      <c r="R55" s="17" t="n">
        <f aca="false">SUM(R44:R54)</f>
        <v>10362768.7639892</v>
      </c>
      <c r="S55" s="17" t="n">
        <f aca="false">SUM(S44:S54)</f>
        <v>10203843.7459747</v>
      </c>
      <c r="T55" s="17" t="n">
        <f aca="false">SUM(T44:T54)</f>
        <v>15855414.9522082</v>
      </c>
      <c r="U55" s="17" t="n">
        <f aca="false">SUM(U44:U54)</f>
        <v>9896474.70926816</v>
      </c>
      <c r="V55" s="17" t="n">
        <f aca="false">SUM(V44:V54)</f>
        <v>9768649.68740952</v>
      </c>
      <c r="W55" s="17" t="n">
        <f aca="false">SUM(W44:W54)</f>
        <v>9518280.52774059</v>
      </c>
      <c r="X55" s="17" t="n">
        <f aca="false">SUM(X44:X54)</f>
        <v>9278224.32762499</v>
      </c>
      <c r="Y55" s="17" t="n">
        <f aca="false">SUM(Y44:Y54)</f>
        <v>9018629.71339039</v>
      </c>
      <c r="Z55" s="17" t="n">
        <f aca="false">SUM(Z44:Z54)</f>
        <v>8785635.83333333</v>
      </c>
      <c r="AA55" s="17" t="n">
        <f aca="false">SUM(AA44:AA54)</f>
        <v>8785635.83333333</v>
      </c>
      <c r="AB55" s="17" t="n">
        <f aca="false">SUM(AB44:AB54)</f>
        <v>8796075.83333333</v>
      </c>
      <c r="AC55" s="17" t="n">
        <f aca="false">SUM(AC44:AC54)</f>
        <v>11218137.9452198</v>
      </c>
      <c r="AD55" s="17" t="n">
        <f aca="false">SUM(AD44:AD54)</f>
        <v>10871556.8170875</v>
      </c>
      <c r="AE55" s="17" t="n">
        <f aca="false">SUM(AE44:AE54)</f>
        <v>10715289.1666667</v>
      </c>
      <c r="AF55" s="17" t="n">
        <f aca="false">SUM(AF44:AF54)</f>
        <v>16550669.1666667</v>
      </c>
      <c r="AG55" s="17" t="n">
        <f aca="false">SUM(AG44:AG54)</f>
        <v>10781989.1666667</v>
      </c>
      <c r="AH55" s="17" t="n">
        <f aca="false">SUM(AH44:AH54)</f>
        <v>10792429.1666667</v>
      </c>
      <c r="AI55" s="17" t="n">
        <f aca="false">SUM(AI44:AI54)</f>
        <v>10802869.1666667</v>
      </c>
      <c r="AJ55" s="17" t="n">
        <f aca="false">SUM(AJ44:AJ54)</f>
        <v>10802869.1666667</v>
      </c>
      <c r="AK55" s="17" t="n">
        <f aca="false">SUM(AK44:AK54)</f>
        <v>10813309.1666667</v>
      </c>
      <c r="AL55" s="17" t="n">
        <f aca="false">SUM(AL44:AL54)</f>
        <v>10834189.1666667</v>
      </c>
      <c r="AM55" s="17" t="n">
        <f aca="false">SUM(AM44:AM54)</f>
        <v>10844629.1666667</v>
      </c>
      <c r="AN55" s="17" t="n">
        <f aca="false">SUM(AN44:AN54)</f>
        <v>10855069.1666667</v>
      </c>
      <c r="AO55" s="17" t="n">
        <f aca="false">SUM(AO44:AO54)</f>
        <v>10626200</v>
      </c>
      <c r="AP55" s="17" t="n">
        <f aca="false">SUM(AP44:AP54)</f>
        <v>10626200</v>
      </c>
      <c r="AQ55" s="17" t="n">
        <f aca="false">SUM(AQ44:AQ54)</f>
        <v>10647080</v>
      </c>
      <c r="AR55" s="17" t="n">
        <f aca="false">SUM(AR44:AR54)</f>
        <v>16492900</v>
      </c>
      <c r="AS55" s="17" t="n">
        <f aca="false">SUM(AS44:AS54)</f>
        <v>10692900</v>
      </c>
      <c r="AT55" s="17" t="n">
        <f aca="false">SUM(AT44:AT54)</f>
        <v>10703340</v>
      </c>
      <c r="AU55" s="17" t="n">
        <f aca="false">SUM(AU44:AU54)</f>
        <v>10734660</v>
      </c>
      <c r="AV55" s="17" t="n">
        <f aca="false">SUM(AV44:AV54)</f>
        <v>10734660</v>
      </c>
      <c r="AW55" s="17" t="n">
        <f aca="false">SUM(AW44:AW54)</f>
        <v>10765980</v>
      </c>
      <c r="AX55" s="17" t="n">
        <f aca="false">SUM(AX44:AX54)</f>
        <v>10776420</v>
      </c>
      <c r="AY55" s="17" t="n">
        <f aca="false">SUM(AY44:AY54)</f>
        <v>10786860</v>
      </c>
      <c r="AZ55" s="17" t="n">
        <f aca="false">SUM(AZ44:AZ54)</f>
        <v>10807740</v>
      </c>
      <c r="BA55" s="17" t="n">
        <f aca="false">SUM(BA44:BA54)</f>
        <v>12486453.3333333</v>
      </c>
      <c r="BB55" s="17" t="n">
        <f aca="false">SUM(BB44:BB54)</f>
        <v>12517773.3333333</v>
      </c>
      <c r="BC55" s="17" t="n">
        <f aca="false">SUM(BC44:BC54)</f>
        <v>12528213.3333333</v>
      </c>
      <c r="BD55" s="17" t="n">
        <f aca="false">SUM(BD44:BD54)</f>
        <v>18349093.3333333</v>
      </c>
      <c r="BE55" s="17" t="n">
        <f aca="false">SUM(BE44:BE54)</f>
        <v>12559533.3333333</v>
      </c>
      <c r="BF55" s="17" t="n">
        <f aca="false">SUM(BF44:BF54)</f>
        <v>12580413.3333333</v>
      </c>
      <c r="BG55" s="17" t="n">
        <f aca="false">SUM(BG44:BG54)</f>
        <v>12601293.3333333</v>
      </c>
      <c r="BH55" s="17" t="n">
        <f aca="false">SUM(BH44:BH54)</f>
        <v>12647113.3333333</v>
      </c>
      <c r="BI55" s="17" t="n">
        <f aca="false">SUM(BI44:BI54)</f>
        <v>12667993.3333333</v>
      </c>
      <c r="BJ55" s="17" t="n">
        <f aca="false">SUM(BJ44:BJ54)</f>
        <v>12688873.3333333</v>
      </c>
      <c r="BK55" s="17" t="n">
        <f aca="false">SUM(BK44:BK54)</f>
        <v>12709753.3333333</v>
      </c>
      <c r="BL55" s="17" t="n">
        <f aca="false">SUM(BL44:BL54)</f>
        <v>12730633.3333333</v>
      </c>
    </row>
    <row r="57" customFormat="false" ht="15" hidden="false" customHeight="true" outlineLevel="0" collapsed="false">
      <c r="A57" s="11" t="s">
        <v>849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row>
    <row r="58" customFormat="false" ht="15" hidden="false" customHeight="true" outlineLevel="0" collapsed="false">
      <c r="A58" s="13" t="s">
        <v>1306</v>
      </c>
      <c r="B58" s="15" t="s">
        <v>77</v>
      </c>
      <c r="D58" s="56" t="n">
        <f aca="false">SUM(E58:BL58)</f>
        <v>15000000</v>
      </c>
      <c r="E58" s="33" t="n">
        <f aca="false">IF(E$3=Bank_Setup_Month,Bank_Setup_SN,0)</f>
        <v>0</v>
      </c>
      <c r="F58" s="33" t="n">
        <f aca="false">IF(F$3=Bank_Setup_Month,Bank_Setup_SN,0)</f>
        <v>15000000</v>
      </c>
      <c r="G58" s="33" t="n">
        <f aca="false">IF(G$3=Bank_Setup_Month,Bank_Setup_SN,0)</f>
        <v>0</v>
      </c>
      <c r="H58" s="33" t="n">
        <f aca="false">IF(H$3=Bank_Setup_Month,Bank_Setup_SN,0)</f>
        <v>0</v>
      </c>
      <c r="I58" s="33" t="n">
        <f aca="false">IF(I$3=Bank_Setup_Month,Bank_Setup_SN,0)</f>
        <v>0</v>
      </c>
      <c r="J58" s="33" t="n">
        <f aca="false">IF(J$3=Bank_Setup_Month,Bank_Setup_SN,0)</f>
        <v>0</v>
      </c>
      <c r="K58" s="33" t="n">
        <f aca="false">IF(K$3=Bank_Setup_Month,Bank_Setup_SN,0)</f>
        <v>0</v>
      </c>
      <c r="L58" s="33" t="n">
        <f aca="false">IF(L$3=Bank_Setup_Month,Bank_Setup_SN,0)</f>
        <v>0</v>
      </c>
      <c r="M58" s="33" t="n">
        <f aca="false">IF(M$3=Bank_Setup_Month,Bank_Setup_SN,0)</f>
        <v>0</v>
      </c>
      <c r="N58" s="33" t="n">
        <f aca="false">IF(N$3=Bank_Setup_Month,Bank_Setup_SN,0)</f>
        <v>0</v>
      </c>
      <c r="O58" s="33" t="n">
        <f aca="false">IF(O$3=Bank_Setup_Month,Bank_Setup_SN,0)</f>
        <v>0</v>
      </c>
      <c r="P58" s="33" t="n">
        <f aca="false">IF(P$3=Bank_Setup_Month,Bank_Setup_SN,0)</f>
        <v>0</v>
      </c>
      <c r="Q58" s="33" t="n">
        <f aca="false">IF(Q$3=Bank_Setup_Month,Bank_Setup_SN,0)</f>
        <v>0</v>
      </c>
      <c r="R58" s="33" t="n">
        <f aca="false">IF(R$3=Bank_Setup_Month,Bank_Setup_SN,0)</f>
        <v>0</v>
      </c>
      <c r="S58" s="33" t="n">
        <f aca="false">IF(S$3=Bank_Setup_Month,Bank_Setup_SN,0)</f>
        <v>0</v>
      </c>
      <c r="T58" s="33" t="n">
        <f aca="false">IF(T$3=Bank_Setup_Month,Bank_Setup_SN,0)</f>
        <v>0</v>
      </c>
      <c r="U58" s="33" t="n">
        <f aca="false">IF(U$3=Bank_Setup_Month,Bank_Setup_SN,0)</f>
        <v>0</v>
      </c>
      <c r="V58" s="33" t="n">
        <f aca="false">IF(V$3=Bank_Setup_Month,Bank_Setup_SN,0)</f>
        <v>0</v>
      </c>
      <c r="W58" s="33" t="n">
        <f aca="false">IF(W$3=Bank_Setup_Month,Bank_Setup_SN,0)</f>
        <v>0</v>
      </c>
      <c r="X58" s="33" t="n">
        <f aca="false">IF(X$3=Bank_Setup_Month,Bank_Setup_SN,0)</f>
        <v>0</v>
      </c>
      <c r="Y58" s="33" t="n">
        <f aca="false">IF(Y$3=Bank_Setup_Month,Bank_Setup_SN,0)</f>
        <v>0</v>
      </c>
      <c r="Z58" s="33" t="n">
        <f aca="false">IF(Z$3=Bank_Setup_Month,Bank_Setup_SN,0)</f>
        <v>0</v>
      </c>
      <c r="AA58" s="33" t="n">
        <f aca="false">IF(AA$3=Bank_Setup_Month,Bank_Setup_SN,0)</f>
        <v>0</v>
      </c>
      <c r="AB58" s="33" t="n">
        <f aca="false">IF(AB$3=Bank_Setup_Month,Bank_Setup_SN,0)</f>
        <v>0</v>
      </c>
      <c r="AC58" s="33" t="n">
        <f aca="false">IF(AC$3=Bank_Setup_Month,Bank_Setup_SN,0)</f>
        <v>0</v>
      </c>
      <c r="AD58" s="33" t="n">
        <f aca="false">IF(AD$3=Bank_Setup_Month,Bank_Setup_SN,0)</f>
        <v>0</v>
      </c>
      <c r="AE58" s="33" t="n">
        <f aca="false">IF(AE$3=Bank_Setup_Month,Bank_Setup_SN,0)</f>
        <v>0</v>
      </c>
      <c r="AF58" s="33" t="n">
        <f aca="false">IF(AF$3=Bank_Setup_Month,Bank_Setup_SN,0)</f>
        <v>0</v>
      </c>
      <c r="AG58" s="33" t="n">
        <f aca="false">IF(AG$3=Bank_Setup_Month,Bank_Setup_SN,0)</f>
        <v>0</v>
      </c>
      <c r="AH58" s="33" t="n">
        <f aca="false">IF(AH$3=Bank_Setup_Month,Bank_Setup_SN,0)</f>
        <v>0</v>
      </c>
      <c r="AI58" s="33" t="n">
        <f aca="false">IF(AI$3=Bank_Setup_Month,Bank_Setup_SN,0)</f>
        <v>0</v>
      </c>
      <c r="AJ58" s="33" t="n">
        <f aca="false">IF(AJ$3=Bank_Setup_Month,Bank_Setup_SN,0)</f>
        <v>0</v>
      </c>
      <c r="AK58" s="33" t="n">
        <f aca="false">IF(AK$3=Bank_Setup_Month,Bank_Setup_SN,0)</f>
        <v>0</v>
      </c>
      <c r="AL58" s="33" t="n">
        <f aca="false">IF(AL$3=Bank_Setup_Month,Bank_Setup_SN,0)</f>
        <v>0</v>
      </c>
      <c r="AM58" s="33" t="n">
        <f aca="false">IF(AM$3=Bank_Setup_Month,Bank_Setup_SN,0)</f>
        <v>0</v>
      </c>
      <c r="AN58" s="33" t="n">
        <f aca="false">IF(AN$3=Bank_Setup_Month,Bank_Setup_SN,0)</f>
        <v>0</v>
      </c>
      <c r="AO58" s="33" t="n">
        <f aca="false">IF(AO$3=Bank_Setup_Month,Bank_Setup_SN,0)</f>
        <v>0</v>
      </c>
      <c r="AP58" s="33" t="n">
        <f aca="false">IF(AP$3=Bank_Setup_Month,Bank_Setup_SN,0)</f>
        <v>0</v>
      </c>
      <c r="AQ58" s="33" t="n">
        <f aca="false">IF(AQ$3=Bank_Setup_Month,Bank_Setup_SN,0)</f>
        <v>0</v>
      </c>
      <c r="AR58" s="33" t="n">
        <f aca="false">IF(AR$3=Bank_Setup_Month,Bank_Setup_SN,0)</f>
        <v>0</v>
      </c>
      <c r="AS58" s="33" t="n">
        <f aca="false">IF(AS$3=Bank_Setup_Month,Bank_Setup_SN,0)</f>
        <v>0</v>
      </c>
      <c r="AT58" s="33" t="n">
        <f aca="false">IF(AT$3=Bank_Setup_Month,Bank_Setup_SN,0)</f>
        <v>0</v>
      </c>
      <c r="AU58" s="33" t="n">
        <f aca="false">IF(AU$3=Bank_Setup_Month,Bank_Setup_SN,0)</f>
        <v>0</v>
      </c>
      <c r="AV58" s="33" t="n">
        <f aca="false">IF(AV$3=Bank_Setup_Month,Bank_Setup_SN,0)</f>
        <v>0</v>
      </c>
      <c r="AW58" s="33" t="n">
        <f aca="false">IF(AW$3=Bank_Setup_Month,Bank_Setup_SN,0)</f>
        <v>0</v>
      </c>
      <c r="AX58" s="33" t="n">
        <f aca="false">IF(AX$3=Bank_Setup_Month,Bank_Setup_SN,0)</f>
        <v>0</v>
      </c>
      <c r="AY58" s="33" t="n">
        <f aca="false">IF(AY$3=Bank_Setup_Month,Bank_Setup_SN,0)</f>
        <v>0</v>
      </c>
      <c r="AZ58" s="33" t="n">
        <f aca="false">IF(AZ$3=Bank_Setup_Month,Bank_Setup_SN,0)</f>
        <v>0</v>
      </c>
      <c r="BA58" s="33" t="n">
        <f aca="false">IF(BA$3=Bank_Setup_Month,Bank_Setup_SN,0)</f>
        <v>0</v>
      </c>
      <c r="BB58" s="33" t="n">
        <f aca="false">IF(BB$3=Bank_Setup_Month,Bank_Setup_SN,0)</f>
        <v>0</v>
      </c>
      <c r="BC58" s="33" t="n">
        <f aca="false">IF(BC$3=Bank_Setup_Month,Bank_Setup_SN,0)</f>
        <v>0</v>
      </c>
      <c r="BD58" s="33" t="n">
        <f aca="false">IF(BD$3=Bank_Setup_Month,Bank_Setup_SN,0)</f>
        <v>0</v>
      </c>
      <c r="BE58" s="33" t="n">
        <f aca="false">IF(BE$3=Bank_Setup_Month,Bank_Setup_SN,0)</f>
        <v>0</v>
      </c>
      <c r="BF58" s="33" t="n">
        <f aca="false">IF(BF$3=Bank_Setup_Month,Bank_Setup_SN,0)</f>
        <v>0</v>
      </c>
      <c r="BG58" s="33" t="n">
        <f aca="false">IF(BG$3=Bank_Setup_Month,Bank_Setup_SN,0)</f>
        <v>0</v>
      </c>
      <c r="BH58" s="33" t="n">
        <f aca="false">IF(BH$3=Bank_Setup_Month,Bank_Setup_SN,0)</f>
        <v>0</v>
      </c>
      <c r="BI58" s="33" t="n">
        <f aca="false">IF(BI$3=Bank_Setup_Month,Bank_Setup_SN,0)</f>
        <v>0</v>
      </c>
      <c r="BJ58" s="33" t="n">
        <f aca="false">IF(BJ$3=Bank_Setup_Month,Bank_Setup_SN,0)</f>
        <v>0</v>
      </c>
      <c r="BK58" s="33" t="n">
        <f aca="false">IF(BK$3=Bank_Setup_Month,Bank_Setup_SN,0)</f>
        <v>0</v>
      </c>
      <c r="BL58" s="33" t="n">
        <f aca="false">IF(BL$3=Bank_Setup_Month,Bank_Setup_SN,0)</f>
        <v>0</v>
      </c>
    </row>
    <row r="59" customFormat="false" ht="15" hidden="false" customHeight="true" outlineLevel="0" collapsed="false">
      <c r="A59" s="13" t="s">
        <v>854</v>
      </c>
      <c r="B59" s="15" t="s">
        <v>77</v>
      </c>
      <c r="D59" s="56" t="n">
        <f aca="false">SUM(E59:BL59)</f>
        <v>102000000</v>
      </c>
      <c r="E59" s="33" t="n">
        <f aca="false">IF(E$3&gt;=Launch_SN,INDEX(Bank_Min_SN,1,E$5),0)</f>
        <v>0</v>
      </c>
      <c r="F59" s="33" t="n">
        <f aca="false">IF(F$3&gt;=Launch_SN,INDEX(Bank_Min_SN,1,F$5),0)</f>
        <v>0</v>
      </c>
      <c r="G59" s="33" t="n">
        <f aca="false">IF(G$3&gt;=Launch_SN,INDEX(Bank_Min_SN,1,G$5),0)</f>
        <v>0</v>
      </c>
      <c r="H59" s="33" t="n">
        <f aca="false">IF(H$3&gt;=Launch_SN,INDEX(Bank_Min_SN,1,H$5),0)</f>
        <v>0</v>
      </c>
      <c r="I59" s="33" t="n">
        <f aca="false">IF(I$3&gt;=Launch_SN,INDEX(Bank_Min_SN,1,I$5),0)</f>
        <v>1500000</v>
      </c>
      <c r="J59" s="33" t="n">
        <f aca="false">IF(J$3&gt;=Launch_SN,INDEX(Bank_Min_SN,1,J$5),0)</f>
        <v>1500000</v>
      </c>
      <c r="K59" s="33" t="n">
        <f aca="false">IF(K$3&gt;=Launch_SN,INDEX(Bank_Min_SN,1,K$5),0)</f>
        <v>1500000</v>
      </c>
      <c r="L59" s="33" t="n">
        <f aca="false">IF(L$3&gt;=Launch_SN,INDEX(Bank_Min_SN,1,L$5),0)</f>
        <v>1500000</v>
      </c>
      <c r="M59" s="33" t="n">
        <f aca="false">IF(M$3&gt;=Launch_SN,INDEX(Bank_Min_SN,1,M$5),0)</f>
        <v>1500000</v>
      </c>
      <c r="N59" s="33" t="n">
        <f aca="false">IF(N$3&gt;=Launch_SN,INDEX(Bank_Min_SN,1,N$5),0)</f>
        <v>1500000</v>
      </c>
      <c r="O59" s="33" t="n">
        <f aca="false">IF(O$3&gt;=Launch_SN,INDEX(Bank_Min_SN,1,O$5),0)</f>
        <v>1500000</v>
      </c>
      <c r="P59" s="33" t="n">
        <f aca="false">IF(P$3&gt;=Launch_SN,INDEX(Bank_Min_SN,1,P$5),0)</f>
        <v>1500000</v>
      </c>
      <c r="Q59" s="33" t="n">
        <f aca="false">IF(Q$3&gt;=Launch_SN,INDEX(Bank_Min_SN,1,Q$5),0)</f>
        <v>1500000</v>
      </c>
      <c r="R59" s="33" t="n">
        <f aca="false">IF(R$3&gt;=Launch_SN,INDEX(Bank_Min_SN,1,R$5),0)</f>
        <v>1500000</v>
      </c>
      <c r="S59" s="33" t="n">
        <f aca="false">IF(S$3&gt;=Launch_SN,INDEX(Bank_Min_SN,1,S$5),0)</f>
        <v>1500000</v>
      </c>
      <c r="T59" s="33" t="n">
        <f aca="false">IF(T$3&gt;=Launch_SN,INDEX(Bank_Min_SN,1,T$5),0)</f>
        <v>1500000</v>
      </c>
      <c r="U59" s="33" t="n">
        <f aca="false">IF(U$3&gt;=Launch_SN,INDEX(Bank_Min_SN,1,U$5),0)</f>
        <v>1500000</v>
      </c>
      <c r="V59" s="33" t="n">
        <f aca="false">IF(V$3&gt;=Launch_SN,INDEX(Bank_Min_SN,1,V$5),0)</f>
        <v>1500000</v>
      </c>
      <c r="W59" s="33" t="n">
        <f aca="false">IF(W$3&gt;=Launch_SN,INDEX(Bank_Min_SN,1,W$5),0)</f>
        <v>1500000</v>
      </c>
      <c r="X59" s="33" t="n">
        <f aca="false">IF(X$3&gt;=Launch_SN,INDEX(Bank_Min_SN,1,X$5),0)</f>
        <v>1500000</v>
      </c>
      <c r="Y59" s="33" t="n">
        <f aca="false">IF(Y$3&gt;=Launch_SN,INDEX(Bank_Min_SN,1,Y$5),0)</f>
        <v>1500000</v>
      </c>
      <c r="Z59" s="33" t="n">
        <f aca="false">IF(Z$3&gt;=Launch_SN,INDEX(Bank_Min_SN,1,Z$5),0)</f>
        <v>1500000</v>
      </c>
      <c r="AA59" s="33" t="n">
        <f aca="false">IF(AA$3&gt;=Launch_SN,INDEX(Bank_Min_SN,1,AA$5),0)</f>
        <v>1500000</v>
      </c>
      <c r="AB59" s="33" t="n">
        <f aca="false">IF(AB$3&gt;=Launch_SN,INDEX(Bank_Min_SN,1,AB$5),0)</f>
        <v>1500000</v>
      </c>
      <c r="AC59" s="33" t="n">
        <f aca="false">IF(AC$3&gt;=Launch_SN,INDEX(Bank_Min_SN,1,AC$5),0)</f>
        <v>2000000</v>
      </c>
      <c r="AD59" s="33" t="n">
        <f aca="false">IF(AD$3&gt;=Launch_SN,INDEX(Bank_Min_SN,1,AD$5),0)</f>
        <v>2000000</v>
      </c>
      <c r="AE59" s="33" t="n">
        <f aca="false">IF(AE$3&gt;=Launch_SN,INDEX(Bank_Min_SN,1,AE$5),0)</f>
        <v>2000000</v>
      </c>
      <c r="AF59" s="33" t="n">
        <f aca="false">IF(AF$3&gt;=Launch_SN,INDEX(Bank_Min_SN,1,AF$5),0)</f>
        <v>2000000</v>
      </c>
      <c r="AG59" s="33" t="n">
        <f aca="false">IF(AG$3&gt;=Launch_SN,INDEX(Bank_Min_SN,1,AG$5),0)</f>
        <v>2000000</v>
      </c>
      <c r="AH59" s="33" t="n">
        <f aca="false">IF(AH$3&gt;=Launch_SN,INDEX(Bank_Min_SN,1,AH$5),0)</f>
        <v>2000000</v>
      </c>
      <c r="AI59" s="33" t="n">
        <f aca="false">IF(AI$3&gt;=Launch_SN,INDEX(Bank_Min_SN,1,AI$5),0)</f>
        <v>2000000</v>
      </c>
      <c r="AJ59" s="33" t="n">
        <f aca="false">IF(AJ$3&gt;=Launch_SN,INDEX(Bank_Min_SN,1,AJ$5),0)</f>
        <v>2000000</v>
      </c>
      <c r="AK59" s="33" t="n">
        <f aca="false">IF(AK$3&gt;=Launch_SN,INDEX(Bank_Min_SN,1,AK$5),0)</f>
        <v>2000000</v>
      </c>
      <c r="AL59" s="33" t="n">
        <f aca="false">IF(AL$3&gt;=Launch_SN,INDEX(Bank_Min_SN,1,AL$5),0)</f>
        <v>2000000</v>
      </c>
      <c r="AM59" s="33" t="n">
        <f aca="false">IF(AM$3&gt;=Launch_SN,INDEX(Bank_Min_SN,1,AM$5),0)</f>
        <v>2000000</v>
      </c>
      <c r="AN59" s="33" t="n">
        <f aca="false">IF(AN$3&gt;=Launch_SN,INDEX(Bank_Min_SN,1,AN$5),0)</f>
        <v>2000000</v>
      </c>
      <c r="AO59" s="33" t="n">
        <f aca="false">IF(AO$3&gt;=Launch_SN,INDEX(Bank_Min_SN,1,AO$5),0)</f>
        <v>2000000</v>
      </c>
      <c r="AP59" s="33" t="n">
        <f aca="false">IF(AP$3&gt;=Launch_SN,INDEX(Bank_Min_SN,1,AP$5),0)</f>
        <v>2000000</v>
      </c>
      <c r="AQ59" s="33" t="n">
        <f aca="false">IF(AQ$3&gt;=Launch_SN,INDEX(Bank_Min_SN,1,AQ$5),0)</f>
        <v>2000000</v>
      </c>
      <c r="AR59" s="33" t="n">
        <f aca="false">IF(AR$3&gt;=Launch_SN,INDEX(Bank_Min_SN,1,AR$5),0)</f>
        <v>2000000</v>
      </c>
      <c r="AS59" s="33" t="n">
        <f aca="false">IF(AS$3&gt;=Launch_SN,INDEX(Bank_Min_SN,1,AS$5),0)</f>
        <v>2000000</v>
      </c>
      <c r="AT59" s="33" t="n">
        <f aca="false">IF(AT$3&gt;=Launch_SN,INDEX(Bank_Min_SN,1,AT$5),0)</f>
        <v>2000000</v>
      </c>
      <c r="AU59" s="33" t="n">
        <f aca="false">IF(AU$3&gt;=Launch_SN,INDEX(Bank_Min_SN,1,AU$5),0)</f>
        <v>2000000</v>
      </c>
      <c r="AV59" s="33" t="n">
        <f aca="false">IF(AV$3&gt;=Launch_SN,INDEX(Bank_Min_SN,1,AV$5),0)</f>
        <v>2000000</v>
      </c>
      <c r="AW59" s="33" t="n">
        <f aca="false">IF(AW$3&gt;=Launch_SN,INDEX(Bank_Min_SN,1,AW$5),0)</f>
        <v>2000000</v>
      </c>
      <c r="AX59" s="33" t="n">
        <f aca="false">IF(AX$3&gt;=Launch_SN,INDEX(Bank_Min_SN,1,AX$5),0)</f>
        <v>2000000</v>
      </c>
      <c r="AY59" s="33" t="n">
        <f aca="false">IF(AY$3&gt;=Launch_SN,INDEX(Bank_Min_SN,1,AY$5),0)</f>
        <v>2000000</v>
      </c>
      <c r="AZ59" s="33" t="n">
        <f aca="false">IF(AZ$3&gt;=Launch_SN,INDEX(Bank_Min_SN,1,AZ$5),0)</f>
        <v>2000000</v>
      </c>
      <c r="BA59" s="33" t="n">
        <f aca="false">IF(BA$3&gt;=Launch_SN,INDEX(Bank_Min_SN,1,BA$5),0)</f>
        <v>2000000</v>
      </c>
      <c r="BB59" s="33" t="n">
        <f aca="false">IF(BB$3&gt;=Launch_SN,INDEX(Bank_Min_SN,1,BB$5),0)</f>
        <v>2000000</v>
      </c>
      <c r="BC59" s="33" t="n">
        <f aca="false">IF(BC$3&gt;=Launch_SN,INDEX(Bank_Min_SN,1,BC$5),0)</f>
        <v>2000000</v>
      </c>
      <c r="BD59" s="33" t="n">
        <f aca="false">IF(BD$3&gt;=Launch_SN,INDEX(Bank_Min_SN,1,BD$5),0)</f>
        <v>2000000</v>
      </c>
      <c r="BE59" s="33" t="n">
        <f aca="false">IF(BE$3&gt;=Launch_SN,INDEX(Bank_Min_SN,1,BE$5),0)</f>
        <v>2000000</v>
      </c>
      <c r="BF59" s="33" t="n">
        <f aca="false">IF(BF$3&gt;=Launch_SN,INDEX(Bank_Min_SN,1,BF$5),0)</f>
        <v>2000000</v>
      </c>
      <c r="BG59" s="33" t="n">
        <f aca="false">IF(BG$3&gt;=Launch_SN,INDEX(Bank_Min_SN,1,BG$5),0)</f>
        <v>2000000</v>
      </c>
      <c r="BH59" s="33" t="n">
        <f aca="false">IF(BH$3&gt;=Launch_SN,INDEX(Bank_Min_SN,1,BH$5),0)</f>
        <v>2000000</v>
      </c>
      <c r="BI59" s="33" t="n">
        <f aca="false">IF(BI$3&gt;=Launch_SN,INDEX(Bank_Min_SN,1,BI$5),0)</f>
        <v>2000000</v>
      </c>
      <c r="BJ59" s="33" t="n">
        <f aca="false">IF(BJ$3&gt;=Launch_SN,INDEX(Bank_Min_SN,1,BJ$5),0)</f>
        <v>2000000</v>
      </c>
      <c r="BK59" s="33" t="n">
        <f aca="false">IF(BK$3&gt;=Launch_SN,INDEX(Bank_Min_SN,1,BK$5),0)</f>
        <v>2000000</v>
      </c>
      <c r="BL59" s="33" t="n">
        <f aca="false">IF(BL$3&gt;=Launch_SN,INDEX(Bank_Min_SN,1,BL$5),0)</f>
        <v>2000000</v>
      </c>
    </row>
    <row r="60" customFormat="false" ht="15" hidden="false" customHeight="true" outlineLevel="0" collapsed="false">
      <c r="A60" s="13" t="s">
        <v>1307</v>
      </c>
      <c r="B60" s="15" t="s">
        <v>77</v>
      </c>
      <c r="D60" s="56" t="n">
        <f aca="false">SUM(E60:BL60)</f>
        <v>15000000</v>
      </c>
      <c r="E60" s="33" t="n">
        <f aca="false">IF(E$3=CI_Bank_Setup_Month,Bank_Setup_CI,0)</f>
        <v>0</v>
      </c>
      <c r="F60" s="33" t="n">
        <f aca="false">IF(F$3=CI_Bank_Setup_Month,Bank_Setup_CI,0)</f>
        <v>0</v>
      </c>
      <c r="G60" s="33" t="n">
        <f aca="false">IF(G$3=CI_Bank_Setup_Month,Bank_Setup_CI,0)</f>
        <v>0</v>
      </c>
      <c r="H60" s="33" t="n">
        <f aca="false">IF(H$3=CI_Bank_Setup_Month,Bank_Setup_CI,0)</f>
        <v>0</v>
      </c>
      <c r="I60" s="33" t="n">
        <f aca="false">IF(I$3=CI_Bank_Setup_Month,Bank_Setup_CI,0)</f>
        <v>0</v>
      </c>
      <c r="J60" s="33" t="n">
        <f aca="false">IF(J$3=CI_Bank_Setup_Month,Bank_Setup_CI,0)</f>
        <v>0</v>
      </c>
      <c r="K60" s="33" t="n">
        <f aca="false">IF(K$3=CI_Bank_Setup_Month,Bank_Setup_CI,0)</f>
        <v>0</v>
      </c>
      <c r="L60" s="33" t="n">
        <f aca="false">IF(L$3=CI_Bank_Setup_Month,Bank_Setup_CI,0)</f>
        <v>0</v>
      </c>
      <c r="M60" s="33" t="n">
        <f aca="false">IF(M$3=CI_Bank_Setup_Month,Bank_Setup_CI,0)</f>
        <v>0</v>
      </c>
      <c r="N60" s="33" t="n">
        <f aca="false">IF(N$3=CI_Bank_Setup_Month,Bank_Setup_CI,0)</f>
        <v>0</v>
      </c>
      <c r="O60" s="33" t="n">
        <f aca="false">IF(O$3=CI_Bank_Setup_Month,Bank_Setup_CI,0)</f>
        <v>0</v>
      </c>
      <c r="P60" s="33" t="n">
        <f aca="false">IF(P$3=CI_Bank_Setup_Month,Bank_Setup_CI,0)</f>
        <v>0</v>
      </c>
      <c r="Q60" s="33" t="n">
        <f aca="false">IF(Q$3=CI_Bank_Setup_Month,Bank_Setup_CI,0)</f>
        <v>0</v>
      </c>
      <c r="R60" s="33" t="n">
        <f aca="false">IF(R$3=CI_Bank_Setup_Month,Bank_Setup_CI,0)</f>
        <v>0</v>
      </c>
      <c r="S60" s="33" t="n">
        <f aca="false">IF(S$3=CI_Bank_Setup_Month,Bank_Setup_CI,0)</f>
        <v>0</v>
      </c>
      <c r="T60" s="33" t="n">
        <f aca="false">IF(T$3=CI_Bank_Setup_Month,Bank_Setup_CI,0)</f>
        <v>15000000</v>
      </c>
      <c r="U60" s="33" t="n">
        <f aca="false">IF(U$3=CI_Bank_Setup_Month,Bank_Setup_CI,0)</f>
        <v>0</v>
      </c>
      <c r="V60" s="33" t="n">
        <f aca="false">IF(V$3=CI_Bank_Setup_Month,Bank_Setup_CI,0)</f>
        <v>0</v>
      </c>
      <c r="W60" s="33" t="n">
        <f aca="false">IF(W$3=CI_Bank_Setup_Month,Bank_Setup_CI,0)</f>
        <v>0</v>
      </c>
      <c r="X60" s="33" t="n">
        <f aca="false">IF(X$3=CI_Bank_Setup_Month,Bank_Setup_CI,0)</f>
        <v>0</v>
      </c>
      <c r="Y60" s="33" t="n">
        <f aca="false">IF(Y$3=CI_Bank_Setup_Month,Bank_Setup_CI,0)</f>
        <v>0</v>
      </c>
      <c r="Z60" s="33" t="n">
        <f aca="false">IF(Z$3=CI_Bank_Setup_Month,Bank_Setup_CI,0)</f>
        <v>0</v>
      </c>
      <c r="AA60" s="33" t="n">
        <f aca="false">IF(AA$3=CI_Bank_Setup_Month,Bank_Setup_CI,0)</f>
        <v>0</v>
      </c>
      <c r="AB60" s="33" t="n">
        <f aca="false">IF(AB$3=CI_Bank_Setup_Month,Bank_Setup_CI,0)</f>
        <v>0</v>
      </c>
      <c r="AC60" s="33" t="n">
        <f aca="false">IF(AC$3=CI_Bank_Setup_Month,Bank_Setup_CI,0)</f>
        <v>0</v>
      </c>
      <c r="AD60" s="33" t="n">
        <f aca="false">IF(AD$3=CI_Bank_Setup_Month,Bank_Setup_CI,0)</f>
        <v>0</v>
      </c>
      <c r="AE60" s="33" t="n">
        <f aca="false">IF(AE$3=CI_Bank_Setup_Month,Bank_Setup_CI,0)</f>
        <v>0</v>
      </c>
      <c r="AF60" s="33" t="n">
        <f aca="false">IF(AF$3=CI_Bank_Setup_Month,Bank_Setup_CI,0)</f>
        <v>0</v>
      </c>
      <c r="AG60" s="33" t="n">
        <f aca="false">IF(AG$3=CI_Bank_Setup_Month,Bank_Setup_CI,0)</f>
        <v>0</v>
      </c>
      <c r="AH60" s="33" t="n">
        <f aca="false">IF(AH$3=CI_Bank_Setup_Month,Bank_Setup_CI,0)</f>
        <v>0</v>
      </c>
      <c r="AI60" s="33" t="n">
        <f aca="false">IF(AI$3=CI_Bank_Setup_Month,Bank_Setup_CI,0)</f>
        <v>0</v>
      </c>
      <c r="AJ60" s="33" t="n">
        <f aca="false">IF(AJ$3=CI_Bank_Setup_Month,Bank_Setup_CI,0)</f>
        <v>0</v>
      </c>
      <c r="AK60" s="33" t="n">
        <f aca="false">IF(AK$3=CI_Bank_Setup_Month,Bank_Setup_CI,0)</f>
        <v>0</v>
      </c>
      <c r="AL60" s="33" t="n">
        <f aca="false">IF(AL$3=CI_Bank_Setup_Month,Bank_Setup_CI,0)</f>
        <v>0</v>
      </c>
      <c r="AM60" s="33" t="n">
        <f aca="false">IF(AM$3=CI_Bank_Setup_Month,Bank_Setup_CI,0)</f>
        <v>0</v>
      </c>
      <c r="AN60" s="33" t="n">
        <f aca="false">IF(AN$3=CI_Bank_Setup_Month,Bank_Setup_CI,0)</f>
        <v>0</v>
      </c>
      <c r="AO60" s="33" t="n">
        <f aca="false">IF(AO$3=CI_Bank_Setup_Month,Bank_Setup_CI,0)</f>
        <v>0</v>
      </c>
      <c r="AP60" s="33" t="n">
        <f aca="false">IF(AP$3=CI_Bank_Setup_Month,Bank_Setup_CI,0)</f>
        <v>0</v>
      </c>
      <c r="AQ60" s="33" t="n">
        <f aca="false">IF(AQ$3=CI_Bank_Setup_Month,Bank_Setup_CI,0)</f>
        <v>0</v>
      </c>
      <c r="AR60" s="33" t="n">
        <f aca="false">IF(AR$3=CI_Bank_Setup_Month,Bank_Setup_CI,0)</f>
        <v>0</v>
      </c>
      <c r="AS60" s="33" t="n">
        <f aca="false">IF(AS$3=CI_Bank_Setup_Month,Bank_Setup_CI,0)</f>
        <v>0</v>
      </c>
      <c r="AT60" s="33" t="n">
        <f aca="false">IF(AT$3=CI_Bank_Setup_Month,Bank_Setup_CI,0)</f>
        <v>0</v>
      </c>
      <c r="AU60" s="33" t="n">
        <f aca="false">IF(AU$3=CI_Bank_Setup_Month,Bank_Setup_CI,0)</f>
        <v>0</v>
      </c>
      <c r="AV60" s="33" t="n">
        <f aca="false">IF(AV$3=CI_Bank_Setup_Month,Bank_Setup_CI,0)</f>
        <v>0</v>
      </c>
      <c r="AW60" s="33" t="n">
        <f aca="false">IF(AW$3=CI_Bank_Setup_Month,Bank_Setup_CI,0)</f>
        <v>0</v>
      </c>
      <c r="AX60" s="33" t="n">
        <f aca="false">IF(AX$3=CI_Bank_Setup_Month,Bank_Setup_CI,0)</f>
        <v>0</v>
      </c>
      <c r="AY60" s="33" t="n">
        <f aca="false">IF(AY$3=CI_Bank_Setup_Month,Bank_Setup_CI,0)</f>
        <v>0</v>
      </c>
      <c r="AZ60" s="33" t="n">
        <f aca="false">IF(AZ$3=CI_Bank_Setup_Month,Bank_Setup_CI,0)</f>
        <v>0</v>
      </c>
      <c r="BA60" s="33" t="n">
        <f aca="false">IF(BA$3=CI_Bank_Setup_Month,Bank_Setup_CI,0)</f>
        <v>0</v>
      </c>
      <c r="BB60" s="33" t="n">
        <f aca="false">IF(BB$3=CI_Bank_Setup_Month,Bank_Setup_CI,0)</f>
        <v>0</v>
      </c>
      <c r="BC60" s="33" t="n">
        <f aca="false">IF(BC$3=CI_Bank_Setup_Month,Bank_Setup_CI,0)</f>
        <v>0</v>
      </c>
      <c r="BD60" s="33" t="n">
        <f aca="false">IF(BD$3=CI_Bank_Setup_Month,Bank_Setup_CI,0)</f>
        <v>0</v>
      </c>
      <c r="BE60" s="33" t="n">
        <f aca="false">IF(BE$3=CI_Bank_Setup_Month,Bank_Setup_CI,0)</f>
        <v>0</v>
      </c>
      <c r="BF60" s="33" t="n">
        <f aca="false">IF(BF$3=CI_Bank_Setup_Month,Bank_Setup_CI,0)</f>
        <v>0</v>
      </c>
      <c r="BG60" s="33" t="n">
        <f aca="false">IF(BG$3=CI_Bank_Setup_Month,Bank_Setup_CI,0)</f>
        <v>0</v>
      </c>
      <c r="BH60" s="33" t="n">
        <f aca="false">IF(BH$3=CI_Bank_Setup_Month,Bank_Setup_CI,0)</f>
        <v>0</v>
      </c>
      <c r="BI60" s="33" t="n">
        <f aca="false">IF(BI$3=CI_Bank_Setup_Month,Bank_Setup_CI,0)</f>
        <v>0</v>
      </c>
      <c r="BJ60" s="33" t="n">
        <f aca="false">IF(BJ$3=CI_Bank_Setup_Month,Bank_Setup_CI,0)</f>
        <v>0</v>
      </c>
      <c r="BK60" s="33" t="n">
        <f aca="false">IF(BK$3=CI_Bank_Setup_Month,Bank_Setup_CI,0)</f>
        <v>0</v>
      </c>
      <c r="BL60" s="33" t="n">
        <f aca="false">IF(BL$3=CI_Bank_Setup_Month,Bank_Setup_CI,0)</f>
        <v>0</v>
      </c>
    </row>
    <row r="61" customFormat="false" ht="15" hidden="false" customHeight="true" outlineLevel="0" collapsed="false">
      <c r="A61" s="13" t="s">
        <v>856</v>
      </c>
      <c r="B61" s="15" t="s">
        <v>77</v>
      </c>
      <c r="D61" s="56" t="n">
        <f aca="false">SUM(E61:BL61)</f>
        <v>81000000</v>
      </c>
      <c r="E61" s="33" t="n">
        <f aca="false">IF(E$3&gt;=Launch_CI,INDEX(Bank_Min_CI,1,E$5),0)</f>
        <v>0</v>
      </c>
      <c r="F61" s="33" t="n">
        <f aca="false">IF(F$3&gt;=Launch_CI,INDEX(Bank_Min_CI,1,F$5),0)</f>
        <v>0</v>
      </c>
      <c r="G61" s="33" t="n">
        <f aca="false">IF(G$3&gt;=Launch_CI,INDEX(Bank_Min_CI,1,G$5),0)</f>
        <v>0</v>
      </c>
      <c r="H61" s="33" t="n">
        <f aca="false">IF(H$3&gt;=Launch_CI,INDEX(Bank_Min_CI,1,H$5),0)</f>
        <v>0</v>
      </c>
      <c r="I61" s="33" t="n">
        <f aca="false">IF(I$3&gt;=Launch_CI,INDEX(Bank_Min_CI,1,I$5),0)</f>
        <v>0</v>
      </c>
      <c r="J61" s="33" t="n">
        <f aca="false">IF(J$3&gt;=Launch_CI,INDEX(Bank_Min_CI,1,J$5),0)</f>
        <v>0</v>
      </c>
      <c r="K61" s="33" t="n">
        <f aca="false">IF(K$3&gt;=Launch_CI,INDEX(Bank_Min_CI,1,K$5),0)</f>
        <v>0</v>
      </c>
      <c r="L61" s="33" t="n">
        <f aca="false">IF(L$3&gt;=Launch_CI,INDEX(Bank_Min_CI,1,L$5),0)</f>
        <v>0</v>
      </c>
      <c r="M61" s="33" t="n">
        <f aca="false">IF(M$3&gt;=Launch_CI,INDEX(Bank_Min_CI,1,M$5),0)</f>
        <v>0</v>
      </c>
      <c r="N61" s="33" t="n">
        <f aca="false">IF(N$3&gt;=Launch_CI,INDEX(Bank_Min_CI,1,N$5),0)</f>
        <v>0</v>
      </c>
      <c r="O61" s="33" t="n">
        <f aca="false">IF(O$3&gt;=Launch_CI,INDEX(Bank_Min_CI,1,O$5),0)</f>
        <v>0</v>
      </c>
      <c r="P61" s="33" t="n">
        <f aca="false">IF(P$3&gt;=Launch_CI,INDEX(Bank_Min_CI,1,P$5),0)</f>
        <v>0</v>
      </c>
      <c r="Q61" s="33" t="n">
        <f aca="false">IF(Q$3&gt;=Launch_CI,INDEX(Bank_Min_CI,1,Q$5),0)</f>
        <v>0</v>
      </c>
      <c r="R61" s="33" t="n">
        <f aca="false">IF(R$3&gt;=Launch_CI,INDEX(Bank_Min_CI,1,R$5),0)</f>
        <v>0</v>
      </c>
      <c r="S61" s="33" t="n">
        <f aca="false">IF(S$3&gt;=Launch_CI,INDEX(Bank_Min_CI,1,S$5),0)</f>
        <v>0</v>
      </c>
      <c r="T61" s="33" t="n">
        <f aca="false">IF(T$3&gt;=Launch_CI,INDEX(Bank_Min_CI,1,T$5),0)</f>
        <v>0</v>
      </c>
      <c r="U61" s="33" t="n">
        <f aca="false">IF(U$3&gt;=Launch_CI,INDEX(Bank_Min_CI,1,U$5),0)</f>
        <v>0</v>
      </c>
      <c r="V61" s="33" t="n">
        <f aca="false">IF(V$3&gt;=Launch_CI,INDEX(Bank_Min_CI,1,V$5),0)</f>
        <v>0</v>
      </c>
      <c r="W61" s="33" t="n">
        <f aca="false">IF(W$3&gt;=Launch_CI,INDEX(Bank_Min_CI,1,W$5),0)</f>
        <v>1500000</v>
      </c>
      <c r="X61" s="33" t="n">
        <f aca="false">IF(X$3&gt;=Launch_CI,INDEX(Bank_Min_CI,1,X$5),0)</f>
        <v>1500000</v>
      </c>
      <c r="Y61" s="33" t="n">
        <f aca="false">IF(Y$3&gt;=Launch_CI,INDEX(Bank_Min_CI,1,Y$5),0)</f>
        <v>1500000</v>
      </c>
      <c r="Z61" s="33" t="n">
        <f aca="false">IF(Z$3&gt;=Launch_CI,INDEX(Bank_Min_CI,1,Z$5),0)</f>
        <v>1500000</v>
      </c>
      <c r="AA61" s="33" t="n">
        <f aca="false">IF(AA$3&gt;=Launch_CI,INDEX(Bank_Min_CI,1,AA$5),0)</f>
        <v>1500000</v>
      </c>
      <c r="AB61" s="33" t="n">
        <f aca="false">IF(AB$3&gt;=Launch_CI,INDEX(Bank_Min_CI,1,AB$5),0)</f>
        <v>1500000</v>
      </c>
      <c r="AC61" s="33" t="n">
        <f aca="false">IF(AC$3&gt;=Launch_CI,INDEX(Bank_Min_CI,1,AC$5),0)</f>
        <v>2000000</v>
      </c>
      <c r="AD61" s="33" t="n">
        <f aca="false">IF(AD$3&gt;=Launch_CI,INDEX(Bank_Min_CI,1,AD$5),0)</f>
        <v>2000000</v>
      </c>
      <c r="AE61" s="33" t="n">
        <f aca="false">IF(AE$3&gt;=Launch_CI,INDEX(Bank_Min_CI,1,AE$5),0)</f>
        <v>2000000</v>
      </c>
      <c r="AF61" s="33" t="n">
        <f aca="false">IF(AF$3&gt;=Launch_CI,INDEX(Bank_Min_CI,1,AF$5),0)</f>
        <v>2000000</v>
      </c>
      <c r="AG61" s="33" t="n">
        <f aca="false">IF(AG$3&gt;=Launch_CI,INDEX(Bank_Min_CI,1,AG$5),0)</f>
        <v>2000000</v>
      </c>
      <c r="AH61" s="33" t="n">
        <f aca="false">IF(AH$3&gt;=Launch_CI,INDEX(Bank_Min_CI,1,AH$5),0)</f>
        <v>2000000</v>
      </c>
      <c r="AI61" s="33" t="n">
        <f aca="false">IF(AI$3&gt;=Launch_CI,INDEX(Bank_Min_CI,1,AI$5),0)</f>
        <v>2000000</v>
      </c>
      <c r="AJ61" s="33" t="n">
        <f aca="false">IF(AJ$3&gt;=Launch_CI,INDEX(Bank_Min_CI,1,AJ$5),0)</f>
        <v>2000000</v>
      </c>
      <c r="AK61" s="33" t="n">
        <f aca="false">IF(AK$3&gt;=Launch_CI,INDEX(Bank_Min_CI,1,AK$5),0)</f>
        <v>2000000</v>
      </c>
      <c r="AL61" s="33" t="n">
        <f aca="false">IF(AL$3&gt;=Launch_CI,INDEX(Bank_Min_CI,1,AL$5),0)</f>
        <v>2000000</v>
      </c>
      <c r="AM61" s="33" t="n">
        <f aca="false">IF(AM$3&gt;=Launch_CI,INDEX(Bank_Min_CI,1,AM$5),0)</f>
        <v>2000000</v>
      </c>
      <c r="AN61" s="33" t="n">
        <f aca="false">IF(AN$3&gt;=Launch_CI,INDEX(Bank_Min_CI,1,AN$5),0)</f>
        <v>2000000</v>
      </c>
      <c r="AO61" s="33" t="n">
        <f aca="false">IF(AO$3&gt;=Launch_CI,INDEX(Bank_Min_CI,1,AO$5),0)</f>
        <v>2000000</v>
      </c>
      <c r="AP61" s="33" t="n">
        <f aca="false">IF(AP$3&gt;=Launch_CI,INDEX(Bank_Min_CI,1,AP$5),0)</f>
        <v>2000000</v>
      </c>
      <c r="AQ61" s="33" t="n">
        <f aca="false">IF(AQ$3&gt;=Launch_CI,INDEX(Bank_Min_CI,1,AQ$5),0)</f>
        <v>2000000</v>
      </c>
      <c r="AR61" s="33" t="n">
        <f aca="false">IF(AR$3&gt;=Launch_CI,INDEX(Bank_Min_CI,1,AR$5),0)</f>
        <v>2000000</v>
      </c>
      <c r="AS61" s="33" t="n">
        <f aca="false">IF(AS$3&gt;=Launch_CI,INDEX(Bank_Min_CI,1,AS$5),0)</f>
        <v>2000000</v>
      </c>
      <c r="AT61" s="33" t="n">
        <f aca="false">IF(AT$3&gt;=Launch_CI,INDEX(Bank_Min_CI,1,AT$5),0)</f>
        <v>2000000</v>
      </c>
      <c r="AU61" s="33" t="n">
        <f aca="false">IF(AU$3&gt;=Launch_CI,INDEX(Bank_Min_CI,1,AU$5),0)</f>
        <v>2000000</v>
      </c>
      <c r="AV61" s="33" t="n">
        <f aca="false">IF(AV$3&gt;=Launch_CI,INDEX(Bank_Min_CI,1,AV$5),0)</f>
        <v>2000000</v>
      </c>
      <c r="AW61" s="33" t="n">
        <f aca="false">IF(AW$3&gt;=Launch_CI,INDEX(Bank_Min_CI,1,AW$5),0)</f>
        <v>2000000</v>
      </c>
      <c r="AX61" s="33" t="n">
        <f aca="false">IF(AX$3&gt;=Launch_CI,INDEX(Bank_Min_CI,1,AX$5),0)</f>
        <v>2000000</v>
      </c>
      <c r="AY61" s="33" t="n">
        <f aca="false">IF(AY$3&gt;=Launch_CI,INDEX(Bank_Min_CI,1,AY$5),0)</f>
        <v>2000000</v>
      </c>
      <c r="AZ61" s="33" t="n">
        <f aca="false">IF(AZ$3&gt;=Launch_CI,INDEX(Bank_Min_CI,1,AZ$5),0)</f>
        <v>2000000</v>
      </c>
      <c r="BA61" s="33" t="n">
        <f aca="false">IF(BA$3&gt;=Launch_CI,INDEX(Bank_Min_CI,1,BA$5),0)</f>
        <v>2000000</v>
      </c>
      <c r="BB61" s="33" t="n">
        <f aca="false">IF(BB$3&gt;=Launch_CI,INDEX(Bank_Min_CI,1,BB$5),0)</f>
        <v>2000000</v>
      </c>
      <c r="BC61" s="33" t="n">
        <f aca="false">IF(BC$3&gt;=Launch_CI,INDEX(Bank_Min_CI,1,BC$5),0)</f>
        <v>2000000</v>
      </c>
      <c r="BD61" s="33" t="n">
        <f aca="false">IF(BD$3&gt;=Launch_CI,INDEX(Bank_Min_CI,1,BD$5),0)</f>
        <v>2000000</v>
      </c>
      <c r="BE61" s="33" t="n">
        <f aca="false">IF(BE$3&gt;=Launch_CI,INDEX(Bank_Min_CI,1,BE$5),0)</f>
        <v>2000000</v>
      </c>
      <c r="BF61" s="33" t="n">
        <f aca="false">IF(BF$3&gt;=Launch_CI,INDEX(Bank_Min_CI,1,BF$5),0)</f>
        <v>2000000</v>
      </c>
      <c r="BG61" s="33" t="n">
        <f aca="false">IF(BG$3&gt;=Launch_CI,INDEX(Bank_Min_CI,1,BG$5),0)</f>
        <v>2000000</v>
      </c>
      <c r="BH61" s="33" t="n">
        <f aca="false">IF(BH$3&gt;=Launch_CI,INDEX(Bank_Min_CI,1,BH$5),0)</f>
        <v>2000000</v>
      </c>
      <c r="BI61" s="33" t="n">
        <f aca="false">IF(BI$3&gt;=Launch_CI,INDEX(Bank_Min_CI,1,BI$5),0)</f>
        <v>2000000</v>
      </c>
      <c r="BJ61" s="33" t="n">
        <f aca="false">IF(BJ$3&gt;=Launch_CI,INDEX(Bank_Min_CI,1,BJ$5),0)</f>
        <v>2000000</v>
      </c>
      <c r="BK61" s="33" t="n">
        <f aca="false">IF(BK$3&gt;=Launch_CI,INDEX(Bank_Min_CI,1,BK$5),0)</f>
        <v>2000000</v>
      </c>
      <c r="BL61" s="33" t="n">
        <f aca="false">IF(BL$3&gt;=Launch_CI,INDEX(Bank_Min_CI,1,BL$5),0)</f>
        <v>2000000</v>
      </c>
    </row>
    <row r="62" customFormat="false" ht="15" hidden="false" customHeight="true" outlineLevel="0" collapsed="false">
      <c r="A62" s="13" t="s">
        <v>1308</v>
      </c>
      <c r="B62" s="15" t="s">
        <v>77</v>
      </c>
      <c r="D62" s="56" t="n">
        <f aca="false">SUM(E62:BL62)</f>
        <v>17000000</v>
      </c>
      <c r="E62" s="33" t="n">
        <f aca="false">IF(E$3=SFD_Setup_Month,SFD_Setup,0)+INDEX(SFD_Annual,1,E$5)/12</f>
        <v>0</v>
      </c>
      <c r="F62" s="33" t="n">
        <f aca="false">IF(F$3=SFD_Setup_Month,SFD_Setup,0)+INDEX(SFD_Annual,1,F$5)/12</f>
        <v>0</v>
      </c>
      <c r="G62" s="33" t="n">
        <f aca="false">IF(G$3=SFD_Setup_Month,SFD_Setup,0)+INDEX(SFD_Annual,1,G$5)/12</f>
        <v>0</v>
      </c>
      <c r="H62" s="33" t="n">
        <f aca="false">IF(H$3=SFD_Setup_Month,SFD_Setup,0)+INDEX(SFD_Annual,1,H$5)/12</f>
        <v>0</v>
      </c>
      <c r="I62" s="33" t="n">
        <f aca="false">IF(I$3=SFD_Setup_Month,SFD_Setup,0)+INDEX(SFD_Annual,1,I$5)/12</f>
        <v>0</v>
      </c>
      <c r="J62" s="33" t="n">
        <f aca="false">IF(J$3=SFD_Setup_Month,SFD_Setup,0)+INDEX(SFD_Annual,1,J$5)/12</f>
        <v>0</v>
      </c>
      <c r="K62" s="33" t="n">
        <f aca="false">IF(K$3=SFD_Setup_Month,SFD_Setup,0)+INDEX(SFD_Annual,1,K$5)/12</f>
        <v>0</v>
      </c>
      <c r="L62" s="33" t="n">
        <f aca="false">IF(L$3=SFD_Setup_Month,SFD_Setup,0)+INDEX(SFD_Annual,1,L$5)/12</f>
        <v>0</v>
      </c>
      <c r="M62" s="33" t="n">
        <f aca="false">IF(M$3=SFD_Setup_Month,SFD_Setup,0)+INDEX(SFD_Annual,1,M$5)/12</f>
        <v>0</v>
      </c>
      <c r="N62" s="33" t="n">
        <f aca="false">IF(N$3=SFD_Setup_Month,SFD_Setup,0)+INDEX(SFD_Annual,1,N$5)/12</f>
        <v>0</v>
      </c>
      <c r="O62" s="33" t="n">
        <f aca="false">IF(O$3=SFD_Setup_Month,SFD_Setup,0)+INDEX(SFD_Annual,1,O$5)/12</f>
        <v>0</v>
      </c>
      <c r="P62" s="33" t="n">
        <f aca="false">IF(P$3=SFD_Setup_Month,SFD_Setup,0)+INDEX(SFD_Annual,1,P$5)/12</f>
        <v>0</v>
      </c>
      <c r="Q62" s="33" t="n">
        <f aca="false">IF(Q$3=SFD_Setup_Month,SFD_Setup,0)+INDEX(SFD_Annual,1,Q$5)/12</f>
        <v>250000</v>
      </c>
      <c r="R62" s="33" t="n">
        <f aca="false">IF(R$3=SFD_Setup_Month,SFD_Setup,0)+INDEX(SFD_Annual,1,R$5)/12</f>
        <v>250000</v>
      </c>
      <c r="S62" s="33" t="n">
        <f aca="false">IF(S$3=SFD_Setup_Month,SFD_Setup,0)+INDEX(SFD_Annual,1,S$5)/12</f>
        <v>5250000</v>
      </c>
      <c r="T62" s="33" t="n">
        <f aca="false">IF(T$3=SFD_Setup_Month,SFD_Setup,0)+INDEX(SFD_Annual,1,T$5)/12</f>
        <v>250000</v>
      </c>
      <c r="U62" s="33" t="n">
        <f aca="false">IF(U$3=SFD_Setup_Month,SFD_Setup,0)+INDEX(SFD_Annual,1,U$5)/12</f>
        <v>250000</v>
      </c>
      <c r="V62" s="33" t="n">
        <f aca="false">IF(V$3=SFD_Setup_Month,SFD_Setup,0)+INDEX(SFD_Annual,1,V$5)/12</f>
        <v>250000</v>
      </c>
      <c r="W62" s="33" t="n">
        <f aca="false">IF(W$3=SFD_Setup_Month,SFD_Setup,0)+INDEX(SFD_Annual,1,W$5)/12</f>
        <v>250000</v>
      </c>
      <c r="X62" s="33" t="n">
        <f aca="false">IF(X$3=SFD_Setup_Month,SFD_Setup,0)+INDEX(SFD_Annual,1,X$5)/12</f>
        <v>250000</v>
      </c>
      <c r="Y62" s="33" t="n">
        <f aca="false">IF(Y$3=SFD_Setup_Month,SFD_Setup,0)+INDEX(SFD_Annual,1,Y$5)/12</f>
        <v>250000</v>
      </c>
      <c r="Z62" s="33" t="n">
        <f aca="false">IF(Z$3=SFD_Setup_Month,SFD_Setup,0)+INDEX(SFD_Annual,1,Z$5)/12</f>
        <v>250000</v>
      </c>
      <c r="AA62" s="33" t="n">
        <f aca="false">IF(AA$3=SFD_Setup_Month,SFD_Setup,0)+INDEX(SFD_Annual,1,AA$5)/12</f>
        <v>250000</v>
      </c>
      <c r="AB62" s="33" t="n">
        <f aca="false">IF(AB$3=SFD_Setup_Month,SFD_Setup,0)+INDEX(SFD_Annual,1,AB$5)/12</f>
        <v>250000</v>
      </c>
      <c r="AC62" s="33" t="n">
        <f aca="false">IF(AC$3=SFD_Setup_Month,SFD_Setup,0)+INDEX(SFD_Annual,1,AC$5)/12</f>
        <v>250000</v>
      </c>
      <c r="AD62" s="33" t="n">
        <f aca="false">IF(AD$3=SFD_Setup_Month,SFD_Setup,0)+INDEX(SFD_Annual,1,AD$5)/12</f>
        <v>250000</v>
      </c>
      <c r="AE62" s="33" t="n">
        <f aca="false">IF(AE$3=SFD_Setup_Month,SFD_Setup,0)+INDEX(SFD_Annual,1,AE$5)/12</f>
        <v>250000</v>
      </c>
      <c r="AF62" s="33" t="n">
        <f aca="false">IF(AF$3=SFD_Setup_Month,SFD_Setup,0)+INDEX(SFD_Annual,1,AF$5)/12</f>
        <v>250000</v>
      </c>
      <c r="AG62" s="33" t="n">
        <f aca="false">IF(AG$3=SFD_Setup_Month,SFD_Setup,0)+INDEX(SFD_Annual,1,AG$5)/12</f>
        <v>250000</v>
      </c>
      <c r="AH62" s="33" t="n">
        <f aca="false">IF(AH$3=SFD_Setup_Month,SFD_Setup,0)+INDEX(SFD_Annual,1,AH$5)/12</f>
        <v>250000</v>
      </c>
      <c r="AI62" s="33" t="n">
        <f aca="false">IF(AI$3=SFD_Setup_Month,SFD_Setup,0)+INDEX(SFD_Annual,1,AI$5)/12</f>
        <v>250000</v>
      </c>
      <c r="AJ62" s="33" t="n">
        <f aca="false">IF(AJ$3=SFD_Setup_Month,SFD_Setup,0)+INDEX(SFD_Annual,1,AJ$5)/12</f>
        <v>250000</v>
      </c>
      <c r="AK62" s="33" t="n">
        <f aca="false">IF(AK$3=SFD_Setup_Month,SFD_Setup,0)+INDEX(SFD_Annual,1,AK$5)/12</f>
        <v>250000</v>
      </c>
      <c r="AL62" s="33" t="n">
        <f aca="false">IF(AL$3=SFD_Setup_Month,SFD_Setup,0)+INDEX(SFD_Annual,1,AL$5)/12</f>
        <v>250000</v>
      </c>
      <c r="AM62" s="33" t="n">
        <f aca="false">IF(AM$3=SFD_Setup_Month,SFD_Setup,0)+INDEX(SFD_Annual,1,AM$5)/12</f>
        <v>250000</v>
      </c>
      <c r="AN62" s="33" t="n">
        <f aca="false">IF(AN$3=SFD_Setup_Month,SFD_Setup,0)+INDEX(SFD_Annual,1,AN$5)/12</f>
        <v>250000</v>
      </c>
      <c r="AO62" s="33" t="n">
        <f aca="false">IF(AO$3=SFD_Setup_Month,SFD_Setup,0)+INDEX(SFD_Annual,1,AO$5)/12</f>
        <v>250000</v>
      </c>
      <c r="AP62" s="33" t="n">
        <f aca="false">IF(AP$3=SFD_Setup_Month,SFD_Setup,0)+INDEX(SFD_Annual,1,AP$5)/12</f>
        <v>250000</v>
      </c>
      <c r="AQ62" s="33" t="n">
        <f aca="false">IF(AQ$3=SFD_Setup_Month,SFD_Setup,0)+INDEX(SFD_Annual,1,AQ$5)/12</f>
        <v>250000</v>
      </c>
      <c r="AR62" s="33" t="n">
        <f aca="false">IF(AR$3=SFD_Setup_Month,SFD_Setup,0)+INDEX(SFD_Annual,1,AR$5)/12</f>
        <v>250000</v>
      </c>
      <c r="AS62" s="33" t="n">
        <f aca="false">IF(AS$3=SFD_Setup_Month,SFD_Setup,0)+INDEX(SFD_Annual,1,AS$5)/12</f>
        <v>250000</v>
      </c>
      <c r="AT62" s="33" t="n">
        <f aca="false">IF(AT$3=SFD_Setup_Month,SFD_Setup,0)+INDEX(SFD_Annual,1,AT$5)/12</f>
        <v>250000</v>
      </c>
      <c r="AU62" s="33" t="n">
        <f aca="false">IF(AU$3=SFD_Setup_Month,SFD_Setup,0)+INDEX(SFD_Annual,1,AU$5)/12</f>
        <v>250000</v>
      </c>
      <c r="AV62" s="33" t="n">
        <f aca="false">IF(AV$3=SFD_Setup_Month,SFD_Setup,0)+INDEX(SFD_Annual,1,AV$5)/12</f>
        <v>250000</v>
      </c>
      <c r="AW62" s="33" t="n">
        <f aca="false">IF(AW$3=SFD_Setup_Month,SFD_Setup,0)+INDEX(SFD_Annual,1,AW$5)/12</f>
        <v>250000</v>
      </c>
      <c r="AX62" s="33" t="n">
        <f aca="false">IF(AX$3=SFD_Setup_Month,SFD_Setup,0)+INDEX(SFD_Annual,1,AX$5)/12</f>
        <v>250000</v>
      </c>
      <c r="AY62" s="33" t="n">
        <f aca="false">IF(AY$3=SFD_Setup_Month,SFD_Setup,0)+INDEX(SFD_Annual,1,AY$5)/12</f>
        <v>250000</v>
      </c>
      <c r="AZ62" s="33" t="n">
        <f aca="false">IF(AZ$3=SFD_Setup_Month,SFD_Setup,0)+INDEX(SFD_Annual,1,AZ$5)/12</f>
        <v>250000</v>
      </c>
      <c r="BA62" s="33" t="n">
        <f aca="false">IF(BA$3=SFD_Setup_Month,SFD_Setup,0)+INDEX(SFD_Annual,1,BA$5)/12</f>
        <v>250000</v>
      </c>
      <c r="BB62" s="33" t="n">
        <f aca="false">IF(BB$3=SFD_Setup_Month,SFD_Setup,0)+INDEX(SFD_Annual,1,BB$5)/12</f>
        <v>250000</v>
      </c>
      <c r="BC62" s="33" t="n">
        <f aca="false">IF(BC$3=SFD_Setup_Month,SFD_Setup,0)+INDEX(SFD_Annual,1,BC$5)/12</f>
        <v>250000</v>
      </c>
      <c r="BD62" s="33" t="n">
        <f aca="false">IF(BD$3=SFD_Setup_Month,SFD_Setup,0)+INDEX(SFD_Annual,1,BD$5)/12</f>
        <v>250000</v>
      </c>
      <c r="BE62" s="33" t="n">
        <f aca="false">IF(BE$3=SFD_Setup_Month,SFD_Setup,0)+INDEX(SFD_Annual,1,BE$5)/12</f>
        <v>250000</v>
      </c>
      <c r="BF62" s="33" t="n">
        <f aca="false">IF(BF$3=SFD_Setup_Month,SFD_Setup,0)+INDEX(SFD_Annual,1,BF$5)/12</f>
        <v>250000</v>
      </c>
      <c r="BG62" s="33" t="n">
        <f aca="false">IF(BG$3=SFD_Setup_Month,SFD_Setup,0)+INDEX(SFD_Annual,1,BG$5)/12</f>
        <v>250000</v>
      </c>
      <c r="BH62" s="33" t="n">
        <f aca="false">IF(BH$3=SFD_Setup_Month,SFD_Setup,0)+INDEX(SFD_Annual,1,BH$5)/12</f>
        <v>250000</v>
      </c>
      <c r="BI62" s="33" t="n">
        <f aca="false">IF(BI$3=SFD_Setup_Month,SFD_Setup,0)+INDEX(SFD_Annual,1,BI$5)/12</f>
        <v>250000</v>
      </c>
      <c r="BJ62" s="33" t="n">
        <f aca="false">IF(BJ$3=SFD_Setup_Month,SFD_Setup,0)+INDEX(SFD_Annual,1,BJ$5)/12</f>
        <v>250000</v>
      </c>
      <c r="BK62" s="33" t="n">
        <f aca="false">IF(BK$3=SFD_Setup_Month,SFD_Setup,0)+INDEX(SFD_Annual,1,BK$5)/12</f>
        <v>250000</v>
      </c>
      <c r="BL62" s="33" t="n">
        <f aca="false">IF(BL$3=SFD_Setup_Month,SFD_Setup,0)+INDEX(SFD_Annual,1,BL$5)/12</f>
        <v>250000</v>
      </c>
    </row>
    <row r="63" customFormat="false" ht="15" hidden="false" customHeight="true" outlineLevel="0" collapsed="false">
      <c r="A63" s="9" t="s">
        <v>1309</v>
      </c>
      <c r="B63" s="15" t="s">
        <v>77</v>
      </c>
      <c r="D63" s="56" t="n">
        <f aca="false">SUM(E63:BL63)</f>
        <v>230000000</v>
      </c>
      <c r="E63" s="17" t="n">
        <f aca="false">SUM(E58:E62)</f>
        <v>0</v>
      </c>
      <c r="F63" s="17" t="n">
        <f aca="false">SUM(F58:F62)</f>
        <v>15000000</v>
      </c>
      <c r="G63" s="17" t="n">
        <f aca="false">SUM(G58:G62)</f>
        <v>0</v>
      </c>
      <c r="H63" s="17" t="n">
        <f aca="false">SUM(H58:H62)</f>
        <v>0</v>
      </c>
      <c r="I63" s="17" t="n">
        <f aca="false">SUM(I58:I62)</f>
        <v>1500000</v>
      </c>
      <c r="J63" s="17" t="n">
        <f aca="false">SUM(J58:J62)</f>
        <v>1500000</v>
      </c>
      <c r="K63" s="17" t="n">
        <f aca="false">SUM(K58:K62)</f>
        <v>1500000</v>
      </c>
      <c r="L63" s="17" t="n">
        <f aca="false">SUM(L58:L62)</f>
        <v>1500000</v>
      </c>
      <c r="M63" s="17" t="n">
        <f aca="false">SUM(M58:M62)</f>
        <v>1500000</v>
      </c>
      <c r="N63" s="17" t="n">
        <f aca="false">SUM(N58:N62)</f>
        <v>1500000</v>
      </c>
      <c r="O63" s="17" t="n">
        <f aca="false">SUM(O58:O62)</f>
        <v>1500000</v>
      </c>
      <c r="P63" s="17" t="n">
        <f aca="false">SUM(P58:P62)</f>
        <v>1500000</v>
      </c>
      <c r="Q63" s="17" t="n">
        <f aca="false">SUM(Q58:Q62)</f>
        <v>1750000</v>
      </c>
      <c r="R63" s="17" t="n">
        <f aca="false">SUM(R58:R62)</f>
        <v>1750000</v>
      </c>
      <c r="S63" s="17" t="n">
        <f aca="false">SUM(S58:S62)</f>
        <v>6750000</v>
      </c>
      <c r="T63" s="17" t="n">
        <f aca="false">SUM(T58:T62)</f>
        <v>16750000</v>
      </c>
      <c r="U63" s="17" t="n">
        <f aca="false">SUM(U58:U62)</f>
        <v>1750000</v>
      </c>
      <c r="V63" s="17" t="n">
        <f aca="false">SUM(V58:V62)</f>
        <v>1750000</v>
      </c>
      <c r="W63" s="17" t="n">
        <f aca="false">SUM(W58:W62)</f>
        <v>3250000</v>
      </c>
      <c r="X63" s="17" t="n">
        <f aca="false">SUM(X58:X62)</f>
        <v>3250000</v>
      </c>
      <c r="Y63" s="17" t="n">
        <f aca="false">SUM(Y58:Y62)</f>
        <v>3250000</v>
      </c>
      <c r="Z63" s="17" t="n">
        <f aca="false">SUM(Z58:Z62)</f>
        <v>3250000</v>
      </c>
      <c r="AA63" s="17" t="n">
        <f aca="false">SUM(AA58:AA62)</f>
        <v>3250000</v>
      </c>
      <c r="AB63" s="17" t="n">
        <f aca="false">SUM(AB58:AB62)</f>
        <v>3250000</v>
      </c>
      <c r="AC63" s="17" t="n">
        <f aca="false">SUM(AC58:AC62)</f>
        <v>4250000</v>
      </c>
      <c r="AD63" s="17" t="n">
        <f aca="false">SUM(AD58:AD62)</f>
        <v>4250000</v>
      </c>
      <c r="AE63" s="17" t="n">
        <f aca="false">SUM(AE58:AE62)</f>
        <v>4250000</v>
      </c>
      <c r="AF63" s="17" t="n">
        <f aca="false">SUM(AF58:AF62)</f>
        <v>4250000</v>
      </c>
      <c r="AG63" s="17" t="n">
        <f aca="false">SUM(AG58:AG62)</f>
        <v>4250000</v>
      </c>
      <c r="AH63" s="17" t="n">
        <f aca="false">SUM(AH58:AH62)</f>
        <v>4250000</v>
      </c>
      <c r="AI63" s="17" t="n">
        <f aca="false">SUM(AI58:AI62)</f>
        <v>4250000</v>
      </c>
      <c r="AJ63" s="17" t="n">
        <f aca="false">SUM(AJ58:AJ62)</f>
        <v>4250000</v>
      </c>
      <c r="AK63" s="17" t="n">
        <f aca="false">SUM(AK58:AK62)</f>
        <v>4250000</v>
      </c>
      <c r="AL63" s="17" t="n">
        <f aca="false">SUM(AL58:AL62)</f>
        <v>4250000</v>
      </c>
      <c r="AM63" s="17" t="n">
        <f aca="false">SUM(AM58:AM62)</f>
        <v>4250000</v>
      </c>
      <c r="AN63" s="17" t="n">
        <f aca="false">SUM(AN58:AN62)</f>
        <v>4250000</v>
      </c>
      <c r="AO63" s="17" t="n">
        <f aca="false">SUM(AO58:AO62)</f>
        <v>4250000</v>
      </c>
      <c r="AP63" s="17" t="n">
        <f aca="false">SUM(AP58:AP62)</f>
        <v>4250000</v>
      </c>
      <c r="AQ63" s="17" t="n">
        <f aca="false">SUM(AQ58:AQ62)</f>
        <v>4250000</v>
      </c>
      <c r="AR63" s="17" t="n">
        <f aca="false">SUM(AR58:AR62)</f>
        <v>4250000</v>
      </c>
      <c r="AS63" s="17" t="n">
        <f aca="false">SUM(AS58:AS62)</f>
        <v>4250000</v>
      </c>
      <c r="AT63" s="17" t="n">
        <f aca="false">SUM(AT58:AT62)</f>
        <v>4250000</v>
      </c>
      <c r="AU63" s="17" t="n">
        <f aca="false">SUM(AU58:AU62)</f>
        <v>4250000</v>
      </c>
      <c r="AV63" s="17" t="n">
        <f aca="false">SUM(AV58:AV62)</f>
        <v>4250000</v>
      </c>
      <c r="AW63" s="17" t="n">
        <f aca="false">SUM(AW58:AW62)</f>
        <v>4250000</v>
      </c>
      <c r="AX63" s="17" t="n">
        <f aca="false">SUM(AX58:AX62)</f>
        <v>4250000</v>
      </c>
      <c r="AY63" s="17" t="n">
        <f aca="false">SUM(AY58:AY62)</f>
        <v>4250000</v>
      </c>
      <c r="AZ63" s="17" t="n">
        <f aca="false">SUM(AZ58:AZ62)</f>
        <v>4250000</v>
      </c>
      <c r="BA63" s="17" t="n">
        <f aca="false">SUM(BA58:BA62)</f>
        <v>4250000</v>
      </c>
      <c r="BB63" s="17" t="n">
        <f aca="false">SUM(BB58:BB62)</f>
        <v>4250000</v>
      </c>
      <c r="BC63" s="17" t="n">
        <f aca="false">SUM(BC58:BC62)</f>
        <v>4250000</v>
      </c>
      <c r="BD63" s="17" t="n">
        <f aca="false">SUM(BD58:BD62)</f>
        <v>4250000</v>
      </c>
      <c r="BE63" s="17" t="n">
        <f aca="false">SUM(BE58:BE62)</f>
        <v>4250000</v>
      </c>
      <c r="BF63" s="17" t="n">
        <f aca="false">SUM(BF58:BF62)</f>
        <v>4250000</v>
      </c>
      <c r="BG63" s="17" t="n">
        <f aca="false">SUM(BG58:BG62)</f>
        <v>4250000</v>
      </c>
      <c r="BH63" s="17" t="n">
        <f aca="false">SUM(BH58:BH62)</f>
        <v>4250000</v>
      </c>
      <c r="BI63" s="17" t="n">
        <f aca="false">SUM(BI58:BI62)</f>
        <v>4250000</v>
      </c>
      <c r="BJ63" s="17" t="n">
        <f aca="false">SUM(BJ58:BJ62)</f>
        <v>4250000</v>
      </c>
      <c r="BK63" s="17" t="n">
        <f aca="false">SUM(BK58:BK62)</f>
        <v>4250000</v>
      </c>
      <c r="BL63" s="17" t="n">
        <f aca="false">SUM(BL58:BL62)</f>
        <v>4250000</v>
      </c>
    </row>
    <row r="65" customFormat="false" ht="15" hidden="false" customHeight="true" outlineLevel="0" collapsed="false">
      <c r="A65" s="11" t="s">
        <v>860</v>
      </c>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row>
    <row r="66" customFormat="false" ht="15" hidden="false" customHeight="true" outlineLevel="0" collapsed="false">
      <c r="A66" s="13" t="s">
        <v>1310</v>
      </c>
      <c r="B66" s="15" t="s">
        <v>77</v>
      </c>
      <c r="D66" s="56" t="n">
        <f aca="false">SUM(E66:BL66)</f>
        <v>5500000</v>
      </c>
      <c r="E66" s="33" t="n">
        <f aca="false">IF(E$3=1,Company_Setup_SN,0)+IF(E$3=CI_Company_Month,Company_Setup_CI,0)</f>
        <v>2500000</v>
      </c>
      <c r="F66" s="33" t="n">
        <f aca="false">IF(F$3=1,Company_Setup_SN,0)+IF(F$3=CI_Company_Month,Company_Setup_CI,0)</f>
        <v>0</v>
      </c>
      <c r="G66" s="33" t="n">
        <f aca="false">IF(G$3=1,Company_Setup_SN,0)+IF(G$3=CI_Company_Month,Company_Setup_CI,0)</f>
        <v>0</v>
      </c>
      <c r="H66" s="33" t="n">
        <f aca="false">IF(H$3=1,Company_Setup_SN,0)+IF(H$3=CI_Company_Month,Company_Setup_CI,0)</f>
        <v>0</v>
      </c>
      <c r="I66" s="33" t="n">
        <f aca="false">IF(I$3=1,Company_Setup_SN,0)+IF(I$3=CI_Company_Month,Company_Setup_CI,0)</f>
        <v>0</v>
      </c>
      <c r="J66" s="33" t="n">
        <f aca="false">IF(J$3=1,Company_Setup_SN,0)+IF(J$3=CI_Company_Month,Company_Setup_CI,0)</f>
        <v>0</v>
      </c>
      <c r="K66" s="33" t="n">
        <f aca="false">IF(K$3=1,Company_Setup_SN,0)+IF(K$3=CI_Company_Month,Company_Setup_CI,0)</f>
        <v>0</v>
      </c>
      <c r="L66" s="33" t="n">
        <f aca="false">IF(L$3=1,Company_Setup_SN,0)+IF(L$3=CI_Company_Month,Company_Setup_CI,0)</f>
        <v>0</v>
      </c>
      <c r="M66" s="33" t="n">
        <f aca="false">IF(M$3=1,Company_Setup_SN,0)+IF(M$3=CI_Company_Month,Company_Setup_CI,0)</f>
        <v>0</v>
      </c>
      <c r="N66" s="33" t="n">
        <f aca="false">IF(N$3=1,Company_Setup_SN,0)+IF(N$3=CI_Company_Month,Company_Setup_CI,0)</f>
        <v>0</v>
      </c>
      <c r="O66" s="33" t="n">
        <f aca="false">IF(O$3=1,Company_Setup_SN,0)+IF(O$3=CI_Company_Month,Company_Setup_CI,0)</f>
        <v>0</v>
      </c>
      <c r="P66" s="33" t="n">
        <f aca="false">IF(P$3=1,Company_Setup_SN,0)+IF(P$3=CI_Company_Month,Company_Setup_CI,0)</f>
        <v>0</v>
      </c>
      <c r="Q66" s="33" t="n">
        <f aca="false">IF(Q$3=1,Company_Setup_SN,0)+IF(Q$3=CI_Company_Month,Company_Setup_CI,0)</f>
        <v>0</v>
      </c>
      <c r="R66" s="33" t="n">
        <f aca="false">IF(R$3=1,Company_Setup_SN,0)+IF(R$3=CI_Company_Month,Company_Setup_CI,0)</f>
        <v>0</v>
      </c>
      <c r="S66" s="33" t="n">
        <f aca="false">IF(S$3=1,Company_Setup_SN,0)+IF(S$3=CI_Company_Month,Company_Setup_CI,0)</f>
        <v>0</v>
      </c>
      <c r="T66" s="33" t="n">
        <f aca="false">IF(T$3=1,Company_Setup_SN,0)+IF(T$3=CI_Company_Month,Company_Setup_CI,0)</f>
        <v>3000000</v>
      </c>
      <c r="U66" s="33" t="n">
        <f aca="false">IF(U$3=1,Company_Setup_SN,0)+IF(U$3=CI_Company_Month,Company_Setup_CI,0)</f>
        <v>0</v>
      </c>
      <c r="V66" s="33" t="n">
        <f aca="false">IF(V$3=1,Company_Setup_SN,0)+IF(V$3=CI_Company_Month,Company_Setup_CI,0)</f>
        <v>0</v>
      </c>
      <c r="W66" s="33" t="n">
        <f aca="false">IF(W$3=1,Company_Setup_SN,0)+IF(W$3=CI_Company_Month,Company_Setup_CI,0)</f>
        <v>0</v>
      </c>
      <c r="X66" s="33" t="n">
        <f aca="false">IF(X$3=1,Company_Setup_SN,0)+IF(X$3=CI_Company_Month,Company_Setup_CI,0)</f>
        <v>0</v>
      </c>
      <c r="Y66" s="33" t="n">
        <f aca="false">IF(Y$3=1,Company_Setup_SN,0)+IF(Y$3=CI_Company_Month,Company_Setup_CI,0)</f>
        <v>0</v>
      </c>
      <c r="Z66" s="33" t="n">
        <f aca="false">IF(Z$3=1,Company_Setup_SN,0)+IF(Z$3=CI_Company_Month,Company_Setup_CI,0)</f>
        <v>0</v>
      </c>
      <c r="AA66" s="33" t="n">
        <f aca="false">IF(AA$3=1,Company_Setup_SN,0)+IF(AA$3=CI_Company_Month,Company_Setup_CI,0)</f>
        <v>0</v>
      </c>
      <c r="AB66" s="33" t="n">
        <f aca="false">IF(AB$3=1,Company_Setup_SN,0)+IF(AB$3=CI_Company_Month,Company_Setup_CI,0)</f>
        <v>0</v>
      </c>
      <c r="AC66" s="33" t="n">
        <f aca="false">IF(AC$3=1,Company_Setup_SN,0)+IF(AC$3=CI_Company_Month,Company_Setup_CI,0)</f>
        <v>0</v>
      </c>
      <c r="AD66" s="33" t="n">
        <f aca="false">IF(AD$3=1,Company_Setup_SN,0)+IF(AD$3=CI_Company_Month,Company_Setup_CI,0)</f>
        <v>0</v>
      </c>
      <c r="AE66" s="33" t="n">
        <f aca="false">IF(AE$3=1,Company_Setup_SN,0)+IF(AE$3=CI_Company_Month,Company_Setup_CI,0)</f>
        <v>0</v>
      </c>
      <c r="AF66" s="33" t="n">
        <f aca="false">IF(AF$3=1,Company_Setup_SN,0)+IF(AF$3=CI_Company_Month,Company_Setup_CI,0)</f>
        <v>0</v>
      </c>
      <c r="AG66" s="33" t="n">
        <f aca="false">IF(AG$3=1,Company_Setup_SN,0)+IF(AG$3=CI_Company_Month,Company_Setup_CI,0)</f>
        <v>0</v>
      </c>
      <c r="AH66" s="33" t="n">
        <f aca="false">IF(AH$3=1,Company_Setup_SN,0)+IF(AH$3=CI_Company_Month,Company_Setup_CI,0)</f>
        <v>0</v>
      </c>
      <c r="AI66" s="33" t="n">
        <f aca="false">IF(AI$3=1,Company_Setup_SN,0)+IF(AI$3=CI_Company_Month,Company_Setup_CI,0)</f>
        <v>0</v>
      </c>
      <c r="AJ66" s="33" t="n">
        <f aca="false">IF(AJ$3=1,Company_Setup_SN,0)+IF(AJ$3=CI_Company_Month,Company_Setup_CI,0)</f>
        <v>0</v>
      </c>
      <c r="AK66" s="33" t="n">
        <f aca="false">IF(AK$3=1,Company_Setup_SN,0)+IF(AK$3=CI_Company_Month,Company_Setup_CI,0)</f>
        <v>0</v>
      </c>
      <c r="AL66" s="33" t="n">
        <f aca="false">IF(AL$3=1,Company_Setup_SN,0)+IF(AL$3=CI_Company_Month,Company_Setup_CI,0)</f>
        <v>0</v>
      </c>
      <c r="AM66" s="33" t="n">
        <f aca="false">IF(AM$3=1,Company_Setup_SN,0)+IF(AM$3=CI_Company_Month,Company_Setup_CI,0)</f>
        <v>0</v>
      </c>
      <c r="AN66" s="33" t="n">
        <f aca="false">IF(AN$3=1,Company_Setup_SN,0)+IF(AN$3=CI_Company_Month,Company_Setup_CI,0)</f>
        <v>0</v>
      </c>
      <c r="AO66" s="33" t="n">
        <f aca="false">IF(AO$3=1,Company_Setup_SN,0)+IF(AO$3=CI_Company_Month,Company_Setup_CI,0)</f>
        <v>0</v>
      </c>
      <c r="AP66" s="33" t="n">
        <f aca="false">IF(AP$3=1,Company_Setup_SN,0)+IF(AP$3=CI_Company_Month,Company_Setup_CI,0)</f>
        <v>0</v>
      </c>
      <c r="AQ66" s="33" t="n">
        <f aca="false">IF(AQ$3=1,Company_Setup_SN,0)+IF(AQ$3=CI_Company_Month,Company_Setup_CI,0)</f>
        <v>0</v>
      </c>
      <c r="AR66" s="33" t="n">
        <f aca="false">IF(AR$3=1,Company_Setup_SN,0)+IF(AR$3=CI_Company_Month,Company_Setup_CI,0)</f>
        <v>0</v>
      </c>
      <c r="AS66" s="33" t="n">
        <f aca="false">IF(AS$3=1,Company_Setup_SN,0)+IF(AS$3=CI_Company_Month,Company_Setup_CI,0)</f>
        <v>0</v>
      </c>
      <c r="AT66" s="33" t="n">
        <f aca="false">IF(AT$3=1,Company_Setup_SN,0)+IF(AT$3=CI_Company_Month,Company_Setup_CI,0)</f>
        <v>0</v>
      </c>
      <c r="AU66" s="33" t="n">
        <f aca="false">IF(AU$3=1,Company_Setup_SN,0)+IF(AU$3=CI_Company_Month,Company_Setup_CI,0)</f>
        <v>0</v>
      </c>
      <c r="AV66" s="33" t="n">
        <f aca="false">IF(AV$3=1,Company_Setup_SN,0)+IF(AV$3=CI_Company_Month,Company_Setup_CI,0)</f>
        <v>0</v>
      </c>
      <c r="AW66" s="33" t="n">
        <f aca="false">IF(AW$3=1,Company_Setup_SN,0)+IF(AW$3=CI_Company_Month,Company_Setup_CI,0)</f>
        <v>0</v>
      </c>
      <c r="AX66" s="33" t="n">
        <f aca="false">IF(AX$3=1,Company_Setup_SN,0)+IF(AX$3=CI_Company_Month,Company_Setup_CI,0)</f>
        <v>0</v>
      </c>
      <c r="AY66" s="33" t="n">
        <f aca="false">IF(AY$3=1,Company_Setup_SN,0)+IF(AY$3=CI_Company_Month,Company_Setup_CI,0)</f>
        <v>0</v>
      </c>
      <c r="AZ66" s="33" t="n">
        <f aca="false">IF(AZ$3=1,Company_Setup_SN,0)+IF(AZ$3=CI_Company_Month,Company_Setup_CI,0)</f>
        <v>0</v>
      </c>
      <c r="BA66" s="33" t="n">
        <f aca="false">IF(BA$3=1,Company_Setup_SN,0)+IF(BA$3=CI_Company_Month,Company_Setup_CI,0)</f>
        <v>0</v>
      </c>
      <c r="BB66" s="33" t="n">
        <f aca="false">IF(BB$3=1,Company_Setup_SN,0)+IF(BB$3=CI_Company_Month,Company_Setup_CI,0)</f>
        <v>0</v>
      </c>
      <c r="BC66" s="33" t="n">
        <f aca="false">IF(BC$3=1,Company_Setup_SN,0)+IF(BC$3=CI_Company_Month,Company_Setup_CI,0)</f>
        <v>0</v>
      </c>
      <c r="BD66" s="33" t="n">
        <f aca="false">IF(BD$3=1,Company_Setup_SN,0)+IF(BD$3=CI_Company_Month,Company_Setup_CI,0)</f>
        <v>0</v>
      </c>
      <c r="BE66" s="33" t="n">
        <f aca="false">IF(BE$3=1,Company_Setup_SN,0)+IF(BE$3=CI_Company_Month,Company_Setup_CI,0)</f>
        <v>0</v>
      </c>
      <c r="BF66" s="33" t="n">
        <f aca="false">IF(BF$3=1,Company_Setup_SN,0)+IF(BF$3=CI_Company_Month,Company_Setup_CI,0)</f>
        <v>0</v>
      </c>
      <c r="BG66" s="33" t="n">
        <f aca="false">IF(BG$3=1,Company_Setup_SN,0)+IF(BG$3=CI_Company_Month,Company_Setup_CI,0)</f>
        <v>0</v>
      </c>
      <c r="BH66" s="33" t="n">
        <f aca="false">IF(BH$3=1,Company_Setup_SN,0)+IF(BH$3=CI_Company_Month,Company_Setup_CI,0)</f>
        <v>0</v>
      </c>
      <c r="BI66" s="33" t="n">
        <f aca="false">IF(BI$3=1,Company_Setup_SN,0)+IF(BI$3=CI_Company_Month,Company_Setup_CI,0)</f>
        <v>0</v>
      </c>
      <c r="BJ66" s="33" t="n">
        <f aca="false">IF(BJ$3=1,Company_Setup_SN,0)+IF(BJ$3=CI_Company_Month,Company_Setup_CI,0)</f>
        <v>0</v>
      </c>
      <c r="BK66" s="33" t="n">
        <f aca="false">IF(BK$3=1,Company_Setup_SN,0)+IF(BK$3=CI_Company_Month,Company_Setup_CI,0)</f>
        <v>0</v>
      </c>
      <c r="BL66" s="33" t="n">
        <f aca="false">IF(BL$3=1,Company_Setup_SN,0)+IF(BL$3=CI_Company_Month,Company_Setup_CI,0)</f>
        <v>0</v>
      </c>
    </row>
    <row r="67" customFormat="false" ht="15" hidden="false" customHeight="true" outlineLevel="0" collapsed="false">
      <c r="A67" s="13" t="s">
        <v>1311</v>
      </c>
      <c r="B67" s="15" t="s">
        <v>77</v>
      </c>
      <c r="D67" s="56" t="n">
        <f aca="false">SUM(E67:BL67)</f>
        <v>50000000</v>
      </c>
      <c r="E67" s="33" t="n">
        <f aca="false">INDEX(SFD_Project,1,E$5)/12</f>
        <v>0</v>
      </c>
      <c r="F67" s="33" t="n">
        <f aca="false">INDEX(SFD_Project,1,F$5)/12</f>
        <v>0</v>
      </c>
      <c r="G67" s="33" t="n">
        <f aca="false">INDEX(SFD_Project,1,G$5)/12</f>
        <v>0</v>
      </c>
      <c r="H67" s="33" t="n">
        <f aca="false">INDEX(SFD_Project,1,H$5)/12</f>
        <v>0</v>
      </c>
      <c r="I67" s="33" t="n">
        <f aca="false">INDEX(SFD_Project,1,I$5)/12</f>
        <v>0</v>
      </c>
      <c r="J67" s="33" t="n">
        <f aca="false">INDEX(SFD_Project,1,J$5)/12</f>
        <v>0</v>
      </c>
      <c r="K67" s="33" t="n">
        <f aca="false">INDEX(SFD_Project,1,K$5)/12</f>
        <v>0</v>
      </c>
      <c r="L67" s="33" t="n">
        <f aca="false">INDEX(SFD_Project,1,L$5)/12</f>
        <v>0</v>
      </c>
      <c r="M67" s="33" t="n">
        <f aca="false">INDEX(SFD_Project,1,M$5)/12</f>
        <v>0</v>
      </c>
      <c r="N67" s="33" t="n">
        <f aca="false">INDEX(SFD_Project,1,N$5)/12</f>
        <v>0</v>
      </c>
      <c r="O67" s="33" t="n">
        <f aca="false">INDEX(SFD_Project,1,O$5)/12</f>
        <v>0</v>
      </c>
      <c r="P67" s="33" t="n">
        <f aca="false">INDEX(SFD_Project,1,P$5)/12</f>
        <v>0</v>
      </c>
      <c r="Q67" s="33" t="n">
        <f aca="false">INDEX(SFD_Project,1,Q$5)/12</f>
        <v>3333333.33333333</v>
      </c>
      <c r="R67" s="33" t="n">
        <f aca="false">INDEX(SFD_Project,1,R$5)/12</f>
        <v>3333333.33333333</v>
      </c>
      <c r="S67" s="33" t="n">
        <f aca="false">INDEX(SFD_Project,1,S$5)/12</f>
        <v>3333333.33333333</v>
      </c>
      <c r="T67" s="33" t="n">
        <f aca="false">INDEX(SFD_Project,1,T$5)/12</f>
        <v>3333333.33333333</v>
      </c>
      <c r="U67" s="33" t="n">
        <f aca="false">INDEX(SFD_Project,1,U$5)/12</f>
        <v>3333333.33333333</v>
      </c>
      <c r="V67" s="33" t="n">
        <f aca="false">INDEX(SFD_Project,1,V$5)/12</f>
        <v>3333333.33333333</v>
      </c>
      <c r="W67" s="33" t="n">
        <f aca="false">INDEX(SFD_Project,1,W$5)/12</f>
        <v>3333333.33333333</v>
      </c>
      <c r="X67" s="33" t="n">
        <f aca="false">INDEX(SFD_Project,1,X$5)/12</f>
        <v>3333333.33333333</v>
      </c>
      <c r="Y67" s="33" t="n">
        <f aca="false">INDEX(SFD_Project,1,Y$5)/12</f>
        <v>3333333.33333333</v>
      </c>
      <c r="Z67" s="33" t="n">
        <f aca="false">INDEX(SFD_Project,1,Z$5)/12</f>
        <v>3333333.33333333</v>
      </c>
      <c r="AA67" s="33" t="n">
        <f aca="false">INDEX(SFD_Project,1,AA$5)/12</f>
        <v>3333333.33333333</v>
      </c>
      <c r="AB67" s="33" t="n">
        <f aca="false">INDEX(SFD_Project,1,AB$5)/12</f>
        <v>3333333.33333333</v>
      </c>
      <c r="AC67" s="33" t="n">
        <f aca="false">INDEX(SFD_Project,1,AC$5)/12</f>
        <v>833333.333333333</v>
      </c>
      <c r="AD67" s="33" t="n">
        <f aca="false">INDEX(SFD_Project,1,AD$5)/12</f>
        <v>833333.333333333</v>
      </c>
      <c r="AE67" s="33" t="n">
        <f aca="false">INDEX(SFD_Project,1,AE$5)/12</f>
        <v>833333.333333333</v>
      </c>
      <c r="AF67" s="33" t="n">
        <f aca="false">INDEX(SFD_Project,1,AF$5)/12</f>
        <v>833333.333333333</v>
      </c>
      <c r="AG67" s="33" t="n">
        <f aca="false">INDEX(SFD_Project,1,AG$5)/12</f>
        <v>833333.333333333</v>
      </c>
      <c r="AH67" s="33" t="n">
        <f aca="false">INDEX(SFD_Project,1,AH$5)/12</f>
        <v>833333.333333333</v>
      </c>
      <c r="AI67" s="33" t="n">
        <f aca="false">INDEX(SFD_Project,1,AI$5)/12</f>
        <v>833333.333333333</v>
      </c>
      <c r="AJ67" s="33" t="n">
        <f aca="false">INDEX(SFD_Project,1,AJ$5)/12</f>
        <v>833333.333333333</v>
      </c>
      <c r="AK67" s="33" t="n">
        <f aca="false">INDEX(SFD_Project,1,AK$5)/12</f>
        <v>833333.333333333</v>
      </c>
      <c r="AL67" s="33" t="n">
        <f aca="false">INDEX(SFD_Project,1,AL$5)/12</f>
        <v>833333.333333333</v>
      </c>
      <c r="AM67" s="33" t="n">
        <f aca="false">INDEX(SFD_Project,1,AM$5)/12</f>
        <v>833333.333333333</v>
      </c>
      <c r="AN67" s="33" t="n">
        <f aca="false">INDEX(SFD_Project,1,AN$5)/12</f>
        <v>833333.333333333</v>
      </c>
      <c r="AO67" s="33" t="n">
        <f aca="false">INDEX(SFD_Project,1,AO$5)/12</f>
        <v>0</v>
      </c>
      <c r="AP67" s="33" t="n">
        <f aca="false">INDEX(SFD_Project,1,AP$5)/12</f>
        <v>0</v>
      </c>
      <c r="AQ67" s="33" t="n">
        <f aca="false">INDEX(SFD_Project,1,AQ$5)/12</f>
        <v>0</v>
      </c>
      <c r="AR67" s="33" t="n">
        <f aca="false">INDEX(SFD_Project,1,AR$5)/12</f>
        <v>0</v>
      </c>
      <c r="AS67" s="33" t="n">
        <f aca="false">INDEX(SFD_Project,1,AS$5)/12</f>
        <v>0</v>
      </c>
      <c r="AT67" s="33" t="n">
        <f aca="false">INDEX(SFD_Project,1,AT$5)/12</f>
        <v>0</v>
      </c>
      <c r="AU67" s="33" t="n">
        <f aca="false">INDEX(SFD_Project,1,AU$5)/12</f>
        <v>0</v>
      </c>
      <c r="AV67" s="33" t="n">
        <f aca="false">INDEX(SFD_Project,1,AV$5)/12</f>
        <v>0</v>
      </c>
      <c r="AW67" s="33" t="n">
        <f aca="false">INDEX(SFD_Project,1,AW$5)/12</f>
        <v>0</v>
      </c>
      <c r="AX67" s="33" t="n">
        <f aca="false">INDEX(SFD_Project,1,AX$5)/12</f>
        <v>0</v>
      </c>
      <c r="AY67" s="33" t="n">
        <f aca="false">INDEX(SFD_Project,1,AY$5)/12</f>
        <v>0</v>
      </c>
      <c r="AZ67" s="33" t="n">
        <f aca="false">INDEX(SFD_Project,1,AZ$5)/12</f>
        <v>0</v>
      </c>
      <c r="BA67" s="33" t="n">
        <f aca="false">INDEX(SFD_Project,1,BA$5)/12</f>
        <v>0</v>
      </c>
      <c r="BB67" s="33" t="n">
        <f aca="false">INDEX(SFD_Project,1,BB$5)/12</f>
        <v>0</v>
      </c>
      <c r="BC67" s="33" t="n">
        <f aca="false">INDEX(SFD_Project,1,BC$5)/12</f>
        <v>0</v>
      </c>
      <c r="BD67" s="33" t="n">
        <f aca="false">INDEX(SFD_Project,1,BD$5)/12</f>
        <v>0</v>
      </c>
      <c r="BE67" s="33" t="n">
        <f aca="false">INDEX(SFD_Project,1,BE$5)/12</f>
        <v>0</v>
      </c>
      <c r="BF67" s="33" t="n">
        <f aca="false">INDEX(SFD_Project,1,BF$5)/12</f>
        <v>0</v>
      </c>
      <c r="BG67" s="33" t="n">
        <f aca="false">INDEX(SFD_Project,1,BG$5)/12</f>
        <v>0</v>
      </c>
      <c r="BH67" s="33" t="n">
        <f aca="false">INDEX(SFD_Project,1,BH$5)/12</f>
        <v>0</v>
      </c>
      <c r="BI67" s="33" t="n">
        <f aca="false">INDEX(SFD_Project,1,BI$5)/12</f>
        <v>0</v>
      </c>
      <c r="BJ67" s="33" t="n">
        <f aca="false">INDEX(SFD_Project,1,BJ$5)/12</f>
        <v>0</v>
      </c>
      <c r="BK67" s="33" t="n">
        <f aca="false">INDEX(SFD_Project,1,BK$5)/12</f>
        <v>0</v>
      </c>
      <c r="BL67" s="33" t="n">
        <f aca="false">INDEX(SFD_Project,1,BL$5)/12</f>
        <v>0</v>
      </c>
    </row>
    <row r="68" customFormat="false" ht="15" hidden="false" customHeight="true" outlineLevel="0" collapsed="false">
      <c r="A68" s="13" t="s">
        <v>1312</v>
      </c>
      <c r="B68" s="15" t="s">
        <v>77</v>
      </c>
      <c r="D68" s="56" t="n">
        <f aca="false">SUM(E68:BL68)</f>
        <v>147000000</v>
      </c>
      <c r="E68" s="33" t="n">
        <f aca="false">IF(E$3&gt;=SFD_Acq_Month,INDEX(SFD_Running,1,E$5)/12,0)</f>
        <v>0</v>
      </c>
      <c r="F68" s="33" t="n">
        <f aca="false">IF(F$3&gt;=SFD_Acq_Month,INDEX(SFD_Running,1,F$5)/12,0)</f>
        <v>0</v>
      </c>
      <c r="G68" s="33" t="n">
        <f aca="false">IF(G$3&gt;=SFD_Acq_Month,INDEX(SFD_Running,1,G$5)/12,0)</f>
        <v>0</v>
      </c>
      <c r="H68" s="33" t="n">
        <f aca="false">IF(H$3&gt;=SFD_Acq_Month,INDEX(SFD_Running,1,H$5)/12,0)</f>
        <v>0</v>
      </c>
      <c r="I68" s="33" t="n">
        <f aca="false">IF(I$3&gt;=SFD_Acq_Month,INDEX(SFD_Running,1,I$5)/12,0)</f>
        <v>0</v>
      </c>
      <c r="J68" s="33" t="n">
        <f aca="false">IF(J$3&gt;=SFD_Acq_Month,INDEX(SFD_Running,1,J$5)/12,0)</f>
        <v>0</v>
      </c>
      <c r="K68" s="33" t="n">
        <f aca="false">IF(K$3&gt;=SFD_Acq_Month,INDEX(SFD_Running,1,K$5)/12,0)</f>
        <v>0</v>
      </c>
      <c r="L68" s="33" t="n">
        <f aca="false">IF(L$3&gt;=SFD_Acq_Month,INDEX(SFD_Running,1,L$5)/12,0)</f>
        <v>0</v>
      </c>
      <c r="M68" s="33" t="n">
        <f aca="false">IF(M$3&gt;=SFD_Acq_Month,INDEX(SFD_Running,1,M$5)/12,0)</f>
        <v>0</v>
      </c>
      <c r="N68" s="33" t="n">
        <f aca="false">IF(N$3&gt;=SFD_Acq_Month,INDEX(SFD_Running,1,N$5)/12,0)</f>
        <v>0</v>
      </c>
      <c r="O68" s="33" t="n">
        <f aca="false">IF(O$3&gt;=SFD_Acq_Month,INDEX(SFD_Running,1,O$5)/12,0)</f>
        <v>0</v>
      </c>
      <c r="P68" s="33" t="n">
        <f aca="false">IF(P$3&gt;=SFD_Acq_Month,INDEX(SFD_Running,1,P$5)/12,0)</f>
        <v>0</v>
      </c>
      <c r="Q68" s="33" t="n">
        <f aca="false">IF(Q$3&gt;=SFD_Acq_Month,INDEX(SFD_Running,1,Q$5)/12,0)</f>
        <v>0</v>
      </c>
      <c r="R68" s="33" t="n">
        <f aca="false">IF(R$3&gt;=SFD_Acq_Month,INDEX(SFD_Running,1,R$5)/12,0)</f>
        <v>0</v>
      </c>
      <c r="S68" s="33" t="n">
        <f aca="false">IF(S$3&gt;=SFD_Acq_Month,INDEX(SFD_Running,1,S$5)/12,0)</f>
        <v>0</v>
      </c>
      <c r="T68" s="33" t="n">
        <f aca="false">IF(T$3&gt;=SFD_Acq_Month,INDEX(SFD_Running,1,T$5)/12,0)</f>
        <v>0</v>
      </c>
      <c r="U68" s="33" t="n">
        <f aca="false">IF(U$3&gt;=SFD_Acq_Month,INDEX(SFD_Running,1,U$5)/12,0)</f>
        <v>0</v>
      </c>
      <c r="V68" s="33" t="n">
        <f aca="false">IF(V$3&gt;=SFD_Acq_Month,INDEX(SFD_Running,1,V$5)/12,0)</f>
        <v>0</v>
      </c>
      <c r="W68" s="33" t="n">
        <f aca="false">IF(W$3&gt;=SFD_Acq_Month,INDEX(SFD_Running,1,W$5)/12,0)</f>
        <v>0</v>
      </c>
      <c r="X68" s="33" t="n">
        <f aca="false">IF(X$3&gt;=SFD_Acq_Month,INDEX(SFD_Running,1,X$5)/12,0)</f>
        <v>0</v>
      </c>
      <c r="Y68" s="33" t="n">
        <f aca="false">IF(Y$3&gt;=SFD_Acq_Month,INDEX(SFD_Running,1,Y$5)/12,0)</f>
        <v>0</v>
      </c>
      <c r="Z68" s="33" t="n">
        <f aca="false">IF(Z$3&gt;=SFD_Acq_Month,INDEX(SFD_Running,1,Z$5)/12,0)</f>
        <v>0</v>
      </c>
      <c r="AA68" s="33" t="n">
        <f aca="false">IF(AA$3&gt;=SFD_Acq_Month,INDEX(SFD_Running,1,AA$5)/12,0)</f>
        <v>0</v>
      </c>
      <c r="AB68" s="33" t="n">
        <f aca="false">IF(AB$3&gt;=SFD_Acq_Month,INDEX(SFD_Running,1,AB$5)/12,0)</f>
        <v>3000000</v>
      </c>
      <c r="AC68" s="33" t="n">
        <f aca="false">IF(AC$3&gt;=SFD_Acq_Month,INDEX(SFD_Running,1,AC$5)/12,0)</f>
        <v>3500000</v>
      </c>
      <c r="AD68" s="33" t="n">
        <f aca="false">IF(AD$3&gt;=SFD_Acq_Month,INDEX(SFD_Running,1,AD$5)/12,0)</f>
        <v>3500000</v>
      </c>
      <c r="AE68" s="33" t="n">
        <f aca="false">IF(AE$3&gt;=SFD_Acq_Month,INDEX(SFD_Running,1,AE$5)/12,0)</f>
        <v>3500000</v>
      </c>
      <c r="AF68" s="33" t="n">
        <f aca="false">IF(AF$3&gt;=SFD_Acq_Month,INDEX(SFD_Running,1,AF$5)/12,0)</f>
        <v>3500000</v>
      </c>
      <c r="AG68" s="33" t="n">
        <f aca="false">IF(AG$3&gt;=SFD_Acq_Month,INDEX(SFD_Running,1,AG$5)/12,0)</f>
        <v>3500000</v>
      </c>
      <c r="AH68" s="33" t="n">
        <f aca="false">IF(AH$3&gt;=SFD_Acq_Month,INDEX(SFD_Running,1,AH$5)/12,0)</f>
        <v>3500000</v>
      </c>
      <c r="AI68" s="33" t="n">
        <f aca="false">IF(AI$3&gt;=SFD_Acq_Month,INDEX(SFD_Running,1,AI$5)/12,0)</f>
        <v>3500000</v>
      </c>
      <c r="AJ68" s="33" t="n">
        <f aca="false">IF(AJ$3&gt;=SFD_Acq_Month,INDEX(SFD_Running,1,AJ$5)/12,0)</f>
        <v>3500000</v>
      </c>
      <c r="AK68" s="33" t="n">
        <f aca="false">IF(AK$3&gt;=SFD_Acq_Month,INDEX(SFD_Running,1,AK$5)/12,0)</f>
        <v>3500000</v>
      </c>
      <c r="AL68" s="33" t="n">
        <f aca="false">IF(AL$3&gt;=SFD_Acq_Month,INDEX(SFD_Running,1,AL$5)/12,0)</f>
        <v>3500000</v>
      </c>
      <c r="AM68" s="33" t="n">
        <f aca="false">IF(AM$3&gt;=SFD_Acq_Month,INDEX(SFD_Running,1,AM$5)/12,0)</f>
        <v>3500000</v>
      </c>
      <c r="AN68" s="33" t="n">
        <f aca="false">IF(AN$3&gt;=SFD_Acq_Month,INDEX(SFD_Running,1,AN$5)/12,0)</f>
        <v>3500000</v>
      </c>
      <c r="AO68" s="33" t="n">
        <f aca="false">IF(AO$3&gt;=SFD_Acq_Month,INDEX(SFD_Running,1,AO$5)/12,0)</f>
        <v>4000000</v>
      </c>
      <c r="AP68" s="33" t="n">
        <f aca="false">IF(AP$3&gt;=SFD_Acq_Month,INDEX(SFD_Running,1,AP$5)/12,0)</f>
        <v>4000000</v>
      </c>
      <c r="AQ68" s="33" t="n">
        <f aca="false">IF(AQ$3&gt;=SFD_Acq_Month,INDEX(SFD_Running,1,AQ$5)/12,0)</f>
        <v>4000000</v>
      </c>
      <c r="AR68" s="33" t="n">
        <f aca="false">IF(AR$3&gt;=SFD_Acq_Month,INDEX(SFD_Running,1,AR$5)/12,0)</f>
        <v>4000000</v>
      </c>
      <c r="AS68" s="33" t="n">
        <f aca="false">IF(AS$3&gt;=SFD_Acq_Month,INDEX(SFD_Running,1,AS$5)/12,0)</f>
        <v>4000000</v>
      </c>
      <c r="AT68" s="33" t="n">
        <f aca="false">IF(AT$3&gt;=SFD_Acq_Month,INDEX(SFD_Running,1,AT$5)/12,0)</f>
        <v>4000000</v>
      </c>
      <c r="AU68" s="33" t="n">
        <f aca="false">IF(AU$3&gt;=SFD_Acq_Month,INDEX(SFD_Running,1,AU$5)/12,0)</f>
        <v>4000000</v>
      </c>
      <c r="AV68" s="33" t="n">
        <f aca="false">IF(AV$3&gt;=SFD_Acq_Month,INDEX(SFD_Running,1,AV$5)/12,0)</f>
        <v>4000000</v>
      </c>
      <c r="AW68" s="33" t="n">
        <f aca="false">IF(AW$3&gt;=SFD_Acq_Month,INDEX(SFD_Running,1,AW$5)/12,0)</f>
        <v>4000000</v>
      </c>
      <c r="AX68" s="33" t="n">
        <f aca="false">IF(AX$3&gt;=SFD_Acq_Month,INDEX(SFD_Running,1,AX$5)/12,0)</f>
        <v>4000000</v>
      </c>
      <c r="AY68" s="33" t="n">
        <f aca="false">IF(AY$3&gt;=SFD_Acq_Month,INDEX(SFD_Running,1,AY$5)/12,0)</f>
        <v>4000000</v>
      </c>
      <c r="AZ68" s="33" t="n">
        <f aca="false">IF(AZ$3&gt;=SFD_Acq_Month,INDEX(SFD_Running,1,AZ$5)/12,0)</f>
        <v>4000000</v>
      </c>
      <c r="BA68" s="33" t="n">
        <f aca="false">IF(BA$3&gt;=SFD_Acq_Month,INDEX(SFD_Running,1,BA$5)/12,0)</f>
        <v>4500000</v>
      </c>
      <c r="BB68" s="33" t="n">
        <f aca="false">IF(BB$3&gt;=SFD_Acq_Month,INDEX(SFD_Running,1,BB$5)/12,0)</f>
        <v>4500000</v>
      </c>
      <c r="BC68" s="33" t="n">
        <f aca="false">IF(BC$3&gt;=SFD_Acq_Month,INDEX(SFD_Running,1,BC$5)/12,0)</f>
        <v>4500000</v>
      </c>
      <c r="BD68" s="33" t="n">
        <f aca="false">IF(BD$3&gt;=SFD_Acq_Month,INDEX(SFD_Running,1,BD$5)/12,0)</f>
        <v>4500000</v>
      </c>
      <c r="BE68" s="33" t="n">
        <f aca="false">IF(BE$3&gt;=SFD_Acq_Month,INDEX(SFD_Running,1,BE$5)/12,0)</f>
        <v>4500000</v>
      </c>
      <c r="BF68" s="33" t="n">
        <f aca="false">IF(BF$3&gt;=SFD_Acq_Month,INDEX(SFD_Running,1,BF$5)/12,0)</f>
        <v>4500000</v>
      </c>
      <c r="BG68" s="33" t="n">
        <f aca="false">IF(BG$3&gt;=SFD_Acq_Month,INDEX(SFD_Running,1,BG$5)/12,0)</f>
        <v>4500000</v>
      </c>
      <c r="BH68" s="33" t="n">
        <f aca="false">IF(BH$3&gt;=SFD_Acq_Month,INDEX(SFD_Running,1,BH$5)/12,0)</f>
        <v>4500000</v>
      </c>
      <c r="BI68" s="33" t="n">
        <f aca="false">IF(BI$3&gt;=SFD_Acq_Month,INDEX(SFD_Running,1,BI$5)/12,0)</f>
        <v>4500000</v>
      </c>
      <c r="BJ68" s="33" t="n">
        <f aca="false">IF(BJ$3&gt;=SFD_Acq_Month,INDEX(SFD_Running,1,BJ$5)/12,0)</f>
        <v>4500000</v>
      </c>
      <c r="BK68" s="33" t="n">
        <f aca="false">IF(BK$3&gt;=SFD_Acq_Month,INDEX(SFD_Running,1,BK$5)/12,0)</f>
        <v>4500000</v>
      </c>
      <c r="BL68" s="33" t="n">
        <f aca="false">IF(BL$3&gt;=SFD_Acq_Month,INDEX(SFD_Running,1,BL$5)/12,0)</f>
        <v>4500000</v>
      </c>
    </row>
    <row r="69" customFormat="false" ht="15" hidden="false" customHeight="true" outlineLevel="0" collapsed="false">
      <c r="A69" s="13" t="s">
        <v>868</v>
      </c>
      <c r="B69" s="15" t="s">
        <v>77</v>
      </c>
      <c r="D69" s="56" t="n">
        <f aca="false">SUM(E69:BL69)</f>
        <v>120000000</v>
      </c>
      <c r="E69" s="33" t="n">
        <f aca="false">INDEX(Legal_Counsel,1,E$5)</f>
        <v>1000000</v>
      </c>
      <c r="F69" s="33" t="n">
        <f aca="false">INDEX(Legal_Counsel,1,F$5)</f>
        <v>1000000</v>
      </c>
      <c r="G69" s="33" t="n">
        <f aca="false">INDEX(Legal_Counsel,1,G$5)</f>
        <v>1000000</v>
      </c>
      <c r="H69" s="33" t="n">
        <f aca="false">INDEX(Legal_Counsel,1,H$5)</f>
        <v>1000000</v>
      </c>
      <c r="I69" s="33" t="n">
        <f aca="false">INDEX(Legal_Counsel,1,I$5)</f>
        <v>1000000</v>
      </c>
      <c r="J69" s="33" t="n">
        <f aca="false">INDEX(Legal_Counsel,1,J$5)</f>
        <v>1000000</v>
      </c>
      <c r="K69" s="33" t="n">
        <f aca="false">INDEX(Legal_Counsel,1,K$5)</f>
        <v>1000000</v>
      </c>
      <c r="L69" s="33" t="n">
        <f aca="false">INDEX(Legal_Counsel,1,L$5)</f>
        <v>1000000</v>
      </c>
      <c r="M69" s="33" t="n">
        <f aca="false">INDEX(Legal_Counsel,1,M$5)</f>
        <v>1000000</v>
      </c>
      <c r="N69" s="33" t="n">
        <f aca="false">INDEX(Legal_Counsel,1,N$5)</f>
        <v>1000000</v>
      </c>
      <c r="O69" s="33" t="n">
        <f aca="false">INDEX(Legal_Counsel,1,O$5)</f>
        <v>1000000</v>
      </c>
      <c r="P69" s="33" t="n">
        <f aca="false">INDEX(Legal_Counsel,1,P$5)</f>
        <v>1000000</v>
      </c>
      <c r="Q69" s="33" t="n">
        <f aca="false">INDEX(Legal_Counsel,1,Q$5)</f>
        <v>1500000</v>
      </c>
      <c r="R69" s="33" t="n">
        <f aca="false">INDEX(Legal_Counsel,1,R$5)</f>
        <v>1500000</v>
      </c>
      <c r="S69" s="33" t="n">
        <f aca="false">INDEX(Legal_Counsel,1,S$5)</f>
        <v>1500000</v>
      </c>
      <c r="T69" s="33" t="n">
        <f aca="false">INDEX(Legal_Counsel,1,T$5)</f>
        <v>1500000</v>
      </c>
      <c r="U69" s="33" t="n">
        <f aca="false">INDEX(Legal_Counsel,1,U$5)</f>
        <v>1500000</v>
      </c>
      <c r="V69" s="33" t="n">
        <f aca="false">INDEX(Legal_Counsel,1,V$5)</f>
        <v>1500000</v>
      </c>
      <c r="W69" s="33" t="n">
        <f aca="false">INDEX(Legal_Counsel,1,W$5)</f>
        <v>1500000</v>
      </c>
      <c r="X69" s="33" t="n">
        <f aca="false">INDEX(Legal_Counsel,1,X$5)</f>
        <v>1500000</v>
      </c>
      <c r="Y69" s="33" t="n">
        <f aca="false">INDEX(Legal_Counsel,1,Y$5)</f>
        <v>1500000</v>
      </c>
      <c r="Z69" s="33" t="n">
        <f aca="false">INDEX(Legal_Counsel,1,Z$5)</f>
        <v>1500000</v>
      </c>
      <c r="AA69" s="33" t="n">
        <f aca="false">INDEX(Legal_Counsel,1,AA$5)</f>
        <v>1500000</v>
      </c>
      <c r="AB69" s="33" t="n">
        <f aca="false">INDEX(Legal_Counsel,1,AB$5)</f>
        <v>1500000</v>
      </c>
      <c r="AC69" s="33" t="n">
        <f aca="false">INDEX(Legal_Counsel,1,AC$5)</f>
        <v>2000000</v>
      </c>
      <c r="AD69" s="33" t="n">
        <f aca="false">INDEX(Legal_Counsel,1,AD$5)</f>
        <v>2000000</v>
      </c>
      <c r="AE69" s="33" t="n">
        <f aca="false">INDEX(Legal_Counsel,1,AE$5)</f>
        <v>2000000</v>
      </c>
      <c r="AF69" s="33" t="n">
        <f aca="false">INDEX(Legal_Counsel,1,AF$5)</f>
        <v>2000000</v>
      </c>
      <c r="AG69" s="33" t="n">
        <f aca="false">INDEX(Legal_Counsel,1,AG$5)</f>
        <v>2000000</v>
      </c>
      <c r="AH69" s="33" t="n">
        <f aca="false">INDEX(Legal_Counsel,1,AH$5)</f>
        <v>2000000</v>
      </c>
      <c r="AI69" s="33" t="n">
        <f aca="false">INDEX(Legal_Counsel,1,AI$5)</f>
        <v>2000000</v>
      </c>
      <c r="AJ69" s="33" t="n">
        <f aca="false">INDEX(Legal_Counsel,1,AJ$5)</f>
        <v>2000000</v>
      </c>
      <c r="AK69" s="33" t="n">
        <f aca="false">INDEX(Legal_Counsel,1,AK$5)</f>
        <v>2000000</v>
      </c>
      <c r="AL69" s="33" t="n">
        <f aca="false">INDEX(Legal_Counsel,1,AL$5)</f>
        <v>2000000</v>
      </c>
      <c r="AM69" s="33" t="n">
        <f aca="false">INDEX(Legal_Counsel,1,AM$5)</f>
        <v>2000000</v>
      </c>
      <c r="AN69" s="33" t="n">
        <f aca="false">INDEX(Legal_Counsel,1,AN$5)</f>
        <v>2000000</v>
      </c>
      <c r="AO69" s="33" t="n">
        <f aca="false">INDEX(Legal_Counsel,1,AO$5)</f>
        <v>2500000</v>
      </c>
      <c r="AP69" s="33" t="n">
        <f aca="false">INDEX(Legal_Counsel,1,AP$5)</f>
        <v>2500000</v>
      </c>
      <c r="AQ69" s="33" t="n">
        <f aca="false">INDEX(Legal_Counsel,1,AQ$5)</f>
        <v>2500000</v>
      </c>
      <c r="AR69" s="33" t="n">
        <f aca="false">INDEX(Legal_Counsel,1,AR$5)</f>
        <v>2500000</v>
      </c>
      <c r="AS69" s="33" t="n">
        <f aca="false">INDEX(Legal_Counsel,1,AS$5)</f>
        <v>2500000</v>
      </c>
      <c r="AT69" s="33" t="n">
        <f aca="false">INDEX(Legal_Counsel,1,AT$5)</f>
        <v>2500000</v>
      </c>
      <c r="AU69" s="33" t="n">
        <f aca="false">INDEX(Legal_Counsel,1,AU$5)</f>
        <v>2500000</v>
      </c>
      <c r="AV69" s="33" t="n">
        <f aca="false">INDEX(Legal_Counsel,1,AV$5)</f>
        <v>2500000</v>
      </c>
      <c r="AW69" s="33" t="n">
        <f aca="false">INDEX(Legal_Counsel,1,AW$5)</f>
        <v>2500000</v>
      </c>
      <c r="AX69" s="33" t="n">
        <f aca="false">INDEX(Legal_Counsel,1,AX$5)</f>
        <v>2500000</v>
      </c>
      <c r="AY69" s="33" t="n">
        <f aca="false">INDEX(Legal_Counsel,1,AY$5)</f>
        <v>2500000</v>
      </c>
      <c r="AZ69" s="33" t="n">
        <f aca="false">INDEX(Legal_Counsel,1,AZ$5)</f>
        <v>2500000</v>
      </c>
      <c r="BA69" s="33" t="n">
        <f aca="false">INDEX(Legal_Counsel,1,BA$5)</f>
        <v>3000000</v>
      </c>
      <c r="BB69" s="33" t="n">
        <f aca="false">INDEX(Legal_Counsel,1,BB$5)</f>
        <v>3000000</v>
      </c>
      <c r="BC69" s="33" t="n">
        <f aca="false">INDEX(Legal_Counsel,1,BC$5)</f>
        <v>3000000</v>
      </c>
      <c r="BD69" s="33" t="n">
        <f aca="false">INDEX(Legal_Counsel,1,BD$5)</f>
        <v>3000000</v>
      </c>
      <c r="BE69" s="33" t="n">
        <f aca="false">INDEX(Legal_Counsel,1,BE$5)</f>
        <v>3000000</v>
      </c>
      <c r="BF69" s="33" t="n">
        <f aca="false">INDEX(Legal_Counsel,1,BF$5)</f>
        <v>3000000</v>
      </c>
      <c r="BG69" s="33" t="n">
        <f aca="false">INDEX(Legal_Counsel,1,BG$5)</f>
        <v>3000000</v>
      </c>
      <c r="BH69" s="33" t="n">
        <f aca="false">INDEX(Legal_Counsel,1,BH$5)</f>
        <v>3000000</v>
      </c>
      <c r="BI69" s="33" t="n">
        <f aca="false">INDEX(Legal_Counsel,1,BI$5)</f>
        <v>3000000</v>
      </c>
      <c r="BJ69" s="33" t="n">
        <f aca="false">INDEX(Legal_Counsel,1,BJ$5)</f>
        <v>3000000</v>
      </c>
      <c r="BK69" s="33" t="n">
        <f aca="false">INDEX(Legal_Counsel,1,BK$5)</f>
        <v>3000000</v>
      </c>
      <c r="BL69" s="33" t="n">
        <f aca="false">INDEX(Legal_Counsel,1,BL$5)</f>
        <v>3000000</v>
      </c>
    </row>
    <row r="70" customFormat="false" ht="15" hidden="false" customHeight="true" outlineLevel="0" collapsed="false">
      <c r="A70" s="13" t="s">
        <v>869</v>
      </c>
      <c r="B70" s="15" t="s">
        <v>77</v>
      </c>
      <c r="D70" s="56" t="n">
        <f aca="false">SUM(E70:BL70)</f>
        <v>105000000</v>
      </c>
      <c r="E70" s="33" t="n">
        <f aca="false">INDEX(Auditor,1,E$5)/12</f>
        <v>416666.666666667</v>
      </c>
      <c r="F70" s="33" t="n">
        <f aca="false">INDEX(Auditor,1,F$5)/12</f>
        <v>416666.666666667</v>
      </c>
      <c r="G70" s="33" t="n">
        <f aca="false">INDEX(Auditor,1,G$5)/12</f>
        <v>416666.666666667</v>
      </c>
      <c r="H70" s="33" t="n">
        <f aca="false">INDEX(Auditor,1,H$5)/12</f>
        <v>416666.666666667</v>
      </c>
      <c r="I70" s="33" t="n">
        <f aca="false">INDEX(Auditor,1,I$5)/12</f>
        <v>416666.666666667</v>
      </c>
      <c r="J70" s="33" t="n">
        <f aca="false">INDEX(Auditor,1,J$5)/12</f>
        <v>416666.666666667</v>
      </c>
      <c r="K70" s="33" t="n">
        <f aca="false">INDEX(Auditor,1,K$5)/12</f>
        <v>416666.666666667</v>
      </c>
      <c r="L70" s="33" t="n">
        <f aca="false">INDEX(Auditor,1,L$5)/12</f>
        <v>416666.666666667</v>
      </c>
      <c r="M70" s="33" t="n">
        <f aca="false">INDEX(Auditor,1,M$5)/12</f>
        <v>416666.666666667</v>
      </c>
      <c r="N70" s="33" t="n">
        <f aca="false">INDEX(Auditor,1,N$5)/12</f>
        <v>416666.666666667</v>
      </c>
      <c r="O70" s="33" t="n">
        <f aca="false">INDEX(Auditor,1,O$5)/12</f>
        <v>416666.666666667</v>
      </c>
      <c r="P70" s="33" t="n">
        <f aca="false">INDEX(Auditor,1,P$5)/12</f>
        <v>416666.666666667</v>
      </c>
      <c r="Q70" s="33" t="n">
        <f aca="false">INDEX(Auditor,1,Q$5)/12</f>
        <v>833333.333333333</v>
      </c>
      <c r="R70" s="33" t="n">
        <f aca="false">INDEX(Auditor,1,R$5)/12</f>
        <v>833333.333333333</v>
      </c>
      <c r="S70" s="33" t="n">
        <f aca="false">INDEX(Auditor,1,S$5)/12</f>
        <v>833333.333333333</v>
      </c>
      <c r="T70" s="33" t="n">
        <f aca="false">INDEX(Auditor,1,T$5)/12</f>
        <v>833333.333333333</v>
      </c>
      <c r="U70" s="33" t="n">
        <f aca="false">INDEX(Auditor,1,U$5)/12</f>
        <v>833333.333333333</v>
      </c>
      <c r="V70" s="33" t="n">
        <f aca="false">INDEX(Auditor,1,V$5)/12</f>
        <v>833333.333333333</v>
      </c>
      <c r="W70" s="33" t="n">
        <f aca="false">INDEX(Auditor,1,W$5)/12</f>
        <v>833333.333333333</v>
      </c>
      <c r="X70" s="33" t="n">
        <f aca="false">INDEX(Auditor,1,X$5)/12</f>
        <v>833333.333333333</v>
      </c>
      <c r="Y70" s="33" t="n">
        <f aca="false">INDEX(Auditor,1,Y$5)/12</f>
        <v>833333.333333333</v>
      </c>
      <c r="Z70" s="33" t="n">
        <f aca="false">INDEX(Auditor,1,Z$5)/12</f>
        <v>833333.333333333</v>
      </c>
      <c r="AA70" s="33" t="n">
        <f aca="false">INDEX(Auditor,1,AA$5)/12</f>
        <v>833333.333333333</v>
      </c>
      <c r="AB70" s="33" t="n">
        <f aca="false">INDEX(Auditor,1,AB$5)/12</f>
        <v>833333.333333333</v>
      </c>
      <c r="AC70" s="33" t="n">
        <f aca="false">INDEX(Auditor,1,AC$5)/12</f>
        <v>2083333.33333333</v>
      </c>
      <c r="AD70" s="33" t="n">
        <f aca="false">INDEX(Auditor,1,AD$5)/12</f>
        <v>2083333.33333333</v>
      </c>
      <c r="AE70" s="33" t="n">
        <f aca="false">INDEX(Auditor,1,AE$5)/12</f>
        <v>2083333.33333333</v>
      </c>
      <c r="AF70" s="33" t="n">
        <f aca="false">INDEX(Auditor,1,AF$5)/12</f>
        <v>2083333.33333333</v>
      </c>
      <c r="AG70" s="33" t="n">
        <f aca="false">INDEX(Auditor,1,AG$5)/12</f>
        <v>2083333.33333333</v>
      </c>
      <c r="AH70" s="33" t="n">
        <f aca="false">INDEX(Auditor,1,AH$5)/12</f>
        <v>2083333.33333333</v>
      </c>
      <c r="AI70" s="33" t="n">
        <f aca="false">INDEX(Auditor,1,AI$5)/12</f>
        <v>2083333.33333333</v>
      </c>
      <c r="AJ70" s="33" t="n">
        <f aca="false">INDEX(Auditor,1,AJ$5)/12</f>
        <v>2083333.33333333</v>
      </c>
      <c r="AK70" s="33" t="n">
        <f aca="false">INDEX(Auditor,1,AK$5)/12</f>
        <v>2083333.33333333</v>
      </c>
      <c r="AL70" s="33" t="n">
        <f aca="false">INDEX(Auditor,1,AL$5)/12</f>
        <v>2083333.33333333</v>
      </c>
      <c r="AM70" s="33" t="n">
        <f aca="false">INDEX(Auditor,1,AM$5)/12</f>
        <v>2083333.33333333</v>
      </c>
      <c r="AN70" s="33" t="n">
        <f aca="false">INDEX(Auditor,1,AN$5)/12</f>
        <v>2083333.33333333</v>
      </c>
      <c r="AO70" s="33" t="n">
        <f aca="false">INDEX(Auditor,1,AO$5)/12</f>
        <v>2500000</v>
      </c>
      <c r="AP70" s="33" t="n">
        <f aca="false">INDEX(Auditor,1,AP$5)/12</f>
        <v>2500000</v>
      </c>
      <c r="AQ70" s="33" t="n">
        <f aca="false">INDEX(Auditor,1,AQ$5)/12</f>
        <v>2500000</v>
      </c>
      <c r="AR70" s="33" t="n">
        <f aca="false">INDEX(Auditor,1,AR$5)/12</f>
        <v>2500000</v>
      </c>
      <c r="AS70" s="33" t="n">
        <f aca="false">INDEX(Auditor,1,AS$5)/12</f>
        <v>2500000</v>
      </c>
      <c r="AT70" s="33" t="n">
        <f aca="false">INDEX(Auditor,1,AT$5)/12</f>
        <v>2500000</v>
      </c>
      <c r="AU70" s="33" t="n">
        <f aca="false">INDEX(Auditor,1,AU$5)/12</f>
        <v>2500000</v>
      </c>
      <c r="AV70" s="33" t="n">
        <f aca="false">INDEX(Auditor,1,AV$5)/12</f>
        <v>2500000</v>
      </c>
      <c r="AW70" s="33" t="n">
        <f aca="false">INDEX(Auditor,1,AW$5)/12</f>
        <v>2500000</v>
      </c>
      <c r="AX70" s="33" t="n">
        <f aca="false">INDEX(Auditor,1,AX$5)/12</f>
        <v>2500000</v>
      </c>
      <c r="AY70" s="33" t="n">
        <f aca="false">INDEX(Auditor,1,AY$5)/12</f>
        <v>2500000</v>
      </c>
      <c r="AZ70" s="33" t="n">
        <f aca="false">INDEX(Auditor,1,AZ$5)/12</f>
        <v>2500000</v>
      </c>
      <c r="BA70" s="33" t="n">
        <f aca="false">INDEX(Auditor,1,BA$5)/12</f>
        <v>2916666.66666667</v>
      </c>
      <c r="BB70" s="33" t="n">
        <f aca="false">INDEX(Auditor,1,BB$5)/12</f>
        <v>2916666.66666667</v>
      </c>
      <c r="BC70" s="33" t="n">
        <f aca="false">INDEX(Auditor,1,BC$5)/12</f>
        <v>2916666.66666667</v>
      </c>
      <c r="BD70" s="33" t="n">
        <f aca="false">INDEX(Auditor,1,BD$5)/12</f>
        <v>2916666.66666667</v>
      </c>
      <c r="BE70" s="33" t="n">
        <f aca="false">INDEX(Auditor,1,BE$5)/12</f>
        <v>2916666.66666667</v>
      </c>
      <c r="BF70" s="33" t="n">
        <f aca="false">INDEX(Auditor,1,BF$5)/12</f>
        <v>2916666.66666667</v>
      </c>
      <c r="BG70" s="33" t="n">
        <f aca="false">INDEX(Auditor,1,BG$5)/12</f>
        <v>2916666.66666667</v>
      </c>
      <c r="BH70" s="33" t="n">
        <f aca="false">INDEX(Auditor,1,BH$5)/12</f>
        <v>2916666.66666667</v>
      </c>
      <c r="BI70" s="33" t="n">
        <f aca="false">INDEX(Auditor,1,BI$5)/12</f>
        <v>2916666.66666667</v>
      </c>
      <c r="BJ70" s="33" t="n">
        <f aca="false">INDEX(Auditor,1,BJ$5)/12</f>
        <v>2916666.66666667</v>
      </c>
      <c r="BK70" s="33" t="n">
        <f aca="false">INDEX(Auditor,1,BK$5)/12</f>
        <v>2916666.66666667</v>
      </c>
      <c r="BL70" s="33" t="n">
        <f aca="false">INDEX(Auditor,1,BL$5)/12</f>
        <v>2916666.66666667</v>
      </c>
    </row>
    <row r="71" customFormat="false" ht="15" hidden="false" customHeight="true" outlineLevel="0" collapsed="false">
      <c r="A71" s="13" t="s">
        <v>1082</v>
      </c>
      <c r="B71" s="15" t="s">
        <v>77</v>
      </c>
      <c r="D71" s="56" t="n">
        <f aca="false">SUM(E71:BL71)</f>
        <v>43200000</v>
      </c>
      <c r="E71" s="33" t="n">
        <f aca="false">INDEX(Accountant_Ext,1,E$5)</f>
        <v>300000</v>
      </c>
      <c r="F71" s="33" t="n">
        <f aca="false">INDEX(Accountant_Ext,1,F$5)</f>
        <v>300000</v>
      </c>
      <c r="G71" s="33" t="n">
        <f aca="false">INDEX(Accountant_Ext,1,G$5)</f>
        <v>300000</v>
      </c>
      <c r="H71" s="33" t="n">
        <f aca="false">INDEX(Accountant_Ext,1,H$5)</f>
        <v>300000</v>
      </c>
      <c r="I71" s="33" t="n">
        <f aca="false">INDEX(Accountant_Ext,1,I$5)</f>
        <v>300000</v>
      </c>
      <c r="J71" s="33" t="n">
        <f aca="false">INDEX(Accountant_Ext,1,J$5)</f>
        <v>300000</v>
      </c>
      <c r="K71" s="33" t="n">
        <f aca="false">INDEX(Accountant_Ext,1,K$5)</f>
        <v>300000</v>
      </c>
      <c r="L71" s="33" t="n">
        <f aca="false">INDEX(Accountant_Ext,1,L$5)</f>
        <v>300000</v>
      </c>
      <c r="M71" s="33" t="n">
        <f aca="false">INDEX(Accountant_Ext,1,M$5)</f>
        <v>300000</v>
      </c>
      <c r="N71" s="33" t="n">
        <f aca="false">INDEX(Accountant_Ext,1,N$5)</f>
        <v>300000</v>
      </c>
      <c r="O71" s="33" t="n">
        <f aca="false">INDEX(Accountant_Ext,1,O$5)</f>
        <v>300000</v>
      </c>
      <c r="P71" s="33" t="n">
        <f aca="false">INDEX(Accountant_Ext,1,P$5)</f>
        <v>300000</v>
      </c>
      <c r="Q71" s="33" t="n">
        <f aca="false">INDEX(Accountant_Ext,1,Q$5)</f>
        <v>600000</v>
      </c>
      <c r="R71" s="33" t="n">
        <f aca="false">INDEX(Accountant_Ext,1,R$5)</f>
        <v>600000</v>
      </c>
      <c r="S71" s="33" t="n">
        <f aca="false">INDEX(Accountant_Ext,1,S$5)</f>
        <v>600000</v>
      </c>
      <c r="T71" s="33" t="n">
        <f aca="false">INDEX(Accountant_Ext,1,T$5)</f>
        <v>600000</v>
      </c>
      <c r="U71" s="33" t="n">
        <f aca="false">INDEX(Accountant_Ext,1,U$5)</f>
        <v>600000</v>
      </c>
      <c r="V71" s="33" t="n">
        <f aca="false">INDEX(Accountant_Ext,1,V$5)</f>
        <v>600000</v>
      </c>
      <c r="W71" s="33" t="n">
        <f aca="false">INDEX(Accountant_Ext,1,W$5)</f>
        <v>600000</v>
      </c>
      <c r="X71" s="33" t="n">
        <f aca="false">INDEX(Accountant_Ext,1,X$5)</f>
        <v>600000</v>
      </c>
      <c r="Y71" s="33" t="n">
        <f aca="false">INDEX(Accountant_Ext,1,Y$5)</f>
        <v>600000</v>
      </c>
      <c r="Z71" s="33" t="n">
        <f aca="false">INDEX(Accountant_Ext,1,Z$5)</f>
        <v>600000</v>
      </c>
      <c r="AA71" s="33" t="n">
        <f aca="false">INDEX(Accountant_Ext,1,AA$5)</f>
        <v>600000</v>
      </c>
      <c r="AB71" s="33" t="n">
        <f aca="false">INDEX(Accountant_Ext,1,AB$5)</f>
        <v>600000</v>
      </c>
      <c r="AC71" s="33" t="n">
        <f aca="false">INDEX(Accountant_Ext,1,AC$5)</f>
        <v>800000</v>
      </c>
      <c r="AD71" s="33" t="n">
        <f aca="false">INDEX(Accountant_Ext,1,AD$5)</f>
        <v>800000</v>
      </c>
      <c r="AE71" s="33" t="n">
        <f aca="false">INDEX(Accountant_Ext,1,AE$5)</f>
        <v>800000</v>
      </c>
      <c r="AF71" s="33" t="n">
        <f aca="false">INDEX(Accountant_Ext,1,AF$5)</f>
        <v>800000</v>
      </c>
      <c r="AG71" s="33" t="n">
        <f aca="false">INDEX(Accountant_Ext,1,AG$5)</f>
        <v>800000</v>
      </c>
      <c r="AH71" s="33" t="n">
        <f aca="false">INDEX(Accountant_Ext,1,AH$5)</f>
        <v>800000</v>
      </c>
      <c r="AI71" s="33" t="n">
        <f aca="false">INDEX(Accountant_Ext,1,AI$5)</f>
        <v>800000</v>
      </c>
      <c r="AJ71" s="33" t="n">
        <f aca="false">INDEX(Accountant_Ext,1,AJ$5)</f>
        <v>800000</v>
      </c>
      <c r="AK71" s="33" t="n">
        <f aca="false">INDEX(Accountant_Ext,1,AK$5)</f>
        <v>800000</v>
      </c>
      <c r="AL71" s="33" t="n">
        <f aca="false">INDEX(Accountant_Ext,1,AL$5)</f>
        <v>800000</v>
      </c>
      <c r="AM71" s="33" t="n">
        <f aca="false">INDEX(Accountant_Ext,1,AM$5)</f>
        <v>800000</v>
      </c>
      <c r="AN71" s="33" t="n">
        <f aca="false">INDEX(Accountant_Ext,1,AN$5)</f>
        <v>800000</v>
      </c>
      <c r="AO71" s="33" t="n">
        <f aca="false">INDEX(Accountant_Ext,1,AO$5)</f>
        <v>900000</v>
      </c>
      <c r="AP71" s="33" t="n">
        <f aca="false">INDEX(Accountant_Ext,1,AP$5)</f>
        <v>900000</v>
      </c>
      <c r="AQ71" s="33" t="n">
        <f aca="false">INDEX(Accountant_Ext,1,AQ$5)</f>
        <v>900000</v>
      </c>
      <c r="AR71" s="33" t="n">
        <f aca="false">INDEX(Accountant_Ext,1,AR$5)</f>
        <v>900000</v>
      </c>
      <c r="AS71" s="33" t="n">
        <f aca="false">INDEX(Accountant_Ext,1,AS$5)</f>
        <v>900000</v>
      </c>
      <c r="AT71" s="33" t="n">
        <f aca="false">INDEX(Accountant_Ext,1,AT$5)</f>
        <v>900000</v>
      </c>
      <c r="AU71" s="33" t="n">
        <f aca="false">INDEX(Accountant_Ext,1,AU$5)</f>
        <v>900000</v>
      </c>
      <c r="AV71" s="33" t="n">
        <f aca="false">INDEX(Accountant_Ext,1,AV$5)</f>
        <v>900000</v>
      </c>
      <c r="AW71" s="33" t="n">
        <f aca="false">INDEX(Accountant_Ext,1,AW$5)</f>
        <v>900000</v>
      </c>
      <c r="AX71" s="33" t="n">
        <f aca="false">INDEX(Accountant_Ext,1,AX$5)</f>
        <v>900000</v>
      </c>
      <c r="AY71" s="33" t="n">
        <f aca="false">INDEX(Accountant_Ext,1,AY$5)</f>
        <v>900000</v>
      </c>
      <c r="AZ71" s="33" t="n">
        <f aca="false">INDEX(Accountant_Ext,1,AZ$5)</f>
        <v>900000</v>
      </c>
      <c r="BA71" s="33" t="n">
        <f aca="false">INDEX(Accountant_Ext,1,BA$5)</f>
        <v>1000000</v>
      </c>
      <c r="BB71" s="33" t="n">
        <f aca="false">INDEX(Accountant_Ext,1,BB$5)</f>
        <v>1000000</v>
      </c>
      <c r="BC71" s="33" t="n">
        <f aca="false">INDEX(Accountant_Ext,1,BC$5)</f>
        <v>1000000</v>
      </c>
      <c r="BD71" s="33" t="n">
        <f aca="false">INDEX(Accountant_Ext,1,BD$5)</f>
        <v>1000000</v>
      </c>
      <c r="BE71" s="33" t="n">
        <f aca="false">INDEX(Accountant_Ext,1,BE$5)</f>
        <v>1000000</v>
      </c>
      <c r="BF71" s="33" t="n">
        <f aca="false">INDEX(Accountant_Ext,1,BF$5)</f>
        <v>1000000</v>
      </c>
      <c r="BG71" s="33" t="n">
        <f aca="false">INDEX(Accountant_Ext,1,BG$5)</f>
        <v>1000000</v>
      </c>
      <c r="BH71" s="33" t="n">
        <f aca="false">INDEX(Accountant_Ext,1,BH$5)</f>
        <v>1000000</v>
      </c>
      <c r="BI71" s="33" t="n">
        <f aca="false">INDEX(Accountant_Ext,1,BI$5)</f>
        <v>1000000</v>
      </c>
      <c r="BJ71" s="33" t="n">
        <f aca="false">INDEX(Accountant_Ext,1,BJ$5)</f>
        <v>1000000</v>
      </c>
      <c r="BK71" s="33" t="n">
        <f aca="false">INDEX(Accountant_Ext,1,BK$5)</f>
        <v>1000000</v>
      </c>
      <c r="BL71" s="33" t="n">
        <f aca="false">INDEX(Accountant_Ext,1,BL$5)</f>
        <v>1000000</v>
      </c>
    </row>
    <row r="72" customFormat="false" ht="15" hidden="false" customHeight="true" outlineLevel="0" collapsed="false">
      <c r="A72" s="13" t="s">
        <v>872</v>
      </c>
      <c r="B72" s="15" t="s">
        <v>77</v>
      </c>
      <c r="D72" s="56" t="n">
        <f aca="false">SUM(E72:BL72)</f>
        <v>42000000</v>
      </c>
      <c r="E72" s="33" t="n">
        <f aca="false">INDEX(AML_Audit,1,E$5)/12</f>
        <v>0</v>
      </c>
      <c r="F72" s="33" t="n">
        <f aca="false">INDEX(AML_Audit,1,F$5)/12</f>
        <v>0</v>
      </c>
      <c r="G72" s="33" t="n">
        <f aca="false">INDEX(AML_Audit,1,G$5)/12</f>
        <v>0</v>
      </c>
      <c r="H72" s="33" t="n">
        <f aca="false">INDEX(AML_Audit,1,H$5)/12</f>
        <v>0</v>
      </c>
      <c r="I72" s="33" t="n">
        <f aca="false">INDEX(AML_Audit,1,I$5)/12</f>
        <v>0</v>
      </c>
      <c r="J72" s="33" t="n">
        <f aca="false">INDEX(AML_Audit,1,J$5)/12</f>
        <v>0</v>
      </c>
      <c r="K72" s="33" t="n">
        <f aca="false">INDEX(AML_Audit,1,K$5)/12</f>
        <v>0</v>
      </c>
      <c r="L72" s="33" t="n">
        <f aca="false">INDEX(AML_Audit,1,L$5)/12</f>
        <v>0</v>
      </c>
      <c r="M72" s="33" t="n">
        <f aca="false">INDEX(AML_Audit,1,M$5)/12</f>
        <v>0</v>
      </c>
      <c r="N72" s="33" t="n">
        <f aca="false">INDEX(AML_Audit,1,N$5)/12</f>
        <v>0</v>
      </c>
      <c r="O72" s="33" t="n">
        <f aca="false">INDEX(AML_Audit,1,O$5)/12</f>
        <v>0</v>
      </c>
      <c r="P72" s="33" t="n">
        <f aca="false">INDEX(AML_Audit,1,P$5)/12</f>
        <v>0</v>
      </c>
      <c r="Q72" s="33" t="n">
        <f aca="false">INDEX(AML_Audit,1,Q$5)/12</f>
        <v>0</v>
      </c>
      <c r="R72" s="33" t="n">
        <f aca="false">INDEX(AML_Audit,1,R$5)/12</f>
        <v>0</v>
      </c>
      <c r="S72" s="33" t="n">
        <f aca="false">INDEX(AML_Audit,1,S$5)/12</f>
        <v>0</v>
      </c>
      <c r="T72" s="33" t="n">
        <f aca="false">INDEX(AML_Audit,1,T$5)/12</f>
        <v>0</v>
      </c>
      <c r="U72" s="33" t="n">
        <f aca="false">INDEX(AML_Audit,1,U$5)/12</f>
        <v>0</v>
      </c>
      <c r="V72" s="33" t="n">
        <f aca="false">INDEX(AML_Audit,1,V$5)/12</f>
        <v>0</v>
      </c>
      <c r="W72" s="33" t="n">
        <f aca="false">INDEX(AML_Audit,1,W$5)/12</f>
        <v>0</v>
      </c>
      <c r="X72" s="33" t="n">
        <f aca="false">INDEX(AML_Audit,1,X$5)/12</f>
        <v>0</v>
      </c>
      <c r="Y72" s="33" t="n">
        <f aca="false">INDEX(AML_Audit,1,Y$5)/12</f>
        <v>0</v>
      </c>
      <c r="Z72" s="33" t="n">
        <f aca="false">INDEX(AML_Audit,1,Z$5)/12</f>
        <v>0</v>
      </c>
      <c r="AA72" s="33" t="n">
        <f aca="false">INDEX(AML_Audit,1,AA$5)/12</f>
        <v>0</v>
      </c>
      <c r="AB72" s="33" t="n">
        <f aca="false">INDEX(AML_Audit,1,AB$5)/12</f>
        <v>0</v>
      </c>
      <c r="AC72" s="33" t="n">
        <f aca="false">INDEX(AML_Audit,1,AC$5)/12</f>
        <v>1000000</v>
      </c>
      <c r="AD72" s="33" t="n">
        <f aca="false">INDEX(AML_Audit,1,AD$5)/12</f>
        <v>1000000</v>
      </c>
      <c r="AE72" s="33" t="n">
        <f aca="false">INDEX(AML_Audit,1,AE$5)/12</f>
        <v>1000000</v>
      </c>
      <c r="AF72" s="33" t="n">
        <f aca="false">INDEX(AML_Audit,1,AF$5)/12</f>
        <v>1000000</v>
      </c>
      <c r="AG72" s="33" t="n">
        <f aca="false">INDEX(AML_Audit,1,AG$5)/12</f>
        <v>1000000</v>
      </c>
      <c r="AH72" s="33" t="n">
        <f aca="false">INDEX(AML_Audit,1,AH$5)/12</f>
        <v>1000000</v>
      </c>
      <c r="AI72" s="33" t="n">
        <f aca="false">INDEX(AML_Audit,1,AI$5)/12</f>
        <v>1000000</v>
      </c>
      <c r="AJ72" s="33" t="n">
        <f aca="false">INDEX(AML_Audit,1,AJ$5)/12</f>
        <v>1000000</v>
      </c>
      <c r="AK72" s="33" t="n">
        <f aca="false">INDEX(AML_Audit,1,AK$5)/12</f>
        <v>1000000</v>
      </c>
      <c r="AL72" s="33" t="n">
        <f aca="false">INDEX(AML_Audit,1,AL$5)/12</f>
        <v>1000000</v>
      </c>
      <c r="AM72" s="33" t="n">
        <f aca="false">INDEX(AML_Audit,1,AM$5)/12</f>
        <v>1000000</v>
      </c>
      <c r="AN72" s="33" t="n">
        <f aca="false">INDEX(AML_Audit,1,AN$5)/12</f>
        <v>1000000</v>
      </c>
      <c r="AO72" s="33" t="n">
        <f aca="false">INDEX(AML_Audit,1,AO$5)/12</f>
        <v>1166666.66666667</v>
      </c>
      <c r="AP72" s="33" t="n">
        <f aca="false">INDEX(AML_Audit,1,AP$5)/12</f>
        <v>1166666.66666667</v>
      </c>
      <c r="AQ72" s="33" t="n">
        <f aca="false">INDEX(AML_Audit,1,AQ$5)/12</f>
        <v>1166666.66666667</v>
      </c>
      <c r="AR72" s="33" t="n">
        <f aca="false">INDEX(AML_Audit,1,AR$5)/12</f>
        <v>1166666.66666667</v>
      </c>
      <c r="AS72" s="33" t="n">
        <f aca="false">INDEX(AML_Audit,1,AS$5)/12</f>
        <v>1166666.66666667</v>
      </c>
      <c r="AT72" s="33" t="n">
        <f aca="false">INDEX(AML_Audit,1,AT$5)/12</f>
        <v>1166666.66666667</v>
      </c>
      <c r="AU72" s="33" t="n">
        <f aca="false">INDEX(AML_Audit,1,AU$5)/12</f>
        <v>1166666.66666667</v>
      </c>
      <c r="AV72" s="33" t="n">
        <f aca="false">INDEX(AML_Audit,1,AV$5)/12</f>
        <v>1166666.66666667</v>
      </c>
      <c r="AW72" s="33" t="n">
        <f aca="false">INDEX(AML_Audit,1,AW$5)/12</f>
        <v>1166666.66666667</v>
      </c>
      <c r="AX72" s="33" t="n">
        <f aca="false">INDEX(AML_Audit,1,AX$5)/12</f>
        <v>1166666.66666667</v>
      </c>
      <c r="AY72" s="33" t="n">
        <f aca="false">INDEX(AML_Audit,1,AY$5)/12</f>
        <v>1166666.66666667</v>
      </c>
      <c r="AZ72" s="33" t="n">
        <f aca="false">INDEX(AML_Audit,1,AZ$5)/12</f>
        <v>1166666.66666667</v>
      </c>
      <c r="BA72" s="33" t="n">
        <f aca="false">INDEX(AML_Audit,1,BA$5)/12</f>
        <v>1333333.33333333</v>
      </c>
      <c r="BB72" s="33" t="n">
        <f aca="false">INDEX(AML_Audit,1,BB$5)/12</f>
        <v>1333333.33333333</v>
      </c>
      <c r="BC72" s="33" t="n">
        <f aca="false">INDEX(AML_Audit,1,BC$5)/12</f>
        <v>1333333.33333333</v>
      </c>
      <c r="BD72" s="33" t="n">
        <f aca="false">INDEX(AML_Audit,1,BD$5)/12</f>
        <v>1333333.33333333</v>
      </c>
      <c r="BE72" s="33" t="n">
        <f aca="false">INDEX(AML_Audit,1,BE$5)/12</f>
        <v>1333333.33333333</v>
      </c>
      <c r="BF72" s="33" t="n">
        <f aca="false">INDEX(AML_Audit,1,BF$5)/12</f>
        <v>1333333.33333333</v>
      </c>
      <c r="BG72" s="33" t="n">
        <f aca="false">INDEX(AML_Audit,1,BG$5)/12</f>
        <v>1333333.33333333</v>
      </c>
      <c r="BH72" s="33" t="n">
        <f aca="false">INDEX(AML_Audit,1,BH$5)/12</f>
        <v>1333333.33333333</v>
      </c>
      <c r="BI72" s="33" t="n">
        <f aca="false">INDEX(AML_Audit,1,BI$5)/12</f>
        <v>1333333.33333333</v>
      </c>
      <c r="BJ72" s="33" t="n">
        <f aca="false">INDEX(AML_Audit,1,BJ$5)/12</f>
        <v>1333333.33333333</v>
      </c>
      <c r="BK72" s="33" t="n">
        <f aca="false">INDEX(AML_Audit,1,BK$5)/12</f>
        <v>1333333.33333333</v>
      </c>
      <c r="BL72" s="33" t="n">
        <f aca="false">INDEX(AML_Audit,1,BL$5)/12</f>
        <v>1333333.33333333</v>
      </c>
    </row>
    <row r="73" customFormat="false" ht="15" hidden="false" customHeight="true" outlineLevel="0" collapsed="false">
      <c r="A73" s="13" t="s">
        <v>1083</v>
      </c>
      <c r="B73" s="15" t="s">
        <v>77</v>
      </c>
      <c r="D73" s="56" t="n">
        <f aca="false">SUM(E73:BL73)</f>
        <v>11000000</v>
      </c>
      <c r="E73" s="33" t="n">
        <f aca="false">INDEX(Data_Protection,1,E$5)/12</f>
        <v>291666.666666667</v>
      </c>
      <c r="F73" s="33" t="n">
        <f aca="false">INDEX(Data_Protection,1,F$5)/12</f>
        <v>291666.666666667</v>
      </c>
      <c r="G73" s="33" t="n">
        <f aca="false">INDEX(Data_Protection,1,G$5)/12</f>
        <v>291666.666666667</v>
      </c>
      <c r="H73" s="33" t="n">
        <f aca="false">INDEX(Data_Protection,1,H$5)/12</f>
        <v>291666.666666667</v>
      </c>
      <c r="I73" s="33" t="n">
        <f aca="false">INDEX(Data_Protection,1,I$5)/12</f>
        <v>291666.666666667</v>
      </c>
      <c r="J73" s="33" t="n">
        <f aca="false">INDEX(Data_Protection,1,J$5)/12</f>
        <v>291666.666666667</v>
      </c>
      <c r="K73" s="33" t="n">
        <f aca="false">INDEX(Data_Protection,1,K$5)/12</f>
        <v>291666.666666667</v>
      </c>
      <c r="L73" s="33" t="n">
        <f aca="false">INDEX(Data_Protection,1,L$5)/12</f>
        <v>291666.666666667</v>
      </c>
      <c r="M73" s="33" t="n">
        <f aca="false">INDEX(Data_Protection,1,M$5)/12</f>
        <v>291666.666666667</v>
      </c>
      <c r="N73" s="33" t="n">
        <f aca="false">INDEX(Data_Protection,1,N$5)/12</f>
        <v>291666.666666667</v>
      </c>
      <c r="O73" s="33" t="n">
        <f aca="false">INDEX(Data_Protection,1,O$5)/12</f>
        <v>291666.666666667</v>
      </c>
      <c r="P73" s="33" t="n">
        <f aca="false">INDEX(Data_Protection,1,P$5)/12</f>
        <v>291666.666666667</v>
      </c>
      <c r="Q73" s="33" t="n">
        <f aca="false">INDEX(Data_Protection,1,Q$5)/12</f>
        <v>250000</v>
      </c>
      <c r="R73" s="33" t="n">
        <f aca="false">INDEX(Data_Protection,1,R$5)/12</f>
        <v>250000</v>
      </c>
      <c r="S73" s="33" t="n">
        <f aca="false">INDEX(Data_Protection,1,S$5)/12</f>
        <v>250000</v>
      </c>
      <c r="T73" s="33" t="n">
        <f aca="false">INDEX(Data_Protection,1,T$5)/12</f>
        <v>250000</v>
      </c>
      <c r="U73" s="33" t="n">
        <f aca="false">INDEX(Data_Protection,1,U$5)/12</f>
        <v>250000</v>
      </c>
      <c r="V73" s="33" t="n">
        <f aca="false">INDEX(Data_Protection,1,V$5)/12</f>
        <v>250000</v>
      </c>
      <c r="W73" s="33" t="n">
        <f aca="false">INDEX(Data_Protection,1,W$5)/12</f>
        <v>250000</v>
      </c>
      <c r="X73" s="33" t="n">
        <f aca="false">INDEX(Data_Protection,1,X$5)/12</f>
        <v>250000</v>
      </c>
      <c r="Y73" s="33" t="n">
        <f aca="false">INDEX(Data_Protection,1,Y$5)/12</f>
        <v>250000</v>
      </c>
      <c r="Z73" s="33" t="n">
        <f aca="false">INDEX(Data_Protection,1,Z$5)/12</f>
        <v>250000</v>
      </c>
      <c r="AA73" s="33" t="n">
        <f aca="false">INDEX(Data_Protection,1,AA$5)/12</f>
        <v>250000</v>
      </c>
      <c r="AB73" s="33" t="n">
        <f aca="false">INDEX(Data_Protection,1,AB$5)/12</f>
        <v>250000</v>
      </c>
      <c r="AC73" s="33" t="n">
        <f aca="false">INDEX(Data_Protection,1,AC$5)/12</f>
        <v>125000</v>
      </c>
      <c r="AD73" s="33" t="n">
        <f aca="false">INDEX(Data_Protection,1,AD$5)/12</f>
        <v>125000</v>
      </c>
      <c r="AE73" s="33" t="n">
        <f aca="false">INDEX(Data_Protection,1,AE$5)/12</f>
        <v>125000</v>
      </c>
      <c r="AF73" s="33" t="n">
        <f aca="false">INDEX(Data_Protection,1,AF$5)/12</f>
        <v>125000</v>
      </c>
      <c r="AG73" s="33" t="n">
        <f aca="false">INDEX(Data_Protection,1,AG$5)/12</f>
        <v>125000</v>
      </c>
      <c r="AH73" s="33" t="n">
        <f aca="false">INDEX(Data_Protection,1,AH$5)/12</f>
        <v>125000</v>
      </c>
      <c r="AI73" s="33" t="n">
        <f aca="false">INDEX(Data_Protection,1,AI$5)/12</f>
        <v>125000</v>
      </c>
      <c r="AJ73" s="33" t="n">
        <f aca="false">INDEX(Data_Protection,1,AJ$5)/12</f>
        <v>125000</v>
      </c>
      <c r="AK73" s="33" t="n">
        <f aca="false">INDEX(Data_Protection,1,AK$5)/12</f>
        <v>125000</v>
      </c>
      <c r="AL73" s="33" t="n">
        <f aca="false">INDEX(Data_Protection,1,AL$5)/12</f>
        <v>125000</v>
      </c>
      <c r="AM73" s="33" t="n">
        <f aca="false">INDEX(Data_Protection,1,AM$5)/12</f>
        <v>125000</v>
      </c>
      <c r="AN73" s="33" t="n">
        <f aca="false">INDEX(Data_Protection,1,AN$5)/12</f>
        <v>125000</v>
      </c>
      <c r="AO73" s="33" t="n">
        <f aca="false">INDEX(Data_Protection,1,AO$5)/12</f>
        <v>125000</v>
      </c>
      <c r="AP73" s="33" t="n">
        <f aca="false">INDEX(Data_Protection,1,AP$5)/12</f>
        <v>125000</v>
      </c>
      <c r="AQ73" s="33" t="n">
        <f aca="false">INDEX(Data_Protection,1,AQ$5)/12</f>
        <v>125000</v>
      </c>
      <c r="AR73" s="33" t="n">
        <f aca="false">INDEX(Data_Protection,1,AR$5)/12</f>
        <v>125000</v>
      </c>
      <c r="AS73" s="33" t="n">
        <f aca="false">INDEX(Data_Protection,1,AS$5)/12</f>
        <v>125000</v>
      </c>
      <c r="AT73" s="33" t="n">
        <f aca="false">INDEX(Data_Protection,1,AT$5)/12</f>
        <v>125000</v>
      </c>
      <c r="AU73" s="33" t="n">
        <f aca="false">INDEX(Data_Protection,1,AU$5)/12</f>
        <v>125000</v>
      </c>
      <c r="AV73" s="33" t="n">
        <f aca="false">INDEX(Data_Protection,1,AV$5)/12</f>
        <v>125000</v>
      </c>
      <c r="AW73" s="33" t="n">
        <f aca="false">INDEX(Data_Protection,1,AW$5)/12</f>
        <v>125000</v>
      </c>
      <c r="AX73" s="33" t="n">
        <f aca="false">INDEX(Data_Protection,1,AX$5)/12</f>
        <v>125000</v>
      </c>
      <c r="AY73" s="33" t="n">
        <f aca="false">INDEX(Data_Protection,1,AY$5)/12</f>
        <v>125000</v>
      </c>
      <c r="AZ73" s="33" t="n">
        <f aca="false">INDEX(Data_Protection,1,AZ$5)/12</f>
        <v>125000</v>
      </c>
      <c r="BA73" s="33" t="n">
        <f aca="false">INDEX(Data_Protection,1,BA$5)/12</f>
        <v>125000</v>
      </c>
      <c r="BB73" s="33" t="n">
        <f aca="false">INDEX(Data_Protection,1,BB$5)/12</f>
        <v>125000</v>
      </c>
      <c r="BC73" s="33" t="n">
        <f aca="false">INDEX(Data_Protection,1,BC$5)/12</f>
        <v>125000</v>
      </c>
      <c r="BD73" s="33" t="n">
        <f aca="false">INDEX(Data_Protection,1,BD$5)/12</f>
        <v>125000</v>
      </c>
      <c r="BE73" s="33" t="n">
        <f aca="false">INDEX(Data_Protection,1,BE$5)/12</f>
        <v>125000</v>
      </c>
      <c r="BF73" s="33" t="n">
        <f aca="false">INDEX(Data_Protection,1,BF$5)/12</f>
        <v>125000</v>
      </c>
      <c r="BG73" s="33" t="n">
        <f aca="false">INDEX(Data_Protection,1,BG$5)/12</f>
        <v>125000</v>
      </c>
      <c r="BH73" s="33" t="n">
        <f aca="false">INDEX(Data_Protection,1,BH$5)/12</f>
        <v>125000</v>
      </c>
      <c r="BI73" s="33" t="n">
        <f aca="false">INDEX(Data_Protection,1,BI$5)/12</f>
        <v>125000</v>
      </c>
      <c r="BJ73" s="33" t="n">
        <f aca="false">INDEX(Data_Protection,1,BJ$5)/12</f>
        <v>125000</v>
      </c>
      <c r="BK73" s="33" t="n">
        <f aca="false">INDEX(Data_Protection,1,BK$5)/12</f>
        <v>125000</v>
      </c>
      <c r="BL73" s="33" t="n">
        <f aca="false">INDEX(Data_Protection,1,BL$5)/12</f>
        <v>125000</v>
      </c>
    </row>
    <row r="74" customFormat="false" ht="15" hidden="false" customHeight="true" outlineLevel="0" collapsed="false">
      <c r="A74" s="13" t="s">
        <v>838</v>
      </c>
      <c r="B74" s="15" t="s">
        <v>77</v>
      </c>
      <c r="D74" s="56" t="n">
        <f aca="false">SUM(E74:BL74)</f>
        <v>28500000</v>
      </c>
      <c r="E74" s="33" t="n">
        <f aca="false">INDEX(Credit_Bureau,1,E$5)/12</f>
        <v>0</v>
      </c>
      <c r="F74" s="33" t="n">
        <f aca="false">INDEX(Credit_Bureau,1,F$5)/12</f>
        <v>0</v>
      </c>
      <c r="G74" s="33" t="n">
        <f aca="false">INDEX(Credit_Bureau,1,G$5)/12</f>
        <v>0</v>
      </c>
      <c r="H74" s="33" t="n">
        <f aca="false">INDEX(Credit_Bureau,1,H$5)/12</f>
        <v>0</v>
      </c>
      <c r="I74" s="33" t="n">
        <f aca="false">INDEX(Credit_Bureau,1,I$5)/12</f>
        <v>0</v>
      </c>
      <c r="J74" s="33" t="n">
        <f aca="false">INDEX(Credit_Bureau,1,J$5)/12</f>
        <v>0</v>
      </c>
      <c r="K74" s="33" t="n">
        <f aca="false">INDEX(Credit_Bureau,1,K$5)/12</f>
        <v>0</v>
      </c>
      <c r="L74" s="33" t="n">
        <f aca="false">INDEX(Credit_Bureau,1,L$5)/12</f>
        <v>0</v>
      </c>
      <c r="M74" s="33" t="n">
        <f aca="false">INDEX(Credit_Bureau,1,M$5)/12</f>
        <v>0</v>
      </c>
      <c r="N74" s="33" t="n">
        <f aca="false">INDEX(Credit_Bureau,1,N$5)/12</f>
        <v>0</v>
      </c>
      <c r="O74" s="33" t="n">
        <f aca="false">INDEX(Credit_Bureau,1,O$5)/12</f>
        <v>0</v>
      </c>
      <c r="P74" s="33" t="n">
        <f aca="false">INDEX(Credit_Bureau,1,P$5)/12</f>
        <v>0</v>
      </c>
      <c r="Q74" s="33" t="n">
        <f aca="false">INDEX(Credit_Bureau,1,Q$5)/12</f>
        <v>375000</v>
      </c>
      <c r="R74" s="33" t="n">
        <f aca="false">INDEX(Credit_Bureau,1,R$5)/12</f>
        <v>375000</v>
      </c>
      <c r="S74" s="33" t="n">
        <f aca="false">INDEX(Credit_Bureau,1,S$5)/12</f>
        <v>375000</v>
      </c>
      <c r="T74" s="33" t="n">
        <f aca="false">INDEX(Credit_Bureau,1,T$5)/12</f>
        <v>375000</v>
      </c>
      <c r="U74" s="33" t="n">
        <f aca="false">INDEX(Credit_Bureau,1,U$5)/12</f>
        <v>375000</v>
      </c>
      <c r="V74" s="33" t="n">
        <f aca="false">INDEX(Credit_Bureau,1,V$5)/12</f>
        <v>375000</v>
      </c>
      <c r="W74" s="33" t="n">
        <f aca="false">INDEX(Credit_Bureau,1,W$5)/12</f>
        <v>375000</v>
      </c>
      <c r="X74" s="33" t="n">
        <f aca="false">INDEX(Credit_Bureau,1,X$5)/12</f>
        <v>375000</v>
      </c>
      <c r="Y74" s="33" t="n">
        <f aca="false">INDEX(Credit_Bureau,1,Y$5)/12</f>
        <v>375000</v>
      </c>
      <c r="Z74" s="33" t="n">
        <f aca="false">INDEX(Credit_Bureau,1,Z$5)/12</f>
        <v>375000</v>
      </c>
      <c r="AA74" s="33" t="n">
        <f aca="false">INDEX(Credit_Bureau,1,AA$5)/12</f>
        <v>375000</v>
      </c>
      <c r="AB74" s="33" t="n">
        <f aca="false">INDEX(Credit_Bureau,1,AB$5)/12</f>
        <v>375000</v>
      </c>
      <c r="AC74" s="33" t="n">
        <f aca="false">INDEX(Credit_Bureau,1,AC$5)/12</f>
        <v>500000</v>
      </c>
      <c r="AD74" s="33" t="n">
        <f aca="false">INDEX(Credit_Bureau,1,AD$5)/12</f>
        <v>500000</v>
      </c>
      <c r="AE74" s="33" t="n">
        <f aca="false">INDEX(Credit_Bureau,1,AE$5)/12</f>
        <v>500000</v>
      </c>
      <c r="AF74" s="33" t="n">
        <f aca="false">INDEX(Credit_Bureau,1,AF$5)/12</f>
        <v>500000</v>
      </c>
      <c r="AG74" s="33" t="n">
        <f aca="false">INDEX(Credit_Bureau,1,AG$5)/12</f>
        <v>500000</v>
      </c>
      <c r="AH74" s="33" t="n">
        <f aca="false">INDEX(Credit_Bureau,1,AH$5)/12</f>
        <v>500000</v>
      </c>
      <c r="AI74" s="33" t="n">
        <f aca="false">INDEX(Credit_Bureau,1,AI$5)/12</f>
        <v>500000</v>
      </c>
      <c r="AJ74" s="33" t="n">
        <f aca="false">INDEX(Credit_Bureau,1,AJ$5)/12</f>
        <v>500000</v>
      </c>
      <c r="AK74" s="33" t="n">
        <f aca="false">INDEX(Credit_Bureau,1,AK$5)/12</f>
        <v>500000</v>
      </c>
      <c r="AL74" s="33" t="n">
        <f aca="false">INDEX(Credit_Bureau,1,AL$5)/12</f>
        <v>500000</v>
      </c>
      <c r="AM74" s="33" t="n">
        <f aca="false">INDEX(Credit_Bureau,1,AM$5)/12</f>
        <v>500000</v>
      </c>
      <c r="AN74" s="33" t="n">
        <f aca="false">INDEX(Credit_Bureau,1,AN$5)/12</f>
        <v>500000</v>
      </c>
      <c r="AO74" s="33" t="n">
        <f aca="false">INDEX(Credit_Bureau,1,AO$5)/12</f>
        <v>666666.666666667</v>
      </c>
      <c r="AP74" s="33" t="n">
        <f aca="false">INDEX(Credit_Bureau,1,AP$5)/12</f>
        <v>666666.666666667</v>
      </c>
      <c r="AQ74" s="33" t="n">
        <f aca="false">INDEX(Credit_Bureau,1,AQ$5)/12</f>
        <v>666666.666666667</v>
      </c>
      <c r="AR74" s="33" t="n">
        <f aca="false">INDEX(Credit_Bureau,1,AR$5)/12</f>
        <v>666666.666666667</v>
      </c>
      <c r="AS74" s="33" t="n">
        <f aca="false">INDEX(Credit_Bureau,1,AS$5)/12</f>
        <v>666666.666666667</v>
      </c>
      <c r="AT74" s="33" t="n">
        <f aca="false">INDEX(Credit_Bureau,1,AT$5)/12</f>
        <v>666666.666666667</v>
      </c>
      <c r="AU74" s="33" t="n">
        <f aca="false">INDEX(Credit_Bureau,1,AU$5)/12</f>
        <v>666666.666666667</v>
      </c>
      <c r="AV74" s="33" t="n">
        <f aca="false">INDEX(Credit_Bureau,1,AV$5)/12</f>
        <v>666666.666666667</v>
      </c>
      <c r="AW74" s="33" t="n">
        <f aca="false">INDEX(Credit_Bureau,1,AW$5)/12</f>
        <v>666666.666666667</v>
      </c>
      <c r="AX74" s="33" t="n">
        <f aca="false">INDEX(Credit_Bureau,1,AX$5)/12</f>
        <v>666666.666666667</v>
      </c>
      <c r="AY74" s="33" t="n">
        <f aca="false">INDEX(Credit_Bureau,1,AY$5)/12</f>
        <v>666666.666666667</v>
      </c>
      <c r="AZ74" s="33" t="n">
        <f aca="false">INDEX(Credit_Bureau,1,AZ$5)/12</f>
        <v>666666.666666667</v>
      </c>
      <c r="BA74" s="33" t="n">
        <f aca="false">INDEX(Credit_Bureau,1,BA$5)/12</f>
        <v>833333.333333333</v>
      </c>
      <c r="BB74" s="33" t="n">
        <f aca="false">INDEX(Credit_Bureau,1,BB$5)/12</f>
        <v>833333.333333333</v>
      </c>
      <c r="BC74" s="33" t="n">
        <f aca="false">INDEX(Credit_Bureau,1,BC$5)/12</f>
        <v>833333.333333333</v>
      </c>
      <c r="BD74" s="33" t="n">
        <f aca="false">INDEX(Credit_Bureau,1,BD$5)/12</f>
        <v>833333.333333333</v>
      </c>
      <c r="BE74" s="33" t="n">
        <f aca="false">INDEX(Credit_Bureau,1,BE$5)/12</f>
        <v>833333.333333333</v>
      </c>
      <c r="BF74" s="33" t="n">
        <f aca="false">INDEX(Credit_Bureau,1,BF$5)/12</f>
        <v>833333.333333333</v>
      </c>
      <c r="BG74" s="33" t="n">
        <f aca="false">INDEX(Credit_Bureau,1,BG$5)/12</f>
        <v>833333.333333333</v>
      </c>
      <c r="BH74" s="33" t="n">
        <f aca="false">INDEX(Credit_Bureau,1,BH$5)/12</f>
        <v>833333.333333333</v>
      </c>
      <c r="BI74" s="33" t="n">
        <f aca="false">INDEX(Credit_Bureau,1,BI$5)/12</f>
        <v>833333.333333333</v>
      </c>
      <c r="BJ74" s="33" t="n">
        <f aca="false">INDEX(Credit_Bureau,1,BJ$5)/12</f>
        <v>833333.333333333</v>
      </c>
      <c r="BK74" s="33" t="n">
        <f aca="false">INDEX(Credit_Bureau,1,BK$5)/12</f>
        <v>833333.333333333</v>
      </c>
      <c r="BL74" s="33" t="n">
        <f aca="false">INDEX(Credit_Bureau,1,BL$5)/12</f>
        <v>833333.333333333</v>
      </c>
    </row>
    <row r="75" customFormat="false" ht="15" hidden="false" customHeight="true" outlineLevel="0" collapsed="false">
      <c r="A75" s="13" t="s">
        <v>1084</v>
      </c>
      <c r="B75" s="15" t="s">
        <v>77</v>
      </c>
      <c r="D75" s="56" t="n">
        <f aca="false">SUM(E75:BL75)</f>
        <v>104400000</v>
      </c>
      <c r="E75" s="33" t="n">
        <f aca="false">INDEX(Insurance_USD,1,E$5)*FX_USD/12</f>
        <v>966666.666666667</v>
      </c>
      <c r="F75" s="33" t="n">
        <f aca="false">INDEX(Insurance_USD,1,F$5)*FX_USD/12</f>
        <v>966666.666666667</v>
      </c>
      <c r="G75" s="33" t="n">
        <f aca="false">INDEX(Insurance_USD,1,G$5)*FX_USD/12</f>
        <v>966666.666666667</v>
      </c>
      <c r="H75" s="33" t="n">
        <f aca="false">INDEX(Insurance_USD,1,H$5)*FX_USD/12</f>
        <v>966666.666666667</v>
      </c>
      <c r="I75" s="33" t="n">
        <f aca="false">INDEX(Insurance_USD,1,I$5)*FX_USD/12</f>
        <v>966666.666666667</v>
      </c>
      <c r="J75" s="33" t="n">
        <f aca="false">INDEX(Insurance_USD,1,J$5)*FX_USD/12</f>
        <v>966666.666666667</v>
      </c>
      <c r="K75" s="33" t="n">
        <f aca="false">INDEX(Insurance_USD,1,K$5)*FX_USD/12</f>
        <v>966666.666666667</v>
      </c>
      <c r="L75" s="33" t="n">
        <f aca="false">INDEX(Insurance_USD,1,L$5)*FX_USD/12</f>
        <v>966666.666666667</v>
      </c>
      <c r="M75" s="33" t="n">
        <f aca="false">INDEX(Insurance_USD,1,M$5)*FX_USD/12</f>
        <v>966666.666666667</v>
      </c>
      <c r="N75" s="33" t="n">
        <f aca="false">INDEX(Insurance_USD,1,N$5)*FX_USD/12</f>
        <v>966666.666666667</v>
      </c>
      <c r="O75" s="33" t="n">
        <f aca="false">INDEX(Insurance_USD,1,O$5)*FX_USD/12</f>
        <v>966666.666666667</v>
      </c>
      <c r="P75" s="33" t="n">
        <f aca="false">INDEX(Insurance_USD,1,P$5)*FX_USD/12</f>
        <v>966666.666666667</v>
      </c>
      <c r="Q75" s="33" t="n">
        <f aca="false">INDEX(Insurance_USD,1,Q$5)*FX_USD/12</f>
        <v>1208333.33333333</v>
      </c>
      <c r="R75" s="33" t="n">
        <f aca="false">INDEX(Insurance_USD,1,R$5)*FX_USD/12</f>
        <v>1208333.33333333</v>
      </c>
      <c r="S75" s="33" t="n">
        <f aca="false">INDEX(Insurance_USD,1,S$5)*FX_USD/12</f>
        <v>1208333.33333333</v>
      </c>
      <c r="T75" s="33" t="n">
        <f aca="false">INDEX(Insurance_USD,1,T$5)*FX_USD/12</f>
        <v>1208333.33333333</v>
      </c>
      <c r="U75" s="33" t="n">
        <f aca="false">INDEX(Insurance_USD,1,U$5)*FX_USD/12</f>
        <v>1208333.33333333</v>
      </c>
      <c r="V75" s="33" t="n">
        <f aca="false">INDEX(Insurance_USD,1,V$5)*FX_USD/12</f>
        <v>1208333.33333333</v>
      </c>
      <c r="W75" s="33" t="n">
        <f aca="false">INDEX(Insurance_USD,1,W$5)*FX_USD/12</f>
        <v>1208333.33333333</v>
      </c>
      <c r="X75" s="33" t="n">
        <f aca="false">INDEX(Insurance_USD,1,X$5)*FX_USD/12</f>
        <v>1208333.33333333</v>
      </c>
      <c r="Y75" s="33" t="n">
        <f aca="false">INDEX(Insurance_USD,1,Y$5)*FX_USD/12</f>
        <v>1208333.33333333</v>
      </c>
      <c r="Z75" s="33" t="n">
        <f aca="false">INDEX(Insurance_USD,1,Z$5)*FX_USD/12</f>
        <v>1208333.33333333</v>
      </c>
      <c r="AA75" s="33" t="n">
        <f aca="false">INDEX(Insurance_USD,1,AA$5)*FX_USD/12</f>
        <v>1208333.33333333</v>
      </c>
      <c r="AB75" s="33" t="n">
        <f aca="false">INDEX(Insurance_USD,1,AB$5)*FX_USD/12</f>
        <v>1208333.33333333</v>
      </c>
      <c r="AC75" s="33" t="n">
        <f aca="false">INDEX(Insurance_USD,1,AC$5)*FX_USD/12</f>
        <v>1691666.66666667</v>
      </c>
      <c r="AD75" s="33" t="n">
        <f aca="false">INDEX(Insurance_USD,1,AD$5)*FX_USD/12</f>
        <v>1691666.66666667</v>
      </c>
      <c r="AE75" s="33" t="n">
        <f aca="false">INDEX(Insurance_USD,1,AE$5)*FX_USD/12</f>
        <v>1691666.66666667</v>
      </c>
      <c r="AF75" s="33" t="n">
        <f aca="false">INDEX(Insurance_USD,1,AF$5)*FX_USD/12</f>
        <v>1691666.66666667</v>
      </c>
      <c r="AG75" s="33" t="n">
        <f aca="false">INDEX(Insurance_USD,1,AG$5)*FX_USD/12</f>
        <v>1691666.66666667</v>
      </c>
      <c r="AH75" s="33" t="n">
        <f aca="false">INDEX(Insurance_USD,1,AH$5)*FX_USD/12</f>
        <v>1691666.66666667</v>
      </c>
      <c r="AI75" s="33" t="n">
        <f aca="false">INDEX(Insurance_USD,1,AI$5)*FX_USD/12</f>
        <v>1691666.66666667</v>
      </c>
      <c r="AJ75" s="33" t="n">
        <f aca="false">INDEX(Insurance_USD,1,AJ$5)*FX_USD/12</f>
        <v>1691666.66666667</v>
      </c>
      <c r="AK75" s="33" t="n">
        <f aca="false">INDEX(Insurance_USD,1,AK$5)*FX_USD/12</f>
        <v>1691666.66666667</v>
      </c>
      <c r="AL75" s="33" t="n">
        <f aca="false">INDEX(Insurance_USD,1,AL$5)*FX_USD/12</f>
        <v>1691666.66666667</v>
      </c>
      <c r="AM75" s="33" t="n">
        <f aca="false">INDEX(Insurance_USD,1,AM$5)*FX_USD/12</f>
        <v>1691666.66666667</v>
      </c>
      <c r="AN75" s="33" t="n">
        <f aca="false">INDEX(Insurance_USD,1,AN$5)*FX_USD/12</f>
        <v>1691666.66666667</v>
      </c>
      <c r="AO75" s="33" t="n">
        <f aca="false">INDEX(Insurance_USD,1,AO$5)*FX_USD/12</f>
        <v>2175000</v>
      </c>
      <c r="AP75" s="33" t="n">
        <f aca="false">INDEX(Insurance_USD,1,AP$5)*FX_USD/12</f>
        <v>2175000</v>
      </c>
      <c r="AQ75" s="33" t="n">
        <f aca="false">INDEX(Insurance_USD,1,AQ$5)*FX_USD/12</f>
        <v>2175000</v>
      </c>
      <c r="AR75" s="33" t="n">
        <f aca="false">INDEX(Insurance_USD,1,AR$5)*FX_USD/12</f>
        <v>2175000</v>
      </c>
      <c r="AS75" s="33" t="n">
        <f aca="false">INDEX(Insurance_USD,1,AS$5)*FX_USD/12</f>
        <v>2175000</v>
      </c>
      <c r="AT75" s="33" t="n">
        <f aca="false">INDEX(Insurance_USD,1,AT$5)*FX_USD/12</f>
        <v>2175000</v>
      </c>
      <c r="AU75" s="33" t="n">
        <f aca="false">INDEX(Insurance_USD,1,AU$5)*FX_USD/12</f>
        <v>2175000</v>
      </c>
      <c r="AV75" s="33" t="n">
        <f aca="false">INDEX(Insurance_USD,1,AV$5)*FX_USD/12</f>
        <v>2175000</v>
      </c>
      <c r="AW75" s="33" t="n">
        <f aca="false">INDEX(Insurance_USD,1,AW$5)*FX_USD/12</f>
        <v>2175000</v>
      </c>
      <c r="AX75" s="33" t="n">
        <f aca="false">INDEX(Insurance_USD,1,AX$5)*FX_USD/12</f>
        <v>2175000</v>
      </c>
      <c r="AY75" s="33" t="n">
        <f aca="false">INDEX(Insurance_USD,1,AY$5)*FX_USD/12</f>
        <v>2175000</v>
      </c>
      <c r="AZ75" s="33" t="n">
        <f aca="false">INDEX(Insurance_USD,1,AZ$5)*FX_USD/12</f>
        <v>2175000</v>
      </c>
      <c r="BA75" s="33" t="n">
        <f aca="false">INDEX(Insurance_USD,1,BA$5)*FX_USD/12</f>
        <v>2658333.33333333</v>
      </c>
      <c r="BB75" s="33" t="n">
        <f aca="false">INDEX(Insurance_USD,1,BB$5)*FX_USD/12</f>
        <v>2658333.33333333</v>
      </c>
      <c r="BC75" s="33" t="n">
        <f aca="false">INDEX(Insurance_USD,1,BC$5)*FX_USD/12</f>
        <v>2658333.33333333</v>
      </c>
      <c r="BD75" s="33" t="n">
        <f aca="false">INDEX(Insurance_USD,1,BD$5)*FX_USD/12</f>
        <v>2658333.33333333</v>
      </c>
      <c r="BE75" s="33" t="n">
        <f aca="false">INDEX(Insurance_USD,1,BE$5)*FX_USD/12</f>
        <v>2658333.33333333</v>
      </c>
      <c r="BF75" s="33" t="n">
        <f aca="false">INDEX(Insurance_USD,1,BF$5)*FX_USD/12</f>
        <v>2658333.33333333</v>
      </c>
      <c r="BG75" s="33" t="n">
        <f aca="false">INDEX(Insurance_USD,1,BG$5)*FX_USD/12</f>
        <v>2658333.33333333</v>
      </c>
      <c r="BH75" s="33" t="n">
        <f aca="false">INDEX(Insurance_USD,1,BH$5)*FX_USD/12</f>
        <v>2658333.33333333</v>
      </c>
      <c r="BI75" s="33" t="n">
        <f aca="false">INDEX(Insurance_USD,1,BI$5)*FX_USD/12</f>
        <v>2658333.33333333</v>
      </c>
      <c r="BJ75" s="33" t="n">
        <f aca="false">INDEX(Insurance_USD,1,BJ$5)*FX_USD/12</f>
        <v>2658333.33333333</v>
      </c>
      <c r="BK75" s="33" t="n">
        <f aca="false">INDEX(Insurance_USD,1,BK$5)*FX_USD/12</f>
        <v>2658333.33333333</v>
      </c>
      <c r="BL75" s="33" t="n">
        <f aca="false">INDEX(Insurance_USD,1,BL$5)*FX_USD/12</f>
        <v>2658333.33333333</v>
      </c>
    </row>
    <row r="76" customFormat="false" ht="15" hidden="false" customHeight="true" outlineLevel="0" collapsed="false">
      <c r="A76" s="9" t="s">
        <v>1313</v>
      </c>
      <c r="B76" s="15" t="s">
        <v>77</v>
      </c>
      <c r="D76" s="56" t="n">
        <f aca="false">SUM(E76:BL76)</f>
        <v>656600000</v>
      </c>
      <c r="E76" s="17" t="n">
        <f aca="false">SUM(E66:E75)</f>
        <v>5475000</v>
      </c>
      <c r="F76" s="17" t="n">
        <f aca="false">SUM(F66:F75)</f>
        <v>2975000</v>
      </c>
      <c r="G76" s="17" t="n">
        <f aca="false">SUM(G66:G75)</f>
        <v>2975000</v>
      </c>
      <c r="H76" s="17" t="n">
        <f aca="false">SUM(H66:H75)</f>
        <v>2975000</v>
      </c>
      <c r="I76" s="17" t="n">
        <f aca="false">SUM(I66:I75)</f>
        <v>2975000</v>
      </c>
      <c r="J76" s="17" t="n">
        <f aca="false">SUM(J66:J75)</f>
        <v>2975000</v>
      </c>
      <c r="K76" s="17" t="n">
        <f aca="false">SUM(K66:K75)</f>
        <v>2975000</v>
      </c>
      <c r="L76" s="17" t="n">
        <f aca="false">SUM(L66:L75)</f>
        <v>2975000</v>
      </c>
      <c r="M76" s="17" t="n">
        <f aca="false">SUM(M66:M75)</f>
        <v>2975000</v>
      </c>
      <c r="N76" s="17" t="n">
        <f aca="false">SUM(N66:N75)</f>
        <v>2975000</v>
      </c>
      <c r="O76" s="17" t="n">
        <f aca="false">SUM(O66:O75)</f>
        <v>2975000</v>
      </c>
      <c r="P76" s="17" t="n">
        <f aca="false">SUM(P66:P75)</f>
        <v>2975000</v>
      </c>
      <c r="Q76" s="17" t="n">
        <f aca="false">SUM(Q66:Q75)</f>
        <v>8100000</v>
      </c>
      <c r="R76" s="17" t="n">
        <f aca="false">SUM(R66:R75)</f>
        <v>8100000</v>
      </c>
      <c r="S76" s="17" t="n">
        <f aca="false">SUM(S66:S75)</f>
        <v>8100000</v>
      </c>
      <c r="T76" s="17" t="n">
        <f aca="false">SUM(T66:T75)</f>
        <v>11100000</v>
      </c>
      <c r="U76" s="17" t="n">
        <f aca="false">SUM(U66:U75)</f>
        <v>8100000</v>
      </c>
      <c r="V76" s="17" t="n">
        <f aca="false">SUM(V66:V75)</f>
        <v>8100000</v>
      </c>
      <c r="W76" s="17" t="n">
        <f aca="false">SUM(W66:W75)</f>
        <v>8100000</v>
      </c>
      <c r="X76" s="17" t="n">
        <f aca="false">SUM(X66:X75)</f>
        <v>8100000</v>
      </c>
      <c r="Y76" s="17" t="n">
        <f aca="false">SUM(Y66:Y75)</f>
        <v>8100000</v>
      </c>
      <c r="Z76" s="17" t="n">
        <f aca="false">SUM(Z66:Z75)</f>
        <v>8100000</v>
      </c>
      <c r="AA76" s="17" t="n">
        <f aca="false">SUM(AA66:AA75)</f>
        <v>8100000</v>
      </c>
      <c r="AB76" s="17" t="n">
        <f aca="false">SUM(AB66:AB75)</f>
        <v>11100000</v>
      </c>
      <c r="AC76" s="17" t="n">
        <f aca="false">SUM(AC66:AC75)</f>
        <v>12533333.3333333</v>
      </c>
      <c r="AD76" s="17" t="n">
        <f aca="false">SUM(AD66:AD75)</f>
        <v>12533333.3333333</v>
      </c>
      <c r="AE76" s="17" t="n">
        <f aca="false">SUM(AE66:AE75)</f>
        <v>12533333.3333333</v>
      </c>
      <c r="AF76" s="17" t="n">
        <f aca="false">SUM(AF66:AF75)</f>
        <v>12533333.3333333</v>
      </c>
      <c r="AG76" s="17" t="n">
        <f aca="false">SUM(AG66:AG75)</f>
        <v>12533333.3333333</v>
      </c>
      <c r="AH76" s="17" t="n">
        <f aca="false">SUM(AH66:AH75)</f>
        <v>12533333.3333333</v>
      </c>
      <c r="AI76" s="17" t="n">
        <f aca="false">SUM(AI66:AI75)</f>
        <v>12533333.3333333</v>
      </c>
      <c r="AJ76" s="17" t="n">
        <f aca="false">SUM(AJ66:AJ75)</f>
        <v>12533333.3333333</v>
      </c>
      <c r="AK76" s="17" t="n">
        <f aca="false">SUM(AK66:AK75)</f>
        <v>12533333.3333333</v>
      </c>
      <c r="AL76" s="17" t="n">
        <f aca="false">SUM(AL66:AL75)</f>
        <v>12533333.3333333</v>
      </c>
      <c r="AM76" s="17" t="n">
        <f aca="false">SUM(AM66:AM75)</f>
        <v>12533333.3333333</v>
      </c>
      <c r="AN76" s="17" t="n">
        <f aca="false">SUM(AN66:AN75)</f>
        <v>12533333.3333333</v>
      </c>
      <c r="AO76" s="17" t="n">
        <f aca="false">SUM(AO66:AO75)</f>
        <v>14033333.3333333</v>
      </c>
      <c r="AP76" s="17" t="n">
        <f aca="false">SUM(AP66:AP75)</f>
        <v>14033333.3333333</v>
      </c>
      <c r="AQ76" s="17" t="n">
        <f aca="false">SUM(AQ66:AQ75)</f>
        <v>14033333.3333333</v>
      </c>
      <c r="AR76" s="17" t="n">
        <f aca="false">SUM(AR66:AR75)</f>
        <v>14033333.3333333</v>
      </c>
      <c r="AS76" s="17" t="n">
        <f aca="false">SUM(AS66:AS75)</f>
        <v>14033333.3333333</v>
      </c>
      <c r="AT76" s="17" t="n">
        <f aca="false">SUM(AT66:AT75)</f>
        <v>14033333.3333333</v>
      </c>
      <c r="AU76" s="17" t="n">
        <f aca="false">SUM(AU66:AU75)</f>
        <v>14033333.3333333</v>
      </c>
      <c r="AV76" s="17" t="n">
        <f aca="false">SUM(AV66:AV75)</f>
        <v>14033333.3333333</v>
      </c>
      <c r="AW76" s="17" t="n">
        <f aca="false">SUM(AW66:AW75)</f>
        <v>14033333.3333333</v>
      </c>
      <c r="AX76" s="17" t="n">
        <f aca="false">SUM(AX66:AX75)</f>
        <v>14033333.3333333</v>
      </c>
      <c r="AY76" s="17" t="n">
        <f aca="false">SUM(AY66:AY75)</f>
        <v>14033333.3333333</v>
      </c>
      <c r="AZ76" s="17" t="n">
        <f aca="false">SUM(AZ66:AZ75)</f>
        <v>14033333.3333333</v>
      </c>
      <c r="BA76" s="17" t="n">
        <f aca="false">SUM(BA66:BA75)</f>
        <v>16366666.6666667</v>
      </c>
      <c r="BB76" s="17" t="n">
        <f aca="false">SUM(BB66:BB75)</f>
        <v>16366666.6666667</v>
      </c>
      <c r="BC76" s="17" t="n">
        <f aca="false">SUM(BC66:BC75)</f>
        <v>16366666.6666667</v>
      </c>
      <c r="BD76" s="17" t="n">
        <f aca="false">SUM(BD66:BD75)</f>
        <v>16366666.6666667</v>
      </c>
      <c r="BE76" s="17" t="n">
        <f aca="false">SUM(BE66:BE75)</f>
        <v>16366666.6666667</v>
      </c>
      <c r="BF76" s="17" t="n">
        <f aca="false">SUM(BF66:BF75)</f>
        <v>16366666.6666667</v>
      </c>
      <c r="BG76" s="17" t="n">
        <f aca="false">SUM(BG66:BG75)</f>
        <v>16366666.6666667</v>
      </c>
      <c r="BH76" s="17" t="n">
        <f aca="false">SUM(BH66:BH75)</f>
        <v>16366666.6666667</v>
      </c>
      <c r="BI76" s="17" t="n">
        <f aca="false">SUM(BI66:BI75)</f>
        <v>16366666.6666667</v>
      </c>
      <c r="BJ76" s="17" t="n">
        <f aca="false">SUM(BJ66:BJ75)</f>
        <v>16366666.6666667</v>
      </c>
      <c r="BK76" s="17" t="n">
        <f aca="false">SUM(BK66:BK75)</f>
        <v>16366666.6666667</v>
      </c>
      <c r="BL76" s="17" t="n">
        <f aca="false">SUM(BL66:BL75)</f>
        <v>16366666.6666667</v>
      </c>
    </row>
    <row r="78" customFormat="false" ht="15" hidden="false" customHeight="true" outlineLevel="0" collapsed="false">
      <c r="A78" s="11" t="s">
        <v>876</v>
      </c>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row>
    <row r="79" customFormat="false" ht="15" hidden="false" customHeight="true" outlineLevel="0" collapsed="false">
      <c r="A79" s="13" t="s">
        <v>1200</v>
      </c>
      <c r="B79" s="15" t="s">
        <v>77</v>
      </c>
      <c r="D79" s="56" t="n">
        <f aca="false">SUM(E79:BL79)</f>
        <v>333220000</v>
      </c>
      <c r="E79" s="24" t="n">
        <f aca="false">'Sales &amp; marketing'!E40</f>
        <v>0</v>
      </c>
      <c r="F79" s="24" t="n">
        <f aca="false">'Sales &amp; marketing'!F40</f>
        <v>0</v>
      </c>
      <c r="G79" s="24" t="n">
        <f aca="false">'Sales &amp; marketing'!G40</f>
        <v>0</v>
      </c>
      <c r="H79" s="24" t="n">
        <f aca="false">'Sales &amp; marketing'!H40</f>
        <v>0</v>
      </c>
      <c r="I79" s="24" t="n">
        <f aca="false">'Sales &amp; marketing'!I40</f>
        <v>1310000</v>
      </c>
      <c r="J79" s="24" t="n">
        <f aca="false">'Sales &amp; marketing'!J40</f>
        <v>1310000</v>
      </c>
      <c r="K79" s="24" t="n">
        <f aca="false">'Sales &amp; marketing'!K40</f>
        <v>1310000</v>
      </c>
      <c r="L79" s="24" t="n">
        <f aca="false">'Sales &amp; marketing'!L40</f>
        <v>1310000</v>
      </c>
      <c r="M79" s="24" t="n">
        <f aca="false">'Sales &amp; marketing'!M40</f>
        <v>1310000</v>
      </c>
      <c r="N79" s="24" t="n">
        <f aca="false">'Sales &amp; marketing'!N40</f>
        <v>1310000</v>
      </c>
      <c r="O79" s="24" t="n">
        <f aca="false">'Sales &amp; marketing'!O40</f>
        <v>1310000</v>
      </c>
      <c r="P79" s="24" t="n">
        <f aca="false">'Sales &amp; marketing'!P40</f>
        <v>1310000</v>
      </c>
      <c r="Q79" s="24" t="n">
        <f aca="false">'Sales &amp; marketing'!Q40</f>
        <v>2620000</v>
      </c>
      <c r="R79" s="24" t="n">
        <f aca="false">'Sales &amp; marketing'!R40</f>
        <v>2620000</v>
      </c>
      <c r="S79" s="24" t="n">
        <f aca="false">'Sales &amp; marketing'!S40</f>
        <v>2620000</v>
      </c>
      <c r="T79" s="24" t="n">
        <f aca="false">'Sales &amp; marketing'!T40</f>
        <v>2620000</v>
      </c>
      <c r="U79" s="24" t="n">
        <f aca="false">'Sales &amp; marketing'!U40</f>
        <v>2620000</v>
      </c>
      <c r="V79" s="24" t="n">
        <f aca="false">'Sales &amp; marketing'!V40</f>
        <v>2620000</v>
      </c>
      <c r="W79" s="24" t="n">
        <f aca="false">'Sales &amp; marketing'!W40</f>
        <v>3930000</v>
      </c>
      <c r="X79" s="24" t="n">
        <f aca="false">'Sales &amp; marketing'!X40</f>
        <v>3930000</v>
      </c>
      <c r="Y79" s="24" t="n">
        <f aca="false">'Sales &amp; marketing'!Y40</f>
        <v>3930000</v>
      </c>
      <c r="Z79" s="24" t="n">
        <f aca="false">'Sales &amp; marketing'!Z40</f>
        <v>3930000</v>
      </c>
      <c r="AA79" s="24" t="n">
        <f aca="false">'Sales &amp; marketing'!AA40</f>
        <v>3930000</v>
      </c>
      <c r="AB79" s="24" t="n">
        <f aca="false">'Sales &amp; marketing'!AB40</f>
        <v>3930000</v>
      </c>
      <c r="AC79" s="24" t="n">
        <f aca="false">'Sales &amp; marketing'!AC40</f>
        <v>6560000</v>
      </c>
      <c r="AD79" s="24" t="n">
        <f aca="false">'Sales &amp; marketing'!AD40</f>
        <v>6560000</v>
      </c>
      <c r="AE79" s="24" t="n">
        <f aca="false">'Sales &amp; marketing'!AE40</f>
        <v>6560000</v>
      </c>
      <c r="AF79" s="24" t="n">
        <f aca="false">'Sales &amp; marketing'!AF40</f>
        <v>6560000</v>
      </c>
      <c r="AG79" s="24" t="n">
        <f aca="false">'Sales &amp; marketing'!AG40</f>
        <v>6560000</v>
      </c>
      <c r="AH79" s="24" t="n">
        <f aca="false">'Sales &amp; marketing'!AH40</f>
        <v>6560000</v>
      </c>
      <c r="AI79" s="24" t="n">
        <f aca="false">'Sales &amp; marketing'!AI40</f>
        <v>6560000</v>
      </c>
      <c r="AJ79" s="24" t="n">
        <f aca="false">'Sales &amp; marketing'!AJ40</f>
        <v>6560000</v>
      </c>
      <c r="AK79" s="24" t="n">
        <f aca="false">'Sales &amp; marketing'!AK40</f>
        <v>6560000</v>
      </c>
      <c r="AL79" s="24" t="n">
        <f aca="false">'Sales &amp; marketing'!AL40</f>
        <v>6560000</v>
      </c>
      <c r="AM79" s="24" t="n">
        <f aca="false">'Sales &amp; marketing'!AM40</f>
        <v>6560000</v>
      </c>
      <c r="AN79" s="24" t="n">
        <f aca="false">'Sales &amp; marketing'!AN40</f>
        <v>6560000</v>
      </c>
      <c r="AO79" s="24" t="n">
        <f aca="false">'Sales &amp; marketing'!AO40</f>
        <v>7870000</v>
      </c>
      <c r="AP79" s="24" t="n">
        <f aca="false">'Sales &amp; marketing'!AP40</f>
        <v>7870000</v>
      </c>
      <c r="AQ79" s="24" t="n">
        <f aca="false">'Sales &amp; marketing'!AQ40</f>
        <v>7870000</v>
      </c>
      <c r="AR79" s="24" t="n">
        <f aca="false">'Sales &amp; marketing'!AR40</f>
        <v>7870000</v>
      </c>
      <c r="AS79" s="24" t="n">
        <f aca="false">'Sales &amp; marketing'!AS40</f>
        <v>7870000</v>
      </c>
      <c r="AT79" s="24" t="n">
        <f aca="false">'Sales &amp; marketing'!AT40</f>
        <v>7870000</v>
      </c>
      <c r="AU79" s="24" t="n">
        <f aca="false">'Sales &amp; marketing'!AU40</f>
        <v>7870000</v>
      </c>
      <c r="AV79" s="24" t="n">
        <f aca="false">'Sales &amp; marketing'!AV40</f>
        <v>7870000</v>
      </c>
      <c r="AW79" s="24" t="n">
        <f aca="false">'Sales &amp; marketing'!AW40</f>
        <v>7870000</v>
      </c>
      <c r="AX79" s="24" t="n">
        <f aca="false">'Sales &amp; marketing'!AX40</f>
        <v>7870000</v>
      </c>
      <c r="AY79" s="24" t="n">
        <f aca="false">'Sales &amp; marketing'!AY40</f>
        <v>7870000</v>
      </c>
      <c r="AZ79" s="24" t="n">
        <f aca="false">'Sales &amp; marketing'!AZ40</f>
        <v>7870000</v>
      </c>
      <c r="BA79" s="24" t="n">
        <f aca="false">'Sales &amp; marketing'!BA40</f>
        <v>9190000</v>
      </c>
      <c r="BB79" s="24" t="n">
        <f aca="false">'Sales &amp; marketing'!BB40</f>
        <v>9190000</v>
      </c>
      <c r="BC79" s="24" t="n">
        <f aca="false">'Sales &amp; marketing'!BC40</f>
        <v>9190000</v>
      </c>
      <c r="BD79" s="24" t="n">
        <f aca="false">'Sales &amp; marketing'!BD40</f>
        <v>9190000</v>
      </c>
      <c r="BE79" s="24" t="n">
        <f aca="false">'Sales &amp; marketing'!BE40</f>
        <v>9190000</v>
      </c>
      <c r="BF79" s="24" t="n">
        <f aca="false">'Sales &amp; marketing'!BF40</f>
        <v>9190000</v>
      </c>
      <c r="BG79" s="24" t="n">
        <f aca="false">'Sales &amp; marketing'!BG40</f>
        <v>9190000</v>
      </c>
      <c r="BH79" s="24" t="n">
        <f aca="false">'Sales &amp; marketing'!BH40</f>
        <v>9190000</v>
      </c>
      <c r="BI79" s="24" t="n">
        <f aca="false">'Sales &amp; marketing'!BI40</f>
        <v>9190000</v>
      </c>
      <c r="BJ79" s="24" t="n">
        <f aca="false">'Sales &amp; marketing'!BJ40</f>
        <v>9190000</v>
      </c>
      <c r="BK79" s="24" t="n">
        <f aca="false">'Sales &amp; marketing'!BK40</f>
        <v>9190000</v>
      </c>
      <c r="BL79" s="24" t="n">
        <f aca="false">'Sales &amp; marketing'!BL40</f>
        <v>9190000</v>
      </c>
    </row>
    <row r="80" customFormat="false" ht="15" hidden="false" customHeight="true" outlineLevel="0" collapsed="false">
      <c r="A80" s="13" t="s">
        <v>880</v>
      </c>
      <c r="B80" s="15" t="s">
        <v>77</v>
      </c>
      <c r="D80" s="56" t="n">
        <f aca="false">SUM(E80:BL80)</f>
        <v>41330000</v>
      </c>
      <c r="E80" s="24" t="n">
        <f aca="false">'Sales &amp; marketing'!E41</f>
        <v>1366666.66666667</v>
      </c>
      <c r="F80" s="24" t="n">
        <f aca="false">'Sales &amp; marketing'!F41</f>
        <v>1366666.66666667</v>
      </c>
      <c r="G80" s="24" t="n">
        <f aca="false">'Sales &amp; marketing'!G41</f>
        <v>1366666.66666667</v>
      </c>
      <c r="H80" s="24" t="n">
        <f aca="false">'Sales &amp; marketing'!H41</f>
        <v>1366666.66666667</v>
      </c>
      <c r="I80" s="24" t="n">
        <f aca="false">'Sales &amp; marketing'!I41</f>
        <v>1366666.66666667</v>
      </c>
      <c r="J80" s="24" t="n">
        <f aca="false">'Sales &amp; marketing'!J41</f>
        <v>1366666.66666667</v>
      </c>
      <c r="K80" s="24" t="n">
        <f aca="false">'Sales &amp; marketing'!K41</f>
        <v>1366666.66666667</v>
      </c>
      <c r="L80" s="24" t="n">
        <f aca="false">'Sales &amp; marketing'!L41</f>
        <v>1366666.66666667</v>
      </c>
      <c r="M80" s="24" t="n">
        <f aca="false">'Sales &amp; marketing'!M41</f>
        <v>1366666.66666667</v>
      </c>
      <c r="N80" s="24" t="n">
        <f aca="false">'Sales &amp; marketing'!N41</f>
        <v>1366666.66666667</v>
      </c>
      <c r="O80" s="24" t="n">
        <f aca="false">'Sales &amp; marketing'!O41</f>
        <v>1366666.66666667</v>
      </c>
      <c r="P80" s="24" t="n">
        <f aca="false">'Sales &amp; marketing'!P41</f>
        <v>1366666.66666667</v>
      </c>
      <c r="Q80" s="24" t="n">
        <f aca="false">'Sales &amp; marketing'!Q41</f>
        <v>437500</v>
      </c>
      <c r="R80" s="24" t="n">
        <f aca="false">'Sales &amp; marketing'!R41</f>
        <v>437500</v>
      </c>
      <c r="S80" s="24" t="n">
        <f aca="false">'Sales &amp; marketing'!S41</f>
        <v>437500</v>
      </c>
      <c r="T80" s="24" t="n">
        <f aca="false">'Sales &amp; marketing'!T41</f>
        <v>437500</v>
      </c>
      <c r="U80" s="24" t="n">
        <f aca="false">'Sales &amp; marketing'!U41</f>
        <v>437500</v>
      </c>
      <c r="V80" s="24" t="n">
        <f aca="false">'Sales &amp; marketing'!V41</f>
        <v>437500</v>
      </c>
      <c r="W80" s="24" t="n">
        <f aca="false">'Sales &amp; marketing'!W41</f>
        <v>437500</v>
      </c>
      <c r="X80" s="24" t="n">
        <f aca="false">'Sales &amp; marketing'!X41</f>
        <v>437500</v>
      </c>
      <c r="Y80" s="24" t="n">
        <f aca="false">'Sales &amp; marketing'!Y41</f>
        <v>437500</v>
      </c>
      <c r="Z80" s="24" t="n">
        <f aca="false">'Sales &amp; marketing'!Z41</f>
        <v>437500</v>
      </c>
      <c r="AA80" s="24" t="n">
        <f aca="false">'Sales &amp; marketing'!AA41</f>
        <v>437500</v>
      </c>
      <c r="AB80" s="24" t="n">
        <f aca="false">'Sales &amp; marketing'!AB41</f>
        <v>437500</v>
      </c>
      <c r="AC80" s="24" t="n">
        <f aca="false">'Sales &amp; marketing'!AC41</f>
        <v>546666.666666667</v>
      </c>
      <c r="AD80" s="24" t="n">
        <f aca="false">'Sales &amp; marketing'!AD41</f>
        <v>546666.666666667</v>
      </c>
      <c r="AE80" s="24" t="n">
        <f aca="false">'Sales &amp; marketing'!AE41</f>
        <v>546666.666666667</v>
      </c>
      <c r="AF80" s="24" t="n">
        <f aca="false">'Sales &amp; marketing'!AF41</f>
        <v>546666.666666667</v>
      </c>
      <c r="AG80" s="24" t="n">
        <f aca="false">'Sales &amp; marketing'!AG41</f>
        <v>546666.666666667</v>
      </c>
      <c r="AH80" s="24" t="n">
        <f aca="false">'Sales &amp; marketing'!AH41</f>
        <v>546666.666666667</v>
      </c>
      <c r="AI80" s="24" t="n">
        <f aca="false">'Sales &amp; marketing'!AI41</f>
        <v>546666.666666667</v>
      </c>
      <c r="AJ80" s="24" t="n">
        <f aca="false">'Sales &amp; marketing'!AJ41</f>
        <v>546666.666666667</v>
      </c>
      <c r="AK80" s="24" t="n">
        <f aca="false">'Sales &amp; marketing'!AK41</f>
        <v>546666.666666667</v>
      </c>
      <c r="AL80" s="24" t="n">
        <f aca="false">'Sales &amp; marketing'!AL41</f>
        <v>546666.666666667</v>
      </c>
      <c r="AM80" s="24" t="n">
        <f aca="false">'Sales &amp; marketing'!AM41</f>
        <v>546666.666666667</v>
      </c>
      <c r="AN80" s="24" t="n">
        <f aca="false">'Sales &amp; marketing'!AN41</f>
        <v>546666.666666667</v>
      </c>
      <c r="AO80" s="24" t="n">
        <f aca="false">'Sales &amp; marketing'!AO41</f>
        <v>546666.666666667</v>
      </c>
      <c r="AP80" s="24" t="n">
        <f aca="false">'Sales &amp; marketing'!AP41</f>
        <v>546666.666666667</v>
      </c>
      <c r="AQ80" s="24" t="n">
        <f aca="false">'Sales &amp; marketing'!AQ41</f>
        <v>546666.666666667</v>
      </c>
      <c r="AR80" s="24" t="n">
        <f aca="false">'Sales &amp; marketing'!AR41</f>
        <v>546666.666666667</v>
      </c>
      <c r="AS80" s="24" t="n">
        <f aca="false">'Sales &amp; marketing'!AS41</f>
        <v>546666.666666667</v>
      </c>
      <c r="AT80" s="24" t="n">
        <f aca="false">'Sales &amp; marketing'!AT41</f>
        <v>546666.666666667</v>
      </c>
      <c r="AU80" s="24" t="n">
        <f aca="false">'Sales &amp; marketing'!AU41</f>
        <v>546666.666666667</v>
      </c>
      <c r="AV80" s="24" t="n">
        <f aca="false">'Sales &amp; marketing'!AV41</f>
        <v>546666.666666667</v>
      </c>
      <c r="AW80" s="24" t="n">
        <f aca="false">'Sales &amp; marketing'!AW41</f>
        <v>546666.666666667</v>
      </c>
      <c r="AX80" s="24" t="n">
        <f aca="false">'Sales &amp; marketing'!AX41</f>
        <v>546666.666666667</v>
      </c>
      <c r="AY80" s="24" t="n">
        <f aca="false">'Sales &amp; marketing'!AY41</f>
        <v>546666.666666667</v>
      </c>
      <c r="AZ80" s="24" t="n">
        <f aca="false">'Sales &amp; marketing'!AZ41</f>
        <v>546666.666666667</v>
      </c>
      <c r="BA80" s="24" t="n">
        <f aca="false">'Sales &amp; marketing'!BA41</f>
        <v>546666.666666667</v>
      </c>
      <c r="BB80" s="24" t="n">
        <f aca="false">'Sales &amp; marketing'!BB41</f>
        <v>546666.666666667</v>
      </c>
      <c r="BC80" s="24" t="n">
        <f aca="false">'Sales &amp; marketing'!BC41</f>
        <v>546666.666666667</v>
      </c>
      <c r="BD80" s="24" t="n">
        <f aca="false">'Sales &amp; marketing'!BD41</f>
        <v>546666.666666667</v>
      </c>
      <c r="BE80" s="24" t="n">
        <f aca="false">'Sales &amp; marketing'!BE41</f>
        <v>546666.666666667</v>
      </c>
      <c r="BF80" s="24" t="n">
        <f aca="false">'Sales &amp; marketing'!BF41</f>
        <v>546666.666666667</v>
      </c>
      <c r="BG80" s="24" t="n">
        <f aca="false">'Sales &amp; marketing'!BG41</f>
        <v>546666.666666667</v>
      </c>
      <c r="BH80" s="24" t="n">
        <f aca="false">'Sales &amp; marketing'!BH41</f>
        <v>546666.666666667</v>
      </c>
      <c r="BI80" s="24" t="n">
        <f aca="false">'Sales &amp; marketing'!BI41</f>
        <v>546666.666666667</v>
      </c>
      <c r="BJ80" s="24" t="n">
        <f aca="false">'Sales &amp; marketing'!BJ41</f>
        <v>546666.666666667</v>
      </c>
      <c r="BK80" s="24" t="n">
        <f aca="false">'Sales &amp; marketing'!BK41</f>
        <v>546666.666666667</v>
      </c>
      <c r="BL80" s="24" t="n">
        <f aca="false">'Sales &amp; marketing'!BL41</f>
        <v>546666.666666667</v>
      </c>
    </row>
    <row r="81" customFormat="false" ht="15" hidden="false" customHeight="true" outlineLevel="0" collapsed="false">
      <c r="A81" s="13" t="s">
        <v>882</v>
      </c>
      <c r="B81" s="15" t="s">
        <v>77</v>
      </c>
      <c r="D81" s="56" t="n">
        <f aca="false">SUM(E81:BL81)</f>
        <v>137740000</v>
      </c>
      <c r="E81" s="24" t="n">
        <f aca="false">'Sales &amp; marketing'!E42</f>
        <v>820000</v>
      </c>
      <c r="F81" s="24" t="n">
        <f aca="false">'Sales &amp; marketing'!F42</f>
        <v>820000</v>
      </c>
      <c r="G81" s="24" t="n">
        <f aca="false">'Sales &amp; marketing'!G42</f>
        <v>820000</v>
      </c>
      <c r="H81" s="24" t="n">
        <f aca="false">'Sales &amp; marketing'!H42</f>
        <v>820000</v>
      </c>
      <c r="I81" s="24" t="n">
        <f aca="false">'Sales &amp; marketing'!I42</f>
        <v>820000</v>
      </c>
      <c r="J81" s="24" t="n">
        <f aca="false">'Sales &amp; marketing'!J42</f>
        <v>820000</v>
      </c>
      <c r="K81" s="24" t="n">
        <f aca="false">'Sales &amp; marketing'!K42</f>
        <v>820000</v>
      </c>
      <c r="L81" s="24" t="n">
        <f aca="false">'Sales &amp; marketing'!L42</f>
        <v>820000</v>
      </c>
      <c r="M81" s="24" t="n">
        <f aca="false">'Sales &amp; marketing'!M42</f>
        <v>820000</v>
      </c>
      <c r="N81" s="24" t="n">
        <f aca="false">'Sales &amp; marketing'!N42</f>
        <v>820000</v>
      </c>
      <c r="O81" s="24" t="n">
        <f aca="false">'Sales &amp; marketing'!O42</f>
        <v>820000</v>
      </c>
      <c r="P81" s="24" t="n">
        <f aca="false">'Sales &amp; marketing'!P42</f>
        <v>820000</v>
      </c>
      <c r="Q81" s="24" t="n">
        <f aca="false">'Sales &amp; marketing'!Q42</f>
        <v>1641666.66666667</v>
      </c>
      <c r="R81" s="24" t="n">
        <f aca="false">'Sales &amp; marketing'!R42</f>
        <v>1641666.66666667</v>
      </c>
      <c r="S81" s="24" t="n">
        <f aca="false">'Sales &amp; marketing'!S42</f>
        <v>1641666.66666667</v>
      </c>
      <c r="T81" s="24" t="n">
        <f aca="false">'Sales &amp; marketing'!T42</f>
        <v>1641666.66666667</v>
      </c>
      <c r="U81" s="24" t="n">
        <f aca="false">'Sales &amp; marketing'!U42</f>
        <v>1641666.66666667</v>
      </c>
      <c r="V81" s="24" t="n">
        <f aca="false">'Sales &amp; marketing'!V42</f>
        <v>1641666.66666667</v>
      </c>
      <c r="W81" s="24" t="n">
        <f aca="false">'Sales &amp; marketing'!W42</f>
        <v>1641666.66666667</v>
      </c>
      <c r="X81" s="24" t="n">
        <f aca="false">'Sales &amp; marketing'!X42</f>
        <v>1641666.66666667</v>
      </c>
      <c r="Y81" s="24" t="n">
        <f aca="false">'Sales &amp; marketing'!Y42</f>
        <v>1641666.66666667</v>
      </c>
      <c r="Z81" s="24" t="n">
        <f aca="false">'Sales &amp; marketing'!Z42</f>
        <v>1641666.66666667</v>
      </c>
      <c r="AA81" s="24" t="n">
        <f aca="false">'Sales &amp; marketing'!AA42</f>
        <v>1641666.66666667</v>
      </c>
      <c r="AB81" s="24" t="n">
        <f aca="false">'Sales &amp; marketing'!AB42</f>
        <v>1641666.66666667</v>
      </c>
      <c r="AC81" s="24" t="n">
        <f aca="false">'Sales &amp; marketing'!AC42</f>
        <v>2458333.33333333</v>
      </c>
      <c r="AD81" s="24" t="n">
        <f aca="false">'Sales &amp; marketing'!AD42</f>
        <v>2458333.33333333</v>
      </c>
      <c r="AE81" s="24" t="n">
        <f aca="false">'Sales &amp; marketing'!AE42</f>
        <v>2458333.33333333</v>
      </c>
      <c r="AF81" s="24" t="n">
        <f aca="false">'Sales &amp; marketing'!AF42</f>
        <v>2458333.33333333</v>
      </c>
      <c r="AG81" s="24" t="n">
        <f aca="false">'Sales &amp; marketing'!AG42</f>
        <v>2458333.33333333</v>
      </c>
      <c r="AH81" s="24" t="n">
        <f aca="false">'Sales &amp; marketing'!AH42</f>
        <v>2458333.33333333</v>
      </c>
      <c r="AI81" s="24" t="n">
        <f aca="false">'Sales &amp; marketing'!AI42</f>
        <v>2458333.33333333</v>
      </c>
      <c r="AJ81" s="24" t="n">
        <f aca="false">'Sales &amp; marketing'!AJ42</f>
        <v>2458333.33333333</v>
      </c>
      <c r="AK81" s="24" t="n">
        <f aca="false">'Sales &amp; marketing'!AK42</f>
        <v>2458333.33333333</v>
      </c>
      <c r="AL81" s="24" t="n">
        <f aca="false">'Sales &amp; marketing'!AL42</f>
        <v>2458333.33333333</v>
      </c>
      <c r="AM81" s="24" t="n">
        <f aca="false">'Sales &amp; marketing'!AM42</f>
        <v>2458333.33333333</v>
      </c>
      <c r="AN81" s="24" t="n">
        <f aca="false">'Sales &amp; marketing'!AN42</f>
        <v>2458333.33333333</v>
      </c>
      <c r="AO81" s="24" t="n">
        <f aca="false">'Sales &amp; marketing'!AO42</f>
        <v>3008333.33333333</v>
      </c>
      <c r="AP81" s="24" t="n">
        <f aca="false">'Sales &amp; marketing'!AP42</f>
        <v>3008333.33333333</v>
      </c>
      <c r="AQ81" s="24" t="n">
        <f aca="false">'Sales &amp; marketing'!AQ42</f>
        <v>3008333.33333333</v>
      </c>
      <c r="AR81" s="24" t="n">
        <f aca="false">'Sales &amp; marketing'!AR42</f>
        <v>3008333.33333333</v>
      </c>
      <c r="AS81" s="24" t="n">
        <f aca="false">'Sales &amp; marketing'!AS42</f>
        <v>3008333.33333333</v>
      </c>
      <c r="AT81" s="24" t="n">
        <f aca="false">'Sales &amp; marketing'!AT42</f>
        <v>3008333.33333333</v>
      </c>
      <c r="AU81" s="24" t="n">
        <f aca="false">'Sales &amp; marketing'!AU42</f>
        <v>3008333.33333333</v>
      </c>
      <c r="AV81" s="24" t="n">
        <f aca="false">'Sales &amp; marketing'!AV42</f>
        <v>3008333.33333333</v>
      </c>
      <c r="AW81" s="24" t="n">
        <f aca="false">'Sales &amp; marketing'!AW42</f>
        <v>3008333.33333333</v>
      </c>
      <c r="AX81" s="24" t="n">
        <f aca="false">'Sales &amp; marketing'!AX42</f>
        <v>3008333.33333333</v>
      </c>
      <c r="AY81" s="24" t="n">
        <f aca="false">'Sales &amp; marketing'!AY42</f>
        <v>3008333.33333333</v>
      </c>
      <c r="AZ81" s="24" t="n">
        <f aca="false">'Sales &amp; marketing'!AZ42</f>
        <v>3008333.33333333</v>
      </c>
      <c r="BA81" s="24" t="n">
        <f aca="false">'Sales &amp; marketing'!BA42</f>
        <v>3550000</v>
      </c>
      <c r="BB81" s="24" t="n">
        <f aca="false">'Sales &amp; marketing'!BB42</f>
        <v>3550000</v>
      </c>
      <c r="BC81" s="24" t="n">
        <f aca="false">'Sales &amp; marketing'!BC42</f>
        <v>3550000</v>
      </c>
      <c r="BD81" s="24" t="n">
        <f aca="false">'Sales &amp; marketing'!BD42</f>
        <v>3550000</v>
      </c>
      <c r="BE81" s="24" t="n">
        <f aca="false">'Sales &amp; marketing'!BE42</f>
        <v>3550000</v>
      </c>
      <c r="BF81" s="24" t="n">
        <f aca="false">'Sales &amp; marketing'!BF42</f>
        <v>3550000</v>
      </c>
      <c r="BG81" s="24" t="n">
        <f aca="false">'Sales &amp; marketing'!BG42</f>
        <v>3550000</v>
      </c>
      <c r="BH81" s="24" t="n">
        <f aca="false">'Sales &amp; marketing'!BH42</f>
        <v>3550000</v>
      </c>
      <c r="BI81" s="24" t="n">
        <f aca="false">'Sales &amp; marketing'!BI42</f>
        <v>3550000</v>
      </c>
      <c r="BJ81" s="24" t="n">
        <f aca="false">'Sales &amp; marketing'!BJ42</f>
        <v>3550000</v>
      </c>
      <c r="BK81" s="24" t="n">
        <f aca="false">'Sales &amp; marketing'!BK42</f>
        <v>3550000</v>
      </c>
      <c r="BL81" s="24" t="n">
        <f aca="false">'Sales &amp; marketing'!BL42</f>
        <v>3550000</v>
      </c>
    </row>
    <row r="82" customFormat="false" ht="15" hidden="false" customHeight="true" outlineLevel="0" collapsed="false">
      <c r="A82" s="13" t="s">
        <v>1201</v>
      </c>
      <c r="B82" s="15" t="s">
        <v>77</v>
      </c>
      <c r="D82" s="56" t="n">
        <f aca="false">SUM(E82:BL82)</f>
        <v>89166687.9665679</v>
      </c>
      <c r="E82" s="24" t="n">
        <f aca="false">'Sales &amp; marketing'!E43</f>
        <v>0</v>
      </c>
      <c r="F82" s="24" t="n">
        <f aca="false">'Sales &amp; marketing'!F43</f>
        <v>0</v>
      </c>
      <c r="G82" s="24" t="n">
        <f aca="false">'Sales &amp; marketing'!G43</f>
        <v>0</v>
      </c>
      <c r="H82" s="24" t="n">
        <f aca="false">'Sales &amp; marketing'!H43</f>
        <v>0</v>
      </c>
      <c r="I82" s="24" t="n">
        <f aca="false">'Sales &amp; marketing'!I43</f>
        <v>200000</v>
      </c>
      <c r="J82" s="24" t="n">
        <f aca="false">'Sales &amp; marketing'!J43</f>
        <v>212000</v>
      </c>
      <c r="K82" s="24" t="n">
        <f aca="false">'Sales &amp; marketing'!K43</f>
        <v>224720</v>
      </c>
      <c r="L82" s="24" t="n">
        <f aca="false">'Sales &amp; marketing'!L43</f>
        <v>238203.2</v>
      </c>
      <c r="M82" s="24" t="n">
        <f aca="false">'Sales &amp; marketing'!M43</f>
        <v>252495.392</v>
      </c>
      <c r="N82" s="24" t="n">
        <f aca="false">'Sales &amp; marketing'!N43</f>
        <v>267645.11552</v>
      </c>
      <c r="O82" s="24" t="n">
        <f aca="false">'Sales &amp; marketing'!O43</f>
        <v>283703.8224512</v>
      </c>
      <c r="P82" s="24" t="n">
        <f aca="false">'Sales &amp; marketing'!P43</f>
        <v>300726.051798272</v>
      </c>
      <c r="Q82" s="24" t="n">
        <f aca="false">'Sales &amp; marketing'!Q43</f>
        <v>318769.614906169</v>
      </c>
      <c r="R82" s="24" t="n">
        <f aca="false">'Sales &amp; marketing'!R43</f>
        <v>337895.791800539</v>
      </c>
      <c r="S82" s="24" t="n">
        <f aca="false">'Sales &amp; marketing'!S43</f>
        <v>358169.539308571</v>
      </c>
      <c r="T82" s="24" t="n">
        <f aca="false">'Sales &amp; marketing'!T43</f>
        <v>379659.711667085</v>
      </c>
      <c r="U82" s="24" t="n">
        <f aca="false">'Sales &amp; marketing'!U43</f>
        <v>402439.29436711</v>
      </c>
      <c r="V82" s="24" t="n">
        <f aca="false">'Sales &amp; marketing'!V43</f>
        <v>426585.652029137</v>
      </c>
      <c r="W82" s="24" t="n">
        <f aca="false">'Sales &amp; marketing'!W43</f>
        <v>602180.791150885</v>
      </c>
      <c r="X82" s="24" t="n">
        <f aca="false">'Sales &amp; marketing'!X43</f>
        <v>638311.638619938</v>
      </c>
      <c r="Y82" s="24" t="n">
        <f aca="false">'Sales &amp; marketing'!Y43</f>
        <v>676610.336937135</v>
      </c>
      <c r="Z82" s="24" t="n">
        <f aca="false">'Sales &amp; marketing'!Z43</f>
        <v>717206.957153363</v>
      </c>
      <c r="AA82" s="24" t="n">
        <f aca="false">'Sales &amp; marketing'!AA43</f>
        <v>760239.374582565</v>
      </c>
      <c r="AB82" s="24" t="n">
        <f aca="false">'Sales &amp; marketing'!AB43</f>
        <v>805853.737057518</v>
      </c>
      <c r="AC82" s="24" t="n">
        <f aca="false">'Sales &amp; marketing'!AC43</f>
        <v>854204.96128097</v>
      </c>
      <c r="AD82" s="24" t="n">
        <f aca="false">'Sales &amp; marketing'!AD43</f>
        <v>905457.258957828</v>
      </c>
      <c r="AE82" s="24" t="n">
        <f aca="false">'Sales &amp; marketing'!AE43</f>
        <v>959784.694495298</v>
      </c>
      <c r="AF82" s="24" t="n">
        <f aca="false">'Sales &amp; marketing'!AF43</f>
        <v>1017371.77616502</v>
      </c>
      <c r="AG82" s="24" t="n">
        <f aca="false">'Sales &amp; marketing'!AG43</f>
        <v>1078414.08273492</v>
      </c>
      <c r="AH82" s="24" t="n">
        <f aca="false">'Sales &amp; marketing'!AH43</f>
        <v>1143118.92769901</v>
      </c>
      <c r="AI82" s="24" t="n">
        <f aca="false">'Sales &amp; marketing'!AI43</f>
        <v>1211706.06336095</v>
      </c>
      <c r="AJ82" s="24" t="n">
        <f aca="false">'Sales &amp; marketing'!AJ43</f>
        <v>1284408.42716261</v>
      </c>
      <c r="AK82" s="24" t="n">
        <f aca="false">'Sales &amp; marketing'!AK43</f>
        <v>1361472.93279237</v>
      </c>
      <c r="AL82" s="24" t="n">
        <f aca="false">'Sales &amp; marketing'!AL43</f>
        <v>1443161.30875991</v>
      </c>
      <c r="AM82" s="24" t="n">
        <f aca="false">'Sales &amp; marketing'!AM43</f>
        <v>1529750.9872855</v>
      </c>
      <c r="AN82" s="24" t="n">
        <f aca="false">'Sales &amp; marketing'!AN43</f>
        <v>1621536.04652263</v>
      </c>
      <c r="AO82" s="24" t="n">
        <f aca="false">'Sales &amp; marketing'!AO43</f>
        <v>1718828.20931399</v>
      </c>
      <c r="AP82" s="24" t="n">
        <f aca="false">'Sales &amp; marketing'!AP43</f>
        <v>1821957.90187283</v>
      </c>
      <c r="AQ82" s="24" t="n">
        <f aca="false">'Sales &amp; marketing'!AQ43</f>
        <v>1931275.3759852</v>
      </c>
      <c r="AR82" s="24" t="n">
        <f aca="false">'Sales &amp; marketing'!AR43</f>
        <v>2047151.89854431</v>
      </c>
      <c r="AS82" s="24" t="n">
        <f aca="false">'Sales &amp; marketing'!AS43</f>
        <v>2169981.01245697</v>
      </c>
      <c r="AT82" s="24" t="n">
        <f aca="false">'Sales &amp; marketing'!AT43</f>
        <v>2300179.87320439</v>
      </c>
      <c r="AU82" s="24" t="n">
        <f aca="false">'Sales &amp; marketing'!AU43</f>
        <v>2438190.66559665</v>
      </c>
      <c r="AV82" s="24" t="n">
        <f aca="false">'Sales &amp; marketing'!AV43</f>
        <v>2584482.10553245</v>
      </c>
      <c r="AW82" s="24" t="n">
        <f aca="false">'Sales &amp; marketing'!AW43</f>
        <v>2682407.44443921</v>
      </c>
      <c r="AX82" s="24" t="n">
        <f aca="false">'Sales &amp; marketing'!AX43</f>
        <v>2723351.89110557</v>
      </c>
      <c r="AY82" s="24" t="n">
        <f aca="false">'Sales &amp; marketing'!AY43</f>
        <v>2766753.0045719</v>
      </c>
      <c r="AZ82" s="24" t="n">
        <f aca="false">'Sales &amp; marketing'!AZ43</f>
        <v>2812758.18484622</v>
      </c>
      <c r="BA82" s="24" t="n">
        <f aca="false">'Sales &amp; marketing'!BA43</f>
        <v>2861523.67593699</v>
      </c>
      <c r="BB82" s="24" t="n">
        <f aca="false">'Sales &amp; marketing'!BB43</f>
        <v>2913215.09649321</v>
      </c>
      <c r="BC82" s="24" t="n">
        <f aca="false">'Sales &amp; marketing'!BC43</f>
        <v>2968008.0022828</v>
      </c>
      <c r="BD82" s="24" t="n">
        <f aca="false">'Sales &amp; marketing'!BD43</f>
        <v>3026088.48241977</v>
      </c>
      <c r="BE82" s="24" t="n">
        <f aca="false">'Sales &amp; marketing'!BE43</f>
        <v>3087653.79136496</v>
      </c>
      <c r="BF82" s="24" t="n">
        <f aca="false">'Sales &amp; marketing'!BF43</f>
        <v>3152913.01884685</v>
      </c>
      <c r="BG82" s="24" t="n">
        <f aca="false">'Sales &amp; marketing'!BG43</f>
        <v>3222087.79997766</v>
      </c>
      <c r="BH82" s="24" t="n">
        <f aca="false">'Sales &amp; marketing'!BH43</f>
        <v>3295413.06797632</v>
      </c>
      <c r="BI82" s="24" t="n">
        <f aca="false">'Sales &amp; marketing'!BI43</f>
        <v>3373137.8520549</v>
      </c>
      <c r="BJ82" s="24" t="n">
        <f aca="false">'Sales &amp; marketing'!BJ43</f>
        <v>3455526.1231782</v>
      </c>
      <c r="BK82" s="24" t="n">
        <f aca="false">'Sales &amp; marketing'!BK43</f>
        <v>3500000</v>
      </c>
      <c r="BL82" s="24" t="n">
        <f aca="false">'Sales &amp; marketing'!BL43</f>
        <v>3500000</v>
      </c>
    </row>
    <row r="83" customFormat="false" ht="15" hidden="false" customHeight="true" outlineLevel="0" collapsed="false">
      <c r="A83" s="13" t="s">
        <v>1202</v>
      </c>
      <c r="B83" s="15" t="s">
        <v>77</v>
      </c>
      <c r="D83" s="56" t="n">
        <f aca="false">SUM(E83:BL83)</f>
        <v>44100000</v>
      </c>
      <c r="E83" s="24" t="n">
        <f aca="false">'Sales &amp; marketing'!E44</f>
        <v>75000</v>
      </c>
      <c r="F83" s="24" t="n">
        <f aca="false">'Sales &amp; marketing'!F44</f>
        <v>75000</v>
      </c>
      <c r="G83" s="24" t="n">
        <f aca="false">'Sales &amp; marketing'!G44</f>
        <v>75000</v>
      </c>
      <c r="H83" s="24" t="n">
        <f aca="false">'Sales &amp; marketing'!H44</f>
        <v>225000</v>
      </c>
      <c r="I83" s="24" t="n">
        <f aca="false">'Sales &amp; marketing'!I44</f>
        <v>225000</v>
      </c>
      <c r="J83" s="24" t="n">
        <f aca="false">'Sales &amp; marketing'!J44</f>
        <v>225000</v>
      </c>
      <c r="K83" s="24" t="n">
        <f aca="false">'Sales &amp; marketing'!K44</f>
        <v>225000</v>
      </c>
      <c r="L83" s="24" t="n">
        <f aca="false">'Sales &amp; marketing'!L44</f>
        <v>225000</v>
      </c>
      <c r="M83" s="24" t="n">
        <f aca="false">'Sales &amp; marketing'!M44</f>
        <v>225000</v>
      </c>
      <c r="N83" s="24" t="n">
        <f aca="false">'Sales &amp; marketing'!N44</f>
        <v>225000</v>
      </c>
      <c r="O83" s="24" t="n">
        <f aca="false">'Sales &amp; marketing'!O44</f>
        <v>225000</v>
      </c>
      <c r="P83" s="24" t="n">
        <f aca="false">'Sales &amp; marketing'!P44</f>
        <v>225000</v>
      </c>
      <c r="Q83" s="24" t="n">
        <f aca="false">'Sales &amp; marketing'!Q44</f>
        <v>225000</v>
      </c>
      <c r="R83" s="24" t="n">
        <f aca="false">'Sales &amp; marketing'!R44</f>
        <v>225000</v>
      </c>
      <c r="S83" s="24" t="n">
        <f aca="false">'Sales &amp; marketing'!S44</f>
        <v>225000</v>
      </c>
      <c r="T83" s="24" t="n">
        <f aca="false">'Sales &amp; marketing'!T44</f>
        <v>225000</v>
      </c>
      <c r="U83" s="24" t="n">
        <f aca="false">'Sales &amp; marketing'!U44</f>
        <v>225000</v>
      </c>
      <c r="V83" s="24" t="n">
        <f aca="false">'Sales &amp; marketing'!V44</f>
        <v>375000</v>
      </c>
      <c r="W83" s="24" t="n">
        <f aca="false">'Sales &amp; marketing'!W44</f>
        <v>375000</v>
      </c>
      <c r="X83" s="24" t="n">
        <f aca="false">'Sales &amp; marketing'!X44</f>
        <v>450000</v>
      </c>
      <c r="Y83" s="24" t="n">
        <f aca="false">'Sales &amp; marketing'!Y44</f>
        <v>450000</v>
      </c>
      <c r="Z83" s="24" t="n">
        <f aca="false">'Sales &amp; marketing'!Z44</f>
        <v>450000</v>
      </c>
      <c r="AA83" s="24" t="n">
        <f aca="false">'Sales &amp; marketing'!AA44</f>
        <v>450000</v>
      </c>
      <c r="AB83" s="24" t="n">
        <f aca="false">'Sales &amp; marketing'!AB44</f>
        <v>450000</v>
      </c>
      <c r="AC83" s="24" t="n">
        <f aca="false">'Sales &amp; marketing'!AC44</f>
        <v>450000</v>
      </c>
      <c r="AD83" s="24" t="n">
        <f aca="false">'Sales &amp; marketing'!AD44</f>
        <v>525000</v>
      </c>
      <c r="AE83" s="24" t="n">
        <f aca="false">'Sales &amp; marketing'!AE44</f>
        <v>525000</v>
      </c>
      <c r="AF83" s="24" t="n">
        <f aca="false">'Sales &amp; marketing'!AF44</f>
        <v>525000</v>
      </c>
      <c r="AG83" s="24" t="n">
        <f aca="false">'Sales &amp; marketing'!AG44</f>
        <v>525000</v>
      </c>
      <c r="AH83" s="24" t="n">
        <f aca="false">'Sales &amp; marketing'!AH44</f>
        <v>600000</v>
      </c>
      <c r="AI83" s="24" t="n">
        <f aca="false">'Sales &amp; marketing'!AI44</f>
        <v>600000</v>
      </c>
      <c r="AJ83" s="24" t="n">
        <f aca="false">'Sales &amp; marketing'!AJ44</f>
        <v>600000</v>
      </c>
      <c r="AK83" s="24" t="n">
        <f aca="false">'Sales &amp; marketing'!AK44</f>
        <v>600000</v>
      </c>
      <c r="AL83" s="24" t="n">
        <f aca="false">'Sales &amp; marketing'!AL44</f>
        <v>675000</v>
      </c>
      <c r="AM83" s="24" t="n">
        <f aca="false">'Sales &amp; marketing'!AM44</f>
        <v>675000</v>
      </c>
      <c r="AN83" s="24" t="n">
        <f aca="false">'Sales &amp; marketing'!AN44</f>
        <v>750000</v>
      </c>
      <c r="AO83" s="24" t="n">
        <f aca="false">'Sales &amp; marketing'!AO44</f>
        <v>825000</v>
      </c>
      <c r="AP83" s="24" t="n">
        <f aca="false">'Sales &amp; marketing'!AP44</f>
        <v>825000</v>
      </c>
      <c r="AQ83" s="24" t="n">
        <f aca="false">'Sales &amp; marketing'!AQ44</f>
        <v>825000</v>
      </c>
      <c r="AR83" s="24" t="n">
        <f aca="false">'Sales &amp; marketing'!AR44</f>
        <v>900000</v>
      </c>
      <c r="AS83" s="24" t="n">
        <f aca="false">'Sales &amp; marketing'!AS44</f>
        <v>900000</v>
      </c>
      <c r="AT83" s="24" t="n">
        <f aca="false">'Sales &amp; marketing'!AT44</f>
        <v>900000</v>
      </c>
      <c r="AU83" s="24" t="n">
        <f aca="false">'Sales &amp; marketing'!AU44</f>
        <v>1050000</v>
      </c>
      <c r="AV83" s="24" t="n">
        <f aca="false">'Sales &amp; marketing'!AV44</f>
        <v>1050000</v>
      </c>
      <c r="AW83" s="24" t="n">
        <f aca="false">'Sales &amp; marketing'!AW44</f>
        <v>1125000</v>
      </c>
      <c r="AX83" s="24" t="n">
        <f aca="false">'Sales &amp; marketing'!AX44</f>
        <v>1125000</v>
      </c>
      <c r="AY83" s="24" t="n">
        <f aca="false">'Sales &amp; marketing'!AY44</f>
        <v>1125000</v>
      </c>
      <c r="AZ83" s="24" t="n">
        <f aca="false">'Sales &amp; marketing'!AZ44</f>
        <v>1275000</v>
      </c>
      <c r="BA83" s="24" t="n">
        <f aca="false">'Sales &amp; marketing'!BA44</f>
        <v>1275000</v>
      </c>
      <c r="BB83" s="24" t="n">
        <f aca="false">'Sales &amp; marketing'!BB44</f>
        <v>1350000</v>
      </c>
      <c r="BC83" s="24" t="n">
        <f aca="false">'Sales &amp; marketing'!BC44</f>
        <v>1350000</v>
      </c>
      <c r="BD83" s="24" t="n">
        <f aca="false">'Sales &amp; marketing'!BD44</f>
        <v>1425000</v>
      </c>
      <c r="BE83" s="24" t="n">
        <f aca="false">'Sales &amp; marketing'!BE44</f>
        <v>1500000</v>
      </c>
      <c r="BF83" s="24" t="n">
        <f aca="false">'Sales &amp; marketing'!BF44</f>
        <v>1500000</v>
      </c>
      <c r="BG83" s="24" t="n">
        <f aca="false">'Sales &amp; marketing'!BG44</f>
        <v>1575000</v>
      </c>
      <c r="BH83" s="24" t="n">
        <f aca="false">'Sales &amp; marketing'!BH44</f>
        <v>1650000</v>
      </c>
      <c r="BI83" s="24" t="n">
        <f aca="false">'Sales &amp; marketing'!BI44</f>
        <v>1725000</v>
      </c>
      <c r="BJ83" s="24" t="n">
        <f aca="false">'Sales &amp; marketing'!BJ44</f>
        <v>1725000</v>
      </c>
      <c r="BK83" s="24" t="n">
        <f aca="false">'Sales &amp; marketing'!BK44</f>
        <v>1800000</v>
      </c>
      <c r="BL83" s="24" t="n">
        <f aca="false">'Sales &amp; marketing'!BL44</f>
        <v>1875000</v>
      </c>
    </row>
    <row r="84" customFormat="false" ht="15" hidden="false" customHeight="true" outlineLevel="0" collapsed="false">
      <c r="A84" s="9" t="s">
        <v>1314</v>
      </c>
      <c r="B84" s="15" t="s">
        <v>77</v>
      </c>
      <c r="D84" s="56" t="n">
        <f aca="false">SUM(E84:BL84)</f>
        <v>645556687.966568</v>
      </c>
      <c r="E84" s="17" t="n">
        <f aca="false">SUM(E79:E83)</f>
        <v>2261666.66666667</v>
      </c>
      <c r="F84" s="17" t="n">
        <f aca="false">SUM(F79:F83)</f>
        <v>2261666.66666667</v>
      </c>
      <c r="G84" s="17" t="n">
        <f aca="false">SUM(G79:G83)</f>
        <v>2261666.66666667</v>
      </c>
      <c r="H84" s="17" t="n">
        <f aca="false">SUM(H79:H83)</f>
        <v>2411666.66666667</v>
      </c>
      <c r="I84" s="17" t="n">
        <f aca="false">SUM(I79:I83)</f>
        <v>3921666.66666667</v>
      </c>
      <c r="J84" s="17" t="n">
        <f aca="false">SUM(J79:J83)</f>
        <v>3933666.66666667</v>
      </c>
      <c r="K84" s="17" t="n">
        <f aca="false">SUM(K79:K83)</f>
        <v>3946386.66666667</v>
      </c>
      <c r="L84" s="17" t="n">
        <f aca="false">SUM(L79:L83)</f>
        <v>3959869.86666667</v>
      </c>
      <c r="M84" s="17" t="n">
        <f aca="false">SUM(M79:M83)</f>
        <v>3974162.05866667</v>
      </c>
      <c r="N84" s="17" t="n">
        <f aca="false">SUM(N79:N83)</f>
        <v>3989311.78218667</v>
      </c>
      <c r="O84" s="17" t="n">
        <f aca="false">SUM(O79:O83)</f>
        <v>4005370.48911787</v>
      </c>
      <c r="P84" s="17" t="n">
        <f aca="false">SUM(P79:P83)</f>
        <v>4022392.71846494</v>
      </c>
      <c r="Q84" s="17" t="n">
        <f aca="false">SUM(Q79:Q83)</f>
        <v>5242936.28157284</v>
      </c>
      <c r="R84" s="17" t="n">
        <f aca="false">SUM(R79:R83)</f>
        <v>5262062.45846721</v>
      </c>
      <c r="S84" s="17" t="n">
        <f aca="false">SUM(S79:S83)</f>
        <v>5282336.20597524</v>
      </c>
      <c r="T84" s="17" t="n">
        <f aca="false">SUM(T79:T83)</f>
        <v>5303826.37833375</v>
      </c>
      <c r="U84" s="17" t="n">
        <f aca="false">SUM(U79:U83)</f>
        <v>5326605.96103378</v>
      </c>
      <c r="V84" s="17" t="n">
        <f aca="false">SUM(V79:V83)</f>
        <v>5500752.3186958</v>
      </c>
      <c r="W84" s="17" t="n">
        <f aca="false">SUM(W79:W83)</f>
        <v>6986347.45781755</v>
      </c>
      <c r="X84" s="17" t="n">
        <f aca="false">SUM(X79:X83)</f>
        <v>7097478.30528661</v>
      </c>
      <c r="Y84" s="17" t="n">
        <f aca="false">SUM(Y79:Y83)</f>
        <v>7135777.0036038</v>
      </c>
      <c r="Z84" s="17" t="n">
        <f aca="false">SUM(Z79:Z83)</f>
        <v>7176373.62382003</v>
      </c>
      <c r="AA84" s="17" t="n">
        <f aca="false">SUM(AA79:AA83)</f>
        <v>7219406.04124923</v>
      </c>
      <c r="AB84" s="17" t="n">
        <f aca="false">SUM(AB79:AB83)</f>
        <v>7265020.40372419</v>
      </c>
      <c r="AC84" s="17" t="n">
        <f aca="false">SUM(AC79:AC83)</f>
        <v>10869204.961281</v>
      </c>
      <c r="AD84" s="17" t="n">
        <f aca="false">SUM(AD79:AD83)</f>
        <v>10995457.2589578</v>
      </c>
      <c r="AE84" s="17" t="n">
        <f aca="false">SUM(AE79:AE83)</f>
        <v>11049784.6944953</v>
      </c>
      <c r="AF84" s="17" t="n">
        <f aca="false">SUM(AF79:AF83)</f>
        <v>11107371.776165</v>
      </c>
      <c r="AG84" s="17" t="n">
        <f aca="false">SUM(AG79:AG83)</f>
        <v>11168414.0827349</v>
      </c>
      <c r="AH84" s="17" t="n">
        <f aca="false">SUM(AH79:AH83)</f>
        <v>11308118.927699</v>
      </c>
      <c r="AI84" s="17" t="n">
        <f aca="false">SUM(AI79:AI83)</f>
        <v>11376706.063361</v>
      </c>
      <c r="AJ84" s="17" t="n">
        <f aca="false">SUM(AJ79:AJ83)</f>
        <v>11449408.4271626</v>
      </c>
      <c r="AK84" s="17" t="n">
        <f aca="false">SUM(AK79:AK83)</f>
        <v>11526472.9327924</v>
      </c>
      <c r="AL84" s="17" t="n">
        <f aca="false">SUM(AL79:AL83)</f>
        <v>11683161.3087599</v>
      </c>
      <c r="AM84" s="17" t="n">
        <f aca="false">SUM(AM79:AM83)</f>
        <v>11769750.9872855</v>
      </c>
      <c r="AN84" s="17" t="n">
        <f aca="false">SUM(AN79:AN83)</f>
        <v>11936536.0465226</v>
      </c>
      <c r="AO84" s="17" t="n">
        <f aca="false">SUM(AO79:AO83)</f>
        <v>13968828.209314</v>
      </c>
      <c r="AP84" s="17" t="n">
        <f aca="false">SUM(AP79:AP83)</f>
        <v>14071957.9018728</v>
      </c>
      <c r="AQ84" s="17" t="n">
        <f aca="false">SUM(AQ79:AQ83)</f>
        <v>14181275.3759852</v>
      </c>
      <c r="AR84" s="17" t="n">
        <f aca="false">SUM(AR79:AR83)</f>
        <v>14372151.8985443</v>
      </c>
      <c r="AS84" s="17" t="n">
        <f aca="false">SUM(AS79:AS83)</f>
        <v>14494981.012457</v>
      </c>
      <c r="AT84" s="17" t="n">
        <f aca="false">SUM(AT79:AT83)</f>
        <v>14625179.8732044</v>
      </c>
      <c r="AU84" s="17" t="n">
        <f aca="false">SUM(AU79:AU83)</f>
        <v>14913190.6655967</v>
      </c>
      <c r="AV84" s="17" t="n">
        <f aca="false">SUM(AV79:AV83)</f>
        <v>15059482.1055325</v>
      </c>
      <c r="AW84" s="17" t="n">
        <f aca="false">SUM(AW79:AW83)</f>
        <v>15232407.4444392</v>
      </c>
      <c r="AX84" s="17" t="n">
        <f aca="false">SUM(AX79:AX83)</f>
        <v>15273351.8911056</v>
      </c>
      <c r="AY84" s="17" t="n">
        <f aca="false">SUM(AY79:AY83)</f>
        <v>15316753.0045719</v>
      </c>
      <c r="AZ84" s="17" t="n">
        <f aca="false">SUM(AZ79:AZ83)</f>
        <v>15512758.1848462</v>
      </c>
      <c r="BA84" s="17" t="n">
        <f aca="false">SUM(BA79:BA83)</f>
        <v>17423190.3426037</v>
      </c>
      <c r="BB84" s="17" t="n">
        <f aca="false">SUM(BB79:BB83)</f>
        <v>17549881.7631599</v>
      </c>
      <c r="BC84" s="17" t="n">
        <f aca="false">SUM(BC79:BC83)</f>
        <v>17604674.6689495</v>
      </c>
      <c r="BD84" s="17" t="n">
        <f aca="false">SUM(BD79:BD83)</f>
        <v>17737755.1490864</v>
      </c>
      <c r="BE84" s="17" t="n">
        <f aca="false">SUM(BE79:BE83)</f>
        <v>17874320.4580316</v>
      </c>
      <c r="BF84" s="17" t="n">
        <f aca="false">SUM(BF79:BF83)</f>
        <v>17939579.6855135</v>
      </c>
      <c r="BG84" s="17" t="n">
        <f aca="false">SUM(BG79:BG83)</f>
        <v>18083754.4666443</v>
      </c>
      <c r="BH84" s="17" t="n">
        <f aca="false">SUM(BH79:BH83)</f>
        <v>18232079.734643</v>
      </c>
      <c r="BI84" s="17" t="n">
        <f aca="false">SUM(BI79:BI83)</f>
        <v>18384804.5187216</v>
      </c>
      <c r="BJ84" s="17" t="n">
        <f aca="false">SUM(BJ79:BJ83)</f>
        <v>18467192.7898449</v>
      </c>
      <c r="BK84" s="17" t="n">
        <f aca="false">SUM(BK79:BK83)</f>
        <v>18586666.6666667</v>
      </c>
      <c r="BL84" s="17" t="n">
        <f aca="false">SUM(BL79:BL83)</f>
        <v>18661666.6666667</v>
      </c>
    </row>
    <row r="86" customFormat="false" ht="15" hidden="false" customHeight="true" outlineLevel="0" collapsed="false">
      <c r="A86" s="11" t="s">
        <v>883</v>
      </c>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row>
    <row r="87" customFormat="false" ht="15" hidden="false" customHeight="true" outlineLevel="0" collapsed="false">
      <c r="A87" s="13" t="s">
        <v>1315</v>
      </c>
      <c r="B87" s="15" t="s">
        <v>77</v>
      </c>
      <c r="D87" s="56" t="n">
        <f aca="false">SUM(E87:BL87)</f>
        <v>9970546.4</v>
      </c>
      <c r="E87" s="33" t="n">
        <f aca="false">Agency_Fee_EUR*FX_EUR*(SUMPRODUCT(--('Hiring plan'!$G$5:$G$32=E$3),--('Hiring plan'!$J$5:$J$32="Y"),'Hiring plan'!$F$5:$F$32)+Agency_Dev*Staff!E70+Agency_Credit*Staff!E73+Agency_Support*Staff!E69+Agency_Rep*(Staff!E71+Staff!E72))</f>
        <v>2099062.4</v>
      </c>
      <c r="F87" s="33" t="n">
        <f aca="false">Agency_Fee_EUR*FX_EUR*(SUMPRODUCT(--('Hiring plan'!$G$5:$G$32=F$3),--('Hiring plan'!$J$5:$J$32="Y"),'Hiring plan'!$F$5:$F$32)+Agency_Dev*MAX(0,Staff!F70-Staff!E70)+Agency_Credit*MAX(0,Staff!F73-Staff!E73)+Agency_Support*MAX(0,Staff!F69-Staff!E69)+Agency_Rep*(MAX(0,Staff!F71-Staff!E71)+MAX(0,Staff!F72-Staff!E72)))</f>
        <v>0</v>
      </c>
      <c r="G87" s="33" t="n">
        <f aca="false">Agency_Fee_EUR*FX_EUR*(SUMPRODUCT(--('Hiring plan'!$G$5:$G$32=G$3),--('Hiring plan'!$J$5:$J$32="Y"),'Hiring plan'!$F$5:$F$32)+Agency_Dev*MAX(0,Staff!G70-Staff!F70)+Agency_Credit*MAX(0,Staff!G73-Staff!F73)+Agency_Support*MAX(0,Staff!G69-Staff!F69)+Agency_Rep*(MAX(0,Staff!G71-Staff!F71)+MAX(0,Staff!G72-Staff!F72)))</f>
        <v>0</v>
      </c>
      <c r="H87" s="33" t="n">
        <f aca="false">Agency_Fee_EUR*FX_EUR*(SUMPRODUCT(--('Hiring plan'!$G$5:$G$32=H$3),--('Hiring plan'!$J$5:$J$32="Y"),'Hiring plan'!$F$5:$F$32)+Agency_Dev*MAX(0,Staff!H70-Staff!G70)+Agency_Credit*MAX(0,Staff!H73-Staff!G73)+Agency_Support*MAX(0,Staff!H69-Staff!G69)+Agency_Rep*(MAX(0,Staff!H71-Staff!G71)+MAX(0,Staff!H72-Staff!G72)))</f>
        <v>0</v>
      </c>
      <c r="I87" s="33" t="n">
        <f aca="false">Agency_Fee_EUR*FX_EUR*(SUMPRODUCT(--('Hiring plan'!$G$5:$G$32=I$3),--('Hiring plan'!$J$5:$J$32="Y"),'Hiring plan'!$F$5:$F$32)+Agency_Dev*MAX(0,Staff!I70-Staff!H70)+Agency_Credit*MAX(0,Staff!I73-Staff!H73)+Agency_Support*MAX(0,Staff!I69-Staff!H69)+Agency_Rep*(MAX(0,Staff!I71-Staff!H71)+MAX(0,Staff!I72-Staff!H72)))</f>
        <v>0</v>
      </c>
      <c r="J87" s="33" t="n">
        <f aca="false">Agency_Fee_EUR*FX_EUR*(SUMPRODUCT(--('Hiring plan'!$G$5:$G$32=J$3),--('Hiring plan'!$J$5:$J$32="Y"),'Hiring plan'!$F$5:$F$32)+Agency_Dev*MAX(0,Staff!J70-Staff!I70)+Agency_Credit*MAX(0,Staff!J73-Staff!I73)+Agency_Support*MAX(0,Staff!J69-Staff!I69)+Agency_Rep*(MAX(0,Staff!J71-Staff!I71)+MAX(0,Staff!J72-Staff!I72)))</f>
        <v>0</v>
      </c>
      <c r="K87" s="33" t="n">
        <f aca="false">Agency_Fee_EUR*FX_EUR*(SUMPRODUCT(--('Hiring plan'!$G$5:$G$32=K$3),--('Hiring plan'!$J$5:$J$32="Y"),'Hiring plan'!$F$5:$F$32)+Agency_Dev*MAX(0,Staff!K70-Staff!J70)+Agency_Credit*MAX(0,Staff!K73-Staff!J73)+Agency_Support*MAX(0,Staff!K69-Staff!J69)+Agency_Rep*(MAX(0,Staff!K71-Staff!J71)+MAX(0,Staff!K72-Staff!J72)))</f>
        <v>0</v>
      </c>
      <c r="L87" s="33" t="n">
        <f aca="false">Agency_Fee_EUR*FX_EUR*(SUMPRODUCT(--('Hiring plan'!$G$5:$G$32=L$3),--('Hiring plan'!$J$5:$J$32="Y"),'Hiring plan'!$F$5:$F$32)+Agency_Dev*MAX(0,Staff!L70-Staff!K70)+Agency_Credit*MAX(0,Staff!L73-Staff!K73)+Agency_Support*MAX(0,Staff!L69-Staff!K69)+Agency_Rep*(MAX(0,Staff!L71-Staff!K71)+MAX(0,Staff!L72-Staff!K72)))</f>
        <v>0</v>
      </c>
      <c r="M87" s="33" t="n">
        <f aca="false">Agency_Fee_EUR*FX_EUR*(SUMPRODUCT(--('Hiring plan'!$G$5:$G$32=M$3),--('Hiring plan'!$J$5:$J$32="Y"),'Hiring plan'!$F$5:$F$32)+Agency_Dev*MAX(0,Staff!M70-Staff!L70)+Agency_Credit*MAX(0,Staff!M73-Staff!L73)+Agency_Support*MAX(0,Staff!M69-Staff!L69)+Agency_Rep*(MAX(0,Staff!M71-Staff!L71)+MAX(0,Staff!M72-Staff!L72)))</f>
        <v>0</v>
      </c>
      <c r="N87" s="33" t="n">
        <f aca="false">Agency_Fee_EUR*FX_EUR*(SUMPRODUCT(--('Hiring plan'!$G$5:$G$32=N$3),--('Hiring plan'!$J$5:$J$32="Y"),'Hiring plan'!$F$5:$F$32)+Agency_Dev*MAX(0,Staff!N70-Staff!M70)+Agency_Credit*MAX(0,Staff!N73-Staff!M73)+Agency_Support*MAX(0,Staff!N69-Staff!M69)+Agency_Rep*(MAX(0,Staff!N71-Staff!M71)+MAX(0,Staff!N72-Staff!M72)))</f>
        <v>0</v>
      </c>
      <c r="O87" s="33" t="n">
        <f aca="false">Agency_Fee_EUR*FX_EUR*(SUMPRODUCT(--('Hiring plan'!$G$5:$G$32=O$3),--('Hiring plan'!$J$5:$J$32="Y"),'Hiring plan'!$F$5:$F$32)+Agency_Dev*MAX(0,Staff!O70-Staff!N70)+Agency_Credit*MAX(0,Staff!O73-Staff!N73)+Agency_Support*MAX(0,Staff!O69-Staff!N69)+Agency_Rep*(MAX(0,Staff!O71-Staff!N71)+MAX(0,Staff!O72-Staff!N72)))</f>
        <v>0</v>
      </c>
      <c r="P87" s="33" t="n">
        <f aca="false">Agency_Fee_EUR*FX_EUR*(SUMPRODUCT(--('Hiring plan'!$G$5:$G$32=P$3),--('Hiring plan'!$J$5:$J$32="Y"),'Hiring plan'!$F$5:$F$32)+Agency_Dev*MAX(0,Staff!P70-Staff!O70)+Agency_Credit*MAX(0,Staff!P73-Staff!O73)+Agency_Support*MAX(0,Staff!P69-Staff!O69)+Agency_Rep*(MAX(0,Staff!P71-Staff!O71)+MAX(0,Staff!P72-Staff!O72)))</f>
        <v>0</v>
      </c>
      <c r="Q87" s="33" t="n">
        <f aca="false">Agency_Fee_EUR*FX_EUR*(SUMPRODUCT(--('Hiring plan'!$G$5:$G$32=Q$3),--('Hiring plan'!$J$5:$J$32="Y"),'Hiring plan'!$F$5:$F$32)+Agency_Dev*MAX(0,Staff!Q70-Staff!P70)+Agency_Credit*MAX(0,Staff!Q73-Staff!P73)+Agency_Support*MAX(0,Staff!Q69-Staff!P69)+Agency_Rep*(MAX(0,Staff!Q71-Staff!P71)+MAX(0,Staff!Q72-Staff!P72)))</f>
        <v>524765.6</v>
      </c>
      <c r="R87" s="33" t="n">
        <f aca="false">Agency_Fee_EUR*FX_EUR*(SUMPRODUCT(--('Hiring plan'!$G$5:$G$32=R$3),--('Hiring plan'!$J$5:$J$32="Y"),'Hiring plan'!$F$5:$F$32)+Agency_Dev*MAX(0,Staff!R70-Staff!Q70)+Agency_Credit*MAX(0,Staff!R73-Staff!Q73)+Agency_Support*MAX(0,Staff!R69-Staff!Q69)+Agency_Rep*(MAX(0,Staff!R71-Staff!Q71)+MAX(0,Staff!R72-Staff!Q72)))</f>
        <v>0</v>
      </c>
      <c r="S87" s="33" t="n">
        <f aca="false">Agency_Fee_EUR*FX_EUR*(SUMPRODUCT(--('Hiring plan'!$G$5:$G$32=S$3),--('Hiring plan'!$J$5:$J$32="Y"),'Hiring plan'!$F$5:$F$32)+Agency_Dev*MAX(0,Staff!S70-Staff!R70)+Agency_Credit*MAX(0,Staff!S73-Staff!R73)+Agency_Support*MAX(0,Staff!S69-Staff!R69)+Agency_Rep*(MAX(0,Staff!S71-Staff!R71)+MAX(0,Staff!S72-Staff!R72)))</f>
        <v>0</v>
      </c>
      <c r="T87" s="33" t="n">
        <f aca="false">Agency_Fee_EUR*FX_EUR*(SUMPRODUCT(--('Hiring plan'!$G$5:$G$32=T$3),--('Hiring plan'!$J$5:$J$32="Y"),'Hiring plan'!$F$5:$F$32)+Agency_Dev*MAX(0,Staff!T70-Staff!S70)+Agency_Credit*MAX(0,Staff!T73-Staff!S73)+Agency_Support*MAX(0,Staff!T69-Staff!S69)+Agency_Rep*(MAX(0,Staff!T71-Staff!S71)+MAX(0,Staff!T72-Staff!S72)))</f>
        <v>524765.6</v>
      </c>
      <c r="U87" s="33" t="n">
        <f aca="false">Agency_Fee_EUR*FX_EUR*(SUMPRODUCT(--('Hiring plan'!$G$5:$G$32=U$3),--('Hiring plan'!$J$5:$J$32="Y"),'Hiring plan'!$F$5:$F$32)+Agency_Dev*MAX(0,Staff!U70-Staff!T70)+Agency_Credit*MAX(0,Staff!U73-Staff!T73)+Agency_Support*MAX(0,Staff!U69-Staff!T69)+Agency_Rep*(MAX(0,Staff!U71-Staff!T71)+MAX(0,Staff!U72-Staff!T72)))</f>
        <v>0</v>
      </c>
      <c r="V87" s="33" t="n">
        <f aca="false">Agency_Fee_EUR*FX_EUR*(SUMPRODUCT(--('Hiring plan'!$G$5:$G$32=V$3),--('Hiring plan'!$J$5:$J$32="Y"),'Hiring plan'!$F$5:$F$32)+Agency_Dev*MAX(0,Staff!V70-Staff!U70)+Agency_Credit*MAX(0,Staff!V73-Staff!U73)+Agency_Support*MAX(0,Staff!V69-Staff!U69)+Agency_Rep*(MAX(0,Staff!V71-Staff!U71)+MAX(0,Staff!V72-Staff!U72)))</f>
        <v>524765.6</v>
      </c>
      <c r="W87" s="33" t="n">
        <f aca="false">Agency_Fee_EUR*FX_EUR*(SUMPRODUCT(--('Hiring plan'!$G$5:$G$32=W$3),--('Hiring plan'!$J$5:$J$32="Y"),'Hiring plan'!$F$5:$F$32)+Agency_Dev*MAX(0,Staff!W70-Staff!V70)+Agency_Credit*MAX(0,Staff!W73-Staff!V73)+Agency_Support*MAX(0,Staff!W69-Staff!V69)+Agency_Rep*(MAX(0,Staff!W71-Staff!V71)+MAX(0,Staff!W72-Staff!V72)))</f>
        <v>0</v>
      </c>
      <c r="X87" s="33" t="n">
        <f aca="false">Agency_Fee_EUR*FX_EUR*(SUMPRODUCT(--('Hiring plan'!$G$5:$G$32=X$3),--('Hiring plan'!$J$5:$J$32="Y"),'Hiring plan'!$F$5:$F$32)+Agency_Dev*MAX(0,Staff!X70-Staff!W70)+Agency_Credit*MAX(0,Staff!X73-Staff!W73)+Agency_Support*MAX(0,Staff!X69-Staff!W69)+Agency_Rep*(MAX(0,Staff!X71-Staff!W71)+MAX(0,Staff!X72-Staff!W72)))</f>
        <v>0</v>
      </c>
      <c r="Y87" s="33" t="n">
        <f aca="false">Agency_Fee_EUR*FX_EUR*(SUMPRODUCT(--('Hiring plan'!$G$5:$G$32=Y$3),--('Hiring plan'!$J$5:$J$32="Y"),'Hiring plan'!$F$5:$F$32)+Agency_Dev*MAX(0,Staff!Y70-Staff!X70)+Agency_Credit*MAX(0,Staff!Y73-Staff!X73)+Agency_Support*MAX(0,Staff!Y69-Staff!X69)+Agency_Rep*(MAX(0,Staff!Y71-Staff!X71)+MAX(0,Staff!Y72-Staff!X72)))</f>
        <v>0</v>
      </c>
      <c r="Z87" s="33" t="n">
        <f aca="false">Agency_Fee_EUR*FX_EUR*(SUMPRODUCT(--('Hiring plan'!$G$5:$G$32=Z$3),--('Hiring plan'!$J$5:$J$32="Y"),'Hiring plan'!$F$5:$F$32)+Agency_Dev*MAX(0,Staff!Z70-Staff!Y70)+Agency_Credit*MAX(0,Staff!Z73-Staff!Y73)+Agency_Support*MAX(0,Staff!Z69-Staff!Y69)+Agency_Rep*(MAX(0,Staff!Z71-Staff!Y71)+MAX(0,Staff!Z72-Staff!Y72)))</f>
        <v>0</v>
      </c>
      <c r="AA87" s="33" t="n">
        <f aca="false">Agency_Fee_EUR*FX_EUR*(SUMPRODUCT(--('Hiring plan'!$G$5:$G$32=AA$3),--('Hiring plan'!$J$5:$J$32="Y"),'Hiring plan'!$F$5:$F$32)+Agency_Dev*MAX(0,Staff!AA70-Staff!Z70)+Agency_Credit*MAX(0,Staff!AA73-Staff!Z73)+Agency_Support*MAX(0,Staff!AA69-Staff!Z69)+Agency_Rep*(MAX(0,Staff!AA71-Staff!Z71)+MAX(0,Staff!AA72-Staff!Z72)))</f>
        <v>0</v>
      </c>
      <c r="AB87" s="33" t="n">
        <f aca="false">Agency_Fee_EUR*FX_EUR*(SUMPRODUCT(--('Hiring plan'!$G$5:$G$32=AB$3),--('Hiring plan'!$J$5:$J$32="Y"),'Hiring plan'!$F$5:$F$32)+Agency_Dev*MAX(0,Staff!AB70-Staff!AA70)+Agency_Credit*MAX(0,Staff!AB73-Staff!AA73)+Agency_Support*MAX(0,Staff!AB69-Staff!AA69)+Agency_Rep*(MAX(0,Staff!AB71-Staff!AA71)+MAX(0,Staff!AB72-Staff!AA72)))</f>
        <v>524765.6</v>
      </c>
      <c r="AC87" s="33" t="n">
        <f aca="false">Agency_Fee_EUR*FX_EUR*(SUMPRODUCT(--('Hiring plan'!$G$5:$G$32=AC$3),--('Hiring plan'!$J$5:$J$32="Y"),'Hiring plan'!$F$5:$F$32)+Agency_Dev*MAX(0,Staff!AC70-Staff!AB70)+Agency_Credit*MAX(0,Staff!AC73-Staff!AB73)+Agency_Support*MAX(0,Staff!AC69-Staff!AB69)+Agency_Rep*(MAX(0,Staff!AC71-Staff!AB71)+MAX(0,Staff!AC72-Staff!AB72)))</f>
        <v>0</v>
      </c>
      <c r="AD87" s="33" t="n">
        <f aca="false">Agency_Fee_EUR*FX_EUR*(SUMPRODUCT(--('Hiring plan'!$G$5:$G$32=AD$3),--('Hiring plan'!$J$5:$J$32="Y"),'Hiring plan'!$F$5:$F$32)+Agency_Dev*MAX(0,Staff!AD70-Staff!AC70)+Agency_Credit*MAX(0,Staff!AD73-Staff!AC73)+Agency_Support*MAX(0,Staff!AD69-Staff!AC69)+Agency_Rep*(MAX(0,Staff!AD71-Staff!AC71)+MAX(0,Staff!AD72-Staff!AC72)))</f>
        <v>0</v>
      </c>
      <c r="AE87" s="33" t="n">
        <f aca="false">Agency_Fee_EUR*FX_EUR*(SUMPRODUCT(--('Hiring plan'!$G$5:$G$32=AE$3),--('Hiring plan'!$J$5:$J$32="Y"),'Hiring plan'!$F$5:$F$32)+Agency_Dev*MAX(0,Staff!AE70-Staff!AD70)+Agency_Credit*MAX(0,Staff!AE73-Staff!AD73)+Agency_Support*MAX(0,Staff!AE69-Staff!AD69)+Agency_Rep*(MAX(0,Staff!AE71-Staff!AD71)+MAX(0,Staff!AE72-Staff!AD72)))</f>
        <v>0</v>
      </c>
      <c r="AF87" s="33" t="n">
        <f aca="false">Agency_Fee_EUR*FX_EUR*(SUMPRODUCT(--('Hiring plan'!$G$5:$G$32=AF$3),--('Hiring plan'!$J$5:$J$32="Y"),'Hiring plan'!$F$5:$F$32)+Agency_Dev*MAX(0,Staff!AF70-Staff!AE70)+Agency_Credit*MAX(0,Staff!AF73-Staff!AE73)+Agency_Support*MAX(0,Staff!AF69-Staff!AE69)+Agency_Rep*(MAX(0,Staff!AF71-Staff!AE71)+MAX(0,Staff!AF72-Staff!AE72)))</f>
        <v>524765.6</v>
      </c>
      <c r="AG87" s="33" t="n">
        <f aca="false">Agency_Fee_EUR*FX_EUR*(SUMPRODUCT(--('Hiring plan'!$G$5:$G$32=AG$3),--('Hiring plan'!$J$5:$J$32="Y"),'Hiring plan'!$F$5:$F$32)+Agency_Dev*MAX(0,Staff!AG70-Staff!AF70)+Agency_Credit*MAX(0,Staff!AG73-Staff!AF73)+Agency_Support*MAX(0,Staff!AG69-Staff!AF69)+Agency_Rep*(MAX(0,Staff!AG71-Staff!AF71)+MAX(0,Staff!AG72-Staff!AF72)))</f>
        <v>524765.6</v>
      </c>
      <c r="AH87" s="33" t="n">
        <f aca="false">Agency_Fee_EUR*FX_EUR*(SUMPRODUCT(--('Hiring plan'!$G$5:$G$32=AH$3),--('Hiring plan'!$J$5:$J$32="Y"),'Hiring plan'!$F$5:$F$32)+Agency_Dev*MAX(0,Staff!AH70-Staff!AG70)+Agency_Credit*MAX(0,Staff!AH73-Staff!AG73)+Agency_Support*MAX(0,Staff!AH69-Staff!AG69)+Agency_Rep*(MAX(0,Staff!AH71-Staff!AG71)+MAX(0,Staff!AH72-Staff!AG72)))</f>
        <v>0</v>
      </c>
      <c r="AI87" s="33" t="n">
        <f aca="false">Agency_Fee_EUR*FX_EUR*(SUMPRODUCT(--('Hiring plan'!$G$5:$G$32=AI$3),--('Hiring plan'!$J$5:$J$32="Y"),'Hiring plan'!$F$5:$F$32)+Agency_Dev*MAX(0,Staff!AI70-Staff!AH70)+Agency_Credit*MAX(0,Staff!AI73-Staff!AH73)+Agency_Support*MAX(0,Staff!AI69-Staff!AH69)+Agency_Rep*(MAX(0,Staff!AI71-Staff!AH71)+MAX(0,Staff!AI72-Staff!AH72)))</f>
        <v>0</v>
      </c>
      <c r="AJ87" s="33" t="n">
        <f aca="false">Agency_Fee_EUR*FX_EUR*(SUMPRODUCT(--('Hiring plan'!$G$5:$G$32=AJ$3),--('Hiring plan'!$J$5:$J$32="Y"),'Hiring plan'!$F$5:$F$32)+Agency_Dev*MAX(0,Staff!AJ70-Staff!AI70)+Agency_Credit*MAX(0,Staff!AJ73-Staff!AI73)+Agency_Support*MAX(0,Staff!AJ69-Staff!AI69)+Agency_Rep*(MAX(0,Staff!AJ71-Staff!AI71)+MAX(0,Staff!AJ72-Staff!AI72)))</f>
        <v>0</v>
      </c>
      <c r="AK87" s="33" t="n">
        <f aca="false">Agency_Fee_EUR*FX_EUR*(SUMPRODUCT(--('Hiring plan'!$G$5:$G$32=AK$3),--('Hiring plan'!$J$5:$J$32="Y"),'Hiring plan'!$F$5:$F$32)+Agency_Dev*MAX(0,Staff!AK70-Staff!AJ70)+Agency_Credit*MAX(0,Staff!AK73-Staff!AJ73)+Agency_Support*MAX(0,Staff!AK69-Staff!AJ69)+Agency_Rep*(MAX(0,Staff!AK71-Staff!AJ71)+MAX(0,Staff!AK72-Staff!AJ72)))</f>
        <v>0</v>
      </c>
      <c r="AL87" s="33" t="n">
        <f aca="false">Agency_Fee_EUR*FX_EUR*(SUMPRODUCT(--('Hiring plan'!$G$5:$G$32=AL$3),--('Hiring plan'!$J$5:$J$32="Y"),'Hiring plan'!$F$5:$F$32)+Agency_Dev*MAX(0,Staff!AL70-Staff!AK70)+Agency_Credit*MAX(0,Staff!AL73-Staff!AK73)+Agency_Support*MAX(0,Staff!AL69-Staff!AK69)+Agency_Rep*(MAX(0,Staff!AL71-Staff!AK71)+MAX(0,Staff!AL72-Staff!AK72)))</f>
        <v>524765.6</v>
      </c>
      <c r="AM87" s="33" t="n">
        <f aca="false">Agency_Fee_EUR*FX_EUR*(SUMPRODUCT(--('Hiring plan'!$G$5:$G$32=AM$3),--('Hiring plan'!$J$5:$J$32="Y"),'Hiring plan'!$F$5:$F$32)+Agency_Dev*MAX(0,Staff!AM70-Staff!AL70)+Agency_Credit*MAX(0,Staff!AM73-Staff!AL73)+Agency_Support*MAX(0,Staff!AM69-Staff!AL69)+Agency_Rep*(MAX(0,Staff!AM71-Staff!AL71)+MAX(0,Staff!AM72-Staff!AL72)))</f>
        <v>0</v>
      </c>
      <c r="AN87" s="33" t="n">
        <f aca="false">Agency_Fee_EUR*FX_EUR*(SUMPRODUCT(--('Hiring plan'!$G$5:$G$32=AN$3),--('Hiring plan'!$J$5:$J$32="Y"),'Hiring plan'!$F$5:$F$32)+Agency_Dev*MAX(0,Staff!AN70-Staff!AM70)+Agency_Credit*MAX(0,Staff!AN73-Staff!AM73)+Agency_Support*MAX(0,Staff!AN69-Staff!AM69)+Agency_Rep*(MAX(0,Staff!AN71-Staff!AM71)+MAX(0,Staff!AN72-Staff!AM72)))</f>
        <v>0</v>
      </c>
      <c r="AO87" s="33" t="n">
        <f aca="false">Agency_Fee_EUR*FX_EUR*(SUMPRODUCT(--('Hiring plan'!$G$5:$G$32=AO$3),--('Hiring plan'!$J$5:$J$32="Y"),'Hiring plan'!$F$5:$F$32)+Agency_Dev*MAX(0,Staff!AO70-Staff!AN70)+Agency_Credit*MAX(0,Staff!AO73-Staff!AN73)+Agency_Support*MAX(0,Staff!AO69-Staff!AN69)+Agency_Rep*(MAX(0,Staff!AO71-Staff!AN71)+MAX(0,Staff!AO72-Staff!AN72)))</f>
        <v>0</v>
      </c>
      <c r="AP87" s="33" t="n">
        <f aca="false">Agency_Fee_EUR*FX_EUR*(SUMPRODUCT(--('Hiring plan'!$G$5:$G$32=AP$3),--('Hiring plan'!$J$5:$J$32="Y"),'Hiring plan'!$F$5:$F$32)+Agency_Dev*MAX(0,Staff!AP70-Staff!AO70)+Agency_Credit*MAX(0,Staff!AP73-Staff!AO73)+Agency_Support*MAX(0,Staff!AP69-Staff!AO69)+Agency_Rep*(MAX(0,Staff!AP71-Staff!AO71)+MAX(0,Staff!AP72-Staff!AO72)))</f>
        <v>0</v>
      </c>
      <c r="AQ87" s="33" t="n">
        <f aca="false">Agency_Fee_EUR*FX_EUR*(SUMPRODUCT(--('Hiring plan'!$G$5:$G$32=AQ$3),--('Hiring plan'!$J$5:$J$32="Y"),'Hiring plan'!$F$5:$F$32)+Agency_Dev*MAX(0,Staff!AQ70-Staff!AP70)+Agency_Credit*MAX(0,Staff!AQ73-Staff!AP73)+Agency_Support*MAX(0,Staff!AQ69-Staff!AP69)+Agency_Rep*(MAX(0,Staff!AQ71-Staff!AP71)+MAX(0,Staff!AQ72-Staff!AP72)))</f>
        <v>524765.6</v>
      </c>
      <c r="AR87" s="33" t="n">
        <f aca="false">Agency_Fee_EUR*FX_EUR*(SUMPRODUCT(--('Hiring plan'!$G$5:$G$32=AR$3),--('Hiring plan'!$J$5:$J$32="Y"),'Hiring plan'!$F$5:$F$32)+Agency_Dev*MAX(0,Staff!AR70-Staff!AQ70)+Agency_Credit*MAX(0,Staff!AR73-Staff!AQ73)+Agency_Support*MAX(0,Staff!AR69-Staff!AQ69)+Agency_Rep*(MAX(0,Staff!AR71-Staff!AQ71)+MAX(0,Staff!AR72-Staff!AQ72)))</f>
        <v>524765.6</v>
      </c>
      <c r="AS87" s="33" t="n">
        <f aca="false">Agency_Fee_EUR*FX_EUR*(SUMPRODUCT(--('Hiring plan'!$G$5:$G$32=AS$3),--('Hiring plan'!$J$5:$J$32="Y"),'Hiring plan'!$F$5:$F$32)+Agency_Dev*MAX(0,Staff!AS70-Staff!AR70)+Agency_Credit*MAX(0,Staff!AS73-Staff!AR73)+Agency_Support*MAX(0,Staff!AS69-Staff!AR69)+Agency_Rep*(MAX(0,Staff!AS71-Staff!AR71)+MAX(0,Staff!AS72-Staff!AR72)))</f>
        <v>0</v>
      </c>
      <c r="AT87" s="33" t="n">
        <f aca="false">Agency_Fee_EUR*FX_EUR*(SUMPRODUCT(--('Hiring plan'!$G$5:$G$32=AT$3),--('Hiring plan'!$J$5:$J$32="Y"),'Hiring plan'!$F$5:$F$32)+Agency_Dev*MAX(0,Staff!AT70-Staff!AS70)+Agency_Credit*MAX(0,Staff!AT73-Staff!AS73)+Agency_Support*MAX(0,Staff!AT69-Staff!AS69)+Agency_Rep*(MAX(0,Staff!AT71-Staff!AS71)+MAX(0,Staff!AT72-Staff!AS72)))</f>
        <v>0</v>
      </c>
      <c r="AU87" s="33" t="n">
        <f aca="false">Agency_Fee_EUR*FX_EUR*(SUMPRODUCT(--('Hiring plan'!$G$5:$G$32=AU$3),--('Hiring plan'!$J$5:$J$32="Y"),'Hiring plan'!$F$5:$F$32)+Agency_Dev*MAX(0,Staff!AU70-Staff!AT70)+Agency_Credit*MAX(0,Staff!AU73-Staff!AT73)+Agency_Support*MAX(0,Staff!AU69-Staff!AT69)+Agency_Rep*(MAX(0,Staff!AU71-Staff!AT71)+MAX(0,Staff!AU72-Staff!AT72)))</f>
        <v>0</v>
      </c>
      <c r="AV87" s="33" t="n">
        <f aca="false">Agency_Fee_EUR*FX_EUR*(SUMPRODUCT(--('Hiring plan'!$G$5:$G$32=AV$3),--('Hiring plan'!$J$5:$J$32="Y"),'Hiring plan'!$F$5:$F$32)+Agency_Dev*MAX(0,Staff!AV70-Staff!AU70)+Agency_Credit*MAX(0,Staff!AV73-Staff!AU73)+Agency_Support*MAX(0,Staff!AV69-Staff!AU69)+Agency_Rep*(MAX(0,Staff!AV71-Staff!AU71)+MAX(0,Staff!AV72-Staff!AU72)))</f>
        <v>0</v>
      </c>
      <c r="AW87" s="33" t="n">
        <f aca="false">Agency_Fee_EUR*FX_EUR*(SUMPRODUCT(--('Hiring plan'!$G$5:$G$32=AW$3),--('Hiring plan'!$J$5:$J$32="Y"),'Hiring plan'!$F$5:$F$32)+Agency_Dev*MAX(0,Staff!AW70-Staff!AV70)+Agency_Credit*MAX(0,Staff!AW73-Staff!AV73)+Agency_Support*MAX(0,Staff!AW69-Staff!AV69)+Agency_Rep*(MAX(0,Staff!AW71-Staff!AV71)+MAX(0,Staff!AW72-Staff!AV72)))</f>
        <v>524765.6</v>
      </c>
      <c r="AX87" s="33" t="n">
        <f aca="false">Agency_Fee_EUR*FX_EUR*(SUMPRODUCT(--('Hiring plan'!$G$5:$G$32=AX$3),--('Hiring plan'!$J$5:$J$32="Y"),'Hiring plan'!$F$5:$F$32)+Agency_Dev*MAX(0,Staff!AX70-Staff!AW70)+Agency_Credit*MAX(0,Staff!AX73-Staff!AW73)+Agency_Support*MAX(0,Staff!AX69-Staff!AW69)+Agency_Rep*(MAX(0,Staff!AX71-Staff!AW71)+MAX(0,Staff!AX72-Staff!AW72)))</f>
        <v>0</v>
      </c>
      <c r="AY87" s="33" t="n">
        <f aca="false">Agency_Fee_EUR*FX_EUR*(SUMPRODUCT(--('Hiring plan'!$G$5:$G$32=AY$3),--('Hiring plan'!$J$5:$J$32="Y"),'Hiring plan'!$F$5:$F$32)+Agency_Dev*MAX(0,Staff!AY70-Staff!AX70)+Agency_Credit*MAX(0,Staff!AY73-Staff!AX73)+Agency_Support*MAX(0,Staff!AY69-Staff!AX69)+Agency_Rep*(MAX(0,Staff!AY71-Staff!AX71)+MAX(0,Staff!AY72-Staff!AX72)))</f>
        <v>0</v>
      </c>
      <c r="AZ87" s="33" t="n">
        <f aca="false">Agency_Fee_EUR*FX_EUR*(SUMPRODUCT(--('Hiring plan'!$G$5:$G$32=AZ$3),--('Hiring plan'!$J$5:$J$32="Y"),'Hiring plan'!$F$5:$F$32)+Agency_Dev*MAX(0,Staff!AZ70-Staff!AY70)+Agency_Credit*MAX(0,Staff!AZ73-Staff!AY73)+Agency_Support*MAX(0,Staff!AZ69-Staff!AY69)+Agency_Rep*(MAX(0,Staff!AZ71-Staff!AY71)+MAX(0,Staff!AZ72-Staff!AY72)))</f>
        <v>0</v>
      </c>
      <c r="BA87" s="33" t="n">
        <f aca="false">Agency_Fee_EUR*FX_EUR*(SUMPRODUCT(--('Hiring plan'!$G$5:$G$32=BA$3),--('Hiring plan'!$J$5:$J$32="Y"),'Hiring plan'!$F$5:$F$32)+Agency_Dev*MAX(0,Staff!BA70-Staff!AZ70)+Agency_Credit*MAX(0,Staff!BA73-Staff!AZ73)+Agency_Support*MAX(0,Staff!BA69-Staff!AZ69)+Agency_Rep*(MAX(0,Staff!BA71-Staff!AZ71)+MAX(0,Staff!BA72-Staff!AZ72)))</f>
        <v>524765.6</v>
      </c>
      <c r="BB87" s="33" t="n">
        <f aca="false">Agency_Fee_EUR*FX_EUR*(SUMPRODUCT(--('Hiring plan'!$G$5:$G$32=BB$3),--('Hiring plan'!$J$5:$J$32="Y"),'Hiring plan'!$F$5:$F$32)+Agency_Dev*MAX(0,Staff!BB70-Staff!BA70)+Agency_Credit*MAX(0,Staff!BB73-Staff!BA73)+Agency_Support*MAX(0,Staff!BB69-Staff!BA69)+Agency_Rep*(MAX(0,Staff!BB71-Staff!BA71)+MAX(0,Staff!BB72-Staff!BA72)))</f>
        <v>524765.6</v>
      </c>
      <c r="BC87" s="33" t="n">
        <f aca="false">Agency_Fee_EUR*FX_EUR*(SUMPRODUCT(--('Hiring plan'!$G$5:$G$32=BC$3),--('Hiring plan'!$J$5:$J$32="Y"),'Hiring plan'!$F$5:$F$32)+Agency_Dev*MAX(0,Staff!BC70-Staff!BB70)+Agency_Credit*MAX(0,Staff!BC73-Staff!BB73)+Agency_Support*MAX(0,Staff!BC69-Staff!BB69)+Agency_Rep*(MAX(0,Staff!BC71-Staff!BB71)+MAX(0,Staff!BC72-Staff!BB72)))</f>
        <v>0</v>
      </c>
      <c r="BD87" s="33" t="n">
        <f aca="false">Agency_Fee_EUR*FX_EUR*(SUMPRODUCT(--('Hiring plan'!$G$5:$G$32=BD$3),--('Hiring plan'!$J$5:$J$32="Y"),'Hiring plan'!$F$5:$F$32)+Agency_Dev*MAX(0,Staff!BD70-Staff!BC70)+Agency_Credit*MAX(0,Staff!BD73-Staff!BC73)+Agency_Support*MAX(0,Staff!BD69-Staff!BC69)+Agency_Rep*(MAX(0,Staff!BD71-Staff!BC71)+MAX(0,Staff!BD72-Staff!BC72)))</f>
        <v>0</v>
      </c>
      <c r="BE87" s="33" t="n">
        <f aca="false">Agency_Fee_EUR*FX_EUR*(SUMPRODUCT(--('Hiring plan'!$G$5:$G$32=BE$3),--('Hiring plan'!$J$5:$J$32="Y"),'Hiring plan'!$F$5:$F$32)+Agency_Dev*MAX(0,Staff!BE70-Staff!BD70)+Agency_Credit*MAX(0,Staff!BE73-Staff!BD73)+Agency_Support*MAX(0,Staff!BE69-Staff!BD69)+Agency_Rep*(MAX(0,Staff!BE71-Staff!BD71)+MAX(0,Staff!BE72-Staff!BD72)))</f>
        <v>0</v>
      </c>
      <c r="BF87" s="33" t="n">
        <f aca="false">Agency_Fee_EUR*FX_EUR*(SUMPRODUCT(--('Hiring plan'!$G$5:$G$32=BF$3),--('Hiring plan'!$J$5:$J$32="Y"),'Hiring plan'!$F$5:$F$32)+Agency_Dev*MAX(0,Staff!BF70-Staff!BE70)+Agency_Credit*MAX(0,Staff!BF73-Staff!BE73)+Agency_Support*MAX(0,Staff!BF69-Staff!BE69)+Agency_Rep*(MAX(0,Staff!BF71-Staff!BE71)+MAX(0,Staff!BF72-Staff!BE72)))</f>
        <v>524765.6</v>
      </c>
      <c r="BG87" s="33" t="n">
        <f aca="false">Agency_Fee_EUR*FX_EUR*(SUMPRODUCT(--('Hiring plan'!$G$5:$G$32=BG$3),--('Hiring plan'!$J$5:$J$32="Y"),'Hiring plan'!$F$5:$F$32)+Agency_Dev*MAX(0,Staff!BG70-Staff!BF70)+Agency_Credit*MAX(0,Staff!BG73-Staff!BF73)+Agency_Support*MAX(0,Staff!BG69-Staff!BF69)+Agency_Rep*(MAX(0,Staff!BG71-Staff!BF71)+MAX(0,Staff!BG72-Staff!BF72)))</f>
        <v>0</v>
      </c>
      <c r="BH87" s="33" t="n">
        <f aca="false">Agency_Fee_EUR*FX_EUR*(SUMPRODUCT(--('Hiring plan'!$G$5:$G$32=BH$3),--('Hiring plan'!$J$5:$J$32="Y"),'Hiring plan'!$F$5:$F$32)+Agency_Dev*MAX(0,Staff!BH70-Staff!BG70)+Agency_Credit*MAX(0,Staff!BH73-Staff!BG73)+Agency_Support*MAX(0,Staff!BH69-Staff!BG69)+Agency_Rep*(MAX(0,Staff!BH71-Staff!BG71)+MAX(0,Staff!BH72-Staff!BG72)))</f>
        <v>524765.6</v>
      </c>
      <c r="BI87" s="33" t="n">
        <f aca="false">Agency_Fee_EUR*FX_EUR*(SUMPRODUCT(--('Hiring plan'!$G$5:$G$32=BI$3),--('Hiring plan'!$J$5:$J$32="Y"),'Hiring plan'!$F$5:$F$32)+Agency_Dev*MAX(0,Staff!BI70-Staff!BH70)+Agency_Credit*MAX(0,Staff!BI73-Staff!BH73)+Agency_Support*MAX(0,Staff!BI69-Staff!BH69)+Agency_Rep*(MAX(0,Staff!BI71-Staff!BH71)+MAX(0,Staff!BI72-Staff!BH72)))</f>
        <v>0</v>
      </c>
      <c r="BJ87" s="33" t="n">
        <f aca="false">Agency_Fee_EUR*FX_EUR*(SUMPRODUCT(--('Hiring plan'!$G$5:$G$32=BJ$3),--('Hiring plan'!$J$5:$J$32="Y"),'Hiring plan'!$F$5:$F$32)+Agency_Dev*MAX(0,Staff!BJ70-Staff!BI70)+Agency_Credit*MAX(0,Staff!BJ73-Staff!BI73)+Agency_Support*MAX(0,Staff!BJ69-Staff!BI69)+Agency_Rep*(MAX(0,Staff!BJ71-Staff!BI71)+MAX(0,Staff!BJ72-Staff!BI72)))</f>
        <v>524765.6</v>
      </c>
      <c r="BK87" s="33" t="n">
        <f aca="false">Agency_Fee_EUR*FX_EUR*(SUMPRODUCT(--('Hiring plan'!$G$5:$G$32=BK$3),--('Hiring plan'!$J$5:$J$32="Y"),'Hiring plan'!$F$5:$F$32)+Agency_Dev*MAX(0,Staff!BK70-Staff!BJ70)+Agency_Credit*MAX(0,Staff!BK73-Staff!BJ73)+Agency_Support*MAX(0,Staff!BK69-Staff!BJ69)+Agency_Rep*(MAX(0,Staff!BK71-Staff!BJ71)+MAX(0,Staff!BK72-Staff!BJ72)))</f>
        <v>0</v>
      </c>
      <c r="BL87" s="33" t="n">
        <f aca="false">Agency_Fee_EUR*FX_EUR*(SUMPRODUCT(--('Hiring plan'!$G$5:$G$32=BL$3),--('Hiring plan'!$J$5:$J$32="Y"),'Hiring plan'!$F$5:$F$32)+Agency_Dev*MAX(0,Staff!BL70-Staff!BK70)+Agency_Credit*MAX(0,Staff!BL73-Staff!BK73)+Agency_Support*MAX(0,Staff!BL69-Staff!BK69)+Agency_Rep*(MAX(0,Staff!BL71-Staff!BK71)+MAX(0,Staff!BL72-Staff!BK72)))</f>
        <v>0</v>
      </c>
    </row>
    <row r="88" customFormat="false" ht="15" hidden="false" customHeight="true" outlineLevel="0" collapsed="false">
      <c r="A88" s="13" t="s">
        <v>1090</v>
      </c>
      <c r="B88" s="15" t="s">
        <v>77</v>
      </c>
      <c r="D88" s="56" t="n">
        <f aca="false">SUM(E88:BL88)</f>
        <v>77450000</v>
      </c>
      <c r="E88" s="33" t="n">
        <f aca="false">INDEX(Travel,1,E$5)/12</f>
        <v>437500</v>
      </c>
      <c r="F88" s="33" t="n">
        <f aca="false">INDEX(Travel,1,F$5)/12</f>
        <v>437500</v>
      </c>
      <c r="G88" s="33" t="n">
        <f aca="false">INDEX(Travel,1,G$5)/12</f>
        <v>437500</v>
      </c>
      <c r="H88" s="33" t="n">
        <f aca="false">INDEX(Travel,1,H$5)/12</f>
        <v>437500</v>
      </c>
      <c r="I88" s="33" t="n">
        <f aca="false">INDEX(Travel,1,I$5)/12</f>
        <v>437500</v>
      </c>
      <c r="J88" s="33" t="n">
        <f aca="false">INDEX(Travel,1,J$5)/12</f>
        <v>437500</v>
      </c>
      <c r="K88" s="33" t="n">
        <f aca="false">INDEX(Travel,1,K$5)/12</f>
        <v>437500</v>
      </c>
      <c r="L88" s="33" t="n">
        <f aca="false">INDEX(Travel,1,L$5)/12</f>
        <v>437500</v>
      </c>
      <c r="M88" s="33" t="n">
        <f aca="false">INDEX(Travel,1,M$5)/12</f>
        <v>437500</v>
      </c>
      <c r="N88" s="33" t="n">
        <f aca="false">INDEX(Travel,1,N$5)/12</f>
        <v>437500</v>
      </c>
      <c r="O88" s="33" t="n">
        <f aca="false">INDEX(Travel,1,O$5)/12</f>
        <v>437500</v>
      </c>
      <c r="P88" s="33" t="n">
        <f aca="false">INDEX(Travel,1,P$5)/12</f>
        <v>437500</v>
      </c>
      <c r="Q88" s="33" t="n">
        <f aca="false">INDEX(Travel,1,Q$5)/12</f>
        <v>1091666.66666667</v>
      </c>
      <c r="R88" s="33" t="n">
        <f aca="false">INDEX(Travel,1,R$5)/12</f>
        <v>1091666.66666667</v>
      </c>
      <c r="S88" s="33" t="n">
        <f aca="false">INDEX(Travel,1,S$5)/12</f>
        <v>1091666.66666667</v>
      </c>
      <c r="T88" s="33" t="n">
        <f aca="false">INDEX(Travel,1,T$5)/12</f>
        <v>1091666.66666667</v>
      </c>
      <c r="U88" s="33" t="n">
        <f aca="false">INDEX(Travel,1,U$5)/12</f>
        <v>1091666.66666667</v>
      </c>
      <c r="V88" s="33" t="n">
        <f aca="false">INDEX(Travel,1,V$5)/12</f>
        <v>1091666.66666667</v>
      </c>
      <c r="W88" s="33" t="n">
        <f aca="false">INDEX(Travel,1,W$5)/12</f>
        <v>1091666.66666667</v>
      </c>
      <c r="X88" s="33" t="n">
        <f aca="false">INDEX(Travel,1,X$5)/12</f>
        <v>1091666.66666667</v>
      </c>
      <c r="Y88" s="33" t="n">
        <f aca="false">INDEX(Travel,1,Y$5)/12</f>
        <v>1091666.66666667</v>
      </c>
      <c r="Z88" s="33" t="n">
        <f aca="false">INDEX(Travel,1,Z$5)/12</f>
        <v>1091666.66666667</v>
      </c>
      <c r="AA88" s="33" t="n">
        <f aca="false">INDEX(Travel,1,AA$5)/12</f>
        <v>1091666.66666667</v>
      </c>
      <c r="AB88" s="33" t="n">
        <f aca="false">INDEX(Travel,1,AB$5)/12</f>
        <v>1091666.66666667</v>
      </c>
      <c r="AC88" s="33" t="n">
        <f aca="false">INDEX(Travel,1,AC$5)/12</f>
        <v>1366666.66666667</v>
      </c>
      <c r="AD88" s="33" t="n">
        <f aca="false">INDEX(Travel,1,AD$5)/12</f>
        <v>1366666.66666667</v>
      </c>
      <c r="AE88" s="33" t="n">
        <f aca="false">INDEX(Travel,1,AE$5)/12</f>
        <v>1366666.66666667</v>
      </c>
      <c r="AF88" s="33" t="n">
        <f aca="false">INDEX(Travel,1,AF$5)/12</f>
        <v>1366666.66666667</v>
      </c>
      <c r="AG88" s="33" t="n">
        <f aca="false">INDEX(Travel,1,AG$5)/12</f>
        <v>1366666.66666667</v>
      </c>
      <c r="AH88" s="33" t="n">
        <f aca="false">INDEX(Travel,1,AH$5)/12</f>
        <v>1366666.66666667</v>
      </c>
      <c r="AI88" s="33" t="n">
        <f aca="false">INDEX(Travel,1,AI$5)/12</f>
        <v>1366666.66666667</v>
      </c>
      <c r="AJ88" s="33" t="n">
        <f aca="false">INDEX(Travel,1,AJ$5)/12</f>
        <v>1366666.66666667</v>
      </c>
      <c r="AK88" s="33" t="n">
        <f aca="false">INDEX(Travel,1,AK$5)/12</f>
        <v>1366666.66666667</v>
      </c>
      <c r="AL88" s="33" t="n">
        <f aca="false">INDEX(Travel,1,AL$5)/12</f>
        <v>1366666.66666667</v>
      </c>
      <c r="AM88" s="33" t="n">
        <f aca="false">INDEX(Travel,1,AM$5)/12</f>
        <v>1366666.66666667</v>
      </c>
      <c r="AN88" s="33" t="n">
        <f aca="false">INDEX(Travel,1,AN$5)/12</f>
        <v>1366666.66666667</v>
      </c>
      <c r="AO88" s="33" t="n">
        <f aca="false">INDEX(Travel,1,AO$5)/12</f>
        <v>1641666.66666667</v>
      </c>
      <c r="AP88" s="33" t="n">
        <f aca="false">INDEX(Travel,1,AP$5)/12</f>
        <v>1641666.66666667</v>
      </c>
      <c r="AQ88" s="33" t="n">
        <f aca="false">INDEX(Travel,1,AQ$5)/12</f>
        <v>1641666.66666667</v>
      </c>
      <c r="AR88" s="33" t="n">
        <f aca="false">INDEX(Travel,1,AR$5)/12</f>
        <v>1641666.66666667</v>
      </c>
      <c r="AS88" s="33" t="n">
        <f aca="false">INDEX(Travel,1,AS$5)/12</f>
        <v>1641666.66666667</v>
      </c>
      <c r="AT88" s="33" t="n">
        <f aca="false">INDEX(Travel,1,AT$5)/12</f>
        <v>1641666.66666667</v>
      </c>
      <c r="AU88" s="33" t="n">
        <f aca="false">INDEX(Travel,1,AU$5)/12</f>
        <v>1641666.66666667</v>
      </c>
      <c r="AV88" s="33" t="n">
        <f aca="false">INDEX(Travel,1,AV$5)/12</f>
        <v>1641666.66666667</v>
      </c>
      <c r="AW88" s="33" t="n">
        <f aca="false">INDEX(Travel,1,AW$5)/12</f>
        <v>1641666.66666667</v>
      </c>
      <c r="AX88" s="33" t="n">
        <f aca="false">INDEX(Travel,1,AX$5)/12</f>
        <v>1641666.66666667</v>
      </c>
      <c r="AY88" s="33" t="n">
        <f aca="false">INDEX(Travel,1,AY$5)/12</f>
        <v>1641666.66666667</v>
      </c>
      <c r="AZ88" s="33" t="n">
        <f aca="false">INDEX(Travel,1,AZ$5)/12</f>
        <v>1641666.66666667</v>
      </c>
      <c r="BA88" s="33" t="n">
        <f aca="false">INDEX(Travel,1,BA$5)/12</f>
        <v>1916666.66666667</v>
      </c>
      <c r="BB88" s="33" t="n">
        <f aca="false">INDEX(Travel,1,BB$5)/12</f>
        <v>1916666.66666667</v>
      </c>
      <c r="BC88" s="33" t="n">
        <f aca="false">INDEX(Travel,1,BC$5)/12</f>
        <v>1916666.66666667</v>
      </c>
      <c r="BD88" s="33" t="n">
        <f aca="false">INDEX(Travel,1,BD$5)/12</f>
        <v>1916666.66666667</v>
      </c>
      <c r="BE88" s="33" t="n">
        <f aca="false">INDEX(Travel,1,BE$5)/12</f>
        <v>1916666.66666667</v>
      </c>
      <c r="BF88" s="33" t="n">
        <f aca="false">INDEX(Travel,1,BF$5)/12</f>
        <v>1916666.66666667</v>
      </c>
      <c r="BG88" s="33" t="n">
        <f aca="false">INDEX(Travel,1,BG$5)/12</f>
        <v>1916666.66666667</v>
      </c>
      <c r="BH88" s="33" t="n">
        <f aca="false">INDEX(Travel,1,BH$5)/12</f>
        <v>1916666.66666667</v>
      </c>
      <c r="BI88" s="33" t="n">
        <f aca="false">INDEX(Travel,1,BI$5)/12</f>
        <v>1916666.66666667</v>
      </c>
      <c r="BJ88" s="33" t="n">
        <f aca="false">INDEX(Travel,1,BJ$5)/12</f>
        <v>1916666.66666667</v>
      </c>
      <c r="BK88" s="33" t="n">
        <f aca="false">INDEX(Travel,1,BK$5)/12</f>
        <v>1916666.66666667</v>
      </c>
      <c r="BL88" s="33" t="n">
        <f aca="false">INDEX(Travel,1,BL$5)/12</f>
        <v>1916666.66666667</v>
      </c>
    </row>
    <row r="89" customFormat="false" ht="15" hidden="false" customHeight="true" outlineLevel="0" collapsed="false">
      <c r="A89" s="13" t="s">
        <v>885</v>
      </c>
      <c r="B89" s="15" t="s">
        <v>77</v>
      </c>
      <c r="D89" s="56" t="n">
        <f aca="false">SUM(E89:BL89)</f>
        <v>34200000</v>
      </c>
      <c r="E89" s="33" t="n">
        <f aca="false">INDEX(Misc,1,E$5)</f>
        <v>300000</v>
      </c>
      <c r="F89" s="33" t="n">
        <f aca="false">INDEX(Misc,1,F$5)</f>
        <v>300000</v>
      </c>
      <c r="G89" s="33" t="n">
        <f aca="false">INDEX(Misc,1,G$5)</f>
        <v>300000</v>
      </c>
      <c r="H89" s="33" t="n">
        <f aca="false">INDEX(Misc,1,H$5)</f>
        <v>300000</v>
      </c>
      <c r="I89" s="33" t="n">
        <f aca="false">INDEX(Misc,1,I$5)</f>
        <v>300000</v>
      </c>
      <c r="J89" s="33" t="n">
        <f aca="false">INDEX(Misc,1,J$5)</f>
        <v>300000</v>
      </c>
      <c r="K89" s="33" t="n">
        <f aca="false">INDEX(Misc,1,K$5)</f>
        <v>300000</v>
      </c>
      <c r="L89" s="33" t="n">
        <f aca="false">INDEX(Misc,1,L$5)</f>
        <v>300000</v>
      </c>
      <c r="M89" s="33" t="n">
        <f aca="false">INDEX(Misc,1,M$5)</f>
        <v>300000</v>
      </c>
      <c r="N89" s="33" t="n">
        <f aca="false">INDEX(Misc,1,N$5)</f>
        <v>300000</v>
      </c>
      <c r="O89" s="33" t="n">
        <f aca="false">INDEX(Misc,1,O$5)</f>
        <v>300000</v>
      </c>
      <c r="P89" s="33" t="n">
        <f aca="false">INDEX(Misc,1,P$5)</f>
        <v>300000</v>
      </c>
      <c r="Q89" s="33" t="n">
        <f aca="false">INDEX(Misc,1,Q$5)</f>
        <v>450000</v>
      </c>
      <c r="R89" s="33" t="n">
        <f aca="false">INDEX(Misc,1,R$5)</f>
        <v>450000</v>
      </c>
      <c r="S89" s="33" t="n">
        <f aca="false">INDEX(Misc,1,S$5)</f>
        <v>450000</v>
      </c>
      <c r="T89" s="33" t="n">
        <f aca="false">INDEX(Misc,1,T$5)</f>
        <v>450000</v>
      </c>
      <c r="U89" s="33" t="n">
        <f aca="false">INDEX(Misc,1,U$5)</f>
        <v>450000</v>
      </c>
      <c r="V89" s="33" t="n">
        <f aca="false">INDEX(Misc,1,V$5)</f>
        <v>450000</v>
      </c>
      <c r="W89" s="33" t="n">
        <f aca="false">INDEX(Misc,1,W$5)</f>
        <v>450000</v>
      </c>
      <c r="X89" s="33" t="n">
        <f aca="false">INDEX(Misc,1,X$5)</f>
        <v>450000</v>
      </c>
      <c r="Y89" s="33" t="n">
        <f aca="false">INDEX(Misc,1,Y$5)</f>
        <v>450000</v>
      </c>
      <c r="Z89" s="33" t="n">
        <f aca="false">INDEX(Misc,1,Z$5)</f>
        <v>450000</v>
      </c>
      <c r="AA89" s="33" t="n">
        <f aca="false">INDEX(Misc,1,AA$5)</f>
        <v>450000</v>
      </c>
      <c r="AB89" s="33" t="n">
        <f aca="false">INDEX(Misc,1,AB$5)</f>
        <v>450000</v>
      </c>
      <c r="AC89" s="33" t="n">
        <f aca="false">INDEX(Misc,1,AC$5)</f>
        <v>600000</v>
      </c>
      <c r="AD89" s="33" t="n">
        <f aca="false">INDEX(Misc,1,AD$5)</f>
        <v>600000</v>
      </c>
      <c r="AE89" s="33" t="n">
        <f aca="false">INDEX(Misc,1,AE$5)</f>
        <v>600000</v>
      </c>
      <c r="AF89" s="33" t="n">
        <f aca="false">INDEX(Misc,1,AF$5)</f>
        <v>600000</v>
      </c>
      <c r="AG89" s="33" t="n">
        <f aca="false">INDEX(Misc,1,AG$5)</f>
        <v>600000</v>
      </c>
      <c r="AH89" s="33" t="n">
        <f aca="false">INDEX(Misc,1,AH$5)</f>
        <v>600000</v>
      </c>
      <c r="AI89" s="33" t="n">
        <f aca="false">INDEX(Misc,1,AI$5)</f>
        <v>600000</v>
      </c>
      <c r="AJ89" s="33" t="n">
        <f aca="false">INDEX(Misc,1,AJ$5)</f>
        <v>600000</v>
      </c>
      <c r="AK89" s="33" t="n">
        <f aca="false">INDEX(Misc,1,AK$5)</f>
        <v>600000</v>
      </c>
      <c r="AL89" s="33" t="n">
        <f aca="false">INDEX(Misc,1,AL$5)</f>
        <v>600000</v>
      </c>
      <c r="AM89" s="33" t="n">
        <f aca="false">INDEX(Misc,1,AM$5)</f>
        <v>600000</v>
      </c>
      <c r="AN89" s="33" t="n">
        <f aca="false">INDEX(Misc,1,AN$5)</f>
        <v>600000</v>
      </c>
      <c r="AO89" s="33" t="n">
        <f aca="false">INDEX(Misc,1,AO$5)</f>
        <v>700000</v>
      </c>
      <c r="AP89" s="33" t="n">
        <f aca="false">INDEX(Misc,1,AP$5)</f>
        <v>700000</v>
      </c>
      <c r="AQ89" s="33" t="n">
        <f aca="false">INDEX(Misc,1,AQ$5)</f>
        <v>700000</v>
      </c>
      <c r="AR89" s="33" t="n">
        <f aca="false">INDEX(Misc,1,AR$5)</f>
        <v>700000</v>
      </c>
      <c r="AS89" s="33" t="n">
        <f aca="false">INDEX(Misc,1,AS$5)</f>
        <v>700000</v>
      </c>
      <c r="AT89" s="33" t="n">
        <f aca="false">INDEX(Misc,1,AT$5)</f>
        <v>700000</v>
      </c>
      <c r="AU89" s="33" t="n">
        <f aca="false">INDEX(Misc,1,AU$5)</f>
        <v>700000</v>
      </c>
      <c r="AV89" s="33" t="n">
        <f aca="false">INDEX(Misc,1,AV$5)</f>
        <v>700000</v>
      </c>
      <c r="AW89" s="33" t="n">
        <f aca="false">INDEX(Misc,1,AW$5)</f>
        <v>700000</v>
      </c>
      <c r="AX89" s="33" t="n">
        <f aca="false">INDEX(Misc,1,AX$5)</f>
        <v>700000</v>
      </c>
      <c r="AY89" s="33" t="n">
        <f aca="false">INDEX(Misc,1,AY$5)</f>
        <v>700000</v>
      </c>
      <c r="AZ89" s="33" t="n">
        <f aca="false">INDEX(Misc,1,AZ$5)</f>
        <v>700000</v>
      </c>
      <c r="BA89" s="33" t="n">
        <f aca="false">INDEX(Misc,1,BA$5)</f>
        <v>800000</v>
      </c>
      <c r="BB89" s="33" t="n">
        <f aca="false">INDEX(Misc,1,BB$5)</f>
        <v>800000</v>
      </c>
      <c r="BC89" s="33" t="n">
        <f aca="false">INDEX(Misc,1,BC$5)</f>
        <v>800000</v>
      </c>
      <c r="BD89" s="33" t="n">
        <f aca="false">INDEX(Misc,1,BD$5)</f>
        <v>800000</v>
      </c>
      <c r="BE89" s="33" t="n">
        <f aca="false">INDEX(Misc,1,BE$5)</f>
        <v>800000</v>
      </c>
      <c r="BF89" s="33" t="n">
        <f aca="false">INDEX(Misc,1,BF$5)</f>
        <v>800000</v>
      </c>
      <c r="BG89" s="33" t="n">
        <f aca="false">INDEX(Misc,1,BG$5)</f>
        <v>800000</v>
      </c>
      <c r="BH89" s="33" t="n">
        <f aca="false">INDEX(Misc,1,BH$5)</f>
        <v>800000</v>
      </c>
      <c r="BI89" s="33" t="n">
        <f aca="false">INDEX(Misc,1,BI$5)</f>
        <v>800000</v>
      </c>
      <c r="BJ89" s="33" t="n">
        <f aca="false">INDEX(Misc,1,BJ$5)</f>
        <v>800000</v>
      </c>
      <c r="BK89" s="33" t="n">
        <f aca="false">INDEX(Misc,1,BK$5)</f>
        <v>800000</v>
      </c>
      <c r="BL89" s="33" t="n">
        <f aca="false">INDEX(Misc,1,BL$5)</f>
        <v>800000</v>
      </c>
    </row>
    <row r="90" customFormat="false" ht="15" hidden="false" customHeight="true" outlineLevel="0" collapsed="false">
      <c r="A90" s="9" t="s">
        <v>1316</v>
      </c>
      <c r="B90" s="15" t="s">
        <v>77</v>
      </c>
      <c r="D90" s="56" t="n">
        <f aca="false">SUM(E90:BL90)</f>
        <v>121620546.4</v>
      </c>
      <c r="E90" s="17" t="n">
        <f aca="false">SUM(E87:E89)</f>
        <v>2836562.4</v>
      </c>
      <c r="F90" s="17" t="n">
        <f aca="false">SUM(F87:F89)</f>
        <v>737500</v>
      </c>
      <c r="G90" s="17" t="n">
        <f aca="false">SUM(G87:G89)</f>
        <v>737500</v>
      </c>
      <c r="H90" s="17" t="n">
        <f aca="false">SUM(H87:H89)</f>
        <v>737500</v>
      </c>
      <c r="I90" s="17" t="n">
        <f aca="false">SUM(I87:I89)</f>
        <v>737500</v>
      </c>
      <c r="J90" s="17" t="n">
        <f aca="false">SUM(J87:J89)</f>
        <v>737500</v>
      </c>
      <c r="K90" s="17" t="n">
        <f aca="false">SUM(K87:K89)</f>
        <v>737500</v>
      </c>
      <c r="L90" s="17" t="n">
        <f aca="false">SUM(L87:L89)</f>
        <v>737500</v>
      </c>
      <c r="M90" s="17" t="n">
        <f aca="false">SUM(M87:M89)</f>
        <v>737500</v>
      </c>
      <c r="N90" s="17" t="n">
        <f aca="false">SUM(N87:N89)</f>
        <v>737500</v>
      </c>
      <c r="O90" s="17" t="n">
        <f aca="false">SUM(O87:O89)</f>
        <v>737500</v>
      </c>
      <c r="P90" s="17" t="n">
        <f aca="false">SUM(P87:P89)</f>
        <v>737500</v>
      </c>
      <c r="Q90" s="17" t="n">
        <f aca="false">SUM(Q87:Q89)</f>
        <v>2066432.26666667</v>
      </c>
      <c r="R90" s="17" t="n">
        <f aca="false">SUM(R87:R89)</f>
        <v>1541666.66666667</v>
      </c>
      <c r="S90" s="17" t="n">
        <f aca="false">SUM(S87:S89)</f>
        <v>1541666.66666667</v>
      </c>
      <c r="T90" s="17" t="n">
        <f aca="false">SUM(T87:T89)</f>
        <v>2066432.26666667</v>
      </c>
      <c r="U90" s="17" t="n">
        <f aca="false">SUM(U87:U89)</f>
        <v>1541666.66666667</v>
      </c>
      <c r="V90" s="17" t="n">
        <f aca="false">SUM(V87:V89)</f>
        <v>2066432.26666667</v>
      </c>
      <c r="W90" s="17" t="n">
        <f aca="false">SUM(W87:W89)</f>
        <v>1541666.66666667</v>
      </c>
      <c r="X90" s="17" t="n">
        <f aca="false">SUM(X87:X89)</f>
        <v>1541666.66666667</v>
      </c>
      <c r="Y90" s="17" t="n">
        <f aca="false">SUM(Y87:Y89)</f>
        <v>1541666.66666667</v>
      </c>
      <c r="Z90" s="17" t="n">
        <f aca="false">SUM(Z87:Z89)</f>
        <v>1541666.66666667</v>
      </c>
      <c r="AA90" s="17" t="n">
        <f aca="false">SUM(AA87:AA89)</f>
        <v>1541666.66666667</v>
      </c>
      <c r="AB90" s="17" t="n">
        <f aca="false">SUM(AB87:AB89)</f>
        <v>2066432.26666667</v>
      </c>
      <c r="AC90" s="17" t="n">
        <f aca="false">SUM(AC87:AC89)</f>
        <v>1966666.66666667</v>
      </c>
      <c r="AD90" s="17" t="n">
        <f aca="false">SUM(AD87:AD89)</f>
        <v>1966666.66666667</v>
      </c>
      <c r="AE90" s="17" t="n">
        <f aca="false">SUM(AE87:AE89)</f>
        <v>1966666.66666667</v>
      </c>
      <c r="AF90" s="17" t="n">
        <f aca="false">SUM(AF87:AF89)</f>
        <v>2491432.26666667</v>
      </c>
      <c r="AG90" s="17" t="n">
        <f aca="false">SUM(AG87:AG89)</f>
        <v>2491432.26666667</v>
      </c>
      <c r="AH90" s="17" t="n">
        <f aca="false">SUM(AH87:AH89)</f>
        <v>1966666.66666667</v>
      </c>
      <c r="AI90" s="17" t="n">
        <f aca="false">SUM(AI87:AI89)</f>
        <v>1966666.66666667</v>
      </c>
      <c r="AJ90" s="17" t="n">
        <f aca="false">SUM(AJ87:AJ89)</f>
        <v>1966666.66666667</v>
      </c>
      <c r="AK90" s="17" t="n">
        <f aca="false">SUM(AK87:AK89)</f>
        <v>1966666.66666667</v>
      </c>
      <c r="AL90" s="17" t="n">
        <f aca="false">SUM(AL87:AL89)</f>
        <v>2491432.26666667</v>
      </c>
      <c r="AM90" s="17" t="n">
        <f aca="false">SUM(AM87:AM89)</f>
        <v>1966666.66666667</v>
      </c>
      <c r="AN90" s="17" t="n">
        <f aca="false">SUM(AN87:AN89)</f>
        <v>1966666.66666667</v>
      </c>
      <c r="AO90" s="17" t="n">
        <f aca="false">SUM(AO87:AO89)</f>
        <v>2341666.66666667</v>
      </c>
      <c r="AP90" s="17" t="n">
        <f aca="false">SUM(AP87:AP89)</f>
        <v>2341666.66666667</v>
      </c>
      <c r="AQ90" s="17" t="n">
        <f aca="false">SUM(AQ87:AQ89)</f>
        <v>2866432.26666667</v>
      </c>
      <c r="AR90" s="17" t="n">
        <f aca="false">SUM(AR87:AR89)</f>
        <v>2866432.26666667</v>
      </c>
      <c r="AS90" s="17" t="n">
        <f aca="false">SUM(AS87:AS89)</f>
        <v>2341666.66666667</v>
      </c>
      <c r="AT90" s="17" t="n">
        <f aca="false">SUM(AT87:AT89)</f>
        <v>2341666.66666667</v>
      </c>
      <c r="AU90" s="17" t="n">
        <f aca="false">SUM(AU87:AU89)</f>
        <v>2341666.66666667</v>
      </c>
      <c r="AV90" s="17" t="n">
        <f aca="false">SUM(AV87:AV89)</f>
        <v>2341666.66666667</v>
      </c>
      <c r="AW90" s="17" t="n">
        <f aca="false">SUM(AW87:AW89)</f>
        <v>2866432.26666667</v>
      </c>
      <c r="AX90" s="17" t="n">
        <f aca="false">SUM(AX87:AX89)</f>
        <v>2341666.66666667</v>
      </c>
      <c r="AY90" s="17" t="n">
        <f aca="false">SUM(AY87:AY89)</f>
        <v>2341666.66666667</v>
      </c>
      <c r="AZ90" s="17" t="n">
        <f aca="false">SUM(AZ87:AZ89)</f>
        <v>2341666.66666667</v>
      </c>
      <c r="BA90" s="17" t="n">
        <f aca="false">SUM(BA87:BA89)</f>
        <v>3241432.26666667</v>
      </c>
      <c r="BB90" s="17" t="n">
        <f aca="false">SUM(BB87:BB89)</f>
        <v>3241432.26666667</v>
      </c>
      <c r="BC90" s="17" t="n">
        <f aca="false">SUM(BC87:BC89)</f>
        <v>2716666.66666667</v>
      </c>
      <c r="BD90" s="17" t="n">
        <f aca="false">SUM(BD87:BD89)</f>
        <v>2716666.66666667</v>
      </c>
      <c r="BE90" s="17" t="n">
        <f aca="false">SUM(BE87:BE89)</f>
        <v>2716666.66666667</v>
      </c>
      <c r="BF90" s="17" t="n">
        <f aca="false">SUM(BF87:BF89)</f>
        <v>3241432.26666667</v>
      </c>
      <c r="BG90" s="17" t="n">
        <f aca="false">SUM(BG87:BG89)</f>
        <v>2716666.66666667</v>
      </c>
      <c r="BH90" s="17" t="n">
        <f aca="false">SUM(BH87:BH89)</f>
        <v>3241432.26666667</v>
      </c>
      <c r="BI90" s="17" t="n">
        <f aca="false">SUM(BI87:BI89)</f>
        <v>2716666.66666667</v>
      </c>
      <c r="BJ90" s="17" t="n">
        <f aca="false">SUM(BJ87:BJ89)</f>
        <v>3241432.26666667</v>
      </c>
      <c r="BK90" s="17" t="n">
        <f aca="false">SUM(BK87:BK89)</f>
        <v>2716666.66666667</v>
      </c>
      <c r="BL90" s="17" t="n">
        <f aca="false">SUM(BL87:BL89)</f>
        <v>2716666.66666667</v>
      </c>
    </row>
    <row r="92" customFormat="false" ht="15" hidden="false" customHeight="true" outlineLevel="0" collapsed="false">
      <c r="A92" s="11" t="s">
        <v>1317</v>
      </c>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row>
    <row r="93" customFormat="false" ht="15" hidden="false" customHeight="true" outlineLevel="0" collapsed="false">
      <c r="A93" s="13" t="s">
        <v>1318</v>
      </c>
      <c r="B93" s="15" t="s">
        <v>77</v>
      </c>
      <c r="D93" s="56" t="n">
        <f aca="false">SUM(E93:BL93)</f>
        <v>4810325777.38025</v>
      </c>
      <c r="E93" s="33" t="n">
        <f aca="false">E34+E41+E55+E63+E76+E84+E90</f>
        <v>30658037.4</v>
      </c>
      <c r="F93" s="33" t="n">
        <f aca="false">F34+F41+F55+F63+F76+F84+F90</f>
        <v>38663018</v>
      </c>
      <c r="G93" s="33" t="n">
        <f aca="false">G34+G41+G55+G63+G76+G84+G90</f>
        <v>52663018</v>
      </c>
      <c r="H93" s="33" t="n">
        <f aca="false">H34+H41+H55+H63+H76+H84+H90</f>
        <v>35339046</v>
      </c>
      <c r="I93" s="33" t="n">
        <f aca="false">I34+I41+I55+I63+I76+I84+I90</f>
        <v>34663639.1</v>
      </c>
      <c r="J93" s="33" t="n">
        <f aca="false">J34+J41+J55+J63+J76+J84+J90</f>
        <v>34229391.32</v>
      </c>
      <c r="K93" s="33" t="n">
        <f aca="false">K34+K41+K55+K63+K76+K84+K90</f>
        <v>34124214.9286</v>
      </c>
      <c r="L93" s="33" t="n">
        <f aca="false">L34+L41+L55+L63+L76+L84+L90</f>
        <v>34020093.746673</v>
      </c>
      <c r="M93" s="33" t="n">
        <f aca="false">M34+M41+M55+M63+M76+M84+M90</f>
        <v>33916989.4291958</v>
      </c>
      <c r="N93" s="33" t="n">
        <f aca="false">N34+N41+N55+N63+N76+N84+N90</f>
        <v>33814862.8984778</v>
      </c>
      <c r="O93" s="33" t="n">
        <f aca="false">O34+O41+O55+O63+O76+O84+O90</f>
        <v>33713674.2738617</v>
      </c>
      <c r="P93" s="33" t="n">
        <f aca="false">P34+P41+P55+P63+P76+P84+P90</f>
        <v>33613382.7976773</v>
      </c>
      <c r="Q93" s="33" t="n">
        <f aca="false">Q34+Q41+Q55+Q63+Q76+Q84+Q90</f>
        <v>47848064.6238792</v>
      </c>
      <c r="R93" s="33" t="n">
        <f aca="false">R34+R41+R55+R63+R76+R84+R90</f>
        <v>46855343.0891231</v>
      </c>
      <c r="S93" s="33" t="n">
        <f aca="false">S34+S41+S55+S63+S76+S84+S90</f>
        <v>51716691.8186166</v>
      </c>
      <c r="T93" s="33" t="n">
        <f aca="false">T34+T41+T55+T63+T76+T84+T90</f>
        <v>72263284.3972086</v>
      </c>
      <c r="U93" s="33" t="n">
        <f aca="false">U34+U41+U55+U63+U76+U84+U90</f>
        <v>47474379.6369686</v>
      </c>
      <c r="V93" s="33" t="n">
        <f aca="false">V34+V41+V55+V63+V76+V84+V90</f>
        <v>54685263.372772</v>
      </c>
      <c r="W93" s="33" t="n">
        <f aca="false">W34+W41+W55+W63+W76+W84+W90</f>
        <v>55911788.2522248</v>
      </c>
      <c r="X93" s="33" t="n">
        <f aca="false">X34+X41+X55+X63+X76+X84+X90</f>
        <v>56858628.4995783</v>
      </c>
      <c r="Y93" s="33" t="n">
        <f aca="false">Y34+Y41+Y55+Y63+Y76+Y84+Y90</f>
        <v>57221319.6836609</v>
      </c>
      <c r="Z93" s="33" t="n">
        <f aca="false">Z34+Z41+Z55+Z63+Z76+Z84+Z90</f>
        <v>56700943.92382</v>
      </c>
      <c r="AA93" s="33" t="n">
        <f aca="false">AA34+AA41+AA55+AA63+AA76+AA84+AA90</f>
        <v>56743976.3412492</v>
      </c>
      <c r="AB93" s="33" t="n">
        <f aca="false">AB34+AB41+AB55+AB63+AB76+AB84+AB90</f>
        <v>62902061.9037242</v>
      </c>
      <c r="AC93" s="33" t="n">
        <f aca="false">AC34+AC41+AC55+AC63+AC76+AC84+AC90</f>
        <v>73178103.4065008</v>
      </c>
      <c r="AD93" s="33" t="n">
        <f aca="false">AD34+AD41+AD55+AD63+AD76+AD84+AD90</f>
        <v>73732861.6760453</v>
      </c>
      <c r="AE93" s="33" t="n">
        <f aca="false">AE34+AE41+AE55+AE63+AE76+AE84+AE90</f>
        <v>73302942.961162</v>
      </c>
      <c r="AF93" s="33" t="n">
        <f aca="false">AF34+AF41+AF55+AF63+AF76+AF84+AF90</f>
        <v>83733438.3428317</v>
      </c>
      <c r="AG93" s="33" t="n">
        <f aca="false">AG34+AG41+AG55+AG63+AG76+AG84+AG90</f>
        <v>79789688.9494016</v>
      </c>
      <c r="AH93" s="33" t="n">
        <f aca="false">AH34+AH41+AH55+AH63+AH76+AH84+AH90</f>
        <v>79534198.2943657</v>
      </c>
      <c r="AI93" s="33" t="n">
        <f aca="false">AI34+AI41+AI55+AI63+AI76+AI84+AI90</f>
        <v>80216322.5300276</v>
      </c>
      <c r="AJ93" s="33" t="n">
        <f aca="false">AJ34+AJ41+AJ55+AJ63+AJ76+AJ84+AJ90</f>
        <v>79961046.3938293</v>
      </c>
      <c r="AK93" s="33" t="n">
        <f aca="false">AK34+AK41+AK55+AK63+AK76+AK84+AK90</f>
        <v>80979626.499459</v>
      </c>
      <c r="AL93" s="33" t="n">
        <f aca="false">AL34+AL41+AL55+AL63+AL76+AL84+AL90</f>
        <v>83846763.1754266</v>
      </c>
      <c r="AM93" s="33" t="n">
        <f aca="false">AM34+AM41+AM55+AM63+AM76+AM84+AM90</f>
        <v>83694145.8539522</v>
      </c>
      <c r="AN93" s="33" t="n">
        <f aca="false">AN34+AN41+AN55+AN63+AN76+AN84+AN90</f>
        <v>84718120.5131893</v>
      </c>
      <c r="AO93" s="33" t="n">
        <f aca="false">AO34+AO41+AO55+AO63+AO76+AO84+AO90</f>
        <v>91960914.834314</v>
      </c>
      <c r="AP93" s="33" t="n">
        <f aca="false">AP34+AP41+AP55+AP63+AP76+AP84+AP90</f>
        <v>91408087.5268728</v>
      </c>
      <c r="AQ93" s="33" t="n">
        <f aca="false">AQ34+AQ41+AQ55+AQ63+AQ76+AQ84+AQ90</f>
        <v>94446904.8009852</v>
      </c>
      <c r="AR93" s="33" t="n">
        <f aca="false">AR34+AR41+AR55+AR63+AR76+AR84+AR90</f>
        <v>105078198.123544</v>
      </c>
      <c r="AS93" s="33" t="n">
        <f aca="false">AS34+AS41+AS55+AS63+AS76+AS84+AS90</f>
        <v>97060304.637457</v>
      </c>
      <c r="AT93" s="33" t="n">
        <f aca="false">AT34+AT41+AT55+AT63+AT76+AT84+AT90</f>
        <v>98152084.5982044</v>
      </c>
      <c r="AU93" s="33" t="n">
        <f aca="false">AU34+AU41+AU55+AU63+AU76+AU84+AU90</f>
        <v>101433284.815597</v>
      </c>
      <c r="AV93" s="33" t="n">
        <f aca="false">AV34+AV41+AV55+AV63+AV76+AV84+AV90</f>
        <v>100595640.755532</v>
      </c>
      <c r="AW93" s="33" t="n">
        <f aca="false">AW34+AW41+AW55+AW63+AW76+AW84+AW90</f>
        <v>104840236.494439</v>
      </c>
      <c r="AX93" s="33" t="n">
        <f aca="false">AX34+AX41+AX55+AX63+AX76+AX84+AX90</f>
        <v>104334060.941106</v>
      </c>
      <c r="AY93" s="33" t="n">
        <f aca="false">AY34+AY41+AY55+AY63+AY76+AY84+AY90</f>
        <v>105011064.654572</v>
      </c>
      <c r="AZ93" s="33" t="n">
        <f aca="false">AZ34+AZ41+AZ55+AZ63+AZ76+AZ84+AZ90</f>
        <v>107238678.159846</v>
      </c>
      <c r="BA93" s="33" t="n">
        <f aca="false">BA34+BA41+BA55+BA63+BA76+BA84+BA90</f>
        <v>120102456.35302</v>
      </c>
      <c r="BB93" s="33" t="n">
        <f aca="false">BB34+BB41+BB55+BB63+BB76+BB84+BB90</f>
        <v>122384388.473577</v>
      </c>
      <c r="BC93" s="33" t="n">
        <f aca="false">BC34+BC41+BC55+BC63+BC76+BC84+BC90</f>
        <v>121913130.154366</v>
      </c>
      <c r="BD93" s="33" t="n">
        <f aca="false">BD34+BD41+BD55+BD63+BD76+BD84+BD90</f>
        <v>129752158.765753</v>
      </c>
      <c r="BE93" s="33" t="n">
        <f aca="false">BE34+BE41+BE55+BE63+BE76+BE84+BE90</f>
        <v>124605035.924698</v>
      </c>
      <c r="BF93" s="33" t="n">
        <f aca="false">BF34+BF41+BF55+BF63+BF76+BF84+BF90</f>
        <v>127338032.60218</v>
      </c>
      <c r="BG93" s="33" t="n">
        <f aca="false">BG34+BG41+BG55+BG63+BG76+BG84+BG90</f>
        <v>128456403.508311</v>
      </c>
      <c r="BH93" s="33" t="n">
        <f aca="false">BH34+BH41+BH55+BH63+BH76+BH84+BH90</f>
        <v>133990380.85756</v>
      </c>
      <c r="BI93" s="33" t="n">
        <f aca="false">BI34+BI41+BI55+BI63+BI76+BI84+BI90</f>
        <v>133957301.766638</v>
      </c>
      <c r="BJ93" s="33" t="n">
        <f aca="false">BJ34+BJ41+BJ55+BJ63+BJ76+BJ84+BJ90</f>
        <v>136379448.987762</v>
      </c>
      <c r="BK93" s="33" t="n">
        <f aca="false">BK34+BK41+BK55+BK63+BK76+BK84+BK90</f>
        <v>137473118.989583</v>
      </c>
      <c r="BL93" s="33" t="n">
        <f aca="false">BL34+BL41+BL55+BL63+BL76+BL84+BL90</f>
        <v>139126088.620833</v>
      </c>
    </row>
    <row r="94" customFormat="false" ht="15" hidden="false" customHeight="true" outlineLevel="0" collapsed="false">
      <c r="A94" s="13" t="s">
        <v>1319</v>
      </c>
      <c r="B94" s="15" t="s">
        <v>77</v>
      </c>
      <c r="D94" s="56" t="n">
        <f aca="false">SUM(E94:BL94)</f>
        <v>240516288.869013</v>
      </c>
      <c r="E94" s="33" t="n">
        <f aca="false">E93*Contingency_Pct</f>
        <v>1532901.87</v>
      </c>
      <c r="F94" s="33" t="n">
        <f aca="false">F93*Contingency_Pct</f>
        <v>1933150.9</v>
      </c>
      <c r="G94" s="33" t="n">
        <f aca="false">G93*Contingency_Pct</f>
        <v>2633150.9</v>
      </c>
      <c r="H94" s="33" t="n">
        <f aca="false">H93*Contingency_Pct</f>
        <v>1766952.3</v>
      </c>
      <c r="I94" s="33" t="n">
        <f aca="false">I93*Contingency_Pct</f>
        <v>1733181.955</v>
      </c>
      <c r="J94" s="33" t="n">
        <f aca="false">J93*Contingency_Pct</f>
        <v>1711469.566</v>
      </c>
      <c r="K94" s="33" t="n">
        <f aca="false">K93*Contingency_Pct</f>
        <v>1706210.74643</v>
      </c>
      <c r="L94" s="33" t="n">
        <f aca="false">L93*Contingency_Pct</f>
        <v>1701004.68733365</v>
      </c>
      <c r="M94" s="33" t="n">
        <f aca="false">M93*Contingency_Pct</f>
        <v>1695849.47145979</v>
      </c>
      <c r="N94" s="33" t="n">
        <f aca="false">N93*Contingency_Pct</f>
        <v>1690743.14492389</v>
      </c>
      <c r="O94" s="33" t="n">
        <f aca="false">O93*Contingency_Pct</f>
        <v>1685683.71369309</v>
      </c>
      <c r="P94" s="33" t="n">
        <f aca="false">P93*Contingency_Pct</f>
        <v>1680669.13988386</v>
      </c>
      <c r="Q94" s="33" t="n">
        <f aca="false">Q93*Contingency_Pct</f>
        <v>2392403.23119396</v>
      </c>
      <c r="R94" s="33" t="n">
        <f aca="false">R93*Contingency_Pct</f>
        <v>2342767.15445615</v>
      </c>
      <c r="S94" s="33" t="n">
        <f aca="false">S93*Contingency_Pct</f>
        <v>2585834.59093083</v>
      </c>
      <c r="T94" s="33" t="n">
        <f aca="false">T93*Contingency_Pct</f>
        <v>3613164.21986043</v>
      </c>
      <c r="U94" s="33" t="n">
        <f aca="false">U93*Contingency_Pct</f>
        <v>2373718.98184843</v>
      </c>
      <c r="V94" s="33" t="n">
        <f aca="false">V93*Contingency_Pct</f>
        <v>2734263.1686386</v>
      </c>
      <c r="W94" s="33" t="n">
        <f aca="false">W93*Contingency_Pct</f>
        <v>2795589.41261124</v>
      </c>
      <c r="X94" s="33" t="n">
        <f aca="false">X93*Contingency_Pct</f>
        <v>2842931.42497891</v>
      </c>
      <c r="Y94" s="33" t="n">
        <f aca="false">Y93*Contingency_Pct</f>
        <v>2861065.98418304</v>
      </c>
      <c r="Z94" s="33" t="n">
        <f aca="false">Z93*Contingency_Pct</f>
        <v>2835047.196191</v>
      </c>
      <c r="AA94" s="33" t="n">
        <f aca="false">AA93*Contingency_Pct</f>
        <v>2837198.81706246</v>
      </c>
      <c r="AB94" s="33" t="n">
        <f aca="false">AB93*Contingency_Pct</f>
        <v>3145103.09518621</v>
      </c>
      <c r="AC94" s="33" t="n">
        <f aca="false">AC93*Contingency_Pct</f>
        <v>3658905.17032504</v>
      </c>
      <c r="AD94" s="33" t="n">
        <f aca="false">AD93*Contingency_Pct</f>
        <v>3686643.08380227</v>
      </c>
      <c r="AE94" s="33" t="n">
        <f aca="false">AE93*Contingency_Pct</f>
        <v>3665147.1480581</v>
      </c>
      <c r="AF94" s="33" t="n">
        <f aca="false">AF93*Contingency_Pct</f>
        <v>4186671.91714158</v>
      </c>
      <c r="AG94" s="33" t="n">
        <f aca="false">AG93*Contingency_Pct</f>
        <v>3989484.44747008</v>
      </c>
      <c r="AH94" s="33" t="n">
        <f aca="false">AH93*Contingency_Pct</f>
        <v>3976709.91471828</v>
      </c>
      <c r="AI94" s="33" t="n">
        <f aca="false">AI93*Contingency_Pct</f>
        <v>4010816.12650138</v>
      </c>
      <c r="AJ94" s="33" t="n">
        <f aca="false">AJ93*Contingency_Pct</f>
        <v>3998052.31969146</v>
      </c>
      <c r="AK94" s="33" t="n">
        <f aca="false">AK93*Contingency_Pct</f>
        <v>4048981.32497295</v>
      </c>
      <c r="AL94" s="33" t="n">
        <f aca="false">AL93*Contingency_Pct</f>
        <v>4192338.15877133</v>
      </c>
      <c r="AM94" s="33" t="n">
        <f aca="false">AM93*Contingency_Pct</f>
        <v>4184707.29269761</v>
      </c>
      <c r="AN94" s="33" t="n">
        <f aca="false">AN93*Contingency_Pct</f>
        <v>4235906.02565947</v>
      </c>
      <c r="AO94" s="33" t="n">
        <f aca="false">AO93*Contingency_Pct</f>
        <v>4598045.7417157</v>
      </c>
      <c r="AP94" s="33" t="n">
        <f aca="false">AP93*Contingency_Pct</f>
        <v>4570404.37634364</v>
      </c>
      <c r="AQ94" s="33" t="n">
        <f aca="false">AQ93*Contingency_Pct</f>
        <v>4722345.24004926</v>
      </c>
      <c r="AR94" s="33" t="n">
        <f aca="false">AR93*Contingency_Pct</f>
        <v>5253909.90617722</v>
      </c>
      <c r="AS94" s="33" t="n">
        <f aca="false">AS93*Contingency_Pct</f>
        <v>4853015.23187285</v>
      </c>
      <c r="AT94" s="33" t="n">
        <f aca="false">AT93*Contingency_Pct</f>
        <v>4907604.22991022</v>
      </c>
      <c r="AU94" s="33" t="n">
        <f aca="false">AU93*Contingency_Pct</f>
        <v>5071664.24077983</v>
      </c>
      <c r="AV94" s="33" t="n">
        <f aca="false">AV93*Contingency_Pct</f>
        <v>5029782.03777662</v>
      </c>
      <c r="AW94" s="33" t="n">
        <f aca="false">AW93*Contingency_Pct</f>
        <v>5242011.82472196</v>
      </c>
      <c r="AX94" s="33" t="n">
        <f aca="false">AX93*Contingency_Pct</f>
        <v>5216703.04705528</v>
      </c>
      <c r="AY94" s="33" t="n">
        <f aca="false">AY93*Contingency_Pct</f>
        <v>5250553.2327286</v>
      </c>
      <c r="AZ94" s="33" t="n">
        <f aca="false">AZ93*Contingency_Pct</f>
        <v>5361933.90799231</v>
      </c>
      <c r="BA94" s="33" t="n">
        <f aca="false">BA93*Contingency_Pct</f>
        <v>6005122.81765102</v>
      </c>
      <c r="BB94" s="33" t="n">
        <f aca="false">BB93*Contingency_Pct</f>
        <v>6119219.42367883</v>
      </c>
      <c r="BC94" s="33" t="n">
        <f aca="false">BC93*Contingency_Pct</f>
        <v>6095656.50771831</v>
      </c>
      <c r="BD94" s="33" t="n">
        <f aca="false">BD93*Contingency_Pct</f>
        <v>6487607.93828766</v>
      </c>
      <c r="BE94" s="33" t="n">
        <f aca="false">BE93*Contingency_Pct</f>
        <v>6230251.79623492</v>
      </c>
      <c r="BF94" s="33" t="n">
        <f aca="false">BF93*Contingency_Pct</f>
        <v>6366901.63010901</v>
      </c>
      <c r="BG94" s="33" t="n">
        <f aca="false">BG93*Contingency_Pct</f>
        <v>6422820.17541555</v>
      </c>
      <c r="BH94" s="33" t="n">
        <f aca="false">BH93*Contingency_Pct</f>
        <v>6699519.04287798</v>
      </c>
      <c r="BI94" s="33" t="n">
        <f aca="false">BI93*Contingency_Pct</f>
        <v>6697865.08833191</v>
      </c>
      <c r="BJ94" s="33" t="n">
        <f aca="false">BJ93*Contingency_Pct</f>
        <v>6818972.44938808</v>
      </c>
      <c r="BK94" s="33" t="n">
        <f aca="false">BK93*Contingency_Pct</f>
        <v>6873655.94947917</v>
      </c>
      <c r="BL94" s="33" t="n">
        <f aca="false">BL93*Contingency_Pct</f>
        <v>6956304.43104167</v>
      </c>
    </row>
    <row r="95" customFormat="false" ht="15" hidden="false" customHeight="true" outlineLevel="0" collapsed="false">
      <c r="A95" s="9" t="s">
        <v>1320</v>
      </c>
      <c r="B95" s="15" t="s">
        <v>77</v>
      </c>
      <c r="D95" s="56" t="n">
        <f aca="false">SUM(E95:BL95)</f>
        <v>5050842066.24927</v>
      </c>
      <c r="E95" s="17" t="n">
        <f aca="false">E93+E94</f>
        <v>32190939.27</v>
      </c>
      <c r="F95" s="17" t="n">
        <f aca="false">F93+F94</f>
        <v>40596168.9</v>
      </c>
      <c r="G95" s="17" t="n">
        <f aca="false">G93+G94</f>
        <v>55296168.9</v>
      </c>
      <c r="H95" s="17" t="n">
        <f aca="false">H93+H94</f>
        <v>37105998.3</v>
      </c>
      <c r="I95" s="17" t="n">
        <f aca="false">I93+I94</f>
        <v>36396821.055</v>
      </c>
      <c r="J95" s="17" t="n">
        <f aca="false">J93+J94</f>
        <v>35940860.886</v>
      </c>
      <c r="K95" s="17" t="n">
        <f aca="false">K93+K94</f>
        <v>35830425.67503</v>
      </c>
      <c r="L95" s="17" t="n">
        <f aca="false">L93+L94</f>
        <v>35721098.4340067</v>
      </c>
      <c r="M95" s="17" t="n">
        <f aca="false">M93+M94</f>
        <v>35612838.9006556</v>
      </c>
      <c r="N95" s="17" t="n">
        <f aca="false">N93+N94</f>
        <v>35505606.0434017</v>
      </c>
      <c r="O95" s="17" t="n">
        <f aca="false">O93+O94</f>
        <v>35399357.9875548</v>
      </c>
      <c r="P95" s="17" t="n">
        <f aca="false">P93+P94</f>
        <v>35294051.9375611</v>
      </c>
      <c r="Q95" s="17" t="n">
        <f aca="false">Q93+Q94</f>
        <v>50240467.8550732</v>
      </c>
      <c r="R95" s="17" t="n">
        <f aca="false">R93+R94</f>
        <v>49198110.2435792</v>
      </c>
      <c r="S95" s="17" t="n">
        <f aca="false">S93+S94</f>
        <v>54302526.4095475</v>
      </c>
      <c r="T95" s="17" t="n">
        <f aca="false">T93+T94</f>
        <v>75876448.617069</v>
      </c>
      <c r="U95" s="17" t="n">
        <f aca="false">U93+U94</f>
        <v>49848098.618817</v>
      </c>
      <c r="V95" s="17" t="n">
        <f aca="false">V93+V94</f>
        <v>57419526.5414106</v>
      </c>
      <c r="W95" s="17" t="n">
        <f aca="false">W93+W94</f>
        <v>58707377.6648361</v>
      </c>
      <c r="X95" s="17" t="n">
        <f aca="false">X93+X94</f>
        <v>59701559.9245572</v>
      </c>
      <c r="Y95" s="17" t="n">
        <f aca="false">Y93+Y94</f>
        <v>60082385.6678439</v>
      </c>
      <c r="Z95" s="17" t="n">
        <f aca="false">Z93+Z94</f>
        <v>59535991.120011</v>
      </c>
      <c r="AA95" s="17" t="n">
        <f aca="false">AA93+AA94</f>
        <v>59581175.1583117</v>
      </c>
      <c r="AB95" s="17" t="n">
        <f aca="false">AB93+AB94</f>
        <v>66047164.9989104</v>
      </c>
      <c r="AC95" s="17" t="n">
        <f aca="false">AC93+AC94</f>
        <v>76837008.5768258</v>
      </c>
      <c r="AD95" s="17" t="n">
        <f aca="false">AD93+AD94</f>
        <v>77419504.7598476</v>
      </c>
      <c r="AE95" s="17" t="n">
        <f aca="false">AE93+AE94</f>
        <v>76968090.1092201</v>
      </c>
      <c r="AF95" s="17" t="n">
        <f aca="false">AF93+AF94</f>
        <v>87920110.2599733</v>
      </c>
      <c r="AG95" s="17" t="n">
        <f aca="false">AG93+AG94</f>
        <v>83779173.3968717</v>
      </c>
      <c r="AH95" s="17" t="n">
        <f aca="false">AH93+AH94</f>
        <v>83510908.209084</v>
      </c>
      <c r="AI95" s="17" t="n">
        <f aca="false">AI93+AI94</f>
        <v>84227138.656529</v>
      </c>
      <c r="AJ95" s="17" t="n">
        <f aca="false">AJ93+AJ94</f>
        <v>83959098.7135207</v>
      </c>
      <c r="AK95" s="17" t="n">
        <f aca="false">AK93+AK94</f>
        <v>85028607.824432</v>
      </c>
      <c r="AL95" s="17" t="n">
        <f aca="false">AL93+AL94</f>
        <v>88039101.3341979</v>
      </c>
      <c r="AM95" s="17" t="n">
        <f aca="false">AM93+AM94</f>
        <v>87878853.1466498</v>
      </c>
      <c r="AN95" s="17" t="n">
        <f aca="false">AN93+AN94</f>
        <v>88954026.5388488</v>
      </c>
      <c r="AO95" s="17" t="n">
        <f aca="false">AO93+AO94</f>
        <v>96558960.5760297</v>
      </c>
      <c r="AP95" s="17" t="n">
        <f aca="false">AP93+AP94</f>
        <v>95978491.9032165</v>
      </c>
      <c r="AQ95" s="17" t="n">
        <f aca="false">AQ93+AQ94</f>
        <v>99169250.0410345</v>
      </c>
      <c r="AR95" s="17" t="n">
        <f aca="false">AR93+AR94</f>
        <v>110332108.029722</v>
      </c>
      <c r="AS95" s="17" t="n">
        <f aca="false">AS93+AS94</f>
        <v>101913319.86933</v>
      </c>
      <c r="AT95" s="17" t="n">
        <f aca="false">AT93+AT94</f>
        <v>103059688.828115</v>
      </c>
      <c r="AU95" s="17" t="n">
        <f aca="false">AU93+AU94</f>
        <v>106504949.056376</v>
      </c>
      <c r="AV95" s="17" t="n">
        <f aca="false">AV93+AV94</f>
        <v>105625422.793309</v>
      </c>
      <c r="AW95" s="17" t="n">
        <f aca="false">AW93+AW94</f>
        <v>110082248.319161</v>
      </c>
      <c r="AX95" s="17" t="n">
        <f aca="false">AX93+AX94</f>
        <v>109550763.988161</v>
      </c>
      <c r="AY95" s="17" t="n">
        <f aca="false">AY93+AY94</f>
        <v>110261617.887301</v>
      </c>
      <c r="AZ95" s="17" t="n">
        <f aca="false">AZ93+AZ94</f>
        <v>112600612.067839</v>
      </c>
      <c r="BA95" s="17" t="n">
        <f aca="false">BA93+BA94</f>
        <v>126107579.170671</v>
      </c>
      <c r="BB95" s="17" t="n">
        <f aca="false">BB93+BB94</f>
        <v>128503607.897255</v>
      </c>
      <c r="BC95" s="17" t="n">
        <f aca="false">BC93+BC94</f>
        <v>128008786.662084</v>
      </c>
      <c r="BD95" s="17" t="n">
        <f aca="false">BD93+BD94</f>
        <v>136239766.704041</v>
      </c>
      <c r="BE95" s="17" t="n">
        <f aca="false">BE93+BE94</f>
        <v>130835287.720933</v>
      </c>
      <c r="BF95" s="17" t="n">
        <f aca="false">BF93+BF94</f>
        <v>133704934.232289</v>
      </c>
      <c r="BG95" s="17" t="n">
        <f aca="false">BG93+BG94</f>
        <v>134879223.683727</v>
      </c>
      <c r="BH95" s="17" t="n">
        <f aca="false">BH93+BH94</f>
        <v>140689899.900438</v>
      </c>
      <c r="BI95" s="17" t="n">
        <f aca="false">BI93+BI94</f>
        <v>140655166.85497</v>
      </c>
      <c r="BJ95" s="17" t="n">
        <f aca="false">BJ93+BJ94</f>
        <v>143198421.43715</v>
      </c>
      <c r="BK95" s="17" t="n">
        <f aca="false">BK93+BK94</f>
        <v>144346774.939063</v>
      </c>
      <c r="BL95" s="17" t="n">
        <f aca="false">BL93+BL94</f>
        <v>146082393.051875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1321</v>
      </c>
    </row>
    <row r="2" customFormat="false" ht="15" hidden="false" customHeight="true" outlineLevel="0" collapsed="false">
      <c r="A2" s="3" t="s">
        <v>1322</v>
      </c>
    </row>
    <row r="3" customFormat="false" ht="15" hidden="false" customHeight="true" outlineLevel="0" collapsed="false">
      <c r="A3" s="9" t="s">
        <v>1131</v>
      </c>
      <c r="D3" s="9" t="s">
        <v>1132</v>
      </c>
      <c r="E3" s="21" t="n">
        <f aca="false">Costs!E3</f>
        <v>1</v>
      </c>
      <c r="F3" s="21" t="n">
        <f aca="false">Costs!F3</f>
        <v>2</v>
      </c>
      <c r="G3" s="21" t="n">
        <f aca="false">Costs!G3</f>
        <v>3</v>
      </c>
      <c r="H3" s="21" t="n">
        <f aca="false">Costs!H3</f>
        <v>4</v>
      </c>
      <c r="I3" s="21" t="n">
        <f aca="false">Costs!I3</f>
        <v>5</v>
      </c>
      <c r="J3" s="21" t="n">
        <f aca="false">Costs!J3</f>
        <v>6</v>
      </c>
      <c r="K3" s="21" t="n">
        <f aca="false">Costs!K3</f>
        <v>7</v>
      </c>
      <c r="L3" s="21" t="n">
        <f aca="false">Costs!L3</f>
        <v>8</v>
      </c>
      <c r="M3" s="21" t="n">
        <f aca="false">Costs!M3</f>
        <v>9</v>
      </c>
      <c r="N3" s="21" t="n">
        <f aca="false">Costs!N3</f>
        <v>10</v>
      </c>
      <c r="O3" s="21" t="n">
        <f aca="false">Costs!O3</f>
        <v>11</v>
      </c>
      <c r="P3" s="21" t="n">
        <f aca="false">Costs!P3</f>
        <v>12</v>
      </c>
      <c r="Q3" s="21" t="n">
        <f aca="false">Costs!Q3</f>
        <v>13</v>
      </c>
      <c r="R3" s="21" t="n">
        <f aca="false">Costs!R3</f>
        <v>14</v>
      </c>
      <c r="S3" s="21" t="n">
        <f aca="false">Costs!S3</f>
        <v>15</v>
      </c>
      <c r="T3" s="21" t="n">
        <f aca="false">Costs!T3</f>
        <v>16</v>
      </c>
      <c r="U3" s="21" t="n">
        <f aca="false">Costs!U3</f>
        <v>17</v>
      </c>
      <c r="V3" s="21" t="n">
        <f aca="false">Costs!V3</f>
        <v>18</v>
      </c>
      <c r="W3" s="21" t="n">
        <f aca="false">Costs!W3</f>
        <v>19</v>
      </c>
      <c r="X3" s="21" t="n">
        <f aca="false">Costs!X3</f>
        <v>20</v>
      </c>
      <c r="Y3" s="21" t="n">
        <f aca="false">Costs!Y3</f>
        <v>21</v>
      </c>
      <c r="Z3" s="21" t="n">
        <f aca="false">Costs!Z3</f>
        <v>22</v>
      </c>
      <c r="AA3" s="21" t="n">
        <f aca="false">Costs!AA3</f>
        <v>23</v>
      </c>
      <c r="AB3" s="21" t="n">
        <f aca="false">Costs!AB3</f>
        <v>24</v>
      </c>
      <c r="AC3" s="21" t="n">
        <f aca="false">Costs!AC3</f>
        <v>25</v>
      </c>
      <c r="AD3" s="21" t="n">
        <f aca="false">Costs!AD3</f>
        <v>26</v>
      </c>
      <c r="AE3" s="21" t="n">
        <f aca="false">Costs!AE3</f>
        <v>27</v>
      </c>
      <c r="AF3" s="21" t="n">
        <f aca="false">Costs!AF3</f>
        <v>28</v>
      </c>
      <c r="AG3" s="21" t="n">
        <f aca="false">Costs!AG3</f>
        <v>29</v>
      </c>
      <c r="AH3" s="21" t="n">
        <f aca="false">Costs!AH3</f>
        <v>30</v>
      </c>
      <c r="AI3" s="21" t="n">
        <f aca="false">Costs!AI3</f>
        <v>31</v>
      </c>
      <c r="AJ3" s="21" t="n">
        <f aca="false">Costs!AJ3</f>
        <v>32</v>
      </c>
      <c r="AK3" s="21" t="n">
        <f aca="false">Costs!AK3</f>
        <v>33</v>
      </c>
      <c r="AL3" s="21" t="n">
        <f aca="false">Costs!AL3</f>
        <v>34</v>
      </c>
      <c r="AM3" s="21" t="n">
        <f aca="false">Costs!AM3</f>
        <v>35</v>
      </c>
      <c r="AN3" s="21" t="n">
        <f aca="false">Costs!AN3</f>
        <v>36</v>
      </c>
      <c r="AO3" s="21" t="n">
        <f aca="false">Costs!AO3</f>
        <v>37</v>
      </c>
      <c r="AP3" s="21" t="n">
        <f aca="false">Costs!AP3</f>
        <v>38</v>
      </c>
      <c r="AQ3" s="21" t="n">
        <f aca="false">Costs!AQ3</f>
        <v>39</v>
      </c>
      <c r="AR3" s="21" t="n">
        <f aca="false">Costs!AR3</f>
        <v>40</v>
      </c>
      <c r="AS3" s="21" t="n">
        <f aca="false">Costs!AS3</f>
        <v>41</v>
      </c>
      <c r="AT3" s="21" t="n">
        <f aca="false">Costs!AT3</f>
        <v>42</v>
      </c>
      <c r="AU3" s="21" t="n">
        <f aca="false">Costs!AU3</f>
        <v>43</v>
      </c>
      <c r="AV3" s="21" t="n">
        <f aca="false">Costs!AV3</f>
        <v>44</v>
      </c>
      <c r="AW3" s="21" t="n">
        <f aca="false">Costs!AW3</f>
        <v>45</v>
      </c>
      <c r="AX3" s="21" t="n">
        <f aca="false">Costs!AX3</f>
        <v>46</v>
      </c>
      <c r="AY3" s="21" t="n">
        <f aca="false">Costs!AY3</f>
        <v>47</v>
      </c>
      <c r="AZ3" s="21" t="n">
        <f aca="false">Costs!AZ3</f>
        <v>48</v>
      </c>
      <c r="BA3" s="21" t="n">
        <f aca="false">Costs!BA3</f>
        <v>49</v>
      </c>
      <c r="BB3" s="21" t="n">
        <f aca="false">Costs!BB3</f>
        <v>50</v>
      </c>
      <c r="BC3" s="21" t="n">
        <f aca="false">Costs!BC3</f>
        <v>51</v>
      </c>
      <c r="BD3" s="21" t="n">
        <f aca="false">Costs!BD3</f>
        <v>52</v>
      </c>
      <c r="BE3" s="21" t="n">
        <f aca="false">Costs!BE3</f>
        <v>53</v>
      </c>
      <c r="BF3" s="21" t="n">
        <f aca="false">Costs!BF3</f>
        <v>54</v>
      </c>
      <c r="BG3" s="21" t="n">
        <f aca="false">Costs!BG3</f>
        <v>55</v>
      </c>
      <c r="BH3" s="21" t="n">
        <f aca="false">Costs!BH3</f>
        <v>56</v>
      </c>
      <c r="BI3" s="21" t="n">
        <f aca="false">Costs!BI3</f>
        <v>57</v>
      </c>
      <c r="BJ3" s="21" t="n">
        <f aca="false">Costs!BJ3</f>
        <v>58</v>
      </c>
      <c r="BK3" s="21" t="n">
        <f aca="false">Costs!BK3</f>
        <v>59</v>
      </c>
      <c r="BL3" s="21" t="n">
        <f aca="false">Costs!BL3</f>
        <v>60</v>
      </c>
    </row>
    <row r="4" customFormat="false" ht="15" hidden="false" customHeight="true" outlineLevel="0" collapsed="false">
      <c r="A4" s="9" t="s">
        <v>1133</v>
      </c>
      <c r="E4" s="54" t="n">
        <f aca="false">Costs!E4</f>
        <v>46388</v>
      </c>
      <c r="F4" s="54" t="n">
        <f aca="false">Costs!F4</f>
        <v>46419</v>
      </c>
      <c r="G4" s="54" t="n">
        <f aca="false">Costs!G4</f>
        <v>46447</v>
      </c>
      <c r="H4" s="54" t="n">
        <f aca="false">Costs!H4</f>
        <v>46478</v>
      </c>
      <c r="I4" s="54" t="n">
        <f aca="false">Costs!I4</f>
        <v>46508</v>
      </c>
      <c r="J4" s="54" t="n">
        <f aca="false">Costs!J4</f>
        <v>46539</v>
      </c>
      <c r="K4" s="54" t="n">
        <f aca="false">Costs!K4</f>
        <v>46569</v>
      </c>
      <c r="L4" s="54" t="n">
        <f aca="false">Costs!L4</f>
        <v>46600</v>
      </c>
      <c r="M4" s="54" t="n">
        <f aca="false">Costs!M4</f>
        <v>46631</v>
      </c>
      <c r="N4" s="54" t="n">
        <f aca="false">Costs!N4</f>
        <v>46661</v>
      </c>
      <c r="O4" s="54" t="n">
        <f aca="false">Costs!O4</f>
        <v>46692</v>
      </c>
      <c r="P4" s="54" t="n">
        <f aca="false">Costs!P4</f>
        <v>46722</v>
      </c>
      <c r="Q4" s="54" t="n">
        <f aca="false">Costs!Q4</f>
        <v>46753</v>
      </c>
      <c r="R4" s="54" t="n">
        <f aca="false">Costs!R4</f>
        <v>46784</v>
      </c>
      <c r="S4" s="54" t="n">
        <f aca="false">Costs!S4</f>
        <v>46813</v>
      </c>
      <c r="T4" s="54" t="n">
        <f aca="false">Costs!T4</f>
        <v>46844</v>
      </c>
      <c r="U4" s="54" t="n">
        <f aca="false">Costs!U4</f>
        <v>46874</v>
      </c>
      <c r="V4" s="54" t="n">
        <f aca="false">Costs!V4</f>
        <v>46905</v>
      </c>
      <c r="W4" s="54" t="n">
        <f aca="false">Costs!W4</f>
        <v>46935</v>
      </c>
      <c r="X4" s="54" t="n">
        <f aca="false">Costs!X4</f>
        <v>46966</v>
      </c>
      <c r="Y4" s="54" t="n">
        <f aca="false">Costs!Y4</f>
        <v>46997</v>
      </c>
      <c r="Z4" s="54" t="n">
        <f aca="false">Costs!Z4</f>
        <v>47027</v>
      </c>
      <c r="AA4" s="54" t="n">
        <f aca="false">Costs!AA4</f>
        <v>47058</v>
      </c>
      <c r="AB4" s="54" t="n">
        <f aca="false">Costs!AB4</f>
        <v>47088</v>
      </c>
      <c r="AC4" s="54" t="n">
        <f aca="false">Costs!AC4</f>
        <v>47119</v>
      </c>
      <c r="AD4" s="54" t="n">
        <f aca="false">Costs!AD4</f>
        <v>47150</v>
      </c>
      <c r="AE4" s="54" t="n">
        <f aca="false">Costs!AE4</f>
        <v>47178</v>
      </c>
      <c r="AF4" s="54" t="n">
        <f aca="false">Costs!AF4</f>
        <v>47209</v>
      </c>
      <c r="AG4" s="54" t="n">
        <f aca="false">Costs!AG4</f>
        <v>47239</v>
      </c>
      <c r="AH4" s="54" t="n">
        <f aca="false">Costs!AH4</f>
        <v>47270</v>
      </c>
      <c r="AI4" s="54" t="n">
        <f aca="false">Costs!AI4</f>
        <v>47300</v>
      </c>
      <c r="AJ4" s="54" t="n">
        <f aca="false">Costs!AJ4</f>
        <v>47331</v>
      </c>
      <c r="AK4" s="54" t="n">
        <f aca="false">Costs!AK4</f>
        <v>47362</v>
      </c>
      <c r="AL4" s="54" t="n">
        <f aca="false">Costs!AL4</f>
        <v>47392</v>
      </c>
      <c r="AM4" s="54" t="n">
        <f aca="false">Costs!AM4</f>
        <v>47423</v>
      </c>
      <c r="AN4" s="54" t="n">
        <f aca="false">Costs!AN4</f>
        <v>47453</v>
      </c>
      <c r="AO4" s="54" t="n">
        <f aca="false">Costs!AO4</f>
        <v>47484</v>
      </c>
      <c r="AP4" s="54" t="n">
        <f aca="false">Costs!AP4</f>
        <v>47515</v>
      </c>
      <c r="AQ4" s="54" t="n">
        <f aca="false">Costs!AQ4</f>
        <v>47543</v>
      </c>
      <c r="AR4" s="54" t="n">
        <f aca="false">Costs!AR4</f>
        <v>47574</v>
      </c>
      <c r="AS4" s="54" t="n">
        <f aca="false">Costs!AS4</f>
        <v>47604</v>
      </c>
      <c r="AT4" s="54" t="n">
        <f aca="false">Costs!AT4</f>
        <v>47635</v>
      </c>
      <c r="AU4" s="54" t="n">
        <f aca="false">Costs!AU4</f>
        <v>47665</v>
      </c>
      <c r="AV4" s="54" t="n">
        <f aca="false">Costs!AV4</f>
        <v>47696</v>
      </c>
      <c r="AW4" s="54" t="n">
        <f aca="false">Costs!AW4</f>
        <v>47727</v>
      </c>
      <c r="AX4" s="54" t="n">
        <f aca="false">Costs!AX4</f>
        <v>47757</v>
      </c>
      <c r="AY4" s="54" t="n">
        <f aca="false">Costs!AY4</f>
        <v>47788</v>
      </c>
      <c r="AZ4" s="54" t="n">
        <f aca="false">Costs!AZ4</f>
        <v>47818</v>
      </c>
      <c r="BA4" s="54" t="n">
        <f aca="false">Costs!BA4</f>
        <v>47849</v>
      </c>
      <c r="BB4" s="54" t="n">
        <f aca="false">Costs!BB4</f>
        <v>47880</v>
      </c>
      <c r="BC4" s="54" t="n">
        <f aca="false">Costs!BC4</f>
        <v>47908</v>
      </c>
      <c r="BD4" s="54" t="n">
        <f aca="false">Costs!BD4</f>
        <v>47939</v>
      </c>
      <c r="BE4" s="54" t="n">
        <f aca="false">Costs!BE4</f>
        <v>47969</v>
      </c>
      <c r="BF4" s="54" t="n">
        <f aca="false">Costs!BF4</f>
        <v>48000</v>
      </c>
      <c r="BG4" s="54" t="n">
        <f aca="false">Costs!BG4</f>
        <v>48030</v>
      </c>
      <c r="BH4" s="54" t="n">
        <f aca="false">Costs!BH4</f>
        <v>48061</v>
      </c>
      <c r="BI4" s="54" t="n">
        <f aca="false">Costs!BI4</f>
        <v>48092</v>
      </c>
      <c r="BJ4" s="54" t="n">
        <f aca="false">Costs!BJ4</f>
        <v>48122</v>
      </c>
      <c r="BK4" s="54" t="n">
        <f aca="false">Costs!BK4</f>
        <v>48153</v>
      </c>
      <c r="BL4" s="54" t="n">
        <f aca="false">Costs!BL4</f>
        <v>48183</v>
      </c>
    </row>
    <row r="5" customFormat="false" ht="15" hidden="false" customHeight="true" outlineLevel="0" collapsed="false">
      <c r="A5" s="9" t="s">
        <v>87</v>
      </c>
      <c r="E5" s="55" t="n">
        <f aca="false">Costs!E5</f>
        <v>1</v>
      </c>
      <c r="F5" s="55" t="n">
        <f aca="false">Costs!F5</f>
        <v>1</v>
      </c>
      <c r="G5" s="55" t="n">
        <f aca="false">Costs!G5</f>
        <v>1</v>
      </c>
      <c r="H5" s="55" t="n">
        <f aca="false">Costs!H5</f>
        <v>1</v>
      </c>
      <c r="I5" s="55" t="n">
        <f aca="false">Costs!I5</f>
        <v>1</v>
      </c>
      <c r="J5" s="55" t="n">
        <f aca="false">Costs!J5</f>
        <v>1</v>
      </c>
      <c r="K5" s="55" t="n">
        <f aca="false">Costs!K5</f>
        <v>1</v>
      </c>
      <c r="L5" s="55" t="n">
        <f aca="false">Costs!L5</f>
        <v>1</v>
      </c>
      <c r="M5" s="55" t="n">
        <f aca="false">Costs!M5</f>
        <v>1</v>
      </c>
      <c r="N5" s="55" t="n">
        <f aca="false">Costs!N5</f>
        <v>1</v>
      </c>
      <c r="O5" s="55" t="n">
        <f aca="false">Costs!O5</f>
        <v>1</v>
      </c>
      <c r="P5" s="55" t="n">
        <f aca="false">Costs!P5</f>
        <v>1</v>
      </c>
      <c r="Q5" s="55" t="n">
        <f aca="false">Costs!Q5</f>
        <v>2</v>
      </c>
      <c r="R5" s="55" t="n">
        <f aca="false">Costs!R5</f>
        <v>2</v>
      </c>
      <c r="S5" s="55" t="n">
        <f aca="false">Costs!S5</f>
        <v>2</v>
      </c>
      <c r="T5" s="55" t="n">
        <f aca="false">Costs!T5</f>
        <v>2</v>
      </c>
      <c r="U5" s="55" t="n">
        <f aca="false">Costs!U5</f>
        <v>2</v>
      </c>
      <c r="V5" s="55" t="n">
        <f aca="false">Costs!V5</f>
        <v>2</v>
      </c>
      <c r="W5" s="55" t="n">
        <f aca="false">Costs!W5</f>
        <v>2</v>
      </c>
      <c r="X5" s="55" t="n">
        <f aca="false">Costs!X5</f>
        <v>2</v>
      </c>
      <c r="Y5" s="55" t="n">
        <f aca="false">Costs!Y5</f>
        <v>2</v>
      </c>
      <c r="Z5" s="55" t="n">
        <f aca="false">Costs!Z5</f>
        <v>2</v>
      </c>
      <c r="AA5" s="55" t="n">
        <f aca="false">Costs!AA5</f>
        <v>2</v>
      </c>
      <c r="AB5" s="55" t="n">
        <f aca="false">Costs!AB5</f>
        <v>2</v>
      </c>
      <c r="AC5" s="55" t="n">
        <f aca="false">Costs!AC5</f>
        <v>3</v>
      </c>
      <c r="AD5" s="55" t="n">
        <f aca="false">Costs!AD5</f>
        <v>3</v>
      </c>
      <c r="AE5" s="55" t="n">
        <f aca="false">Costs!AE5</f>
        <v>3</v>
      </c>
      <c r="AF5" s="55" t="n">
        <f aca="false">Costs!AF5</f>
        <v>3</v>
      </c>
      <c r="AG5" s="55" t="n">
        <f aca="false">Costs!AG5</f>
        <v>3</v>
      </c>
      <c r="AH5" s="55" t="n">
        <f aca="false">Costs!AH5</f>
        <v>3</v>
      </c>
      <c r="AI5" s="55" t="n">
        <f aca="false">Costs!AI5</f>
        <v>3</v>
      </c>
      <c r="AJ5" s="55" t="n">
        <f aca="false">Costs!AJ5</f>
        <v>3</v>
      </c>
      <c r="AK5" s="55" t="n">
        <f aca="false">Costs!AK5</f>
        <v>3</v>
      </c>
      <c r="AL5" s="55" t="n">
        <f aca="false">Costs!AL5</f>
        <v>3</v>
      </c>
      <c r="AM5" s="55" t="n">
        <f aca="false">Costs!AM5</f>
        <v>3</v>
      </c>
      <c r="AN5" s="55" t="n">
        <f aca="false">Costs!AN5</f>
        <v>3</v>
      </c>
      <c r="AO5" s="55" t="n">
        <f aca="false">Costs!AO5</f>
        <v>4</v>
      </c>
      <c r="AP5" s="55" t="n">
        <f aca="false">Costs!AP5</f>
        <v>4</v>
      </c>
      <c r="AQ5" s="55" t="n">
        <f aca="false">Costs!AQ5</f>
        <v>4</v>
      </c>
      <c r="AR5" s="55" t="n">
        <f aca="false">Costs!AR5</f>
        <v>4</v>
      </c>
      <c r="AS5" s="55" t="n">
        <f aca="false">Costs!AS5</f>
        <v>4</v>
      </c>
      <c r="AT5" s="55" t="n">
        <f aca="false">Costs!AT5</f>
        <v>4</v>
      </c>
      <c r="AU5" s="55" t="n">
        <f aca="false">Costs!AU5</f>
        <v>4</v>
      </c>
      <c r="AV5" s="55" t="n">
        <f aca="false">Costs!AV5</f>
        <v>4</v>
      </c>
      <c r="AW5" s="55" t="n">
        <f aca="false">Costs!AW5</f>
        <v>4</v>
      </c>
      <c r="AX5" s="55" t="n">
        <f aca="false">Costs!AX5</f>
        <v>4</v>
      </c>
      <c r="AY5" s="55" t="n">
        <f aca="false">Costs!AY5</f>
        <v>4</v>
      </c>
      <c r="AZ5" s="55" t="n">
        <f aca="false">Costs!AZ5</f>
        <v>4</v>
      </c>
      <c r="BA5" s="55" t="n">
        <f aca="false">Costs!BA5</f>
        <v>5</v>
      </c>
      <c r="BB5" s="55" t="n">
        <f aca="false">Costs!BB5</f>
        <v>5</v>
      </c>
      <c r="BC5" s="55" t="n">
        <f aca="false">Costs!BC5</f>
        <v>5</v>
      </c>
      <c r="BD5" s="55" t="n">
        <f aca="false">Costs!BD5</f>
        <v>5</v>
      </c>
      <c r="BE5" s="55" t="n">
        <f aca="false">Costs!BE5</f>
        <v>5</v>
      </c>
      <c r="BF5" s="55" t="n">
        <f aca="false">Costs!BF5</f>
        <v>5</v>
      </c>
      <c r="BG5" s="55" t="n">
        <f aca="false">Costs!BG5</f>
        <v>5</v>
      </c>
      <c r="BH5" s="55" t="n">
        <f aca="false">Costs!BH5</f>
        <v>5</v>
      </c>
      <c r="BI5" s="55" t="n">
        <f aca="false">Costs!BI5</f>
        <v>5</v>
      </c>
      <c r="BJ5" s="55" t="n">
        <f aca="false">Costs!BJ5</f>
        <v>5</v>
      </c>
      <c r="BK5" s="55" t="n">
        <f aca="false">Costs!BK5</f>
        <v>5</v>
      </c>
      <c r="BL5" s="55" t="n">
        <f aca="false">Costs!BL5</f>
        <v>5</v>
      </c>
    </row>
    <row r="8" customFormat="false" ht="15" hidden="false" customHeight="true" outlineLevel="0" collapsed="false">
      <c r="A8" s="11" t="s">
        <v>1282</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645</v>
      </c>
      <c r="B9" s="15" t="s">
        <v>79</v>
      </c>
      <c r="D9" s="56" t="n">
        <f aca="false">Costs!D9/FX_EUR</f>
        <v>437767.625181217</v>
      </c>
      <c r="E9" s="33" t="n">
        <f aca="false">Costs!E9/FX_EUR</f>
        <v>0</v>
      </c>
      <c r="F9" s="33" t="n">
        <f aca="false">Costs!F9/FX_EUR</f>
        <v>0</v>
      </c>
      <c r="G9" s="33" t="n">
        <f aca="false">Costs!G9/FX_EUR</f>
        <v>0</v>
      </c>
      <c r="H9" s="33" t="n">
        <f aca="false">Costs!H9/FX_EUR</f>
        <v>0</v>
      </c>
      <c r="I9" s="33" t="n">
        <f aca="false">Costs!I9/FX_EUR</f>
        <v>113.117170790158</v>
      </c>
      <c r="J9" s="33" t="n">
        <f aca="false">Costs!J9/FX_EUR</f>
        <v>225.465541186389</v>
      </c>
      <c r="K9" s="33" t="n">
        <f aca="false">Costs!K9/FX_EUR</f>
        <v>337.125944993346</v>
      </c>
      <c r="L9" s="33" t="n">
        <f aca="false">Costs!L9/FX_EUR</f>
        <v>448.181787881104</v>
      </c>
      <c r="M9" s="33" t="n">
        <f aca="false">Costs!M9/FX_EUR</f>
        <v>558.719244303376</v>
      </c>
      <c r="N9" s="33" t="n">
        <f aca="false">Costs!N9/FX_EUR</f>
        <v>668.827465413365</v>
      </c>
      <c r="O9" s="33" t="n">
        <f aca="false">Costs!O9/FX_EUR</f>
        <v>778.598798653033</v>
      </c>
      <c r="P9" s="33" t="n">
        <f aca="false">Costs!P9/FX_EUR</f>
        <v>888.129019731825</v>
      </c>
      <c r="Q9" s="33" t="n">
        <f aca="false">Costs!Q9/FX_EUR</f>
        <v>1037.45922026971</v>
      </c>
      <c r="R9" s="33" t="n">
        <f aca="false">Costs!R9/FX_EUR</f>
        <v>1186.09210222593</v>
      </c>
      <c r="S9" s="33" t="n">
        <f aca="false">Costs!S9/FX_EUR</f>
        <v>1334.14693646381</v>
      </c>
      <c r="T9" s="33" t="n">
        <f aca="false">Costs!T9/FX_EUR</f>
        <v>1481.74727298361</v>
      </c>
      <c r="U9" s="33" t="n">
        <f aca="false">Costs!U9/FX_EUR</f>
        <v>1629.02125131444</v>
      </c>
      <c r="V9" s="33" t="n">
        <f aca="false">Costs!V9/FX_EUR</f>
        <v>1776.10192850234</v>
      </c>
      <c r="W9" s="33" t="n">
        <f aca="false">Costs!W9/FX_EUR</f>
        <v>2009.71866756136</v>
      </c>
      <c r="X9" s="33" t="n">
        <f aca="false">Costs!X9/FX_EUR</f>
        <v>2242.81885107665</v>
      </c>
      <c r="Y9" s="33" t="n">
        <f aca="false">Costs!Y9/FX_EUR</f>
        <v>2493.90746928435</v>
      </c>
      <c r="Z9" s="33" t="n">
        <f aca="false">Costs!Z9/FX_EUR</f>
        <v>2744.60824654544</v>
      </c>
      <c r="AA9" s="33" t="n">
        <f aca="false">Costs!AA9/FX_EUR</f>
        <v>2995.15491793867</v>
      </c>
      <c r="AB9" s="33" t="n">
        <f aca="false">Costs!AB9/FX_EUR</f>
        <v>3245.79066253335</v>
      </c>
      <c r="AC9" s="33" t="n">
        <f aca="false">Costs!AC9/FX_EUR</f>
        <v>3576.95693837833</v>
      </c>
      <c r="AD9" s="33" t="n">
        <f aca="false">Costs!AD9/FX_EUR</f>
        <v>3907.40651768656</v>
      </c>
      <c r="AE9" s="33" t="n">
        <f aca="false">Costs!AE9/FX_EUR</f>
        <v>4255.73231235907</v>
      </c>
      <c r="AF9" s="33" t="n">
        <f aca="false">Costs!AF9/FX_EUR</f>
        <v>4603.64947167422</v>
      </c>
      <c r="AG9" s="33" t="n">
        <f aca="false">Costs!AG9/FX_EUR</f>
        <v>4951.48690196682</v>
      </c>
      <c r="AH9" s="33" t="n">
        <f aca="false">Costs!AH9/FX_EUR</f>
        <v>5299.58695694409</v>
      </c>
      <c r="AI9" s="33" t="n">
        <f aca="false">Costs!AI9/FX_EUR</f>
        <v>5666.60024352632</v>
      </c>
      <c r="AJ9" s="33" t="n">
        <f aca="false">Costs!AJ9/FX_EUR</f>
        <v>6034.30310355008</v>
      </c>
      <c r="AK9" s="33" t="n">
        <f aca="false">Costs!AK9/FX_EUR</f>
        <v>6403.08934243097</v>
      </c>
      <c r="AL9" s="33" t="n">
        <f aca="false">Costs!AL9/FX_EUR</f>
        <v>6773.37014102113</v>
      </c>
      <c r="AM9" s="33" t="n">
        <f aca="false">Costs!AM9/FX_EUR</f>
        <v>7163.86909630278</v>
      </c>
      <c r="AN9" s="33" t="n">
        <f aca="false">Costs!AN9/FX_EUR</f>
        <v>7556.4399520536</v>
      </c>
      <c r="AO9" s="33" t="n">
        <f aca="false">Costs!AO9/FX_EUR</f>
        <v>8007.96472780516</v>
      </c>
      <c r="AP9" s="33" t="n">
        <f aca="false">Costs!AP9/FX_EUR</f>
        <v>8479.89868215559</v>
      </c>
      <c r="AQ9" s="33" t="n">
        <f aca="false">Costs!AQ9/FX_EUR</f>
        <v>8954.18458313757</v>
      </c>
      <c r="AR9" s="33" t="n">
        <f aca="false">Costs!AR9/FX_EUR</f>
        <v>9431.3913012001</v>
      </c>
      <c r="AS9" s="33" t="n">
        <f aca="false">Costs!AS9/FX_EUR</f>
        <v>9930.40814630904</v>
      </c>
      <c r="AT9" s="33" t="n">
        <f aca="false">Costs!AT9/FX_EUR</f>
        <v>10433.2631066049</v>
      </c>
      <c r="AU9" s="33" t="n">
        <f aca="false">Costs!AU9/FX_EUR</f>
        <v>10940.6153789485</v>
      </c>
      <c r="AV9" s="33" t="n">
        <f aca="false">Costs!AV9/FX_EUR</f>
        <v>11487.9145062259</v>
      </c>
      <c r="AW9" s="33" t="n">
        <f aca="false">Costs!AW9/FX_EUR</f>
        <v>12035.3269047514</v>
      </c>
      <c r="AX9" s="33" t="n">
        <f aca="false">Costs!AX9/FX_EUR</f>
        <v>12595.9412186135</v>
      </c>
      <c r="AY9" s="33" t="n">
        <f aca="false">Costs!AY9/FX_EUR</f>
        <v>13151.4789732335</v>
      </c>
      <c r="AZ9" s="33" t="n">
        <f aca="false">Costs!AZ9/FX_EUR</f>
        <v>13702.2708097149</v>
      </c>
      <c r="BA9" s="33" t="n">
        <f aca="false">Costs!BA9/FX_EUR</f>
        <v>14323.6609056642</v>
      </c>
      <c r="BB9" s="33" t="n">
        <f aca="false">Costs!BB9/FX_EUR</f>
        <v>14939.7553695052</v>
      </c>
      <c r="BC9" s="33" t="n">
        <f aca="false">Costs!BC9/FX_EUR</f>
        <v>15569.2287375863</v>
      </c>
      <c r="BD9" s="33" t="n">
        <f aca="false">Costs!BD9/FX_EUR</f>
        <v>16193.8764416389</v>
      </c>
      <c r="BE9" s="33" t="n">
        <f aca="false">Costs!BE9/FX_EUR</f>
        <v>16830.5708566604</v>
      </c>
      <c r="BF9" s="33" t="n">
        <f aca="false">Costs!BF9/FX_EUR</f>
        <v>17481.2897617845</v>
      </c>
      <c r="BG9" s="33" t="n">
        <f aca="false">Costs!BG9/FX_EUR</f>
        <v>18127.8754286743</v>
      </c>
      <c r="BH9" s="33" t="n">
        <f aca="false">Costs!BH9/FX_EUR</f>
        <v>18789.0791466655</v>
      </c>
      <c r="BI9" s="33" t="n">
        <f aca="false">Costs!BI9/FX_EUR</f>
        <v>19463.2421091491</v>
      </c>
      <c r="BJ9" s="33" t="n">
        <f aca="false">Costs!BJ9/FX_EUR</f>
        <v>20152.4159760897</v>
      </c>
      <c r="BK9" s="33" t="n">
        <f aca="false">Costs!BK9/FX_EUR</f>
        <v>20834.6008498363</v>
      </c>
      <c r="BL9" s="33" t="n">
        <f aca="false">Costs!BL9/FX_EUR</f>
        <v>21524.1477817163</v>
      </c>
    </row>
    <row r="10" customFormat="false" ht="15" hidden="false" customHeight="true" outlineLevel="0" collapsed="false">
      <c r="A10" s="13" t="s">
        <v>1283</v>
      </c>
      <c r="B10" s="15" t="s">
        <v>79</v>
      </c>
      <c r="D10" s="56" t="n">
        <f aca="false">Costs!D10/FX_EUR</f>
        <v>125823.39988642</v>
      </c>
      <c r="E10" s="33" t="n">
        <f aca="false">Costs!E10/FX_EUR</f>
        <v>0</v>
      </c>
      <c r="F10" s="33" t="n">
        <f aca="false">Costs!F10/FX_EUR</f>
        <v>0</v>
      </c>
      <c r="G10" s="33" t="n">
        <f aca="false">Costs!G10/FX_EUR</f>
        <v>0</v>
      </c>
      <c r="H10" s="33" t="n">
        <f aca="false">Costs!H10/FX_EUR</f>
        <v>0</v>
      </c>
      <c r="I10" s="33" t="n">
        <f aca="false">Costs!I10/FX_EUR</f>
        <v>248.857775738349</v>
      </c>
      <c r="J10" s="33" t="n">
        <f aca="false">Costs!J10/FX_EUR</f>
        <v>251.272568171389</v>
      </c>
      <c r="K10" s="33" t="n">
        <f aca="false">Costs!K10/FX_EUR</f>
        <v>253.832248150412</v>
      </c>
      <c r="L10" s="33" t="n">
        <f aca="false">Costs!L10/FX_EUR</f>
        <v>256.545508928177</v>
      </c>
      <c r="M10" s="33" t="n">
        <f aca="false">Costs!M10/FX_EUR</f>
        <v>259.421565352607</v>
      </c>
      <c r="N10" s="33" t="n">
        <f aca="false">Costs!N10/FX_EUR</f>
        <v>262.470185162503</v>
      </c>
      <c r="O10" s="33" t="n">
        <f aca="false">Costs!O10/FX_EUR</f>
        <v>265.701722160993</v>
      </c>
      <c r="P10" s="33" t="n">
        <f aca="false">Costs!P10/FX_EUR</f>
        <v>269.127151379392</v>
      </c>
      <c r="Q10" s="33" t="n">
        <f aca="false">Costs!Q10/FX_EUR</f>
        <v>360.629719886539</v>
      </c>
      <c r="R10" s="33" t="n">
        <f aca="false">Costs!R10/FX_EUR</f>
        <v>364.478532156332</v>
      </c>
      <c r="S10" s="33" t="n">
        <f aca="false">Costs!S10/FX_EUR</f>
        <v>368.558273162313</v>
      </c>
      <c r="T10" s="33" t="n">
        <f aca="false">Costs!T10/FX_EUR</f>
        <v>372.882798628653</v>
      </c>
      <c r="U10" s="33" t="n">
        <f aca="false">Costs!U10/FX_EUR</f>
        <v>377.466795622973</v>
      </c>
      <c r="V10" s="33" t="n">
        <f aca="false">Costs!V10/FX_EUR</f>
        <v>382.325832436952</v>
      </c>
      <c r="W10" s="33" t="n">
        <f aca="false">Costs!W10/FX_EUR</f>
        <v>577.976703399639</v>
      </c>
      <c r="X10" s="33" t="n">
        <f aca="false">Costs!X10/FX_EUR</f>
        <v>585.247411488606</v>
      </c>
      <c r="Y10" s="33" t="n">
        <f aca="false">Costs!Y10/FX_EUR</f>
        <v>633.200902613589</v>
      </c>
      <c r="Z10" s="33" t="n">
        <f aca="false">Costs!Z10/FX_EUR</f>
        <v>641.370270222353</v>
      </c>
      <c r="AA10" s="33" t="n">
        <f aca="false">Costs!AA10/FX_EUR</f>
        <v>650.029799887643</v>
      </c>
      <c r="AB10" s="33" t="n">
        <f aca="false">Costs!AB10/FX_EUR</f>
        <v>659.20890133285</v>
      </c>
      <c r="AC10" s="33" t="n">
        <f aca="false">Costs!AC10/FX_EUR</f>
        <v>845.352751611901</v>
      </c>
      <c r="AD10" s="33" t="n">
        <f aca="false">Costs!AD10/FX_EUR</f>
        <v>855.666389995737</v>
      </c>
      <c r="AE10" s="33" t="n">
        <f aca="false">Costs!AE10/FX_EUR</f>
        <v>906.845387233278</v>
      </c>
      <c r="AF10" s="33" t="n">
        <f aca="false">Costs!AF10/FX_EUR</f>
        <v>918.433791321355</v>
      </c>
      <c r="AG10" s="33" t="n">
        <f aca="false">Costs!AG10/FX_EUR</f>
        <v>14933.1643736276</v>
      </c>
      <c r="AH10" s="33" t="n">
        <f aca="false">Costs!AH10/FX_EUR</f>
        <v>1952.305225209</v>
      </c>
      <c r="AI10" s="33" t="n">
        <f aca="false">Costs!AI10/FX_EUR</f>
        <v>2061.9813105115</v>
      </c>
      <c r="AJ10" s="33" t="n">
        <f aca="false">Costs!AJ10/FX_EUR</f>
        <v>2083.27399211639</v>
      </c>
      <c r="AK10" s="33" t="n">
        <f aca="false">Costs!AK10/FX_EUR</f>
        <v>2106.46519072486</v>
      </c>
      <c r="AL10" s="33" t="n">
        <f aca="false">Costs!AL10/FX_EUR</f>
        <v>2131.66103726946</v>
      </c>
      <c r="AM10" s="33" t="n">
        <f aca="false">Costs!AM10/FX_EUR</f>
        <v>2248.61416451034</v>
      </c>
      <c r="AN10" s="33" t="n">
        <f aca="false">Costs!AN10/FX_EUR</f>
        <v>2277.62890942741</v>
      </c>
      <c r="AO10" s="33" t="n">
        <f aca="false">Costs!AO10/FX_EUR</f>
        <v>2585.40390137312</v>
      </c>
      <c r="AP10" s="33" t="n">
        <f aca="false">Costs!AP10/FX_EUR</f>
        <v>2707.28351654129</v>
      </c>
      <c r="AQ10" s="33" t="n">
        <f aca="false">Costs!AQ10/FX_EUR</f>
        <v>2741.65573022968</v>
      </c>
      <c r="AR10" s="33" t="n">
        <f aca="false">Costs!AR10/FX_EUR</f>
        <v>2778.85326084406</v>
      </c>
      <c r="AS10" s="33" t="n">
        <f aca="false">Costs!AS10/FX_EUR</f>
        <v>2908.67613184609</v>
      </c>
      <c r="AT10" s="33" t="n">
        <f aca="false">Costs!AT10/FX_EUR</f>
        <v>2951.4789405898</v>
      </c>
      <c r="AU10" s="33" t="n">
        <f aca="false">Costs!AU10/FX_EUR</f>
        <v>2997.62354998623</v>
      </c>
      <c r="AV10" s="33" t="n">
        <f aca="false">Costs!AV10/FX_EUR</f>
        <v>3217.61689746555</v>
      </c>
      <c r="AW10" s="33" t="n">
        <f aca="false">Costs!AW10/FX_EUR</f>
        <v>3244.40094043622</v>
      </c>
      <c r="AX10" s="33" t="n">
        <f aca="false">Costs!AX10/FX_EUR</f>
        <v>3335.23159640694</v>
      </c>
      <c r="AY10" s="33" t="n">
        <f aca="false">Costs!AY10/FX_EUR</f>
        <v>3337.08647896141</v>
      </c>
      <c r="AZ10" s="33" t="n">
        <f aca="false">Costs!AZ10/FX_EUR</f>
        <v>3340.2053617813</v>
      </c>
      <c r="BA10" s="33" t="n">
        <f aca="false">Costs!BA10/FX_EUR</f>
        <v>3712.17388383912</v>
      </c>
      <c r="BB10" s="33" t="n">
        <f aca="false">Costs!BB10/FX_EUR</f>
        <v>3715.8154144127</v>
      </c>
      <c r="BC10" s="33" t="n">
        <f aca="false">Costs!BC10/FX_EUR</f>
        <v>3810.58495538891</v>
      </c>
      <c r="BD10" s="33" t="n">
        <f aca="false">Costs!BD10/FX_EUR</f>
        <v>3816.74091588333</v>
      </c>
      <c r="BE10" s="33" t="n">
        <f aca="false">Costs!BE10/FX_EUR</f>
        <v>3905.2193089456</v>
      </c>
      <c r="BF10" s="33" t="n">
        <f aca="false">Costs!BF10/FX_EUR</f>
        <v>4003.90953215019</v>
      </c>
      <c r="BG10" s="33" t="n">
        <f aca="false">Costs!BG10/FX_EUR</f>
        <v>4014.24827726662</v>
      </c>
      <c r="BH10" s="33" t="n">
        <f aca="false">Costs!BH10/FX_EUR</f>
        <v>4116.15100569974</v>
      </c>
      <c r="BI10" s="33" t="n">
        <f aca="false">Costs!BI10/FX_EUR</f>
        <v>4210.57797497947</v>
      </c>
      <c r="BJ10" s="33" t="n">
        <f aca="false">Costs!BJ10/FX_EUR</f>
        <v>4315.62295575266</v>
      </c>
      <c r="BK10" s="33" t="n">
        <f aca="false">Costs!BK10/FX_EUR</f>
        <v>4313.53764197235</v>
      </c>
      <c r="BL10" s="33" t="n">
        <f aca="false">Costs!BL10/FX_EUR</f>
        <v>4381.3045242266</v>
      </c>
    </row>
    <row r="11" customFormat="false" ht="15" hidden="false" customHeight="true" outlineLevel="0" collapsed="false">
      <c r="A11" s="13" t="s">
        <v>1284</v>
      </c>
      <c r="B11" s="15" t="s">
        <v>79</v>
      </c>
      <c r="D11" s="56" t="n">
        <f aca="false">Costs!D11/FX_EUR</f>
        <v>726930.318341864</v>
      </c>
      <c r="E11" s="33" t="n">
        <f aca="false">Costs!E11/FX_EUR</f>
        <v>0</v>
      </c>
      <c r="F11" s="33" t="n">
        <f aca="false">Costs!F11/FX_EUR</f>
        <v>0</v>
      </c>
      <c r="G11" s="33" t="n">
        <f aca="false">Costs!G11/FX_EUR</f>
        <v>0</v>
      </c>
      <c r="H11" s="33" t="n">
        <f aca="false">Costs!H11/FX_EUR</f>
        <v>0</v>
      </c>
      <c r="I11" s="33" t="n">
        <f aca="false">Costs!I11/FX_EUR</f>
        <v>180.987473264254</v>
      </c>
      <c r="J11" s="33" t="n">
        <f aca="false">Costs!J11/FX_EUR</f>
        <v>361.287828318015</v>
      </c>
      <c r="K11" s="33" t="n">
        <f aca="false">Costs!K11/FX_EUR</f>
        <v>541.019718365686</v>
      </c>
      <c r="L11" s="33" t="n">
        <f aca="false">Costs!L11/FX_EUR</f>
        <v>720.306442841528</v>
      </c>
      <c r="M11" s="33" t="n">
        <f aca="false">Costs!M11/FX_EUR</f>
        <v>899.276267810491</v>
      </c>
      <c r="N11" s="33" t="n">
        <f aca="false">Costs!N11/FX_EUR</f>
        <v>1078.06276484926</v>
      </c>
      <c r="O11" s="33" t="n">
        <f aca="false">Costs!O11/FX_EUR</f>
        <v>1256.80516953017</v>
      </c>
      <c r="P11" s="33" t="n">
        <f aca="false">Costs!P11/FX_EUR</f>
        <v>1435.64876069772</v>
      </c>
      <c r="Q11" s="33" t="n">
        <f aca="false">Costs!Q11/FX_EUR</f>
        <v>1678.65188982453</v>
      </c>
      <c r="R11" s="33" t="n">
        <f aca="false">Costs!R11/FX_EUR</f>
        <v>1921.20378217495</v>
      </c>
      <c r="S11" s="33" t="n">
        <f aca="false">Costs!S11/FX_EUR</f>
        <v>2163.48341028238</v>
      </c>
      <c r="T11" s="33" t="n">
        <f aca="false">Costs!T11/FX_EUR</f>
        <v>2405.67732507642</v>
      </c>
      <c r="U11" s="33" t="n">
        <f aca="false">Costs!U11/FX_EUR</f>
        <v>2647.98016343324</v>
      </c>
      <c r="V11" s="33" t="n">
        <f aca="false">Costs!V11/FX_EUR</f>
        <v>2890.595185239</v>
      </c>
      <c r="W11" s="33" t="n">
        <f aca="false">Costs!W11/FX_EUR</f>
        <v>3272.28050861983</v>
      </c>
      <c r="X11" s="33" t="n">
        <f aca="false">Costs!X11/FX_EUR</f>
        <v>3654.15950391313</v>
      </c>
      <c r="Y11" s="33" t="n">
        <f aca="false">Costs!Y11/FX_EUR</f>
        <v>4065.82461951461</v>
      </c>
      <c r="Z11" s="33" t="n">
        <f aca="false">Costs!Z11/FX_EUR</f>
        <v>4477.94731232884</v>
      </c>
      <c r="AA11" s="33" t="n">
        <f aca="false">Costs!AA11/FX_EUR</f>
        <v>4890.88591366075</v>
      </c>
      <c r="AB11" s="33" t="n">
        <f aca="false">Costs!AB11/FX_EUR</f>
        <v>5305.01519888894</v>
      </c>
      <c r="AC11" s="33" t="n">
        <f aca="false">Costs!AC11/FX_EUR</f>
        <v>5849.0285513332</v>
      </c>
      <c r="AD11" s="33" t="n">
        <f aca="false">Costs!AD11/FX_EUR</f>
        <v>6393.30375250083</v>
      </c>
      <c r="AE11" s="33" t="n">
        <f aca="false">Costs!AE11/FX_EUR</f>
        <v>6967.56802343732</v>
      </c>
      <c r="AF11" s="33" t="n">
        <f aca="false">Costs!AF11/FX_EUR</f>
        <v>7542.63370037936</v>
      </c>
      <c r="AG11" s="33" t="n">
        <f aca="false">Costs!AG11/FX_EUR</f>
        <v>8119.00649984423</v>
      </c>
      <c r="AH11" s="33" t="n">
        <f aca="false">Costs!AH11/FX_EUR</f>
        <v>8697.2155108732</v>
      </c>
      <c r="AI11" s="33" t="n">
        <f aca="false">Costs!AI11/FX_EUR</f>
        <v>9307.08492465755</v>
      </c>
      <c r="AJ11" s="33" t="n">
        <f aca="false">Costs!AJ11/FX_EUR</f>
        <v>9919.52986011738</v>
      </c>
      <c r="AK11" s="33" t="n">
        <f aca="false">Costs!AK11/FX_EUR</f>
        <v>10535.1649774202</v>
      </c>
      <c r="AL11" s="33" t="n">
        <f aca="false">Costs!AL11/FX_EUR</f>
        <v>11154.6348395701</v>
      </c>
      <c r="AM11" s="33" t="n">
        <f aca="false">Costs!AM11/FX_EUR</f>
        <v>11807.8860335513</v>
      </c>
      <c r="AN11" s="33" t="n">
        <f aca="false">Costs!AN11/FX_EUR</f>
        <v>12465.9634109258</v>
      </c>
      <c r="AO11" s="33" t="n">
        <f aca="false">Costs!AO11/FX_EUR</f>
        <v>13219.8689594867</v>
      </c>
      <c r="AP11" s="33" t="n">
        <f aca="false">Costs!AP11/FX_EUR</f>
        <v>14008.1950153336</v>
      </c>
      <c r="AQ11" s="33" t="n">
        <f aca="false">Costs!AQ11/FX_EUR</f>
        <v>14802.1255297631</v>
      </c>
      <c r="AR11" s="33" t="n">
        <f aca="false">Costs!AR11/FX_EUR</f>
        <v>15602.5585863799</v>
      </c>
      <c r="AS11" s="33" t="n">
        <f aca="false">Costs!AS11/FX_EUR</f>
        <v>16439.7078746377</v>
      </c>
      <c r="AT11" s="33" t="n">
        <f aca="false">Costs!AT11/FX_EUR</f>
        <v>17284.8997721308</v>
      </c>
      <c r="AU11" s="33" t="n">
        <f aca="false">Costs!AU11/FX_EUR</f>
        <v>18139.1832897676</v>
      </c>
      <c r="AV11" s="33" t="n">
        <f aca="false">Costs!AV11/FX_EUR</f>
        <v>19059.2752459512</v>
      </c>
      <c r="AW11" s="33" t="n">
        <f aca="false">Costs!AW11/FX_EUR</f>
        <v>19981.6096619585</v>
      </c>
      <c r="AX11" s="33" t="n">
        <f aca="false">Costs!AX11/FX_EUR</f>
        <v>20927.1027782959</v>
      </c>
      <c r="AY11" s="33" t="n">
        <f aca="false">Costs!AY11/FX_EUR</f>
        <v>21866.5466180068</v>
      </c>
      <c r="AZ11" s="33" t="n">
        <f aca="false">Costs!AZ11/FX_EUR</f>
        <v>22800.4195856614</v>
      </c>
      <c r="BA11" s="33" t="n">
        <f aca="false">Costs!BA11/FX_EUR</f>
        <v>23849.2240002609</v>
      </c>
      <c r="BB11" s="33" t="n">
        <f aca="false">Costs!BB11/FX_EUR</f>
        <v>24891.8435613548</v>
      </c>
      <c r="BC11" s="33" t="n">
        <f aca="false">Costs!BC11/FX_EUR</f>
        <v>25958.1031364929</v>
      </c>
      <c r="BD11" s="33" t="n">
        <f aca="false">Costs!BD11/FX_EUR</f>
        <v>27018.9113828353</v>
      </c>
      <c r="BE11" s="33" t="n">
        <f aca="false">Costs!BE11/FX_EUR</f>
        <v>28101.2122399403</v>
      </c>
      <c r="BF11" s="33" t="n">
        <f aca="false">Costs!BF11/FX_EUR</f>
        <v>29208.1999674419</v>
      </c>
      <c r="BG11" s="33" t="n">
        <f aca="false">Costs!BG11/FX_EUR</f>
        <v>30310.8611401313</v>
      </c>
      <c r="BH11" s="33" t="n">
        <f aca="false">Costs!BH11/FX_EUR</f>
        <v>31439.1491203645</v>
      </c>
      <c r="BI11" s="33" t="n">
        <f aca="false">Costs!BI11/FX_EUR</f>
        <v>32590.4517681575</v>
      </c>
      <c r="BJ11" s="33" t="n">
        <f aca="false">Costs!BJ11/FX_EUR</f>
        <v>33768.0852049156</v>
      </c>
      <c r="BK11" s="33" t="n">
        <f aca="false">Costs!BK11/FX_EUR</f>
        <v>34936.8924944755</v>
      </c>
      <c r="BL11" s="33" t="n">
        <f aca="false">Costs!BL11/FX_EUR</f>
        <v>36119.772084876</v>
      </c>
    </row>
    <row r="12" customFormat="false" ht="15" hidden="false" customHeight="true" outlineLevel="0" collapsed="false">
      <c r="A12" s="13" t="s">
        <v>1028</v>
      </c>
      <c r="B12" s="15" t="s">
        <v>79</v>
      </c>
      <c r="D12" s="56" t="n">
        <f aca="false">Costs!D12/FX_EUR</f>
        <v>101836.19444686</v>
      </c>
      <c r="E12" s="33" t="n">
        <f aca="false">Costs!E12/FX_EUR</f>
        <v>0</v>
      </c>
      <c r="F12" s="33" t="n">
        <f aca="false">Costs!F12/FX_EUR</f>
        <v>0</v>
      </c>
      <c r="G12" s="33" t="n">
        <f aca="false">Costs!G12/FX_EUR</f>
        <v>0</v>
      </c>
      <c r="H12" s="33" t="n">
        <f aca="false">Costs!H12/FX_EUR</f>
        <v>0</v>
      </c>
      <c r="I12" s="33" t="n">
        <f aca="false">Costs!I12/FX_EUR</f>
        <v>407.221814844571</v>
      </c>
      <c r="J12" s="33" t="n">
        <f aca="false">Costs!J12/FX_EUR</f>
        <v>411.173293371364</v>
      </c>
      <c r="K12" s="33" t="n">
        <f aca="false">Costs!K12/FX_EUR</f>
        <v>415.361860609766</v>
      </c>
      <c r="L12" s="33" t="n">
        <f aca="false">Costs!L12/FX_EUR</f>
        <v>419.801741882471</v>
      </c>
      <c r="M12" s="33" t="n">
        <f aca="false">Costs!M12/FX_EUR</f>
        <v>424.508016031539</v>
      </c>
      <c r="N12" s="33" t="n">
        <f aca="false">Costs!N12/FX_EUR</f>
        <v>429.49666662955</v>
      </c>
      <c r="O12" s="33" t="n">
        <f aca="false">Costs!O12/FX_EUR</f>
        <v>434.784636263443</v>
      </c>
      <c r="P12" s="33" t="n">
        <f aca="false">Costs!P12/FX_EUR</f>
        <v>440.389884075369</v>
      </c>
      <c r="Q12" s="33" t="n">
        <f aca="false">Costs!Q12/FX_EUR</f>
        <v>590.121359814336</v>
      </c>
      <c r="R12" s="33" t="n">
        <f aca="false">Costs!R12/FX_EUR</f>
        <v>596.419416255816</v>
      </c>
      <c r="S12" s="33" t="n">
        <f aca="false">Costs!S12/FX_EUR</f>
        <v>603.095356083785</v>
      </c>
      <c r="T12" s="33" t="n">
        <f aca="false">Costs!T12/FX_EUR</f>
        <v>610.171852301432</v>
      </c>
      <c r="U12" s="33" t="n">
        <f aca="false">Costs!U12/FX_EUR</f>
        <v>617.672938292138</v>
      </c>
      <c r="V12" s="33" t="n">
        <f aca="false">Costs!V12/FX_EUR</f>
        <v>625.624089442286</v>
      </c>
      <c r="W12" s="33" t="n">
        <f aca="false">Costs!W12/FX_EUR</f>
        <v>945.7800601085</v>
      </c>
      <c r="X12" s="33" t="n">
        <f aca="false">Costs!X12/FX_EUR</f>
        <v>957.677582435901</v>
      </c>
      <c r="Y12" s="33" t="n">
        <f aca="false">Costs!Y12/FX_EUR</f>
        <v>1036.14693154951</v>
      </c>
      <c r="Z12" s="33" t="n">
        <f aca="false">Costs!Z12/FX_EUR</f>
        <v>1049.51498763658</v>
      </c>
      <c r="AA12" s="33" t="n">
        <f aca="false">Costs!AA12/FX_EUR</f>
        <v>1063.68512708887</v>
      </c>
      <c r="AB12" s="33" t="n">
        <f aca="false">Costs!AB12/FX_EUR</f>
        <v>1078.7054749083</v>
      </c>
      <c r="AC12" s="33" t="n">
        <f aca="false">Costs!AC12/FX_EUR</f>
        <v>1383.30450263766</v>
      </c>
      <c r="AD12" s="33" t="n">
        <f aca="false">Costs!AD12/FX_EUR</f>
        <v>1400.18136544757</v>
      </c>
      <c r="AE12" s="33" t="n">
        <f aca="false">Costs!AE12/FX_EUR</f>
        <v>1483.92881547264</v>
      </c>
      <c r="AF12" s="33" t="n">
        <f aca="false">Costs!AF12/FX_EUR</f>
        <v>1502.89165852585</v>
      </c>
      <c r="AG12" s="33" t="n">
        <f aca="false">Costs!AG12/FX_EUR</f>
        <v>1522.99227216226</v>
      </c>
      <c r="AH12" s="33" t="n">
        <f aca="false">Costs!AH12/FX_EUR</f>
        <v>1544.29892261686</v>
      </c>
      <c r="AI12" s="33" t="n">
        <f aca="false">Costs!AI12/FX_EUR</f>
        <v>1632.74194754529</v>
      </c>
      <c r="AJ12" s="33" t="n">
        <f aca="false">Costs!AJ12/FX_EUR</f>
        <v>1656.68209999607</v>
      </c>
      <c r="AK12" s="33" t="n">
        <f aca="false">Costs!AK12/FX_EUR</f>
        <v>1682.0586615939</v>
      </c>
      <c r="AL12" s="33" t="n">
        <f aca="false">Costs!AL12/FX_EUR</f>
        <v>1708.9578168876</v>
      </c>
      <c r="AM12" s="33" t="n">
        <f aca="false">Costs!AM12/FX_EUR</f>
        <v>1803.32889694548</v>
      </c>
      <c r="AN12" s="33" t="n">
        <f aca="false">Costs!AN12/FX_EUR</f>
        <v>1833.55278783348</v>
      </c>
      <c r="AO12" s="33" t="n">
        <f aca="false">Costs!AO12/FX_EUR</f>
        <v>2068.652203135</v>
      </c>
      <c r="AP12" s="33" t="n">
        <f aca="false">Costs!AP12/FX_EUR</f>
        <v>2168.46974238331</v>
      </c>
      <c r="AQ12" s="33" t="n">
        <f aca="false">Costs!AQ12/FX_EUR</f>
        <v>2204.46688001318</v>
      </c>
      <c r="AR12" s="33" t="n">
        <f aca="false">Costs!AR12/FX_EUR</f>
        <v>2242.62384590083</v>
      </c>
      <c r="AS12" s="33" t="n">
        <f aca="false">Costs!AS12/FX_EUR</f>
        <v>2348.92820518831</v>
      </c>
      <c r="AT12" s="33" t="n">
        <f aca="false">Costs!AT12/FX_EUR</f>
        <v>2391.80137205968</v>
      </c>
      <c r="AU12" s="33" t="n">
        <f aca="false">Costs!AU12/FX_EUR</f>
        <v>2437.24692894333</v>
      </c>
      <c r="AV12" s="33" t="n">
        <f aca="false">Costs!AV12/FX_EUR</f>
        <v>2610.54937258846</v>
      </c>
      <c r="AW12" s="33" t="n">
        <f aca="false">Costs!AW12/FX_EUR</f>
        <v>2642.79519541505</v>
      </c>
      <c r="AX12" s="33" t="n">
        <f aca="false">Costs!AX12/FX_EUR</f>
        <v>2722.13576267774</v>
      </c>
      <c r="AY12" s="33" t="n">
        <f aca="false">Costs!AY12/FX_EUR</f>
        <v>2736.42731000284</v>
      </c>
      <c r="AZ12" s="33" t="n">
        <f aca="false">Costs!AZ12/FX_EUR</f>
        <v>2751.57635016744</v>
      </c>
      <c r="BA12" s="33" t="n">
        <f aca="false">Costs!BA12/FX_EUR</f>
        <v>3037.65203207282</v>
      </c>
      <c r="BB12" s="33" t="n">
        <f aca="false">Costs!BB12/FX_EUR</f>
        <v>3054.67349360177</v>
      </c>
      <c r="BC12" s="33" t="n">
        <f aca="false">Costs!BC12/FX_EUR</f>
        <v>3138.57421826901</v>
      </c>
      <c r="BD12" s="33" t="n">
        <f aca="false">Costs!BD12/FX_EUR</f>
        <v>3157.69953244293</v>
      </c>
      <c r="BE12" s="33" t="n">
        <f aca="false">Costs!BE12/FX_EUR</f>
        <v>3237.2445433692</v>
      </c>
      <c r="BF12" s="33" t="n">
        <f aca="false">Costs!BF12/FX_EUR</f>
        <v>3324.59172182158</v>
      </c>
      <c r="BG12" s="33" t="n">
        <f aca="false">Costs!BG12/FX_EUR</f>
        <v>3347.37027700775</v>
      </c>
      <c r="BH12" s="33" t="n">
        <f aca="false">Costs!BH12/FX_EUR</f>
        <v>3437.37352095166</v>
      </c>
      <c r="BI12" s="33" t="n">
        <f aca="false">Costs!BI12/FX_EUR</f>
        <v>3522.23968346074</v>
      </c>
      <c r="BJ12" s="33" t="n">
        <f aca="false">Costs!BJ12/FX_EUR</f>
        <v>3615.22728259092</v>
      </c>
      <c r="BK12" s="33" t="n">
        <f aca="false">Costs!BK12/FX_EUR</f>
        <v>3629.87208002964</v>
      </c>
      <c r="BL12" s="33" t="n">
        <f aca="false">Costs!BL12/FX_EUR</f>
        <v>3695.7300554762</v>
      </c>
    </row>
    <row r="13" customFormat="false" ht="15" hidden="false" customHeight="true" outlineLevel="0" collapsed="false">
      <c r="A13" s="13" t="s">
        <v>658</v>
      </c>
      <c r="B13" s="15" t="s">
        <v>79</v>
      </c>
      <c r="D13" s="56" t="n">
        <f aca="false">Costs!D13/FX_EUR</f>
        <v>6038390.12683554</v>
      </c>
      <c r="E13" s="33" t="n">
        <f aca="false">Costs!E13/FX_EUR</f>
        <v>0</v>
      </c>
      <c r="F13" s="33" t="n">
        <f aca="false">Costs!F13/FX_EUR</f>
        <v>0</v>
      </c>
      <c r="G13" s="33" t="n">
        <f aca="false">Costs!G13/FX_EUR</f>
        <v>0</v>
      </c>
      <c r="H13" s="33" t="n">
        <f aca="false">Costs!H13/FX_EUR</f>
        <v>0</v>
      </c>
      <c r="I13" s="33" t="n">
        <f aca="false">Costs!I13/FX_EUR</f>
        <v>1476.55613604754</v>
      </c>
      <c r="J13" s="33" t="n">
        <f aca="false">Costs!J13/FX_EUR</f>
        <v>2949.64670956582</v>
      </c>
      <c r="K13" s="33" t="n">
        <f aca="false">Costs!K13/FX_EUR</f>
        <v>4420.20416498337</v>
      </c>
      <c r="L13" s="33" t="n">
        <f aca="false">Costs!L13/FX_EUR</f>
        <v>5889.20074829975</v>
      </c>
      <c r="M13" s="33" t="n">
        <f aca="false">Costs!M13/FX_EUR</f>
        <v>7357.65115053233</v>
      </c>
      <c r="N13" s="33" t="n">
        <f aca="false">Costs!N13/FX_EUR</f>
        <v>8826.61530538931</v>
      </c>
      <c r="O13" s="33" t="n">
        <f aca="false">Costs!O13/FX_EUR</f>
        <v>10297.2013505018</v>
      </c>
      <c r="P13" s="33" t="n">
        <f aca="false">Costs!P13/FX_EUR</f>
        <v>11770.5687621063</v>
      </c>
      <c r="Q13" s="33" t="n">
        <f aca="false">Costs!Q13/FX_EUR</f>
        <v>13769.3032473067</v>
      </c>
      <c r="R13" s="33" t="n">
        <f aca="false">Costs!R13/FX_EUR</f>
        <v>15767.0227164336</v>
      </c>
      <c r="S13" s="33" t="n">
        <f aca="false">Costs!S13/FX_EUR</f>
        <v>17765.1480285768</v>
      </c>
      <c r="T13" s="33" t="n">
        <f aca="false">Costs!T13/FX_EUR</f>
        <v>19765.164532016</v>
      </c>
      <c r="U13" s="33" t="n">
        <f aca="false">Costs!U13/FX_EUR</f>
        <v>21768.6262592081</v>
      </c>
      <c r="V13" s="33" t="n">
        <f aca="false">Costs!V13/FX_EUR</f>
        <v>23777.1603679218</v>
      </c>
      <c r="W13" s="33" t="n">
        <f aca="false">Costs!W13/FX_EUR</f>
        <v>26922.7735755638</v>
      </c>
      <c r="X13" s="33" t="n">
        <f aca="false">Costs!X13/FX_EUR</f>
        <v>30074.0769970286</v>
      </c>
      <c r="Y13" s="33" t="n">
        <f aca="false">Costs!Y13/FX_EUR</f>
        <v>33472.445780574</v>
      </c>
      <c r="Z13" s="33" t="n">
        <f aca="false">Costs!Z13/FX_EUR</f>
        <v>36878.9086202595</v>
      </c>
      <c r="AA13" s="33" t="n">
        <f aca="false">Costs!AA13/FX_EUR</f>
        <v>40296.3390233082</v>
      </c>
      <c r="AB13" s="33" t="n">
        <f aca="false">Costs!AB13/FX_EUR</f>
        <v>43727.7495966634</v>
      </c>
      <c r="AC13" s="33" t="n">
        <f aca="false">Costs!AC13/FX_EUR</f>
        <v>48223.0239964985</v>
      </c>
      <c r="AD13" s="33" t="n">
        <f aca="false">Costs!AD13/FX_EUR</f>
        <v>52726.1434678061</v>
      </c>
      <c r="AE13" s="33" t="n">
        <f aca="false">Costs!AE13/FX_EUR</f>
        <v>57479.5633689726</v>
      </c>
      <c r="AF13" s="33" t="n">
        <f aca="false">Costs!AF13/FX_EUR</f>
        <v>62245.4442881801</v>
      </c>
      <c r="AG13" s="33" t="n">
        <f aca="false">Costs!AG13/FX_EUR</f>
        <v>67027.8466152329</v>
      </c>
      <c r="AH13" s="33" t="n">
        <f aca="false">Costs!AH13/FX_EUR</f>
        <v>71831.0283274087</v>
      </c>
      <c r="AI13" s="33" t="n">
        <f aca="false">Costs!AI13/FX_EUR</f>
        <v>76898.2537024794</v>
      </c>
      <c r="AJ13" s="33" t="n">
        <f aca="false">Costs!AJ13/FX_EUR</f>
        <v>81992.5405838578</v>
      </c>
      <c r="AK13" s="33" t="n">
        <f aca="false">Costs!AK13/FX_EUR</f>
        <v>87118.8578523732</v>
      </c>
      <c r="AL13" s="33" t="n">
        <f aca="false">Costs!AL13/FX_EUR</f>
        <v>92282.4262861123</v>
      </c>
      <c r="AM13" s="33" t="n">
        <f aca="false">Costs!AM13/FX_EUR</f>
        <v>97727.530531914</v>
      </c>
      <c r="AN13" s="33" t="n">
        <f aca="false">Costs!AN13/FX_EUR</f>
        <v>103218.26982454</v>
      </c>
      <c r="AO13" s="33" t="n">
        <f aca="false">Costs!AO13/FX_EUR</f>
        <v>109497.047219941</v>
      </c>
      <c r="AP13" s="33" t="n">
        <f aca="false">Costs!AP13/FX_EUR</f>
        <v>116063.933490917</v>
      </c>
      <c r="AQ13" s="33" t="n">
        <f aca="false">Costs!AQ13/FX_EUR</f>
        <v>122684.153080759</v>
      </c>
      <c r="AR13" s="33" t="n">
        <f aca="false">Costs!AR13/FX_EUR</f>
        <v>129365.003535124</v>
      </c>
      <c r="AS13" s="33" t="n">
        <f aca="false">Costs!AS13/FX_EUR</f>
        <v>136352.959983927</v>
      </c>
      <c r="AT13" s="33" t="n">
        <f aca="false">Costs!AT13/FX_EUR</f>
        <v>143414.432850478</v>
      </c>
      <c r="AU13" s="33" t="n">
        <f aca="false">Costs!AU13/FX_EUR</f>
        <v>150557.976391134</v>
      </c>
      <c r="AV13" s="33" t="n">
        <f aca="false">Costs!AV13/FX_EUR</f>
        <v>158246.31395152</v>
      </c>
      <c r="AW13" s="33" t="n">
        <f aca="false">Costs!AW13/FX_EUR</f>
        <v>165961.5323931</v>
      </c>
      <c r="AX13" s="33" t="n">
        <f aca="false">Costs!AX13/FX_EUR</f>
        <v>173874.192406501</v>
      </c>
      <c r="AY13" s="33" t="n">
        <f aca="false">Costs!AY13/FX_EUR</f>
        <v>181746.173093501</v>
      </c>
      <c r="AZ13" s="33" t="n">
        <f aca="false">Costs!AZ13/FX_EUR</f>
        <v>189581.197529069</v>
      </c>
      <c r="BA13" s="33" t="n">
        <f aca="false">Costs!BA13/FX_EUR</f>
        <v>198362.191965052</v>
      </c>
      <c r="BB13" s="33" t="n">
        <f aca="false">Costs!BB13/FX_EUR</f>
        <v>207102.304665867</v>
      </c>
      <c r="BC13" s="33" t="n">
        <f aca="false">Costs!BC13/FX_EUR</f>
        <v>216044.664062055</v>
      </c>
      <c r="BD13" s="33" t="n">
        <f aca="false">Costs!BD13/FX_EUR</f>
        <v>224952.095774236</v>
      </c>
      <c r="BE13" s="33" t="n">
        <f aca="false">Costs!BE13/FX_EUR</f>
        <v>234044.233963705</v>
      </c>
      <c r="BF13" s="33" t="n">
        <f aca="false">Costs!BF13/FX_EUR</f>
        <v>243347.27606951</v>
      </c>
      <c r="BG13" s="33" t="n">
        <f aca="false">Costs!BG13/FX_EUR</f>
        <v>252624.694623098</v>
      </c>
      <c r="BH13" s="33" t="n">
        <f aca="false">Costs!BH13/FX_EUR</f>
        <v>262120.687667487</v>
      </c>
      <c r="BI13" s="33" t="n">
        <f aca="false">Costs!BI13/FX_EUR</f>
        <v>271814.129535501</v>
      </c>
      <c r="BJ13" s="33" t="n">
        <f aca="false">Costs!BJ13/FX_EUR</f>
        <v>281732.226142467</v>
      </c>
      <c r="BK13" s="33" t="n">
        <f aca="false">Costs!BK13/FX_EUR</f>
        <v>291588.344754158</v>
      </c>
      <c r="BL13" s="33" t="n">
        <f aca="false">Costs!BL13/FX_EUR</f>
        <v>301569.069768774</v>
      </c>
    </row>
    <row r="14" customFormat="false" ht="15" hidden="false" customHeight="true" outlineLevel="0" collapsed="false">
      <c r="A14" s="13" t="s">
        <v>662</v>
      </c>
      <c r="B14" s="15" t="s">
        <v>79</v>
      </c>
      <c r="D14" s="56" t="n">
        <f aca="false">Costs!D14/FX_EUR</f>
        <v>719455.601292827</v>
      </c>
      <c r="E14" s="33" t="n">
        <f aca="false">Costs!E14/FX_EUR</f>
        <v>0</v>
      </c>
      <c r="F14" s="33" t="n">
        <f aca="false">Costs!F14/FX_EUR</f>
        <v>0</v>
      </c>
      <c r="G14" s="33" t="n">
        <f aca="false">Costs!G14/FX_EUR</f>
        <v>0</v>
      </c>
      <c r="H14" s="33" t="n">
        <f aca="false">Costs!H14/FX_EUR</f>
        <v>0</v>
      </c>
      <c r="I14" s="33" t="n">
        <f aca="false">Costs!I14/FX_EUR</f>
        <v>176.462786432647</v>
      </c>
      <c r="J14" s="33" t="n">
        <f aca="false">Costs!J14/FX_EUR</f>
        <v>352.466030547734</v>
      </c>
      <c r="K14" s="33" t="n">
        <f aca="false">Costs!K14/FX_EUR</f>
        <v>528.122107546684</v>
      </c>
      <c r="L14" s="33" t="n">
        <f aca="false">Costs!L14/FX_EUR</f>
        <v>703.548103502211</v>
      </c>
      <c r="M14" s="33" t="n">
        <f aca="false">Costs!M14/FX_EUR</f>
        <v>878.866130890742</v>
      </c>
      <c r="N14" s="33" t="n">
        <f aca="false">Costs!N14/FX_EUR</f>
        <v>1054.20366248229</v>
      </c>
      <c r="O14" s="33" t="n">
        <f aca="false">Costs!O14/FX_EUR</f>
        <v>1229.69388469979</v>
      </c>
      <c r="P14" s="33" t="n">
        <f aca="false">Costs!P14/FX_EUR</f>
        <v>1405.47607162643</v>
      </c>
      <c r="Q14" s="33" t="n">
        <f aca="false">Costs!Q14/FX_EUR</f>
        <v>1644.00494323527</v>
      </c>
      <c r="R14" s="33" t="n">
        <f aca="false">Costs!R14/FX_EUR</f>
        <v>1882.35731800225</v>
      </c>
      <c r="S14" s="33" t="n">
        <f aca="false">Costs!S14/FX_EUR</f>
        <v>2120.70404685958</v>
      </c>
      <c r="T14" s="33" t="n">
        <f aca="false">Costs!T14/FX_EUR</f>
        <v>2359.22362508922</v>
      </c>
      <c r="U14" s="33" t="n">
        <f aca="false">Costs!U14/FX_EUR</f>
        <v>2598.10269283125</v>
      </c>
      <c r="V14" s="33" t="n">
        <f aca="false">Costs!V14/FX_EUR</f>
        <v>2837.53656489559</v>
      </c>
      <c r="W14" s="33" t="n">
        <f aca="false">Costs!W14/FX_EUR</f>
        <v>3212.81181684245</v>
      </c>
      <c r="X14" s="33" t="n">
        <f aca="false">Costs!X14/FX_EUR</f>
        <v>3588.68248575931</v>
      </c>
      <c r="Y14" s="33" t="n">
        <f aca="false">Costs!Y14/FX_EUR</f>
        <v>3993.99662299801</v>
      </c>
      <c r="Z14" s="33" t="n">
        <f aca="false">Costs!Z14/FX_EUR</f>
        <v>4400.18877493811</v>
      </c>
      <c r="AA14" s="33" t="n">
        <f aca="false">Costs!AA14/FX_EUR</f>
        <v>4807.60374482751</v>
      </c>
      <c r="AB14" s="33" t="n">
        <f aca="false">Costs!AB14/FX_EUR</f>
        <v>5216.6028459976</v>
      </c>
      <c r="AC14" s="33" t="n">
        <f aca="false">Costs!AC14/FX_EUR</f>
        <v>5752.65852489315</v>
      </c>
      <c r="AD14" s="33" t="n">
        <f aca="false">Costs!AD14/FX_EUR</f>
        <v>6289.53517093841</v>
      </c>
      <c r="AE14" s="33" t="n">
        <f aca="false">Costs!AE14/FX_EUR</f>
        <v>6856.2104524191</v>
      </c>
      <c r="AF14" s="33" t="n">
        <f aca="false">Costs!AF14/FX_EUR</f>
        <v>7424.25466667625</v>
      </c>
      <c r="AG14" s="33" t="n">
        <f aca="false">Costs!AG14/FX_EUR</f>
        <v>7994.15489605648</v>
      </c>
      <c r="AH14" s="33" t="n">
        <f aca="false">Costs!AH14/FX_EUR</f>
        <v>8566.42167843421</v>
      </c>
      <c r="AI14" s="33" t="n">
        <f aca="false">Costs!AI14/FX_EUR</f>
        <v>9170.1289625886</v>
      </c>
      <c r="AJ14" s="33" t="n">
        <f aca="false">Costs!AJ14/FX_EUR</f>
        <v>9776.94908530707</v>
      </c>
      <c r="AK14" s="33" t="n">
        <f aca="false">Costs!AK14/FX_EUR</f>
        <v>10387.4772727469</v>
      </c>
      <c r="AL14" s="33" t="n">
        <f aca="false">Costs!AL14/FX_EUR</f>
        <v>11002.3386771007</v>
      </c>
      <c r="AM14" s="33" t="n">
        <f aca="false">Costs!AM14/FX_EUR</f>
        <v>11650.7287200917</v>
      </c>
      <c r="AN14" s="33" t="n">
        <f aca="false">Costs!AN14/FX_EUR</f>
        <v>12304.4484814906</v>
      </c>
      <c r="AO14" s="33" t="n">
        <f aca="false">Costs!AO14/FX_EUR</f>
        <v>13052.2232093305</v>
      </c>
      <c r="AP14" s="33" t="n">
        <f aca="false">Costs!AP14/FX_EUR</f>
        <v>13834.2845588089</v>
      </c>
      <c r="AQ14" s="33" t="n">
        <f aca="false">Costs!AQ14/FX_EUR</f>
        <v>14622.5683873118</v>
      </c>
      <c r="AR14" s="33" t="n">
        <f aca="false">Costs!AR14/FX_EUR</f>
        <v>15417.9479652516</v>
      </c>
      <c r="AS14" s="33" t="n">
        <f aca="false">Costs!AS14/FX_EUR</f>
        <v>16249.8803602933</v>
      </c>
      <c r="AT14" s="33" t="n">
        <f aca="false">Costs!AT14/FX_EUR</f>
        <v>17090.4426588898</v>
      </c>
      <c r="AU14" s="33" t="n">
        <f aca="false">Costs!AU14/FX_EUR</f>
        <v>17940.6577863833</v>
      </c>
      <c r="AV14" s="33" t="n">
        <f aca="false">Costs!AV14/FX_EUR</f>
        <v>18855.8260076323</v>
      </c>
      <c r="AW14" s="33" t="n">
        <f aca="false">Costs!AW14/FX_EUR</f>
        <v>19774.0377865419</v>
      </c>
      <c r="AX14" s="33" t="n">
        <f aca="false">Costs!AX14/FX_EUR</f>
        <v>20715.6790607511</v>
      </c>
      <c r="AY14" s="33" t="n">
        <f aca="false">Costs!AY14/FX_EUR</f>
        <v>21652.2890694271</v>
      </c>
      <c r="AZ14" s="33" t="n">
        <f aca="false">Costs!AZ14/FX_EUR</f>
        <v>22584.3171260299</v>
      </c>
      <c r="BA14" s="33" t="n">
        <f aca="false">Costs!BA14/FX_EUR</f>
        <v>23629.2366312822</v>
      </c>
      <c r="BB14" s="33" t="n">
        <f aca="false">Costs!BB14/FX_EUR</f>
        <v>24669.0831208143</v>
      </c>
      <c r="BC14" s="33" t="n">
        <f aca="false">Costs!BC14/FX_EUR</f>
        <v>25732.9175003429</v>
      </c>
      <c r="BD14" s="33" t="n">
        <f aca="false">Costs!BD14/FX_EUR</f>
        <v>26792.3922718578</v>
      </c>
      <c r="BE14" s="33" t="n">
        <f aca="false">Costs!BE14/FX_EUR</f>
        <v>27873.7603317011</v>
      </c>
      <c r="BF14" s="33" t="n">
        <f aca="false">Costs!BF14/FX_EUR</f>
        <v>28980.1501795786</v>
      </c>
      <c r="BG14" s="33" t="n">
        <f aca="false">Costs!BG14/FX_EUR</f>
        <v>30083.291377617</v>
      </c>
      <c r="BH14" s="33" t="n">
        <f aca="false">Costs!BH14/FX_EUR</f>
        <v>31212.3721771414</v>
      </c>
      <c r="BI14" s="33" t="n">
        <f aca="false">Costs!BI14/FX_EUR</f>
        <v>32364.8644902646</v>
      </c>
      <c r="BJ14" s="33" t="n">
        <f aca="false">Costs!BJ14/FX_EUR</f>
        <v>33544.0170333907</v>
      </c>
      <c r="BK14" s="33" t="n">
        <f aca="false">Costs!BK14/FX_EUR</f>
        <v>34715.5709718078</v>
      </c>
      <c r="BL14" s="33" t="n">
        <f aca="false">Costs!BL14/FX_EUR</f>
        <v>35901.8303816293</v>
      </c>
    </row>
    <row r="15" customFormat="false" ht="15" hidden="false" customHeight="true" outlineLevel="0" collapsed="false">
      <c r="A15" s="13" t="s">
        <v>315</v>
      </c>
      <c r="B15" s="15" t="s">
        <v>79</v>
      </c>
      <c r="D15" s="56" t="n">
        <f aca="false">Costs!D15/FX_EUR</f>
        <v>6114044.61361988</v>
      </c>
      <c r="E15" s="33" t="n">
        <f aca="false">Costs!E15/FX_EUR</f>
        <v>0</v>
      </c>
      <c r="F15" s="33" t="n">
        <f aca="false">Costs!F15/FX_EUR</f>
        <v>0</v>
      </c>
      <c r="G15" s="33" t="n">
        <f aca="false">Costs!G15/FX_EUR</f>
        <v>0</v>
      </c>
      <c r="H15" s="33" t="n">
        <f aca="false">Costs!H15/FX_EUR</f>
        <v>0</v>
      </c>
      <c r="I15" s="33" t="n">
        <f aca="false">Costs!I15/FX_EUR</f>
        <v>1476.17907881157</v>
      </c>
      <c r="J15" s="33" t="n">
        <f aca="false">Costs!J15/FX_EUR</f>
        <v>2950.40753433533</v>
      </c>
      <c r="K15" s="33" t="n">
        <f aca="false">Costs!K15/FX_EUR</f>
        <v>4423.59414308026</v>
      </c>
      <c r="L15" s="33" t="n">
        <f aca="false">Costs!L15/FX_EUR</f>
        <v>5896.68876184219</v>
      </c>
      <c r="M15" s="33" t="n">
        <f aca="false">Costs!M15/FX_EUR</f>
        <v>7370.6849936051</v>
      </c>
      <c r="N15" s="33" t="n">
        <f aca="false">Costs!N15/FX_EUR</f>
        <v>8846.62301006884</v>
      </c>
      <c r="O15" s="33" t="n">
        <f aca="false">Costs!O15/FX_EUR</f>
        <v>10325.59254026</v>
      </c>
      <c r="P15" s="33" t="n">
        <f aca="false">Costs!P15/FX_EUR</f>
        <v>11808.7360352484</v>
      </c>
      <c r="Q15" s="33" t="n">
        <f aca="false">Costs!Q15/FX_EUR</f>
        <v>13818.4904544298</v>
      </c>
      <c r="R15" s="33" t="n">
        <f aca="false">Costs!R15/FX_EUR</f>
        <v>15829.128906634</v>
      </c>
      <c r="S15" s="33" t="n">
        <f aca="false">Costs!S15/FX_EUR</f>
        <v>17842.046102204</v>
      </c>
      <c r="T15" s="33" t="n">
        <f aca="false">Costs!T15/FX_EUR</f>
        <v>19858.7030485342</v>
      </c>
      <c r="U15" s="33" t="n">
        <f aca="false">Costs!U15/FX_EUR</f>
        <v>21880.6312853072</v>
      </c>
      <c r="V15" s="33" t="n">
        <f aca="false">Costs!V15/FX_EUR</f>
        <v>23909.4373696174</v>
      </c>
      <c r="W15" s="33" t="n">
        <f aca="false">Costs!W15/FX_EUR</f>
        <v>27076.8207214179</v>
      </c>
      <c r="X15" s="33" t="n">
        <f aca="false">Costs!X15/FX_EUR</f>
        <v>30252.8241645177</v>
      </c>
      <c r="Y15" s="33" t="n">
        <f aca="false">Costs!Y15/FX_EUR</f>
        <v>33678.7289048327</v>
      </c>
      <c r="Z15" s="33" t="n">
        <f aca="false">Costs!Z15/FX_EUR</f>
        <v>37115.8403293724</v>
      </c>
      <c r="AA15" s="33" t="n">
        <f aca="false">Costs!AA15/FX_EUR</f>
        <v>40566.9990512525</v>
      </c>
      <c r="AB15" s="33" t="n">
        <f aca="false">Costs!AB15/FX_EUR</f>
        <v>44035.1881618875</v>
      </c>
      <c r="AC15" s="33" t="n">
        <f aca="false">Costs!AC15/FX_EUR</f>
        <v>48569.9979808988</v>
      </c>
      <c r="AD15" s="33" t="n">
        <f aca="false">Costs!AD15/FX_EUR</f>
        <v>53116.731105996</v>
      </c>
      <c r="AE15" s="33" t="n">
        <f aca="false">Costs!AE15/FX_EUR</f>
        <v>57917.7360651708</v>
      </c>
      <c r="AF15" s="33" t="n">
        <f aca="false">Costs!AF15/FX_EUR</f>
        <v>62735.4385267535</v>
      </c>
      <c r="AG15" s="33" t="n">
        <f aca="false">Costs!AG15/FX_EUR</f>
        <v>67573.8556836924</v>
      </c>
      <c r="AH15" s="33" t="n">
        <f aca="false">Costs!AH15/FX_EUR</f>
        <v>72437.2070427432</v>
      </c>
      <c r="AI15" s="33" t="n">
        <f aca="false">Costs!AI15/FX_EUR</f>
        <v>77568.6622929813</v>
      </c>
      <c r="AJ15" s="33" t="n">
        <f aca="false">Costs!AJ15/FX_EUR</f>
        <v>82731.5172512241</v>
      </c>
      <c r="AK15" s="33" t="n">
        <f aca="false">Costs!AK15/FX_EUR</f>
        <v>87930.7111866044</v>
      </c>
      <c r="AL15" s="33" t="n">
        <f aca="false">Costs!AL15/FX_EUR</f>
        <v>93171.4407264936</v>
      </c>
      <c r="AM15" s="33" t="n">
        <f aca="false">Costs!AM15/FX_EUR</f>
        <v>98697.9110287726</v>
      </c>
      <c r="AN15" s="33" t="n">
        <f aca="false">Costs!AN15/FX_EUR</f>
        <v>104274.515229257</v>
      </c>
      <c r="AO15" s="33" t="n">
        <f aca="false">Costs!AO15/FX_EUR</f>
        <v>110643.455558143</v>
      </c>
      <c r="AP15" s="33" t="n">
        <f aca="false">Costs!AP15/FX_EUR</f>
        <v>117305.680669754</v>
      </c>
      <c r="AQ15" s="33" t="n">
        <f aca="false">Costs!AQ15/FX_EUR</f>
        <v>124026.7027611</v>
      </c>
      <c r="AR15" s="33" t="n">
        <f aca="false">Costs!AR15/FX_EUR</f>
        <v>130813.80165494</v>
      </c>
      <c r="AS15" s="33" t="n">
        <f aca="false">Costs!AS15/FX_EUR</f>
        <v>137913.38144329</v>
      </c>
      <c r="AT15" s="33" t="n">
        <f aca="false">Costs!AT15/FX_EUR</f>
        <v>145092.157012598</v>
      </c>
      <c r="AU15" s="33" t="n">
        <f aca="false">Costs!AU15/FX_EUR</f>
        <v>152358.68258074</v>
      </c>
      <c r="AV15" s="33" t="n">
        <f aca="false">Costs!AV15/FX_EUR</f>
        <v>160175.574291893</v>
      </c>
      <c r="AW15" s="33" t="n">
        <f aca="false">Costs!AW15/FX_EUR</f>
        <v>168025.536625086</v>
      </c>
      <c r="AX15" s="33" t="n">
        <f aca="false">Costs!AX15/FX_EUR</f>
        <v>176079.034710031</v>
      </c>
      <c r="AY15" s="33" t="n">
        <f aca="false">Costs!AY15/FX_EUR</f>
        <v>184098.13210118</v>
      </c>
      <c r="AZ15" s="33" t="n">
        <f aca="false">Costs!AZ15/FX_EUR</f>
        <v>192086.428851598</v>
      </c>
      <c r="BA15" s="33" t="n">
        <f aca="false">Costs!BA15/FX_EUR</f>
        <v>201026.483635114</v>
      </c>
      <c r="BB15" s="33" t="n">
        <f aca="false">Costs!BB15/FX_EUR</f>
        <v>209932.589636953</v>
      </c>
      <c r="BC15" s="33" t="n">
        <f aca="false">Costs!BC15/FX_EUR</f>
        <v>219047.682551433</v>
      </c>
      <c r="BD15" s="33" t="n">
        <f aca="false">Costs!BD15/FX_EUR</f>
        <v>228134.769015593</v>
      </c>
      <c r="BE15" s="33" t="n">
        <f aca="false">Costs!BE15/FX_EUR</f>
        <v>237413.302856349</v>
      </c>
      <c r="BF15" s="33" t="n">
        <f aca="false">Costs!BF15/FX_EUR</f>
        <v>246909.577498583</v>
      </c>
      <c r="BG15" s="33" t="n">
        <f aca="false">Costs!BG15/FX_EUR</f>
        <v>256387.254141948</v>
      </c>
      <c r="BH15" s="33" t="n">
        <f aca="false">Costs!BH15/FX_EUR</f>
        <v>266090.352598206</v>
      </c>
      <c r="BI15" s="33" t="n">
        <f aca="false">Costs!BI15/FX_EUR</f>
        <v>275997.888722401</v>
      </c>
      <c r="BJ15" s="33" t="n">
        <f aca="false">Costs!BJ15/FX_EUR</f>
        <v>286137.174236638</v>
      </c>
      <c r="BK15" s="33" t="n">
        <f aca="false">Costs!BK15/FX_EUR</f>
        <v>296221.788849735</v>
      </c>
      <c r="BL15" s="33" t="n">
        <f aca="false">Costs!BL15/FX_EUR</f>
        <v>306438.112898725</v>
      </c>
    </row>
    <row r="16" customFormat="false" ht="15" hidden="false" customHeight="true" outlineLevel="0" collapsed="false">
      <c r="A16" s="13" t="s">
        <v>1011</v>
      </c>
      <c r="B16" s="15" t="s">
        <v>79</v>
      </c>
      <c r="D16" s="56" t="n">
        <f aca="false">Costs!D16/FX_EUR</f>
        <v>246542.525056074</v>
      </c>
      <c r="E16" s="33" t="n">
        <f aca="false">Costs!E16/FX_EUR</f>
        <v>0</v>
      </c>
      <c r="F16" s="33" t="n">
        <f aca="false">Costs!F16/FX_EUR</f>
        <v>0</v>
      </c>
      <c r="G16" s="33" t="n">
        <f aca="false">Costs!G16/FX_EUR</f>
        <v>0</v>
      </c>
      <c r="H16" s="33" t="n">
        <f aca="false">Costs!H16/FX_EUR</f>
        <v>0</v>
      </c>
      <c r="I16" s="33" t="n">
        <f aca="false">Costs!I16/FX_EUR</f>
        <v>59.3865146648332</v>
      </c>
      <c r="J16" s="33" t="n">
        <f aca="false">Costs!J16/FX_EUR</f>
        <v>118.705932705955</v>
      </c>
      <c r="K16" s="33" t="n">
        <f aca="false">Costs!K16/FX_EUR</f>
        <v>177.994628697079</v>
      </c>
      <c r="L16" s="33" t="n">
        <f aca="false">Costs!L16/FX_EUR</f>
        <v>237.290639835076</v>
      </c>
      <c r="M16" s="33" t="n">
        <f aca="false">Costs!M16/FX_EUR</f>
        <v>296.633773350515</v>
      </c>
      <c r="N16" s="33" t="n">
        <f aca="false">Costs!N16/FX_EUR</f>
        <v>356.065720237646</v>
      </c>
      <c r="O16" s="33" t="n">
        <f aca="false">Costs!O16/FX_EUR</f>
        <v>415.630175685177</v>
      </c>
      <c r="P16" s="33" t="n">
        <f aca="false">Costs!P16/FX_EUR</f>
        <v>475.372966612072</v>
      </c>
      <c r="Q16" s="33" t="n">
        <f aca="false">Costs!Q16/FX_EUR</f>
        <v>556.311549057783</v>
      </c>
      <c r="R16" s="33" t="n">
        <f aca="false">Costs!R16/FX_EUR</f>
        <v>637.299896184189</v>
      </c>
      <c r="S16" s="33" t="n">
        <f aca="false">Costs!S16/FX_EUR</f>
        <v>718.393912548966</v>
      </c>
      <c r="T16" s="33" t="n">
        <f aca="false">Costs!T16/FX_EUR</f>
        <v>799.652183858815</v>
      </c>
      <c r="U16" s="33" t="n">
        <f aca="false">Costs!U16/FX_EUR</f>
        <v>881.136147647074</v>
      </c>
      <c r="V16" s="33" t="n">
        <f aca="false">Costs!V16/FX_EUR</f>
        <v>962.910274032756</v>
      </c>
      <c r="W16" s="33" t="n">
        <f aca="false">Costs!W16/FX_EUR</f>
        <v>1090.50255410891</v>
      </c>
      <c r="X16" s="33" t="n">
        <f aca="false">Costs!X16/FX_EUR</f>
        <v>1218.46351831709</v>
      </c>
      <c r="Y16" s="33" t="n">
        <f aca="false">Costs!Y16/FX_EUR</f>
        <v>1356.49962289302</v>
      </c>
      <c r="Z16" s="33" t="n">
        <f aca="false">Costs!Z16/FX_EUR</f>
        <v>1495.00981577469</v>
      </c>
      <c r="AA16" s="33" t="n">
        <f aca="false">Costs!AA16/FX_EUR</f>
        <v>1634.10811597912</v>
      </c>
      <c r="AB16" s="33" t="n">
        <f aca="false">Costs!AB16/FX_EUR</f>
        <v>1773.91430051132</v>
      </c>
      <c r="AC16" s="33" t="n">
        <f aca="false">Costs!AC16/FX_EUR</f>
        <v>1956.65306166789</v>
      </c>
      <c r="AD16" s="33" t="n">
        <f aca="false">Costs!AD16/FX_EUR</f>
        <v>2139.90193102642</v>
      </c>
      <c r="AE16" s="33" t="n">
        <f aca="false">Costs!AE16/FX_EUR</f>
        <v>2333.41020264061</v>
      </c>
      <c r="AF16" s="33" t="n">
        <f aca="false">Costs!AF16/FX_EUR</f>
        <v>2527.62180265398</v>
      </c>
      <c r="AG16" s="33" t="n">
        <f aca="false">Costs!AG16/FX_EUR</f>
        <v>2722.6980032725</v>
      </c>
      <c r="AH16" s="33" t="n">
        <f aca="false">Costs!AH16/FX_EUR</f>
        <v>2918.80825224601</v>
      </c>
      <c r="AI16" s="33" t="n">
        <f aca="false">Costs!AI16/FX_EUR</f>
        <v>3125.73497317728</v>
      </c>
      <c r="AJ16" s="33" t="n">
        <f aca="false">Costs!AJ16/FX_EUR</f>
        <v>3333.95719741643</v>
      </c>
      <c r="AK16" s="33" t="n">
        <f aca="false">Costs!AK16/FX_EUR</f>
        <v>3543.67339662723</v>
      </c>
      <c r="AL16" s="33" t="n">
        <f aca="false">Costs!AL16/FX_EUR</f>
        <v>3755.09243797848</v>
      </c>
      <c r="AM16" s="33" t="n">
        <f aca="false">Costs!AM16/FX_EUR</f>
        <v>3978.0385177061</v>
      </c>
      <c r="AN16" s="33" t="n">
        <f aca="false">Costs!AN16/FX_EUR</f>
        <v>4203.03493425653</v>
      </c>
      <c r="AO16" s="33" t="n">
        <f aca="false">Costs!AO16/FX_EUR</f>
        <v>4459.94029217569</v>
      </c>
      <c r="AP16" s="33" t="n">
        <f aca="false">Costs!AP16/FX_EUR</f>
        <v>4728.68342939898</v>
      </c>
      <c r="AQ16" s="33" t="n">
        <f aca="false">Costs!AQ16/FX_EUR</f>
        <v>4999.83261496676</v>
      </c>
      <c r="AR16" s="33" t="n">
        <f aca="false">Costs!AR16/FX_EUR</f>
        <v>5273.68056980007</v>
      </c>
      <c r="AS16" s="33" t="n">
        <f aca="false">Costs!AS16/FX_EUR</f>
        <v>5560.14001549932</v>
      </c>
      <c r="AT16" s="33" t="n">
        <f aca="false">Costs!AT16/FX_EUR</f>
        <v>5849.82773288468</v>
      </c>
      <c r="AU16" s="33" t="n">
        <f aca="false">Costs!AU16/FX_EUR</f>
        <v>6143.0878467267</v>
      </c>
      <c r="AV16" s="33" t="n">
        <f aca="false">Costs!AV16/FX_EUR</f>
        <v>6458.53140751582</v>
      </c>
      <c r="AW16" s="33" t="n">
        <f aca="false">Costs!AW16/FX_EUR</f>
        <v>6775.35129709608</v>
      </c>
      <c r="AX16" s="33" t="n">
        <f aca="false">Costs!AX16/FX_EUR</f>
        <v>7100.40488879529</v>
      </c>
      <c r="AY16" s="33" t="n">
        <f aca="false">Costs!AY16/FX_EUR</f>
        <v>7424.12092811461</v>
      </c>
      <c r="AZ16" s="33" t="n">
        <f aca="false">Costs!AZ16/FX_EUR</f>
        <v>7746.64329944416</v>
      </c>
      <c r="BA16" s="33" t="n">
        <f aca="false">Costs!BA16/FX_EUR</f>
        <v>8107.49932242892</v>
      </c>
      <c r="BB16" s="33" t="n">
        <f aca="false">Costs!BB16/FX_EUR</f>
        <v>8467.04080886204</v>
      </c>
      <c r="BC16" s="33" t="n">
        <f aca="false">Costs!BC16/FX_EUR</f>
        <v>8835.04002116495</v>
      </c>
      <c r="BD16" s="33" t="n">
        <f aca="false">Costs!BD16/FX_EUR</f>
        <v>9201.96361900939</v>
      </c>
      <c r="BE16" s="33" t="n">
        <f aca="false">Costs!BE16/FX_EUR</f>
        <v>9576.63924105834</v>
      </c>
      <c r="BF16" s="33" t="n">
        <f aca="false">Costs!BF16/FX_EUR</f>
        <v>9960.12541153775</v>
      </c>
      <c r="BG16" s="33" t="n">
        <f aca="false">Costs!BG16/FX_EUR</f>
        <v>10342.9151825347</v>
      </c>
      <c r="BH16" s="33" t="n">
        <f aca="false">Costs!BH16/FX_EUR</f>
        <v>10734.824543036</v>
      </c>
      <c r="BI16" s="33" t="n">
        <f aca="false">Costs!BI16/FX_EUR</f>
        <v>11135.0102980066</v>
      </c>
      <c r="BJ16" s="33" t="n">
        <f aca="false">Costs!BJ16/FX_EUR</f>
        <v>11544.5720135395</v>
      </c>
      <c r="BK16" s="33" t="n">
        <f aca="false">Costs!BK16/FX_EUR</f>
        <v>11951.9880516973</v>
      </c>
      <c r="BL16" s="33" t="n">
        <f aca="false">Costs!BL16/FX_EUR</f>
        <v>12364.7552674085</v>
      </c>
    </row>
    <row r="17" customFormat="false" ht="15" hidden="false" customHeight="true" outlineLevel="0" collapsed="false">
      <c r="A17" s="13" t="s">
        <v>1285</v>
      </c>
      <c r="B17" s="15" t="s">
        <v>79</v>
      </c>
      <c r="D17" s="56" t="n">
        <f aca="false">Costs!D17/FX_EUR</f>
        <v>921238.631832818</v>
      </c>
      <c r="E17" s="33" t="n">
        <f aca="false">Costs!E17/FX_EUR</f>
        <v>0</v>
      </c>
      <c r="F17" s="33" t="n">
        <f aca="false">Costs!F17/FX_EUR</f>
        <v>0</v>
      </c>
      <c r="G17" s="33" t="n">
        <f aca="false">Costs!G17/FX_EUR</f>
        <v>0</v>
      </c>
      <c r="H17" s="33" t="n">
        <f aca="false">Costs!H17/FX_EUR</f>
        <v>0</v>
      </c>
      <c r="I17" s="33" t="n">
        <f aca="false">Costs!I17/FX_EUR</f>
        <v>223.971998164514</v>
      </c>
      <c r="J17" s="33" t="n">
        <f aca="false">Costs!J17/FX_EUR</f>
        <v>447.52127044913</v>
      </c>
      <c r="K17" s="33" t="n">
        <f aca="false">Costs!K17/FX_EUR</f>
        <v>670.787766080703</v>
      </c>
      <c r="L17" s="33" t="n">
        <f aca="false">Costs!L17/FX_EUR</f>
        <v>893.917556085898</v>
      </c>
      <c r="M17" s="33" t="n">
        <f aca="false">Costs!M17/FX_EUR</f>
        <v>1117.0632359716</v>
      </c>
      <c r="N17" s="33" t="n">
        <f aca="false">Costs!N17/FX_EUR</f>
        <v>1340.38435196468</v>
      </c>
      <c r="O17" s="33" t="n">
        <f aca="false">Costs!O17/FX_EUR</f>
        <v>1564.04785223542</v>
      </c>
      <c r="P17" s="33" t="n">
        <f aca="false">Costs!P17/FX_EUR</f>
        <v>1788.22856461451</v>
      </c>
      <c r="Q17" s="33" t="n">
        <f aca="false">Costs!Q17/FX_EUR</f>
        <v>2092.19415458543</v>
      </c>
      <c r="R17" s="33" t="n">
        <f aca="false">Costs!R17/FX_EUR</f>
        <v>2396.1356436423</v>
      </c>
      <c r="S17" s="33" t="n">
        <f aca="false">Costs!S17/FX_EUR</f>
        <v>2700.26692149107</v>
      </c>
      <c r="T17" s="33" t="n">
        <f aca="false">Costs!T17/FX_EUR</f>
        <v>3004.81178040797</v>
      </c>
      <c r="U17" s="33" t="n">
        <f aca="false">Costs!U17/FX_EUR</f>
        <v>3310.0045545455</v>
      </c>
      <c r="V17" s="33" t="n">
        <f aca="false">Costs!V17/FX_EUR</f>
        <v>3616.090796834</v>
      </c>
      <c r="W17" s="33" t="n">
        <f aca="false">Costs!W17/FX_EUR</f>
        <v>4094.77825849426</v>
      </c>
      <c r="X17" s="33" t="n">
        <f aca="false">Costs!X17/FX_EUR</f>
        <v>4574.52958032018</v>
      </c>
      <c r="Y17" s="33" t="n">
        <f aca="false">Costs!Y17/FX_EUR</f>
        <v>5091.95583066308</v>
      </c>
      <c r="Z17" s="33" t="n">
        <f aca="false">Costs!Z17/FX_EUR</f>
        <v>5610.82339327693</v>
      </c>
      <c r="AA17" s="33" t="n">
        <f aca="false">Costs!AA17/FX_EUR</f>
        <v>6131.56613841268</v>
      </c>
      <c r="AB17" s="33" t="n">
        <f aca="false">Costs!AB17/FX_EUR</f>
        <v>6654.63926286349</v>
      </c>
      <c r="AC17" s="33" t="n">
        <f aca="false">Costs!AC17/FX_EUR</f>
        <v>7339.29324423992</v>
      </c>
      <c r="AD17" s="33" t="n">
        <f aca="false">Costs!AD17/FX_EUR</f>
        <v>8025.4171464461</v>
      </c>
      <c r="AE17" s="33" t="n">
        <f aca="false">Costs!AE17/FX_EUR</f>
        <v>8749.78509539284</v>
      </c>
      <c r="AF17" s="33" t="n">
        <f aca="false">Costs!AF17/FX_EUR</f>
        <v>9476.3344579077</v>
      </c>
      <c r="AG17" s="33" t="n">
        <f aca="false">Costs!AG17/FX_EUR</f>
        <v>10205.6785166076</v>
      </c>
      <c r="AH17" s="33" t="n">
        <f aca="false">Costs!AH17/FX_EUR</f>
        <v>10938.460843476</v>
      </c>
      <c r="AI17" s="33" t="n">
        <f aca="false">Costs!AI17/FX_EUR</f>
        <v>11711.5791032419</v>
      </c>
      <c r="AJ17" s="33" t="n">
        <f aca="false">Costs!AJ17/FX_EUR</f>
        <v>12489.1015795228</v>
      </c>
      <c r="AK17" s="33" t="n">
        <f aca="false">Costs!AK17/FX_EUR</f>
        <v>13271.780292402</v>
      </c>
      <c r="AL17" s="33" t="n">
        <f aca="false">Costs!AL17/FX_EUR</f>
        <v>14060.4058412788</v>
      </c>
      <c r="AM17" s="33" t="n">
        <f aca="false">Costs!AM17/FX_EUR</f>
        <v>14892.0317056813</v>
      </c>
      <c r="AN17" s="33" t="n">
        <f aca="false">Costs!AN17/FX_EUR</f>
        <v>15730.8912986956</v>
      </c>
      <c r="AO17" s="33" t="n">
        <f aca="false">Costs!AO17/FX_EUR</f>
        <v>16689.5957934997</v>
      </c>
      <c r="AP17" s="33" t="n">
        <f aca="false">Costs!AP17/FX_EUR</f>
        <v>17692.3644742637</v>
      </c>
      <c r="AQ17" s="33" t="n">
        <f aca="false">Costs!AQ17/FX_EUR</f>
        <v>18703.6010898875</v>
      </c>
      <c r="AR17" s="33" t="n">
        <f aca="false">Costs!AR17/FX_EUR</f>
        <v>19724.4117866205</v>
      </c>
      <c r="AS17" s="33" t="n">
        <f aca="false">Costs!AS17/FX_EUR</f>
        <v>20792.1829789816</v>
      </c>
      <c r="AT17" s="33" t="n">
        <f aca="false">Costs!AT17/FX_EUR</f>
        <v>21871.4994697012</v>
      </c>
      <c r="AU17" s="33" t="n">
        <f aca="false">Costs!AU17/FX_EUR</f>
        <v>22963.6592563467</v>
      </c>
      <c r="AV17" s="33" t="n">
        <f aca="false">Costs!AV17/FX_EUR</f>
        <v>24138.8517485306</v>
      </c>
      <c r="AW17" s="33" t="n">
        <f aca="false">Costs!AW17/FX_EUR</f>
        <v>25318.5503788379</v>
      </c>
      <c r="AX17" s="33" t="n">
        <f aca="false">Costs!AX17/FX_EUR</f>
        <v>26528.6234937284</v>
      </c>
      <c r="AY17" s="33" t="n">
        <f aca="false">Costs!AY17/FX_EUR</f>
        <v>27732.9603474312</v>
      </c>
      <c r="AZ17" s="33" t="n">
        <f aca="false">Costs!AZ17/FX_EUR</f>
        <v>28932.1176885811</v>
      </c>
      <c r="BA17" s="33" t="n">
        <f aca="false">Costs!BA17/FX_EUR</f>
        <v>30275.1834454317</v>
      </c>
      <c r="BB17" s="33" t="n">
        <f aca="false">Costs!BB17/FX_EUR</f>
        <v>31612.5276262806</v>
      </c>
      <c r="BC17" s="33" t="n">
        <f aca="false">Costs!BC17/FX_EUR</f>
        <v>32981.0207235929</v>
      </c>
      <c r="BD17" s="33" t="n">
        <f aca="false">Costs!BD17/FX_EUR</f>
        <v>34344.6953689657</v>
      </c>
      <c r="BE17" s="33" t="n">
        <f aca="false">Costs!BE17/FX_EUR</f>
        <v>35736.8587420167</v>
      </c>
      <c r="BF17" s="33" t="n">
        <f aca="false">Costs!BF17/FX_EUR</f>
        <v>37161.4919134436</v>
      </c>
      <c r="BG17" s="33" t="n">
        <f aca="false">Costs!BG17/FX_EUR</f>
        <v>38582.7261654969</v>
      </c>
      <c r="BH17" s="33" t="n">
        <f aca="false">Costs!BH17/FX_EUR</f>
        <v>40037.5952222363</v>
      </c>
      <c r="BI17" s="33" t="n">
        <f aca="false">Costs!BI17/FX_EUR</f>
        <v>41522.9041985095</v>
      </c>
      <c r="BJ17" s="33" t="n">
        <f aca="false">Costs!BJ17/FX_EUR</f>
        <v>43042.7878196849</v>
      </c>
      <c r="BK17" s="33" t="n">
        <f aca="false">Costs!BK17/FX_EUR</f>
        <v>44553.7778766424</v>
      </c>
      <c r="BL17" s="33" t="n">
        <f aca="false">Costs!BL17/FX_EUR</f>
        <v>46084.166188111</v>
      </c>
    </row>
    <row r="18" customFormat="false" ht="15" hidden="false" customHeight="true" outlineLevel="0" collapsed="false">
      <c r="A18" s="13" t="s">
        <v>1017</v>
      </c>
      <c r="B18" s="15" t="s">
        <v>79</v>
      </c>
      <c r="D18" s="56" t="n">
        <f aca="false">Costs!D18/FX_EUR</f>
        <v>1215521.96649957</v>
      </c>
      <c r="E18" s="33" t="n">
        <f aca="false">Costs!E18/FX_EUR</f>
        <v>0</v>
      </c>
      <c r="F18" s="33" t="n">
        <f aca="false">Costs!F18/FX_EUR</f>
        <v>0</v>
      </c>
      <c r="G18" s="33" t="n">
        <f aca="false">Costs!G18/FX_EUR</f>
        <v>0</v>
      </c>
      <c r="H18" s="33" t="n">
        <f aca="false">Costs!H18/FX_EUR</f>
        <v>0</v>
      </c>
      <c r="I18" s="33" t="n">
        <f aca="false">Costs!I18/FX_EUR</f>
        <v>0</v>
      </c>
      <c r="J18" s="33" t="n">
        <f aca="false">Costs!J18/FX_EUR</f>
        <v>0</v>
      </c>
      <c r="K18" s="33" t="n">
        <f aca="false">Costs!K18/FX_EUR</f>
        <v>0</v>
      </c>
      <c r="L18" s="33" t="n">
        <f aca="false">Costs!L18/FX_EUR</f>
        <v>0</v>
      </c>
      <c r="M18" s="33" t="n">
        <f aca="false">Costs!M18/FX_EUR</f>
        <v>0</v>
      </c>
      <c r="N18" s="33" t="n">
        <f aca="false">Costs!N18/FX_EUR</f>
        <v>0</v>
      </c>
      <c r="O18" s="33" t="n">
        <f aca="false">Costs!O18/FX_EUR</f>
        <v>0</v>
      </c>
      <c r="P18" s="33" t="n">
        <f aca="false">Costs!P18/FX_EUR</f>
        <v>0</v>
      </c>
      <c r="Q18" s="33" t="n">
        <f aca="false">Costs!Q18/FX_EUR</f>
        <v>0</v>
      </c>
      <c r="R18" s="33" t="n">
        <f aca="false">Costs!R18/FX_EUR</f>
        <v>0</v>
      </c>
      <c r="S18" s="33" t="n">
        <f aca="false">Costs!S18/FX_EUR</f>
        <v>0</v>
      </c>
      <c r="T18" s="33" t="n">
        <f aca="false">Costs!T18/FX_EUR</f>
        <v>0</v>
      </c>
      <c r="U18" s="33" t="n">
        <f aca="false">Costs!U18/FX_EUR</f>
        <v>0</v>
      </c>
      <c r="V18" s="33" t="n">
        <f aca="false">Costs!V18/FX_EUR</f>
        <v>421.821904888975</v>
      </c>
      <c r="W18" s="33" t="n">
        <f aca="false">Costs!W18/FX_EUR</f>
        <v>955.276074987349</v>
      </c>
      <c r="X18" s="33" t="n">
        <f aca="false">Costs!X18/FX_EUR</f>
        <v>1600.68692475372</v>
      </c>
      <c r="Y18" s="33" t="n">
        <f aca="false">Costs!Y18/FX_EUR</f>
        <v>2375.4935499329</v>
      </c>
      <c r="Z18" s="33" t="n">
        <f aca="false">Costs!Z18/FX_EUR</f>
        <v>3271.67857982736</v>
      </c>
      <c r="AA18" s="33" t="n">
        <f aca="false">Costs!AA18/FX_EUR</f>
        <v>4290.00110981626</v>
      </c>
      <c r="AB18" s="33" t="n">
        <f aca="false">Costs!AB18/FX_EUR</f>
        <v>5431.44111203751</v>
      </c>
      <c r="AC18" s="33" t="n">
        <f aca="false">Costs!AC18/FX_EUR</f>
        <v>6845.65029716806</v>
      </c>
      <c r="AD18" s="33" t="n">
        <f aca="false">Costs!AD18/FX_EUR</f>
        <v>8420.77519899989</v>
      </c>
      <c r="AE18" s="33" t="n">
        <f aca="false">Costs!AE18/FX_EUR</f>
        <v>10200.2416262174</v>
      </c>
      <c r="AF18" s="33" t="n">
        <f aca="false">Costs!AF18/FX_EUR</f>
        <v>12151.0201665444</v>
      </c>
      <c r="AG18" s="33" t="n">
        <f aca="false">Costs!AG18/FX_EUR</f>
        <v>14274.6684984967</v>
      </c>
      <c r="AH18" s="33" t="n">
        <f aca="false">Costs!AH18/FX_EUR</f>
        <v>15298.22550806</v>
      </c>
      <c r="AI18" s="33" t="n">
        <f aca="false">Costs!AI18/FX_EUR</f>
        <v>16378.0753901407</v>
      </c>
      <c r="AJ18" s="33" t="n">
        <f aca="false">Costs!AJ18/FX_EUR</f>
        <v>17463.8147186442</v>
      </c>
      <c r="AK18" s="33" t="n">
        <f aca="false">Costs!AK18/FX_EUR</f>
        <v>18556.5001262166</v>
      </c>
      <c r="AL18" s="33" t="n">
        <f aca="false">Costs!AL18/FX_EUR</f>
        <v>19657.2419763666</v>
      </c>
      <c r="AM18" s="33" t="n">
        <f aca="false">Costs!AM18/FX_EUR</f>
        <v>20818.0037497473</v>
      </c>
      <c r="AN18" s="33" t="n">
        <f aca="false">Costs!AN18/FX_EUR</f>
        <v>21988.6125099982</v>
      </c>
      <c r="AO18" s="33" t="n">
        <f aca="false">Costs!AO18/FX_EUR</f>
        <v>23326.9902056</v>
      </c>
      <c r="AP18" s="33" t="n">
        <f aca="false">Costs!AP18/FX_EUR</f>
        <v>24726.81543278</v>
      </c>
      <c r="AQ18" s="33" t="n">
        <f aca="false">Costs!AQ18/FX_EUR</f>
        <v>26138.1545510496</v>
      </c>
      <c r="AR18" s="33" t="n">
        <f aca="false">Costs!AR18/FX_EUR</f>
        <v>27562.5600054181</v>
      </c>
      <c r="AS18" s="33" t="n">
        <f aca="false">Costs!AS18/FX_EUR</f>
        <v>29052.4616055812</v>
      </c>
      <c r="AT18" s="33" t="n">
        <f aca="false">Costs!AT18/FX_EUR</f>
        <v>30558.1784815228</v>
      </c>
      <c r="AU18" s="33" t="n">
        <f aca="false">Costs!AU18/FX_EUR</f>
        <v>32081.5309252534</v>
      </c>
      <c r="AV18" s="33" t="n">
        <f aca="false">Costs!AV18/FX_EUR</f>
        <v>33720.9489866882</v>
      </c>
      <c r="AW18" s="33" t="n">
        <f aca="false">Costs!AW18/FX_EUR</f>
        <v>35366.2782600488</v>
      </c>
      <c r="AX18" s="33" t="n">
        <f aca="false">Costs!AX18/FX_EUR</f>
        <v>37053.7990530194</v>
      </c>
      <c r="AY18" s="33" t="n">
        <f aca="false">Costs!AY18/FX_EUR</f>
        <v>38732.8631689218</v>
      </c>
      <c r="AZ18" s="33" t="n">
        <f aca="false">Costs!AZ18/FX_EUR</f>
        <v>40404.2596824958</v>
      </c>
      <c r="BA18" s="33" t="n">
        <f aca="false">Costs!BA18/FX_EUR</f>
        <v>42277.0710197464</v>
      </c>
      <c r="BB18" s="33" t="n">
        <f aca="false">Costs!BB18/FX_EUR</f>
        <v>44141.4032693892</v>
      </c>
      <c r="BC18" s="33" t="n">
        <f aca="false">Costs!BC18/FX_EUR</f>
        <v>46048.9709256689</v>
      </c>
      <c r="BD18" s="33" t="n">
        <f aca="false">Costs!BD18/FX_EUR</f>
        <v>47949.327083787</v>
      </c>
      <c r="BE18" s="33" t="n">
        <f aca="false">Costs!BE18/FX_EUR</f>
        <v>49889.188769002</v>
      </c>
      <c r="BF18" s="33" t="n">
        <f aca="false">Costs!BF18/FX_EUR</f>
        <v>51874.1322228547</v>
      </c>
      <c r="BG18" s="33" t="n">
        <f aca="false">Costs!BG18/FX_EUR</f>
        <v>53853.8483589514</v>
      </c>
      <c r="BH18" s="33" t="n">
        <f aca="false">Costs!BH18/FX_EUR</f>
        <v>55880.2795860487</v>
      </c>
      <c r="BI18" s="33" t="n">
        <f aca="false">Costs!BI18/FX_EUR</f>
        <v>57948.9366639737</v>
      </c>
      <c r="BJ18" s="33" t="n">
        <f aca="false">Costs!BJ18/FX_EUR</f>
        <v>60065.6106410661</v>
      </c>
      <c r="BK18" s="33" t="n">
        <f aca="false">Costs!BK18/FX_EUR</f>
        <v>62169.3345003048</v>
      </c>
      <c r="BL18" s="33" t="n">
        <f aca="false">Costs!BL18/FX_EUR</f>
        <v>64299.7940775517</v>
      </c>
    </row>
    <row r="19" customFormat="false" ht="15" hidden="false" customHeight="true" outlineLevel="0" collapsed="false">
      <c r="A19" s="13" t="s">
        <v>1286</v>
      </c>
      <c r="B19" s="15" t="s">
        <v>79</v>
      </c>
      <c r="D19" s="56" t="n">
        <f aca="false">Costs!D19/FX_EUR</f>
        <v>2320547.60435616</v>
      </c>
      <c r="E19" s="33" t="n">
        <f aca="false">Costs!E19/FX_EUR</f>
        <v>0</v>
      </c>
      <c r="F19" s="33" t="n">
        <f aca="false">Costs!F19/FX_EUR</f>
        <v>0</v>
      </c>
      <c r="G19" s="33" t="n">
        <f aca="false">Costs!G19/FX_EUR</f>
        <v>0</v>
      </c>
      <c r="H19" s="33" t="n">
        <f aca="false">Costs!H19/FX_EUR</f>
        <v>0</v>
      </c>
      <c r="I19" s="33" t="n">
        <f aca="false">Costs!I19/FX_EUR</f>
        <v>0</v>
      </c>
      <c r="J19" s="33" t="n">
        <f aca="false">Costs!J19/FX_EUR</f>
        <v>0</v>
      </c>
      <c r="K19" s="33" t="n">
        <f aca="false">Costs!K19/FX_EUR</f>
        <v>0</v>
      </c>
      <c r="L19" s="33" t="n">
        <f aca="false">Costs!L19/FX_EUR</f>
        <v>0</v>
      </c>
      <c r="M19" s="33" t="n">
        <f aca="false">Costs!M19/FX_EUR</f>
        <v>0</v>
      </c>
      <c r="N19" s="33" t="n">
        <f aca="false">Costs!N19/FX_EUR</f>
        <v>0</v>
      </c>
      <c r="O19" s="33" t="n">
        <f aca="false">Costs!O19/FX_EUR</f>
        <v>0</v>
      </c>
      <c r="P19" s="33" t="n">
        <f aca="false">Costs!P19/FX_EUR</f>
        <v>0</v>
      </c>
      <c r="Q19" s="33" t="n">
        <f aca="false">Costs!Q19/FX_EUR</f>
        <v>455.036279049</v>
      </c>
      <c r="R19" s="33" t="n">
        <f aca="false">Costs!R19/FX_EUR</f>
        <v>1041.97150445325</v>
      </c>
      <c r="S19" s="33" t="n">
        <f aca="false">Costs!S19/FX_EUR</f>
        <v>1760.77927368736</v>
      </c>
      <c r="T19" s="33" t="n">
        <f aca="false">Costs!T19/FX_EUR</f>
        <v>2611.63199501957</v>
      </c>
      <c r="U19" s="33" t="n">
        <f aca="false">Costs!U19/FX_EUR</f>
        <v>3594.91209886156</v>
      </c>
      <c r="V19" s="33" t="n">
        <f aca="false">Costs!V19/FX_EUR</f>
        <v>4711.22412971568</v>
      </c>
      <c r="W19" s="33" t="n">
        <f aca="false">Costs!W19/FX_EUR</f>
        <v>6223.2590892108</v>
      </c>
      <c r="X19" s="33" t="n">
        <f aca="false">Costs!X19/FX_EUR</f>
        <v>7944.18912064779</v>
      </c>
      <c r="Y19" s="33" t="n">
        <f aca="false">Costs!Y19/FX_EUR</f>
        <v>9946.37697946544</v>
      </c>
      <c r="Z19" s="33" t="n">
        <f aca="false">Costs!Z19/FX_EUR</f>
        <v>12175.1392605534</v>
      </c>
      <c r="AA19" s="33" t="n">
        <f aca="false">Costs!AA19/FX_EUR</f>
        <v>14632.2255396545</v>
      </c>
      <c r="AB19" s="33" t="n">
        <f aca="false">Costs!AB19/FX_EUR</f>
        <v>17319.8235728931</v>
      </c>
      <c r="AC19" s="33" t="n">
        <f aca="false">Costs!AC19/FX_EUR</f>
        <v>19099.3132495772</v>
      </c>
      <c r="AD19" s="33" t="n">
        <f aca="false">Costs!AD19/FX_EUR</f>
        <v>20881.3520967503</v>
      </c>
      <c r="AE19" s="33" t="n">
        <f aca="false">Costs!AE19/FX_EUR</f>
        <v>22762.2417308179</v>
      </c>
      <c r="AF19" s="33" t="n">
        <f aca="false">Costs!AF19/FX_EUR</f>
        <v>24647.5010070294</v>
      </c>
      <c r="AG19" s="33" t="n">
        <f aca="false">Costs!AG19/FX_EUR</f>
        <v>26538.7550490097</v>
      </c>
      <c r="AH19" s="33" t="n">
        <f aca="false">Costs!AH19/FX_EUR</f>
        <v>28437.7065534334</v>
      </c>
      <c r="AI19" s="33" t="n">
        <f aca="false">Costs!AI19/FX_EUR</f>
        <v>30440.9762568783</v>
      </c>
      <c r="AJ19" s="33" t="n">
        <f aca="false">Costs!AJ19/FX_EUR</f>
        <v>32454.4212530039</v>
      </c>
      <c r="AK19" s="33" t="n">
        <f aca="false">Costs!AK19/FX_EUR</f>
        <v>34480.0251682084</v>
      </c>
      <c r="AL19" s="33" t="n">
        <f aca="false">Costs!AL19/FX_EUR</f>
        <v>36519.8706812308</v>
      </c>
      <c r="AM19" s="33" t="n">
        <f aca="false">Costs!AM19/FX_EUR</f>
        <v>38670.9812778607</v>
      </c>
      <c r="AN19" s="33" t="n">
        <f aca="false">Costs!AN19/FX_EUR</f>
        <v>40839.6409332766</v>
      </c>
      <c r="AO19" s="33" t="n">
        <f aca="false">Costs!AO19/FX_EUR</f>
        <v>43320.6951457869</v>
      </c>
      <c r="AP19" s="33" t="n">
        <f aca="false">Costs!AP19/FX_EUR</f>
        <v>45915.4923541036</v>
      </c>
      <c r="AQ19" s="33" t="n">
        <f aca="false">Costs!AQ19/FX_EUR</f>
        <v>48530.7656930397</v>
      </c>
      <c r="AR19" s="33" t="n">
        <f aca="false">Costs!AR19/FX_EUR</f>
        <v>51169.4229759161</v>
      </c>
      <c r="AS19" s="33" t="n">
        <f aca="false">Costs!AS19/FX_EUR</f>
        <v>53929.3576586999</v>
      </c>
      <c r="AT19" s="33" t="n">
        <f aca="false">Costs!AT19/FX_EUR</f>
        <v>56717.7712881722</v>
      </c>
      <c r="AU19" s="33" t="n">
        <f aca="false">Costs!AU19/FX_EUR</f>
        <v>59538.0680551331</v>
      </c>
      <c r="AV19" s="33" t="n">
        <f aca="false">Costs!AV19/FX_EUR</f>
        <v>62574.0193737499</v>
      </c>
      <c r="AW19" s="33" t="n">
        <f aca="false">Costs!AW19/FX_EUR</f>
        <v>65619.8736481274</v>
      </c>
      <c r="AX19" s="33" t="n">
        <f aca="false">Costs!AX19/FX_EUR</f>
        <v>68743.3831529024</v>
      </c>
      <c r="AY19" s="33" t="n">
        <f aca="false">Costs!AY19/FX_EUR</f>
        <v>71849.9691454753</v>
      </c>
      <c r="AZ19" s="33" t="n">
        <f aca="false">Costs!AZ19/FX_EUR</f>
        <v>74941.1366956991</v>
      </c>
      <c r="BA19" s="33" t="n">
        <f aca="false">Costs!BA19/FX_EUR</f>
        <v>78407.2703964294</v>
      </c>
      <c r="BB19" s="33" t="n">
        <f aca="false">Costs!BB19/FX_EUR</f>
        <v>81856.3216666797</v>
      </c>
      <c r="BC19" s="33" t="n">
        <f aca="false">Costs!BC19/FX_EUR</f>
        <v>85384.875104398</v>
      </c>
      <c r="BD19" s="33" t="n">
        <f aca="false">Costs!BD19/FX_EUR</f>
        <v>88898.7288883141</v>
      </c>
      <c r="BE19" s="33" t="n">
        <f aca="false">Costs!BE19/FX_EUR</f>
        <v>92485.1358548926</v>
      </c>
      <c r="BF19" s="33" t="n">
        <f aca="false">Costs!BF19/FX_EUR</f>
        <v>96154.492137464</v>
      </c>
      <c r="BG19" s="33" t="n">
        <f aca="false">Costs!BG19/FX_EUR</f>
        <v>99812.8514340758</v>
      </c>
      <c r="BH19" s="33" t="n">
        <f aca="false">Costs!BH19/FX_EUR</f>
        <v>103557.220414945</v>
      </c>
      <c r="BI19" s="33" t="n">
        <f aca="false">Costs!BI19/FX_EUR</f>
        <v>107379.196010823</v>
      </c>
      <c r="BJ19" s="33" t="n">
        <f aca="false">Costs!BJ19/FX_EUR</f>
        <v>111289.573267271</v>
      </c>
      <c r="BK19" s="33" t="n">
        <f aca="false">Costs!BK19/FX_EUR</f>
        <v>115174.505365208</v>
      </c>
      <c r="BL19" s="33" t="n">
        <f aca="false">Costs!BL19/FX_EUR</f>
        <v>119108.124528563</v>
      </c>
    </row>
    <row r="20" customFormat="false" ht="15" hidden="false" customHeight="true" outlineLevel="0" collapsed="false">
      <c r="A20" s="13" t="s">
        <v>1287</v>
      </c>
      <c r="B20" s="15" t="s">
        <v>79</v>
      </c>
      <c r="D20" s="56" t="n">
        <f aca="false">Costs!D20/FX_EUR</f>
        <v>41413.9654686018</v>
      </c>
      <c r="E20" s="33" t="n">
        <f aca="false">Costs!E20/FX_EUR</f>
        <v>0</v>
      </c>
      <c r="F20" s="33" t="n">
        <f aca="false">Costs!F20/FX_EUR</f>
        <v>0</v>
      </c>
      <c r="G20" s="33" t="n">
        <f aca="false">Costs!G20/FX_EUR</f>
        <v>0</v>
      </c>
      <c r="H20" s="33" t="n">
        <f aca="false">Costs!H20/FX_EUR</f>
        <v>0</v>
      </c>
      <c r="I20" s="33" t="n">
        <f aca="false">Costs!I20/FX_EUR</f>
        <v>0</v>
      </c>
      <c r="J20" s="33" t="n">
        <f aca="false">Costs!J20/FX_EUR</f>
        <v>0</v>
      </c>
      <c r="K20" s="33" t="n">
        <f aca="false">Costs!K20/FX_EUR</f>
        <v>0</v>
      </c>
      <c r="L20" s="33" t="n">
        <f aca="false">Costs!L20/FX_EUR</f>
        <v>0</v>
      </c>
      <c r="M20" s="33" t="n">
        <f aca="false">Costs!M20/FX_EUR</f>
        <v>0</v>
      </c>
      <c r="N20" s="33" t="n">
        <f aca="false">Costs!N20/FX_EUR</f>
        <v>0</v>
      </c>
      <c r="O20" s="33" t="n">
        <f aca="false">Costs!O20/FX_EUR</f>
        <v>5.93757393835968</v>
      </c>
      <c r="P20" s="33" t="n">
        <f aca="false">Costs!P20/FX_EUR</f>
        <v>13.5820847603449</v>
      </c>
      <c r="Q20" s="33" t="n">
        <f aca="false">Costs!Q20/FX_EUR</f>
        <v>23.8419235310478</v>
      </c>
      <c r="R20" s="33" t="n">
        <f aca="false">Costs!R20/FX_EUR</f>
        <v>36.4171369248108</v>
      </c>
      <c r="S20" s="33" t="n">
        <f aca="false">Costs!S20/FX_EUR</f>
        <v>51.3138508963547</v>
      </c>
      <c r="T20" s="33" t="n">
        <f aca="false">Costs!T20/FX_EUR</f>
        <v>68.541615759327</v>
      </c>
      <c r="U20" s="33" t="n">
        <f aca="false">Costs!U20/FX_EUR</f>
        <v>88.1136147647074</v>
      </c>
      <c r="V20" s="33" t="n">
        <f aca="false">Costs!V20/FX_EUR</f>
        <v>110.046888460886</v>
      </c>
      <c r="W20" s="33" t="n">
        <f aca="false">Costs!W20/FX_EUR</f>
        <v>140.207471242575</v>
      </c>
      <c r="X20" s="33" t="n">
        <f aca="false">Costs!X20/FX_EUR</f>
        <v>174.066216902442</v>
      </c>
      <c r="Y20" s="33" t="n">
        <f aca="false">Costs!Y20/FX_EUR</f>
        <v>213.164226454618</v>
      </c>
      <c r="Z20" s="33" t="n">
        <f aca="false">Costs!Z20/FX_EUR</f>
        <v>256.287396989947</v>
      </c>
      <c r="AA20" s="33" t="n">
        <f aca="false">Costs!AA20/FX_EUR</f>
        <v>280.132819882135</v>
      </c>
      <c r="AB20" s="33" t="n">
        <f aca="false">Costs!AB20/FX_EUR</f>
        <v>304.09959437337</v>
      </c>
      <c r="AC20" s="33" t="n">
        <f aca="false">Costs!AC20/FX_EUR</f>
        <v>335.426239143067</v>
      </c>
      <c r="AD20" s="33" t="n">
        <f aca="false">Costs!AD20/FX_EUR</f>
        <v>366.8403310331</v>
      </c>
      <c r="AE20" s="33" t="n">
        <f aca="false">Costs!AE20/FX_EUR</f>
        <v>400.013177595533</v>
      </c>
      <c r="AF20" s="33" t="n">
        <f aca="false">Costs!AF20/FX_EUR</f>
        <v>433.306594740683</v>
      </c>
      <c r="AG20" s="33" t="n">
        <f aca="false">Costs!AG20/FX_EUR</f>
        <v>466.748229132429</v>
      </c>
      <c r="AH20" s="33" t="n">
        <f aca="false">Costs!AH20/FX_EUR</f>
        <v>500.36712895646</v>
      </c>
      <c r="AI20" s="33" t="n">
        <f aca="false">Costs!AI20/FX_EUR</f>
        <v>535.840281116105</v>
      </c>
      <c r="AJ20" s="33" t="n">
        <f aca="false">Costs!AJ20/FX_EUR</f>
        <v>571.535519557102</v>
      </c>
      <c r="AK20" s="33" t="n">
        <f aca="false">Costs!AK20/FX_EUR</f>
        <v>607.48686799324</v>
      </c>
      <c r="AL20" s="33" t="n">
        <f aca="false">Costs!AL20/FX_EUR</f>
        <v>643.730132224882</v>
      </c>
      <c r="AM20" s="33" t="n">
        <f aca="false">Costs!AM20/FX_EUR</f>
        <v>681.949460178189</v>
      </c>
      <c r="AN20" s="33" t="n">
        <f aca="false">Costs!AN20/FX_EUR</f>
        <v>720.520274443977</v>
      </c>
      <c r="AO20" s="33" t="n">
        <f aca="false">Costs!AO20/FX_EUR</f>
        <v>764.561192944405</v>
      </c>
      <c r="AP20" s="33" t="n">
        <f aca="false">Costs!AP20/FX_EUR</f>
        <v>810.631445039825</v>
      </c>
      <c r="AQ20" s="33" t="n">
        <f aca="false">Costs!AQ20/FX_EUR</f>
        <v>857.114162565731</v>
      </c>
      <c r="AR20" s="33" t="n">
        <f aca="false">Costs!AR20/FX_EUR</f>
        <v>904.059526251442</v>
      </c>
      <c r="AS20" s="33" t="n">
        <f aca="false">Costs!AS20/FX_EUR</f>
        <v>953.166859799883</v>
      </c>
      <c r="AT20" s="33" t="n">
        <f aca="false">Costs!AT20/FX_EUR</f>
        <v>1002.82761135166</v>
      </c>
      <c r="AU20" s="33" t="n">
        <f aca="false">Costs!AU20/FX_EUR</f>
        <v>1053.10077372458</v>
      </c>
      <c r="AV20" s="33" t="n">
        <f aca="false">Costs!AV20/FX_EUR</f>
        <v>1107.176812717</v>
      </c>
      <c r="AW20" s="33" t="n">
        <f aca="false">Costs!AW20/FX_EUR</f>
        <v>1161.4887937879</v>
      </c>
      <c r="AX20" s="33" t="n">
        <f aca="false">Costs!AX20/FX_EUR</f>
        <v>1217.21226665062</v>
      </c>
      <c r="AY20" s="33" t="n">
        <f aca="false">Costs!AY20/FX_EUR</f>
        <v>1272.70644481965</v>
      </c>
      <c r="AZ20" s="33" t="n">
        <f aca="false">Costs!AZ20/FX_EUR</f>
        <v>1327.99599419043</v>
      </c>
      <c r="BA20" s="33" t="n">
        <f aca="false">Costs!BA20/FX_EUR</f>
        <v>1389.8570267021</v>
      </c>
      <c r="BB20" s="33" t="n">
        <f aca="false">Costs!BB20/FX_EUR</f>
        <v>1451.49271009064</v>
      </c>
      <c r="BC20" s="33" t="n">
        <f aca="false">Costs!BC20/FX_EUR</f>
        <v>1514.57828934256</v>
      </c>
      <c r="BD20" s="33" t="n">
        <f aca="false">Costs!BD20/FX_EUR</f>
        <v>1577.47947754447</v>
      </c>
      <c r="BE20" s="33" t="n">
        <f aca="false">Costs!BE20/FX_EUR</f>
        <v>1641.70958418143</v>
      </c>
      <c r="BF20" s="33" t="n">
        <f aca="false">Costs!BF20/FX_EUR</f>
        <v>1707.45007054933</v>
      </c>
      <c r="BG20" s="33" t="n">
        <f aca="false">Costs!BG20/FX_EUR</f>
        <v>1773.0711741488</v>
      </c>
      <c r="BH20" s="33" t="n">
        <f aca="false">Costs!BH20/FX_EUR</f>
        <v>1840.25563594903</v>
      </c>
      <c r="BI20" s="33" t="n">
        <f aca="false">Costs!BI20/FX_EUR</f>
        <v>1908.85890822971</v>
      </c>
      <c r="BJ20" s="33" t="n">
        <f aca="false">Costs!BJ20/FX_EUR</f>
        <v>1979.06948803535</v>
      </c>
      <c r="BK20" s="33" t="n">
        <f aca="false">Costs!BK20/FX_EUR</f>
        <v>2048.91223743382</v>
      </c>
      <c r="BL20" s="33" t="n">
        <f aca="false">Costs!BL20/FX_EUR</f>
        <v>2119.67233155575</v>
      </c>
    </row>
    <row r="21" customFormat="false" ht="15" hidden="false" customHeight="true" outlineLevel="0" collapsed="false">
      <c r="A21" s="13" t="s">
        <v>1019</v>
      </c>
      <c r="B21" s="15" t="s">
        <v>79</v>
      </c>
      <c r="D21" s="56" t="n">
        <f aca="false">Costs!D21/FX_EUR</f>
        <v>140258.405920159</v>
      </c>
      <c r="E21" s="33" t="n">
        <f aca="false">Costs!E21/FX_EUR</f>
        <v>0</v>
      </c>
      <c r="F21" s="33" t="n">
        <f aca="false">Costs!F21/FX_EUR</f>
        <v>0</v>
      </c>
      <c r="G21" s="33" t="n">
        <f aca="false">Costs!G21/FX_EUR</f>
        <v>0</v>
      </c>
      <c r="H21" s="33" t="n">
        <f aca="false">Costs!H21/FX_EUR</f>
        <v>0</v>
      </c>
      <c r="I21" s="33" t="n">
        <f aca="false">Costs!I21/FX_EUR</f>
        <v>26.3940065177036</v>
      </c>
      <c r="J21" s="33" t="n">
        <f aca="false">Costs!J21/FX_EUR</f>
        <v>52.6086262768241</v>
      </c>
      <c r="K21" s="33" t="n">
        <f aca="false">Costs!K21/FX_EUR</f>
        <v>78.6627204984473</v>
      </c>
      <c r="L21" s="33" t="n">
        <f aca="false">Costs!L21/FX_EUR</f>
        <v>104.575750505591</v>
      </c>
      <c r="M21" s="33" t="n">
        <f aca="false">Costs!M21/FX_EUR</f>
        <v>130.367823670788</v>
      </c>
      <c r="N21" s="33" t="n">
        <f aca="false">Costs!N21/FX_EUR</f>
        <v>156.059741929785</v>
      </c>
      <c r="O21" s="33" t="n">
        <f aca="false">Costs!O21/FX_EUR</f>
        <v>181.673053019041</v>
      </c>
      <c r="P21" s="33" t="n">
        <f aca="false">Costs!P21/FX_EUR</f>
        <v>207.230104604092</v>
      </c>
      <c r="Q21" s="33" t="n">
        <f aca="false">Costs!Q21/FX_EUR</f>
        <v>242.073818062932</v>
      </c>
      <c r="R21" s="33" t="n">
        <f aca="false">Costs!R21/FX_EUR</f>
        <v>276.754823852717</v>
      </c>
      <c r="S21" s="33" t="n">
        <f aca="false">Costs!S21/FX_EUR</f>
        <v>311.300951841555</v>
      </c>
      <c r="T21" s="33" t="n">
        <f aca="false">Costs!T21/FX_EUR</f>
        <v>345.741030362843</v>
      </c>
      <c r="U21" s="33" t="n">
        <f aca="false">Costs!U21/FX_EUR</f>
        <v>380.104958640036</v>
      </c>
      <c r="V21" s="33" t="n">
        <f aca="false">Costs!V21/FX_EUR</f>
        <v>414.423783317213</v>
      </c>
      <c r="W21" s="33" t="n">
        <f aca="false">Costs!W21/FX_EUR</f>
        <v>468.934355764317</v>
      </c>
      <c r="X21" s="33" t="n">
        <f aca="false">Costs!X21/FX_EUR</f>
        <v>523.324398584553</v>
      </c>
      <c r="Y21" s="33" t="n">
        <f aca="false">Costs!Y21/FX_EUR</f>
        <v>581.911742833016</v>
      </c>
      <c r="Z21" s="33" t="n">
        <f aca="false">Costs!Z21/FX_EUR</f>
        <v>640.408590860602</v>
      </c>
      <c r="AA21" s="33" t="n">
        <f aca="false">Costs!AA21/FX_EUR</f>
        <v>698.869480852357</v>
      </c>
      <c r="AB21" s="33" t="n">
        <f aca="false">Costs!AB21/FX_EUR</f>
        <v>757.351154591115</v>
      </c>
      <c r="AC21" s="33" t="n">
        <f aca="false">Costs!AC21/FX_EUR</f>
        <v>834.62328562161</v>
      </c>
      <c r="AD21" s="33" t="n">
        <f aca="false">Costs!AD21/FX_EUR</f>
        <v>911.728187460198</v>
      </c>
      <c r="AE21" s="33" t="n">
        <f aca="false">Costs!AE21/FX_EUR</f>
        <v>993.004206217117</v>
      </c>
      <c r="AF21" s="33" t="n">
        <f aca="false">Costs!AF21/FX_EUR</f>
        <v>1074.18487672398</v>
      </c>
      <c r="AG21" s="33" t="n">
        <f aca="false">Costs!AG21/FX_EUR</f>
        <v>1622.09517292469</v>
      </c>
      <c r="AH21" s="33" t="n">
        <f aca="false">Costs!AH21/FX_EUR</f>
        <v>1736.93741891008</v>
      </c>
      <c r="AI21" s="33" t="n">
        <f aca="false">Costs!AI21/FX_EUR</f>
        <v>1858.04700460558</v>
      </c>
      <c r="AJ21" s="33" t="n">
        <f aca="false">Costs!AJ21/FX_EUR</f>
        <v>1979.53957705212</v>
      </c>
      <c r="AK21" s="33" t="n">
        <f aca="false">Costs!AK21/FX_EUR</f>
        <v>2101.5410478938</v>
      </c>
      <c r="AL21" s="33" t="n">
        <f aca="false">Costs!AL21/FX_EUR</f>
        <v>2224.18316512981</v>
      </c>
      <c r="AM21" s="33" t="n">
        <f aca="false">Costs!AM21/FX_EUR</f>
        <v>2353.51891598217</v>
      </c>
      <c r="AN21" s="33" t="n">
        <f aca="false">Costs!AN21/FX_EUR</f>
        <v>2483.68959658982</v>
      </c>
      <c r="AO21" s="33" t="n">
        <f aca="false">Costs!AO21/FX_EUR</f>
        <v>2633.08629609894</v>
      </c>
      <c r="AP21" s="33" t="n">
        <f aca="false">Costs!AP21/FX_EUR</f>
        <v>2789.27447087613</v>
      </c>
      <c r="AQ21" s="33" t="n">
        <f aca="false">Costs!AQ21/FX_EUR</f>
        <v>2946.42389863116</v>
      </c>
      <c r="AR21" s="33" t="n">
        <f aca="false">Costs!AR21/FX_EUR</f>
        <v>3104.71749653147</v>
      </c>
      <c r="AS21" s="33" t="n">
        <f aca="false">Costs!AS21/FX_EUR</f>
        <v>3270.26209393866</v>
      </c>
      <c r="AT21" s="33" t="n">
        <f aca="false">Costs!AT21/FX_EUR</f>
        <v>3437.25566955946</v>
      </c>
      <c r="AU21" s="33" t="n">
        <f aca="false">Costs!AU21/FX_EUR</f>
        <v>3605.91102881255</v>
      </c>
      <c r="AV21" s="33" t="n">
        <f aca="false">Costs!AV21/FX_EUR</f>
        <v>3787.69019750304</v>
      </c>
      <c r="AW21" s="33" t="n">
        <f aca="false">Costs!AW21/FX_EUR</f>
        <v>3969.73173822989</v>
      </c>
      <c r="AX21" s="33" t="n">
        <f aca="false">Costs!AX21/FX_EUR</f>
        <v>4156.26521766043</v>
      </c>
      <c r="AY21" s="33" t="n">
        <f aca="false">Costs!AY21/FX_EUR</f>
        <v>4341.38487190745</v>
      </c>
      <c r="AZ21" s="33" t="n">
        <f aca="false">Costs!AZ21/FX_EUR</f>
        <v>4525.19251645725</v>
      </c>
      <c r="BA21" s="33" t="n">
        <f aca="false">Costs!BA21/FX_EUR</f>
        <v>4732.04457135707</v>
      </c>
      <c r="BB21" s="33" t="n">
        <f aca="false">Costs!BB21/FX_EUR</f>
        <v>4937.43562964185</v>
      </c>
      <c r="BC21" s="33" t="n">
        <f aca="false">Costs!BC21/FX_EUR</f>
        <v>5147.39832811269</v>
      </c>
      <c r="BD21" s="33" t="n">
        <f aca="false">Costs!BD21/FX_EUR</f>
        <v>5356.05064726021</v>
      </c>
      <c r="BE21" s="33" t="n">
        <f aca="false">Costs!BE21/FX_EUR</f>
        <v>5568.84278406886</v>
      </c>
      <c r="BF21" s="33" t="n">
        <f aca="false">Costs!BF21/FX_EUR</f>
        <v>5786.41768163237</v>
      </c>
      <c r="BG21" s="33" t="n">
        <f aca="false">Costs!BG21/FX_EUR</f>
        <v>6002.9087741728</v>
      </c>
      <c r="BH21" s="33" t="n">
        <f aca="false">Costs!BH21/FX_EUR</f>
        <v>6224.37410350431</v>
      </c>
      <c r="BI21" s="33" t="n">
        <f aca="false">Costs!BI21/FX_EUR</f>
        <v>6450.28206703116</v>
      </c>
      <c r="BJ21" s="33" t="n">
        <f aca="false">Costs!BJ21/FX_EUR</f>
        <v>6681.29988245628</v>
      </c>
      <c r="BK21" s="33" t="n">
        <f aca="false">Costs!BK21/FX_EUR</f>
        <v>6910.31910239562</v>
      </c>
      <c r="BL21" s="33" t="n">
        <f aca="false">Costs!BL21/FX_EUR</f>
        <v>7141.97348062289</v>
      </c>
    </row>
    <row r="22" customFormat="false" ht="15" hidden="false" customHeight="true" outlineLevel="0" collapsed="false">
      <c r="A22" s="13" t="s">
        <v>1288</v>
      </c>
      <c r="B22" s="15" t="s">
        <v>79</v>
      </c>
      <c r="D22" s="56" t="n">
        <f aca="false">Costs!D22/FX_EUR</f>
        <v>190563.133556042</v>
      </c>
      <c r="E22" s="33" t="n">
        <f aca="false">Costs!E22/FX_EUR</f>
        <v>0</v>
      </c>
      <c r="F22" s="33" t="n">
        <f aca="false">Costs!F22/FX_EUR</f>
        <v>0</v>
      </c>
      <c r="G22" s="33" t="n">
        <f aca="false">Costs!G22/FX_EUR</f>
        <v>0</v>
      </c>
      <c r="H22" s="33" t="n">
        <f aca="false">Costs!H22/FX_EUR</f>
        <v>0</v>
      </c>
      <c r="I22" s="33" t="n">
        <f aca="false">Costs!I22/FX_EUR</f>
        <v>0</v>
      </c>
      <c r="J22" s="33" t="n">
        <f aca="false">Costs!J22/FX_EUR</f>
        <v>0</v>
      </c>
      <c r="K22" s="33" t="n">
        <f aca="false">Costs!K22/FX_EUR</f>
        <v>0</v>
      </c>
      <c r="L22" s="33" t="n">
        <f aca="false">Costs!L22/FX_EUR</f>
        <v>0</v>
      </c>
      <c r="M22" s="33" t="n">
        <f aca="false">Costs!M22/FX_EUR</f>
        <v>0</v>
      </c>
      <c r="N22" s="33" t="n">
        <f aca="false">Costs!N22/FX_EUR</f>
        <v>0</v>
      </c>
      <c r="O22" s="33" t="n">
        <f aca="false">Costs!O22/FX_EUR</f>
        <v>0</v>
      </c>
      <c r="P22" s="33" t="n">
        <f aca="false">Costs!P22/FX_EUR</f>
        <v>0</v>
      </c>
      <c r="Q22" s="33" t="n">
        <f aca="false">Costs!Q22/FX_EUR</f>
        <v>0</v>
      </c>
      <c r="R22" s="33" t="n">
        <f aca="false">Costs!R22/FX_EUR</f>
        <v>0</v>
      </c>
      <c r="S22" s="33" t="n">
        <f aca="false">Costs!S22/FX_EUR</f>
        <v>0</v>
      </c>
      <c r="T22" s="33" t="n">
        <f aca="false">Costs!T22/FX_EUR</f>
        <v>0</v>
      </c>
      <c r="U22" s="33" t="n">
        <f aca="false">Costs!U22/FX_EUR</f>
        <v>0</v>
      </c>
      <c r="V22" s="33" t="n">
        <f aca="false">Costs!V22/FX_EUR</f>
        <v>0</v>
      </c>
      <c r="W22" s="33" t="n">
        <f aca="false">Costs!W22/FX_EUR</f>
        <v>0</v>
      </c>
      <c r="X22" s="33" t="n">
        <f aca="false">Costs!X22/FX_EUR</f>
        <v>0</v>
      </c>
      <c r="Y22" s="33" t="n">
        <f aca="false">Costs!Y22/FX_EUR</f>
        <v>0</v>
      </c>
      <c r="Z22" s="33" t="n">
        <f aca="false">Costs!Z22/FX_EUR</f>
        <v>0</v>
      </c>
      <c r="AA22" s="33" t="n">
        <f aca="false">Costs!AA22/FX_EUR</f>
        <v>0</v>
      </c>
      <c r="AB22" s="33" t="n">
        <f aca="false">Costs!AB22/FX_EUR</f>
        <v>0</v>
      </c>
      <c r="AC22" s="33" t="n">
        <f aca="false">Costs!AC22/FX_EUR</f>
        <v>0</v>
      </c>
      <c r="AD22" s="33" t="n">
        <f aca="false">Costs!AD22/FX_EUR</f>
        <v>0</v>
      </c>
      <c r="AE22" s="33" t="n">
        <f aca="false">Costs!AE22/FX_EUR</f>
        <v>0</v>
      </c>
      <c r="AF22" s="33" t="n">
        <f aca="false">Costs!AF22/FX_EUR</f>
        <v>0</v>
      </c>
      <c r="AG22" s="33" t="n">
        <f aca="false">Costs!AG22/FX_EUR</f>
        <v>2333.74114566214</v>
      </c>
      <c r="AH22" s="33" t="n">
        <f aca="false">Costs!AH22/FX_EUR</f>
        <v>2501.8356447823</v>
      </c>
      <c r="AI22" s="33" t="n">
        <f aca="false">Costs!AI22/FX_EUR</f>
        <v>2679.20140558053</v>
      </c>
      <c r="AJ22" s="33" t="n">
        <f aca="false">Costs!AJ22/FX_EUR</f>
        <v>2857.67759778551</v>
      </c>
      <c r="AK22" s="33" t="n">
        <f aca="false">Costs!AK22/FX_EUR</f>
        <v>3037.4343399662</v>
      </c>
      <c r="AL22" s="33" t="n">
        <f aca="false">Costs!AL22/FX_EUR</f>
        <v>3218.65066112441</v>
      </c>
      <c r="AM22" s="33" t="n">
        <f aca="false">Costs!AM22/FX_EUR</f>
        <v>3409.74730089095</v>
      </c>
      <c r="AN22" s="33" t="n">
        <f aca="false">Costs!AN22/FX_EUR</f>
        <v>3602.60137221988</v>
      </c>
      <c r="AO22" s="33" t="n">
        <f aca="false">Costs!AO22/FX_EUR</f>
        <v>3822.80596472202</v>
      </c>
      <c r="AP22" s="33" t="n">
        <f aca="false">Costs!AP22/FX_EUR</f>
        <v>4053.15722519912</v>
      </c>
      <c r="AQ22" s="33" t="n">
        <f aca="false">Costs!AQ22/FX_EUR</f>
        <v>4285.57081282865</v>
      </c>
      <c r="AR22" s="33" t="n">
        <f aca="false">Costs!AR22/FX_EUR</f>
        <v>4520.29763125721</v>
      </c>
      <c r="AS22" s="33" t="n">
        <f aca="false">Costs!AS22/FX_EUR</f>
        <v>4765.83429899941</v>
      </c>
      <c r="AT22" s="33" t="n">
        <f aca="false">Costs!AT22/FX_EUR</f>
        <v>5014.1380567583</v>
      </c>
      <c r="AU22" s="33" t="n">
        <f aca="false">Costs!AU22/FX_EUR</f>
        <v>5265.50386862289</v>
      </c>
      <c r="AV22" s="33" t="n">
        <f aca="false">Costs!AV22/FX_EUR</f>
        <v>5535.88406358499</v>
      </c>
      <c r="AW22" s="33" t="n">
        <f aca="false">Costs!AW22/FX_EUR</f>
        <v>5807.44396893949</v>
      </c>
      <c r="AX22" s="33" t="n">
        <f aca="false">Costs!AX22/FX_EUR</f>
        <v>6086.0613332531</v>
      </c>
      <c r="AY22" s="33" t="n">
        <f aca="false">Costs!AY22/FX_EUR</f>
        <v>6363.53222409824</v>
      </c>
      <c r="AZ22" s="33" t="n">
        <f aca="false">Costs!AZ22/FX_EUR</f>
        <v>6639.97997095214</v>
      </c>
      <c r="BA22" s="33" t="n">
        <f aca="false">Costs!BA22/FX_EUR</f>
        <v>6949.2851335105</v>
      </c>
      <c r="BB22" s="33" t="n">
        <f aca="false">Costs!BB22/FX_EUR</f>
        <v>7257.46355045318</v>
      </c>
      <c r="BC22" s="33" t="n">
        <f aca="false">Costs!BC22/FX_EUR</f>
        <v>7572.89144671282</v>
      </c>
      <c r="BD22" s="33" t="n">
        <f aca="false">Costs!BD22/FX_EUR</f>
        <v>7887.39738772233</v>
      </c>
      <c r="BE22" s="33" t="n">
        <f aca="false">Costs!BE22/FX_EUR</f>
        <v>8208.54792090715</v>
      </c>
      <c r="BF22" s="33" t="n">
        <f aca="false">Costs!BF22/FX_EUR</f>
        <v>8537.25035274665</v>
      </c>
      <c r="BG22" s="33" t="n">
        <f aca="false">Costs!BG22/FX_EUR</f>
        <v>8865.355870744</v>
      </c>
      <c r="BH22" s="33" t="n">
        <f aca="false">Costs!BH22/FX_EUR</f>
        <v>9201.27817974517</v>
      </c>
      <c r="BI22" s="33" t="n">
        <f aca="false">Costs!BI22/FX_EUR</f>
        <v>9544.29454114853</v>
      </c>
      <c r="BJ22" s="33" t="n">
        <f aca="false">Costs!BJ22/FX_EUR</f>
        <v>9895.34744017675</v>
      </c>
      <c r="BK22" s="33" t="n">
        <f aca="false">Costs!BK22/FX_EUR</f>
        <v>10244.5611871691</v>
      </c>
      <c r="BL22" s="33" t="n">
        <f aca="false">Costs!BL22/FX_EUR</f>
        <v>10598.3616577788</v>
      </c>
    </row>
    <row r="23" customFormat="false" ht="15" hidden="false" customHeight="true" outlineLevel="0" collapsed="false">
      <c r="A23" s="9" t="s">
        <v>1289</v>
      </c>
      <c r="B23" s="15" t="s">
        <v>79</v>
      </c>
      <c r="D23" s="56" t="n">
        <f aca="false">Costs!D23/FX_EUR</f>
        <v>19340334.112294</v>
      </c>
      <c r="E23" s="17" t="n">
        <f aca="false">Costs!E23/FX_EUR</f>
        <v>0</v>
      </c>
      <c r="F23" s="17" t="n">
        <f aca="false">Costs!F23/FX_EUR</f>
        <v>0</v>
      </c>
      <c r="G23" s="17" t="n">
        <f aca="false">Costs!G23/FX_EUR</f>
        <v>0</v>
      </c>
      <c r="H23" s="17" t="n">
        <f aca="false">Costs!H23/FX_EUR</f>
        <v>0</v>
      </c>
      <c r="I23" s="17" t="n">
        <f aca="false">Costs!I23/FX_EUR</f>
        <v>4389.13475527613</v>
      </c>
      <c r="J23" s="17" t="n">
        <f aca="false">Costs!J23/FX_EUR</f>
        <v>8120.55533492795</v>
      </c>
      <c r="K23" s="17" t="n">
        <f aca="false">Costs!K23/FX_EUR</f>
        <v>11846.7053030058</v>
      </c>
      <c r="L23" s="17" t="n">
        <f aca="false">Costs!L23/FX_EUR</f>
        <v>15570.057041604</v>
      </c>
      <c r="M23" s="17" t="n">
        <f aca="false">Costs!M23/FX_EUR</f>
        <v>19293.1922015191</v>
      </c>
      <c r="N23" s="17" t="n">
        <f aca="false">Costs!N23/FX_EUR</f>
        <v>23018.8088741272</v>
      </c>
      <c r="O23" s="17" t="n">
        <f aca="false">Costs!O23/FX_EUR</f>
        <v>26755.6667569471</v>
      </c>
      <c r="P23" s="17" t="n">
        <f aca="false">Costs!P23/FX_EUR</f>
        <v>30502.4894054564</v>
      </c>
      <c r="Q23" s="17" t="n">
        <f aca="false">Costs!Q23/FX_EUR</f>
        <v>36268.118559053</v>
      </c>
      <c r="R23" s="17" t="n">
        <f aca="false">Costs!R23/FX_EUR</f>
        <v>41935.2817789401</v>
      </c>
      <c r="S23" s="17" t="n">
        <f aca="false">Costs!S23/FX_EUR</f>
        <v>47739.2370640979</v>
      </c>
      <c r="T23" s="17" t="n">
        <f aca="false">Costs!T23/FX_EUR</f>
        <v>53683.949060038</v>
      </c>
      <c r="U23" s="17" t="n">
        <f aca="false">Costs!U23/FX_EUR</f>
        <v>59773.7727604683</v>
      </c>
      <c r="V23" s="17" t="n">
        <f aca="false">Costs!V23/FX_EUR</f>
        <v>66435.2991153048</v>
      </c>
      <c r="W23" s="17" t="n">
        <f aca="false">Costs!W23/FX_EUR</f>
        <v>76991.1198573217</v>
      </c>
      <c r="X23" s="17" t="n">
        <f aca="false">Costs!X23/FX_EUR</f>
        <v>87390.7467557456</v>
      </c>
      <c r="Y23" s="17" t="n">
        <f aca="false">Costs!Y23/FX_EUR</f>
        <v>98939.6531836089</v>
      </c>
      <c r="Z23" s="17" t="n">
        <f aca="false">Costs!Z23/FX_EUR</f>
        <v>110757.725578586</v>
      </c>
      <c r="AA23" s="17" t="n">
        <f aca="false">Costs!AA23/FX_EUR</f>
        <v>122937.600782561</v>
      </c>
      <c r="AB23" s="17" t="n">
        <f aca="false">Costs!AB23/FX_EUR</f>
        <v>135509.529839482</v>
      </c>
      <c r="AC23" s="17" t="n">
        <f aca="false">Costs!AC23/FX_EUR</f>
        <v>150611.282623669</v>
      </c>
      <c r="AD23" s="17" t="n">
        <f aca="false">Costs!AD23/FX_EUR</f>
        <v>165434.982662087</v>
      </c>
      <c r="AE23" s="17" t="n">
        <f aca="false">Costs!AE23/FX_EUR</f>
        <v>181306.280463946</v>
      </c>
      <c r="AF23" s="17" t="n">
        <f aca="false">Costs!AF23/FX_EUR</f>
        <v>197282.715009111</v>
      </c>
      <c r="AG23" s="17" t="n">
        <f aca="false">Costs!AG23/FX_EUR</f>
        <v>230286.891857688</v>
      </c>
      <c r="AH23" s="17" t="n">
        <f aca="false">Costs!AH23/FX_EUR</f>
        <v>232660.405014093</v>
      </c>
      <c r="AI23" s="17" t="n">
        <f aca="false">Costs!AI23/FX_EUR</f>
        <v>249034.90779903</v>
      </c>
      <c r="AJ23" s="17" t="n">
        <f aca="false">Costs!AJ23/FX_EUR</f>
        <v>265344.843419151</v>
      </c>
      <c r="AK23" s="17" t="n">
        <f aca="false">Costs!AK23/FX_EUR</f>
        <v>281762.265723202</v>
      </c>
      <c r="AL23" s="17" t="n">
        <f aca="false">Costs!AL23/FX_EUR</f>
        <v>298304.004419789</v>
      </c>
      <c r="AM23" s="17" t="n">
        <f aca="false">Costs!AM23/FX_EUR</f>
        <v>315904.139400135</v>
      </c>
      <c r="AN23" s="17" t="n">
        <f aca="false">Costs!AN23/FX_EUR</f>
        <v>333499.809515008</v>
      </c>
      <c r="AO23" s="17" t="n">
        <f aca="false">Costs!AO23/FX_EUR</f>
        <v>354092.290670042</v>
      </c>
      <c r="AP23" s="17" t="n">
        <f aca="false">Costs!AP23/FX_EUR</f>
        <v>375284.164507555</v>
      </c>
      <c r="AQ23" s="17" t="n">
        <f aca="false">Costs!AQ23/FX_EUR</f>
        <v>396497.319775283</v>
      </c>
      <c r="AR23" s="17" t="n">
        <f aca="false">Costs!AR23/FX_EUR</f>
        <v>417911.330141436</v>
      </c>
      <c r="AS23" s="17" t="n">
        <f aca="false">Costs!AS23/FX_EUR</f>
        <v>440467.347656992</v>
      </c>
      <c r="AT23" s="17" t="n">
        <f aca="false">Costs!AT23/FX_EUR</f>
        <v>463109.974023302</v>
      </c>
      <c r="AU23" s="17" t="n">
        <f aca="false">Costs!AU23/FX_EUR</f>
        <v>486022.847660523</v>
      </c>
      <c r="AV23" s="17" t="n">
        <f aca="false">Costs!AV23/FX_EUR</f>
        <v>510976.172863566</v>
      </c>
      <c r="AW23" s="17" t="n">
        <f aca="false">Costs!AW23/FX_EUR</f>
        <v>535683.957592356</v>
      </c>
      <c r="AX23" s="17" t="n">
        <f aca="false">Costs!AX23/FX_EUR</f>
        <v>561135.066939287</v>
      </c>
      <c r="AY23" s="17" t="n">
        <f aca="false">Costs!AY23/FX_EUR</f>
        <v>586305.670775082</v>
      </c>
      <c r="AZ23" s="17" t="n">
        <f aca="false">Costs!AZ23/FX_EUR</f>
        <v>611363.741461842</v>
      </c>
      <c r="BA23" s="17" t="n">
        <f aca="false">Costs!BA23/FX_EUR</f>
        <v>640078.833968891</v>
      </c>
      <c r="BB23" s="17" t="n">
        <f aca="false">Costs!BB23/FX_EUR</f>
        <v>668029.750523906</v>
      </c>
      <c r="BC23" s="17" t="n">
        <f aca="false">Costs!BC23/FX_EUR</f>
        <v>696786.53000056</v>
      </c>
      <c r="BD23" s="17" t="n">
        <f aca="false">Costs!BD23/FX_EUR</f>
        <v>725282.127807091</v>
      </c>
      <c r="BE23" s="17" t="n">
        <f aca="false">Costs!BE23/FX_EUR</f>
        <v>754512.466996798</v>
      </c>
      <c r="BF23" s="17" t="n">
        <f aca="false">Costs!BF23/FX_EUR</f>
        <v>784436.354521099</v>
      </c>
      <c r="BG23" s="17" t="n">
        <f aca="false">Costs!BG23/FX_EUR</f>
        <v>814129.272225867</v>
      </c>
      <c r="BH23" s="17" t="n">
        <f aca="false">Costs!BH23/FX_EUR</f>
        <v>844680.99292198</v>
      </c>
      <c r="BI23" s="17" t="n">
        <f aca="false">Costs!BI23/FX_EUR</f>
        <v>875852.876971635</v>
      </c>
      <c r="BJ23" s="17" t="n">
        <f aca="false">Costs!BJ23/FX_EUR</f>
        <v>907763.029384075</v>
      </c>
      <c r="BK23" s="17" t="n">
        <f aca="false">Costs!BK23/FX_EUR</f>
        <v>939294.005962866</v>
      </c>
      <c r="BL23" s="17" t="n">
        <f aca="false">Costs!BL23/FX_EUR</f>
        <v>971346.815027015</v>
      </c>
    </row>
    <row r="25" customFormat="false" ht="15" hidden="false" customHeight="true" outlineLevel="0" collapsed="false">
      <c r="A25" s="11" t="s">
        <v>22</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customFormat="false" ht="15" hidden="false" customHeight="true" outlineLevel="0" collapsed="false">
      <c r="A26" s="13" t="s">
        <v>1104</v>
      </c>
      <c r="B26" s="15" t="s">
        <v>79</v>
      </c>
      <c r="D26" s="56" t="n">
        <f aca="false">Costs!D26/FX_EUR</f>
        <v>541299.493335691</v>
      </c>
      <c r="E26" s="33" t="n">
        <f aca="false">Costs!E26/FX_EUR</f>
        <v>0</v>
      </c>
      <c r="F26" s="33" t="n">
        <f aca="false">Costs!F26/FX_EUR</f>
        <v>0</v>
      </c>
      <c r="G26" s="33" t="n">
        <f aca="false">Costs!G26/FX_EUR</f>
        <v>0</v>
      </c>
      <c r="H26" s="33" t="n">
        <f aca="false">Costs!H26/FX_EUR</f>
        <v>0</v>
      </c>
      <c r="I26" s="33" t="n">
        <f aca="false">Costs!I26/FX_EUR</f>
        <v>0</v>
      </c>
      <c r="J26" s="33" t="n">
        <f aca="false">Costs!J26/FX_EUR</f>
        <v>0</v>
      </c>
      <c r="K26" s="33" t="n">
        <f aca="false">Costs!K26/FX_EUR</f>
        <v>0</v>
      </c>
      <c r="L26" s="33" t="n">
        <f aca="false">Costs!L26/FX_EUR</f>
        <v>0</v>
      </c>
      <c r="M26" s="33" t="n">
        <f aca="false">Costs!M26/FX_EUR</f>
        <v>0</v>
      </c>
      <c r="N26" s="33" t="n">
        <f aca="false">Costs!N26/FX_EUR</f>
        <v>0</v>
      </c>
      <c r="O26" s="33" t="n">
        <f aca="false">Costs!O26/FX_EUR</f>
        <v>0</v>
      </c>
      <c r="P26" s="33" t="n">
        <f aca="false">Costs!P26/FX_EUR</f>
        <v>0</v>
      </c>
      <c r="Q26" s="33" t="n">
        <f aca="false">Costs!Q26/FX_EUR</f>
        <v>5202.32271322663</v>
      </c>
      <c r="R26" s="33" t="n">
        <f aca="false">Costs!R26/FX_EUR</f>
        <v>5202.32271322663</v>
      </c>
      <c r="S26" s="33" t="n">
        <f aca="false">Costs!S26/FX_EUR</f>
        <v>5202.32271322663</v>
      </c>
      <c r="T26" s="33" t="n">
        <f aca="false">Costs!T26/FX_EUR</f>
        <v>5202.32271322663</v>
      </c>
      <c r="U26" s="33" t="n">
        <f aca="false">Costs!U26/FX_EUR</f>
        <v>5202.32271322663</v>
      </c>
      <c r="V26" s="33" t="n">
        <f aca="false">Costs!V26/FX_EUR</f>
        <v>11028.9241520405</v>
      </c>
      <c r="W26" s="33" t="n">
        <f aca="false">Costs!W26/FX_EUR</f>
        <v>11028.9241520405</v>
      </c>
      <c r="X26" s="33" t="n">
        <f aca="false">Costs!X26/FX_EUR</f>
        <v>11028.9241520405</v>
      </c>
      <c r="Y26" s="33" t="n">
        <f aca="false">Costs!Y26/FX_EUR</f>
        <v>11028.9241520405</v>
      </c>
      <c r="Z26" s="33" t="n">
        <f aca="false">Costs!Z26/FX_EUR</f>
        <v>11028.9241520405</v>
      </c>
      <c r="AA26" s="33" t="n">
        <f aca="false">Costs!AA26/FX_EUR</f>
        <v>11028.9241520405</v>
      </c>
      <c r="AB26" s="33" t="n">
        <f aca="false">Costs!AB26/FX_EUR</f>
        <v>11028.9241520405</v>
      </c>
      <c r="AC26" s="33" t="n">
        <f aca="false">Costs!AC26/FX_EUR</f>
        <v>11580.3703596425</v>
      </c>
      <c r="AD26" s="33" t="n">
        <f aca="false">Costs!AD26/FX_EUR</f>
        <v>11580.3703596425</v>
      </c>
      <c r="AE26" s="33" t="n">
        <f aca="false">Costs!AE26/FX_EUR</f>
        <v>11580.3703596425</v>
      </c>
      <c r="AF26" s="33" t="n">
        <f aca="false">Costs!AF26/FX_EUR</f>
        <v>11580.3703596425</v>
      </c>
      <c r="AG26" s="33" t="n">
        <f aca="false">Costs!AG26/FX_EUR</f>
        <v>11580.3703596425</v>
      </c>
      <c r="AH26" s="33" t="n">
        <f aca="false">Costs!AH26/FX_EUR</f>
        <v>11580.3703596425</v>
      </c>
      <c r="AI26" s="33" t="n">
        <f aca="false">Costs!AI26/FX_EUR</f>
        <v>11580.3703596425</v>
      </c>
      <c r="AJ26" s="33" t="n">
        <f aca="false">Costs!AJ26/FX_EUR</f>
        <v>11580.3703596425</v>
      </c>
      <c r="AK26" s="33" t="n">
        <f aca="false">Costs!AK26/FX_EUR</f>
        <v>11580.3703596425</v>
      </c>
      <c r="AL26" s="33" t="n">
        <f aca="false">Costs!AL26/FX_EUR</f>
        <v>11580.3703596425</v>
      </c>
      <c r="AM26" s="33" t="n">
        <f aca="false">Costs!AM26/FX_EUR</f>
        <v>11580.3703596425</v>
      </c>
      <c r="AN26" s="33" t="n">
        <f aca="false">Costs!AN26/FX_EUR</f>
        <v>11580.3703596425</v>
      </c>
      <c r="AO26" s="33" t="n">
        <f aca="false">Costs!AO26/FX_EUR</f>
        <v>12159.3888776246</v>
      </c>
      <c r="AP26" s="33" t="n">
        <f aca="false">Costs!AP26/FX_EUR</f>
        <v>12159.3888776246</v>
      </c>
      <c r="AQ26" s="33" t="n">
        <f aca="false">Costs!AQ26/FX_EUR</f>
        <v>12159.3888776246</v>
      </c>
      <c r="AR26" s="33" t="n">
        <f aca="false">Costs!AR26/FX_EUR</f>
        <v>12159.3888776246</v>
      </c>
      <c r="AS26" s="33" t="n">
        <f aca="false">Costs!AS26/FX_EUR</f>
        <v>12159.3888776246</v>
      </c>
      <c r="AT26" s="33" t="n">
        <f aca="false">Costs!AT26/FX_EUR</f>
        <v>12159.3888776246</v>
      </c>
      <c r="AU26" s="33" t="n">
        <f aca="false">Costs!AU26/FX_EUR</f>
        <v>12159.3888776246</v>
      </c>
      <c r="AV26" s="33" t="n">
        <f aca="false">Costs!AV26/FX_EUR</f>
        <v>12159.3888776246</v>
      </c>
      <c r="AW26" s="33" t="n">
        <f aca="false">Costs!AW26/FX_EUR</f>
        <v>12159.3888776246</v>
      </c>
      <c r="AX26" s="33" t="n">
        <f aca="false">Costs!AX26/FX_EUR</f>
        <v>12159.3888776246</v>
      </c>
      <c r="AY26" s="33" t="n">
        <f aca="false">Costs!AY26/FX_EUR</f>
        <v>12159.3888776246</v>
      </c>
      <c r="AZ26" s="33" t="n">
        <f aca="false">Costs!AZ26/FX_EUR</f>
        <v>12159.3888776246</v>
      </c>
      <c r="BA26" s="33" t="n">
        <f aca="false">Costs!BA26/FX_EUR</f>
        <v>12767.3583215058</v>
      </c>
      <c r="BB26" s="33" t="n">
        <f aca="false">Costs!BB26/FX_EUR</f>
        <v>12767.3583215058</v>
      </c>
      <c r="BC26" s="33" t="n">
        <f aca="false">Costs!BC26/FX_EUR</f>
        <v>12767.3583215058</v>
      </c>
      <c r="BD26" s="33" t="n">
        <f aca="false">Costs!BD26/FX_EUR</f>
        <v>12767.3583215058</v>
      </c>
      <c r="BE26" s="33" t="n">
        <f aca="false">Costs!BE26/FX_EUR</f>
        <v>12767.3583215058</v>
      </c>
      <c r="BF26" s="33" t="n">
        <f aca="false">Costs!BF26/FX_EUR</f>
        <v>12767.3583215058</v>
      </c>
      <c r="BG26" s="33" t="n">
        <f aca="false">Costs!BG26/FX_EUR</f>
        <v>12767.3583215058</v>
      </c>
      <c r="BH26" s="33" t="n">
        <f aca="false">Costs!BH26/FX_EUR</f>
        <v>12767.3583215058</v>
      </c>
      <c r="BI26" s="33" t="n">
        <f aca="false">Costs!BI26/FX_EUR</f>
        <v>12767.3583215058</v>
      </c>
      <c r="BJ26" s="33" t="n">
        <f aca="false">Costs!BJ26/FX_EUR</f>
        <v>12767.3583215058</v>
      </c>
      <c r="BK26" s="33" t="n">
        <f aca="false">Costs!BK26/FX_EUR</f>
        <v>12767.3583215058</v>
      </c>
      <c r="BL26" s="33" t="n">
        <f aca="false">Costs!BL26/FX_EUR</f>
        <v>12767.3583215058</v>
      </c>
    </row>
    <row r="27" customFormat="false" ht="15" hidden="false" customHeight="true" outlineLevel="0" collapsed="false">
      <c r="A27" s="13" t="s">
        <v>1108</v>
      </c>
      <c r="B27" s="15" t="s">
        <v>79</v>
      </c>
      <c r="D27" s="56" t="n">
        <f aca="false">Costs!D27/FX_EUR</f>
        <v>843844.836628011</v>
      </c>
      <c r="E27" s="33" t="n">
        <f aca="false">Costs!E27/FX_EUR</f>
        <v>9711.00239802304</v>
      </c>
      <c r="F27" s="33" t="n">
        <f aca="false">Costs!F27/FX_EUR</f>
        <v>9711.00239802304</v>
      </c>
      <c r="G27" s="33" t="n">
        <f aca="false">Costs!G27/FX_EUR</f>
        <v>9711.00239802304</v>
      </c>
      <c r="H27" s="33" t="n">
        <f aca="false">Costs!H27/FX_EUR</f>
        <v>9711.00239802304</v>
      </c>
      <c r="I27" s="33" t="n">
        <f aca="false">Costs!I27/FX_EUR</f>
        <v>9711.00239802304</v>
      </c>
      <c r="J27" s="33" t="n">
        <f aca="false">Costs!J27/FX_EUR</f>
        <v>9711.00239802304</v>
      </c>
      <c r="K27" s="33" t="n">
        <f aca="false">Costs!K27/FX_EUR</f>
        <v>9711.00239802304</v>
      </c>
      <c r="L27" s="33" t="n">
        <f aca="false">Costs!L27/FX_EUR</f>
        <v>9711.00239802304</v>
      </c>
      <c r="M27" s="33" t="n">
        <f aca="false">Costs!M27/FX_EUR</f>
        <v>9711.00239802304</v>
      </c>
      <c r="N27" s="33" t="n">
        <f aca="false">Costs!N27/FX_EUR</f>
        <v>9711.00239802304</v>
      </c>
      <c r="O27" s="33" t="n">
        <f aca="false">Costs!O27/FX_EUR</f>
        <v>9711.00239802304</v>
      </c>
      <c r="P27" s="33" t="n">
        <f aca="false">Costs!P27/FX_EUR</f>
        <v>9711.00239802304</v>
      </c>
      <c r="Q27" s="33" t="n">
        <f aca="false">Costs!Q27/FX_EUR</f>
        <v>10196.5525179242</v>
      </c>
      <c r="R27" s="33" t="n">
        <f aca="false">Costs!R27/FX_EUR</f>
        <v>10196.5525179242</v>
      </c>
      <c r="S27" s="33" t="n">
        <f aca="false">Costs!S27/FX_EUR</f>
        <v>10196.5525179242</v>
      </c>
      <c r="T27" s="33" t="n">
        <f aca="false">Costs!T27/FX_EUR</f>
        <v>10196.5525179242</v>
      </c>
      <c r="U27" s="33" t="n">
        <f aca="false">Costs!U27/FX_EUR</f>
        <v>10196.5525179242</v>
      </c>
      <c r="V27" s="33" t="n">
        <f aca="false">Costs!V27/FX_EUR</f>
        <v>10196.5525179242</v>
      </c>
      <c r="W27" s="33" t="n">
        <f aca="false">Costs!W27/FX_EUR</f>
        <v>10196.5525179242</v>
      </c>
      <c r="X27" s="33" t="n">
        <f aca="false">Costs!X27/FX_EUR</f>
        <v>10196.5525179242</v>
      </c>
      <c r="Y27" s="33" t="n">
        <f aca="false">Costs!Y27/FX_EUR</f>
        <v>10196.5525179242</v>
      </c>
      <c r="Z27" s="33" t="n">
        <f aca="false">Costs!Z27/FX_EUR</f>
        <v>10196.5525179242</v>
      </c>
      <c r="AA27" s="33" t="n">
        <f aca="false">Costs!AA27/FX_EUR</f>
        <v>10196.5525179242</v>
      </c>
      <c r="AB27" s="33" t="n">
        <f aca="false">Costs!AB27/FX_EUR</f>
        <v>10196.5525179242</v>
      </c>
      <c r="AC27" s="33" t="n">
        <f aca="false">Costs!AC27/FX_EUR</f>
        <v>10706.3801438204</v>
      </c>
      <c r="AD27" s="33" t="n">
        <f aca="false">Costs!AD27/FX_EUR</f>
        <v>10706.3801438204</v>
      </c>
      <c r="AE27" s="33" t="n">
        <f aca="false">Costs!AE27/FX_EUR</f>
        <v>10706.3801438204</v>
      </c>
      <c r="AF27" s="33" t="n">
        <f aca="false">Costs!AF27/FX_EUR</f>
        <v>13328.3507912866</v>
      </c>
      <c r="AG27" s="33" t="n">
        <f aca="false">Costs!AG27/FX_EUR</f>
        <v>13328.3507912866</v>
      </c>
      <c r="AH27" s="33" t="n">
        <f aca="false">Costs!AH27/FX_EUR</f>
        <v>13328.3507912866</v>
      </c>
      <c r="AI27" s="33" t="n">
        <f aca="false">Costs!AI27/FX_EUR</f>
        <v>13328.3507912866</v>
      </c>
      <c r="AJ27" s="33" t="n">
        <f aca="false">Costs!AJ27/FX_EUR</f>
        <v>13328.3507912866</v>
      </c>
      <c r="AK27" s="33" t="n">
        <f aca="false">Costs!AK27/FX_EUR</f>
        <v>13328.3507912866</v>
      </c>
      <c r="AL27" s="33" t="n">
        <f aca="false">Costs!AL27/FX_EUR</f>
        <v>13328.3507912866</v>
      </c>
      <c r="AM27" s="33" t="n">
        <f aca="false">Costs!AM27/FX_EUR</f>
        <v>13328.3507912866</v>
      </c>
      <c r="AN27" s="33" t="n">
        <f aca="false">Costs!AN27/FX_EUR</f>
        <v>13328.3507912866</v>
      </c>
      <c r="AO27" s="33" t="n">
        <f aca="false">Costs!AO27/FX_EUR</f>
        <v>13994.768330851</v>
      </c>
      <c r="AP27" s="33" t="n">
        <f aca="false">Costs!AP27/FX_EUR</f>
        <v>13994.768330851</v>
      </c>
      <c r="AQ27" s="33" t="n">
        <f aca="false">Costs!AQ27/FX_EUR</f>
        <v>13994.768330851</v>
      </c>
      <c r="AR27" s="33" t="n">
        <f aca="false">Costs!AR27/FX_EUR</f>
        <v>16747.8375106905</v>
      </c>
      <c r="AS27" s="33" t="n">
        <f aca="false">Costs!AS27/FX_EUR</f>
        <v>16747.8375106905</v>
      </c>
      <c r="AT27" s="33" t="n">
        <f aca="false">Costs!AT27/FX_EUR</f>
        <v>16747.8375106905</v>
      </c>
      <c r="AU27" s="33" t="n">
        <f aca="false">Costs!AU27/FX_EUR</f>
        <v>16747.8375106905</v>
      </c>
      <c r="AV27" s="33" t="n">
        <f aca="false">Costs!AV27/FX_EUR</f>
        <v>16747.8375106905</v>
      </c>
      <c r="AW27" s="33" t="n">
        <f aca="false">Costs!AW27/FX_EUR</f>
        <v>16747.8375106905</v>
      </c>
      <c r="AX27" s="33" t="n">
        <f aca="false">Costs!AX27/FX_EUR</f>
        <v>16747.8375106905</v>
      </c>
      <c r="AY27" s="33" t="n">
        <f aca="false">Costs!AY27/FX_EUR</f>
        <v>16747.8375106905</v>
      </c>
      <c r="AZ27" s="33" t="n">
        <f aca="false">Costs!AZ27/FX_EUR</f>
        <v>16747.8375106905</v>
      </c>
      <c r="BA27" s="33" t="n">
        <f aca="false">Costs!BA27/FX_EUR</f>
        <v>20475.9520250565</v>
      </c>
      <c r="BB27" s="33" t="n">
        <f aca="false">Costs!BB27/FX_EUR</f>
        <v>20475.9520250565</v>
      </c>
      <c r="BC27" s="33" t="n">
        <f aca="false">Costs!BC27/FX_EUR</f>
        <v>20475.9520250565</v>
      </c>
      <c r="BD27" s="33" t="n">
        <f aca="false">Costs!BD27/FX_EUR</f>
        <v>20475.9520250565</v>
      </c>
      <c r="BE27" s="33" t="n">
        <f aca="false">Costs!BE27/FX_EUR</f>
        <v>20475.9520250565</v>
      </c>
      <c r="BF27" s="33" t="n">
        <f aca="false">Costs!BF27/FX_EUR</f>
        <v>20475.9520250565</v>
      </c>
      <c r="BG27" s="33" t="n">
        <f aca="false">Costs!BG27/FX_EUR</f>
        <v>20475.9520250565</v>
      </c>
      <c r="BH27" s="33" t="n">
        <f aca="false">Costs!BH27/FX_EUR</f>
        <v>23366.674663888</v>
      </c>
      <c r="BI27" s="33" t="n">
        <f aca="false">Costs!BI27/FX_EUR</f>
        <v>23366.674663888</v>
      </c>
      <c r="BJ27" s="33" t="n">
        <f aca="false">Costs!BJ27/FX_EUR</f>
        <v>23366.674663888</v>
      </c>
      <c r="BK27" s="33" t="n">
        <f aca="false">Costs!BK27/FX_EUR</f>
        <v>23366.674663888</v>
      </c>
      <c r="BL27" s="33" t="n">
        <f aca="false">Costs!BL27/FX_EUR</f>
        <v>23366.674663888</v>
      </c>
    </row>
    <row r="28" customFormat="false" ht="15" hidden="false" customHeight="true" outlineLevel="0" collapsed="false">
      <c r="A28" s="13" t="s">
        <v>1126</v>
      </c>
      <c r="B28" s="15" t="s">
        <v>79</v>
      </c>
      <c r="D28" s="56" t="n">
        <f aca="false">Costs!D28/FX_EUR</f>
        <v>127107.830619995</v>
      </c>
      <c r="E28" s="33" t="n">
        <f aca="false">Costs!E28/FX_EUR</f>
        <v>0</v>
      </c>
      <c r="F28" s="33" t="n">
        <f aca="false">Costs!F28/FX_EUR</f>
        <v>0</v>
      </c>
      <c r="G28" s="33" t="n">
        <f aca="false">Costs!G28/FX_EUR</f>
        <v>0</v>
      </c>
      <c r="H28" s="33" t="n">
        <f aca="false">Costs!H28/FX_EUR</f>
        <v>0</v>
      </c>
      <c r="I28" s="33" t="n">
        <f aca="false">Costs!I28/FX_EUR</f>
        <v>0</v>
      </c>
      <c r="J28" s="33" t="n">
        <f aca="false">Costs!J28/FX_EUR</f>
        <v>0</v>
      </c>
      <c r="K28" s="33" t="n">
        <f aca="false">Costs!K28/FX_EUR</f>
        <v>0</v>
      </c>
      <c r="L28" s="33" t="n">
        <f aca="false">Costs!L28/FX_EUR</f>
        <v>0</v>
      </c>
      <c r="M28" s="33" t="n">
        <f aca="false">Costs!M28/FX_EUR</f>
        <v>0</v>
      </c>
      <c r="N28" s="33" t="n">
        <f aca="false">Costs!N28/FX_EUR</f>
        <v>0</v>
      </c>
      <c r="O28" s="33" t="n">
        <f aca="false">Costs!O28/FX_EUR</f>
        <v>0</v>
      </c>
      <c r="P28" s="33" t="n">
        <f aca="false">Costs!P28/FX_EUR</f>
        <v>0</v>
      </c>
      <c r="Q28" s="33" t="n">
        <f aca="false">Costs!Q28/FX_EUR</f>
        <v>0</v>
      </c>
      <c r="R28" s="33" t="n">
        <f aca="false">Costs!R28/FX_EUR</f>
        <v>0</v>
      </c>
      <c r="S28" s="33" t="n">
        <f aca="false">Costs!S28/FX_EUR</f>
        <v>0</v>
      </c>
      <c r="T28" s="33" t="n">
        <f aca="false">Costs!T28/FX_EUR</f>
        <v>0</v>
      </c>
      <c r="U28" s="33" t="n">
        <f aca="false">Costs!U28/FX_EUR</f>
        <v>0</v>
      </c>
      <c r="V28" s="33" t="n">
        <f aca="false">Costs!V28/FX_EUR</f>
        <v>0</v>
      </c>
      <c r="W28" s="33" t="n">
        <f aca="false">Costs!W28/FX_EUR</f>
        <v>0</v>
      </c>
      <c r="X28" s="33" t="n">
        <f aca="false">Costs!X28/FX_EUR</f>
        <v>0</v>
      </c>
      <c r="Y28" s="33" t="n">
        <f aca="false">Costs!Y28/FX_EUR</f>
        <v>0</v>
      </c>
      <c r="Z28" s="33" t="n">
        <f aca="false">Costs!Z28/FX_EUR</f>
        <v>0</v>
      </c>
      <c r="AA28" s="33" t="n">
        <f aca="false">Costs!AA28/FX_EUR</f>
        <v>0</v>
      </c>
      <c r="AB28" s="33" t="n">
        <f aca="false">Costs!AB28/FX_EUR</f>
        <v>3121.39362793598</v>
      </c>
      <c r="AC28" s="33" t="n">
        <f aca="false">Costs!AC28/FX_EUR</f>
        <v>3277.46330933278</v>
      </c>
      <c r="AD28" s="33" t="n">
        <f aca="false">Costs!AD28/FX_EUR</f>
        <v>3277.46330933278</v>
      </c>
      <c r="AE28" s="33" t="n">
        <f aca="false">Costs!AE28/FX_EUR</f>
        <v>3277.46330933278</v>
      </c>
      <c r="AF28" s="33" t="n">
        <f aca="false">Costs!AF28/FX_EUR</f>
        <v>3277.46330933278</v>
      </c>
      <c r="AG28" s="33" t="n">
        <f aca="false">Costs!AG28/FX_EUR</f>
        <v>3277.46330933278</v>
      </c>
      <c r="AH28" s="33" t="n">
        <f aca="false">Costs!AH28/FX_EUR</f>
        <v>3277.46330933278</v>
      </c>
      <c r="AI28" s="33" t="n">
        <f aca="false">Costs!AI28/FX_EUR</f>
        <v>3277.46330933278</v>
      </c>
      <c r="AJ28" s="33" t="n">
        <f aca="false">Costs!AJ28/FX_EUR</f>
        <v>3277.46330933278</v>
      </c>
      <c r="AK28" s="33" t="n">
        <f aca="false">Costs!AK28/FX_EUR</f>
        <v>3277.46330933278</v>
      </c>
      <c r="AL28" s="33" t="n">
        <f aca="false">Costs!AL28/FX_EUR</f>
        <v>3277.46330933278</v>
      </c>
      <c r="AM28" s="33" t="n">
        <f aca="false">Costs!AM28/FX_EUR</f>
        <v>3277.46330933278</v>
      </c>
      <c r="AN28" s="33" t="n">
        <f aca="false">Costs!AN28/FX_EUR</f>
        <v>3277.46330933278</v>
      </c>
      <c r="AO28" s="33" t="n">
        <f aca="false">Costs!AO28/FX_EUR</f>
        <v>3441.33647479942</v>
      </c>
      <c r="AP28" s="33" t="n">
        <f aca="false">Costs!AP28/FX_EUR</f>
        <v>3441.33647479942</v>
      </c>
      <c r="AQ28" s="33" t="n">
        <f aca="false">Costs!AQ28/FX_EUR</f>
        <v>3441.33647479942</v>
      </c>
      <c r="AR28" s="33" t="n">
        <f aca="false">Costs!AR28/FX_EUR</f>
        <v>3441.33647479942</v>
      </c>
      <c r="AS28" s="33" t="n">
        <f aca="false">Costs!AS28/FX_EUR</f>
        <v>3441.33647479942</v>
      </c>
      <c r="AT28" s="33" t="n">
        <f aca="false">Costs!AT28/FX_EUR</f>
        <v>3441.33647479942</v>
      </c>
      <c r="AU28" s="33" t="n">
        <f aca="false">Costs!AU28/FX_EUR</f>
        <v>3441.33647479942</v>
      </c>
      <c r="AV28" s="33" t="n">
        <f aca="false">Costs!AV28/FX_EUR</f>
        <v>3441.33647479942</v>
      </c>
      <c r="AW28" s="33" t="n">
        <f aca="false">Costs!AW28/FX_EUR</f>
        <v>3441.33647479942</v>
      </c>
      <c r="AX28" s="33" t="n">
        <f aca="false">Costs!AX28/FX_EUR</f>
        <v>3441.33647479942</v>
      </c>
      <c r="AY28" s="33" t="n">
        <f aca="false">Costs!AY28/FX_EUR</f>
        <v>3441.33647479942</v>
      </c>
      <c r="AZ28" s="33" t="n">
        <f aca="false">Costs!AZ28/FX_EUR</f>
        <v>3441.33647479942</v>
      </c>
      <c r="BA28" s="33" t="n">
        <f aca="false">Costs!BA28/FX_EUR</f>
        <v>3613.40329853939</v>
      </c>
      <c r="BB28" s="33" t="n">
        <f aca="false">Costs!BB28/FX_EUR</f>
        <v>3613.40329853939</v>
      </c>
      <c r="BC28" s="33" t="n">
        <f aca="false">Costs!BC28/FX_EUR</f>
        <v>3613.40329853939</v>
      </c>
      <c r="BD28" s="33" t="n">
        <f aca="false">Costs!BD28/FX_EUR</f>
        <v>3613.40329853939</v>
      </c>
      <c r="BE28" s="33" t="n">
        <f aca="false">Costs!BE28/FX_EUR</f>
        <v>3613.40329853939</v>
      </c>
      <c r="BF28" s="33" t="n">
        <f aca="false">Costs!BF28/FX_EUR</f>
        <v>3613.40329853939</v>
      </c>
      <c r="BG28" s="33" t="n">
        <f aca="false">Costs!BG28/FX_EUR</f>
        <v>3613.40329853939</v>
      </c>
      <c r="BH28" s="33" t="n">
        <f aca="false">Costs!BH28/FX_EUR</f>
        <v>3613.40329853939</v>
      </c>
      <c r="BI28" s="33" t="n">
        <f aca="false">Costs!BI28/FX_EUR</f>
        <v>3613.40329853939</v>
      </c>
      <c r="BJ28" s="33" t="n">
        <f aca="false">Costs!BJ28/FX_EUR</f>
        <v>3613.40329853939</v>
      </c>
      <c r="BK28" s="33" t="n">
        <f aca="false">Costs!BK28/FX_EUR</f>
        <v>3613.40329853939</v>
      </c>
      <c r="BL28" s="33" t="n">
        <f aca="false">Costs!BL28/FX_EUR</f>
        <v>3613.40329853939</v>
      </c>
    </row>
    <row r="29" customFormat="false" ht="15" hidden="false" customHeight="true" outlineLevel="0" collapsed="false">
      <c r="A29" s="13" t="s">
        <v>28</v>
      </c>
      <c r="B29" s="15" t="s">
        <v>79</v>
      </c>
      <c r="D29" s="56" t="n">
        <f aca="false">Costs!D29/FX_EUR</f>
        <v>227290.675875096</v>
      </c>
      <c r="E29" s="33" t="n">
        <f aca="false">Costs!E29/FX_EUR</f>
        <v>0</v>
      </c>
      <c r="F29" s="33" t="n">
        <f aca="false">Costs!F29/FX_EUR</f>
        <v>0</v>
      </c>
      <c r="G29" s="33" t="n">
        <f aca="false">Costs!G29/FX_EUR</f>
        <v>0</v>
      </c>
      <c r="H29" s="33" t="n">
        <f aca="false">Costs!H29/FX_EUR</f>
        <v>0</v>
      </c>
      <c r="I29" s="33" t="n">
        <f aca="false">Costs!I29/FX_EUR</f>
        <v>0</v>
      </c>
      <c r="J29" s="33" t="n">
        <f aca="false">Costs!J29/FX_EUR</f>
        <v>0</v>
      </c>
      <c r="K29" s="33" t="n">
        <f aca="false">Costs!K29/FX_EUR</f>
        <v>0</v>
      </c>
      <c r="L29" s="33" t="n">
        <f aca="false">Costs!L29/FX_EUR</f>
        <v>0</v>
      </c>
      <c r="M29" s="33" t="n">
        <f aca="false">Costs!M29/FX_EUR</f>
        <v>0</v>
      </c>
      <c r="N29" s="33" t="n">
        <f aca="false">Costs!N29/FX_EUR</f>
        <v>0</v>
      </c>
      <c r="O29" s="33" t="n">
        <f aca="false">Costs!O29/FX_EUR</f>
        <v>0</v>
      </c>
      <c r="P29" s="33" t="n">
        <f aca="false">Costs!P29/FX_EUR</f>
        <v>0</v>
      </c>
      <c r="Q29" s="33" t="n">
        <f aca="false">Costs!Q29/FX_EUR</f>
        <v>0</v>
      </c>
      <c r="R29" s="33" t="n">
        <f aca="false">Costs!R29/FX_EUR</f>
        <v>0</v>
      </c>
      <c r="S29" s="33" t="n">
        <f aca="false">Costs!S29/FX_EUR</f>
        <v>0</v>
      </c>
      <c r="T29" s="33" t="n">
        <f aca="false">Costs!T29/FX_EUR</f>
        <v>1248.55745117439</v>
      </c>
      <c r="U29" s="33" t="n">
        <f aca="false">Costs!U29/FX_EUR</f>
        <v>1248.55745117439</v>
      </c>
      <c r="V29" s="33" t="n">
        <f aca="false">Costs!V29/FX_EUR</f>
        <v>1248.55745117439</v>
      </c>
      <c r="W29" s="33" t="n">
        <f aca="false">Costs!W29/FX_EUR</f>
        <v>1248.55745117439</v>
      </c>
      <c r="X29" s="33" t="n">
        <f aca="false">Costs!X29/FX_EUR</f>
        <v>1248.55745117439</v>
      </c>
      <c r="Y29" s="33" t="n">
        <f aca="false">Costs!Y29/FX_EUR</f>
        <v>1248.55745117439</v>
      </c>
      <c r="Z29" s="33" t="n">
        <f aca="false">Costs!Z29/FX_EUR</f>
        <v>1248.55745117439</v>
      </c>
      <c r="AA29" s="33" t="n">
        <f aca="false">Costs!AA29/FX_EUR</f>
        <v>1248.55745117439</v>
      </c>
      <c r="AB29" s="33" t="n">
        <f aca="false">Costs!AB29/FX_EUR</f>
        <v>1248.55745117439</v>
      </c>
      <c r="AC29" s="33" t="n">
        <f aca="false">Costs!AC29/FX_EUR</f>
        <v>1310.98532373311</v>
      </c>
      <c r="AD29" s="33" t="n">
        <f aca="false">Costs!AD29/FX_EUR</f>
        <v>1310.98532373311</v>
      </c>
      <c r="AE29" s="33" t="n">
        <f aca="false">Costs!AE29/FX_EUR</f>
        <v>1310.98532373311</v>
      </c>
      <c r="AF29" s="33" t="n">
        <f aca="false">Costs!AF29/FX_EUR</f>
        <v>1310.98532373311</v>
      </c>
      <c r="AG29" s="33" t="n">
        <f aca="false">Costs!AG29/FX_EUR</f>
        <v>2621.97064746622</v>
      </c>
      <c r="AH29" s="33" t="n">
        <f aca="false">Costs!AH29/FX_EUR</f>
        <v>2621.97064746622</v>
      </c>
      <c r="AI29" s="33" t="n">
        <f aca="false">Costs!AI29/FX_EUR</f>
        <v>2621.97064746622</v>
      </c>
      <c r="AJ29" s="33" t="n">
        <f aca="false">Costs!AJ29/FX_EUR</f>
        <v>2621.97064746622</v>
      </c>
      <c r="AK29" s="33" t="n">
        <f aca="false">Costs!AK29/FX_EUR</f>
        <v>2621.97064746622</v>
      </c>
      <c r="AL29" s="33" t="n">
        <f aca="false">Costs!AL29/FX_EUR</f>
        <v>3932.95597119933</v>
      </c>
      <c r="AM29" s="33" t="n">
        <f aca="false">Costs!AM29/FX_EUR</f>
        <v>3932.95597119933</v>
      </c>
      <c r="AN29" s="33" t="n">
        <f aca="false">Costs!AN29/FX_EUR</f>
        <v>3932.95597119933</v>
      </c>
      <c r="AO29" s="33" t="n">
        <f aca="false">Costs!AO29/FX_EUR</f>
        <v>4129.6037697593</v>
      </c>
      <c r="AP29" s="33" t="n">
        <f aca="false">Costs!AP29/FX_EUR</f>
        <v>4129.6037697593</v>
      </c>
      <c r="AQ29" s="33" t="n">
        <f aca="false">Costs!AQ29/FX_EUR</f>
        <v>5506.13835967907</v>
      </c>
      <c r="AR29" s="33" t="n">
        <f aca="false">Costs!AR29/FX_EUR</f>
        <v>5506.13835967907</v>
      </c>
      <c r="AS29" s="33" t="n">
        <f aca="false">Costs!AS29/FX_EUR</f>
        <v>5506.13835967907</v>
      </c>
      <c r="AT29" s="33" t="n">
        <f aca="false">Costs!AT29/FX_EUR</f>
        <v>5506.13835967907</v>
      </c>
      <c r="AU29" s="33" t="n">
        <f aca="false">Costs!AU29/FX_EUR</f>
        <v>5506.13835967907</v>
      </c>
      <c r="AV29" s="33" t="n">
        <f aca="false">Costs!AV29/FX_EUR</f>
        <v>5506.13835967907</v>
      </c>
      <c r="AW29" s="33" t="n">
        <f aca="false">Costs!AW29/FX_EUR</f>
        <v>6882.67294959883</v>
      </c>
      <c r="AX29" s="33" t="n">
        <f aca="false">Costs!AX29/FX_EUR</f>
        <v>6882.67294959883</v>
      </c>
      <c r="AY29" s="33" t="n">
        <f aca="false">Costs!AY29/FX_EUR</f>
        <v>6882.67294959883</v>
      </c>
      <c r="AZ29" s="33" t="n">
        <f aca="false">Costs!AZ29/FX_EUR</f>
        <v>6882.67294959883</v>
      </c>
      <c r="BA29" s="33" t="n">
        <f aca="false">Costs!BA29/FX_EUR</f>
        <v>7226.80659707877</v>
      </c>
      <c r="BB29" s="33" t="n">
        <f aca="false">Costs!BB29/FX_EUR</f>
        <v>8672.16791649453</v>
      </c>
      <c r="BC29" s="33" t="n">
        <f aca="false">Costs!BC29/FX_EUR</f>
        <v>8672.16791649453</v>
      </c>
      <c r="BD29" s="33" t="n">
        <f aca="false">Costs!BD29/FX_EUR</f>
        <v>8672.16791649453</v>
      </c>
      <c r="BE29" s="33" t="n">
        <f aca="false">Costs!BE29/FX_EUR</f>
        <v>8672.16791649453</v>
      </c>
      <c r="BF29" s="33" t="n">
        <f aca="false">Costs!BF29/FX_EUR</f>
        <v>10117.5292359103</v>
      </c>
      <c r="BG29" s="33" t="n">
        <f aca="false">Costs!BG29/FX_EUR</f>
        <v>10117.5292359103</v>
      </c>
      <c r="BH29" s="33" t="n">
        <f aca="false">Costs!BH29/FX_EUR</f>
        <v>10117.5292359103</v>
      </c>
      <c r="BI29" s="33" t="n">
        <f aca="false">Costs!BI29/FX_EUR</f>
        <v>10117.5292359103</v>
      </c>
      <c r="BJ29" s="33" t="n">
        <f aca="false">Costs!BJ29/FX_EUR</f>
        <v>11562.890555326</v>
      </c>
      <c r="BK29" s="33" t="n">
        <f aca="false">Costs!BK29/FX_EUR</f>
        <v>11562.890555326</v>
      </c>
      <c r="BL29" s="33" t="n">
        <f aca="false">Costs!BL29/FX_EUR</f>
        <v>11562.890555326</v>
      </c>
    </row>
    <row r="30" customFormat="false" ht="15" hidden="false" customHeight="true" outlineLevel="0" collapsed="false">
      <c r="A30" s="13" t="s">
        <v>1290</v>
      </c>
      <c r="B30" s="15" t="s">
        <v>79</v>
      </c>
      <c r="D30" s="56" t="n">
        <f aca="false">Costs!D30/FX_EUR</f>
        <v>382345.144803699</v>
      </c>
      <c r="E30" s="33" t="n">
        <f aca="false">Costs!E30/FX_EUR</f>
        <v>0</v>
      </c>
      <c r="F30" s="33" t="n">
        <f aca="false">Costs!F30/FX_EUR</f>
        <v>0</v>
      </c>
      <c r="G30" s="33" t="n">
        <f aca="false">Costs!G30/FX_EUR</f>
        <v>0</v>
      </c>
      <c r="H30" s="33" t="n">
        <f aca="false">Costs!H30/FX_EUR</f>
        <v>1109.82884548835</v>
      </c>
      <c r="I30" s="33" t="n">
        <f aca="false">Costs!I30/FX_EUR</f>
        <v>1109.82884548835</v>
      </c>
      <c r="J30" s="33" t="n">
        <f aca="false">Costs!J30/FX_EUR</f>
        <v>1109.82884548835</v>
      </c>
      <c r="K30" s="33" t="n">
        <f aca="false">Costs!K30/FX_EUR</f>
        <v>1109.82884548835</v>
      </c>
      <c r="L30" s="33" t="n">
        <f aca="false">Costs!L30/FX_EUR</f>
        <v>1109.82884548835</v>
      </c>
      <c r="M30" s="33" t="n">
        <f aca="false">Costs!M30/FX_EUR</f>
        <v>1109.82884548835</v>
      </c>
      <c r="N30" s="33" t="n">
        <f aca="false">Costs!N30/FX_EUR</f>
        <v>1109.82884548835</v>
      </c>
      <c r="O30" s="33" t="n">
        <f aca="false">Costs!O30/FX_EUR</f>
        <v>1109.82884548835</v>
      </c>
      <c r="P30" s="33" t="n">
        <f aca="false">Costs!P30/FX_EUR</f>
        <v>1109.82884548835</v>
      </c>
      <c r="Q30" s="33" t="n">
        <f aca="false">Costs!Q30/FX_EUR</f>
        <v>1165.32028776277</v>
      </c>
      <c r="R30" s="33" t="n">
        <f aca="false">Costs!R30/FX_EUR</f>
        <v>1165.32028776277</v>
      </c>
      <c r="S30" s="33" t="n">
        <f aca="false">Costs!S30/FX_EUR</f>
        <v>1165.32028776277</v>
      </c>
      <c r="T30" s="33" t="n">
        <f aca="false">Costs!T30/FX_EUR</f>
        <v>1165.32028776277</v>
      </c>
      <c r="U30" s="33" t="n">
        <f aca="false">Costs!U30/FX_EUR</f>
        <v>1165.32028776277</v>
      </c>
      <c r="V30" s="33" t="n">
        <f aca="false">Costs!V30/FX_EUR</f>
        <v>1165.32028776277</v>
      </c>
      <c r="W30" s="33" t="n">
        <f aca="false">Costs!W30/FX_EUR</f>
        <v>1165.32028776277</v>
      </c>
      <c r="X30" s="33" t="n">
        <f aca="false">Costs!X30/FX_EUR</f>
        <v>1165.32028776277</v>
      </c>
      <c r="Y30" s="33" t="n">
        <f aca="false">Costs!Y30/FX_EUR</f>
        <v>1747.98043164415</v>
      </c>
      <c r="Z30" s="33" t="n">
        <f aca="false">Costs!Z30/FX_EUR</f>
        <v>1747.98043164415</v>
      </c>
      <c r="AA30" s="33" t="n">
        <f aca="false">Costs!AA30/FX_EUR</f>
        <v>1747.98043164415</v>
      </c>
      <c r="AB30" s="33" t="n">
        <f aca="false">Costs!AB30/FX_EUR</f>
        <v>1747.98043164415</v>
      </c>
      <c r="AC30" s="33" t="n">
        <f aca="false">Costs!AC30/FX_EUR</f>
        <v>2447.17260430181</v>
      </c>
      <c r="AD30" s="33" t="n">
        <f aca="false">Costs!AD30/FX_EUR</f>
        <v>2447.17260430181</v>
      </c>
      <c r="AE30" s="33" t="n">
        <f aca="false">Costs!AE30/FX_EUR</f>
        <v>2447.17260430181</v>
      </c>
      <c r="AF30" s="33" t="n">
        <f aca="false">Costs!AF30/FX_EUR</f>
        <v>3058.96575537726</v>
      </c>
      <c r="AG30" s="33" t="n">
        <f aca="false">Costs!AG30/FX_EUR</f>
        <v>4282.55205752816</v>
      </c>
      <c r="AH30" s="33" t="n">
        <f aca="false">Costs!AH30/FX_EUR</f>
        <v>4282.55205752816</v>
      </c>
      <c r="AI30" s="33" t="n">
        <f aca="false">Costs!AI30/FX_EUR</f>
        <v>4894.34520860361</v>
      </c>
      <c r="AJ30" s="33" t="n">
        <f aca="false">Costs!AJ30/FX_EUR</f>
        <v>4894.34520860361</v>
      </c>
      <c r="AK30" s="33" t="n">
        <f aca="false">Costs!AK30/FX_EUR</f>
        <v>5506.13835967907</v>
      </c>
      <c r="AL30" s="33" t="n">
        <f aca="false">Costs!AL30/FX_EUR</f>
        <v>5506.13835967907</v>
      </c>
      <c r="AM30" s="33" t="n">
        <f aca="false">Costs!AM30/FX_EUR</f>
        <v>6117.93151075452</v>
      </c>
      <c r="AN30" s="33" t="n">
        <f aca="false">Costs!AN30/FX_EUR</f>
        <v>6117.93151075452</v>
      </c>
      <c r="AO30" s="33" t="n">
        <f aca="false">Costs!AO30/FX_EUR</f>
        <v>7066.21089492147</v>
      </c>
      <c r="AP30" s="33" t="n">
        <f aca="false">Costs!AP30/FX_EUR</f>
        <v>7066.21089492147</v>
      </c>
      <c r="AQ30" s="33" t="n">
        <f aca="false">Costs!AQ30/FX_EUR</f>
        <v>7708.59370355069</v>
      </c>
      <c r="AR30" s="33" t="n">
        <f aca="false">Costs!AR30/FX_EUR</f>
        <v>8350.97651217992</v>
      </c>
      <c r="AS30" s="33" t="n">
        <f aca="false">Costs!AS30/FX_EUR</f>
        <v>8350.97651217992</v>
      </c>
      <c r="AT30" s="33" t="n">
        <f aca="false">Costs!AT30/FX_EUR</f>
        <v>8993.35932080914</v>
      </c>
      <c r="AU30" s="33" t="n">
        <f aca="false">Costs!AU30/FX_EUR</f>
        <v>9635.74212943836</v>
      </c>
      <c r="AV30" s="33" t="n">
        <f aca="false">Costs!AV30/FX_EUR</f>
        <v>9635.74212943836</v>
      </c>
      <c r="AW30" s="33" t="n">
        <f aca="false">Costs!AW30/FX_EUR</f>
        <v>10278.1249380676</v>
      </c>
      <c r="AX30" s="33" t="n">
        <f aca="false">Costs!AX30/FX_EUR</f>
        <v>10920.5077466968</v>
      </c>
      <c r="AY30" s="33" t="n">
        <f aca="false">Costs!AY30/FX_EUR</f>
        <v>11562.890555326</v>
      </c>
      <c r="AZ30" s="33" t="n">
        <f aca="false">Costs!AZ30/FX_EUR</f>
        <v>11562.890555326</v>
      </c>
      <c r="BA30" s="33" t="n">
        <f aca="false">Costs!BA30/FX_EUR</f>
        <v>12815.537032153</v>
      </c>
      <c r="BB30" s="33" t="n">
        <f aca="false">Costs!BB30/FX_EUR</f>
        <v>13490.0389812137</v>
      </c>
      <c r="BC30" s="33" t="n">
        <f aca="false">Costs!BC30/FX_EUR</f>
        <v>14164.5409302744</v>
      </c>
      <c r="BD30" s="33" t="n">
        <f aca="false">Costs!BD30/FX_EUR</f>
        <v>14839.0428793351</v>
      </c>
      <c r="BE30" s="33" t="n">
        <f aca="false">Costs!BE30/FX_EUR</f>
        <v>14839.0428793351</v>
      </c>
      <c r="BF30" s="33" t="n">
        <f aca="false">Costs!BF30/FX_EUR</f>
        <v>15513.5448283958</v>
      </c>
      <c r="BG30" s="33" t="n">
        <f aca="false">Costs!BG30/FX_EUR</f>
        <v>16188.0467774565</v>
      </c>
      <c r="BH30" s="33" t="n">
        <f aca="false">Costs!BH30/FX_EUR</f>
        <v>16862.5487265171</v>
      </c>
      <c r="BI30" s="33" t="n">
        <f aca="false">Costs!BI30/FX_EUR</f>
        <v>17537.0506755778</v>
      </c>
      <c r="BJ30" s="33" t="n">
        <f aca="false">Costs!BJ30/FX_EUR</f>
        <v>18211.5526246385</v>
      </c>
      <c r="BK30" s="33" t="n">
        <f aca="false">Costs!BK30/FX_EUR</f>
        <v>18886.0545736992</v>
      </c>
      <c r="BL30" s="33" t="n">
        <f aca="false">Costs!BL30/FX_EUR</f>
        <v>19560.5565227599</v>
      </c>
    </row>
    <row r="31" customFormat="false" ht="15" hidden="false" customHeight="true" outlineLevel="0" collapsed="false">
      <c r="A31" s="13" t="s">
        <v>1114</v>
      </c>
      <c r="B31" s="15" t="s">
        <v>79</v>
      </c>
      <c r="D31" s="56" t="n">
        <f aca="false">Costs!D31/FX_EUR</f>
        <v>661806.403230319</v>
      </c>
      <c r="E31" s="33" t="n">
        <f aca="false">Costs!E31/FX_EUR</f>
        <v>2378.2046689036</v>
      </c>
      <c r="F31" s="33" t="n">
        <f aca="false">Costs!F31/FX_EUR</f>
        <v>2378.2046689036</v>
      </c>
      <c r="G31" s="33" t="n">
        <f aca="false">Costs!G31/FX_EUR</f>
        <v>2378.2046689036</v>
      </c>
      <c r="H31" s="33" t="n">
        <f aca="false">Costs!H31/FX_EUR</f>
        <v>3963.67444817267</v>
      </c>
      <c r="I31" s="33" t="n">
        <f aca="false">Costs!I31/FX_EUR</f>
        <v>3963.67444817267</v>
      </c>
      <c r="J31" s="33" t="n">
        <f aca="false">Costs!J31/FX_EUR</f>
        <v>3963.67444817267</v>
      </c>
      <c r="K31" s="33" t="n">
        <f aca="false">Costs!K31/FX_EUR</f>
        <v>3963.67444817267</v>
      </c>
      <c r="L31" s="33" t="n">
        <f aca="false">Costs!L31/FX_EUR</f>
        <v>3963.67444817267</v>
      </c>
      <c r="M31" s="33" t="n">
        <f aca="false">Costs!M31/FX_EUR</f>
        <v>3963.67444817267</v>
      </c>
      <c r="N31" s="33" t="n">
        <f aca="false">Costs!N31/FX_EUR</f>
        <v>3963.67444817267</v>
      </c>
      <c r="O31" s="33" t="n">
        <f aca="false">Costs!O31/FX_EUR</f>
        <v>3963.67444817267</v>
      </c>
      <c r="P31" s="33" t="n">
        <f aca="false">Costs!P31/FX_EUR</f>
        <v>3963.67444817267</v>
      </c>
      <c r="Q31" s="33" t="n">
        <f aca="false">Costs!Q31/FX_EUR</f>
        <v>4161.8581705813</v>
      </c>
      <c r="R31" s="33" t="n">
        <f aca="false">Costs!R31/FX_EUR</f>
        <v>4161.8581705813</v>
      </c>
      <c r="S31" s="33" t="n">
        <f aca="false">Costs!S31/FX_EUR</f>
        <v>4161.8581705813</v>
      </c>
      <c r="T31" s="33" t="n">
        <f aca="false">Costs!T31/FX_EUR</f>
        <v>4161.8581705813</v>
      </c>
      <c r="U31" s="33" t="n">
        <f aca="false">Costs!U31/FX_EUR</f>
        <v>4161.8581705813</v>
      </c>
      <c r="V31" s="33" t="n">
        <f aca="false">Costs!V31/FX_EUR</f>
        <v>6034.69434734289</v>
      </c>
      <c r="W31" s="33" t="n">
        <f aca="false">Costs!W31/FX_EUR</f>
        <v>6034.69434734289</v>
      </c>
      <c r="X31" s="33" t="n">
        <f aca="false">Costs!X31/FX_EUR</f>
        <v>6867.06598145915</v>
      </c>
      <c r="Y31" s="33" t="n">
        <f aca="false">Costs!Y31/FX_EUR</f>
        <v>6867.06598145915</v>
      </c>
      <c r="Z31" s="33" t="n">
        <f aca="false">Costs!Z31/FX_EUR</f>
        <v>6867.06598145915</v>
      </c>
      <c r="AA31" s="33" t="n">
        <f aca="false">Costs!AA31/FX_EUR</f>
        <v>6867.06598145915</v>
      </c>
      <c r="AB31" s="33" t="n">
        <f aca="false">Costs!AB31/FX_EUR</f>
        <v>6867.06598145915</v>
      </c>
      <c r="AC31" s="33" t="n">
        <f aca="false">Costs!AC31/FX_EUR</f>
        <v>7210.41928053211</v>
      </c>
      <c r="AD31" s="33" t="n">
        <f aca="false">Costs!AD31/FX_EUR</f>
        <v>8084.40949635418</v>
      </c>
      <c r="AE31" s="33" t="n">
        <f aca="false">Costs!AE31/FX_EUR</f>
        <v>8084.40949635418</v>
      </c>
      <c r="AF31" s="33" t="n">
        <f aca="false">Costs!AF31/FX_EUR</f>
        <v>8084.40949635418</v>
      </c>
      <c r="AG31" s="33" t="n">
        <f aca="false">Costs!AG31/FX_EUR</f>
        <v>8084.40949635418</v>
      </c>
      <c r="AH31" s="33" t="n">
        <f aca="false">Costs!AH31/FX_EUR</f>
        <v>8958.39971217626</v>
      </c>
      <c r="AI31" s="33" t="n">
        <f aca="false">Costs!AI31/FX_EUR</f>
        <v>8958.39971217626</v>
      </c>
      <c r="AJ31" s="33" t="n">
        <f aca="false">Costs!AJ31/FX_EUR</f>
        <v>8958.39971217626</v>
      </c>
      <c r="AK31" s="33" t="n">
        <f aca="false">Costs!AK31/FX_EUR</f>
        <v>8958.39971217626</v>
      </c>
      <c r="AL31" s="33" t="n">
        <f aca="false">Costs!AL31/FX_EUR</f>
        <v>9832.38992799833</v>
      </c>
      <c r="AM31" s="33" t="n">
        <f aca="false">Costs!AM31/FX_EUR</f>
        <v>9832.38992799833</v>
      </c>
      <c r="AN31" s="33" t="n">
        <f aca="false">Costs!AN31/FX_EUR</f>
        <v>10815.6289207982</v>
      </c>
      <c r="AO31" s="33" t="n">
        <f aca="false">Costs!AO31/FX_EUR</f>
        <v>12274.1000934512</v>
      </c>
      <c r="AP31" s="33" t="n">
        <f aca="false">Costs!AP31/FX_EUR</f>
        <v>12274.1000934512</v>
      </c>
      <c r="AQ31" s="33" t="n">
        <f aca="false">Costs!AQ31/FX_EUR</f>
        <v>12274.1000934512</v>
      </c>
      <c r="AR31" s="33" t="n">
        <f aca="false">Costs!AR31/FX_EUR</f>
        <v>13191.7898200644</v>
      </c>
      <c r="AS31" s="33" t="n">
        <f aca="false">Costs!AS31/FX_EUR</f>
        <v>13191.7898200644</v>
      </c>
      <c r="AT31" s="33" t="n">
        <f aca="false">Costs!AT31/FX_EUR</f>
        <v>13191.7898200644</v>
      </c>
      <c r="AU31" s="33" t="n">
        <f aca="false">Costs!AU31/FX_EUR</f>
        <v>15141.8804891174</v>
      </c>
      <c r="AV31" s="33" t="n">
        <f aca="false">Costs!AV31/FX_EUR</f>
        <v>15141.8804891174</v>
      </c>
      <c r="AW31" s="33" t="n">
        <f aca="false">Costs!AW31/FX_EUR</f>
        <v>16059.5702157306</v>
      </c>
      <c r="AX31" s="33" t="n">
        <f aca="false">Costs!AX31/FX_EUR</f>
        <v>16059.5702157306</v>
      </c>
      <c r="AY31" s="33" t="n">
        <f aca="false">Costs!AY31/FX_EUR</f>
        <v>16059.5702157306</v>
      </c>
      <c r="AZ31" s="33" t="n">
        <f aca="false">Costs!AZ31/FX_EUR</f>
        <v>18009.6608847836</v>
      </c>
      <c r="BA31" s="33" t="n">
        <f aca="false">Costs!BA31/FX_EUR</f>
        <v>18910.1439290228</v>
      </c>
      <c r="BB31" s="33" t="n">
        <f aca="false">Costs!BB31/FX_EUR</f>
        <v>19873.7181419666</v>
      </c>
      <c r="BC31" s="33" t="n">
        <f aca="false">Costs!BC31/FX_EUR</f>
        <v>19873.7181419666</v>
      </c>
      <c r="BD31" s="33" t="n">
        <f aca="false">Costs!BD31/FX_EUR</f>
        <v>20957.7391315284</v>
      </c>
      <c r="BE31" s="33" t="n">
        <f aca="false">Costs!BE31/FX_EUR</f>
        <v>21921.3133444723</v>
      </c>
      <c r="BF31" s="33" t="n">
        <f aca="false">Costs!BF31/FX_EUR</f>
        <v>21921.3133444723</v>
      </c>
      <c r="BG31" s="33" t="n">
        <f aca="false">Costs!BG31/FX_EUR</f>
        <v>22884.8875574161</v>
      </c>
      <c r="BH31" s="33" t="n">
        <f aca="false">Costs!BH31/FX_EUR</f>
        <v>23968.9085469779</v>
      </c>
      <c r="BI31" s="33" t="n">
        <f aca="false">Costs!BI31/FX_EUR</f>
        <v>24932.4827599218</v>
      </c>
      <c r="BJ31" s="33" t="n">
        <f aca="false">Costs!BJ31/FX_EUR</f>
        <v>24932.4827599218</v>
      </c>
      <c r="BK31" s="33" t="n">
        <f aca="false">Costs!BK31/FX_EUR</f>
        <v>25896.0569728656</v>
      </c>
      <c r="BL31" s="33" t="n">
        <f aca="false">Costs!BL31/FX_EUR</f>
        <v>26980.0779624274</v>
      </c>
    </row>
    <row r="32" customFormat="false" ht="15" hidden="false" customHeight="true" outlineLevel="0" collapsed="false">
      <c r="A32" s="13" t="s">
        <v>1119</v>
      </c>
      <c r="B32" s="15" t="s">
        <v>79</v>
      </c>
      <c r="D32" s="56" t="n">
        <f aca="false">Costs!D32/FX_EUR</f>
        <v>162312.166422494</v>
      </c>
      <c r="E32" s="33" t="n">
        <f aca="false">Costs!E32/FX_EUR</f>
        <v>0</v>
      </c>
      <c r="F32" s="33" t="n">
        <f aca="false">Costs!F32/FX_EUR</f>
        <v>0</v>
      </c>
      <c r="G32" s="33" t="n">
        <f aca="false">Costs!G32/FX_EUR</f>
        <v>0</v>
      </c>
      <c r="H32" s="33" t="n">
        <f aca="false">Costs!H32/FX_EUR</f>
        <v>1783.6535016777</v>
      </c>
      <c r="I32" s="33" t="n">
        <f aca="false">Costs!I32/FX_EUR</f>
        <v>2576.38839131224</v>
      </c>
      <c r="J32" s="33" t="n">
        <f aca="false">Costs!J32/FX_EUR</f>
        <v>2576.38839131224</v>
      </c>
      <c r="K32" s="33" t="n">
        <f aca="false">Costs!K32/FX_EUR</f>
        <v>2576.38839131224</v>
      </c>
      <c r="L32" s="33" t="n">
        <f aca="false">Costs!L32/FX_EUR</f>
        <v>2576.38839131224</v>
      </c>
      <c r="M32" s="33" t="n">
        <f aca="false">Costs!M32/FX_EUR</f>
        <v>2576.38839131224</v>
      </c>
      <c r="N32" s="33" t="n">
        <f aca="false">Costs!N32/FX_EUR</f>
        <v>2576.38839131224</v>
      </c>
      <c r="O32" s="33" t="n">
        <f aca="false">Costs!O32/FX_EUR</f>
        <v>2576.38839131224</v>
      </c>
      <c r="P32" s="33" t="n">
        <f aca="false">Costs!P32/FX_EUR</f>
        <v>2576.38839131224</v>
      </c>
      <c r="Q32" s="33" t="n">
        <f aca="false">Costs!Q32/FX_EUR</f>
        <v>2705.20781087785</v>
      </c>
      <c r="R32" s="33" t="n">
        <f aca="false">Costs!R32/FX_EUR</f>
        <v>2705.20781087785</v>
      </c>
      <c r="S32" s="33" t="n">
        <f aca="false">Costs!S32/FX_EUR</f>
        <v>2705.20781087785</v>
      </c>
      <c r="T32" s="33" t="n">
        <f aca="false">Costs!T32/FX_EUR</f>
        <v>2705.20781087785</v>
      </c>
      <c r="U32" s="33" t="n">
        <f aca="false">Costs!U32/FX_EUR</f>
        <v>2705.20781087785</v>
      </c>
      <c r="V32" s="33" t="n">
        <f aca="false">Costs!V32/FX_EUR</f>
        <v>2705.20781087785</v>
      </c>
      <c r="W32" s="33" t="n">
        <f aca="false">Costs!W32/FX_EUR</f>
        <v>2705.20781087785</v>
      </c>
      <c r="X32" s="33" t="n">
        <f aca="false">Costs!X32/FX_EUR</f>
        <v>2705.20781087785</v>
      </c>
      <c r="Y32" s="33" t="n">
        <f aca="false">Costs!Y32/FX_EUR</f>
        <v>2705.20781087785</v>
      </c>
      <c r="Z32" s="33" t="n">
        <f aca="false">Costs!Z32/FX_EUR</f>
        <v>2705.20781087785</v>
      </c>
      <c r="AA32" s="33" t="n">
        <f aca="false">Costs!AA32/FX_EUR</f>
        <v>2705.20781087785</v>
      </c>
      <c r="AB32" s="33" t="n">
        <f aca="false">Costs!AB32/FX_EUR</f>
        <v>2705.20781087785</v>
      </c>
      <c r="AC32" s="33" t="n">
        <f aca="false">Costs!AC32/FX_EUR</f>
        <v>2840.46820142174</v>
      </c>
      <c r="AD32" s="33" t="n">
        <f aca="false">Costs!AD32/FX_EUR</f>
        <v>2840.46820142174</v>
      </c>
      <c r="AE32" s="33" t="n">
        <f aca="false">Costs!AE32/FX_EUR</f>
        <v>2840.46820142174</v>
      </c>
      <c r="AF32" s="33" t="n">
        <f aca="false">Costs!AF32/FX_EUR</f>
        <v>2840.46820142174</v>
      </c>
      <c r="AG32" s="33" t="n">
        <f aca="false">Costs!AG32/FX_EUR</f>
        <v>2840.46820142174</v>
      </c>
      <c r="AH32" s="33" t="n">
        <f aca="false">Costs!AH32/FX_EUR</f>
        <v>2840.46820142174</v>
      </c>
      <c r="AI32" s="33" t="n">
        <f aca="false">Costs!AI32/FX_EUR</f>
        <v>2840.46820142174</v>
      </c>
      <c r="AJ32" s="33" t="n">
        <f aca="false">Costs!AJ32/FX_EUR</f>
        <v>2840.46820142174</v>
      </c>
      <c r="AK32" s="33" t="n">
        <f aca="false">Costs!AK32/FX_EUR</f>
        <v>2840.46820142174</v>
      </c>
      <c r="AL32" s="33" t="n">
        <f aca="false">Costs!AL32/FX_EUR</f>
        <v>2840.46820142174</v>
      </c>
      <c r="AM32" s="33" t="n">
        <f aca="false">Costs!AM32/FX_EUR</f>
        <v>2840.46820142174</v>
      </c>
      <c r="AN32" s="33" t="n">
        <f aca="false">Costs!AN32/FX_EUR</f>
        <v>2840.46820142174</v>
      </c>
      <c r="AO32" s="33" t="n">
        <f aca="false">Costs!AO32/FX_EUR</f>
        <v>2982.49161149283</v>
      </c>
      <c r="AP32" s="33" t="n">
        <f aca="false">Costs!AP32/FX_EUR</f>
        <v>2982.49161149283</v>
      </c>
      <c r="AQ32" s="33" t="n">
        <f aca="false">Costs!AQ32/FX_EUR</f>
        <v>2982.49161149283</v>
      </c>
      <c r="AR32" s="33" t="n">
        <f aca="false">Costs!AR32/FX_EUR</f>
        <v>2982.49161149283</v>
      </c>
      <c r="AS32" s="33" t="n">
        <f aca="false">Costs!AS32/FX_EUR</f>
        <v>2982.49161149283</v>
      </c>
      <c r="AT32" s="33" t="n">
        <f aca="false">Costs!AT32/FX_EUR</f>
        <v>2982.49161149283</v>
      </c>
      <c r="AU32" s="33" t="n">
        <f aca="false">Costs!AU32/FX_EUR</f>
        <v>2982.49161149283</v>
      </c>
      <c r="AV32" s="33" t="n">
        <f aca="false">Costs!AV32/FX_EUR</f>
        <v>2982.49161149283</v>
      </c>
      <c r="AW32" s="33" t="n">
        <f aca="false">Costs!AW32/FX_EUR</f>
        <v>2982.49161149283</v>
      </c>
      <c r="AX32" s="33" t="n">
        <f aca="false">Costs!AX32/FX_EUR</f>
        <v>2982.49161149283</v>
      </c>
      <c r="AY32" s="33" t="n">
        <f aca="false">Costs!AY32/FX_EUR</f>
        <v>2982.49161149283</v>
      </c>
      <c r="AZ32" s="33" t="n">
        <f aca="false">Costs!AZ32/FX_EUR</f>
        <v>2982.49161149283</v>
      </c>
      <c r="BA32" s="33" t="n">
        <f aca="false">Costs!BA32/FX_EUR</f>
        <v>3131.61619206747</v>
      </c>
      <c r="BB32" s="33" t="n">
        <f aca="false">Costs!BB32/FX_EUR</f>
        <v>3131.61619206747</v>
      </c>
      <c r="BC32" s="33" t="n">
        <f aca="false">Costs!BC32/FX_EUR</f>
        <v>3131.61619206747</v>
      </c>
      <c r="BD32" s="33" t="n">
        <f aca="false">Costs!BD32/FX_EUR</f>
        <v>3131.61619206747</v>
      </c>
      <c r="BE32" s="33" t="n">
        <f aca="false">Costs!BE32/FX_EUR</f>
        <v>3131.61619206747</v>
      </c>
      <c r="BF32" s="33" t="n">
        <f aca="false">Costs!BF32/FX_EUR</f>
        <v>3131.61619206747</v>
      </c>
      <c r="BG32" s="33" t="n">
        <f aca="false">Costs!BG32/FX_EUR</f>
        <v>3131.61619206747</v>
      </c>
      <c r="BH32" s="33" t="n">
        <f aca="false">Costs!BH32/FX_EUR</f>
        <v>3131.61619206747</v>
      </c>
      <c r="BI32" s="33" t="n">
        <f aca="false">Costs!BI32/FX_EUR</f>
        <v>3131.61619206747</v>
      </c>
      <c r="BJ32" s="33" t="n">
        <f aca="false">Costs!BJ32/FX_EUR</f>
        <v>3131.61619206747</v>
      </c>
      <c r="BK32" s="33" t="n">
        <f aca="false">Costs!BK32/FX_EUR</f>
        <v>3131.61619206747</v>
      </c>
      <c r="BL32" s="33" t="n">
        <f aca="false">Costs!BL32/FX_EUR</f>
        <v>3131.61619206747</v>
      </c>
    </row>
    <row r="33" customFormat="false" ht="15" hidden="false" customHeight="true" outlineLevel="0" collapsed="false">
      <c r="A33" s="13" t="s">
        <v>1111</v>
      </c>
      <c r="B33" s="15" t="s">
        <v>79</v>
      </c>
      <c r="D33" s="56" t="n">
        <f aca="false">Costs!D33/FX_EUR</f>
        <v>197116.230560845</v>
      </c>
      <c r="E33" s="33" t="n">
        <f aca="false">Costs!E33/FX_EUR</f>
        <v>2972.7558361295</v>
      </c>
      <c r="F33" s="33" t="n">
        <f aca="false">Costs!F33/FX_EUR</f>
        <v>2972.7558361295</v>
      </c>
      <c r="G33" s="33" t="n">
        <f aca="false">Costs!G33/FX_EUR</f>
        <v>2972.7558361295</v>
      </c>
      <c r="H33" s="33" t="n">
        <f aca="false">Costs!H33/FX_EUR</f>
        <v>2972.7558361295</v>
      </c>
      <c r="I33" s="33" t="n">
        <f aca="false">Costs!I33/FX_EUR</f>
        <v>2972.7558361295</v>
      </c>
      <c r="J33" s="33" t="n">
        <f aca="false">Costs!J33/FX_EUR</f>
        <v>2972.7558361295</v>
      </c>
      <c r="K33" s="33" t="n">
        <f aca="false">Costs!K33/FX_EUR</f>
        <v>2972.7558361295</v>
      </c>
      <c r="L33" s="33" t="n">
        <f aca="false">Costs!L33/FX_EUR</f>
        <v>2972.7558361295</v>
      </c>
      <c r="M33" s="33" t="n">
        <f aca="false">Costs!M33/FX_EUR</f>
        <v>2972.7558361295</v>
      </c>
      <c r="N33" s="33" t="n">
        <f aca="false">Costs!N33/FX_EUR</f>
        <v>2972.7558361295</v>
      </c>
      <c r="O33" s="33" t="n">
        <f aca="false">Costs!O33/FX_EUR</f>
        <v>2972.7558361295</v>
      </c>
      <c r="P33" s="33" t="n">
        <f aca="false">Costs!P33/FX_EUR</f>
        <v>2972.7558361295</v>
      </c>
      <c r="Q33" s="33" t="n">
        <f aca="false">Costs!Q33/FX_EUR</f>
        <v>3121.39362793598</v>
      </c>
      <c r="R33" s="33" t="n">
        <f aca="false">Costs!R33/FX_EUR</f>
        <v>3121.39362793598</v>
      </c>
      <c r="S33" s="33" t="n">
        <f aca="false">Costs!S33/FX_EUR</f>
        <v>3121.39362793598</v>
      </c>
      <c r="T33" s="33" t="n">
        <f aca="false">Costs!T33/FX_EUR</f>
        <v>3121.39362793598</v>
      </c>
      <c r="U33" s="33" t="n">
        <f aca="false">Costs!U33/FX_EUR</f>
        <v>3121.39362793598</v>
      </c>
      <c r="V33" s="33" t="n">
        <f aca="false">Costs!V33/FX_EUR</f>
        <v>3121.39362793598</v>
      </c>
      <c r="W33" s="33" t="n">
        <f aca="false">Costs!W33/FX_EUR</f>
        <v>3121.39362793598</v>
      </c>
      <c r="X33" s="33" t="n">
        <f aca="false">Costs!X33/FX_EUR</f>
        <v>3121.39362793598</v>
      </c>
      <c r="Y33" s="33" t="n">
        <f aca="false">Costs!Y33/FX_EUR</f>
        <v>3121.39362793598</v>
      </c>
      <c r="Z33" s="33" t="n">
        <f aca="false">Costs!Z33/FX_EUR</f>
        <v>3121.39362793598</v>
      </c>
      <c r="AA33" s="33" t="n">
        <f aca="false">Costs!AA33/FX_EUR</f>
        <v>3121.39362793598</v>
      </c>
      <c r="AB33" s="33" t="n">
        <f aca="false">Costs!AB33/FX_EUR</f>
        <v>3121.39362793598</v>
      </c>
      <c r="AC33" s="33" t="n">
        <f aca="false">Costs!AC33/FX_EUR</f>
        <v>3277.46330933278</v>
      </c>
      <c r="AD33" s="33" t="n">
        <f aca="false">Costs!AD33/FX_EUR</f>
        <v>3277.46330933278</v>
      </c>
      <c r="AE33" s="33" t="n">
        <f aca="false">Costs!AE33/FX_EUR</f>
        <v>3277.46330933278</v>
      </c>
      <c r="AF33" s="33" t="n">
        <f aca="false">Costs!AF33/FX_EUR</f>
        <v>3277.46330933278</v>
      </c>
      <c r="AG33" s="33" t="n">
        <f aca="false">Costs!AG33/FX_EUR</f>
        <v>3277.46330933278</v>
      </c>
      <c r="AH33" s="33" t="n">
        <f aca="false">Costs!AH33/FX_EUR</f>
        <v>3277.46330933278</v>
      </c>
      <c r="AI33" s="33" t="n">
        <f aca="false">Costs!AI33/FX_EUR</f>
        <v>3277.46330933278</v>
      </c>
      <c r="AJ33" s="33" t="n">
        <f aca="false">Costs!AJ33/FX_EUR</f>
        <v>3277.46330933278</v>
      </c>
      <c r="AK33" s="33" t="n">
        <f aca="false">Costs!AK33/FX_EUR</f>
        <v>3277.46330933278</v>
      </c>
      <c r="AL33" s="33" t="n">
        <f aca="false">Costs!AL33/FX_EUR</f>
        <v>3277.46330933278</v>
      </c>
      <c r="AM33" s="33" t="n">
        <f aca="false">Costs!AM33/FX_EUR</f>
        <v>3277.46330933278</v>
      </c>
      <c r="AN33" s="33" t="n">
        <f aca="false">Costs!AN33/FX_EUR</f>
        <v>3277.46330933278</v>
      </c>
      <c r="AO33" s="33" t="n">
        <f aca="false">Costs!AO33/FX_EUR</f>
        <v>3441.33647479942</v>
      </c>
      <c r="AP33" s="33" t="n">
        <f aca="false">Costs!AP33/FX_EUR</f>
        <v>3441.33647479942</v>
      </c>
      <c r="AQ33" s="33" t="n">
        <f aca="false">Costs!AQ33/FX_EUR</f>
        <v>3441.33647479942</v>
      </c>
      <c r="AR33" s="33" t="n">
        <f aca="false">Costs!AR33/FX_EUR</f>
        <v>3441.33647479942</v>
      </c>
      <c r="AS33" s="33" t="n">
        <f aca="false">Costs!AS33/FX_EUR</f>
        <v>3441.33647479942</v>
      </c>
      <c r="AT33" s="33" t="n">
        <f aca="false">Costs!AT33/FX_EUR</f>
        <v>3441.33647479942</v>
      </c>
      <c r="AU33" s="33" t="n">
        <f aca="false">Costs!AU33/FX_EUR</f>
        <v>3441.33647479942</v>
      </c>
      <c r="AV33" s="33" t="n">
        <f aca="false">Costs!AV33/FX_EUR</f>
        <v>3441.33647479942</v>
      </c>
      <c r="AW33" s="33" t="n">
        <f aca="false">Costs!AW33/FX_EUR</f>
        <v>3441.33647479942</v>
      </c>
      <c r="AX33" s="33" t="n">
        <f aca="false">Costs!AX33/FX_EUR</f>
        <v>3441.33647479942</v>
      </c>
      <c r="AY33" s="33" t="n">
        <f aca="false">Costs!AY33/FX_EUR</f>
        <v>3441.33647479942</v>
      </c>
      <c r="AZ33" s="33" t="n">
        <f aca="false">Costs!AZ33/FX_EUR</f>
        <v>3441.33647479942</v>
      </c>
      <c r="BA33" s="33" t="n">
        <f aca="false">Costs!BA33/FX_EUR</f>
        <v>3613.40329853939</v>
      </c>
      <c r="BB33" s="33" t="n">
        <f aca="false">Costs!BB33/FX_EUR</f>
        <v>3613.40329853939</v>
      </c>
      <c r="BC33" s="33" t="n">
        <f aca="false">Costs!BC33/FX_EUR</f>
        <v>3613.40329853939</v>
      </c>
      <c r="BD33" s="33" t="n">
        <f aca="false">Costs!BD33/FX_EUR</f>
        <v>3613.40329853939</v>
      </c>
      <c r="BE33" s="33" t="n">
        <f aca="false">Costs!BE33/FX_EUR</f>
        <v>3613.40329853939</v>
      </c>
      <c r="BF33" s="33" t="n">
        <f aca="false">Costs!BF33/FX_EUR</f>
        <v>3613.40329853939</v>
      </c>
      <c r="BG33" s="33" t="n">
        <f aca="false">Costs!BG33/FX_EUR</f>
        <v>3613.40329853939</v>
      </c>
      <c r="BH33" s="33" t="n">
        <f aca="false">Costs!BH33/FX_EUR</f>
        <v>3613.40329853939</v>
      </c>
      <c r="BI33" s="33" t="n">
        <f aca="false">Costs!BI33/FX_EUR</f>
        <v>3613.40329853939</v>
      </c>
      <c r="BJ33" s="33" t="n">
        <f aca="false">Costs!BJ33/FX_EUR</f>
        <v>3613.40329853939</v>
      </c>
      <c r="BK33" s="33" t="n">
        <f aca="false">Costs!BK33/FX_EUR</f>
        <v>3613.40329853939</v>
      </c>
      <c r="BL33" s="33" t="n">
        <f aca="false">Costs!BL33/FX_EUR</f>
        <v>3613.40329853939</v>
      </c>
    </row>
    <row r="34" customFormat="false" ht="15" hidden="false" customHeight="true" outlineLevel="0" collapsed="false">
      <c r="A34" s="9" t="s">
        <v>1291</v>
      </c>
      <c r="B34" s="15" t="s">
        <v>79</v>
      </c>
      <c r="D34" s="56" t="n">
        <f aca="false">Costs!D34/FX_EUR</f>
        <v>3143122.78147615</v>
      </c>
      <c r="E34" s="17" t="n">
        <f aca="false">Costs!E34/FX_EUR</f>
        <v>15061.9629030561</v>
      </c>
      <c r="F34" s="17" t="n">
        <f aca="false">Costs!F34/FX_EUR</f>
        <v>15061.9629030561</v>
      </c>
      <c r="G34" s="17" t="n">
        <f aca="false">Costs!G34/FX_EUR</f>
        <v>15061.9629030561</v>
      </c>
      <c r="H34" s="17" t="n">
        <f aca="false">Costs!H34/FX_EUR</f>
        <v>19540.9150294913</v>
      </c>
      <c r="I34" s="17" t="n">
        <f aca="false">Costs!I34/FX_EUR</f>
        <v>20333.6499191258</v>
      </c>
      <c r="J34" s="17" t="n">
        <f aca="false">Costs!J34/FX_EUR</f>
        <v>20333.6499191258</v>
      </c>
      <c r="K34" s="17" t="n">
        <f aca="false">Costs!K34/FX_EUR</f>
        <v>20333.6499191258</v>
      </c>
      <c r="L34" s="17" t="n">
        <f aca="false">Costs!L34/FX_EUR</f>
        <v>20333.6499191258</v>
      </c>
      <c r="M34" s="17" t="n">
        <f aca="false">Costs!M34/FX_EUR</f>
        <v>20333.6499191258</v>
      </c>
      <c r="N34" s="17" t="n">
        <f aca="false">Costs!N34/FX_EUR</f>
        <v>20333.6499191258</v>
      </c>
      <c r="O34" s="17" t="n">
        <f aca="false">Costs!O34/FX_EUR</f>
        <v>20333.6499191258</v>
      </c>
      <c r="P34" s="17" t="n">
        <f aca="false">Costs!P34/FX_EUR</f>
        <v>20333.6499191258</v>
      </c>
      <c r="Q34" s="17" t="n">
        <f aca="false">Costs!Q34/FX_EUR</f>
        <v>26552.6551283087</v>
      </c>
      <c r="R34" s="17" t="n">
        <f aca="false">Costs!R34/FX_EUR</f>
        <v>26552.6551283087</v>
      </c>
      <c r="S34" s="17" t="n">
        <f aca="false">Costs!S34/FX_EUR</f>
        <v>26552.6551283087</v>
      </c>
      <c r="T34" s="17" t="n">
        <f aca="false">Costs!T34/FX_EUR</f>
        <v>27801.2125794831</v>
      </c>
      <c r="U34" s="17" t="n">
        <f aca="false">Costs!U34/FX_EUR</f>
        <v>27801.2125794831</v>
      </c>
      <c r="V34" s="17" t="n">
        <f aca="false">Costs!V34/FX_EUR</f>
        <v>35500.6501950585</v>
      </c>
      <c r="W34" s="17" t="n">
        <f aca="false">Costs!W34/FX_EUR</f>
        <v>35500.6501950585</v>
      </c>
      <c r="X34" s="17" t="n">
        <f aca="false">Costs!X34/FX_EUR</f>
        <v>36333.0218291748</v>
      </c>
      <c r="Y34" s="17" t="n">
        <f aca="false">Costs!Y34/FX_EUR</f>
        <v>36915.6819730562</v>
      </c>
      <c r="Z34" s="17" t="n">
        <f aca="false">Costs!Z34/FX_EUR</f>
        <v>36915.6819730562</v>
      </c>
      <c r="AA34" s="17" t="n">
        <f aca="false">Costs!AA34/FX_EUR</f>
        <v>36915.6819730562</v>
      </c>
      <c r="AB34" s="17" t="n">
        <f aca="false">Costs!AB34/FX_EUR</f>
        <v>40037.0756009921</v>
      </c>
      <c r="AC34" s="17" t="n">
        <f aca="false">Costs!AC34/FX_EUR</f>
        <v>42650.7225321172</v>
      </c>
      <c r="AD34" s="17" t="n">
        <f aca="false">Costs!AD34/FX_EUR</f>
        <v>43524.7127479393</v>
      </c>
      <c r="AE34" s="17" t="n">
        <f aca="false">Costs!AE34/FX_EUR</f>
        <v>43524.7127479393</v>
      </c>
      <c r="AF34" s="17" t="n">
        <f aca="false">Costs!AF34/FX_EUR</f>
        <v>46758.4765464809</v>
      </c>
      <c r="AG34" s="17" t="n">
        <f aca="false">Costs!AG34/FX_EUR</f>
        <v>49293.048172365</v>
      </c>
      <c r="AH34" s="17" t="n">
        <f aca="false">Costs!AH34/FX_EUR</f>
        <v>50167.038388187</v>
      </c>
      <c r="AI34" s="17" t="n">
        <f aca="false">Costs!AI34/FX_EUR</f>
        <v>50778.8315392625</v>
      </c>
      <c r="AJ34" s="17" t="n">
        <f aca="false">Costs!AJ34/FX_EUR</f>
        <v>50778.8315392625</v>
      </c>
      <c r="AK34" s="17" t="n">
        <f aca="false">Costs!AK34/FX_EUR</f>
        <v>51390.6246903379</v>
      </c>
      <c r="AL34" s="17" t="n">
        <f aca="false">Costs!AL34/FX_EUR</f>
        <v>53575.6002298931</v>
      </c>
      <c r="AM34" s="17" t="n">
        <f aca="false">Costs!AM34/FX_EUR</f>
        <v>54187.3933809686</v>
      </c>
      <c r="AN34" s="17" t="n">
        <f aca="false">Costs!AN34/FX_EUR</f>
        <v>55170.6323737684</v>
      </c>
      <c r="AO34" s="17" t="n">
        <f aca="false">Costs!AO34/FX_EUR</f>
        <v>59489.2365276992</v>
      </c>
      <c r="AP34" s="17" t="n">
        <f aca="false">Costs!AP34/FX_EUR</f>
        <v>59489.2365276992</v>
      </c>
      <c r="AQ34" s="17" t="n">
        <f aca="false">Costs!AQ34/FX_EUR</f>
        <v>61508.1539262482</v>
      </c>
      <c r="AR34" s="17" t="n">
        <f aca="false">Costs!AR34/FX_EUR</f>
        <v>65821.2956413302</v>
      </c>
      <c r="AS34" s="17" t="n">
        <f aca="false">Costs!AS34/FX_EUR</f>
        <v>65821.2956413302</v>
      </c>
      <c r="AT34" s="17" t="n">
        <f aca="false">Costs!AT34/FX_EUR</f>
        <v>66463.6784499594</v>
      </c>
      <c r="AU34" s="17" t="n">
        <f aca="false">Costs!AU34/FX_EUR</f>
        <v>69056.1519276416</v>
      </c>
      <c r="AV34" s="17" t="n">
        <f aca="false">Costs!AV34/FX_EUR</f>
        <v>69056.1519276416</v>
      </c>
      <c r="AW34" s="17" t="n">
        <f aca="false">Costs!AW34/FX_EUR</f>
        <v>71992.7590528038</v>
      </c>
      <c r="AX34" s="17" t="n">
        <f aca="false">Costs!AX34/FX_EUR</f>
        <v>72635.141861433</v>
      </c>
      <c r="AY34" s="17" t="n">
        <f aca="false">Costs!AY34/FX_EUR</f>
        <v>73277.5246700622</v>
      </c>
      <c r="AZ34" s="17" t="n">
        <f aca="false">Costs!AZ34/FX_EUR</f>
        <v>75227.6153391152</v>
      </c>
      <c r="BA34" s="17" t="n">
        <f aca="false">Costs!BA34/FX_EUR</f>
        <v>82554.2206939632</v>
      </c>
      <c r="BB34" s="17" t="n">
        <f aca="false">Costs!BB34/FX_EUR</f>
        <v>85637.6581753835</v>
      </c>
      <c r="BC34" s="17" t="n">
        <f aca="false">Costs!BC34/FX_EUR</f>
        <v>86312.1601244442</v>
      </c>
      <c r="BD34" s="17" t="n">
        <f aca="false">Costs!BD34/FX_EUR</f>
        <v>88070.6830630667</v>
      </c>
      <c r="BE34" s="17" t="n">
        <f aca="false">Costs!BE34/FX_EUR</f>
        <v>89034.2572760105</v>
      </c>
      <c r="BF34" s="17" t="n">
        <f aca="false">Costs!BF34/FX_EUR</f>
        <v>91154.1205444869</v>
      </c>
      <c r="BG34" s="17" t="n">
        <f aca="false">Costs!BG34/FX_EUR</f>
        <v>92792.1967064915</v>
      </c>
      <c r="BH34" s="17" t="n">
        <f aca="false">Costs!BH34/FX_EUR</f>
        <v>97441.4422839455</v>
      </c>
      <c r="BI34" s="17" t="n">
        <f aca="false">Costs!BI34/FX_EUR</f>
        <v>99079.51844595</v>
      </c>
      <c r="BJ34" s="17" t="n">
        <f aca="false">Costs!BJ34/FX_EUR</f>
        <v>101199.381714426</v>
      </c>
      <c r="BK34" s="17" t="n">
        <f aca="false">Costs!BK34/FX_EUR</f>
        <v>102837.457876431</v>
      </c>
      <c r="BL34" s="17" t="n">
        <f aca="false">Costs!BL34/FX_EUR</f>
        <v>104595.980815053</v>
      </c>
    </row>
    <row r="36" customFormat="false" ht="15" hidden="false" customHeight="true" outlineLevel="0" collapsed="false">
      <c r="A36" s="11" t="s">
        <v>1292</v>
      </c>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row>
    <row r="37" customFormat="false" ht="15" hidden="false" customHeight="true" outlineLevel="0" collapsed="false">
      <c r="A37" s="13" t="s">
        <v>1293</v>
      </c>
      <c r="B37" s="15" t="s">
        <v>79</v>
      </c>
      <c r="D37" s="56" t="n">
        <f aca="false">Costs!D37/FX_EUR</f>
        <v>507900</v>
      </c>
      <c r="E37" s="33" t="n">
        <f aca="false">Costs!E37/FX_EUR</f>
        <v>1500</v>
      </c>
      <c r="F37" s="33" t="n">
        <f aca="false">Costs!F37/FX_EUR</f>
        <v>1500</v>
      </c>
      <c r="G37" s="33" t="n">
        <f aca="false">Costs!G37/FX_EUR</f>
        <v>1500</v>
      </c>
      <c r="H37" s="33" t="n">
        <f aca="false">Costs!H37/FX_EUR</f>
        <v>3000</v>
      </c>
      <c r="I37" s="33" t="n">
        <f aca="false">Costs!I37/FX_EUR</f>
        <v>3300</v>
      </c>
      <c r="J37" s="33" t="n">
        <f aca="false">Costs!J37/FX_EUR</f>
        <v>3300</v>
      </c>
      <c r="K37" s="33" t="n">
        <f aca="false">Costs!K37/FX_EUR</f>
        <v>3300</v>
      </c>
      <c r="L37" s="33" t="n">
        <f aca="false">Costs!L37/FX_EUR</f>
        <v>3300</v>
      </c>
      <c r="M37" s="33" t="n">
        <f aca="false">Costs!M37/FX_EUR</f>
        <v>3300</v>
      </c>
      <c r="N37" s="33" t="n">
        <f aca="false">Costs!N37/FX_EUR</f>
        <v>3300</v>
      </c>
      <c r="O37" s="33" t="n">
        <f aca="false">Costs!O37/FX_EUR</f>
        <v>3300</v>
      </c>
      <c r="P37" s="33" t="n">
        <f aca="false">Costs!P37/FX_EUR</f>
        <v>3300</v>
      </c>
      <c r="Q37" s="33" t="n">
        <f aca="false">Costs!Q37/FX_EUR</f>
        <v>3600</v>
      </c>
      <c r="R37" s="33" t="n">
        <f aca="false">Costs!R37/FX_EUR</f>
        <v>3600</v>
      </c>
      <c r="S37" s="33" t="n">
        <f aca="false">Costs!S37/FX_EUR</f>
        <v>3600</v>
      </c>
      <c r="T37" s="33" t="n">
        <f aca="false">Costs!T37/FX_EUR</f>
        <v>3900</v>
      </c>
      <c r="U37" s="33" t="n">
        <f aca="false">Costs!U37/FX_EUR</f>
        <v>3900</v>
      </c>
      <c r="V37" s="33" t="n">
        <f aca="false">Costs!V37/FX_EUR</f>
        <v>3900</v>
      </c>
      <c r="W37" s="33" t="n">
        <f aca="false">Costs!W37/FX_EUR</f>
        <v>3900</v>
      </c>
      <c r="X37" s="33" t="n">
        <f aca="false">Costs!X37/FX_EUR</f>
        <v>4200</v>
      </c>
      <c r="Y37" s="33" t="n">
        <f aca="false">Costs!Y37/FX_EUR</f>
        <v>4500</v>
      </c>
      <c r="Z37" s="33" t="n">
        <f aca="false">Costs!Z37/FX_EUR</f>
        <v>4500</v>
      </c>
      <c r="AA37" s="33" t="n">
        <f aca="false">Costs!AA37/FX_EUR</f>
        <v>4500</v>
      </c>
      <c r="AB37" s="33" t="n">
        <f aca="false">Costs!AB37/FX_EUR</f>
        <v>4800</v>
      </c>
      <c r="AC37" s="33" t="n">
        <f aca="false">Costs!AC37/FX_EUR</f>
        <v>5100</v>
      </c>
      <c r="AD37" s="33" t="n">
        <f aca="false">Costs!AD37/FX_EUR</f>
        <v>5400</v>
      </c>
      <c r="AE37" s="33" t="n">
        <f aca="false">Costs!AE37/FX_EUR</f>
        <v>5400</v>
      </c>
      <c r="AF37" s="33" t="n">
        <f aca="false">Costs!AF37/FX_EUR</f>
        <v>6000</v>
      </c>
      <c r="AG37" s="33" t="n">
        <f aca="false">Costs!AG37/FX_EUR</f>
        <v>6900</v>
      </c>
      <c r="AH37" s="33" t="n">
        <f aca="false">Costs!AH37/FX_EUR</f>
        <v>7200</v>
      </c>
      <c r="AI37" s="33" t="n">
        <f aca="false">Costs!AI37/FX_EUR</f>
        <v>7500</v>
      </c>
      <c r="AJ37" s="33" t="n">
        <f aca="false">Costs!AJ37/FX_EUR</f>
        <v>7500</v>
      </c>
      <c r="AK37" s="33" t="n">
        <f aca="false">Costs!AK37/FX_EUR</f>
        <v>7800</v>
      </c>
      <c r="AL37" s="33" t="n">
        <f aca="false">Costs!AL37/FX_EUR</f>
        <v>8400</v>
      </c>
      <c r="AM37" s="33" t="n">
        <f aca="false">Costs!AM37/FX_EUR</f>
        <v>8700</v>
      </c>
      <c r="AN37" s="33" t="n">
        <f aca="false">Costs!AN37/FX_EUR</f>
        <v>8700</v>
      </c>
      <c r="AO37" s="33" t="n">
        <f aca="false">Costs!AO37/FX_EUR</f>
        <v>9300</v>
      </c>
      <c r="AP37" s="33" t="n">
        <f aca="false">Costs!AP37/FX_EUR</f>
        <v>9300</v>
      </c>
      <c r="AQ37" s="33" t="n">
        <f aca="false">Costs!AQ37/FX_EUR</f>
        <v>9900</v>
      </c>
      <c r="AR37" s="33" t="n">
        <f aca="false">Costs!AR37/FX_EUR</f>
        <v>10800</v>
      </c>
      <c r="AS37" s="33" t="n">
        <f aca="false">Costs!AS37/FX_EUR</f>
        <v>10800</v>
      </c>
      <c r="AT37" s="33" t="n">
        <f aca="false">Costs!AT37/FX_EUR</f>
        <v>11100</v>
      </c>
      <c r="AU37" s="33" t="n">
        <f aca="false">Costs!AU37/FX_EUR</f>
        <v>11700</v>
      </c>
      <c r="AV37" s="33" t="n">
        <f aca="false">Costs!AV37/FX_EUR</f>
        <v>11700</v>
      </c>
      <c r="AW37" s="33" t="n">
        <f aca="false">Costs!AW37/FX_EUR</f>
        <v>12600</v>
      </c>
      <c r="AX37" s="33" t="n">
        <f aca="false">Costs!AX37/FX_EUR</f>
        <v>12900</v>
      </c>
      <c r="AY37" s="33" t="n">
        <f aca="false">Costs!AY37/FX_EUR</f>
        <v>13200</v>
      </c>
      <c r="AZ37" s="33" t="n">
        <f aca="false">Costs!AZ37/FX_EUR</f>
        <v>13500</v>
      </c>
      <c r="BA37" s="33" t="n">
        <f aca="false">Costs!BA37/FX_EUR</f>
        <v>14100</v>
      </c>
      <c r="BB37" s="33" t="n">
        <f aca="false">Costs!BB37/FX_EUR</f>
        <v>15000</v>
      </c>
      <c r="BC37" s="33" t="n">
        <f aca="false">Costs!BC37/FX_EUR</f>
        <v>15300</v>
      </c>
      <c r="BD37" s="33" t="n">
        <f aca="false">Costs!BD37/FX_EUR</f>
        <v>15600</v>
      </c>
      <c r="BE37" s="33" t="n">
        <f aca="false">Costs!BE37/FX_EUR</f>
        <v>15900</v>
      </c>
      <c r="BF37" s="33" t="n">
        <f aca="false">Costs!BF37/FX_EUR</f>
        <v>16500</v>
      </c>
      <c r="BG37" s="33" t="n">
        <f aca="false">Costs!BG37/FX_EUR</f>
        <v>17100</v>
      </c>
      <c r="BH37" s="33" t="n">
        <f aca="false">Costs!BH37/FX_EUR</f>
        <v>17700</v>
      </c>
      <c r="BI37" s="33" t="n">
        <f aca="false">Costs!BI37/FX_EUR</f>
        <v>18300</v>
      </c>
      <c r="BJ37" s="33" t="n">
        <f aca="false">Costs!BJ37/FX_EUR</f>
        <v>18900</v>
      </c>
      <c r="BK37" s="33" t="n">
        <f aca="false">Costs!BK37/FX_EUR</f>
        <v>19500</v>
      </c>
      <c r="BL37" s="33" t="n">
        <f aca="false">Costs!BL37/FX_EUR</f>
        <v>19800</v>
      </c>
    </row>
    <row r="38" customFormat="false" ht="15" hidden="false" customHeight="true" outlineLevel="0" collapsed="false">
      <c r="A38" s="13" t="s">
        <v>1294</v>
      </c>
      <c r="B38" s="15" t="s">
        <v>79</v>
      </c>
      <c r="D38" s="56" t="n">
        <f aca="false">Costs!D38/FX_EUR</f>
        <v>60000</v>
      </c>
      <c r="E38" s="33" t="n">
        <f aca="false">Costs!E38/FX_EUR</f>
        <v>0</v>
      </c>
      <c r="F38" s="33" t="n">
        <f aca="false">Costs!F38/FX_EUR</f>
        <v>0</v>
      </c>
      <c r="G38" s="33" t="n">
        <f aca="false">Costs!G38/FX_EUR</f>
        <v>0</v>
      </c>
      <c r="H38" s="33" t="n">
        <f aca="false">Costs!H38/FX_EUR</f>
        <v>0</v>
      </c>
      <c r="I38" s="33" t="n">
        <f aca="false">Costs!I38/FX_EUR</f>
        <v>0</v>
      </c>
      <c r="J38" s="33" t="n">
        <f aca="false">Costs!J38/FX_EUR</f>
        <v>0</v>
      </c>
      <c r="K38" s="33" t="n">
        <f aca="false">Costs!K38/FX_EUR</f>
        <v>0</v>
      </c>
      <c r="L38" s="33" t="n">
        <f aca="false">Costs!L38/FX_EUR</f>
        <v>0</v>
      </c>
      <c r="M38" s="33" t="n">
        <f aca="false">Costs!M38/FX_EUR</f>
        <v>0</v>
      </c>
      <c r="N38" s="33" t="n">
        <f aca="false">Costs!N38/FX_EUR</f>
        <v>0</v>
      </c>
      <c r="O38" s="33" t="n">
        <f aca="false">Costs!O38/FX_EUR</f>
        <v>0</v>
      </c>
      <c r="P38" s="33" t="n">
        <f aca="false">Costs!P38/FX_EUR</f>
        <v>0</v>
      </c>
      <c r="Q38" s="33" t="n">
        <f aca="false">Costs!Q38/FX_EUR</f>
        <v>0</v>
      </c>
      <c r="R38" s="33" t="n">
        <f aca="false">Costs!R38/FX_EUR</f>
        <v>0</v>
      </c>
      <c r="S38" s="33" t="n">
        <f aca="false">Costs!S38/FX_EUR</f>
        <v>0</v>
      </c>
      <c r="T38" s="33" t="n">
        <f aca="false">Costs!T38/FX_EUR</f>
        <v>0</v>
      </c>
      <c r="U38" s="33" t="n">
        <f aca="false">Costs!U38/FX_EUR</f>
        <v>0</v>
      </c>
      <c r="V38" s="33" t="n">
        <f aca="false">Costs!V38/FX_EUR</f>
        <v>900</v>
      </c>
      <c r="W38" s="33" t="n">
        <f aca="false">Costs!W38/FX_EUR</f>
        <v>900</v>
      </c>
      <c r="X38" s="33" t="n">
        <f aca="false">Costs!X38/FX_EUR</f>
        <v>900</v>
      </c>
      <c r="Y38" s="33" t="n">
        <f aca="false">Costs!Y38/FX_EUR</f>
        <v>900</v>
      </c>
      <c r="Z38" s="33" t="n">
        <f aca="false">Costs!Z38/FX_EUR</f>
        <v>900</v>
      </c>
      <c r="AA38" s="33" t="n">
        <f aca="false">Costs!AA38/FX_EUR</f>
        <v>900</v>
      </c>
      <c r="AB38" s="33" t="n">
        <f aca="false">Costs!AB38/FX_EUR</f>
        <v>900</v>
      </c>
      <c r="AC38" s="33" t="n">
        <f aca="false">Costs!AC38/FX_EUR</f>
        <v>900</v>
      </c>
      <c r="AD38" s="33" t="n">
        <f aca="false">Costs!AD38/FX_EUR</f>
        <v>900</v>
      </c>
      <c r="AE38" s="33" t="n">
        <f aca="false">Costs!AE38/FX_EUR</f>
        <v>900</v>
      </c>
      <c r="AF38" s="33" t="n">
        <f aca="false">Costs!AF38/FX_EUR</f>
        <v>900</v>
      </c>
      <c r="AG38" s="33" t="n">
        <f aca="false">Costs!AG38/FX_EUR</f>
        <v>900</v>
      </c>
      <c r="AH38" s="33" t="n">
        <f aca="false">Costs!AH38/FX_EUR</f>
        <v>900</v>
      </c>
      <c r="AI38" s="33" t="n">
        <f aca="false">Costs!AI38/FX_EUR</f>
        <v>900</v>
      </c>
      <c r="AJ38" s="33" t="n">
        <f aca="false">Costs!AJ38/FX_EUR</f>
        <v>900</v>
      </c>
      <c r="AK38" s="33" t="n">
        <f aca="false">Costs!AK38/FX_EUR</f>
        <v>900</v>
      </c>
      <c r="AL38" s="33" t="n">
        <f aca="false">Costs!AL38/FX_EUR</f>
        <v>900</v>
      </c>
      <c r="AM38" s="33" t="n">
        <f aca="false">Costs!AM38/FX_EUR</f>
        <v>900</v>
      </c>
      <c r="AN38" s="33" t="n">
        <f aca="false">Costs!AN38/FX_EUR</f>
        <v>1200</v>
      </c>
      <c r="AO38" s="33" t="n">
        <f aca="false">Costs!AO38/FX_EUR</f>
        <v>1200</v>
      </c>
      <c r="AP38" s="33" t="n">
        <f aca="false">Costs!AP38/FX_EUR</f>
        <v>1200</v>
      </c>
      <c r="AQ38" s="33" t="n">
        <f aca="false">Costs!AQ38/FX_EUR</f>
        <v>1200</v>
      </c>
      <c r="AR38" s="33" t="n">
        <f aca="false">Costs!AR38/FX_EUR</f>
        <v>1200</v>
      </c>
      <c r="AS38" s="33" t="n">
        <f aca="false">Costs!AS38/FX_EUR</f>
        <v>1200</v>
      </c>
      <c r="AT38" s="33" t="n">
        <f aca="false">Costs!AT38/FX_EUR</f>
        <v>1200</v>
      </c>
      <c r="AU38" s="33" t="n">
        <f aca="false">Costs!AU38/FX_EUR</f>
        <v>1500</v>
      </c>
      <c r="AV38" s="33" t="n">
        <f aca="false">Costs!AV38/FX_EUR</f>
        <v>1500</v>
      </c>
      <c r="AW38" s="33" t="n">
        <f aca="false">Costs!AW38/FX_EUR</f>
        <v>1500</v>
      </c>
      <c r="AX38" s="33" t="n">
        <f aca="false">Costs!AX38/FX_EUR</f>
        <v>1500</v>
      </c>
      <c r="AY38" s="33" t="n">
        <f aca="false">Costs!AY38/FX_EUR</f>
        <v>1500</v>
      </c>
      <c r="AZ38" s="33" t="n">
        <f aca="false">Costs!AZ38/FX_EUR</f>
        <v>1800</v>
      </c>
      <c r="BA38" s="33" t="n">
        <f aca="false">Costs!BA38/FX_EUR</f>
        <v>1800</v>
      </c>
      <c r="BB38" s="33" t="n">
        <f aca="false">Costs!BB38/FX_EUR</f>
        <v>1800</v>
      </c>
      <c r="BC38" s="33" t="n">
        <f aca="false">Costs!BC38/FX_EUR</f>
        <v>1800</v>
      </c>
      <c r="BD38" s="33" t="n">
        <f aca="false">Costs!BD38/FX_EUR</f>
        <v>2100</v>
      </c>
      <c r="BE38" s="33" t="n">
        <f aca="false">Costs!BE38/FX_EUR</f>
        <v>2100</v>
      </c>
      <c r="BF38" s="33" t="n">
        <f aca="false">Costs!BF38/FX_EUR</f>
        <v>2100</v>
      </c>
      <c r="BG38" s="33" t="n">
        <f aca="false">Costs!BG38/FX_EUR</f>
        <v>2100</v>
      </c>
      <c r="BH38" s="33" t="n">
        <f aca="false">Costs!BH38/FX_EUR</f>
        <v>2400</v>
      </c>
      <c r="BI38" s="33" t="n">
        <f aca="false">Costs!BI38/FX_EUR</f>
        <v>2400</v>
      </c>
      <c r="BJ38" s="33" t="n">
        <f aca="false">Costs!BJ38/FX_EUR</f>
        <v>2400</v>
      </c>
      <c r="BK38" s="33" t="n">
        <f aca="false">Costs!BK38/FX_EUR</f>
        <v>2400</v>
      </c>
      <c r="BL38" s="33" t="n">
        <f aca="false">Costs!BL38/FX_EUR</f>
        <v>2700</v>
      </c>
    </row>
    <row r="39" customFormat="false" ht="15" hidden="false" customHeight="true" outlineLevel="0" collapsed="false">
      <c r="A39" s="13" t="s">
        <v>1295</v>
      </c>
      <c r="B39" s="15" t="s">
        <v>79</v>
      </c>
      <c r="D39" s="56" t="n">
        <f aca="false">Costs!D39/FX_EUR</f>
        <v>14429.2994815209</v>
      </c>
      <c r="E39" s="33" t="n">
        <f aca="false">Costs!E39/FX_EUR</f>
        <v>38.1122543093526</v>
      </c>
      <c r="F39" s="33" t="n">
        <f aca="false">Costs!F39/FX_EUR</f>
        <v>38.1122543093526</v>
      </c>
      <c r="G39" s="33" t="n">
        <f aca="false">Costs!G39/FX_EUR</f>
        <v>38.1122543093526</v>
      </c>
      <c r="H39" s="33" t="n">
        <f aca="false">Costs!H39/FX_EUR</f>
        <v>76.2245086187052</v>
      </c>
      <c r="I39" s="33" t="n">
        <f aca="false">Costs!I39/FX_EUR</f>
        <v>83.8469594805757</v>
      </c>
      <c r="J39" s="33" t="n">
        <f aca="false">Costs!J39/FX_EUR</f>
        <v>83.8469594805757</v>
      </c>
      <c r="K39" s="33" t="n">
        <f aca="false">Costs!K39/FX_EUR</f>
        <v>83.8469594805757</v>
      </c>
      <c r="L39" s="33" t="n">
        <f aca="false">Costs!L39/FX_EUR</f>
        <v>83.8469594805757</v>
      </c>
      <c r="M39" s="33" t="n">
        <f aca="false">Costs!M39/FX_EUR</f>
        <v>83.8469594805757</v>
      </c>
      <c r="N39" s="33" t="n">
        <f aca="false">Costs!N39/FX_EUR</f>
        <v>83.8469594805757</v>
      </c>
      <c r="O39" s="33" t="n">
        <f aca="false">Costs!O39/FX_EUR</f>
        <v>83.8469594805757</v>
      </c>
      <c r="P39" s="33" t="n">
        <f aca="false">Costs!P39/FX_EUR</f>
        <v>83.8469594805757</v>
      </c>
      <c r="Q39" s="33" t="n">
        <f aca="false">Costs!Q39/FX_EUR</f>
        <v>91.4694103424462</v>
      </c>
      <c r="R39" s="33" t="n">
        <f aca="false">Costs!R39/FX_EUR</f>
        <v>91.4694103424462</v>
      </c>
      <c r="S39" s="33" t="n">
        <f aca="false">Costs!S39/FX_EUR</f>
        <v>91.4694103424462</v>
      </c>
      <c r="T39" s="33" t="n">
        <f aca="false">Costs!T39/FX_EUR</f>
        <v>99.0918612043167</v>
      </c>
      <c r="U39" s="33" t="n">
        <f aca="false">Costs!U39/FX_EUR</f>
        <v>99.0918612043167</v>
      </c>
      <c r="V39" s="33" t="n">
        <f aca="false">Costs!V39/FX_EUR</f>
        <v>121.959213789928</v>
      </c>
      <c r="W39" s="33" t="n">
        <f aca="false">Costs!W39/FX_EUR</f>
        <v>121.959213789928</v>
      </c>
      <c r="X39" s="33" t="n">
        <f aca="false">Costs!X39/FX_EUR</f>
        <v>129.581664651799</v>
      </c>
      <c r="Y39" s="33" t="n">
        <f aca="false">Costs!Y39/FX_EUR</f>
        <v>137.204115513669</v>
      </c>
      <c r="Z39" s="33" t="n">
        <f aca="false">Costs!Z39/FX_EUR</f>
        <v>137.204115513669</v>
      </c>
      <c r="AA39" s="33" t="n">
        <f aca="false">Costs!AA39/FX_EUR</f>
        <v>137.204115513669</v>
      </c>
      <c r="AB39" s="33" t="n">
        <f aca="false">Costs!AB39/FX_EUR</f>
        <v>144.82656637554</v>
      </c>
      <c r="AC39" s="33" t="n">
        <f aca="false">Costs!AC39/FX_EUR</f>
        <v>152.44901723741</v>
      </c>
      <c r="AD39" s="33" t="n">
        <f aca="false">Costs!AD39/FX_EUR</f>
        <v>160.071468099281</v>
      </c>
      <c r="AE39" s="33" t="n">
        <f aca="false">Costs!AE39/FX_EUR</f>
        <v>160.071468099281</v>
      </c>
      <c r="AF39" s="33" t="n">
        <f aca="false">Costs!AF39/FX_EUR</f>
        <v>175.316369823022</v>
      </c>
      <c r="AG39" s="33" t="n">
        <f aca="false">Costs!AG39/FX_EUR</f>
        <v>198.183722408633</v>
      </c>
      <c r="AH39" s="33" t="n">
        <f aca="false">Costs!AH39/FX_EUR</f>
        <v>205.806173270504</v>
      </c>
      <c r="AI39" s="33" t="n">
        <f aca="false">Costs!AI39/FX_EUR</f>
        <v>213.428624132375</v>
      </c>
      <c r="AJ39" s="33" t="n">
        <f aca="false">Costs!AJ39/FX_EUR</f>
        <v>213.428624132375</v>
      </c>
      <c r="AK39" s="33" t="n">
        <f aca="false">Costs!AK39/FX_EUR</f>
        <v>221.051074994245</v>
      </c>
      <c r="AL39" s="33" t="n">
        <f aca="false">Costs!AL39/FX_EUR</f>
        <v>236.295976717986</v>
      </c>
      <c r="AM39" s="33" t="n">
        <f aca="false">Costs!AM39/FX_EUR</f>
        <v>243.918427579857</v>
      </c>
      <c r="AN39" s="33" t="n">
        <f aca="false">Costs!AN39/FX_EUR</f>
        <v>251.540878441727</v>
      </c>
      <c r="AO39" s="33" t="n">
        <f aca="false">Costs!AO39/FX_EUR</f>
        <v>266.785780165468</v>
      </c>
      <c r="AP39" s="33" t="n">
        <f aca="false">Costs!AP39/FX_EUR</f>
        <v>266.785780165468</v>
      </c>
      <c r="AQ39" s="33" t="n">
        <f aca="false">Costs!AQ39/FX_EUR</f>
        <v>282.030681889209</v>
      </c>
      <c r="AR39" s="33" t="n">
        <f aca="false">Costs!AR39/FX_EUR</f>
        <v>304.898034474821</v>
      </c>
      <c r="AS39" s="33" t="n">
        <f aca="false">Costs!AS39/FX_EUR</f>
        <v>304.898034474821</v>
      </c>
      <c r="AT39" s="33" t="n">
        <f aca="false">Costs!AT39/FX_EUR</f>
        <v>312.520485336691</v>
      </c>
      <c r="AU39" s="33" t="n">
        <f aca="false">Costs!AU39/FX_EUR</f>
        <v>335.387837922303</v>
      </c>
      <c r="AV39" s="33" t="n">
        <f aca="false">Costs!AV39/FX_EUR</f>
        <v>335.387837922303</v>
      </c>
      <c r="AW39" s="33" t="n">
        <f aca="false">Costs!AW39/FX_EUR</f>
        <v>358.255190507914</v>
      </c>
      <c r="AX39" s="33" t="n">
        <f aca="false">Costs!AX39/FX_EUR</f>
        <v>365.877641369785</v>
      </c>
      <c r="AY39" s="33" t="n">
        <f aca="false">Costs!AY39/FX_EUR</f>
        <v>373.500092231655</v>
      </c>
      <c r="AZ39" s="33" t="n">
        <f aca="false">Costs!AZ39/FX_EUR</f>
        <v>388.744993955396</v>
      </c>
      <c r="BA39" s="33" t="n">
        <f aca="false">Costs!BA39/FX_EUR</f>
        <v>403.989895679138</v>
      </c>
      <c r="BB39" s="33" t="n">
        <f aca="false">Costs!BB39/FX_EUR</f>
        <v>426.857248264749</v>
      </c>
      <c r="BC39" s="33" t="n">
        <f aca="false">Costs!BC39/FX_EUR</f>
        <v>434.47969912662</v>
      </c>
      <c r="BD39" s="33" t="n">
        <f aca="false">Costs!BD39/FX_EUR</f>
        <v>449.724600850361</v>
      </c>
      <c r="BE39" s="33" t="n">
        <f aca="false">Costs!BE39/FX_EUR</f>
        <v>457.347051712231</v>
      </c>
      <c r="BF39" s="33" t="n">
        <f aca="false">Costs!BF39/FX_EUR</f>
        <v>472.591953435972</v>
      </c>
      <c r="BG39" s="33" t="n">
        <f aca="false">Costs!BG39/FX_EUR</f>
        <v>487.836855159713</v>
      </c>
      <c r="BH39" s="33" t="n">
        <f aca="false">Costs!BH39/FX_EUR</f>
        <v>510.704207745325</v>
      </c>
      <c r="BI39" s="33" t="n">
        <f aca="false">Costs!BI39/FX_EUR</f>
        <v>525.949109469066</v>
      </c>
      <c r="BJ39" s="33" t="n">
        <f aca="false">Costs!BJ39/FX_EUR</f>
        <v>541.194011192807</v>
      </c>
      <c r="BK39" s="33" t="n">
        <f aca="false">Costs!BK39/FX_EUR</f>
        <v>556.438912916548</v>
      </c>
      <c r="BL39" s="33" t="n">
        <f aca="false">Costs!BL39/FX_EUR</f>
        <v>571.683814640289</v>
      </c>
    </row>
    <row r="40" customFormat="false" ht="15" hidden="false" customHeight="true" outlineLevel="0" collapsed="false">
      <c r="A40" s="13" t="s">
        <v>1296</v>
      </c>
      <c r="B40" s="15" t="s">
        <v>79</v>
      </c>
      <c r="D40" s="56" t="n">
        <f aca="false">Costs!D40/FX_EUR</f>
        <v>46378.8601996777</v>
      </c>
      <c r="E40" s="33" t="n">
        <f aca="false">Costs!E40/FX_EUR</f>
        <v>6305.22579986188</v>
      </c>
      <c r="F40" s="33" t="n">
        <f aca="false">Costs!F40/FX_EUR</f>
        <v>0</v>
      </c>
      <c r="G40" s="33" t="n">
        <f aca="false">Costs!G40/FX_EUR</f>
        <v>0</v>
      </c>
      <c r="H40" s="33" t="n">
        <f aca="false">Costs!H40/FX_EUR</f>
        <v>2500</v>
      </c>
      <c r="I40" s="33" t="n">
        <f aca="false">Costs!I40/FX_EUR</f>
        <v>500</v>
      </c>
      <c r="J40" s="33" t="n">
        <f aca="false">Costs!J40/FX_EUR</f>
        <v>0</v>
      </c>
      <c r="K40" s="33" t="n">
        <f aca="false">Costs!K40/FX_EUR</f>
        <v>0</v>
      </c>
      <c r="L40" s="33" t="n">
        <f aca="false">Costs!L40/FX_EUR</f>
        <v>0</v>
      </c>
      <c r="M40" s="33" t="n">
        <f aca="false">Costs!M40/FX_EUR</f>
        <v>0</v>
      </c>
      <c r="N40" s="33" t="n">
        <f aca="false">Costs!N40/FX_EUR</f>
        <v>0</v>
      </c>
      <c r="O40" s="33" t="n">
        <f aca="false">Costs!O40/FX_EUR</f>
        <v>0</v>
      </c>
      <c r="P40" s="33" t="n">
        <f aca="false">Costs!P40/FX_EUR</f>
        <v>0</v>
      </c>
      <c r="Q40" s="33" t="n">
        <f aca="false">Costs!Q40/FX_EUR</f>
        <v>500</v>
      </c>
      <c r="R40" s="33" t="n">
        <f aca="false">Costs!R40/FX_EUR</f>
        <v>0</v>
      </c>
      <c r="S40" s="33" t="n">
        <f aca="false">Costs!S40/FX_EUR</f>
        <v>0</v>
      </c>
      <c r="T40" s="33" t="n">
        <f aca="false">Costs!T40/FX_EUR</f>
        <v>500</v>
      </c>
      <c r="U40" s="33" t="n">
        <f aca="false">Costs!U40/FX_EUR</f>
        <v>0</v>
      </c>
      <c r="V40" s="33" t="n">
        <f aca="false">Costs!V40/FX_EUR</f>
        <v>1500</v>
      </c>
      <c r="W40" s="33" t="n">
        <f aca="false">Costs!W40/FX_EUR</f>
        <v>0</v>
      </c>
      <c r="X40" s="33" t="n">
        <f aca="false">Costs!X40/FX_EUR</f>
        <v>500</v>
      </c>
      <c r="Y40" s="33" t="n">
        <f aca="false">Costs!Y40/FX_EUR</f>
        <v>500</v>
      </c>
      <c r="Z40" s="33" t="n">
        <f aca="false">Costs!Z40/FX_EUR</f>
        <v>0</v>
      </c>
      <c r="AA40" s="33" t="n">
        <f aca="false">Costs!AA40/FX_EUR</f>
        <v>0</v>
      </c>
      <c r="AB40" s="33" t="n">
        <f aca="false">Costs!AB40/FX_EUR</f>
        <v>500</v>
      </c>
      <c r="AC40" s="33" t="n">
        <f aca="false">Costs!AC40/FX_EUR</f>
        <v>500</v>
      </c>
      <c r="AD40" s="33" t="n">
        <f aca="false">Costs!AD40/FX_EUR</f>
        <v>500</v>
      </c>
      <c r="AE40" s="33" t="n">
        <f aca="false">Costs!AE40/FX_EUR</f>
        <v>0</v>
      </c>
      <c r="AF40" s="33" t="n">
        <f aca="false">Costs!AF40/FX_EUR</f>
        <v>2268.40859995396</v>
      </c>
      <c r="AG40" s="33" t="n">
        <f aca="false">Costs!AG40/FX_EUR</f>
        <v>1500</v>
      </c>
      <c r="AH40" s="33" t="n">
        <f aca="false">Costs!AH40/FX_EUR</f>
        <v>500</v>
      </c>
      <c r="AI40" s="33" t="n">
        <f aca="false">Costs!AI40/FX_EUR</f>
        <v>500</v>
      </c>
      <c r="AJ40" s="33" t="n">
        <f aca="false">Costs!AJ40/FX_EUR</f>
        <v>0</v>
      </c>
      <c r="AK40" s="33" t="n">
        <f aca="false">Costs!AK40/FX_EUR</f>
        <v>500</v>
      </c>
      <c r="AL40" s="33" t="n">
        <f aca="false">Costs!AL40/FX_EUR</f>
        <v>1000</v>
      </c>
      <c r="AM40" s="33" t="n">
        <f aca="false">Costs!AM40/FX_EUR</f>
        <v>500</v>
      </c>
      <c r="AN40" s="33" t="n">
        <f aca="false">Costs!AN40/FX_EUR</f>
        <v>500</v>
      </c>
      <c r="AO40" s="33" t="n">
        <f aca="false">Costs!AO40/FX_EUR</f>
        <v>1000</v>
      </c>
      <c r="AP40" s="33" t="n">
        <f aca="false">Costs!AP40/FX_EUR</f>
        <v>0</v>
      </c>
      <c r="AQ40" s="33" t="n">
        <f aca="false">Costs!AQ40/FX_EUR</f>
        <v>1000</v>
      </c>
      <c r="AR40" s="33" t="n">
        <f aca="false">Costs!AR40/FX_EUR</f>
        <v>2768.40859995396</v>
      </c>
      <c r="AS40" s="33" t="n">
        <f aca="false">Costs!AS40/FX_EUR</f>
        <v>0</v>
      </c>
      <c r="AT40" s="33" t="n">
        <f aca="false">Costs!AT40/FX_EUR</f>
        <v>500</v>
      </c>
      <c r="AU40" s="33" t="n">
        <f aca="false">Costs!AU40/FX_EUR</f>
        <v>1500</v>
      </c>
      <c r="AV40" s="33" t="n">
        <f aca="false">Costs!AV40/FX_EUR</f>
        <v>0</v>
      </c>
      <c r="AW40" s="33" t="n">
        <f aca="false">Costs!AW40/FX_EUR</f>
        <v>1500</v>
      </c>
      <c r="AX40" s="33" t="n">
        <f aca="false">Costs!AX40/FX_EUR</f>
        <v>500</v>
      </c>
      <c r="AY40" s="33" t="n">
        <f aca="false">Costs!AY40/FX_EUR</f>
        <v>500</v>
      </c>
      <c r="AZ40" s="33" t="n">
        <f aca="false">Costs!AZ40/FX_EUR</f>
        <v>1000</v>
      </c>
      <c r="BA40" s="33" t="n">
        <f aca="false">Costs!BA40/FX_EUR</f>
        <v>2268.40859995396</v>
      </c>
      <c r="BB40" s="33" t="n">
        <f aca="false">Costs!BB40/FX_EUR</f>
        <v>1500</v>
      </c>
      <c r="BC40" s="33" t="n">
        <f aca="false">Costs!BC40/FX_EUR</f>
        <v>500</v>
      </c>
      <c r="BD40" s="33" t="n">
        <f aca="false">Costs!BD40/FX_EUR</f>
        <v>1000</v>
      </c>
      <c r="BE40" s="33" t="n">
        <f aca="false">Costs!BE40/FX_EUR</f>
        <v>500</v>
      </c>
      <c r="BF40" s="33" t="n">
        <f aca="false">Costs!BF40/FX_EUR</f>
        <v>1000</v>
      </c>
      <c r="BG40" s="33" t="n">
        <f aca="false">Costs!BG40/FX_EUR</f>
        <v>1000</v>
      </c>
      <c r="BH40" s="33" t="n">
        <f aca="false">Costs!BH40/FX_EUR</f>
        <v>2768.40859995396</v>
      </c>
      <c r="BI40" s="33" t="n">
        <f aca="false">Costs!BI40/FX_EUR</f>
        <v>1000</v>
      </c>
      <c r="BJ40" s="33" t="n">
        <f aca="false">Costs!BJ40/FX_EUR</f>
        <v>1000</v>
      </c>
      <c r="BK40" s="33" t="n">
        <f aca="false">Costs!BK40/FX_EUR</f>
        <v>1000</v>
      </c>
      <c r="BL40" s="33" t="n">
        <f aca="false">Costs!BL40/FX_EUR</f>
        <v>1000</v>
      </c>
    </row>
    <row r="41" customFormat="false" ht="15" hidden="false" customHeight="true" outlineLevel="0" collapsed="false">
      <c r="A41" s="9" t="s">
        <v>1297</v>
      </c>
      <c r="B41" s="15" t="s">
        <v>79</v>
      </c>
      <c r="D41" s="56" t="n">
        <f aca="false">Costs!D41/FX_EUR</f>
        <v>628708.159681199</v>
      </c>
      <c r="E41" s="17" t="n">
        <f aca="false">Costs!E41/FX_EUR</f>
        <v>7843.33805417123</v>
      </c>
      <c r="F41" s="17" t="n">
        <f aca="false">Costs!F41/FX_EUR</f>
        <v>1538.11225430935</v>
      </c>
      <c r="G41" s="17" t="n">
        <f aca="false">Costs!G41/FX_EUR</f>
        <v>1538.11225430935</v>
      </c>
      <c r="H41" s="17" t="n">
        <f aca="false">Costs!H41/FX_EUR</f>
        <v>5576.22450861871</v>
      </c>
      <c r="I41" s="17" t="n">
        <f aca="false">Costs!I41/FX_EUR</f>
        <v>3883.84695948058</v>
      </c>
      <c r="J41" s="17" t="n">
        <f aca="false">Costs!J41/FX_EUR</f>
        <v>3383.84695948058</v>
      </c>
      <c r="K41" s="17" t="n">
        <f aca="false">Costs!K41/FX_EUR</f>
        <v>3383.84695948058</v>
      </c>
      <c r="L41" s="17" t="n">
        <f aca="false">Costs!L41/FX_EUR</f>
        <v>3383.84695948058</v>
      </c>
      <c r="M41" s="17" t="n">
        <f aca="false">Costs!M41/FX_EUR</f>
        <v>3383.84695948058</v>
      </c>
      <c r="N41" s="17" t="n">
        <f aca="false">Costs!N41/FX_EUR</f>
        <v>3383.84695948058</v>
      </c>
      <c r="O41" s="17" t="n">
        <f aca="false">Costs!O41/FX_EUR</f>
        <v>3383.84695948058</v>
      </c>
      <c r="P41" s="17" t="n">
        <f aca="false">Costs!P41/FX_EUR</f>
        <v>3383.84695948058</v>
      </c>
      <c r="Q41" s="17" t="n">
        <f aca="false">Costs!Q41/FX_EUR</f>
        <v>4191.46941034245</v>
      </c>
      <c r="R41" s="17" t="n">
        <f aca="false">Costs!R41/FX_EUR</f>
        <v>3691.46941034245</v>
      </c>
      <c r="S41" s="17" t="n">
        <f aca="false">Costs!S41/FX_EUR</f>
        <v>3691.46941034245</v>
      </c>
      <c r="T41" s="17" t="n">
        <f aca="false">Costs!T41/FX_EUR</f>
        <v>4499.09186120432</v>
      </c>
      <c r="U41" s="17" t="n">
        <f aca="false">Costs!U41/FX_EUR</f>
        <v>3999.09186120432</v>
      </c>
      <c r="V41" s="17" t="n">
        <f aca="false">Costs!V41/FX_EUR</f>
        <v>6421.95921378993</v>
      </c>
      <c r="W41" s="17" t="n">
        <f aca="false">Costs!W41/FX_EUR</f>
        <v>4921.95921378993</v>
      </c>
      <c r="X41" s="17" t="n">
        <f aca="false">Costs!X41/FX_EUR</f>
        <v>5729.5816646518</v>
      </c>
      <c r="Y41" s="17" t="n">
        <f aca="false">Costs!Y41/FX_EUR</f>
        <v>6037.20411551367</v>
      </c>
      <c r="Z41" s="17" t="n">
        <f aca="false">Costs!Z41/FX_EUR</f>
        <v>5537.20411551367</v>
      </c>
      <c r="AA41" s="17" t="n">
        <f aca="false">Costs!AA41/FX_EUR</f>
        <v>5537.20411551367</v>
      </c>
      <c r="AB41" s="17" t="n">
        <f aca="false">Costs!AB41/FX_EUR</f>
        <v>6344.82656637554</v>
      </c>
      <c r="AC41" s="17" t="n">
        <f aca="false">Costs!AC41/FX_EUR</f>
        <v>6652.44901723741</v>
      </c>
      <c r="AD41" s="17" t="n">
        <f aca="false">Costs!AD41/FX_EUR</f>
        <v>6960.07146809928</v>
      </c>
      <c r="AE41" s="17" t="n">
        <f aca="false">Costs!AE41/FX_EUR</f>
        <v>6460.07146809928</v>
      </c>
      <c r="AF41" s="17" t="n">
        <f aca="false">Costs!AF41/FX_EUR</f>
        <v>9343.72496977698</v>
      </c>
      <c r="AG41" s="17" t="n">
        <f aca="false">Costs!AG41/FX_EUR</f>
        <v>9498.18372240863</v>
      </c>
      <c r="AH41" s="17" t="n">
        <f aca="false">Costs!AH41/FX_EUR</f>
        <v>8805.80617327051</v>
      </c>
      <c r="AI41" s="17" t="n">
        <f aca="false">Costs!AI41/FX_EUR</f>
        <v>9113.42862413237</v>
      </c>
      <c r="AJ41" s="17" t="n">
        <f aca="false">Costs!AJ41/FX_EUR</f>
        <v>8613.42862413237</v>
      </c>
      <c r="AK41" s="17" t="n">
        <f aca="false">Costs!AK41/FX_EUR</f>
        <v>9421.05107499424</v>
      </c>
      <c r="AL41" s="17" t="n">
        <f aca="false">Costs!AL41/FX_EUR</f>
        <v>10536.295976718</v>
      </c>
      <c r="AM41" s="17" t="n">
        <f aca="false">Costs!AM41/FX_EUR</f>
        <v>10343.9184275799</v>
      </c>
      <c r="AN41" s="17" t="n">
        <f aca="false">Costs!AN41/FX_EUR</f>
        <v>10651.5408784417</v>
      </c>
      <c r="AO41" s="17" t="n">
        <f aca="false">Costs!AO41/FX_EUR</f>
        <v>11766.7857801655</v>
      </c>
      <c r="AP41" s="17" t="n">
        <f aca="false">Costs!AP41/FX_EUR</f>
        <v>10766.7857801655</v>
      </c>
      <c r="AQ41" s="17" t="n">
        <f aca="false">Costs!AQ41/FX_EUR</f>
        <v>12382.0306818892</v>
      </c>
      <c r="AR41" s="17" t="n">
        <f aca="false">Costs!AR41/FX_EUR</f>
        <v>15073.3066344288</v>
      </c>
      <c r="AS41" s="17" t="n">
        <f aca="false">Costs!AS41/FX_EUR</f>
        <v>12304.8980344748</v>
      </c>
      <c r="AT41" s="17" t="n">
        <f aca="false">Costs!AT41/FX_EUR</f>
        <v>13112.5204853367</v>
      </c>
      <c r="AU41" s="17" t="n">
        <f aca="false">Costs!AU41/FX_EUR</f>
        <v>15035.3878379223</v>
      </c>
      <c r="AV41" s="17" t="n">
        <f aca="false">Costs!AV41/FX_EUR</f>
        <v>13535.3878379223</v>
      </c>
      <c r="AW41" s="17" t="n">
        <f aca="false">Costs!AW41/FX_EUR</f>
        <v>15958.2551905079</v>
      </c>
      <c r="AX41" s="17" t="n">
        <f aca="false">Costs!AX41/FX_EUR</f>
        <v>15265.8776413698</v>
      </c>
      <c r="AY41" s="17" t="n">
        <f aca="false">Costs!AY41/FX_EUR</f>
        <v>15573.5000922317</v>
      </c>
      <c r="AZ41" s="17" t="n">
        <f aca="false">Costs!AZ41/FX_EUR</f>
        <v>16688.7449939554</v>
      </c>
      <c r="BA41" s="17" t="n">
        <f aca="false">Costs!BA41/FX_EUR</f>
        <v>18572.3984956331</v>
      </c>
      <c r="BB41" s="17" t="n">
        <f aca="false">Costs!BB41/FX_EUR</f>
        <v>18726.8572482647</v>
      </c>
      <c r="BC41" s="17" t="n">
        <f aca="false">Costs!BC41/FX_EUR</f>
        <v>18034.4796991266</v>
      </c>
      <c r="BD41" s="17" t="n">
        <f aca="false">Costs!BD41/FX_EUR</f>
        <v>19149.7246008504</v>
      </c>
      <c r="BE41" s="17" t="n">
        <f aca="false">Costs!BE41/FX_EUR</f>
        <v>18957.3470517122</v>
      </c>
      <c r="BF41" s="17" t="n">
        <f aca="false">Costs!BF41/FX_EUR</f>
        <v>20072.591953436</v>
      </c>
      <c r="BG41" s="17" t="n">
        <f aca="false">Costs!BG41/FX_EUR</f>
        <v>20687.8368551597</v>
      </c>
      <c r="BH41" s="17" t="n">
        <f aca="false">Costs!BH41/FX_EUR</f>
        <v>23379.1128076993</v>
      </c>
      <c r="BI41" s="17" t="n">
        <f aca="false">Costs!BI41/FX_EUR</f>
        <v>22225.9491094691</v>
      </c>
      <c r="BJ41" s="17" t="n">
        <f aca="false">Costs!BJ41/FX_EUR</f>
        <v>22841.1940111928</v>
      </c>
      <c r="BK41" s="17" t="n">
        <f aca="false">Costs!BK41/FX_EUR</f>
        <v>23456.4389129166</v>
      </c>
      <c r="BL41" s="17" t="n">
        <f aca="false">Costs!BL41/FX_EUR</f>
        <v>24071.6838146403</v>
      </c>
    </row>
    <row r="43" customFormat="false" ht="15" hidden="false" customHeight="true" outlineLevel="0" collapsed="false">
      <c r="A43" s="11" t="s">
        <v>833</v>
      </c>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row>
    <row r="44" customFormat="false" ht="15" hidden="false" customHeight="true" outlineLevel="0" collapsed="false">
      <c r="A44" s="13" t="s">
        <v>1298</v>
      </c>
      <c r="B44" s="15" t="s">
        <v>79</v>
      </c>
      <c r="D44" s="56" t="n">
        <f aca="false">Costs!D44/FX_EUR</f>
        <v>280736.343998158</v>
      </c>
      <c r="E44" s="33" t="n">
        <f aca="false">Costs!E44/FX_EUR</f>
        <v>5833.33333333333</v>
      </c>
      <c r="F44" s="33" t="n">
        <f aca="false">Costs!F44/FX_EUR</f>
        <v>5833.33333333333</v>
      </c>
      <c r="G44" s="33" t="n">
        <f aca="false">Costs!G44/FX_EUR</f>
        <v>5833.33333333333</v>
      </c>
      <c r="H44" s="33" t="n">
        <f aca="false">Costs!H44/FX_EUR</f>
        <v>5833.33333333333</v>
      </c>
      <c r="I44" s="33" t="n">
        <f aca="false">Costs!I44/FX_EUR</f>
        <v>5833.33333333333</v>
      </c>
      <c r="J44" s="33" t="n">
        <f aca="false">Costs!J44/FX_EUR</f>
        <v>5833.33333333333</v>
      </c>
      <c r="K44" s="33" t="n">
        <f aca="false">Costs!K44/FX_EUR</f>
        <v>5833.33333333333</v>
      </c>
      <c r="L44" s="33" t="n">
        <f aca="false">Costs!L44/FX_EUR</f>
        <v>5833.33333333333</v>
      </c>
      <c r="M44" s="33" t="n">
        <f aca="false">Costs!M44/FX_EUR</f>
        <v>5833.33333333333</v>
      </c>
      <c r="N44" s="33" t="n">
        <f aca="false">Costs!N44/FX_EUR</f>
        <v>5833.33333333333</v>
      </c>
      <c r="O44" s="33" t="n">
        <f aca="false">Costs!O44/FX_EUR</f>
        <v>5833.33333333333</v>
      </c>
      <c r="P44" s="33" t="n">
        <f aca="false">Costs!P44/FX_EUR</f>
        <v>5833.33333333333</v>
      </c>
      <c r="Q44" s="33" t="n">
        <f aca="false">Costs!Q44/FX_EUR</f>
        <v>5833.33333333333</v>
      </c>
      <c r="R44" s="33" t="n">
        <f aca="false">Costs!R44/FX_EUR</f>
        <v>5833.33333333333</v>
      </c>
      <c r="S44" s="33" t="n">
        <f aca="false">Costs!S44/FX_EUR</f>
        <v>5833.33333333333</v>
      </c>
      <c r="T44" s="33" t="n">
        <f aca="false">Costs!T44/FX_EUR</f>
        <v>5833.33333333333</v>
      </c>
      <c r="U44" s="33" t="n">
        <f aca="false">Costs!U44/FX_EUR</f>
        <v>5833.33333333333</v>
      </c>
      <c r="V44" s="33" t="n">
        <f aca="false">Costs!V44/FX_EUR</f>
        <v>5833.33333333333</v>
      </c>
      <c r="W44" s="33" t="n">
        <f aca="false">Costs!W44/FX_EUR</f>
        <v>5833.33333333333</v>
      </c>
      <c r="X44" s="33" t="n">
        <f aca="false">Costs!X44/FX_EUR</f>
        <v>5833.33333333333</v>
      </c>
      <c r="Y44" s="33" t="n">
        <f aca="false">Costs!Y44/FX_EUR</f>
        <v>5833.33333333333</v>
      </c>
      <c r="Z44" s="33" t="n">
        <f aca="false">Costs!Z44/FX_EUR</f>
        <v>5833.33333333333</v>
      </c>
      <c r="AA44" s="33" t="n">
        <f aca="false">Costs!AA44/FX_EUR</f>
        <v>5833.33333333333</v>
      </c>
      <c r="AB44" s="33" t="n">
        <f aca="false">Costs!AB44/FX_EUR</f>
        <v>5833.33333333333</v>
      </c>
      <c r="AC44" s="33" t="n">
        <f aca="false">Costs!AC44/FX_EUR</f>
        <v>5833.33333333333</v>
      </c>
      <c r="AD44" s="33" t="n">
        <f aca="false">Costs!AD44/FX_EUR</f>
        <v>5833.33333333333</v>
      </c>
      <c r="AE44" s="33" t="n">
        <f aca="false">Costs!AE44/FX_EUR</f>
        <v>5833.33333333333</v>
      </c>
      <c r="AF44" s="33" t="n">
        <f aca="false">Costs!AF44/FX_EUR</f>
        <v>5833.33333333333</v>
      </c>
      <c r="AG44" s="33" t="n">
        <f aca="false">Costs!AG44/FX_EUR</f>
        <v>5833.33333333333</v>
      </c>
      <c r="AH44" s="33" t="n">
        <f aca="false">Costs!AH44/FX_EUR</f>
        <v>5833.33333333333</v>
      </c>
      <c r="AI44" s="33" t="n">
        <f aca="false">Costs!AI44/FX_EUR</f>
        <v>5833.33333333333</v>
      </c>
      <c r="AJ44" s="33" t="n">
        <f aca="false">Costs!AJ44/FX_EUR</f>
        <v>5833.33333333333</v>
      </c>
      <c r="AK44" s="33" t="n">
        <f aca="false">Costs!AK44/FX_EUR</f>
        <v>5833.33333333333</v>
      </c>
      <c r="AL44" s="33" t="n">
        <f aca="false">Costs!AL44/FX_EUR</f>
        <v>5833.33333333333</v>
      </c>
      <c r="AM44" s="33" t="n">
        <f aca="false">Costs!AM44/FX_EUR</f>
        <v>5833.33333333333</v>
      </c>
      <c r="AN44" s="33" t="n">
        <f aca="false">Costs!AN44/FX_EUR</f>
        <v>5833.33333333333</v>
      </c>
      <c r="AO44" s="33" t="n">
        <f aca="false">Costs!AO44/FX_EUR</f>
        <v>2947.34766658993</v>
      </c>
      <c r="AP44" s="33" t="n">
        <f aca="false">Costs!AP44/FX_EUR</f>
        <v>2947.34766658993</v>
      </c>
      <c r="AQ44" s="33" t="n">
        <f aca="false">Costs!AQ44/FX_EUR</f>
        <v>2947.34766658993</v>
      </c>
      <c r="AR44" s="33" t="n">
        <f aca="false">Costs!AR44/FX_EUR</f>
        <v>2947.34766658993</v>
      </c>
      <c r="AS44" s="33" t="n">
        <f aca="false">Costs!AS44/FX_EUR</f>
        <v>2947.34766658993</v>
      </c>
      <c r="AT44" s="33" t="n">
        <f aca="false">Costs!AT44/FX_EUR</f>
        <v>2947.34766658993</v>
      </c>
      <c r="AU44" s="33" t="n">
        <f aca="false">Costs!AU44/FX_EUR</f>
        <v>2947.34766658993</v>
      </c>
      <c r="AV44" s="33" t="n">
        <f aca="false">Costs!AV44/FX_EUR</f>
        <v>2947.34766658993</v>
      </c>
      <c r="AW44" s="33" t="n">
        <f aca="false">Costs!AW44/FX_EUR</f>
        <v>2947.34766658993</v>
      </c>
      <c r="AX44" s="33" t="n">
        <f aca="false">Costs!AX44/FX_EUR</f>
        <v>2947.34766658993</v>
      </c>
      <c r="AY44" s="33" t="n">
        <f aca="false">Costs!AY44/FX_EUR</f>
        <v>2947.34766658993</v>
      </c>
      <c r="AZ44" s="33" t="n">
        <f aca="false">Costs!AZ44/FX_EUR</f>
        <v>2947.34766658993</v>
      </c>
      <c r="BA44" s="33" t="n">
        <f aca="false">Costs!BA44/FX_EUR</f>
        <v>2947.34766658993</v>
      </c>
      <c r="BB44" s="33" t="n">
        <f aca="false">Costs!BB44/FX_EUR</f>
        <v>2947.34766658993</v>
      </c>
      <c r="BC44" s="33" t="n">
        <f aca="false">Costs!BC44/FX_EUR</f>
        <v>2947.34766658993</v>
      </c>
      <c r="BD44" s="33" t="n">
        <f aca="false">Costs!BD44/FX_EUR</f>
        <v>2947.34766658993</v>
      </c>
      <c r="BE44" s="33" t="n">
        <f aca="false">Costs!BE44/FX_EUR</f>
        <v>2947.34766658993</v>
      </c>
      <c r="BF44" s="33" t="n">
        <f aca="false">Costs!BF44/FX_EUR</f>
        <v>2947.34766658993</v>
      </c>
      <c r="BG44" s="33" t="n">
        <f aca="false">Costs!BG44/FX_EUR</f>
        <v>2947.34766658993</v>
      </c>
      <c r="BH44" s="33" t="n">
        <f aca="false">Costs!BH44/FX_EUR</f>
        <v>2947.34766658993</v>
      </c>
      <c r="BI44" s="33" t="n">
        <f aca="false">Costs!BI44/FX_EUR</f>
        <v>2947.34766658993</v>
      </c>
      <c r="BJ44" s="33" t="n">
        <f aca="false">Costs!BJ44/FX_EUR</f>
        <v>2947.34766658993</v>
      </c>
      <c r="BK44" s="33" t="n">
        <f aca="false">Costs!BK44/FX_EUR</f>
        <v>2947.34766658993</v>
      </c>
      <c r="BL44" s="33" t="n">
        <f aca="false">Costs!BL44/FX_EUR</f>
        <v>2947.34766658993</v>
      </c>
    </row>
    <row r="45" customFormat="false" ht="15" hidden="false" customHeight="true" outlineLevel="0" collapsed="false">
      <c r="A45" s="13" t="s">
        <v>834</v>
      </c>
      <c r="B45" s="15" t="s">
        <v>79</v>
      </c>
      <c r="D45" s="56" t="n">
        <f aca="false">Costs!D45/FX_EUR</f>
        <v>400544.547889572</v>
      </c>
      <c r="E45" s="33" t="n">
        <f aca="false">Costs!E45/FX_EUR</f>
        <v>0</v>
      </c>
      <c r="F45" s="33" t="n">
        <f aca="false">Costs!F45/FX_EUR</f>
        <v>2652.61289993094</v>
      </c>
      <c r="G45" s="33" t="n">
        <f aca="false">Costs!G45/FX_EUR</f>
        <v>2652.61289993094</v>
      </c>
      <c r="H45" s="33" t="n">
        <f aca="false">Costs!H45/FX_EUR</f>
        <v>2652.61289993094</v>
      </c>
      <c r="I45" s="33" t="n">
        <f aca="false">Costs!I45/FX_EUR</f>
        <v>2652.61289993094</v>
      </c>
      <c r="J45" s="33" t="n">
        <f aca="false">Costs!J45/FX_EUR</f>
        <v>2652.61289993094</v>
      </c>
      <c r="K45" s="33" t="n">
        <f aca="false">Costs!K45/FX_EUR</f>
        <v>2652.61289993094</v>
      </c>
      <c r="L45" s="33" t="n">
        <f aca="false">Costs!L45/FX_EUR</f>
        <v>2652.61289993094</v>
      </c>
      <c r="M45" s="33" t="n">
        <f aca="false">Costs!M45/FX_EUR</f>
        <v>2652.61289993094</v>
      </c>
      <c r="N45" s="33" t="n">
        <f aca="false">Costs!N45/FX_EUR</f>
        <v>2652.61289993094</v>
      </c>
      <c r="O45" s="33" t="n">
        <f aca="false">Costs!O45/FX_EUR</f>
        <v>2652.61289993094</v>
      </c>
      <c r="P45" s="33" t="n">
        <f aca="false">Costs!P45/FX_EUR</f>
        <v>2652.61289993094</v>
      </c>
      <c r="Q45" s="33" t="n">
        <f aca="false">Costs!Q45/FX_EUR</f>
        <v>4421.0214998849</v>
      </c>
      <c r="R45" s="33" t="n">
        <f aca="false">Costs!R45/FX_EUR</f>
        <v>4421.0214998849</v>
      </c>
      <c r="S45" s="33" t="n">
        <f aca="false">Costs!S45/FX_EUR</f>
        <v>4421.0214998849</v>
      </c>
      <c r="T45" s="33" t="n">
        <f aca="false">Costs!T45/FX_EUR</f>
        <v>4421.0214998849</v>
      </c>
      <c r="U45" s="33" t="n">
        <f aca="false">Costs!U45/FX_EUR</f>
        <v>4421.0214998849</v>
      </c>
      <c r="V45" s="33" t="n">
        <f aca="false">Costs!V45/FX_EUR</f>
        <v>4421.0214998849</v>
      </c>
      <c r="W45" s="33" t="n">
        <f aca="false">Costs!W45/FX_EUR</f>
        <v>4421.0214998849</v>
      </c>
      <c r="X45" s="33" t="n">
        <f aca="false">Costs!X45/FX_EUR</f>
        <v>4421.0214998849</v>
      </c>
      <c r="Y45" s="33" t="n">
        <f aca="false">Costs!Y45/FX_EUR</f>
        <v>4421.0214998849</v>
      </c>
      <c r="Z45" s="33" t="n">
        <f aca="false">Costs!Z45/FX_EUR</f>
        <v>4421.0214998849</v>
      </c>
      <c r="AA45" s="33" t="n">
        <f aca="false">Costs!AA45/FX_EUR</f>
        <v>4421.0214998849</v>
      </c>
      <c r="AB45" s="33" t="n">
        <f aca="false">Costs!AB45/FX_EUR</f>
        <v>4421.0214998849</v>
      </c>
      <c r="AC45" s="33" t="n">
        <f aca="false">Costs!AC45/FX_EUR</f>
        <v>7073.63439981584</v>
      </c>
      <c r="AD45" s="33" t="n">
        <f aca="false">Costs!AD45/FX_EUR</f>
        <v>7073.63439981584</v>
      </c>
      <c r="AE45" s="33" t="n">
        <f aca="false">Costs!AE45/FX_EUR</f>
        <v>7073.63439981584</v>
      </c>
      <c r="AF45" s="33" t="n">
        <f aca="false">Costs!AF45/FX_EUR</f>
        <v>7073.63439981584</v>
      </c>
      <c r="AG45" s="33" t="n">
        <f aca="false">Costs!AG45/FX_EUR</f>
        <v>7073.63439981584</v>
      </c>
      <c r="AH45" s="33" t="n">
        <f aca="false">Costs!AH45/FX_EUR</f>
        <v>7073.63439981584</v>
      </c>
      <c r="AI45" s="33" t="n">
        <f aca="false">Costs!AI45/FX_EUR</f>
        <v>7073.63439981584</v>
      </c>
      <c r="AJ45" s="33" t="n">
        <f aca="false">Costs!AJ45/FX_EUR</f>
        <v>7073.63439981584</v>
      </c>
      <c r="AK45" s="33" t="n">
        <f aca="false">Costs!AK45/FX_EUR</f>
        <v>7073.63439981584</v>
      </c>
      <c r="AL45" s="33" t="n">
        <f aca="false">Costs!AL45/FX_EUR</f>
        <v>7073.63439981584</v>
      </c>
      <c r="AM45" s="33" t="n">
        <f aca="false">Costs!AM45/FX_EUR</f>
        <v>7073.63439981584</v>
      </c>
      <c r="AN45" s="33" t="n">
        <f aca="false">Costs!AN45/FX_EUR</f>
        <v>7073.63439981584</v>
      </c>
      <c r="AO45" s="33" t="n">
        <f aca="false">Costs!AO45/FX_EUR</f>
        <v>8842.0429997698</v>
      </c>
      <c r="AP45" s="33" t="n">
        <f aca="false">Costs!AP45/FX_EUR</f>
        <v>8842.0429997698</v>
      </c>
      <c r="AQ45" s="33" t="n">
        <f aca="false">Costs!AQ45/FX_EUR</f>
        <v>8842.0429997698</v>
      </c>
      <c r="AR45" s="33" t="n">
        <f aca="false">Costs!AR45/FX_EUR</f>
        <v>8842.0429997698</v>
      </c>
      <c r="AS45" s="33" t="n">
        <f aca="false">Costs!AS45/FX_EUR</f>
        <v>8842.0429997698</v>
      </c>
      <c r="AT45" s="33" t="n">
        <f aca="false">Costs!AT45/FX_EUR</f>
        <v>8842.0429997698</v>
      </c>
      <c r="AU45" s="33" t="n">
        <f aca="false">Costs!AU45/FX_EUR</f>
        <v>8842.0429997698</v>
      </c>
      <c r="AV45" s="33" t="n">
        <f aca="false">Costs!AV45/FX_EUR</f>
        <v>8842.0429997698</v>
      </c>
      <c r="AW45" s="33" t="n">
        <f aca="false">Costs!AW45/FX_EUR</f>
        <v>8842.0429997698</v>
      </c>
      <c r="AX45" s="33" t="n">
        <f aca="false">Costs!AX45/FX_EUR</f>
        <v>8842.0429997698</v>
      </c>
      <c r="AY45" s="33" t="n">
        <f aca="false">Costs!AY45/FX_EUR</f>
        <v>8842.0429997698</v>
      </c>
      <c r="AZ45" s="33" t="n">
        <f aca="false">Costs!AZ45/FX_EUR</f>
        <v>8842.0429997698</v>
      </c>
      <c r="BA45" s="33" t="n">
        <f aca="false">Costs!BA45/FX_EUR</f>
        <v>10610.4515997238</v>
      </c>
      <c r="BB45" s="33" t="n">
        <f aca="false">Costs!BB45/FX_EUR</f>
        <v>10610.4515997238</v>
      </c>
      <c r="BC45" s="33" t="n">
        <f aca="false">Costs!BC45/FX_EUR</f>
        <v>10610.4515997238</v>
      </c>
      <c r="BD45" s="33" t="n">
        <f aca="false">Costs!BD45/FX_EUR</f>
        <v>10610.4515997238</v>
      </c>
      <c r="BE45" s="33" t="n">
        <f aca="false">Costs!BE45/FX_EUR</f>
        <v>10610.4515997238</v>
      </c>
      <c r="BF45" s="33" t="n">
        <f aca="false">Costs!BF45/FX_EUR</f>
        <v>10610.4515997238</v>
      </c>
      <c r="BG45" s="33" t="n">
        <f aca="false">Costs!BG45/FX_EUR</f>
        <v>10610.4515997238</v>
      </c>
      <c r="BH45" s="33" t="n">
        <f aca="false">Costs!BH45/FX_EUR</f>
        <v>10610.4515997238</v>
      </c>
      <c r="BI45" s="33" t="n">
        <f aca="false">Costs!BI45/FX_EUR</f>
        <v>10610.4515997238</v>
      </c>
      <c r="BJ45" s="33" t="n">
        <f aca="false">Costs!BJ45/FX_EUR</f>
        <v>10610.4515997238</v>
      </c>
      <c r="BK45" s="33" t="n">
        <f aca="false">Costs!BK45/FX_EUR</f>
        <v>10610.4515997238</v>
      </c>
      <c r="BL45" s="33" t="n">
        <f aca="false">Costs!BL45/FX_EUR</f>
        <v>10610.4515997238</v>
      </c>
    </row>
    <row r="46" customFormat="false" ht="15" hidden="false" customHeight="true" outlineLevel="0" collapsed="false">
      <c r="A46" s="13" t="s">
        <v>841</v>
      </c>
      <c r="B46" s="15" t="s">
        <v>79</v>
      </c>
      <c r="D46" s="56" t="n">
        <f aca="false">Costs!D46/FX_EUR</f>
        <v>131746.44069657</v>
      </c>
      <c r="E46" s="33" t="n">
        <f aca="false">Costs!E46/FX_EUR</f>
        <v>663.153224982735</v>
      </c>
      <c r="F46" s="33" t="n">
        <f aca="false">Costs!F46/FX_EUR</f>
        <v>663.153224982735</v>
      </c>
      <c r="G46" s="33" t="n">
        <f aca="false">Costs!G46/FX_EUR</f>
        <v>663.153224982735</v>
      </c>
      <c r="H46" s="33" t="n">
        <f aca="false">Costs!H46/FX_EUR</f>
        <v>663.153224982735</v>
      </c>
      <c r="I46" s="33" t="n">
        <f aca="false">Costs!I46/FX_EUR</f>
        <v>663.153224982735</v>
      </c>
      <c r="J46" s="33" t="n">
        <f aca="false">Costs!J46/FX_EUR</f>
        <v>663.153224982735</v>
      </c>
      <c r="K46" s="33" t="n">
        <f aca="false">Costs!K46/FX_EUR</f>
        <v>663.153224982735</v>
      </c>
      <c r="L46" s="33" t="n">
        <f aca="false">Costs!L46/FX_EUR</f>
        <v>663.153224982735</v>
      </c>
      <c r="M46" s="33" t="n">
        <f aca="false">Costs!M46/FX_EUR</f>
        <v>663.153224982735</v>
      </c>
      <c r="N46" s="33" t="n">
        <f aca="false">Costs!N46/FX_EUR</f>
        <v>663.153224982735</v>
      </c>
      <c r="O46" s="33" t="n">
        <f aca="false">Costs!O46/FX_EUR</f>
        <v>663.153224982735</v>
      </c>
      <c r="P46" s="33" t="n">
        <f aca="false">Costs!P46/FX_EUR</f>
        <v>663.153224982735</v>
      </c>
      <c r="Q46" s="33" t="n">
        <f aca="false">Costs!Q46/FX_EUR</f>
        <v>1473.67383329497</v>
      </c>
      <c r="R46" s="33" t="n">
        <f aca="false">Costs!R46/FX_EUR</f>
        <v>1473.67383329497</v>
      </c>
      <c r="S46" s="33" t="n">
        <f aca="false">Costs!S46/FX_EUR</f>
        <v>1473.67383329497</v>
      </c>
      <c r="T46" s="33" t="n">
        <f aca="false">Costs!T46/FX_EUR</f>
        <v>1473.67383329497</v>
      </c>
      <c r="U46" s="33" t="n">
        <f aca="false">Costs!U46/FX_EUR</f>
        <v>1473.67383329497</v>
      </c>
      <c r="V46" s="33" t="n">
        <f aca="false">Costs!V46/FX_EUR</f>
        <v>1473.67383329497</v>
      </c>
      <c r="W46" s="33" t="n">
        <f aca="false">Costs!W46/FX_EUR</f>
        <v>1473.67383329497</v>
      </c>
      <c r="X46" s="33" t="n">
        <f aca="false">Costs!X46/FX_EUR</f>
        <v>1473.67383329497</v>
      </c>
      <c r="Y46" s="33" t="n">
        <f aca="false">Costs!Y46/FX_EUR</f>
        <v>1473.67383329497</v>
      </c>
      <c r="Z46" s="33" t="n">
        <f aca="false">Costs!Z46/FX_EUR</f>
        <v>1473.67383329497</v>
      </c>
      <c r="AA46" s="33" t="n">
        <f aca="false">Costs!AA46/FX_EUR</f>
        <v>1473.67383329497</v>
      </c>
      <c r="AB46" s="33" t="n">
        <f aca="false">Costs!AB46/FX_EUR</f>
        <v>1473.67383329497</v>
      </c>
      <c r="AC46" s="33" t="n">
        <f aca="false">Costs!AC46/FX_EUR</f>
        <v>2210.51074994245</v>
      </c>
      <c r="AD46" s="33" t="n">
        <f aca="false">Costs!AD46/FX_EUR</f>
        <v>2210.51074994245</v>
      </c>
      <c r="AE46" s="33" t="n">
        <f aca="false">Costs!AE46/FX_EUR</f>
        <v>2210.51074994245</v>
      </c>
      <c r="AF46" s="33" t="n">
        <f aca="false">Costs!AF46/FX_EUR</f>
        <v>2210.51074994245</v>
      </c>
      <c r="AG46" s="33" t="n">
        <f aca="false">Costs!AG46/FX_EUR</f>
        <v>2210.51074994245</v>
      </c>
      <c r="AH46" s="33" t="n">
        <f aca="false">Costs!AH46/FX_EUR</f>
        <v>2210.51074994245</v>
      </c>
      <c r="AI46" s="33" t="n">
        <f aca="false">Costs!AI46/FX_EUR</f>
        <v>2210.51074994245</v>
      </c>
      <c r="AJ46" s="33" t="n">
        <f aca="false">Costs!AJ46/FX_EUR</f>
        <v>2210.51074994245</v>
      </c>
      <c r="AK46" s="33" t="n">
        <f aca="false">Costs!AK46/FX_EUR</f>
        <v>2210.51074994245</v>
      </c>
      <c r="AL46" s="33" t="n">
        <f aca="false">Costs!AL46/FX_EUR</f>
        <v>2210.51074994245</v>
      </c>
      <c r="AM46" s="33" t="n">
        <f aca="false">Costs!AM46/FX_EUR</f>
        <v>2210.51074994245</v>
      </c>
      <c r="AN46" s="33" t="n">
        <f aca="false">Costs!AN46/FX_EUR</f>
        <v>2210.51074994245</v>
      </c>
      <c r="AO46" s="33" t="n">
        <f aca="false">Costs!AO46/FX_EUR</f>
        <v>2947.34766658993</v>
      </c>
      <c r="AP46" s="33" t="n">
        <f aca="false">Costs!AP46/FX_EUR</f>
        <v>2947.34766658993</v>
      </c>
      <c r="AQ46" s="33" t="n">
        <f aca="false">Costs!AQ46/FX_EUR</f>
        <v>2947.34766658993</v>
      </c>
      <c r="AR46" s="33" t="n">
        <f aca="false">Costs!AR46/FX_EUR</f>
        <v>2947.34766658993</v>
      </c>
      <c r="AS46" s="33" t="n">
        <f aca="false">Costs!AS46/FX_EUR</f>
        <v>2947.34766658993</v>
      </c>
      <c r="AT46" s="33" t="n">
        <f aca="false">Costs!AT46/FX_EUR</f>
        <v>2947.34766658993</v>
      </c>
      <c r="AU46" s="33" t="n">
        <f aca="false">Costs!AU46/FX_EUR</f>
        <v>2947.34766658993</v>
      </c>
      <c r="AV46" s="33" t="n">
        <f aca="false">Costs!AV46/FX_EUR</f>
        <v>2947.34766658993</v>
      </c>
      <c r="AW46" s="33" t="n">
        <f aca="false">Costs!AW46/FX_EUR</f>
        <v>2947.34766658993</v>
      </c>
      <c r="AX46" s="33" t="n">
        <f aca="false">Costs!AX46/FX_EUR</f>
        <v>2947.34766658993</v>
      </c>
      <c r="AY46" s="33" t="n">
        <f aca="false">Costs!AY46/FX_EUR</f>
        <v>2947.34766658993</v>
      </c>
      <c r="AZ46" s="33" t="n">
        <f aca="false">Costs!AZ46/FX_EUR</f>
        <v>2947.34766658993</v>
      </c>
      <c r="BA46" s="33" t="n">
        <f aca="false">Costs!BA46/FX_EUR</f>
        <v>3684.18458323742</v>
      </c>
      <c r="BB46" s="33" t="n">
        <f aca="false">Costs!BB46/FX_EUR</f>
        <v>3684.18458323742</v>
      </c>
      <c r="BC46" s="33" t="n">
        <f aca="false">Costs!BC46/FX_EUR</f>
        <v>3684.18458323742</v>
      </c>
      <c r="BD46" s="33" t="n">
        <f aca="false">Costs!BD46/FX_EUR</f>
        <v>3684.18458323742</v>
      </c>
      <c r="BE46" s="33" t="n">
        <f aca="false">Costs!BE46/FX_EUR</f>
        <v>3684.18458323742</v>
      </c>
      <c r="BF46" s="33" t="n">
        <f aca="false">Costs!BF46/FX_EUR</f>
        <v>3684.18458323742</v>
      </c>
      <c r="BG46" s="33" t="n">
        <f aca="false">Costs!BG46/FX_EUR</f>
        <v>3684.18458323742</v>
      </c>
      <c r="BH46" s="33" t="n">
        <f aca="false">Costs!BH46/FX_EUR</f>
        <v>3684.18458323742</v>
      </c>
      <c r="BI46" s="33" t="n">
        <f aca="false">Costs!BI46/FX_EUR</f>
        <v>3684.18458323742</v>
      </c>
      <c r="BJ46" s="33" t="n">
        <f aca="false">Costs!BJ46/FX_EUR</f>
        <v>3684.18458323742</v>
      </c>
      <c r="BK46" s="33" t="n">
        <f aca="false">Costs!BK46/FX_EUR</f>
        <v>3684.18458323742</v>
      </c>
      <c r="BL46" s="33" t="n">
        <f aca="false">Costs!BL46/FX_EUR</f>
        <v>3684.18458323742</v>
      </c>
    </row>
    <row r="47" customFormat="false" ht="15" hidden="false" customHeight="true" outlineLevel="0" collapsed="false">
      <c r="A47" s="13" t="s">
        <v>1299</v>
      </c>
      <c r="B47" s="15" t="s">
        <v>79</v>
      </c>
      <c r="D47" s="56" t="n">
        <f aca="false">Costs!D47/FX_EUR</f>
        <v>132.630644996547</v>
      </c>
      <c r="E47" s="33" t="n">
        <f aca="false">Costs!E47/FX_EUR</f>
        <v>0</v>
      </c>
      <c r="F47" s="33" t="n">
        <f aca="false">Costs!F47/FX_EUR</f>
        <v>0</v>
      </c>
      <c r="G47" s="33" t="n">
        <f aca="false">Costs!G47/FX_EUR</f>
        <v>0</v>
      </c>
      <c r="H47" s="33" t="n">
        <f aca="false">Costs!H47/FX_EUR</f>
        <v>132.630644996547</v>
      </c>
      <c r="I47" s="33" t="n">
        <f aca="false">Costs!I47/FX_EUR</f>
        <v>0</v>
      </c>
      <c r="J47" s="33" t="n">
        <f aca="false">Costs!J47/FX_EUR</f>
        <v>0</v>
      </c>
      <c r="K47" s="33" t="n">
        <f aca="false">Costs!K47/FX_EUR</f>
        <v>0</v>
      </c>
      <c r="L47" s="33" t="n">
        <f aca="false">Costs!L47/FX_EUR</f>
        <v>0</v>
      </c>
      <c r="M47" s="33" t="n">
        <f aca="false">Costs!M47/FX_EUR</f>
        <v>0</v>
      </c>
      <c r="N47" s="33" t="n">
        <f aca="false">Costs!N47/FX_EUR</f>
        <v>0</v>
      </c>
      <c r="O47" s="33" t="n">
        <f aca="false">Costs!O47/FX_EUR</f>
        <v>0</v>
      </c>
      <c r="P47" s="33" t="n">
        <f aca="false">Costs!P47/FX_EUR</f>
        <v>0</v>
      </c>
      <c r="Q47" s="33" t="n">
        <f aca="false">Costs!Q47/FX_EUR</f>
        <v>0</v>
      </c>
      <c r="R47" s="33" t="n">
        <f aca="false">Costs!R47/FX_EUR</f>
        <v>0</v>
      </c>
      <c r="S47" s="33" t="n">
        <f aca="false">Costs!S47/FX_EUR</f>
        <v>0</v>
      </c>
      <c r="T47" s="33" t="n">
        <f aca="false">Costs!T47/FX_EUR</f>
        <v>0</v>
      </c>
      <c r="U47" s="33" t="n">
        <f aca="false">Costs!U47/FX_EUR</f>
        <v>0</v>
      </c>
      <c r="V47" s="33" t="n">
        <f aca="false">Costs!V47/FX_EUR</f>
        <v>0</v>
      </c>
      <c r="W47" s="33" t="n">
        <f aca="false">Costs!W47/FX_EUR</f>
        <v>0</v>
      </c>
      <c r="X47" s="33" t="n">
        <f aca="false">Costs!X47/FX_EUR</f>
        <v>0</v>
      </c>
      <c r="Y47" s="33" t="n">
        <f aca="false">Costs!Y47/FX_EUR</f>
        <v>0</v>
      </c>
      <c r="Z47" s="33" t="n">
        <f aca="false">Costs!Z47/FX_EUR</f>
        <v>0</v>
      </c>
      <c r="AA47" s="33" t="n">
        <f aca="false">Costs!AA47/FX_EUR</f>
        <v>0</v>
      </c>
      <c r="AB47" s="33" t="n">
        <f aca="false">Costs!AB47/FX_EUR</f>
        <v>0</v>
      </c>
      <c r="AC47" s="33" t="n">
        <f aca="false">Costs!AC47/FX_EUR</f>
        <v>0</v>
      </c>
      <c r="AD47" s="33" t="n">
        <f aca="false">Costs!AD47/FX_EUR</f>
        <v>0</v>
      </c>
      <c r="AE47" s="33" t="n">
        <f aca="false">Costs!AE47/FX_EUR</f>
        <v>0</v>
      </c>
      <c r="AF47" s="33" t="n">
        <f aca="false">Costs!AF47/FX_EUR</f>
        <v>0</v>
      </c>
      <c r="AG47" s="33" t="n">
        <f aca="false">Costs!AG47/FX_EUR</f>
        <v>0</v>
      </c>
      <c r="AH47" s="33" t="n">
        <f aca="false">Costs!AH47/FX_EUR</f>
        <v>0</v>
      </c>
      <c r="AI47" s="33" t="n">
        <f aca="false">Costs!AI47/FX_EUR</f>
        <v>0</v>
      </c>
      <c r="AJ47" s="33" t="n">
        <f aca="false">Costs!AJ47/FX_EUR</f>
        <v>0</v>
      </c>
      <c r="AK47" s="33" t="n">
        <f aca="false">Costs!AK47/FX_EUR</f>
        <v>0</v>
      </c>
      <c r="AL47" s="33" t="n">
        <f aca="false">Costs!AL47/FX_EUR</f>
        <v>0</v>
      </c>
      <c r="AM47" s="33" t="n">
        <f aca="false">Costs!AM47/FX_EUR</f>
        <v>0</v>
      </c>
      <c r="AN47" s="33" t="n">
        <f aca="false">Costs!AN47/FX_EUR</f>
        <v>0</v>
      </c>
      <c r="AO47" s="33" t="n">
        <f aca="false">Costs!AO47/FX_EUR</f>
        <v>0</v>
      </c>
      <c r="AP47" s="33" t="n">
        <f aca="false">Costs!AP47/FX_EUR</f>
        <v>0</v>
      </c>
      <c r="AQ47" s="33" t="n">
        <f aca="false">Costs!AQ47/FX_EUR</f>
        <v>0</v>
      </c>
      <c r="AR47" s="33" t="n">
        <f aca="false">Costs!AR47/FX_EUR</f>
        <v>0</v>
      </c>
      <c r="AS47" s="33" t="n">
        <f aca="false">Costs!AS47/FX_EUR</f>
        <v>0</v>
      </c>
      <c r="AT47" s="33" t="n">
        <f aca="false">Costs!AT47/FX_EUR</f>
        <v>0</v>
      </c>
      <c r="AU47" s="33" t="n">
        <f aca="false">Costs!AU47/FX_EUR</f>
        <v>0</v>
      </c>
      <c r="AV47" s="33" t="n">
        <f aca="false">Costs!AV47/FX_EUR</f>
        <v>0</v>
      </c>
      <c r="AW47" s="33" t="n">
        <f aca="false">Costs!AW47/FX_EUR</f>
        <v>0</v>
      </c>
      <c r="AX47" s="33" t="n">
        <f aca="false">Costs!AX47/FX_EUR</f>
        <v>0</v>
      </c>
      <c r="AY47" s="33" t="n">
        <f aca="false">Costs!AY47/FX_EUR</f>
        <v>0</v>
      </c>
      <c r="AZ47" s="33" t="n">
        <f aca="false">Costs!AZ47/FX_EUR</f>
        <v>0</v>
      </c>
      <c r="BA47" s="33" t="n">
        <f aca="false">Costs!BA47/FX_EUR</f>
        <v>0</v>
      </c>
      <c r="BB47" s="33" t="n">
        <f aca="false">Costs!BB47/FX_EUR</f>
        <v>0</v>
      </c>
      <c r="BC47" s="33" t="n">
        <f aca="false">Costs!BC47/FX_EUR</f>
        <v>0</v>
      </c>
      <c r="BD47" s="33" t="n">
        <f aca="false">Costs!BD47/FX_EUR</f>
        <v>0</v>
      </c>
      <c r="BE47" s="33" t="n">
        <f aca="false">Costs!BE47/FX_EUR</f>
        <v>0</v>
      </c>
      <c r="BF47" s="33" t="n">
        <f aca="false">Costs!BF47/FX_EUR</f>
        <v>0</v>
      </c>
      <c r="BG47" s="33" t="n">
        <f aca="false">Costs!BG47/FX_EUR</f>
        <v>0</v>
      </c>
      <c r="BH47" s="33" t="n">
        <f aca="false">Costs!BH47/FX_EUR</f>
        <v>0</v>
      </c>
      <c r="BI47" s="33" t="n">
        <f aca="false">Costs!BI47/FX_EUR</f>
        <v>0</v>
      </c>
      <c r="BJ47" s="33" t="n">
        <f aca="false">Costs!BJ47/FX_EUR</f>
        <v>0</v>
      </c>
      <c r="BK47" s="33" t="n">
        <f aca="false">Costs!BK47/FX_EUR</f>
        <v>0</v>
      </c>
      <c r="BL47" s="33" t="n">
        <f aca="false">Costs!BL47/FX_EUR</f>
        <v>0</v>
      </c>
    </row>
    <row r="48" customFormat="false" ht="15" hidden="false" customHeight="true" outlineLevel="0" collapsed="false">
      <c r="A48" s="13" t="s">
        <v>1300</v>
      </c>
      <c r="B48" s="15" t="s">
        <v>79</v>
      </c>
      <c r="D48" s="56" t="n">
        <f aca="false">Costs!D48/FX_EUR</f>
        <v>30128.3773174156</v>
      </c>
      <c r="E48" s="33" t="n">
        <f aca="false">Costs!E48/FX_EUR</f>
        <v>79.5783869979282</v>
      </c>
      <c r="F48" s="33" t="n">
        <f aca="false">Costs!F48/FX_EUR</f>
        <v>79.5783869979282</v>
      </c>
      <c r="G48" s="33" t="n">
        <f aca="false">Costs!G48/FX_EUR</f>
        <v>79.5783869979282</v>
      </c>
      <c r="H48" s="33" t="n">
        <f aca="false">Costs!H48/FX_EUR</f>
        <v>159.156773995856</v>
      </c>
      <c r="I48" s="33" t="n">
        <f aca="false">Costs!I48/FX_EUR</f>
        <v>175.072451395442</v>
      </c>
      <c r="J48" s="33" t="n">
        <f aca="false">Costs!J48/FX_EUR</f>
        <v>175.072451395442</v>
      </c>
      <c r="K48" s="33" t="n">
        <f aca="false">Costs!K48/FX_EUR</f>
        <v>175.072451395442</v>
      </c>
      <c r="L48" s="33" t="n">
        <f aca="false">Costs!L48/FX_EUR</f>
        <v>175.072451395442</v>
      </c>
      <c r="M48" s="33" t="n">
        <f aca="false">Costs!M48/FX_EUR</f>
        <v>175.072451395442</v>
      </c>
      <c r="N48" s="33" t="n">
        <f aca="false">Costs!N48/FX_EUR</f>
        <v>175.072451395442</v>
      </c>
      <c r="O48" s="33" t="n">
        <f aca="false">Costs!O48/FX_EUR</f>
        <v>175.072451395442</v>
      </c>
      <c r="P48" s="33" t="n">
        <f aca="false">Costs!P48/FX_EUR</f>
        <v>175.072451395442</v>
      </c>
      <c r="Q48" s="33" t="n">
        <f aca="false">Costs!Q48/FX_EUR</f>
        <v>190.988128795028</v>
      </c>
      <c r="R48" s="33" t="n">
        <f aca="false">Costs!R48/FX_EUR</f>
        <v>190.988128795028</v>
      </c>
      <c r="S48" s="33" t="n">
        <f aca="false">Costs!S48/FX_EUR</f>
        <v>190.988128795028</v>
      </c>
      <c r="T48" s="33" t="n">
        <f aca="false">Costs!T48/FX_EUR</f>
        <v>206.903806194613</v>
      </c>
      <c r="U48" s="33" t="n">
        <f aca="false">Costs!U48/FX_EUR</f>
        <v>206.903806194613</v>
      </c>
      <c r="V48" s="33" t="n">
        <f aca="false">Costs!V48/FX_EUR</f>
        <v>254.65083839337</v>
      </c>
      <c r="W48" s="33" t="n">
        <f aca="false">Costs!W48/FX_EUR</f>
        <v>254.65083839337</v>
      </c>
      <c r="X48" s="33" t="n">
        <f aca="false">Costs!X48/FX_EUR</f>
        <v>270.566515792956</v>
      </c>
      <c r="Y48" s="33" t="n">
        <f aca="false">Costs!Y48/FX_EUR</f>
        <v>286.482193192542</v>
      </c>
      <c r="Z48" s="33" t="n">
        <f aca="false">Costs!Z48/FX_EUR</f>
        <v>286.482193192542</v>
      </c>
      <c r="AA48" s="33" t="n">
        <f aca="false">Costs!AA48/FX_EUR</f>
        <v>286.482193192542</v>
      </c>
      <c r="AB48" s="33" t="n">
        <f aca="false">Costs!AB48/FX_EUR</f>
        <v>302.397870592127</v>
      </c>
      <c r="AC48" s="33" t="n">
        <f aca="false">Costs!AC48/FX_EUR</f>
        <v>318.313547991713</v>
      </c>
      <c r="AD48" s="33" t="n">
        <f aca="false">Costs!AD48/FX_EUR</f>
        <v>334.229225391299</v>
      </c>
      <c r="AE48" s="33" t="n">
        <f aca="false">Costs!AE48/FX_EUR</f>
        <v>334.229225391299</v>
      </c>
      <c r="AF48" s="33" t="n">
        <f aca="false">Costs!AF48/FX_EUR</f>
        <v>366.06058019047</v>
      </c>
      <c r="AG48" s="33" t="n">
        <f aca="false">Costs!AG48/FX_EUR</f>
        <v>413.807612389227</v>
      </c>
      <c r="AH48" s="33" t="n">
        <f aca="false">Costs!AH48/FX_EUR</f>
        <v>429.723289788812</v>
      </c>
      <c r="AI48" s="33" t="n">
        <f aca="false">Costs!AI48/FX_EUR</f>
        <v>445.638967188398</v>
      </c>
      <c r="AJ48" s="33" t="n">
        <f aca="false">Costs!AJ48/FX_EUR</f>
        <v>445.638967188398</v>
      </c>
      <c r="AK48" s="33" t="n">
        <f aca="false">Costs!AK48/FX_EUR</f>
        <v>461.554644587984</v>
      </c>
      <c r="AL48" s="33" t="n">
        <f aca="false">Costs!AL48/FX_EUR</f>
        <v>493.385999387155</v>
      </c>
      <c r="AM48" s="33" t="n">
        <f aca="false">Costs!AM48/FX_EUR</f>
        <v>509.301676786741</v>
      </c>
      <c r="AN48" s="33" t="n">
        <f aca="false">Costs!AN48/FX_EUR</f>
        <v>525.217354186326</v>
      </c>
      <c r="AO48" s="33" t="n">
        <f aca="false">Costs!AO48/FX_EUR</f>
        <v>557.048708985498</v>
      </c>
      <c r="AP48" s="33" t="n">
        <f aca="false">Costs!AP48/FX_EUR</f>
        <v>557.048708985498</v>
      </c>
      <c r="AQ48" s="33" t="n">
        <f aca="false">Costs!AQ48/FX_EUR</f>
        <v>588.880063784669</v>
      </c>
      <c r="AR48" s="33" t="n">
        <f aca="false">Costs!AR48/FX_EUR</f>
        <v>636.627095983426</v>
      </c>
      <c r="AS48" s="33" t="n">
        <f aca="false">Costs!AS48/FX_EUR</f>
        <v>636.627095983426</v>
      </c>
      <c r="AT48" s="33" t="n">
        <f aca="false">Costs!AT48/FX_EUR</f>
        <v>652.542773383011</v>
      </c>
      <c r="AU48" s="33" t="n">
        <f aca="false">Costs!AU48/FX_EUR</f>
        <v>700.289805581768</v>
      </c>
      <c r="AV48" s="33" t="n">
        <f aca="false">Costs!AV48/FX_EUR</f>
        <v>700.289805581768</v>
      </c>
      <c r="AW48" s="33" t="n">
        <f aca="false">Costs!AW48/FX_EUR</f>
        <v>748.036837780525</v>
      </c>
      <c r="AX48" s="33" t="n">
        <f aca="false">Costs!AX48/FX_EUR</f>
        <v>763.952515180111</v>
      </c>
      <c r="AY48" s="33" t="n">
        <f aca="false">Costs!AY48/FX_EUR</f>
        <v>779.868192579697</v>
      </c>
      <c r="AZ48" s="33" t="n">
        <f aca="false">Costs!AZ48/FX_EUR</f>
        <v>811.699547378868</v>
      </c>
      <c r="BA48" s="33" t="n">
        <f aca="false">Costs!BA48/FX_EUR</f>
        <v>843.530902178039</v>
      </c>
      <c r="BB48" s="33" t="n">
        <f aca="false">Costs!BB48/FX_EUR</f>
        <v>891.277934376796</v>
      </c>
      <c r="BC48" s="33" t="n">
        <f aca="false">Costs!BC48/FX_EUR</f>
        <v>907.193611776382</v>
      </c>
      <c r="BD48" s="33" t="n">
        <f aca="false">Costs!BD48/FX_EUR</f>
        <v>939.024966575553</v>
      </c>
      <c r="BE48" s="33" t="n">
        <f aca="false">Costs!BE48/FX_EUR</f>
        <v>954.940643975139</v>
      </c>
      <c r="BF48" s="33" t="n">
        <f aca="false">Costs!BF48/FX_EUR</f>
        <v>986.77199877431</v>
      </c>
      <c r="BG48" s="33" t="n">
        <f aca="false">Costs!BG48/FX_EUR</f>
        <v>1018.60335357348</v>
      </c>
      <c r="BH48" s="33" t="n">
        <f aca="false">Costs!BH48/FX_EUR</f>
        <v>1066.35038577224</v>
      </c>
      <c r="BI48" s="33" t="n">
        <f aca="false">Costs!BI48/FX_EUR</f>
        <v>1098.18174057141</v>
      </c>
      <c r="BJ48" s="33" t="n">
        <f aca="false">Costs!BJ48/FX_EUR</f>
        <v>1130.01309537058</v>
      </c>
      <c r="BK48" s="33" t="n">
        <f aca="false">Costs!BK48/FX_EUR</f>
        <v>1161.84445016975</v>
      </c>
      <c r="BL48" s="33" t="n">
        <f aca="false">Costs!BL48/FX_EUR</f>
        <v>1193.67580496892</v>
      </c>
    </row>
    <row r="49" customFormat="false" ht="15" hidden="false" customHeight="true" outlineLevel="0" collapsed="false">
      <c r="A49" s="13" t="s">
        <v>1301</v>
      </c>
      <c r="B49" s="15" t="s">
        <v>79</v>
      </c>
      <c r="D49" s="56" t="n">
        <f aca="false">Costs!D49/FX_EUR</f>
        <v>8200.99488228649</v>
      </c>
      <c r="E49" s="33" t="n">
        <f aca="false">Costs!E49/FX_EUR</f>
        <v>110.525537497123</v>
      </c>
      <c r="F49" s="33" t="n">
        <f aca="false">Costs!F49/FX_EUR</f>
        <v>110.525537497123</v>
      </c>
      <c r="G49" s="33" t="n">
        <f aca="false">Costs!G49/FX_EUR</f>
        <v>110.525537497123</v>
      </c>
      <c r="H49" s="33" t="n">
        <f aca="false">Costs!H49/FX_EUR</f>
        <v>110.525537497123</v>
      </c>
      <c r="I49" s="33" t="n">
        <f aca="false">Costs!I49/FX_EUR</f>
        <v>110.525537497123</v>
      </c>
      <c r="J49" s="33" t="n">
        <f aca="false">Costs!J49/FX_EUR</f>
        <v>110.525537497123</v>
      </c>
      <c r="K49" s="33" t="n">
        <f aca="false">Costs!K49/FX_EUR</f>
        <v>110.525537497123</v>
      </c>
      <c r="L49" s="33" t="n">
        <f aca="false">Costs!L49/FX_EUR</f>
        <v>110.525537497123</v>
      </c>
      <c r="M49" s="33" t="n">
        <f aca="false">Costs!M49/FX_EUR</f>
        <v>110.525537497123</v>
      </c>
      <c r="N49" s="33" t="n">
        <f aca="false">Costs!N49/FX_EUR</f>
        <v>110.525537497123</v>
      </c>
      <c r="O49" s="33" t="n">
        <f aca="false">Costs!O49/FX_EUR</f>
        <v>110.525537497123</v>
      </c>
      <c r="P49" s="33" t="n">
        <f aca="false">Costs!P49/FX_EUR</f>
        <v>110.525537497123</v>
      </c>
      <c r="Q49" s="33" t="n">
        <f aca="false">Costs!Q49/FX_EUR</f>
        <v>110.525537497123</v>
      </c>
      <c r="R49" s="33" t="n">
        <f aca="false">Costs!R49/FX_EUR</f>
        <v>110.525537497123</v>
      </c>
      <c r="S49" s="33" t="n">
        <f aca="false">Costs!S49/FX_EUR</f>
        <v>110.525537497123</v>
      </c>
      <c r="T49" s="33" t="n">
        <f aca="false">Costs!T49/FX_EUR</f>
        <v>110.525537497123</v>
      </c>
      <c r="U49" s="33" t="n">
        <f aca="false">Costs!U49/FX_EUR</f>
        <v>110.525537497123</v>
      </c>
      <c r="V49" s="33" t="n">
        <f aca="false">Costs!V49/FX_EUR</f>
        <v>110.525537497123</v>
      </c>
      <c r="W49" s="33" t="n">
        <f aca="false">Costs!W49/FX_EUR</f>
        <v>110.525537497123</v>
      </c>
      <c r="X49" s="33" t="n">
        <f aca="false">Costs!X49/FX_EUR</f>
        <v>110.525537497123</v>
      </c>
      <c r="Y49" s="33" t="n">
        <f aca="false">Costs!Y49/FX_EUR</f>
        <v>110.525537497123</v>
      </c>
      <c r="Z49" s="33" t="n">
        <f aca="false">Costs!Z49/FX_EUR</f>
        <v>110.525537497123</v>
      </c>
      <c r="AA49" s="33" t="n">
        <f aca="false">Costs!AA49/FX_EUR</f>
        <v>110.525537497123</v>
      </c>
      <c r="AB49" s="33" t="n">
        <f aca="false">Costs!AB49/FX_EUR</f>
        <v>110.525537497123</v>
      </c>
      <c r="AC49" s="33" t="n">
        <f aca="false">Costs!AC49/FX_EUR</f>
        <v>110.525537497123</v>
      </c>
      <c r="AD49" s="33" t="n">
        <f aca="false">Costs!AD49/FX_EUR</f>
        <v>110.525537497123</v>
      </c>
      <c r="AE49" s="33" t="n">
        <f aca="false">Costs!AE49/FX_EUR</f>
        <v>110.525537497123</v>
      </c>
      <c r="AF49" s="33" t="n">
        <f aca="false">Costs!AF49/FX_EUR</f>
        <v>132.630644996547</v>
      </c>
      <c r="AG49" s="33" t="n">
        <f aca="false">Costs!AG49/FX_EUR</f>
        <v>132.630644996547</v>
      </c>
      <c r="AH49" s="33" t="n">
        <f aca="false">Costs!AH49/FX_EUR</f>
        <v>132.630644996547</v>
      </c>
      <c r="AI49" s="33" t="n">
        <f aca="false">Costs!AI49/FX_EUR</f>
        <v>132.630644996547</v>
      </c>
      <c r="AJ49" s="33" t="n">
        <f aca="false">Costs!AJ49/FX_EUR</f>
        <v>132.630644996547</v>
      </c>
      <c r="AK49" s="33" t="n">
        <f aca="false">Costs!AK49/FX_EUR</f>
        <v>132.630644996547</v>
      </c>
      <c r="AL49" s="33" t="n">
        <f aca="false">Costs!AL49/FX_EUR</f>
        <v>132.630644996547</v>
      </c>
      <c r="AM49" s="33" t="n">
        <f aca="false">Costs!AM49/FX_EUR</f>
        <v>132.630644996547</v>
      </c>
      <c r="AN49" s="33" t="n">
        <f aca="false">Costs!AN49/FX_EUR</f>
        <v>132.630644996547</v>
      </c>
      <c r="AO49" s="33" t="n">
        <f aca="false">Costs!AO49/FX_EUR</f>
        <v>132.630644996547</v>
      </c>
      <c r="AP49" s="33" t="n">
        <f aca="false">Costs!AP49/FX_EUR</f>
        <v>132.630644996547</v>
      </c>
      <c r="AQ49" s="33" t="n">
        <f aca="false">Costs!AQ49/FX_EUR</f>
        <v>132.630644996547</v>
      </c>
      <c r="AR49" s="33" t="n">
        <f aca="false">Costs!AR49/FX_EUR</f>
        <v>154.735752495972</v>
      </c>
      <c r="AS49" s="33" t="n">
        <f aca="false">Costs!AS49/FX_EUR</f>
        <v>154.735752495972</v>
      </c>
      <c r="AT49" s="33" t="n">
        <f aca="false">Costs!AT49/FX_EUR</f>
        <v>154.735752495972</v>
      </c>
      <c r="AU49" s="33" t="n">
        <f aca="false">Costs!AU49/FX_EUR</f>
        <v>154.735752495972</v>
      </c>
      <c r="AV49" s="33" t="n">
        <f aca="false">Costs!AV49/FX_EUR</f>
        <v>154.735752495972</v>
      </c>
      <c r="AW49" s="33" t="n">
        <f aca="false">Costs!AW49/FX_EUR</f>
        <v>154.735752495972</v>
      </c>
      <c r="AX49" s="33" t="n">
        <f aca="false">Costs!AX49/FX_EUR</f>
        <v>154.735752495972</v>
      </c>
      <c r="AY49" s="33" t="n">
        <f aca="false">Costs!AY49/FX_EUR</f>
        <v>154.735752495972</v>
      </c>
      <c r="AZ49" s="33" t="n">
        <f aca="false">Costs!AZ49/FX_EUR</f>
        <v>154.735752495972</v>
      </c>
      <c r="BA49" s="33" t="n">
        <f aca="false">Costs!BA49/FX_EUR</f>
        <v>176.840859995396</v>
      </c>
      <c r="BB49" s="33" t="n">
        <f aca="false">Costs!BB49/FX_EUR</f>
        <v>176.840859995396</v>
      </c>
      <c r="BC49" s="33" t="n">
        <f aca="false">Costs!BC49/FX_EUR</f>
        <v>176.840859995396</v>
      </c>
      <c r="BD49" s="33" t="n">
        <f aca="false">Costs!BD49/FX_EUR</f>
        <v>176.840859995396</v>
      </c>
      <c r="BE49" s="33" t="n">
        <f aca="false">Costs!BE49/FX_EUR</f>
        <v>176.840859995396</v>
      </c>
      <c r="BF49" s="33" t="n">
        <f aca="false">Costs!BF49/FX_EUR</f>
        <v>176.840859995396</v>
      </c>
      <c r="BG49" s="33" t="n">
        <f aca="false">Costs!BG49/FX_EUR</f>
        <v>176.840859995396</v>
      </c>
      <c r="BH49" s="33" t="n">
        <f aca="false">Costs!BH49/FX_EUR</f>
        <v>198.945967494821</v>
      </c>
      <c r="BI49" s="33" t="n">
        <f aca="false">Costs!BI49/FX_EUR</f>
        <v>198.945967494821</v>
      </c>
      <c r="BJ49" s="33" t="n">
        <f aca="false">Costs!BJ49/FX_EUR</f>
        <v>198.945967494821</v>
      </c>
      <c r="BK49" s="33" t="n">
        <f aca="false">Costs!BK49/FX_EUR</f>
        <v>198.945967494821</v>
      </c>
      <c r="BL49" s="33" t="n">
        <f aca="false">Costs!BL49/FX_EUR</f>
        <v>198.945967494821</v>
      </c>
    </row>
    <row r="50" customFormat="false" ht="15" hidden="false" customHeight="true" outlineLevel="0" collapsed="false">
      <c r="A50" s="13" t="s">
        <v>1302</v>
      </c>
      <c r="B50" s="15" t="s">
        <v>79</v>
      </c>
      <c r="D50" s="56" t="n">
        <f aca="false">Costs!D50/FX_EUR</f>
        <v>1414.72687996317</v>
      </c>
      <c r="E50" s="33" t="n">
        <f aca="false">Costs!E50/FX_EUR</f>
        <v>23.5787813327195</v>
      </c>
      <c r="F50" s="33" t="n">
        <f aca="false">Costs!F50/FX_EUR</f>
        <v>23.5787813327195</v>
      </c>
      <c r="G50" s="33" t="n">
        <f aca="false">Costs!G50/FX_EUR</f>
        <v>23.5787813327195</v>
      </c>
      <c r="H50" s="33" t="n">
        <f aca="false">Costs!H50/FX_EUR</f>
        <v>23.5787813327195</v>
      </c>
      <c r="I50" s="33" t="n">
        <f aca="false">Costs!I50/FX_EUR</f>
        <v>23.5787813327195</v>
      </c>
      <c r="J50" s="33" t="n">
        <f aca="false">Costs!J50/FX_EUR</f>
        <v>23.5787813327195</v>
      </c>
      <c r="K50" s="33" t="n">
        <f aca="false">Costs!K50/FX_EUR</f>
        <v>23.5787813327195</v>
      </c>
      <c r="L50" s="33" t="n">
        <f aca="false">Costs!L50/FX_EUR</f>
        <v>23.5787813327195</v>
      </c>
      <c r="M50" s="33" t="n">
        <f aca="false">Costs!M50/FX_EUR</f>
        <v>23.5787813327195</v>
      </c>
      <c r="N50" s="33" t="n">
        <f aca="false">Costs!N50/FX_EUR</f>
        <v>23.5787813327195</v>
      </c>
      <c r="O50" s="33" t="n">
        <f aca="false">Costs!O50/FX_EUR</f>
        <v>23.5787813327195</v>
      </c>
      <c r="P50" s="33" t="n">
        <f aca="false">Costs!P50/FX_EUR</f>
        <v>23.5787813327195</v>
      </c>
      <c r="Q50" s="33" t="n">
        <f aca="false">Costs!Q50/FX_EUR</f>
        <v>23.5787813327195</v>
      </c>
      <c r="R50" s="33" t="n">
        <f aca="false">Costs!R50/FX_EUR</f>
        <v>23.5787813327195</v>
      </c>
      <c r="S50" s="33" t="n">
        <f aca="false">Costs!S50/FX_EUR</f>
        <v>23.5787813327195</v>
      </c>
      <c r="T50" s="33" t="n">
        <f aca="false">Costs!T50/FX_EUR</f>
        <v>23.5787813327195</v>
      </c>
      <c r="U50" s="33" t="n">
        <f aca="false">Costs!U50/FX_EUR</f>
        <v>23.5787813327195</v>
      </c>
      <c r="V50" s="33" t="n">
        <f aca="false">Costs!V50/FX_EUR</f>
        <v>23.5787813327195</v>
      </c>
      <c r="W50" s="33" t="n">
        <f aca="false">Costs!W50/FX_EUR</f>
        <v>23.5787813327195</v>
      </c>
      <c r="X50" s="33" t="n">
        <f aca="false">Costs!X50/FX_EUR</f>
        <v>23.5787813327195</v>
      </c>
      <c r="Y50" s="33" t="n">
        <f aca="false">Costs!Y50/FX_EUR</f>
        <v>23.5787813327195</v>
      </c>
      <c r="Z50" s="33" t="n">
        <f aca="false">Costs!Z50/FX_EUR</f>
        <v>23.5787813327195</v>
      </c>
      <c r="AA50" s="33" t="n">
        <f aca="false">Costs!AA50/FX_EUR</f>
        <v>23.5787813327195</v>
      </c>
      <c r="AB50" s="33" t="n">
        <f aca="false">Costs!AB50/FX_EUR</f>
        <v>23.5787813327195</v>
      </c>
      <c r="AC50" s="33" t="n">
        <f aca="false">Costs!AC50/FX_EUR</f>
        <v>23.5787813327195</v>
      </c>
      <c r="AD50" s="33" t="n">
        <f aca="false">Costs!AD50/FX_EUR</f>
        <v>23.5787813327195</v>
      </c>
      <c r="AE50" s="33" t="n">
        <f aca="false">Costs!AE50/FX_EUR</f>
        <v>23.5787813327195</v>
      </c>
      <c r="AF50" s="33" t="n">
        <f aca="false">Costs!AF50/FX_EUR</f>
        <v>23.5787813327195</v>
      </c>
      <c r="AG50" s="33" t="n">
        <f aca="false">Costs!AG50/FX_EUR</f>
        <v>23.5787813327195</v>
      </c>
      <c r="AH50" s="33" t="n">
        <f aca="false">Costs!AH50/FX_EUR</f>
        <v>23.5787813327195</v>
      </c>
      <c r="AI50" s="33" t="n">
        <f aca="false">Costs!AI50/FX_EUR</f>
        <v>23.5787813327195</v>
      </c>
      <c r="AJ50" s="33" t="n">
        <f aca="false">Costs!AJ50/FX_EUR</f>
        <v>23.5787813327195</v>
      </c>
      <c r="AK50" s="33" t="n">
        <f aca="false">Costs!AK50/FX_EUR</f>
        <v>23.5787813327195</v>
      </c>
      <c r="AL50" s="33" t="n">
        <f aca="false">Costs!AL50/FX_EUR</f>
        <v>23.5787813327195</v>
      </c>
      <c r="AM50" s="33" t="n">
        <f aca="false">Costs!AM50/FX_EUR</f>
        <v>23.5787813327195</v>
      </c>
      <c r="AN50" s="33" t="n">
        <f aca="false">Costs!AN50/FX_EUR</f>
        <v>23.5787813327195</v>
      </c>
      <c r="AO50" s="33" t="n">
        <f aca="false">Costs!AO50/FX_EUR</f>
        <v>23.5787813327195</v>
      </c>
      <c r="AP50" s="33" t="n">
        <f aca="false">Costs!AP50/FX_EUR</f>
        <v>23.5787813327195</v>
      </c>
      <c r="AQ50" s="33" t="n">
        <f aca="false">Costs!AQ50/FX_EUR</f>
        <v>23.5787813327195</v>
      </c>
      <c r="AR50" s="33" t="n">
        <f aca="false">Costs!AR50/FX_EUR</f>
        <v>23.5787813327195</v>
      </c>
      <c r="AS50" s="33" t="n">
        <f aca="false">Costs!AS50/FX_EUR</f>
        <v>23.5787813327195</v>
      </c>
      <c r="AT50" s="33" t="n">
        <f aca="false">Costs!AT50/FX_EUR</f>
        <v>23.5787813327195</v>
      </c>
      <c r="AU50" s="33" t="n">
        <f aca="false">Costs!AU50/FX_EUR</f>
        <v>23.5787813327195</v>
      </c>
      <c r="AV50" s="33" t="n">
        <f aca="false">Costs!AV50/FX_EUR</f>
        <v>23.5787813327195</v>
      </c>
      <c r="AW50" s="33" t="n">
        <f aca="false">Costs!AW50/FX_EUR</f>
        <v>23.5787813327195</v>
      </c>
      <c r="AX50" s="33" t="n">
        <f aca="false">Costs!AX50/FX_EUR</f>
        <v>23.5787813327195</v>
      </c>
      <c r="AY50" s="33" t="n">
        <f aca="false">Costs!AY50/FX_EUR</f>
        <v>23.5787813327195</v>
      </c>
      <c r="AZ50" s="33" t="n">
        <f aca="false">Costs!AZ50/FX_EUR</f>
        <v>23.5787813327195</v>
      </c>
      <c r="BA50" s="33" t="n">
        <f aca="false">Costs!BA50/FX_EUR</f>
        <v>23.5787813327195</v>
      </c>
      <c r="BB50" s="33" t="n">
        <f aca="false">Costs!BB50/FX_EUR</f>
        <v>23.5787813327195</v>
      </c>
      <c r="BC50" s="33" t="n">
        <f aca="false">Costs!BC50/FX_EUR</f>
        <v>23.5787813327195</v>
      </c>
      <c r="BD50" s="33" t="n">
        <f aca="false">Costs!BD50/FX_EUR</f>
        <v>23.5787813327195</v>
      </c>
      <c r="BE50" s="33" t="n">
        <f aca="false">Costs!BE50/FX_EUR</f>
        <v>23.5787813327195</v>
      </c>
      <c r="BF50" s="33" t="n">
        <f aca="false">Costs!BF50/FX_EUR</f>
        <v>23.5787813327195</v>
      </c>
      <c r="BG50" s="33" t="n">
        <f aca="false">Costs!BG50/FX_EUR</f>
        <v>23.5787813327195</v>
      </c>
      <c r="BH50" s="33" t="n">
        <f aca="false">Costs!BH50/FX_EUR</f>
        <v>23.5787813327195</v>
      </c>
      <c r="BI50" s="33" t="n">
        <f aca="false">Costs!BI50/FX_EUR</f>
        <v>23.5787813327195</v>
      </c>
      <c r="BJ50" s="33" t="n">
        <f aca="false">Costs!BJ50/FX_EUR</f>
        <v>23.5787813327195</v>
      </c>
      <c r="BK50" s="33" t="n">
        <f aca="false">Costs!BK50/FX_EUR</f>
        <v>23.5787813327195</v>
      </c>
      <c r="BL50" s="33" t="n">
        <f aca="false">Costs!BL50/FX_EUR</f>
        <v>23.5787813327195</v>
      </c>
    </row>
    <row r="51" customFormat="false" ht="15" hidden="false" customHeight="true" outlineLevel="0" collapsed="false">
      <c r="A51" s="13" t="s">
        <v>843</v>
      </c>
      <c r="B51" s="15" t="s">
        <v>79</v>
      </c>
      <c r="D51" s="56" t="n">
        <f aca="false">Costs!D51/FX_EUR</f>
        <v>53966.9521020433</v>
      </c>
      <c r="E51" s="33" t="n">
        <f aca="false">Costs!E51/FX_EUR</f>
        <v>1003.62269681295</v>
      </c>
      <c r="F51" s="33" t="n">
        <f aca="false">Costs!F51/FX_EUR</f>
        <v>1003.62269681295</v>
      </c>
      <c r="G51" s="33" t="n">
        <f aca="false">Costs!G51/FX_EUR</f>
        <v>1003.62269681295</v>
      </c>
      <c r="H51" s="33" t="n">
        <f aca="false">Costs!H51/FX_EUR</f>
        <v>1003.62269681295</v>
      </c>
      <c r="I51" s="33" t="n">
        <f aca="false">Costs!I51/FX_EUR</f>
        <v>1003.62269681295</v>
      </c>
      <c r="J51" s="33" t="n">
        <f aca="false">Costs!J51/FX_EUR</f>
        <v>1003.62269681295</v>
      </c>
      <c r="K51" s="33" t="n">
        <f aca="false">Costs!K51/FX_EUR</f>
        <v>1003.62269681295</v>
      </c>
      <c r="L51" s="33" t="n">
        <f aca="false">Costs!L51/FX_EUR</f>
        <v>1003.62269681295</v>
      </c>
      <c r="M51" s="33" t="n">
        <f aca="false">Costs!M51/FX_EUR</f>
        <v>1003.62269681295</v>
      </c>
      <c r="N51" s="33" t="n">
        <f aca="false">Costs!N51/FX_EUR</f>
        <v>1003.62269681295</v>
      </c>
      <c r="O51" s="33" t="n">
        <f aca="false">Costs!O51/FX_EUR</f>
        <v>1003.62269681295</v>
      </c>
      <c r="P51" s="33" t="n">
        <f aca="false">Costs!P51/FX_EUR</f>
        <v>1003.62269681295</v>
      </c>
      <c r="Q51" s="33" t="n">
        <f aca="false">Costs!Q51/FX_EUR</f>
        <v>1245.00030743885</v>
      </c>
      <c r="R51" s="33" t="n">
        <f aca="false">Costs!R51/FX_EUR</f>
        <v>1245.00030743885</v>
      </c>
      <c r="S51" s="33" t="n">
        <f aca="false">Costs!S51/FX_EUR</f>
        <v>1245.00030743885</v>
      </c>
      <c r="T51" s="33" t="n">
        <f aca="false">Costs!T51/FX_EUR</f>
        <v>1245.00030743885</v>
      </c>
      <c r="U51" s="33" t="n">
        <f aca="false">Costs!U51/FX_EUR</f>
        <v>1245.00030743885</v>
      </c>
      <c r="V51" s="33" t="n">
        <f aca="false">Costs!V51/FX_EUR</f>
        <v>1245.00030743885</v>
      </c>
      <c r="W51" s="33" t="n">
        <f aca="false">Costs!W51/FX_EUR</f>
        <v>1245.00030743885</v>
      </c>
      <c r="X51" s="33" t="n">
        <f aca="false">Costs!X51/FX_EUR</f>
        <v>1245.00030743885</v>
      </c>
      <c r="Y51" s="33" t="n">
        <f aca="false">Costs!Y51/FX_EUR</f>
        <v>1245.00030743885</v>
      </c>
      <c r="Z51" s="33" t="n">
        <f aca="false">Costs!Z51/FX_EUR</f>
        <v>1245.00030743885</v>
      </c>
      <c r="AA51" s="33" t="n">
        <f aca="false">Costs!AA51/FX_EUR</f>
        <v>1245.00030743885</v>
      </c>
      <c r="AB51" s="33" t="n">
        <f aca="false">Costs!AB51/FX_EUR</f>
        <v>1245.00030743885</v>
      </c>
      <c r="AC51" s="33" t="n">
        <f aca="false">Costs!AC51/FX_EUR</f>
        <v>749.541001417268</v>
      </c>
      <c r="AD51" s="33" t="n">
        <f aca="false">Costs!AD51/FX_EUR</f>
        <v>749.541001417268</v>
      </c>
      <c r="AE51" s="33" t="n">
        <f aca="false">Costs!AE51/FX_EUR</f>
        <v>749.541001417268</v>
      </c>
      <c r="AF51" s="33" t="n">
        <f aca="false">Costs!AF51/FX_EUR</f>
        <v>749.541001417268</v>
      </c>
      <c r="AG51" s="33" t="n">
        <f aca="false">Costs!AG51/FX_EUR</f>
        <v>749.541001417268</v>
      </c>
      <c r="AH51" s="33" t="n">
        <f aca="false">Costs!AH51/FX_EUR</f>
        <v>749.541001417268</v>
      </c>
      <c r="AI51" s="33" t="n">
        <f aca="false">Costs!AI51/FX_EUR</f>
        <v>749.541001417268</v>
      </c>
      <c r="AJ51" s="33" t="n">
        <f aca="false">Costs!AJ51/FX_EUR</f>
        <v>749.541001417268</v>
      </c>
      <c r="AK51" s="33" t="n">
        <f aca="false">Costs!AK51/FX_EUR</f>
        <v>749.541001417268</v>
      </c>
      <c r="AL51" s="33" t="n">
        <f aca="false">Costs!AL51/FX_EUR</f>
        <v>749.541001417268</v>
      </c>
      <c r="AM51" s="33" t="n">
        <f aca="false">Costs!AM51/FX_EUR</f>
        <v>749.541001417268</v>
      </c>
      <c r="AN51" s="33" t="n">
        <f aca="false">Costs!AN51/FX_EUR</f>
        <v>749.541001417268</v>
      </c>
      <c r="AO51" s="33" t="n">
        <f aca="false">Costs!AO51/FX_EUR</f>
        <v>749.541001417268</v>
      </c>
      <c r="AP51" s="33" t="n">
        <f aca="false">Costs!AP51/FX_EUR</f>
        <v>749.541001417268</v>
      </c>
      <c r="AQ51" s="33" t="n">
        <f aca="false">Costs!AQ51/FX_EUR</f>
        <v>749.541001417268</v>
      </c>
      <c r="AR51" s="33" t="n">
        <f aca="false">Costs!AR51/FX_EUR</f>
        <v>749.541001417268</v>
      </c>
      <c r="AS51" s="33" t="n">
        <f aca="false">Costs!AS51/FX_EUR</f>
        <v>749.541001417268</v>
      </c>
      <c r="AT51" s="33" t="n">
        <f aca="false">Costs!AT51/FX_EUR</f>
        <v>749.541001417268</v>
      </c>
      <c r="AU51" s="33" t="n">
        <f aca="false">Costs!AU51/FX_EUR</f>
        <v>749.541001417268</v>
      </c>
      <c r="AV51" s="33" t="n">
        <f aca="false">Costs!AV51/FX_EUR</f>
        <v>749.541001417268</v>
      </c>
      <c r="AW51" s="33" t="n">
        <f aca="false">Costs!AW51/FX_EUR</f>
        <v>749.541001417268</v>
      </c>
      <c r="AX51" s="33" t="n">
        <f aca="false">Costs!AX51/FX_EUR</f>
        <v>749.541001417268</v>
      </c>
      <c r="AY51" s="33" t="n">
        <f aca="false">Costs!AY51/FX_EUR</f>
        <v>749.541001417268</v>
      </c>
      <c r="AZ51" s="33" t="n">
        <f aca="false">Costs!AZ51/FX_EUR</f>
        <v>749.541001417268</v>
      </c>
      <c r="BA51" s="33" t="n">
        <f aca="false">Costs!BA51/FX_EUR</f>
        <v>749.541001417268</v>
      </c>
      <c r="BB51" s="33" t="n">
        <f aca="false">Costs!BB51/FX_EUR</f>
        <v>749.541001417268</v>
      </c>
      <c r="BC51" s="33" t="n">
        <f aca="false">Costs!BC51/FX_EUR</f>
        <v>749.541001417268</v>
      </c>
      <c r="BD51" s="33" t="n">
        <f aca="false">Costs!BD51/FX_EUR</f>
        <v>749.541001417268</v>
      </c>
      <c r="BE51" s="33" t="n">
        <f aca="false">Costs!BE51/FX_EUR</f>
        <v>749.541001417268</v>
      </c>
      <c r="BF51" s="33" t="n">
        <f aca="false">Costs!BF51/FX_EUR</f>
        <v>749.541001417268</v>
      </c>
      <c r="BG51" s="33" t="n">
        <f aca="false">Costs!BG51/FX_EUR</f>
        <v>749.541001417268</v>
      </c>
      <c r="BH51" s="33" t="n">
        <f aca="false">Costs!BH51/FX_EUR</f>
        <v>749.541001417268</v>
      </c>
      <c r="BI51" s="33" t="n">
        <f aca="false">Costs!BI51/FX_EUR</f>
        <v>749.541001417268</v>
      </c>
      <c r="BJ51" s="33" t="n">
        <f aca="false">Costs!BJ51/FX_EUR</f>
        <v>749.541001417268</v>
      </c>
      <c r="BK51" s="33" t="n">
        <f aca="false">Costs!BK51/FX_EUR</f>
        <v>749.541001417268</v>
      </c>
      <c r="BL51" s="33" t="n">
        <f aca="false">Costs!BL51/FX_EUR</f>
        <v>749.541001417268</v>
      </c>
    </row>
    <row r="52" customFormat="false" ht="15" hidden="false" customHeight="true" outlineLevel="0" collapsed="false">
      <c r="A52" s="13" t="s">
        <v>819</v>
      </c>
      <c r="B52" s="15" t="s">
        <v>79</v>
      </c>
      <c r="D52" s="56" t="n">
        <f aca="false">Costs!D52/FX_EUR</f>
        <v>44210.214998849</v>
      </c>
      <c r="E52" s="33" t="n">
        <f aca="false">Costs!E52/FX_EUR</f>
        <v>0</v>
      </c>
      <c r="F52" s="33" t="n">
        <f aca="false">Costs!F52/FX_EUR</f>
        <v>0</v>
      </c>
      <c r="G52" s="33" t="n">
        <f aca="false">Costs!G52/FX_EUR</f>
        <v>0</v>
      </c>
      <c r="H52" s="33" t="n">
        <f aca="false">Costs!H52/FX_EUR</f>
        <v>8842.0429997698</v>
      </c>
      <c r="I52" s="33" t="n">
        <f aca="false">Costs!I52/FX_EUR</f>
        <v>0</v>
      </c>
      <c r="J52" s="33" t="n">
        <f aca="false">Costs!J52/FX_EUR</f>
        <v>0</v>
      </c>
      <c r="K52" s="33" t="n">
        <f aca="false">Costs!K52/FX_EUR</f>
        <v>0</v>
      </c>
      <c r="L52" s="33" t="n">
        <f aca="false">Costs!L52/FX_EUR</f>
        <v>0</v>
      </c>
      <c r="M52" s="33" t="n">
        <f aca="false">Costs!M52/FX_EUR</f>
        <v>0</v>
      </c>
      <c r="N52" s="33" t="n">
        <f aca="false">Costs!N52/FX_EUR</f>
        <v>0</v>
      </c>
      <c r="O52" s="33" t="n">
        <f aca="false">Costs!O52/FX_EUR</f>
        <v>0</v>
      </c>
      <c r="P52" s="33" t="n">
        <f aca="false">Costs!P52/FX_EUR</f>
        <v>0</v>
      </c>
      <c r="Q52" s="33" t="n">
        <f aca="false">Costs!Q52/FX_EUR</f>
        <v>0</v>
      </c>
      <c r="R52" s="33" t="n">
        <f aca="false">Costs!R52/FX_EUR</f>
        <v>0</v>
      </c>
      <c r="S52" s="33" t="n">
        <f aca="false">Costs!S52/FX_EUR</f>
        <v>0</v>
      </c>
      <c r="T52" s="33" t="n">
        <f aca="false">Costs!T52/FX_EUR</f>
        <v>8842.0429997698</v>
      </c>
      <c r="U52" s="33" t="n">
        <f aca="false">Costs!U52/FX_EUR</f>
        <v>0</v>
      </c>
      <c r="V52" s="33" t="n">
        <f aca="false">Costs!V52/FX_EUR</f>
        <v>0</v>
      </c>
      <c r="W52" s="33" t="n">
        <f aca="false">Costs!W52/FX_EUR</f>
        <v>0</v>
      </c>
      <c r="X52" s="33" t="n">
        <f aca="false">Costs!X52/FX_EUR</f>
        <v>0</v>
      </c>
      <c r="Y52" s="33" t="n">
        <f aca="false">Costs!Y52/FX_EUR</f>
        <v>0</v>
      </c>
      <c r="Z52" s="33" t="n">
        <f aca="false">Costs!Z52/FX_EUR</f>
        <v>0</v>
      </c>
      <c r="AA52" s="33" t="n">
        <f aca="false">Costs!AA52/FX_EUR</f>
        <v>0</v>
      </c>
      <c r="AB52" s="33" t="n">
        <f aca="false">Costs!AB52/FX_EUR</f>
        <v>0</v>
      </c>
      <c r="AC52" s="33" t="n">
        <f aca="false">Costs!AC52/FX_EUR</f>
        <v>0</v>
      </c>
      <c r="AD52" s="33" t="n">
        <f aca="false">Costs!AD52/FX_EUR</f>
        <v>0</v>
      </c>
      <c r="AE52" s="33" t="n">
        <f aca="false">Costs!AE52/FX_EUR</f>
        <v>0</v>
      </c>
      <c r="AF52" s="33" t="n">
        <f aca="false">Costs!AF52/FX_EUR</f>
        <v>8842.0429997698</v>
      </c>
      <c r="AG52" s="33" t="n">
        <f aca="false">Costs!AG52/FX_EUR</f>
        <v>0</v>
      </c>
      <c r="AH52" s="33" t="n">
        <f aca="false">Costs!AH52/FX_EUR</f>
        <v>0</v>
      </c>
      <c r="AI52" s="33" t="n">
        <f aca="false">Costs!AI52/FX_EUR</f>
        <v>0</v>
      </c>
      <c r="AJ52" s="33" t="n">
        <f aca="false">Costs!AJ52/FX_EUR</f>
        <v>0</v>
      </c>
      <c r="AK52" s="33" t="n">
        <f aca="false">Costs!AK52/FX_EUR</f>
        <v>0</v>
      </c>
      <c r="AL52" s="33" t="n">
        <f aca="false">Costs!AL52/FX_EUR</f>
        <v>0</v>
      </c>
      <c r="AM52" s="33" t="n">
        <f aca="false">Costs!AM52/FX_EUR</f>
        <v>0</v>
      </c>
      <c r="AN52" s="33" t="n">
        <f aca="false">Costs!AN52/FX_EUR</f>
        <v>0</v>
      </c>
      <c r="AO52" s="33" t="n">
        <f aca="false">Costs!AO52/FX_EUR</f>
        <v>0</v>
      </c>
      <c r="AP52" s="33" t="n">
        <f aca="false">Costs!AP52/FX_EUR</f>
        <v>0</v>
      </c>
      <c r="AQ52" s="33" t="n">
        <f aca="false">Costs!AQ52/FX_EUR</f>
        <v>0</v>
      </c>
      <c r="AR52" s="33" t="n">
        <f aca="false">Costs!AR52/FX_EUR</f>
        <v>8842.0429997698</v>
      </c>
      <c r="AS52" s="33" t="n">
        <f aca="false">Costs!AS52/FX_EUR</f>
        <v>0</v>
      </c>
      <c r="AT52" s="33" t="n">
        <f aca="false">Costs!AT52/FX_EUR</f>
        <v>0</v>
      </c>
      <c r="AU52" s="33" t="n">
        <f aca="false">Costs!AU52/FX_EUR</f>
        <v>0</v>
      </c>
      <c r="AV52" s="33" t="n">
        <f aca="false">Costs!AV52/FX_EUR</f>
        <v>0</v>
      </c>
      <c r="AW52" s="33" t="n">
        <f aca="false">Costs!AW52/FX_EUR</f>
        <v>0</v>
      </c>
      <c r="AX52" s="33" t="n">
        <f aca="false">Costs!AX52/FX_EUR</f>
        <v>0</v>
      </c>
      <c r="AY52" s="33" t="n">
        <f aca="false">Costs!AY52/FX_EUR</f>
        <v>0</v>
      </c>
      <c r="AZ52" s="33" t="n">
        <f aca="false">Costs!AZ52/FX_EUR</f>
        <v>0</v>
      </c>
      <c r="BA52" s="33" t="n">
        <f aca="false">Costs!BA52/FX_EUR</f>
        <v>0</v>
      </c>
      <c r="BB52" s="33" t="n">
        <f aca="false">Costs!BB52/FX_EUR</f>
        <v>0</v>
      </c>
      <c r="BC52" s="33" t="n">
        <f aca="false">Costs!BC52/FX_EUR</f>
        <v>0</v>
      </c>
      <c r="BD52" s="33" t="n">
        <f aca="false">Costs!BD52/FX_EUR</f>
        <v>8842.0429997698</v>
      </c>
      <c r="BE52" s="33" t="n">
        <f aca="false">Costs!BE52/FX_EUR</f>
        <v>0</v>
      </c>
      <c r="BF52" s="33" t="n">
        <f aca="false">Costs!BF52/FX_EUR</f>
        <v>0</v>
      </c>
      <c r="BG52" s="33" t="n">
        <f aca="false">Costs!BG52/FX_EUR</f>
        <v>0</v>
      </c>
      <c r="BH52" s="33" t="n">
        <f aca="false">Costs!BH52/FX_EUR</f>
        <v>0</v>
      </c>
      <c r="BI52" s="33" t="n">
        <f aca="false">Costs!BI52/FX_EUR</f>
        <v>0</v>
      </c>
      <c r="BJ52" s="33" t="n">
        <f aca="false">Costs!BJ52/FX_EUR</f>
        <v>0</v>
      </c>
      <c r="BK52" s="33" t="n">
        <f aca="false">Costs!BK52/FX_EUR</f>
        <v>0</v>
      </c>
      <c r="BL52" s="33" t="n">
        <f aca="false">Costs!BL52/FX_EUR</f>
        <v>0</v>
      </c>
    </row>
    <row r="53" customFormat="false" ht="15" hidden="false" customHeight="true" outlineLevel="0" collapsed="false">
      <c r="A53" s="13" t="s">
        <v>1303</v>
      </c>
      <c r="B53" s="15" t="s">
        <v>79</v>
      </c>
      <c r="D53" s="56" t="n">
        <f aca="false">Costs!D53/FX_EUR</f>
        <v>44210.214998849</v>
      </c>
      <c r="E53" s="33" t="n">
        <f aca="false">Costs!E53/FX_EUR</f>
        <v>0</v>
      </c>
      <c r="F53" s="33" t="n">
        <f aca="false">Costs!F53/FX_EUR</f>
        <v>0</v>
      </c>
      <c r="G53" s="33" t="n">
        <f aca="false">Costs!G53/FX_EUR</f>
        <v>44210.214998849</v>
      </c>
      <c r="H53" s="33" t="n">
        <f aca="false">Costs!H53/FX_EUR</f>
        <v>0</v>
      </c>
      <c r="I53" s="33" t="n">
        <f aca="false">Costs!I53/FX_EUR</f>
        <v>0</v>
      </c>
      <c r="J53" s="33" t="n">
        <f aca="false">Costs!J53/FX_EUR</f>
        <v>0</v>
      </c>
      <c r="K53" s="33" t="n">
        <f aca="false">Costs!K53/FX_EUR</f>
        <v>0</v>
      </c>
      <c r="L53" s="33" t="n">
        <f aca="false">Costs!L53/FX_EUR</f>
        <v>0</v>
      </c>
      <c r="M53" s="33" t="n">
        <f aca="false">Costs!M53/FX_EUR</f>
        <v>0</v>
      </c>
      <c r="N53" s="33" t="n">
        <f aca="false">Costs!N53/FX_EUR</f>
        <v>0</v>
      </c>
      <c r="O53" s="33" t="n">
        <f aca="false">Costs!O53/FX_EUR</f>
        <v>0</v>
      </c>
      <c r="P53" s="33" t="n">
        <f aca="false">Costs!P53/FX_EUR</f>
        <v>0</v>
      </c>
      <c r="Q53" s="33" t="n">
        <f aca="false">Costs!Q53/FX_EUR</f>
        <v>0</v>
      </c>
      <c r="R53" s="33" t="n">
        <f aca="false">Costs!R53/FX_EUR</f>
        <v>0</v>
      </c>
      <c r="S53" s="33" t="n">
        <f aca="false">Costs!S53/FX_EUR</f>
        <v>0</v>
      </c>
      <c r="T53" s="33" t="n">
        <f aca="false">Costs!T53/FX_EUR</f>
        <v>0</v>
      </c>
      <c r="U53" s="33" t="n">
        <f aca="false">Costs!U53/FX_EUR</f>
        <v>0</v>
      </c>
      <c r="V53" s="33" t="n">
        <f aca="false">Costs!V53/FX_EUR</f>
        <v>0</v>
      </c>
      <c r="W53" s="33" t="n">
        <f aca="false">Costs!W53/FX_EUR</f>
        <v>0</v>
      </c>
      <c r="X53" s="33" t="n">
        <f aca="false">Costs!X53/FX_EUR</f>
        <v>0</v>
      </c>
      <c r="Y53" s="33" t="n">
        <f aca="false">Costs!Y53/FX_EUR</f>
        <v>0</v>
      </c>
      <c r="Z53" s="33" t="n">
        <f aca="false">Costs!Z53/FX_EUR</f>
        <v>0</v>
      </c>
      <c r="AA53" s="33" t="n">
        <f aca="false">Costs!AA53/FX_EUR</f>
        <v>0</v>
      </c>
      <c r="AB53" s="33" t="n">
        <f aca="false">Costs!AB53/FX_EUR</f>
        <v>0</v>
      </c>
      <c r="AC53" s="33" t="n">
        <f aca="false">Costs!AC53/FX_EUR</f>
        <v>0</v>
      </c>
      <c r="AD53" s="33" t="n">
        <f aca="false">Costs!AD53/FX_EUR</f>
        <v>0</v>
      </c>
      <c r="AE53" s="33" t="n">
        <f aca="false">Costs!AE53/FX_EUR</f>
        <v>0</v>
      </c>
      <c r="AF53" s="33" t="n">
        <f aca="false">Costs!AF53/FX_EUR</f>
        <v>0</v>
      </c>
      <c r="AG53" s="33" t="n">
        <f aca="false">Costs!AG53/FX_EUR</f>
        <v>0</v>
      </c>
      <c r="AH53" s="33" t="n">
        <f aca="false">Costs!AH53/FX_EUR</f>
        <v>0</v>
      </c>
      <c r="AI53" s="33" t="n">
        <f aca="false">Costs!AI53/FX_EUR</f>
        <v>0</v>
      </c>
      <c r="AJ53" s="33" t="n">
        <f aca="false">Costs!AJ53/FX_EUR</f>
        <v>0</v>
      </c>
      <c r="AK53" s="33" t="n">
        <f aca="false">Costs!AK53/FX_EUR</f>
        <v>0</v>
      </c>
      <c r="AL53" s="33" t="n">
        <f aca="false">Costs!AL53/FX_EUR</f>
        <v>0</v>
      </c>
      <c r="AM53" s="33" t="n">
        <f aca="false">Costs!AM53/FX_EUR</f>
        <v>0</v>
      </c>
      <c r="AN53" s="33" t="n">
        <f aca="false">Costs!AN53/FX_EUR</f>
        <v>0</v>
      </c>
      <c r="AO53" s="33" t="n">
        <f aca="false">Costs!AO53/FX_EUR</f>
        <v>0</v>
      </c>
      <c r="AP53" s="33" t="n">
        <f aca="false">Costs!AP53/FX_EUR</f>
        <v>0</v>
      </c>
      <c r="AQ53" s="33" t="n">
        <f aca="false">Costs!AQ53/FX_EUR</f>
        <v>0</v>
      </c>
      <c r="AR53" s="33" t="n">
        <f aca="false">Costs!AR53/FX_EUR</f>
        <v>0</v>
      </c>
      <c r="AS53" s="33" t="n">
        <f aca="false">Costs!AS53/FX_EUR</f>
        <v>0</v>
      </c>
      <c r="AT53" s="33" t="n">
        <f aca="false">Costs!AT53/FX_EUR</f>
        <v>0</v>
      </c>
      <c r="AU53" s="33" t="n">
        <f aca="false">Costs!AU53/FX_EUR</f>
        <v>0</v>
      </c>
      <c r="AV53" s="33" t="n">
        <f aca="false">Costs!AV53/FX_EUR</f>
        <v>0</v>
      </c>
      <c r="AW53" s="33" t="n">
        <f aca="false">Costs!AW53/FX_EUR</f>
        <v>0</v>
      </c>
      <c r="AX53" s="33" t="n">
        <f aca="false">Costs!AX53/FX_EUR</f>
        <v>0</v>
      </c>
      <c r="AY53" s="33" t="n">
        <f aca="false">Costs!AY53/FX_EUR</f>
        <v>0</v>
      </c>
      <c r="AZ53" s="33" t="n">
        <f aca="false">Costs!AZ53/FX_EUR</f>
        <v>0</v>
      </c>
      <c r="BA53" s="33" t="n">
        <f aca="false">Costs!BA53/FX_EUR</f>
        <v>0</v>
      </c>
      <c r="BB53" s="33" t="n">
        <f aca="false">Costs!BB53/FX_EUR</f>
        <v>0</v>
      </c>
      <c r="BC53" s="33" t="n">
        <f aca="false">Costs!BC53/FX_EUR</f>
        <v>0</v>
      </c>
      <c r="BD53" s="33" t="n">
        <f aca="false">Costs!BD53/FX_EUR</f>
        <v>0</v>
      </c>
      <c r="BE53" s="33" t="n">
        <f aca="false">Costs!BE53/FX_EUR</f>
        <v>0</v>
      </c>
      <c r="BF53" s="33" t="n">
        <f aca="false">Costs!BF53/FX_EUR</f>
        <v>0</v>
      </c>
      <c r="BG53" s="33" t="n">
        <f aca="false">Costs!BG53/FX_EUR</f>
        <v>0</v>
      </c>
      <c r="BH53" s="33" t="n">
        <f aca="false">Costs!BH53/FX_EUR</f>
        <v>0</v>
      </c>
      <c r="BI53" s="33" t="n">
        <f aca="false">Costs!BI53/FX_EUR</f>
        <v>0</v>
      </c>
      <c r="BJ53" s="33" t="n">
        <f aca="false">Costs!BJ53/FX_EUR</f>
        <v>0</v>
      </c>
      <c r="BK53" s="33" t="n">
        <f aca="false">Costs!BK53/FX_EUR</f>
        <v>0</v>
      </c>
      <c r="BL53" s="33" t="n">
        <f aca="false">Costs!BL53/FX_EUR</f>
        <v>0</v>
      </c>
    </row>
    <row r="54" customFormat="false" ht="15" hidden="false" customHeight="true" outlineLevel="0" collapsed="false">
      <c r="A54" s="13" t="s">
        <v>1304</v>
      </c>
      <c r="B54" s="15" t="s">
        <v>79</v>
      </c>
      <c r="D54" s="56" t="n">
        <f aca="false">Costs!D54/FX_EUR</f>
        <v>45004.8468801088</v>
      </c>
      <c r="E54" s="33" t="n">
        <f aca="false">Costs!E54/FX_EUR</f>
        <v>0</v>
      </c>
      <c r="F54" s="33" t="n">
        <f aca="false">Costs!F54/FX_EUR</f>
        <v>0</v>
      </c>
      <c r="G54" s="33" t="n">
        <f aca="false">Costs!G54/FX_EUR</f>
        <v>0</v>
      </c>
      <c r="H54" s="33" t="n">
        <f aca="false">Costs!H54/FX_EUR</f>
        <v>0</v>
      </c>
      <c r="I54" s="33" t="n">
        <f aca="false">Costs!I54/FX_EUR</f>
        <v>4240.03402662065</v>
      </c>
      <c r="J54" s="33" t="n">
        <f aca="false">Costs!J54/FX_EUR</f>
        <v>4059.73367156689</v>
      </c>
      <c r="K54" s="33" t="n">
        <f aca="false">Costs!K54/FX_EUR</f>
        <v>3880.00178151922</v>
      </c>
      <c r="L54" s="33" t="n">
        <f aca="false">Costs!L54/FX_EUR</f>
        <v>3700.71505704337</v>
      </c>
      <c r="M54" s="33" t="n">
        <f aca="false">Costs!M54/FX_EUR</f>
        <v>3521.74523207441</v>
      </c>
      <c r="N54" s="33" t="n">
        <f aca="false">Costs!N54/FX_EUR</f>
        <v>3342.95873503564</v>
      </c>
      <c r="O54" s="33" t="n">
        <f aca="false">Costs!O54/FX_EUR</f>
        <v>3164.21633035474</v>
      </c>
      <c r="P54" s="33" t="n">
        <f aca="false">Costs!P54/FX_EUR</f>
        <v>2985.37273918718</v>
      </c>
      <c r="Q54" s="33" t="n">
        <f aca="false">Costs!Q54/FX_EUR</f>
        <v>2742.36961006037</v>
      </c>
      <c r="R54" s="33" t="n">
        <f aca="false">Costs!R54/FX_EUR</f>
        <v>2499.81771770995</v>
      </c>
      <c r="S54" s="33" t="n">
        <f aca="false">Costs!S54/FX_EUR</f>
        <v>2257.53808960252</v>
      </c>
      <c r="T54" s="33" t="n">
        <f aca="false">Costs!T54/FX_EUR</f>
        <v>2015.34417480848</v>
      </c>
      <c r="U54" s="33" t="n">
        <f aca="false">Costs!U54/FX_EUR</f>
        <v>1773.04133645166</v>
      </c>
      <c r="V54" s="33" t="n">
        <f aca="false">Costs!V54/FX_EUR</f>
        <v>1530.4263146459</v>
      </c>
      <c r="W54" s="33" t="n">
        <f aca="false">Costs!W54/FX_EUR</f>
        <v>1148.74099126507</v>
      </c>
      <c r="X54" s="33" t="n">
        <f aca="false">Costs!X54/FX_EUR</f>
        <v>766.861995971771</v>
      </c>
      <c r="Y54" s="33" t="n">
        <f aca="false">Costs!Y54/FX_EUR</f>
        <v>355.196880370287</v>
      </c>
      <c r="Z54" s="33" t="n">
        <f aca="false">Costs!Z54/FX_EUR</f>
        <v>0</v>
      </c>
      <c r="AA54" s="33" t="n">
        <f aca="false">Costs!AA54/FX_EUR</f>
        <v>0</v>
      </c>
      <c r="AB54" s="33" t="n">
        <f aca="false">Costs!AB54/FX_EUR</f>
        <v>0</v>
      </c>
      <c r="AC54" s="33" t="n">
        <f aca="false">Costs!AC54/FX_EUR</f>
        <v>782.503698494151</v>
      </c>
      <c r="AD54" s="33" t="n">
        <f aca="false">Costs!AD54/FX_EUR</f>
        <v>238.228497326527</v>
      </c>
      <c r="AE54" s="33" t="n">
        <f aca="false">Costs!AE54/FX_EUR</f>
        <v>0</v>
      </c>
      <c r="AF54" s="33" t="n">
        <f aca="false">Costs!AF54/FX_EUR</f>
        <v>0</v>
      </c>
      <c r="AG54" s="33" t="n">
        <f aca="false">Costs!AG54/FX_EUR</f>
        <v>0</v>
      </c>
      <c r="AH54" s="33" t="n">
        <f aca="false">Costs!AH54/FX_EUR</f>
        <v>0</v>
      </c>
      <c r="AI54" s="33" t="n">
        <f aca="false">Costs!AI54/FX_EUR</f>
        <v>0</v>
      </c>
      <c r="AJ54" s="33" t="n">
        <f aca="false">Costs!AJ54/FX_EUR</f>
        <v>0</v>
      </c>
      <c r="AK54" s="33" t="n">
        <f aca="false">Costs!AK54/FX_EUR</f>
        <v>0</v>
      </c>
      <c r="AL54" s="33" t="n">
        <f aca="false">Costs!AL54/FX_EUR</f>
        <v>0</v>
      </c>
      <c r="AM54" s="33" t="n">
        <f aca="false">Costs!AM54/FX_EUR</f>
        <v>0</v>
      </c>
      <c r="AN54" s="33" t="n">
        <f aca="false">Costs!AN54/FX_EUR</f>
        <v>0</v>
      </c>
      <c r="AO54" s="33" t="n">
        <f aca="false">Costs!AO54/FX_EUR</f>
        <v>0</v>
      </c>
      <c r="AP54" s="33" t="n">
        <f aca="false">Costs!AP54/FX_EUR</f>
        <v>0</v>
      </c>
      <c r="AQ54" s="33" t="n">
        <f aca="false">Costs!AQ54/FX_EUR</f>
        <v>0</v>
      </c>
      <c r="AR54" s="33" t="n">
        <f aca="false">Costs!AR54/FX_EUR</f>
        <v>0</v>
      </c>
      <c r="AS54" s="33" t="n">
        <f aca="false">Costs!AS54/FX_EUR</f>
        <v>0</v>
      </c>
      <c r="AT54" s="33" t="n">
        <f aca="false">Costs!AT54/FX_EUR</f>
        <v>0</v>
      </c>
      <c r="AU54" s="33" t="n">
        <f aca="false">Costs!AU54/FX_EUR</f>
        <v>0</v>
      </c>
      <c r="AV54" s="33" t="n">
        <f aca="false">Costs!AV54/FX_EUR</f>
        <v>0</v>
      </c>
      <c r="AW54" s="33" t="n">
        <f aca="false">Costs!AW54/FX_EUR</f>
        <v>0</v>
      </c>
      <c r="AX54" s="33" t="n">
        <f aca="false">Costs!AX54/FX_EUR</f>
        <v>0</v>
      </c>
      <c r="AY54" s="33" t="n">
        <f aca="false">Costs!AY54/FX_EUR</f>
        <v>0</v>
      </c>
      <c r="AZ54" s="33" t="n">
        <f aca="false">Costs!AZ54/FX_EUR</f>
        <v>0</v>
      </c>
      <c r="BA54" s="33" t="n">
        <f aca="false">Costs!BA54/FX_EUR</f>
        <v>0</v>
      </c>
      <c r="BB54" s="33" t="n">
        <f aca="false">Costs!BB54/FX_EUR</f>
        <v>0</v>
      </c>
      <c r="BC54" s="33" t="n">
        <f aca="false">Costs!BC54/FX_EUR</f>
        <v>0</v>
      </c>
      <c r="BD54" s="33" t="n">
        <f aca="false">Costs!BD54/FX_EUR</f>
        <v>0</v>
      </c>
      <c r="BE54" s="33" t="n">
        <f aca="false">Costs!BE54/FX_EUR</f>
        <v>0</v>
      </c>
      <c r="BF54" s="33" t="n">
        <f aca="false">Costs!BF54/FX_EUR</f>
        <v>0</v>
      </c>
      <c r="BG54" s="33" t="n">
        <f aca="false">Costs!BG54/FX_EUR</f>
        <v>0</v>
      </c>
      <c r="BH54" s="33" t="n">
        <f aca="false">Costs!BH54/FX_EUR</f>
        <v>0</v>
      </c>
      <c r="BI54" s="33" t="n">
        <f aca="false">Costs!BI54/FX_EUR</f>
        <v>0</v>
      </c>
      <c r="BJ54" s="33" t="n">
        <f aca="false">Costs!BJ54/FX_EUR</f>
        <v>0</v>
      </c>
      <c r="BK54" s="33" t="n">
        <f aca="false">Costs!BK54/FX_EUR</f>
        <v>0</v>
      </c>
      <c r="BL54" s="33" t="n">
        <f aca="false">Costs!BL54/FX_EUR</f>
        <v>0</v>
      </c>
    </row>
    <row r="55" customFormat="false" ht="15" hidden="false" customHeight="true" outlineLevel="0" collapsed="false">
      <c r="A55" s="9" t="s">
        <v>1305</v>
      </c>
      <c r="B55" s="15" t="s">
        <v>79</v>
      </c>
      <c r="D55" s="56" t="n">
        <f aca="false">Costs!D55/FX_EUR</f>
        <v>1040296.29128881</v>
      </c>
      <c r="E55" s="17" t="n">
        <f aca="false">Costs!E55/FX_EUR</f>
        <v>7713.79196095679</v>
      </c>
      <c r="F55" s="17" t="n">
        <f aca="false">Costs!F55/FX_EUR</f>
        <v>10366.4048608877</v>
      </c>
      <c r="G55" s="17" t="n">
        <f aca="false">Costs!G55/FX_EUR</f>
        <v>54576.6198597368</v>
      </c>
      <c r="H55" s="17" t="n">
        <f aca="false">Costs!H55/FX_EUR</f>
        <v>19420.656892652</v>
      </c>
      <c r="I55" s="17" t="n">
        <f aca="false">Costs!I55/FX_EUR</f>
        <v>14701.9329519059</v>
      </c>
      <c r="J55" s="17" t="n">
        <f aca="false">Costs!J55/FX_EUR</f>
        <v>14521.6325968521</v>
      </c>
      <c r="K55" s="17" t="n">
        <f aca="false">Costs!K55/FX_EUR</f>
        <v>14341.9007068045</v>
      </c>
      <c r="L55" s="17" t="n">
        <f aca="false">Costs!L55/FX_EUR</f>
        <v>14162.6139823286</v>
      </c>
      <c r="M55" s="17" t="n">
        <f aca="false">Costs!M55/FX_EUR</f>
        <v>13983.6441573597</v>
      </c>
      <c r="N55" s="17" t="n">
        <f aca="false">Costs!N55/FX_EUR</f>
        <v>13804.8576603209</v>
      </c>
      <c r="O55" s="17" t="n">
        <f aca="false">Costs!O55/FX_EUR</f>
        <v>13626.11525564</v>
      </c>
      <c r="P55" s="17" t="n">
        <f aca="false">Costs!P55/FX_EUR</f>
        <v>13447.2716644724</v>
      </c>
      <c r="Q55" s="17" t="n">
        <f aca="false">Costs!Q55/FX_EUR</f>
        <v>16040.4910316373</v>
      </c>
      <c r="R55" s="17" t="n">
        <f aca="false">Costs!R55/FX_EUR</f>
        <v>15797.9391392869</v>
      </c>
      <c r="S55" s="17" t="n">
        <f aca="false">Costs!S55/FX_EUR</f>
        <v>15555.6595111794</v>
      </c>
      <c r="T55" s="17" t="n">
        <f aca="false">Costs!T55/FX_EUR</f>
        <v>24171.4242735548</v>
      </c>
      <c r="U55" s="17" t="n">
        <f aca="false">Costs!U55/FX_EUR</f>
        <v>15087.0784354282</v>
      </c>
      <c r="V55" s="17" t="n">
        <f aca="false">Costs!V55/FX_EUR</f>
        <v>14892.2104458212</v>
      </c>
      <c r="W55" s="17" t="n">
        <f aca="false">Costs!W55/FX_EUR</f>
        <v>14510.5251224403</v>
      </c>
      <c r="X55" s="17" t="n">
        <f aca="false">Costs!X55/FX_EUR</f>
        <v>14144.5618045466</v>
      </c>
      <c r="Y55" s="17" t="n">
        <f aca="false">Costs!Y55/FX_EUR</f>
        <v>13748.8123663447</v>
      </c>
      <c r="Z55" s="17" t="n">
        <f aca="false">Costs!Z55/FX_EUR</f>
        <v>13393.6154859744</v>
      </c>
      <c r="AA55" s="17" t="n">
        <f aca="false">Costs!AA55/FX_EUR</f>
        <v>13393.6154859744</v>
      </c>
      <c r="AB55" s="17" t="n">
        <f aca="false">Costs!AB55/FX_EUR</f>
        <v>13409.531163374</v>
      </c>
      <c r="AC55" s="17" t="n">
        <f aca="false">Costs!AC55/FX_EUR</f>
        <v>17101.9410498246</v>
      </c>
      <c r="AD55" s="17" t="n">
        <f aca="false">Costs!AD55/FX_EUR</f>
        <v>16573.5815260566</v>
      </c>
      <c r="AE55" s="17" t="n">
        <f aca="false">Costs!AE55/FX_EUR</f>
        <v>16335.35302873</v>
      </c>
      <c r="AF55" s="17" t="n">
        <f aca="false">Costs!AF55/FX_EUR</f>
        <v>25231.3324907984</v>
      </c>
      <c r="AG55" s="17" t="n">
        <f aca="false">Costs!AG55/FX_EUR</f>
        <v>16437.0365232274</v>
      </c>
      <c r="AH55" s="17" t="n">
        <f aca="false">Costs!AH55/FX_EUR</f>
        <v>16452.952200627</v>
      </c>
      <c r="AI55" s="17" t="n">
        <f aca="false">Costs!AI55/FX_EUR</f>
        <v>16468.8678780266</v>
      </c>
      <c r="AJ55" s="17" t="n">
        <f aca="false">Costs!AJ55/FX_EUR</f>
        <v>16468.8678780266</v>
      </c>
      <c r="AK55" s="17" t="n">
        <f aca="false">Costs!AK55/FX_EUR</f>
        <v>16484.7835554261</v>
      </c>
      <c r="AL55" s="17" t="n">
        <f aca="false">Costs!AL55/FX_EUR</f>
        <v>16516.6149102253</v>
      </c>
      <c r="AM55" s="17" t="n">
        <f aca="false">Costs!AM55/FX_EUR</f>
        <v>16532.5305876249</v>
      </c>
      <c r="AN55" s="17" t="n">
        <f aca="false">Costs!AN55/FX_EUR</f>
        <v>16548.4462650245</v>
      </c>
      <c r="AO55" s="17" t="n">
        <f aca="false">Costs!AO55/FX_EUR</f>
        <v>16199.5374696817</v>
      </c>
      <c r="AP55" s="17" t="n">
        <f aca="false">Costs!AP55/FX_EUR</f>
        <v>16199.5374696817</v>
      </c>
      <c r="AQ55" s="17" t="n">
        <f aca="false">Costs!AQ55/FX_EUR</f>
        <v>16231.3688244809</v>
      </c>
      <c r="AR55" s="17" t="n">
        <f aca="false">Costs!AR55/FX_EUR</f>
        <v>25143.2639639489</v>
      </c>
      <c r="AS55" s="17" t="n">
        <f aca="false">Costs!AS55/FX_EUR</f>
        <v>16301.2209641791</v>
      </c>
      <c r="AT55" s="17" t="n">
        <f aca="false">Costs!AT55/FX_EUR</f>
        <v>16317.1366415786</v>
      </c>
      <c r="AU55" s="17" t="n">
        <f aca="false">Costs!AU55/FX_EUR</f>
        <v>16364.8836737774</v>
      </c>
      <c r="AV55" s="17" t="n">
        <f aca="false">Costs!AV55/FX_EUR</f>
        <v>16364.8836737774</v>
      </c>
      <c r="AW55" s="17" t="n">
        <f aca="false">Costs!AW55/FX_EUR</f>
        <v>16412.6307059762</v>
      </c>
      <c r="AX55" s="17" t="n">
        <f aca="false">Costs!AX55/FX_EUR</f>
        <v>16428.5463833757</v>
      </c>
      <c r="AY55" s="17" t="n">
        <f aca="false">Costs!AY55/FX_EUR</f>
        <v>16444.4620607753</v>
      </c>
      <c r="AZ55" s="17" t="n">
        <f aca="false">Costs!AZ55/FX_EUR</f>
        <v>16476.2934155745</v>
      </c>
      <c r="BA55" s="17" t="n">
        <f aca="false">Costs!BA55/FX_EUR</f>
        <v>19035.4753944745</v>
      </c>
      <c r="BB55" s="17" t="n">
        <f aca="false">Costs!BB55/FX_EUR</f>
        <v>19083.2224266733</v>
      </c>
      <c r="BC55" s="17" t="n">
        <f aca="false">Costs!BC55/FX_EUR</f>
        <v>19099.1381040729</v>
      </c>
      <c r="BD55" s="17" t="n">
        <f aca="false">Costs!BD55/FX_EUR</f>
        <v>27973.0124586419</v>
      </c>
      <c r="BE55" s="17" t="n">
        <f aca="false">Costs!BE55/FX_EUR</f>
        <v>19146.8851362716</v>
      </c>
      <c r="BF55" s="17" t="n">
        <f aca="false">Costs!BF55/FX_EUR</f>
        <v>19178.7164910708</v>
      </c>
      <c r="BG55" s="17" t="n">
        <f aca="false">Costs!BG55/FX_EUR</f>
        <v>19210.54784587</v>
      </c>
      <c r="BH55" s="17" t="n">
        <f aca="false">Costs!BH55/FX_EUR</f>
        <v>19280.3999855682</v>
      </c>
      <c r="BI55" s="17" t="n">
        <f aca="false">Costs!BI55/FX_EUR</f>
        <v>19312.2313403673</v>
      </c>
      <c r="BJ55" s="17" t="n">
        <f aca="false">Costs!BJ55/FX_EUR</f>
        <v>19344.0626951665</v>
      </c>
      <c r="BK55" s="17" t="n">
        <f aca="false">Costs!BK55/FX_EUR</f>
        <v>19375.8940499657</v>
      </c>
      <c r="BL55" s="17" t="n">
        <f aca="false">Costs!BL55/FX_EUR</f>
        <v>19407.7254047648</v>
      </c>
    </row>
    <row r="57" customFormat="false" ht="15" hidden="false" customHeight="true" outlineLevel="0" collapsed="false">
      <c r="A57" s="11" t="s">
        <v>849</v>
      </c>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row>
    <row r="58" customFormat="false" ht="15" hidden="false" customHeight="true" outlineLevel="0" collapsed="false">
      <c r="A58" s="13" t="s">
        <v>1306</v>
      </c>
      <c r="B58" s="15" t="s">
        <v>79</v>
      </c>
      <c r="D58" s="56" t="n">
        <f aca="false">Costs!D58/FX_EUR</f>
        <v>22867.3525856116</v>
      </c>
      <c r="E58" s="33" t="n">
        <f aca="false">Costs!E58/FX_EUR</f>
        <v>0</v>
      </c>
      <c r="F58" s="33" t="n">
        <f aca="false">Costs!F58/FX_EUR</f>
        <v>22867.3525856116</v>
      </c>
      <c r="G58" s="33" t="n">
        <f aca="false">Costs!G58/FX_EUR</f>
        <v>0</v>
      </c>
      <c r="H58" s="33" t="n">
        <f aca="false">Costs!H58/FX_EUR</f>
        <v>0</v>
      </c>
      <c r="I58" s="33" t="n">
        <f aca="false">Costs!I58/FX_EUR</f>
        <v>0</v>
      </c>
      <c r="J58" s="33" t="n">
        <f aca="false">Costs!J58/FX_EUR</f>
        <v>0</v>
      </c>
      <c r="K58" s="33" t="n">
        <f aca="false">Costs!K58/FX_EUR</f>
        <v>0</v>
      </c>
      <c r="L58" s="33" t="n">
        <f aca="false">Costs!L58/FX_EUR</f>
        <v>0</v>
      </c>
      <c r="M58" s="33" t="n">
        <f aca="false">Costs!M58/FX_EUR</f>
        <v>0</v>
      </c>
      <c r="N58" s="33" t="n">
        <f aca="false">Costs!N58/FX_EUR</f>
        <v>0</v>
      </c>
      <c r="O58" s="33" t="n">
        <f aca="false">Costs!O58/FX_EUR</f>
        <v>0</v>
      </c>
      <c r="P58" s="33" t="n">
        <f aca="false">Costs!P58/FX_EUR</f>
        <v>0</v>
      </c>
      <c r="Q58" s="33" t="n">
        <f aca="false">Costs!Q58/FX_EUR</f>
        <v>0</v>
      </c>
      <c r="R58" s="33" t="n">
        <f aca="false">Costs!R58/FX_EUR</f>
        <v>0</v>
      </c>
      <c r="S58" s="33" t="n">
        <f aca="false">Costs!S58/FX_EUR</f>
        <v>0</v>
      </c>
      <c r="T58" s="33" t="n">
        <f aca="false">Costs!T58/FX_EUR</f>
        <v>0</v>
      </c>
      <c r="U58" s="33" t="n">
        <f aca="false">Costs!U58/FX_EUR</f>
        <v>0</v>
      </c>
      <c r="V58" s="33" t="n">
        <f aca="false">Costs!V58/FX_EUR</f>
        <v>0</v>
      </c>
      <c r="W58" s="33" t="n">
        <f aca="false">Costs!W58/FX_EUR</f>
        <v>0</v>
      </c>
      <c r="X58" s="33" t="n">
        <f aca="false">Costs!X58/FX_EUR</f>
        <v>0</v>
      </c>
      <c r="Y58" s="33" t="n">
        <f aca="false">Costs!Y58/FX_EUR</f>
        <v>0</v>
      </c>
      <c r="Z58" s="33" t="n">
        <f aca="false">Costs!Z58/FX_EUR</f>
        <v>0</v>
      </c>
      <c r="AA58" s="33" t="n">
        <f aca="false">Costs!AA58/FX_EUR</f>
        <v>0</v>
      </c>
      <c r="AB58" s="33" t="n">
        <f aca="false">Costs!AB58/FX_EUR</f>
        <v>0</v>
      </c>
      <c r="AC58" s="33" t="n">
        <f aca="false">Costs!AC58/FX_EUR</f>
        <v>0</v>
      </c>
      <c r="AD58" s="33" t="n">
        <f aca="false">Costs!AD58/FX_EUR</f>
        <v>0</v>
      </c>
      <c r="AE58" s="33" t="n">
        <f aca="false">Costs!AE58/FX_EUR</f>
        <v>0</v>
      </c>
      <c r="AF58" s="33" t="n">
        <f aca="false">Costs!AF58/FX_EUR</f>
        <v>0</v>
      </c>
      <c r="AG58" s="33" t="n">
        <f aca="false">Costs!AG58/FX_EUR</f>
        <v>0</v>
      </c>
      <c r="AH58" s="33" t="n">
        <f aca="false">Costs!AH58/FX_EUR</f>
        <v>0</v>
      </c>
      <c r="AI58" s="33" t="n">
        <f aca="false">Costs!AI58/FX_EUR</f>
        <v>0</v>
      </c>
      <c r="AJ58" s="33" t="n">
        <f aca="false">Costs!AJ58/FX_EUR</f>
        <v>0</v>
      </c>
      <c r="AK58" s="33" t="n">
        <f aca="false">Costs!AK58/FX_EUR</f>
        <v>0</v>
      </c>
      <c r="AL58" s="33" t="n">
        <f aca="false">Costs!AL58/FX_EUR</f>
        <v>0</v>
      </c>
      <c r="AM58" s="33" t="n">
        <f aca="false">Costs!AM58/FX_EUR</f>
        <v>0</v>
      </c>
      <c r="AN58" s="33" t="n">
        <f aca="false">Costs!AN58/FX_EUR</f>
        <v>0</v>
      </c>
      <c r="AO58" s="33" t="n">
        <f aca="false">Costs!AO58/FX_EUR</f>
        <v>0</v>
      </c>
      <c r="AP58" s="33" t="n">
        <f aca="false">Costs!AP58/FX_EUR</f>
        <v>0</v>
      </c>
      <c r="AQ58" s="33" t="n">
        <f aca="false">Costs!AQ58/FX_EUR</f>
        <v>0</v>
      </c>
      <c r="AR58" s="33" t="n">
        <f aca="false">Costs!AR58/FX_EUR</f>
        <v>0</v>
      </c>
      <c r="AS58" s="33" t="n">
        <f aca="false">Costs!AS58/FX_EUR</f>
        <v>0</v>
      </c>
      <c r="AT58" s="33" t="n">
        <f aca="false">Costs!AT58/FX_EUR</f>
        <v>0</v>
      </c>
      <c r="AU58" s="33" t="n">
        <f aca="false">Costs!AU58/FX_EUR</f>
        <v>0</v>
      </c>
      <c r="AV58" s="33" t="n">
        <f aca="false">Costs!AV58/FX_EUR</f>
        <v>0</v>
      </c>
      <c r="AW58" s="33" t="n">
        <f aca="false">Costs!AW58/FX_EUR</f>
        <v>0</v>
      </c>
      <c r="AX58" s="33" t="n">
        <f aca="false">Costs!AX58/FX_EUR</f>
        <v>0</v>
      </c>
      <c r="AY58" s="33" t="n">
        <f aca="false">Costs!AY58/FX_EUR</f>
        <v>0</v>
      </c>
      <c r="AZ58" s="33" t="n">
        <f aca="false">Costs!AZ58/FX_EUR</f>
        <v>0</v>
      </c>
      <c r="BA58" s="33" t="n">
        <f aca="false">Costs!BA58/FX_EUR</f>
        <v>0</v>
      </c>
      <c r="BB58" s="33" t="n">
        <f aca="false">Costs!BB58/FX_EUR</f>
        <v>0</v>
      </c>
      <c r="BC58" s="33" t="n">
        <f aca="false">Costs!BC58/FX_EUR</f>
        <v>0</v>
      </c>
      <c r="BD58" s="33" t="n">
        <f aca="false">Costs!BD58/FX_EUR</f>
        <v>0</v>
      </c>
      <c r="BE58" s="33" t="n">
        <f aca="false">Costs!BE58/FX_EUR</f>
        <v>0</v>
      </c>
      <c r="BF58" s="33" t="n">
        <f aca="false">Costs!BF58/FX_EUR</f>
        <v>0</v>
      </c>
      <c r="BG58" s="33" t="n">
        <f aca="false">Costs!BG58/FX_EUR</f>
        <v>0</v>
      </c>
      <c r="BH58" s="33" t="n">
        <f aca="false">Costs!BH58/FX_EUR</f>
        <v>0</v>
      </c>
      <c r="BI58" s="33" t="n">
        <f aca="false">Costs!BI58/FX_EUR</f>
        <v>0</v>
      </c>
      <c r="BJ58" s="33" t="n">
        <f aca="false">Costs!BJ58/FX_EUR</f>
        <v>0</v>
      </c>
      <c r="BK58" s="33" t="n">
        <f aca="false">Costs!BK58/FX_EUR</f>
        <v>0</v>
      </c>
      <c r="BL58" s="33" t="n">
        <f aca="false">Costs!BL58/FX_EUR</f>
        <v>0</v>
      </c>
    </row>
    <row r="59" customFormat="false" ht="15" hidden="false" customHeight="true" outlineLevel="0" collapsed="false">
      <c r="A59" s="13" t="s">
        <v>854</v>
      </c>
      <c r="B59" s="15" t="s">
        <v>79</v>
      </c>
      <c r="D59" s="56" t="n">
        <f aca="false">Costs!D59/FX_EUR</f>
        <v>155497.997582159</v>
      </c>
      <c r="E59" s="33" t="n">
        <f aca="false">Costs!E59/FX_EUR</f>
        <v>0</v>
      </c>
      <c r="F59" s="33" t="n">
        <f aca="false">Costs!F59/FX_EUR</f>
        <v>0</v>
      </c>
      <c r="G59" s="33" t="n">
        <f aca="false">Costs!G59/FX_EUR</f>
        <v>0</v>
      </c>
      <c r="H59" s="33" t="n">
        <f aca="false">Costs!H59/FX_EUR</f>
        <v>0</v>
      </c>
      <c r="I59" s="33" t="n">
        <f aca="false">Costs!I59/FX_EUR</f>
        <v>2286.73525856116</v>
      </c>
      <c r="J59" s="33" t="n">
        <f aca="false">Costs!J59/FX_EUR</f>
        <v>2286.73525856116</v>
      </c>
      <c r="K59" s="33" t="n">
        <f aca="false">Costs!K59/FX_EUR</f>
        <v>2286.73525856116</v>
      </c>
      <c r="L59" s="33" t="n">
        <f aca="false">Costs!L59/FX_EUR</f>
        <v>2286.73525856116</v>
      </c>
      <c r="M59" s="33" t="n">
        <f aca="false">Costs!M59/FX_EUR</f>
        <v>2286.73525856116</v>
      </c>
      <c r="N59" s="33" t="n">
        <f aca="false">Costs!N59/FX_EUR</f>
        <v>2286.73525856116</v>
      </c>
      <c r="O59" s="33" t="n">
        <f aca="false">Costs!O59/FX_EUR</f>
        <v>2286.73525856116</v>
      </c>
      <c r="P59" s="33" t="n">
        <f aca="false">Costs!P59/FX_EUR</f>
        <v>2286.73525856116</v>
      </c>
      <c r="Q59" s="33" t="n">
        <f aca="false">Costs!Q59/FX_EUR</f>
        <v>2286.73525856116</v>
      </c>
      <c r="R59" s="33" t="n">
        <f aca="false">Costs!R59/FX_EUR</f>
        <v>2286.73525856116</v>
      </c>
      <c r="S59" s="33" t="n">
        <f aca="false">Costs!S59/FX_EUR</f>
        <v>2286.73525856116</v>
      </c>
      <c r="T59" s="33" t="n">
        <f aca="false">Costs!T59/FX_EUR</f>
        <v>2286.73525856116</v>
      </c>
      <c r="U59" s="33" t="n">
        <f aca="false">Costs!U59/FX_EUR</f>
        <v>2286.73525856116</v>
      </c>
      <c r="V59" s="33" t="n">
        <f aca="false">Costs!V59/FX_EUR</f>
        <v>2286.73525856116</v>
      </c>
      <c r="W59" s="33" t="n">
        <f aca="false">Costs!W59/FX_EUR</f>
        <v>2286.73525856116</v>
      </c>
      <c r="X59" s="33" t="n">
        <f aca="false">Costs!X59/FX_EUR</f>
        <v>2286.73525856116</v>
      </c>
      <c r="Y59" s="33" t="n">
        <f aca="false">Costs!Y59/FX_EUR</f>
        <v>2286.73525856116</v>
      </c>
      <c r="Z59" s="33" t="n">
        <f aca="false">Costs!Z59/FX_EUR</f>
        <v>2286.73525856116</v>
      </c>
      <c r="AA59" s="33" t="n">
        <f aca="false">Costs!AA59/FX_EUR</f>
        <v>2286.73525856116</v>
      </c>
      <c r="AB59" s="33" t="n">
        <f aca="false">Costs!AB59/FX_EUR</f>
        <v>2286.73525856116</v>
      </c>
      <c r="AC59" s="33" t="n">
        <f aca="false">Costs!AC59/FX_EUR</f>
        <v>3048.98034474821</v>
      </c>
      <c r="AD59" s="33" t="n">
        <f aca="false">Costs!AD59/FX_EUR</f>
        <v>3048.98034474821</v>
      </c>
      <c r="AE59" s="33" t="n">
        <f aca="false">Costs!AE59/FX_EUR</f>
        <v>3048.98034474821</v>
      </c>
      <c r="AF59" s="33" t="n">
        <f aca="false">Costs!AF59/FX_EUR</f>
        <v>3048.98034474821</v>
      </c>
      <c r="AG59" s="33" t="n">
        <f aca="false">Costs!AG59/FX_EUR</f>
        <v>3048.98034474821</v>
      </c>
      <c r="AH59" s="33" t="n">
        <f aca="false">Costs!AH59/FX_EUR</f>
        <v>3048.98034474821</v>
      </c>
      <c r="AI59" s="33" t="n">
        <f aca="false">Costs!AI59/FX_EUR</f>
        <v>3048.98034474821</v>
      </c>
      <c r="AJ59" s="33" t="n">
        <f aca="false">Costs!AJ59/FX_EUR</f>
        <v>3048.98034474821</v>
      </c>
      <c r="AK59" s="33" t="n">
        <f aca="false">Costs!AK59/FX_EUR</f>
        <v>3048.98034474821</v>
      </c>
      <c r="AL59" s="33" t="n">
        <f aca="false">Costs!AL59/FX_EUR</f>
        <v>3048.98034474821</v>
      </c>
      <c r="AM59" s="33" t="n">
        <f aca="false">Costs!AM59/FX_EUR</f>
        <v>3048.98034474821</v>
      </c>
      <c r="AN59" s="33" t="n">
        <f aca="false">Costs!AN59/FX_EUR</f>
        <v>3048.98034474821</v>
      </c>
      <c r="AO59" s="33" t="n">
        <f aca="false">Costs!AO59/FX_EUR</f>
        <v>3048.98034474821</v>
      </c>
      <c r="AP59" s="33" t="n">
        <f aca="false">Costs!AP59/FX_EUR</f>
        <v>3048.98034474821</v>
      </c>
      <c r="AQ59" s="33" t="n">
        <f aca="false">Costs!AQ59/FX_EUR</f>
        <v>3048.98034474821</v>
      </c>
      <c r="AR59" s="33" t="n">
        <f aca="false">Costs!AR59/FX_EUR</f>
        <v>3048.98034474821</v>
      </c>
      <c r="AS59" s="33" t="n">
        <f aca="false">Costs!AS59/FX_EUR</f>
        <v>3048.98034474821</v>
      </c>
      <c r="AT59" s="33" t="n">
        <f aca="false">Costs!AT59/FX_EUR</f>
        <v>3048.98034474821</v>
      </c>
      <c r="AU59" s="33" t="n">
        <f aca="false">Costs!AU59/FX_EUR</f>
        <v>3048.98034474821</v>
      </c>
      <c r="AV59" s="33" t="n">
        <f aca="false">Costs!AV59/FX_EUR</f>
        <v>3048.98034474821</v>
      </c>
      <c r="AW59" s="33" t="n">
        <f aca="false">Costs!AW59/FX_EUR</f>
        <v>3048.98034474821</v>
      </c>
      <c r="AX59" s="33" t="n">
        <f aca="false">Costs!AX59/FX_EUR</f>
        <v>3048.98034474821</v>
      </c>
      <c r="AY59" s="33" t="n">
        <f aca="false">Costs!AY59/FX_EUR</f>
        <v>3048.98034474821</v>
      </c>
      <c r="AZ59" s="33" t="n">
        <f aca="false">Costs!AZ59/FX_EUR</f>
        <v>3048.98034474821</v>
      </c>
      <c r="BA59" s="33" t="n">
        <f aca="false">Costs!BA59/FX_EUR</f>
        <v>3048.98034474821</v>
      </c>
      <c r="BB59" s="33" t="n">
        <f aca="false">Costs!BB59/FX_EUR</f>
        <v>3048.98034474821</v>
      </c>
      <c r="BC59" s="33" t="n">
        <f aca="false">Costs!BC59/FX_EUR</f>
        <v>3048.98034474821</v>
      </c>
      <c r="BD59" s="33" t="n">
        <f aca="false">Costs!BD59/FX_EUR</f>
        <v>3048.98034474821</v>
      </c>
      <c r="BE59" s="33" t="n">
        <f aca="false">Costs!BE59/FX_EUR</f>
        <v>3048.98034474821</v>
      </c>
      <c r="BF59" s="33" t="n">
        <f aca="false">Costs!BF59/FX_EUR</f>
        <v>3048.98034474821</v>
      </c>
      <c r="BG59" s="33" t="n">
        <f aca="false">Costs!BG59/FX_EUR</f>
        <v>3048.98034474821</v>
      </c>
      <c r="BH59" s="33" t="n">
        <f aca="false">Costs!BH59/FX_EUR</f>
        <v>3048.98034474821</v>
      </c>
      <c r="BI59" s="33" t="n">
        <f aca="false">Costs!BI59/FX_EUR</f>
        <v>3048.98034474821</v>
      </c>
      <c r="BJ59" s="33" t="n">
        <f aca="false">Costs!BJ59/FX_EUR</f>
        <v>3048.98034474821</v>
      </c>
      <c r="BK59" s="33" t="n">
        <f aca="false">Costs!BK59/FX_EUR</f>
        <v>3048.98034474821</v>
      </c>
      <c r="BL59" s="33" t="n">
        <f aca="false">Costs!BL59/FX_EUR</f>
        <v>3048.98034474821</v>
      </c>
    </row>
    <row r="60" customFormat="false" ht="15" hidden="false" customHeight="true" outlineLevel="0" collapsed="false">
      <c r="A60" s="13" t="s">
        <v>1307</v>
      </c>
      <c r="B60" s="15" t="s">
        <v>79</v>
      </c>
      <c r="D60" s="56" t="n">
        <f aca="false">Costs!D60/FX_EUR</f>
        <v>22867.3525856116</v>
      </c>
      <c r="E60" s="33" t="n">
        <f aca="false">Costs!E60/FX_EUR</f>
        <v>0</v>
      </c>
      <c r="F60" s="33" t="n">
        <f aca="false">Costs!F60/FX_EUR</f>
        <v>0</v>
      </c>
      <c r="G60" s="33" t="n">
        <f aca="false">Costs!G60/FX_EUR</f>
        <v>0</v>
      </c>
      <c r="H60" s="33" t="n">
        <f aca="false">Costs!H60/FX_EUR</f>
        <v>0</v>
      </c>
      <c r="I60" s="33" t="n">
        <f aca="false">Costs!I60/FX_EUR</f>
        <v>0</v>
      </c>
      <c r="J60" s="33" t="n">
        <f aca="false">Costs!J60/FX_EUR</f>
        <v>0</v>
      </c>
      <c r="K60" s="33" t="n">
        <f aca="false">Costs!K60/FX_EUR</f>
        <v>0</v>
      </c>
      <c r="L60" s="33" t="n">
        <f aca="false">Costs!L60/FX_EUR</f>
        <v>0</v>
      </c>
      <c r="M60" s="33" t="n">
        <f aca="false">Costs!M60/FX_EUR</f>
        <v>0</v>
      </c>
      <c r="N60" s="33" t="n">
        <f aca="false">Costs!N60/FX_EUR</f>
        <v>0</v>
      </c>
      <c r="O60" s="33" t="n">
        <f aca="false">Costs!O60/FX_EUR</f>
        <v>0</v>
      </c>
      <c r="P60" s="33" t="n">
        <f aca="false">Costs!P60/FX_EUR</f>
        <v>0</v>
      </c>
      <c r="Q60" s="33" t="n">
        <f aca="false">Costs!Q60/FX_EUR</f>
        <v>0</v>
      </c>
      <c r="R60" s="33" t="n">
        <f aca="false">Costs!R60/FX_EUR</f>
        <v>0</v>
      </c>
      <c r="S60" s="33" t="n">
        <f aca="false">Costs!S60/FX_EUR</f>
        <v>0</v>
      </c>
      <c r="T60" s="33" t="n">
        <f aca="false">Costs!T60/FX_EUR</f>
        <v>22867.3525856116</v>
      </c>
      <c r="U60" s="33" t="n">
        <f aca="false">Costs!U60/FX_EUR</f>
        <v>0</v>
      </c>
      <c r="V60" s="33" t="n">
        <f aca="false">Costs!V60/FX_EUR</f>
        <v>0</v>
      </c>
      <c r="W60" s="33" t="n">
        <f aca="false">Costs!W60/FX_EUR</f>
        <v>0</v>
      </c>
      <c r="X60" s="33" t="n">
        <f aca="false">Costs!X60/FX_EUR</f>
        <v>0</v>
      </c>
      <c r="Y60" s="33" t="n">
        <f aca="false">Costs!Y60/FX_EUR</f>
        <v>0</v>
      </c>
      <c r="Z60" s="33" t="n">
        <f aca="false">Costs!Z60/FX_EUR</f>
        <v>0</v>
      </c>
      <c r="AA60" s="33" t="n">
        <f aca="false">Costs!AA60/FX_EUR</f>
        <v>0</v>
      </c>
      <c r="AB60" s="33" t="n">
        <f aca="false">Costs!AB60/FX_EUR</f>
        <v>0</v>
      </c>
      <c r="AC60" s="33" t="n">
        <f aca="false">Costs!AC60/FX_EUR</f>
        <v>0</v>
      </c>
      <c r="AD60" s="33" t="n">
        <f aca="false">Costs!AD60/FX_EUR</f>
        <v>0</v>
      </c>
      <c r="AE60" s="33" t="n">
        <f aca="false">Costs!AE60/FX_EUR</f>
        <v>0</v>
      </c>
      <c r="AF60" s="33" t="n">
        <f aca="false">Costs!AF60/FX_EUR</f>
        <v>0</v>
      </c>
      <c r="AG60" s="33" t="n">
        <f aca="false">Costs!AG60/FX_EUR</f>
        <v>0</v>
      </c>
      <c r="AH60" s="33" t="n">
        <f aca="false">Costs!AH60/FX_EUR</f>
        <v>0</v>
      </c>
      <c r="AI60" s="33" t="n">
        <f aca="false">Costs!AI60/FX_EUR</f>
        <v>0</v>
      </c>
      <c r="AJ60" s="33" t="n">
        <f aca="false">Costs!AJ60/FX_EUR</f>
        <v>0</v>
      </c>
      <c r="AK60" s="33" t="n">
        <f aca="false">Costs!AK60/FX_EUR</f>
        <v>0</v>
      </c>
      <c r="AL60" s="33" t="n">
        <f aca="false">Costs!AL60/FX_EUR</f>
        <v>0</v>
      </c>
      <c r="AM60" s="33" t="n">
        <f aca="false">Costs!AM60/FX_EUR</f>
        <v>0</v>
      </c>
      <c r="AN60" s="33" t="n">
        <f aca="false">Costs!AN60/FX_EUR</f>
        <v>0</v>
      </c>
      <c r="AO60" s="33" t="n">
        <f aca="false">Costs!AO60/FX_EUR</f>
        <v>0</v>
      </c>
      <c r="AP60" s="33" t="n">
        <f aca="false">Costs!AP60/FX_EUR</f>
        <v>0</v>
      </c>
      <c r="AQ60" s="33" t="n">
        <f aca="false">Costs!AQ60/FX_EUR</f>
        <v>0</v>
      </c>
      <c r="AR60" s="33" t="n">
        <f aca="false">Costs!AR60/FX_EUR</f>
        <v>0</v>
      </c>
      <c r="AS60" s="33" t="n">
        <f aca="false">Costs!AS60/FX_EUR</f>
        <v>0</v>
      </c>
      <c r="AT60" s="33" t="n">
        <f aca="false">Costs!AT60/FX_EUR</f>
        <v>0</v>
      </c>
      <c r="AU60" s="33" t="n">
        <f aca="false">Costs!AU60/FX_EUR</f>
        <v>0</v>
      </c>
      <c r="AV60" s="33" t="n">
        <f aca="false">Costs!AV60/FX_EUR</f>
        <v>0</v>
      </c>
      <c r="AW60" s="33" t="n">
        <f aca="false">Costs!AW60/FX_EUR</f>
        <v>0</v>
      </c>
      <c r="AX60" s="33" t="n">
        <f aca="false">Costs!AX60/FX_EUR</f>
        <v>0</v>
      </c>
      <c r="AY60" s="33" t="n">
        <f aca="false">Costs!AY60/FX_EUR</f>
        <v>0</v>
      </c>
      <c r="AZ60" s="33" t="n">
        <f aca="false">Costs!AZ60/FX_EUR</f>
        <v>0</v>
      </c>
      <c r="BA60" s="33" t="n">
        <f aca="false">Costs!BA60/FX_EUR</f>
        <v>0</v>
      </c>
      <c r="BB60" s="33" t="n">
        <f aca="false">Costs!BB60/FX_EUR</f>
        <v>0</v>
      </c>
      <c r="BC60" s="33" t="n">
        <f aca="false">Costs!BC60/FX_EUR</f>
        <v>0</v>
      </c>
      <c r="BD60" s="33" t="n">
        <f aca="false">Costs!BD60/FX_EUR</f>
        <v>0</v>
      </c>
      <c r="BE60" s="33" t="n">
        <f aca="false">Costs!BE60/FX_EUR</f>
        <v>0</v>
      </c>
      <c r="BF60" s="33" t="n">
        <f aca="false">Costs!BF60/FX_EUR</f>
        <v>0</v>
      </c>
      <c r="BG60" s="33" t="n">
        <f aca="false">Costs!BG60/FX_EUR</f>
        <v>0</v>
      </c>
      <c r="BH60" s="33" t="n">
        <f aca="false">Costs!BH60/FX_EUR</f>
        <v>0</v>
      </c>
      <c r="BI60" s="33" t="n">
        <f aca="false">Costs!BI60/FX_EUR</f>
        <v>0</v>
      </c>
      <c r="BJ60" s="33" t="n">
        <f aca="false">Costs!BJ60/FX_EUR</f>
        <v>0</v>
      </c>
      <c r="BK60" s="33" t="n">
        <f aca="false">Costs!BK60/FX_EUR</f>
        <v>0</v>
      </c>
      <c r="BL60" s="33" t="n">
        <f aca="false">Costs!BL60/FX_EUR</f>
        <v>0</v>
      </c>
    </row>
    <row r="61" customFormat="false" ht="15" hidden="false" customHeight="true" outlineLevel="0" collapsed="false">
      <c r="A61" s="13" t="s">
        <v>856</v>
      </c>
      <c r="B61" s="15" t="s">
        <v>79</v>
      </c>
      <c r="D61" s="56" t="n">
        <f aca="false">Costs!D61/FX_EUR</f>
        <v>123483.703962302</v>
      </c>
      <c r="E61" s="33" t="n">
        <f aca="false">Costs!E61/FX_EUR</f>
        <v>0</v>
      </c>
      <c r="F61" s="33" t="n">
        <f aca="false">Costs!F61/FX_EUR</f>
        <v>0</v>
      </c>
      <c r="G61" s="33" t="n">
        <f aca="false">Costs!G61/FX_EUR</f>
        <v>0</v>
      </c>
      <c r="H61" s="33" t="n">
        <f aca="false">Costs!H61/FX_EUR</f>
        <v>0</v>
      </c>
      <c r="I61" s="33" t="n">
        <f aca="false">Costs!I61/FX_EUR</f>
        <v>0</v>
      </c>
      <c r="J61" s="33" t="n">
        <f aca="false">Costs!J61/FX_EUR</f>
        <v>0</v>
      </c>
      <c r="K61" s="33" t="n">
        <f aca="false">Costs!K61/FX_EUR</f>
        <v>0</v>
      </c>
      <c r="L61" s="33" t="n">
        <f aca="false">Costs!L61/FX_EUR</f>
        <v>0</v>
      </c>
      <c r="M61" s="33" t="n">
        <f aca="false">Costs!M61/FX_EUR</f>
        <v>0</v>
      </c>
      <c r="N61" s="33" t="n">
        <f aca="false">Costs!N61/FX_EUR</f>
        <v>0</v>
      </c>
      <c r="O61" s="33" t="n">
        <f aca="false">Costs!O61/FX_EUR</f>
        <v>0</v>
      </c>
      <c r="P61" s="33" t="n">
        <f aca="false">Costs!P61/FX_EUR</f>
        <v>0</v>
      </c>
      <c r="Q61" s="33" t="n">
        <f aca="false">Costs!Q61/FX_EUR</f>
        <v>0</v>
      </c>
      <c r="R61" s="33" t="n">
        <f aca="false">Costs!R61/FX_EUR</f>
        <v>0</v>
      </c>
      <c r="S61" s="33" t="n">
        <f aca="false">Costs!S61/FX_EUR</f>
        <v>0</v>
      </c>
      <c r="T61" s="33" t="n">
        <f aca="false">Costs!T61/FX_EUR</f>
        <v>0</v>
      </c>
      <c r="U61" s="33" t="n">
        <f aca="false">Costs!U61/FX_EUR</f>
        <v>0</v>
      </c>
      <c r="V61" s="33" t="n">
        <f aca="false">Costs!V61/FX_EUR</f>
        <v>0</v>
      </c>
      <c r="W61" s="33" t="n">
        <f aca="false">Costs!W61/FX_EUR</f>
        <v>2286.73525856116</v>
      </c>
      <c r="X61" s="33" t="n">
        <f aca="false">Costs!X61/FX_EUR</f>
        <v>2286.73525856116</v>
      </c>
      <c r="Y61" s="33" t="n">
        <f aca="false">Costs!Y61/FX_EUR</f>
        <v>2286.73525856116</v>
      </c>
      <c r="Z61" s="33" t="n">
        <f aca="false">Costs!Z61/FX_EUR</f>
        <v>2286.73525856116</v>
      </c>
      <c r="AA61" s="33" t="n">
        <f aca="false">Costs!AA61/FX_EUR</f>
        <v>2286.73525856116</v>
      </c>
      <c r="AB61" s="33" t="n">
        <f aca="false">Costs!AB61/FX_EUR</f>
        <v>2286.73525856116</v>
      </c>
      <c r="AC61" s="33" t="n">
        <f aca="false">Costs!AC61/FX_EUR</f>
        <v>3048.98034474821</v>
      </c>
      <c r="AD61" s="33" t="n">
        <f aca="false">Costs!AD61/FX_EUR</f>
        <v>3048.98034474821</v>
      </c>
      <c r="AE61" s="33" t="n">
        <f aca="false">Costs!AE61/FX_EUR</f>
        <v>3048.98034474821</v>
      </c>
      <c r="AF61" s="33" t="n">
        <f aca="false">Costs!AF61/FX_EUR</f>
        <v>3048.98034474821</v>
      </c>
      <c r="AG61" s="33" t="n">
        <f aca="false">Costs!AG61/FX_EUR</f>
        <v>3048.98034474821</v>
      </c>
      <c r="AH61" s="33" t="n">
        <f aca="false">Costs!AH61/FX_EUR</f>
        <v>3048.98034474821</v>
      </c>
      <c r="AI61" s="33" t="n">
        <f aca="false">Costs!AI61/FX_EUR</f>
        <v>3048.98034474821</v>
      </c>
      <c r="AJ61" s="33" t="n">
        <f aca="false">Costs!AJ61/FX_EUR</f>
        <v>3048.98034474821</v>
      </c>
      <c r="AK61" s="33" t="n">
        <f aca="false">Costs!AK61/FX_EUR</f>
        <v>3048.98034474821</v>
      </c>
      <c r="AL61" s="33" t="n">
        <f aca="false">Costs!AL61/FX_EUR</f>
        <v>3048.98034474821</v>
      </c>
      <c r="AM61" s="33" t="n">
        <f aca="false">Costs!AM61/FX_EUR</f>
        <v>3048.98034474821</v>
      </c>
      <c r="AN61" s="33" t="n">
        <f aca="false">Costs!AN61/FX_EUR</f>
        <v>3048.98034474821</v>
      </c>
      <c r="AO61" s="33" t="n">
        <f aca="false">Costs!AO61/FX_EUR</f>
        <v>3048.98034474821</v>
      </c>
      <c r="AP61" s="33" t="n">
        <f aca="false">Costs!AP61/FX_EUR</f>
        <v>3048.98034474821</v>
      </c>
      <c r="AQ61" s="33" t="n">
        <f aca="false">Costs!AQ61/FX_EUR</f>
        <v>3048.98034474821</v>
      </c>
      <c r="AR61" s="33" t="n">
        <f aca="false">Costs!AR61/FX_EUR</f>
        <v>3048.98034474821</v>
      </c>
      <c r="AS61" s="33" t="n">
        <f aca="false">Costs!AS61/FX_EUR</f>
        <v>3048.98034474821</v>
      </c>
      <c r="AT61" s="33" t="n">
        <f aca="false">Costs!AT61/FX_EUR</f>
        <v>3048.98034474821</v>
      </c>
      <c r="AU61" s="33" t="n">
        <f aca="false">Costs!AU61/FX_EUR</f>
        <v>3048.98034474821</v>
      </c>
      <c r="AV61" s="33" t="n">
        <f aca="false">Costs!AV61/FX_EUR</f>
        <v>3048.98034474821</v>
      </c>
      <c r="AW61" s="33" t="n">
        <f aca="false">Costs!AW61/FX_EUR</f>
        <v>3048.98034474821</v>
      </c>
      <c r="AX61" s="33" t="n">
        <f aca="false">Costs!AX61/FX_EUR</f>
        <v>3048.98034474821</v>
      </c>
      <c r="AY61" s="33" t="n">
        <f aca="false">Costs!AY61/FX_EUR</f>
        <v>3048.98034474821</v>
      </c>
      <c r="AZ61" s="33" t="n">
        <f aca="false">Costs!AZ61/FX_EUR</f>
        <v>3048.98034474821</v>
      </c>
      <c r="BA61" s="33" t="n">
        <f aca="false">Costs!BA61/FX_EUR</f>
        <v>3048.98034474821</v>
      </c>
      <c r="BB61" s="33" t="n">
        <f aca="false">Costs!BB61/FX_EUR</f>
        <v>3048.98034474821</v>
      </c>
      <c r="BC61" s="33" t="n">
        <f aca="false">Costs!BC61/FX_EUR</f>
        <v>3048.98034474821</v>
      </c>
      <c r="BD61" s="33" t="n">
        <f aca="false">Costs!BD61/FX_EUR</f>
        <v>3048.98034474821</v>
      </c>
      <c r="BE61" s="33" t="n">
        <f aca="false">Costs!BE61/FX_EUR</f>
        <v>3048.98034474821</v>
      </c>
      <c r="BF61" s="33" t="n">
        <f aca="false">Costs!BF61/FX_EUR</f>
        <v>3048.98034474821</v>
      </c>
      <c r="BG61" s="33" t="n">
        <f aca="false">Costs!BG61/FX_EUR</f>
        <v>3048.98034474821</v>
      </c>
      <c r="BH61" s="33" t="n">
        <f aca="false">Costs!BH61/FX_EUR</f>
        <v>3048.98034474821</v>
      </c>
      <c r="BI61" s="33" t="n">
        <f aca="false">Costs!BI61/FX_EUR</f>
        <v>3048.98034474821</v>
      </c>
      <c r="BJ61" s="33" t="n">
        <f aca="false">Costs!BJ61/FX_EUR</f>
        <v>3048.98034474821</v>
      </c>
      <c r="BK61" s="33" t="n">
        <f aca="false">Costs!BK61/FX_EUR</f>
        <v>3048.98034474821</v>
      </c>
      <c r="BL61" s="33" t="n">
        <f aca="false">Costs!BL61/FX_EUR</f>
        <v>3048.98034474821</v>
      </c>
    </row>
    <row r="62" customFormat="false" ht="15" hidden="false" customHeight="true" outlineLevel="0" collapsed="false">
      <c r="A62" s="13" t="s">
        <v>1308</v>
      </c>
      <c r="B62" s="15" t="s">
        <v>79</v>
      </c>
      <c r="D62" s="56" t="n">
        <f aca="false">Costs!D62/FX_EUR</f>
        <v>25916.3329303598</v>
      </c>
      <c r="E62" s="33" t="n">
        <f aca="false">Costs!E62/FX_EUR</f>
        <v>0</v>
      </c>
      <c r="F62" s="33" t="n">
        <f aca="false">Costs!F62/FX_EUR</f>
        <v>0</v>
      </c>
      <c r="G62" s="33" t="n">
        <f aca="false">Costs!G62/FX_EUR</f>
        <v>0</v>
      </c>
      <c r="H62" s="33" t="n">
        <f aca="false">Costs!H62/FX_EUR</f>
        <v>0</v>
      </c>
      <c r="I62" s="33" t="n">
        <f aca="false">Costs!I62/FX_EUR</f>
        <v>0</v>
      </c>
      <c r="J62" s="33" t="n">
        <f aca="false">Costs!J62/FX_EUR</f>
        <v>0</v>
      </c>
      <c r="K62" s="33" t="n">
        <f aca="false">Costs!K62/FX_EUR</f>
        <v>0</v>
      </c>
      <c r="L62" s="33" t="n">
        <f aca="false">Costs!L62/FX_EUR</f>
        <v>0</v>
      </c>
      <c r="M62" s="33" t="n">
        <f aca="false">Costs!M62/FX_EUR</f>
        <v>0</v>
      </c>
      <c r="N62" s="33" t="n">
        <f aca="false">Costs!N62/FX_EUR</f>
        <v>0</v>
      </c>
      <c r="O62" s="33" t="n">
        <f aca="false">Costs!O62/FX_EUR</f>
        <v>0</v>
      </c>
      <c r="P62" s="33" t="n">
        <f aca="false">Costs!P62/FX_EUR</f>
        <v>0</v>
      </c>
      <c r="Q62" s="33" t="n">
        <f aca="false">Costs!Q62/FX_EUR</f>
        <v>381.122543093526</v>
      </c>
      <c r="R62" s="33" t="n">
        <f aca="false">Costs!R62/FX_EUR</f>
        <v>381.122543093526</v>
      </c>
      <c r="S62" s="33" t="n">
        <f aca="false">Costs!S62/FX_EUR</f>
        <v>8003.57340496405</v>
      </c>
      <c r="T62" s="33" t="n">
        <f aca="false">Costs!T62/FX_EUR</f>
        <v>381.122543093526</v>
      </c>
      <c r="U62" s="33" t="n">
        <f aca="false">Costs!U62/FX_EUR</f>
        <v>381.122543093526</v>
      </c>
      <c r="V62" s="33" t="n">
        <f aca="false">Costs!V62/FX_EUR</f>
        <v>381.122543093526</v>
      </c>
      <c r="W62" s="33" t="n">
        <f aca="false">Costs!W62/FX_EUR</f>
        <v>381.122543093526</v>
      </c>
      <c r="X62" s="33" t="n">
        <f aca="false">Costs!X62/FX_EUR</f>
        <v>381.122543093526</v>
      </c>
      <c r="Y62" s="33" t="n">
        <f aca="false">Costs!Y62/FX_EUR</f>
        <v>381.122543093526</v>
      </c>
      <c r="Z62" s="33" t="n">
        <f aca="false">Costs!Z62/FX_EUR</f>
        <v>381.122543093526</v>
      </c>
      <c r="AA62" s="33" t="n">
        <f aca="false">Costs!AA62/FX_EUR</f>
        <v>381.122543093526</v>
      </c>
      <c r="AB62" s="33" t="n">
        <f aca="false">Costs!AB62/FX_EUR</f>
        <v>381.122543093526</v>
      </c>
      <c r="AC62" s="33" t="n">
        <f aca="false">Costs!AC62/FX_EUR</f>
        <v>381.122543093526</v>
      </c>
      <c r="AD62" s="33" t="n">
        <f aca="false">Costs!AD62/FX_EUR</f>
        <v>381.122543093526</v>
      </c>
      <c r="AE62" s="33" t="n">
        <f aca="false">Costs!AE62/FX_EUR</f>
        <v>381.122543093526</v>
      </c>
      <c r="AF62" s="33" t="n">
        <f aca="false">Costs!AF62/FX_EUR</f>
        <v>381.122543093526</v>
      </c>
      <c r="AG62" s="33" t="n">
        <f aca="false">Costs!AG62/FX_EUR</f>
        <v>381.122543093526</v>
      </c>
      <c r="AH62" s="33" t="n">
        <f aca="false">Costs!AH62/FX_EUR</f>
        <v>381.122543093526</v>
      </c>
      <c r="AI62" s="33" t="n">
        <f aca="false">Costs!AI62/FX_EUR</f>
        <v>381.122543093526</v>
      </c>
      <c r="AJ62" s="33" t="n">
        <f aca="false">Costs!AJ62/FX_EUR</f>
        <v>381.122543093526</v>
      </c>
      <c r="AK62" s="33" t="n">
        <f aca="false">Costs!AK62/FX_EUR</f>
        <v>381.122543093526</v>
      </c>
      <c r="AL62" s="33" t="n">
        <f aca="false">Costs!AL62/FX_EUR</f>
        <v>381.122543093526</v>
      </c>
      <c r="AM62" s="33" t="n">
        <f aca="false">Costs!AM62/FX_EUR</f>
        <v>381.122543093526</v>
      </c>
      <c r="AN62" s="33" t="n">
        <f aca="false">Costs!AN62/FX_EUR</f>
        <v>381.122543093526</v>
      </c>
      <c r="AO62" s="33" t="n">
        <f aca="false">Costs!AO62/FX_EUR</f>
        <v>381.122543093526</v>
      </c>
      <c r="AP62" s="33" t="n">
        <f aca="false">Costs!AP62/FX_EUR</f>
        <v>381.122543093526</v>
      </c>
      <c r="AQ62" s="33" t="n">
        <f aca="false">Costs!AQ62/FX_EUR</f>
        <v>381.122543093526</v>
      </c>
      <c r="AR62" s="33" t="n">
        <f aca="false">Costs!AR62/FX_EUR</f>
        <v>381.122543093526</v>
      </c>
      <c r="AS62" s="33" t="n">
        <f aca="false">Costs!AS62/FX_EUR</f>
        <v>381.122543093526</v>
      </c>
      <c r="AT62" s="33" t="n">
        <f aca="false">Costs!AT62/FX_EUR</f>
        <v>381.122543093526</v>
      </c>
      <c r="AU62" s="33" t="n">
        <f aca="false">Costs!AU62/FX_EUR</f>
        <v>381.122543093526</v>
      </c>
      <c r="AV62" s="33" t="n">
        <f aca="false">Costs!AV62/FX_EUR</f>
        <v>381.122543093526</v>
      </c>
      <c r="AW62" s="33" t="n">
        <f aca="false">Costs!AW62/FX_EUR</f>
        <v>381.122543093526</v>
      </c>
      <c r="AX62" s="33" t="n">
        <f aca="false">Costs!AX62/FX_EUR</f>
        <v>381.122543093526</v>
      </c>
      <c r="AY62" s="33" t="n">
        <f aca="false">Costs!AY62/FX_EUR</f>
        <v>381.122543093526</v>
      </c>
      <c r="AZ62" s="33" t="n">
        <f aca="false">Costs!AZ62/FX_EUR</f>
        <v>381.122543093526</v>
      </c>
      <c r="BA62" s="33" t="n">
        <f aca="false">Costs!BA62/FX_EUR</f>
        <v>381.122543093526</v>
      </c>
      <c r="BB62" s="33" t="n">
        <f aca="false">Costs!BB62/FX_EUR</f>
        <v>381.122543093526</v>
      </c>
      <c r="BC62" s="33" t="n">
        <f aca="false">Costs!BC62/FX_EUR</f>
        <v>381.122543093526</v>
      </c>
      <c r="BD62" s="33" t="n">
        <f aca="false">Costs!BD62/FX_EUR</f>
        <v>381.122543093526</v>
      </c>
      <c r="BE62" s="33" t="n">
        <f aca="false">Costs!BE62/FX_EUR</f>
        <v>381.122543093526</v>
      </c>
      <c r="BF62" s="33" t="n">
        <f aca="false">Costs!BF62/FX_EUR</f>
        <v>381.122543093526</v>
      </c>
      <c r="BG62" s="33" t="n">
        <f aca="false">Costs!BG62/FX_EUR</f>
        <v>381.122543093526</v>
      </c>
      <c r="BH62" s="33" t="n">
        <f aca="false">Costs!BH62/FX_EUR</f>
        <v>381.122543093526</v>
      </c>
      <c r="BI62" s="33" t="n">
        <f aca="false">Costs!BI62/FX_EUR</f>
        <v>381.122543093526</v>
      </c>
      <c r="BJ62" s="33" t="n">
        <f aca="false">Costs!BJ62/FX_EUR</f>
        <v>381.122543093526</v>
      </c>
      <c r="BK62" s="33" t="n">
        <f aca="false">Costs!BK62/FX_EUR</f>
        <v>381.122543093526</v>
      </c>
      <c r="BL62" s="33" t="n">
        <f aca="false">Costs!BL62/FX_EUR</f>
        <v>381.122543093526</v>
      </c>
    </row>
    <row r="63" customFormat="false" ht="15" hidden="false" customHeight="true" outlineLevel="0" collapsed="false">
      <c r="A63" s="9" t="s">
        <v>1309</v>
      </c>
      <c r="B63" s="15" t="s">
        <v>79</v>
      </c>
      <c r="D63" s="56" t="n">
        <f aca="false">Costs!D63/FX_EUR</f>
        <v>350632.739646044</v>
      </c>
      <c r="E63" s="17" t="n">
        <f aca="false">Costs!E63/FX_EUR</f>
        <v>0</v>
      </c>
      <c r="F63" s="17" t="n">
        <f aca="false">Costs!F63/FX_EUR</f>
        <v>22867.3525856116</v>
      </c>
      <c r="G63" s="17" t="n">
        <f aca="false">Costs!G63/FX_EUR</f>
        <v>0</v>
      </c>
      <c r="H63" s="17" t="n">
        <f aca="false">Costs!H63/FX_EUR</f>
        <v>0</v>
      </c>
      <c r="I63" s="17" t="n">
        <f aca="false">Costs!I63/FX_EUR</f>
        <v>2286.73525856116</v>
      </c>
      <c r="J63" s="17" t="n">
        <f aca="false">Costs!J63/FX_EUR</f>
        <v>2286.73525856116</v>
      </c>
      <c r="K63" s="17" t="n">
        <f aca="false">Costs!K63/FX_EUR</f>
        <v>2286.73525856116</v>
      </c>
      <c r="L63" s="17" t="n">
        <f aca="false">Costs!L63/FX_EUR</f>
        <v>2286.73525856116</v>
      </c>
      <c r="M63" s="17" t="n">
        <f aca="false">Costs!M63/FX_EUR</f>
        <v>2286.73525856116</v>
      </c>
      <c r="N63" s="17" t="n">
        <f aca="false">Costs!N63/FX_EUR</f>
        <v>2286.73525856116</v>
      </c>
      <c r="O63" s="17" t="n">
        <f aca="false">Costs!O63/FX_EUR</f>
        <v>2286.73525856116</v>
      </c>
      <c r="P63" s="17" t="n">
        <f aca="false">Costs!P63/FX_EUR</f>
        <v>2286.73525856116</v>
      </c>
      <c r="Q63" s="17" t="n">
        <f aca="false">Costs!Q63/FX_EUR</f>
        <v>2667.85780165468</v>
      </c>
      <c r="R63" s="17" t="n">
        <f aca="false">Costs!R63/FX_EUR</f>
        <v>2667.85780165468</v>
      </c>
      <c r="S63" s="17" t="n">
        <f aca="false">Costs!S63/FX_EUR</f>
        <v>10290.3086635252</v>
      </c>
      <c r="T63" s="17" t="n">
        <f aca="false">Costs!T63/FX_EUR</f>
        <v>25535.2103872662</v>
      </c>
      <c r="U63" s="17" t="n">
        <f aca="false">Costs!U63/FX_EUR</f>
        <v>2667.85780165468</v>
      </c>
      <c r="V63" s="17" t="n">
        <f aca="false">Costs!V63/FX_EUR</f>
        <v>2667.85780165468</v>
      </c>
      <c r="W63" s="17" t="n">
        <f aca="false">Costs!W63/FX_EUR</f>
        <v>4954.59306021584</v>
      </c>
      <c r="X63" s="17" t="n">
        <f aca="false">Costs!X63/FX_EUR</f>
        <v>4954.59306021584</v>
      </c>
      <c r="Y63" s="17" t="n">
        <f aca="false">Costs!Y63/FX_EUR</f>
        <v>4954.59306021584</v>
      </c>
      <c r="Z63" s="17" t="n">
        <f aca="false">Costs!Z63/FX_EUR</f>
        <v>4954.59306021584</v>
      </c>
      <c r="AA63" s="17" t="n">
        <f aca="false">Costs!AA63/FX_EUR</f>
        <v>4954.59306021584</v>
      </c>
      <c r="AB63" s="17" t="n">
        <f aca="false">Costs!AB63/FX_EUR</f>
        <v>4954.59306021584</v>
      </c>
      <c r="AC63" s="17" t="n">
        <f aca="false">Costs!AC63/FX_EUR</f>
        <v>6479.08323258994</v>
      </c>
      <c r="AD63" s="17" t="n">
        <f aca="false">Costs!AD63/FX_EUR</f>
        <v>6479.08323258994</v>
      </c>
      <c r="AE63" s="17" t="n">
        <f aca="false">Costs!AE63/FX_EUR</f>
        <v>6479.08323258994</v>
      </c>
      <c r="AF63" s="17" t="n">
        <f aca="false">Costs!AF63/FX_EUR</f>
        <v>6479.08323258994</v>
      </c>
      <c r="AG63" s="17" t="n">
        <f aca="false">Costs!AG63/FX_EUR</f>
        <v>6479.08323258994</v>
      </c>
      <c r="AH63" s="17" t="n">
        <f aca="false">Costs!AH63/FX_EUR</f>
        <v>6479.08323258994</v>
      </c>
      <c r="AI63" s="17" t="n">
        <f aca="false">Costs!AI63/FX_EUR</f>
        <v>6479.08323258994</v>
      </c>
      <c r="AJ63" s="17" t="n">
        <f aca="false">Costs!AJ63/FX_EUR</f>
        <v>6479.08323258994</v>
      </c>
      <c r="AK63" s="17" t="n">
        <f aca="false">Costs!AK63/FX_EUR</f>
        <v>6479.08323258994</v>
      </c>
      <c r="AL63" s="17" t="n">
        <f aca="false">Costs!AL63/FX_EUR</f>
        <v>6479.08323258994</v>
      </c>
      <c r="AM63" s="17" t="n">
        <f aca="false">Costs!AM63/FX_EUR</f>
        <v>6479.08323258994</v>
      </c>
      <c r="AN63" s="17" t="n">
        <f aca="false">Costs!AN63/FX_EUR</f>
        <v>6479.08323258994</v>
      </c>
      <c r="AO63" s="17" t="n">
        <f aca="false">Costs!AO63/FX_EUR</f>
        <v>6479.08323258994</v>
      </c>
      <c r="AP63" s="17" t="n">
        <f aca="false">Costs!AP63/FX_EUR</f>
        <v>6479.08323258994</v>
      </c>
      <c r="AQ63" s="17" t="n">
        <f aca="false">Costs!AQ63/FX_EUR</f>
        <v>6479.08323258994</v>
      </c>
      <c r="AR63" s="17" t="n">
        <f aca="false">Costs!AR63/FX_EUR</f>
        <v>6479.08323258994</v>
      </c>
      <c r="AS63" s="17" t="n">
        <f aca="false">Costs!AS63/FX_EUR</f>
        <v>6479.08323258994</v>
      </c>
      <c r="AT63" s="17" t="n">
        <f aca="false">Costs!AT63/FX_EUR</f>
        <v>6479.08323258994</v>
      </c>
      <c r="AU63" s="17" t="n">
        <f aca="false">Costs!AU63/FX_EUR</f>
        <v>6479.08323258994</v>
      </c>
      <c r="AV63" s="17" t="n">
        <f aca="false">Costs!AV63/FX_EUR</f>
        <v>6479.08323258994</v>
      </c>
      <c r="AW63" s="17" t="n">
        <f aca="false">Costs!AW63/FX_EUR</f>
        <v>6479.08323258994</v>
      </c>
      <c r="AX63" s="17" t="n">
        <f aca="false">Costs!AX63/FX_EUR</f>
        <v>6479.08323258994</v>
      </c>
      <c r="AY63" s="17" t="n">
        <f aca="false">Costs!AY63/FX_EUR</f>
        <v>6479.08323258994</v>
      </c>
      <c r="AZ63" s="17" t="n">
        <f aca="false">Costs!AZ63/FX_EUR</f>
        <v>6479.08323258994</v>
      </c>
      <c r="BA63" s="17" t="n">
        <f aca="false">Costs!BA63/FX_EUR</f>
        <v>6479.08323258994</v>
      </c>
      <c r="BB63" s="17" t="n">
        <f aca="false">Costs!BB63/FX_EUR</f>
        <v>6479.08323258994</v>
      </c>
      <c r="BC63" s="17" t="n">
        <f aca="false">Costs!BC63/FX_EUR</f>
        <v>6479.08323258994</v>
      </c>
      <c r="BD63" s="17" t="n">
        <f aca="false">Costs!BD63/FX_EUR</f>
        <v>6479.08323258994</v>
      </c>
      <c r="BE63" s="17" t="n">
        <f aca="false">Costs!BE63/FX_EUR</f>
        <v>6479.08323258994</v>
      </c>
      <c r="BF63" s="17" t="n">
        <f aca="false">Costs!BF63/FX_EUR</f>
        <v>6479.08323258994</v>
      </c>
      <c r="BG63" s="17" t="n">
        <f aca="false">Costs!BG63/FX_EUR</f>
        <v>6479.08323258994</v>
      </c>
      <c r="BH63" s="17" t="n">
        <f aca="false">Costs!BH63/FX_EUR</f>
        <v>6479.08323258994</v>
      </c>
      <c r="BI63" s="17" t="n">
        <f aca="false">Costs!BI63/FX_EUR</f>
        <v>6479.08323258994</v>
      </c>
      <c r="BJ63" s="17" t="n">
        <f aca="false">Costs!BJ63/FX_EUR</f>
        <v>6479.08323258994</v>
      </c>
      <c r="BK63" s="17" t="n">
        <f aca="false">Costs!BK63/FX_EUR</f>
        <v>6479.08323258994</v>
      </c>
      <c r="BL63" s="17" t="n">
        <f aca="false">Costs!BL63/FX_EUR</f>
        <v>6479.08323258994</v>
      </c>
    </row>
    <row r="65" customFormat="false" ht="15" hidden="false" customHeight="true" outlineLevel="0" collapsed="false">
      <c r="A65" s="11" t="s">
        <v>860</v>
      </c>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row>
    <row r="66" customFormat="false" ht="15" hidden="false" customHeight="true" outlineLevel="0" collapsed="false">
      <c r="A66" s="13" t="s">
        <v>1310</v>
      </c>
      <c r="B66" s="15" t="s">
        <v>79</v>
      </c>
      <c r="D66" s="56" t="n">
        <f aca="false">Costs!D66/FX_EUR</f>
        <v>8384.69594805757</v>
      </c>
      <c r="E66" s="33" t="n">
        <f aca="false">Costs!E66/FX_EUR</f>
        <v>3811.22543093526</v>
      </c>
      <c r="F66" s="33" t="n">
        <f aca="false">Costs!F66/FX_EUR</f>
        <v>0</v>
      </c>
      <c r="G66" s="33" t="n">
        <f aca="false">Costs!G66/FX_EUR</f>
        <v>0</v>
      </c>
      <c r="H66" s="33" t="n">
        <f aca="false">Costs!H66/FX_EUR</f>
        <v>0</v>
      </c>
      <c r="I66" s="33" t="n">
        <f aca="false">Costs!I66/FX_EUR</f>
        <v>0</v>
      </c>
      <c r="J66" s="33" t="n">
        <f aca="false">Costs!J66/FX_EUR</f>
        <v>0</v>
      </c>
      <c r="K66" s="33" t="n">
        <f aca="false">Costs!K66/FX_EUR</f>
        <v>0</v>
      </c>
      <c r="L66" s="33" t="n">
        <f aca="false">Costs!L66/FX_EUR</f>
        <v>0</v>
      </c>
      <c r="M66" s="33" t="n">
        <f aca="false">Costs!M66/FX_EUR</f>
        <v>0</v>
      </c>
      <c r="N66" s="33" t="n">
        <f aca="false">Costs!N66/FX_EUR</f>
        <v>0</v>
      </c>
      <c r="O66" s="33" t="n">
        <f aca="false">Costs!O66/FX_EUR</f>
        <v>0</v>
      </c>
      <c r="P66" s="33" t="n">
        <f aca="false">Costs!P66/FX_EUR</f>
        <v>0</v>
      </c>
      <c r="Q66" s="33" t="n">
        <f aca="false">Costs!Q66/FX_EUR</f>
        <v>0</v>
      </c>
      <c r="R66" s="33" t="n">
        <f aca="false">Costs!R66/FX_EUR</f>
        <v>0</v>
      </c>
      <c r="S66" s="33" t="n">
        <f aca="false">Costs!S66/FX_EUR</f>
        <v>0</v>
      </c>
      <c r="T66" s="33" t="n">
        <f aca="false">Costs!T66/FX_EUR</f>
        <v>4573.47051712231</v>
      </c>
      <c r="U66" s="33" t="n">
        <f aca="false">Costs!U66/FX_EUR</f>
        <v>0</v>
      </c>
      <c r="V66" s="33" t="n">
        <f aca="false">Costs!V66/FX_EUR</f>
        <v>0</v>
      </c>
      <c r="W66" s="33" t="n">
        <f aca="false">Costs!W66/FX_EUR</f>
        <v>0</v>
      </c>
      <c r="X66" s="33" t="n">
        <f aca="false">Costs!X66/FX_EUR</f>
        <v>0</v>
      </c>
      <c r="Y66" s="33" t="n">
        <f aca="false">Costs!Y66/FX_EUR</f>
        <v>0</v>
      </c>
      <c r="Z66" s="33" t="n">
        <f aca="false">Costs!Z66/FX_EUR</f>
        <v>0</v>
      </c>
      <c r="AA66" s="33" t="n">
        <f aca="false">Costs!AA66/FX_EUR</f>
        <v>0</v>
      </c>
      <c r="AB66" s="33" t="n">
        <f aca="false">Costs!AB66/FX_EUR</f>
        <v>0</v>
      </c>
      <c r="AC66" s="33" t="n">
        <f aca="false">Costs!AC66/FX_EUR</f>
        <v>0</v>
      </c>
      <c r="AD66" s="33" t="n">
        <f aca="false">Costs!AD66/FX_EUR</f>
        <v>0</v>
      </c>
      <c r="AE66" s="33" t="n">
        <f aca="false">Costs!AE66/FX_EUR</f>
        <v>0</v>
      </c>
      <c r="AF66" s="33" t="n">
        <f aca="false">Costs!AF66/FX_EUR</f>
        <v>0</v>
      </c>
      <c r="AG66" s="33" t="n">
        <f aca="false">Costs!AG66/FX_EUR</f>
        <v>0</v>
      </c>
      <c r="AH66" s="33" t="n">
        <f aca="false">Costs!AH66/FX_EUR</f>
        <v>0</v>
      </c>
      <c r="AI66" s="33" t="n">
        <f aca="false">Costs!AI66/FX_EUR</f>
        <v>0</v>
      </c>
      <c r="AJ66" s="33" t="n">
        <f aca="false">Costs!AJ66/FX_EUR</f>
        <v>0</v>
      </c>
      <c r="AK66" s="33" t="n">
        <f aca="false">Costs!AK66/FX_EUR</f>
        <v>0</v>
      </c>
      <c r="AL66" s="33" t="n">
        <f aca="false">Costs!AL66/FX_EUR</f>
        <v>0</v>
      </c>
      <c r="AM66" s="33" t="n">
        <f aca="false">Costs!AM66/FX_EUR</f>
        <v>0</v>
      </c>
      <c r="AN66" s="33" t="n">
        <f aca="false">Costs!AN66/FX_EUR</f>
        <v>0</v>
      </c>
      <c r="AO66" s="33" t="n">
        <f aca="false">Costs!AO66/FX_EUR</f>
        <v>0</v>
      </c>
      <c r="AP66" s="33" t="n">
        <f aca="false">Costs!AP66/FX_EUR</f>
        <v>0</v>
      </c>
      <c r="AQ66" s="33" t="n">
        <f aca="false">Costs!AQ66/FX_EUR</f>
        <v>0</v>
      </c>
      <c r="AR66" s="33" t="n">
        <f aca="false">Costs!AR66/FX_EUR</f>
        <v>0</v>
      </c>
      <c r="AS66" s="33" t="n">
        <f aca="false">Costs!AS66/FX_EUR</f>
        <v>0</v>
      </c>
      <c r="AT66" s="33" t="n">
        <f aca="false">Costs!AT66/FX_EUR</f>
        <v>0</v>
      </c>
      <c r="AU66" s="33" t="n">
        <f aca="false">Costs!AU66/FX_EUR</f>
        <v>0</v>
      </c>
      <c r="AV66" s="33" t="n">
        <f aca="false">Costs!AV66/FX_EUR</f>
        <v>0</v>
      </c>
      <c r="AW66" s="33" t="n">
        <f aca="false">Costs!AW66/FX_EUR</f>
        <v>0</v>
      </c>
      <c r="AX66" s="33" t="n">
        <f aca="false">Costs!AX66/FX_EUR</f>
        <v>0</v>
      </c>
      <c r="AY66" s="33" t="n">
        <f aca="false">Costs!AY66/FX_EUR</f>
        <v>0</v>
      </c>
      <c r="AZ66" s="33" t="n">
        <f aca="false">Costs!AZ66/FX_EUR</f>
        <v>0</v>
      </c>
      <c r="BA66" s="33" t="n">
        <f aca="false">Costs!BA66/FX_EUR</f>
        <v>0</v>
      </c>
      <c r="BB66" s="33" t="n">
        <f aca="false">Costs!BB66/FX_EUR</f>
        <v>0</v>
      </c>
      <c r="BC66" s="33" t="n">
        <f aca="false">Costs!BC66/FX_EUR</f>
        <v>0</v>
      </c>
      <c r="BD66" s="33" t="n">
        <f aca="false">Costs!BD66/FX_EUR</f>
        <v>0</v>
      </c>
      <c r="BE66" s="33" t="n">
        <f aca="false">Costs!BE66/FX_EUR</f>
        <v>0</v>
      </c>
      <c r="BF66" s="33" t="n">
        <f aca="false">Costs!BF66/FX_EUR</f>
        <v>0</v>
      </c>
      <c r="BG66" s="33" t="n">
        <f aca="false">Costs!BG66/FX_EUR</f>
        <v>0</v>
      </c>
      <c r="BH66" s="33" t="n">
        <f aca="false">Costs!BH66/FX_EUR</f>
        <v>0</v>
      </c>
      <c r="BI66" s="33" t="n">
        <f aca="false">Costs!BI66/FX_EUR</f>
        <v>0</v>
      </c>
      <c r="BJ66" s="33" t="n">
        <f aca="false">Costs!BJ66/FX_EUR</f>
        <v>0</v>
      </c>
      <c r="BK66" s="33" t="n">
        <f aca="false">Costs!BK66/FX_EUR</f>
        <v>0</v>
      </c>
      <c r="BL66" s="33" t="n">
        <f aca="false">Costs!BL66/FX_EUR</f>
        <v>0</v>
      </c>
    </row>
    <row r="67" customFormat="false" ht="15" hidden="false" customHeight="true" outlineLevel="0" collapsed="false">
      <c r="A67" s="13" t="s">
        <v>1311</v>
      </c>
      <c r="B67" s="15" t="s">
        <v>79</v>
      </c>
      <c r="D67" s="56" t="n">
        <f aca="false">Costs!D67/FX_EUR</f>
        <v>76224.5086187052</v>
      </c>
      <c r="E67" s="33" t="n">
        <f aca="false">Costs!E67/FX_EUR</f>
        <v>0</v>
      </c>
      <c r="F67" s="33" t="n">
        <f aca="false">Costs!F67/FX_EUR</f>
        <v>0</v>
      </c>
      <c r="G67" s="33" t="n">
        <f aca="false">Costs!G67/FX_EUR</f>
        <v>0</v>
      </c>
      <c r="H67" s="33" t="n">
        <f aca="false">Costs!H67/FX_EUR</f>
        <v>0</v>
      </c>
      <c r="I67" s="33" t="n">
        <f aca="false">Costs!I67/FX_EUR</f>
        <v>0</v>
      </c>
      <c r="J67" s="33" t="n">
        <f aca="false">Costs!J67/FX_EUR</f>
        <v>0</v>
      </c>
      <c r="K67" s="33" t="n">
        <f aca="false">Costs!K67/FX_EUR</f>
        <v>0</v>
      </c>
      <c r="L67" s="33" t="n">
        <f aca="false">Costs!L67/FX_EUR</f>
        <v>0</v>
      </c>
      <c r="M67" s="33" t="n">
        <f aca="false">Costs!M67/FX_EUR</f>
        <v>0</v>
      </c>
      <c r="N67" s="33" t="n">
        <f aca="false">Costs!N67/FX_EUR</f>
        <v>0</v>
      </c>
      <c r="O67" s="33" t="n">
        <f aca="false">Costs!O67/FX_EUR</f>
        <v>0</v>
      </c>
      <c r="P67" s="33" t="n">
        <f aca="false">Costs!P67/FX_EUR</f>
        <v>0</v>
      </c>
      <c r="Q67" s="33" t="n">
        <f aca="false">Costs!Q67/FX_EUR</f>
        <v>5081.63390791368</v>
      </c>
      <c r="R67" s="33" t="n">
        <f aca="false">Costs!R67/FX_EUR</f>
        <v>5081.63390791368</v>
      </c>
      <c r="S67" s="33" t="n">
        <f aca="false">Costs!S67/FX_EUR</f>
        <v>5081.63390791368</v>
      </c>
      <c r="T67" s="33" t="n">
        <f aca="false">Costs!T67/FX_EUR</f>
        <v>5081.63390791368</v>
      </c>
      <c r="U67" s="33" t="n">
        <f aca="false">Costs!U67/FX_EUR</f>
        <v>5081.63390791368</v>
      </c>
      <c r="V67" s="33" t="n">
        <f aca="false">Costs!V67/FX_EUR</f>
        <v>5081.63390791368</v>
      </c>
      <c r="W67" s="33" t="n">
        <f aca="false">Costs!W67/FX_EUR</f>
        <v>5081.63390791368</v>
      </c>
      <c r="X67" s="33" t="n">
        <f aca="false">Costs!X67/FX_EUR</f>
        <v>5081.63390791368</v>
      </c>
      <c r="Y67" s="33" t="n">
        <f aca="false">Costs!Y67/FX_EUR</f>
        <v>5081.63390791368</v>
      </c>
      <c r="Z67" s="33" t="n">
        <f aca="false">Costs!Z67/FX_EUR</f>
        <v>5081.63390791368</v>
      </c>
      <c r="AA67" s="33" t="n">
        <f aca="false">Costs!AA67/FX_EUR</f>
        <v>5081.63390791368</v>
      </c>
      <c r="AB67" s="33" t="n">
        <f aca="false">Costs!AB67/FX_EUR</f>
        <v>5081.63390791368</v>
      </c>
      <c r="AC67" s="33" t="n">
        <f aca="false">Costs!AC67/FX_EUR</f>
        <v>1270.40847697842</v>
      </c>
      <c r="AD67" s="33" t="n">
        <f aca="false">Costs!AD67/FX_EUR</f>
        <v>1270.40847697842</v>
      </c>
      <c r="AE67" s="33" t="n">
        <f aca="false">Costs!AE67/FX_EUR</f>
        <v>1270.40847697842</v>
      </c>
      <c r="AF67" s="33" t="n">
        <f aca="false">Costs!AF67/FX_EUR</f>
        <v>1270.40847697842</v>
      </c>
      <c r="AG67" s="33" t="n">
        <f aca="false">Costs!AG67/FX_EUR</f>
        <v>1270.40847697842</v>
      </c>
      <c r="AH67" s="33" t="n">
        <f aca="false">Costs!AH67/FX_EUR</f>
        <v>1270.40847697842</v>
      </c>
      <c r="AI67" s="33" t="n">
        <f aca="false">Costs!AI67/FX_EUR</f>
        <v>1270.40847697842</v>
      </c>
      <c r="AJ67" s="33" t="n">
        <f aca="false">Costs!AJ67/FX_EUR</f>
        <v>1270.40847697842</v>
      </c>
      <c r="AK67" s="33" t="n">
        <f aca="false">Costs!AK67/FX_EUR</f>
        <v>1270.40847697842</v>
      </c>
      <c r="AL67" s="33" t="n">
        <f aca="false">Costs!AL67/FX_EUR</f>
        <v>1270.40847697842</v>
      </c>
      <c r="AM67" s="33" t="n">
        <f aca="false">Costs!AM67/FX_EUR</f>
        <v>1270.40847697842</v>
      </c>
      <c r="AN67" s="33" t="n">
        <f aca="false">Costs!AN67/FX_EUR</f>
        <v>1270.40847697842</v>
      </c>
      <c r="AO67" s="33" t="n">
        <f aca="false">Costs!AO67/FX_EUR</f>
        <v>0</v>
      </c>
      <c r="AP67" s="33" t="n">
        <f aca="false">Costs!AP67/FX_EUR</f>
        <v>0</v>
      </c>
      <c r="AQ67" s="33" t="n">
        <f aca="false">Costs!AQ67/FX_EUR</f>
        <v>0</v>
      </c>
      <c r="AR67" s="33" t="n">
        <f aca="false">Costs!AR67/FX_EUR</f>
        <v>0</v>
      </c>
      <c r="AS67" s="33" t="n">
        <f aca="false">Costs!AS67/FX_EUR</f>
        <v>0</v>
      </c>
      <c r="AT67" s="33" t="n">
        <f aca="false">Costs!AT67/FX_EUR</f>
        <v>0</v>
      </c>
      <c r="AU67" s="33" t="n">
        <f aca="false">Costs!AU67/FX_EUR</f>
        <v>0</v>
      </c>
      <c r="AV67" s="33" t="n">
        <f aca="false">Costs!AV67/FX_EUR</f>
        <v>0</v>
      </c>
      <c r="AW67" s="33" t="n">
        <f aca="false">Costs!AW67/FX_EUR</f>
        <v>0</v>
      </c>
      <c r="AX67" s="33" t="n">
        <f aca="false">Costs!AX67/FX_EUR</f>
        <v>0</v>
      </c>
      <c r="AY67" s="33" t="n">
        <f aca="false">Costs!AY67/FX_EUR</f>
        <v>0</v>
      </c>
      <c r="AZ67" s="33" t="n">
        <f aca="false">Costs!AZ67/FX_EUR</f>
        <v>0</v>
      </c>
      <c r="BA67" s="33" t="n">
        <f aca="false">Costs!BA67/FX_EUR</f>
        <v>0</v>
      </c>
      <c r="BB67" s="33" t="n">
        <f aca="false">Costs!BB67/FX_EUR</f>
        <v>0</v>
      </c>
      <c r="BC67" s="33" t="n">
        <f aca="false">Costs!BC67/FX_EUR</f>
        <v>0</v>
      </c>
      <c r="BD67" s="33" t="n">
        <f aca="false">Costs!BD67/FX_EUR</f>
        <v>0</v>
      </c>
      <c r="BE67" s="33" t="n">
        <f aca="false">Costs!BE67/FX_EUR</f>
        <v>0</v>
      </c>
      <c r="BF67" s="33" t="n">
        <f aca="false">Costs!BF67/FX_EUR</f>
        <v>0</v>
      </c>
      <c r="BG67" s="33" t="n">
        <f aca="false">Costs!BG67/FX_EUR</f>
        <v>0</v>
      </c>
      <c r="BH67" s="33" t="n">
        <f aca="false">Costs!BH67/FX_EUR</f>
        <v>0</v>
      </c>
      <c r="BI67" s="33" t="n">
        <f aca="false">Costs!BI67/FX_EUR</f>
        <v>0</v>
      </c>
      <c r="BJ67" s="33" t="n">
        <f aca="false">Costs!BJ67/FX_EUR</f>
        <v>0</v>
      </c>
      <c r="BK67" s="33" t="n">
        <f aca="false">Costs!BK67/FX_EUR</f>
        <v>0</v>
      </c>
      <c r="BL67" s="33" t="n">
        <f aca="false">Costs!BL67/FX_EUR</f>
        <v>0</v>
      </c>
    </row>
    <row r="68" customFormat="false" ht="15" hidden="false" customHeight="true" outlineLevel="0" collapsed="false">
      <c r="A68" s="13" t="s">
        <v>1312</v>
      </c>
      <c r="B68" s="15" t="s">
        <v>79</v>
      </c>
      <c r="D68" s="56" t="n">
        <f aca="false">Costs!D68/FX_EUR</f>
        <v>224100.055338993</v>
      </c>
      <c r="E68" s="33" t="n">
        <f aca="false">Costs!E68/FX_EUR</f>
        <v>0</v>
      </c>
      <c r="F68" s="33" t="n">
        <f aca="false">Costs!F68/FX_EUR</f>
        <v>0</v>
      </c>
      <c r="G68" s="33" t="n">
        <f aca="false">Costs!G68/FX_EUR</f>
        <v>0</v>
      </c>
      <c r="H68" s="33" t="n">
        <f aca="false">Costs!H68/FX_EUR</f>
        <v>0</v>
      </c>
      <c r="I68" s="33" t="n">
        <f aca="false">Costs!I68/FX_EUR</f>
        <v>0</v>
      </c>
      <c r="J68" s="33" t="n">
        <f aca="false">Costs!J68/FX_EUR</f>
        <v>0</v>
      </c>
      <c r="K68" s="33" t="n">
        <f aca="false">Costs!K68/FX_EUR</f>
        <v>0</v>
      </c>
      <c r="L68" s="33" t="n">
        <f aca="false">Costs!L68/FX_EUR</f>
        <v>0</v>
      </c>
      <c r="M68" s="33" t="n">
        <f aca="false">Costs!M68/FX_EUR</f>
        <v>0</v>
      </c>
      <c r="N68" s="33" t="n">
        <f aca="false">Costs!N68/FX_EUR</f>
        <v>0</v>
      </c>
      <c r="O68" s="33" t="n">
        <f aca="false">Costs!O68/FX_EUR</f>
        <v>0</v>
      </c>
      <c r="P68" s="33" t="n">
        <f aca="false">Costs!P68/FX_EUR</f>
        <v>0</v>
      </c>
      <c r="Q68" s="33" t="n">
        <f aca="false">Costs!Q68/FX_EUR</f>
        <v>0</v>
      </c>
      <c r="R68" s="33" t="n">
        <f aca="false">Costs!R68/FX_EUR</f>
        <v>0</v>
      </c>
      <c r="S68" s="33" t="n">
        <f aca="false">Costs!S68/FX_EUR</f>
        <v>0</v>
      </c>
      <c r="T68" s="33" t="n">
        <f aca="false">Costs!T68/FX_EUR</f>
        <v>0</v>
      </c>
      <c r="U68" s="33" t="n">
        <f aca="false">Costs!U68/FX_EUR</f>
        <v>0</v>
      </c>
      <c r="V68" s="33" t="n">
        <f aca="false">Costs!V68/FX_EUR</f>
        <v>0</v>
      </c>
      <c r="W68" s="33" t="n">
        <f aca="false">Costs!W68/FX_EUR</f>
        <v>0</v>
      </c>
      <c r="X68" s="33" t="n">
        <f aca="false">Costs!X68/FX_EUR</f>
        <v>0</v>
      </c>
      <c r="Y68" s="33" t="n">
        <f aca="false">Costs!Y68/FX_EUR</f>
        <v>0</v>
      </c>
      <c r="Z68" s="33" t="n">
        <f aca="false">Costs!Z68/FX_EUR</f>
        <v>0</v>
      </c>
      <c r="AA68" s="33" t="n">
        <f aca="false">Costs!AA68/FX_EUR</f>
        <v>0</v>
      </c>
      <c r="AB68" s="33" t="n">
        <f aca="false">Costs!AB68/FX_EUR</f>
        <v>4573.47051712231</v>
      </c>
      <c r="AC68" s="33" t="n">
        <f aca="false">Costs!AC68/FX_EUR</f>
        <v>5335.71560330936</v>
      </c>
      <c r="AD68" s="33" t="n">
        <f aca="false">Costs!AD68/FX_EUR</f>
        <v>5335.71560330936</v>
      </c>
      <c r="AE68" s="33" t="n">
        <f aca="false">Costs!AE68/FX_EUR</f>
        <v>5335.71560330936</v>
      </c>
      <c r="AF68" s="33" t="n">
        <f aca="false">Costs!AF68/FX_EUR</f>
        <v>5335.71560330936</v>
      </c>
      <c r="AG68" s="33" t="n">
        <f aca="false">Costs!AG68/FX_EUR</f>
        <v>5335.71560330936</v>
      </c>
      <c r="AH68" s="33" t="n">
        <f aca="false">Costs!AH68/FX_EUR</f>
        <v>5335.71560330936</v>
      </c>
      <c r="AI68" s="33" t="n">
        <f aca="false">Costs!AI68/FX_EUR</f>
        <v>5335.71560330936</v>
      </c>
      <c r="AJ68" s="33" t="n">
        <f aca="false">Costs!AJ68/FX_EUR</f>
        <v>5335.71560330936</v>
      </c>
      <c r="AK68" s="33" t="n">
        <f aca="false">Costs!AK68/FX_EUR</f>
        <v>5335.71560330936</v>
      </c>
      <c r="AL68" s="33" t="n">
        <f aca="false">Costs!AL68/FX_EUR</f>
        <v>5335.71560330936</v>
      </c>
      <c r="AM68" s="33" t="n">
        <f aca="false">Costs!AM68/FX_EUR</f>
        <v>5335.71560330936</v>
      </c>
      <c r="AN68" s="33" t="n">
        <f aca="false">Costs!AN68/FX_EUR</f>
        <v>5335.71560330936</v>
      </c>
      <c r="AO68" s="33" t="n">
        <f aca="false">Costs!AO68/FX_EUR</f>
        <v>6097.96068949642</v>
      </c>
      <c r="AP68" s="33" t="n">
        <f aca="false">Costs!AP68/FX_EUR</f>
        <v>6097.96068949642</v>
      </c>
      <c r="AQ68" s="33" t="n">
        <f aca="false">Costs!AQ68/FX_EUR</f>
        <v>6097.96068949642</v>
      </c>
      <c r="AR68" s="33" t="n">
        <f aca="false">Costs!AR68/FX_EUR</f>
        <v>6097.96068949642</v>
      </c>
      <c r="AS68" s="33" t="n">
        <f aca="false">Costs!AS68/FX_EUR</f>
        <v>6097.96068949642</v>
      </c>
      <c r="AT68" s="33" t="n">
        <f aca="false">Costs!AT68/FX_EUR</f>
        <v>6097.96068949642</v>
      </c>
      <c r="AU68" s="33" t="n">
        <f aca="false">Costs!AU68/FX_EUR</f>
        <v>6097.96068949642</v>
      </c>
      <c r="AV68" s="33" t="n">
        <f aca="false">Costs!AV68/FX_EUR</f>
        <v>6097.96068949642</v>
      </c>
      <c r="AW68" s="33" t="n">
        <f aca="false">Costs!AW68/FX_EUR</f>
        <v>6097.96068949642</v>
      </c>
      <c r="AX68" s="33" t="n">
        <f aca="false">Costs!AX68/FX_EUR</f>
        <v>6097.96068949642</v>
      </c>
      <c r="AY68" s="33" t="n">
        <f aca="false">Costs!AY68/FX_EUR</f>
        <v>6097.96068949642</v>
      </c>
      <c r="AZ68" s="33" t="n">
        <f aca="false">Costs!AZ68/FX_EUR</f>
        <v>6097.96068949642</v>
      </c>
      <c r="BA68" s="33" t="n">
        <f aca="false">Costs!BA68/FX_EUR</f>
        <v>6860.20577568347</v>
      </c>
      <c r="BB68" s="33" t="n">
        <f aca="false">Costs!BB68/FX_EUR</f>
        <v>6860.20577568347</v>
      </c>
      <c r="BC68" s="33" t="n">
        <f aca="false">Costs!BC68/FX_EUR</f>
        <v>6860.20577568347</v>
      </c>
      <c r="BD68" s="33" t="n">
        <f aca="false">Costs!BD68/FX_EUR</f>
        <v>6860.20577568347</v>
      </c>
      <c r="BE68" s="33" t="n">
        <f aca="false">Costs!BE68/FX_EUR</f>
        <v>6860.20577568347</v>
      </c>
      <c r="BF68" s="33" t="n">
        <f aca="false">Costs!BF68/FX_EUR</f>
        <v>6860.20577568347</v>
      </c>
      <c r="BG68" s="33" t="n">
        <f aca="false">Costs!BG68/FX_EUR</f>
        <v>6860.20577568347</v>
      </c>
      <c r="BH68" s="33" t="n">
        <f aca="false">Costs!BH68/FX_EUR</f>
        <v>6860.20577568347</v>
      </c>
      <c r="BI68" s="33" t="n">
        <f aca="false">Costs!BI68/FX_EUR</f>
        <v>6860.20577568347</v>
      </c>
      <c r="BJ68" s="33" t="n">
        <f aca="false">Costs!BJ68/FX_EUR</f>
        <v>6860.20577568347</v>
      </c>
      <c r="BK68" s="33" t="n">
        <f aca="false">Costs!BK68/FX_EUR</f>
        <v>6860.20577568347</v>
      </c>
      <c r="BL68" s="33" t="n">
        <f aca="false">Costs!BL68/FX_EUR</f>
        <v>6860.20577568347</v>
      </c>
    </row>
    <row r="69" customFormat="false" ht="15" hidden="false" customHeight="true" outlineLevel="0" collapsed="false">
      <c r="A69" s="13" t="s">
        <v>868</v>
      </c>
      <c r="B69" s="15" t="s">
        <v>79</v>
      </c>
      <c r="D69" s="56" t="n">
        <f aca="false">Costs!D69/FX_EUR</f>
        <v>182938.820684892</v>
      </c>
      <c r="E69" s="33" t="n">
        <f aca="false">Costs!E69/FX_EUR</f>
        <v>1524.4901723741</v>
      </c>
      <c r="F69" s="33" t="n">
        <f aca="false">Costs!F69/FX_EUR</f>
        <v>1524.4901723741</v>
      </c>
      <c r="G69" s="33" t="n">
        <f aca="false">Costs!G69/FX_EUR</f>
        <v>1524.4901723741</v>
      </c>
      <c r="H69" s="33" t="n">
        <f aca="false">Costs!H69/FX_EUR</f>
        <v>1524.4901723741</v>
      </c>
      <c r="I69" s="33" t="n">
        <f aca="false">Costs!I69/FX_EUR</f>
        <v>1524.4901723741</v>
      </c>
      <c r="J69" s="33" t="n">
        <f aca="false">Costs!J69/FX_EUR</f>
        <v>1524.4901723741</v>
      </c>
      <c r="K69" s="33" t="n">
        <f aca="false">Costs!K69/FX_EUR</f>
        <v>1524.4901723741</v>
      </c>
      <c r="L69" s="33" t="n">
        <f aca="false">Costs!L69/FX_EUR</f>
        <v>1524.4901723741</v>
      </c>
      <c r="M69" s="33" t="n">
        <f aca="false">Costs!M69/FX_EUR</f>
        <v>1524.4901723741</v>
      </c>
      <c r="N69" s="33" t="n">
        <f aca="false">Costs!N69/FX_EUR</f>
        <v>1524.4901723741</v>
      </c>
      <c r="O69" s="33" t="n">
        <f aca="false">Costs!O69/FX_EUR</f>
        <v>1524.4901723741</v>
      </c>
      <c r="P69" s="33" t="n">
        <f aca="false">Costs!P69/FX_EUR</f>
        <v>1524.4901723741</v>
      </c>
      <c r="Q69" s="33" t="n">
        <f aca="false">Costs!Q69/FX_EUR</f>
        <v>2286.73525856116</v>
      </c>
      <c r="R69" s="33" t="n">
        <f aca="false">Costs!R69/FX_EUR</f>
        <v>2286.73525856116</v>
      </c>
      <c r="S69" s="33" t="n">
        <f aca="false">Costs!S69/FX_EUR</f>
        <v>2286.73525856116</v>
      </c>
      <c r="T69" s="33" t="n">
        <f aca="false">Costs!T69/FX_EUR</f>
        <v>2286.73525856116</v>
      </c>
      <c r="U69" s="33" t="n">
        <f aca="false">Costs!U69/FX_EUR</f>
        <v>2286.73525856116</v>
      </c>
      <c r="V69" s="33" t="n">
        <f aca="false">Costs!V69/FX_EUR</f>
        <v>2286.73525856116</v>
      </c>
      <c r="W69" s="33" t="n">
        <f aca="false">Costs!W69/FX_EUR</f>
        <v>2286.73525856116</v>
      </c>
      <c r="X69" s="33" t="n">
        <f aca="false">Costs!X69/FX_EUR</f>
        <v>2286.73525856116</v>
      </c>
      <c r="Y69" s="33" t="n">
        <f aca="false">Costs!Y69/FX_EUR</f>
        <v>2286.73525856116</v>
      </c>
      <c r="Z69" s="33" t="n">
        <f aca="false">Costs!Z69/FX_EUR</f>
        <v>2286.73525856116</v>
      </c>
      <c r="AA69" s="33" t="n">
        <f aca="false">Costs!AA69/FX_EUR</f>
        <v>2286.73525856116</v>
      </c>
      <c r="AB69" s="33" t="n">
        <f aca="false">Costs!AB69/FX_EUR</f>
        <v>2286.73525856116</v>
      </c>
      <c r="AC69" s="33" t="n">
        <f aca="false">Costs!AC69/FX_EUR</f>
        <v>3048.98034474821</v>
      </c>
      <c r="AD69" s="33" t="n">
        <f aca="false">Costs!AD69/FX_EUR</f>
        <v>3048.98034474821</v>
      </c>
      <c r="AE69" s="33" t="n">
        <f aca="false">Costs!AE69/FX_EUR</f>
        <v>3048.98034474821</v>
      </c>
      <c r="AF69" s="33" t="n">
        <f aca="false">Costs!AF69/FX_EUR</f>
        <v>3048.98034474821</v>
      </c>
      <c r="AG69" s="33" t="n">
        <f aca="false">Costs!AG69/FX_EUR</f>
        <v>3048.98034474821</v>
      </c>
      <c r="AH69" s="33" t="n">
        <f aca="false">Costs!AH69/FX_EUR</f>
        <v>3048.98034474821</v>
      </c>
      <c r="AI69" s="33" t="n">
        <f aca="false">Costs!AI69/FX_EUR</f>
        <v>3048.98034474821</v>
      </c>
      <c r="AJ69" s="33" t="n">
        <f aca="false">Costs!AJ69/FX_EUR</f>
        <v>3048.98034474821</v>
      </c>
      <c r="AK69" s="33" t="n">
        <f aca="false">Costs!AK69/FX_EUR</f>
        <v>3048.98034474821</v>
      </c>
      <c r="AL69" s="33" t="n">
        <f aca="false">Costs!AL69/FX_EUR</f>
        <v>3048.98034474821</v>
      </c>
      <c r="AM69" s="33" t="n">
        <f aca="false">Costs!AM69/FX_EUR</f>
        <v>3048.98034474821</v>
      </c>
      <c r="AN69" s="33" t="n">
        <f aca="false">Costs!AN69/FX_EUR</f>
        <v>3048.98034474821</v>
      </c>
      <c r="AO69" s="33" t="n">
        <f aca="false">Costs!AO69/FX_EUR</f>
        <v>3811.22543093526</v>
      </c>
      <c r="AP69" s="33" t="n">
        <f aca="false">Costs!AP69/FX_EUR</f>
        <v>3811.22543093526</v>
      </c>
      <c r="AQ69" s="33" t="n">
        <f aca="false">Costs!AQ69/FX_EUR</f>
        <v>3811.22543093526</v>
      </c>
      <c r="AR69" s="33" t="n">
        <f aca="false">Costs!AR69/FX_EUR</f>
        <v>3811.22543093526</v>
      </c>
      <c r="AS69" s="33" t="n">
        <f aca="false">Costs!AS69/FX_EUR</f>
        <v>3811.22543093526</v>
      </c>
      <c r="AT69" s="33" t="n">
        <f aca="false">Costs!AT69/FX_EUR</f>
        <v>3811.22543093526</v>
      </c>
      <c r="AU69" s="33" t="n">
        <f aca="false">Costs!AU69/FX_EUR</f>
        <v>3811.22543093526</v>
      </c>
      <c r="AV69" s="33" t="n">
        <f aca="false">Costs!AV69/FX_EUR</f>
        <v>3811.22543093526</v>
      </c>
      <c r="AW69" s="33" t="n">
        <f aca="false">Costs!AW69/FX_EUR</f>
        <v>3811.22543093526</v>
      </c>
      <c r="AX69" s="33" t="n">
        <f aca="false">Costs!AX69/FX_EUR</f>
        <v>3811.22543093526</v>
      </c>
      <c r="AY69" s="33" t="n">
        <f aca="false">Costs!AY69/FX_EUR</f>
        <v>3811.22543093526</v>
      </c>
      <c r="AZ69" s="33" t="n">
        <f aca="false">Costs!AZ69/FX_EUR</f>
        <v>3811.22543093526</v>
      </c>
      <c r="BA69" s="33" t="n">
        <f aca="false">Costs!BA69/FX_EUR</f>
        <v>4573.47051712231</v>
      </c>
      <c r="BB69" s="33" t="n">
        <f aca="false">Costs!BB69/FX_EUR</f>
        <v>4573.47051712231</v>
      </c>
      <c r="BC69" s="33" t="n">
        <f aca="false">Costs!BC69/FX_EUR</f>
        <v>4573.47051712231</v>
      </c>
      <c r="BD69" s="33" t="n">
        <f aca="false">Costs!BD69/FX_EUR</f>
        <v>4573.47051712231</v>
      </c>
      <c r="BE69" s="33" t="n">
        <f aca="false">Costs!BE69/FX_EUR</f>
        <v>4573.47051712231</v>
      </c>
      <c r="BF69" s="33" t="n">
        <f aca="false">Costs!BF69/FX_EUR</f>
        <v>4573.47051712231</v>
      </c>
      <c r="BG69" s="33" t="n">
        <f aca="false">Costs!BG69/FX_EUR</f>
        <v>4573.47051712231</v>
      </c>
      <c r="BH69" s="33" t="n">
        <f aca="false">Costs!BH69/FX_EUR</f>
        <v>4573.47051712231</v>
      </c>
      <c r="BI69" s="33" t="n">
        <f aca="false">Costs!BI69/FX_EUR</f>
        <v>4573.47051712231</v>
      </c>
      <c r="BJ69" s="33" t="n">
        <f aca="false">Costs!BJ69/FX_EUR</f>
        <v>4573.47051712231</v>
      </c>
      <c r="BK69" s="33" t="n">
        <f aca="false">Costs!BK69/FX_EUR</f>
        <v>4573.47051712231</v>
      </c>
      <c r="BL69" s="33" t="n">
        <f aca="false">Costs!BL69/FX_EUR</f>
        <v>4573.47051712231</v>
      </c>
    </row>
    <row r="70" customFormat="false" ht="15" hidden="false" customHeight="true" outlineLevel="0" collapsed="false">
      <c r="A70" s="13" t="s">
        <v>869</v>
      </c>
      <c r="B70" s="15" t="s">
        <v>79</v>
      </c>
      <c r="D70" s="56" t="n">
        <f aca="false">Costs!D70/FX_EUR</f>
        <v>160071.468099281</v>
      </c>
      <c r="E70" s="33" t="n">
        <f aca="false">Costs!E70/FX_EUR</f>
        <v>635.20423848921</v>
      </c>
      <c r="F70" s="33" t="n">
        <f aca="false">Costs!F70/FX_EUR</f>
        <v>635.20423848921</v>
      </c>
      <c r="G70" s="33" t="n">
        <f aca="false">Costs!G70/FX_EUR</f>
        <v>635.20423848921</v>
      </c>
      <c r="H70" s="33" t="n">
        <f aca="false">Costs!H70/FX_EUR</f>
        <v>635.20423848921</v>
      </c>
      <c r="I70" s="33" t="n">
        <f aca="false">Costs!I70/FX_EUR</f>
        <v>635.20423848921</v>
      </c>
      <c r="J70" s="33" t="n">
        <f aca="false">Costs!J70/FX_EUR</f>
        <v>635.20423848921</v>
      </c>
      <c r="K70" s="33" t="n">
        <f aca="false">Costs!K70/FX_EUR</f>
        <v>635.20423848921</v>
      </c>
      <c r="L70" s="33" t="n">
        <f aca="false">Costs!L70/FX_EUR</f>
        <v>635.20423848921</v>
      </c>
      <c r="M70" s="33" t="n">
        <f aca="false">Costs!M70/FX_EUR</f>
        <v>635.20423848921</v>
      </c>
      <c r="N70" s="33" t="n">
        <f aca="false">Costs!N70/FX_EUR</f>
        <v>635.20423848921</v>
      </c>
      <c r="O70" s="33" t="n">
        <f aca="false">Costs!O70/FX_EUR</f>
        <v>635.20423848921</v>
      </c>
      <c r="P70" s="33" t="n">
        <f aca="false">Costs!P70/FX_EUR</f>
        <v>635.20423848921</v>
      </c>
      <c r="Q70" s="33" t="n">
        <f aca="false">Costs!Q70/FX_EUR</f>
        <v>1270.40847697842</v>
      </c>
      <c r="R70" s="33" t="n">
        <f aca="false">Costs!R70/FX_EUR</f>
        <v>1270.40847697842</v>
      </c>
      <c r="S70" s="33" t="n">
        <f aca="false">Costs!S70/FX_EUR</f>
        <v>1270.40847697842</v>
      </c>
      <c r="T70" s="33" t="n">
        <f aca="false">Costs!T70/FX_EUR</f>
        <v>1270.40847697842</v>
      </c>
      <c r="U70" s="33" t="n">
        <f aca="false">Costs!U70/FX_EUR</f>
        <v>1270.40847697842</v>
      </c>
      <c r="V70" s="33" t="n">
        <f aca="false">Costs!V70/FX_EUR</f>
        <v>1270.40847697842</v>
      </c>
      <c r="W70" s="33" t="n">
        <f aca="false">Costs!W70/FX_EUR</f>
        <v>1270.40847697842</v>
      </c>
      <c r="X70" s="33" t="n">
        <f aca="false">Costs!X70/FX_EUR</f>
        <v>1270.40847697842</v>
      </c>
      <c r="Y70" s="33" t="n">
        <f aca="false">Costs!Y70/FX_EUR</f>
        <v>1270.40847697842</v>
      </c>
      <c r="Z70" s="33" t="n">
        <f aca="false">Costs!Z70/FX_EUR</f>
        <v>1270.40847697842</v>
      </c>
      <c r="AA70" s="33" t="n">
        <f aca="false">Costs!AA70/FX_EUR</f>
        <v>1270.40847697842</v>
      </c>
      <c r="AB70" s="33" t="n">
        <f aca="false">Costs!AB70/FX_EUR</f>
        <v>1270.40847697842</v>
      </c>
      <c r="AC70" s="33" t="n">
        <f aca="false">Costs!AC70/FX_EUR</f>
        <v>3176.02119244605</v>
      </c>
      <c r="AD70" s="33" t="n">
        <f aca="false">Costs!AD70/FX_EUR</f>
        <v>3176.02119244605</v>
      </c>
      <c r="AE70" s="33" t="n">
        <f aca="false">Costs!AE70/FX_EUR</f>
        <v>3176.02119244605</v>
      </c>
      <c r="AF70" s="33" t="n">
        <f aca="false">Costs!AF70/FX_EUR</f>
        <v>3176.02119244605</v>
      </c>
      <c r="AG70" s="33" t="n">
        <f aca="false">Costs!AG70/FX_EUR</f>
        <v>3176.02119244605</v>
      </c>
      <c r="AH70" s="33" t="n">
        <f aca="false">Costs!AH70/FX_EUR</f>
        <v>3176.02119244605</v>
      </c>
      <c r="AI70" s="33" t="n">
        <f aca="false">Costs!AI70/FX_EUR</f>
        <v>3176.02119244605</v>
      </c>
      <c r="AJ70" s="33" t="n">
        <f aca="false">Costs!AJ70/FX_EUR</f>
        <v>3176.02119244605</v>
      </c>
      <c r="AK70" s="33" t="n">
        <f aca="false">Costs!AK70/FX_EUR</f>
        <v>3176.02119244605</v>
      </c>
      <c r="AL70" s="33" t="n">
        <f aca="false">Costs!AL70/FX_EUR</f>
        <v>3176.02119244605</v>
      </c>
      <c r="AM70" s="33" t="n">
        <f aca="false">Costs!AM70/FX_EUR</f>
        <v>3176.02119244605</v>
      </c>
      <c r="AN70" s="33" t="n">
        <f aca="false">Costs!AN70/FX_EUR</f>
        <v>3176.02119244605</v>
      </c>
      <c r="AO70" s="33" t="n">
        <f aca="false">Costs!AO70/FX_EUR</f>
        <v>3811.22543093526</v>
      </c>
      <c r="AP70" s="33" t="n">
        <f aca="false">Costs!AP70/FX_EUR</f>
        <v>3811.22543093526</v>
      </c>
      <c r="AQ70" s="33" t="n">
        <f aca="false">Costs!AQ70/FX_EUR</f>
        <v>3811.22543093526</v>
      </c>
      <c r="AR70" s="33" t="n">
        <f aca="false">Costs!AR70/FX_EUR</f>
        <v>3811.22543093526</v>
      </c>
      <c r="AS70" s="33" t="n">
        <f aca="false">Costs!AS70/FX_EUR</f>
        <v>3811.22543093526</v>
      </c>
      <c r="AT70" s="33" t="n">
        <f aca="false">Costs!AT70/FX_EUR</f>
        <v>3811.22543093526</v>
      </c>
      <c r="AU70" s="33" t="n">
        <f aca="false">Costs!AU70/FX_EUR</f>
        <v>3811.22543093526</v>
      </c>
      <c r="AV70" s="33" t="n">
        <f aca="false">Costs!AV70/FX_EUR</f>
        <v>3811.22543093526</v>
      </c>
      <c r="AW70" s="33" t="n">
        <f aca="false">Costs!AW70/FX_EUR</f>
        <v>3811.22543093526</v>
      </c>
      <c r="AX70" s="33" t="n">
        <f aca="false">Costs!AX70/FX_EUR</f>
        <v>3811.22543093526</v>
      </c>
      <c r="AY70" s="33" t="n">
        <f aca="false">Costs!AY70/FX_EUR</f>
        <v>3811.22543093526</v>
      </c>
      <c r="AZ70" s="33" t="n">
        <f aca="false">Costs!AZ70/FX_EUR</f>
        <v>3811.22543093526</v>
      </c>
      <c r="BA70" s="33" t="n">
        <f aca="false">Costs!BA70/FX_EUR</f>
        <v>4446.42966942447</v>
      </c>
      <c r="BB70" s="33" t="n">
        <f aca="false">Costs!BB70/FX_EUR</f>
        <v>4446.42966942447</v>
      </c>
      <c r="BC70" s="33" t="n">
        <f aca="false">Costs!BC70/FX_EUR</f>
        <v>4446.42966942447</v>
      </c>
      <c r="BD70" s="33" t="n">
        <f aca="false">Costs!BD70/FX_EUR</f>
        <v>4446.42966942447</v>
      </c>
      <c r="BE70" s="33" t="n">
        <f aca="false">Costs!BE70/FX_EUR</f>
        <v>4446.42966942447</v>
      </c>
      <c r="BF70" s="33" t="n">
        <f aca="false">Costs!BF70/FX_EUR</f>
        <v>4446.42966942447</v>
      </c>
      <c r="BG70" s="33" t="n">
        <f aca="false">Costs!BG70/FX_EUR</f>
        <v>4446.42966942447</v>
      </c>
      <c r="BH70" s="33" t="n">
        <f aca="false">Costs!BH70/FX_EUR</f>
        <v>4446.42966942447</v>
      </c>
      <c r="BI70" s="33" t="n">
        <f aca="false">Costs!BI70/FX_EUR</f>
        <v>4446.42966942447</v>
      </c>
      <c r="BJ70" s="33" t="n">
        <f aca="false">Costs!BJ70/FX_EUR</f>
        <v>4446.42966942447</v>
      </c>
      <c r="BK70" s="33" t="n">
        <f aca="false">Costs!BK70/FX_EUR</f>
        <v>4446.42966942447</v>
      </c>
      <c r="BL70" s="33" t="n">
        <f aca="false">Costs!BL70/FX_EUR</f>
        <v>4446.42966942447</v>
      </c>
    </row>
    <row r="71" customFormat="false" ht="15" hidden="false" customHeight="true" outlineLevel="0" collapsed="false">
      <c r="A71" s="13" t="s">
        <v>1082</v>
      </c>
      <c r="B71" s="15" t="s">
        <v>79</v>
      </c>
      <c r="D71" s="56" t="n">
        <f aca="false">Costs!D71/FX_EUR</f>
        <v>65857.9754465613</v>
      </c>
      <c r="E71" s="33" t="n">
        <f aca="false">Costs!E71/FX_EUR</f>
        <v>457.347051712231</v>
      </c>
      <c r="F71" s="33" t="n">
        <f aca="false">Costs!F71/FX_EUR</f>
        <v>457.347051712231</v>
      </c>
      <c r="G71" s="33" t="n">
        <f aca="false">Costs!G71/FX_EUR</f>
        <v>457.347051712231</v>
      </c>
      <c r="H71" s="33" t="n">
        <f aca="false">Costs!H71/FX_EUR</f>
        <v>457.347051712231</v>
      </c>
      <c r="I71" s="33" t="n">
        <f aca="false">Costs!I71/FX_EUR</f>
        <v>457.347051712231</v>
      </c>
      <c r="J71" s="33" t="n">
        <f aca="false">Costs!J71/FX_EUR</f>
        <v>457.347051712231</v>
      </c>
      <c r="K71" s="33" t="n">
        <f aca="false">Costs!K71/FX_EUR</f>
        <v>457.347051712231</v>
      </c>
      <c r="L71" s="33" t="n">
        <f aca="false">Costs!L71/FX_EUR</f>
        <v>457.347051712231</v>
      </c>
      <c r="M71" s="33" t="n">
        <f aca="false">Costs!M71/FX_EUR</f>
        <v>457.347051712231</v>
      </c>
      <c r="N71" s="33" t="n">
        <f aca="false">Costs!N71/FX_EUR</f>
        <v>457.347051712231</v>
      </c>
      <c r="O71" s="33" t="n">
        <f aca="false">Costs!O71/FX_EUR</f>
        <v>457.347051712231</v>
      </c>
      <c r="P71" s="33" t="n">
        <f aca="false">Costs!P71/FX_EUR</f>
        <v>457.347051712231</v>
      </c>
      <c r="Q71" s="33" t="n">
        <f aca="false">Costs!Q71/FX_EUR</f>
        <v>914.694103424462</v>
      </c>
      <c r="R71" s="33" t="n">
        <f aca="false">Costs!R71/FX_EUR</f>
        <v>914.694103424462</v>
      </c>
      <c r="S71" s="33" t="n">
        <f aca="false">Costs!S71/FX_EUR</f>
        <v>914.694103424462</v>
      </c>
      <c r="T71" s="33" t="n">
        <f aca="false">Costs!T71/FX_EUR</f>
        <v>914.694103424462</v>
      </c>
      <c r="U71" s="33" t="n">
        <f aca="false">Costs!U71/FX_EUR</f>
        <v>914.694103424462</v>
      </c>
      <c r="V71" s="33" t="n">
        <f aca="false">Costs!V71/FX_EUR</f>
        <v>914.694103424462</v>
      </c>
      <c r="W71" s="33" t="n">
        <f aca="false">Costs!W71/FX_EUR</f>
        <v>914.694103424462</v>
      </c>
      <c r="X71" s="33" t="n">
        <f aca="false">Costs!X71/FX_EUR</f>
        <v>914.694103424462</v>
      </c>
      <c r="Y71" s="33" t="n">
        <f aca="false">Costs!Y71/FX_EUR</f>
        <v>914.694103424462</v>
      </c>
      <c r="Z71" s="33" t="n">
        <f aca="false">Costs!Z71/FX_EUR</f>
        <v>914.694103424462</v>
      </c>
      <c r="AA71" s="33" t="n">
        <f aca="false">Costs!AA71/FX_EUR</f>
        <v>914.694103424462</v>
      </c>
      <c r="AB71" s="33" t="n">
        <f aca="false">Costs!AB71/FX_EUR</f>
        <v>914.694103424462</v>
      </c>
      <c r="AC71" s="33" t="n">
        <f aca="false">Costs!AC71/FX_EUR</f>
        <v>1219.59213789928</v>
      </c>
      <c r="AD71" s="33" t="n">
        <f aca="false">Costs!AD71/FX_EUR</f>
        <v>1219.59213789928</v>
      </c>
      <c r="AE71" s="33" t="n">
        <f aca="false">Costs!AE71/FX_EUR</f>
        <v>1219.59213789928</v>
      </c>
      <c r="AF71" s="33" t="n">
        <f aca="false">Costs!AF71/FX_EUR</f>
        <v>1219.59213789928</v>
      </c>
      <c r="AG71" s="33" t="n">
        <f aca="false">Costs!AG71/FX_EUR</f>
        <v>1219.59213789928</v>
      </c>
      <c r="AH71" s="33" t="n">
        <f aca="false">Costs!AH71/FX_EUR</f>
        <v>1219.59213789928</v>
      </c>
      <c r="AI71" s="33" t="n">
        <f aca="false">Costs!AI71/FX_EUR</f>
        <v>1219.59213789928</v>
      </c>
      <c r="AJ71" s="33" t="n">
        <f aca="false">Costs!AJ71/FX_EUR</f>
        <v>1219.59213789928</v>
      </c>
      <c r="AK71" s="33" t="n">
        <f aca="false">Costs!AK71/FX_EUR</f>
        <v>1219.59213789928</v>
      </c>
      <c r="AL71" s="33" t="n">
        <f aca="false">Costs!AL71/FX_EUR</f>
        <v>1219.59213789928</v>
      </c>
      <c r="AM71" s="33" t="n">
        <f aca="false">Costs!AM71/FX_EUR</f>
        <v>1219.59213789928</v>
      </c>
      <c r="AN71" s="33" t="n">
        <f aca="false">Costs!AN71/FX_EUR</f>
        <v>1219.59213789928</v>
      </c>
      <c r="AO71" s="33" t="n">
        <f aca="false">Costs!AO71/FX_EUR</f>
        <v>1372.04115513669</v>
      </c>
      <c r="AP71" s="33" t="n">
        <f aca="false">Costs!AP71/FX_EUR</f>
        <v>1372.04115513669</v>
      </c>
      <c r="AQ71" s="33" t="n">
        <f aca="false">Costs!AQ71/FX_EUR</f>
        <v>1372.04115513669</v>
      </c>
      <c r="AR71" s="33" t="n">
        <f aca="false">Costs!AR71/FX_EUR</f>
        <v>1372.04115513669</v>
      </c>
      <c r="AS71" s="33" t="n">
        <f aca="false">Costs!AS71/FX_EUR</f>
        <v>1372.04115513669</v>
      </c>
      <c r="AT71" s="33" t="n">
        <f aca="false">Costs!AT71/FX_EUR</f>
        <v>1372.04115513669</v>
      </c>
      <c r="AU71" s="33" t="n">
        <f aca="false">Costs!AU71/FX_EUR</f>
        <v>1372.04115513669</v>
      </c>
      <c r="AV71" s="33" t="n">
        <f aca="false">Costs!AV71/FX_EUR</f>
        <v>1372.04115513669</v>
      </c>
      <c r="AW71" s="33" t="n">
        <f aca="false">Costs!AW71/FX_EUR</f>
        <v>1372.04115513669</v>
      </c>
      <c r="AX71" s="33" t="n">
        <f aca="false">Costs!AX71/FX_EUR</f>
        <v>1372.04115513669</v>
      </c>
      <c r="AY71" s="33" t="n">
        <f aca="false">Costs!AY71/FX_EUR</f>
        <v>1372.04115513669</v>
      </c>
      <c r="AZ71" s="33" t="n">
        <f aca="false">Costs!AZ71/FX_EUR</f>
        <v>1372.04115513669</v>
      </c>
      <c r="BA71" s="33" t="n">
        <f aca="false">Costs!BA71/FX_EUR</f>
        <v>1524.4901723741</v>
      </c>
      <c r="BB71" s="33" t="n">
        <f aca="false">Costs!BB71/FX_EUR</f>
        <v>1524.4901723741</v>
      </c>
      <c r="BC71" s="33" t="n">
        <f aca="false">Costs!BC71/FX_EUR</f>
        <v>1524.4901723741</v>
      </c>
      <c r="BD71" s="33" t="n">
        <f aca="false">Costs!BD71/FX_EUR</f>
        <v>1524.4901723741</v>
      </c>
      <c r="BE71" s="33" t="n">
        <f aca="false">Costs!BE71/FX_EUR</f>
        <v>1524.4901723741</v>
      </c>
      <c r="BF71" s="33" t="n">
        <f aca="false">Costs!BF71/FX_EUR</f>
        <v>1524.4901723741</v>
      </c>
      <c r="BG71" s="33" t="n">
        <f aca="false">Costs!BG71/FX_EUR</f>
        <v>1524.4901723741</v>
      </c>
      <c r="BH71" s="33" t="n">
        <f aca="false">Costs!BH71/FX_EUR</f>
        <v>1524.4901723741</v>
      </c>
      <c r="BI71" s="33" t="n">
        <f aca="false">Costs!BI71/FX_EUR</f>
        <v>1524.4901723741</v>
      </c>
      <c r="BJ71" s="33" t="n">
        <f aca="false">Costs!BJ71/FX_EUR</f>
        <v>1524.4901723741</v>
      </c>
      <c r="BK71" s="33" t="n">
        <f aca="false">Costs!BK71/FX_EUR</f>
        <v>1524.4901723741</v>
      </c>
      <c r="BL71" s="33" t="n">
        <f aca="false">Costs!BL71/FX_EUR</f>
        <v>1524.4901723741</v>
      </c>
    </row>
    <row r="72" customFormat="false" ht="15" hidden="false" customHeight="true" outlineLevel="0" collapsed="false">
      <c r="A72" s="13" t="s">
        <v>872</v>
      </c>
      <c r="B72" s="15" t="s">
        <v>79</v>
      </c>
      <c r="D72" s="56" t="n">
        <f aca="false">Costs!D72/FX_EUR</f>
        <v>64028.5872397124</v>
      </c>
      <c r="E72" s="33" t="n">
        <f aca="false">Costs!E72/FX_EUR</f>
        <v>0</v>
      </c>
      <c r="F72" s="33" t="n">
        <f aca="false">Costs!F72/FX_EUR</f>
        <v>0</v>
      </c>
      <c r="G72" s="33" t="n">
        <f aca="false">Costs!G72/FX_EUR</f>
        <v>0</v>
      </c>
      <c r="H72" s="33" t="n">
        <f aca="false">Costs!H72/FX_EUR</f>
        <v>0</v>
      </c>
      <c r="I72" s="33" t="n">
        <f aca="false">Costs!I72/FX_EUR</f>
        <v>0</v>
      </c>
      <c r="J72" s="33" t="n">
        <f aca="false">Costs!J72/FX_EUR</f>
        <v>0</v>
      </c>
      <c r="K72" s="33" t="n">
        <f aca="false">Costs!K72/FX_EUR</f>
        <v>0</v>
      </c>
      <c r="L72" s="33" t="n">
        <f aca="false">Costs!L72/FX_EUR</f>
        <v>0</v>
      </c>
      <c r="M72" s="33" t="n">
        <f aca="false">Costs!M72/FX_EUR</f>
        <v>0</v>
      </c>
      <c r="N72" s="33" t="n">
        <f aca="false">Costs!N72/FX_EUR</f>
        <v>0</v>
      </c>
      <c r="O72" s="33" t="n">
        <f aca="false">Costs!O72/FX_EUR</f>
        <v>0</v>
      </c>
      <c r="P72" s="33" t="n">
        <f aca="false">Costs!P72/FX_EUR</f>
        <v>0</v>
      </c>
      <c r="Q72" s="33" t="n">
        <f aca="false">Costs!Q72/FX_EUR</f>
        <v>0</v>
      </c>
      <c r="R72" s="33" t="n">
        <f aca="false">Costs!R72/FX_EUR</f>
        <v>0</v>
      </c>
      <c r="S72" s="33" t="n">
        <f aca="false">Costs!S72/FX_EUR</f>
        <v>0</v>
      </c>
      <c r="T72" s="33" t="n">
        <f aca="false">Costs!T72/FX_EUR</f>
        <v>0</v>
      </c>
      <c r="U72" s="33" t="n">
        <f aca="false">Costs!U72/FX_EUR</f>
        <v>0</v>
      </c>
      <c r="V72" s="33" t="n">
        <f aca="false">Costs!V72/FX_EUR</f>
        <v>0</v>
      </c>
      <c r="W72" s="33" t="n">
        <f aca="false">Costs!W72/FX_EUR</f>
        <v>0</v>
      </c>
      <c r="X72" s="33" t="n">
        <f aca="false">Costs!X72/FX_EUR</f>
        <v>0</v>
      </c>
      <c r="Y72" s="33" t="n">
        <f aca="false">Costs!Y72/FX_EUR</f>
        <v>0</v>
      </c>
      <c r="Z72" s="33" t="n">
        <f aca="false">Costs!Z72/FX_EUR</f>
        <v>0</v>
      </c>
      <c r="AA72" s="33" t="n">
        <f aca="false">Costs!AA72/FX_EUR</f>
        <v>0</v>
      </c>
      <c r="AB72" s="33" t="n">
        <f aca="false">Costs!AB72/FX_EUR</f>
        <v>0</v>
      </c>
      <c r="AC72" s="33" t="n">
        <f aca="false">Costs!AC72/FX_EUR</f>
        <v>1524.4901723741</v>
      </c>
      <c r="AD72" s="33" t="n">
        <f aca="false">Costs!AD72/FX_EUR</f>
        <v>1524.4901723741</v>
      </c>
      <c r="AE72" s="33" t="n">
        <f aca="false">Costs!AE72/FX_EUR</f>
        <v>1524.4901723741</v>
      </c>
      <c r="AF72" s="33" t="n">
        <f aca="false">Costs!AF72/FX_EUR</f>
        <v>1524.4901723741</v>
      </c>
      <c r="AG72" s="33" t="n">
        <f aca="false">Costs!AG72/FX_EUR</f>
        <v>1524.4901723741</v>
      </c>
      <c r="AH72" s="33" t="n">
        <f aca="false">Costs!AH72/FX_EUR</f>
        <v>1524.4901723741</v>
      </c>
      <c r="AI72" s="33" t="n">
        <f aca="false">Costs!AI72/FX_EUR</f>
        <v>1524.4901723741</v>
      </c>
      <c r="AJ72" s="33" t="n">
        <f aca="false">Costs!AJ72/FX_EUR</f>
        <v>1524.4901723741</v>
      </c>
      <c r="AK72" s="33" t="n">
        <f aca="false">Costs!AK72/FX_EUR</f>
        <v>1524.4901723741</v>
      </c>
      <c r="AL72" s="33" t="n">
        <f aca="false">Costs!AL72/FX_EUR</f>
        <v>1524.4901723741</v>
      </c>
      <c r="AM72" s="33" t="n">
        <f aca="false">Costs!AM72/FX_EUR</f>
        <v>1524.4901723741</v>
      </c>
      <c r="AN72" s="33" t="n">
        <f aca="false">Costs!AN72/FX_EUR</f>
        <v>1524.4901723741</v>
      </c>
      <c r="AO72" s="33" t="n">
        <f aca="false">Costs!AO72/FX_EUR</f>
        <v>1778.57186776979</v>
      </c>
      <c r="AP72" s="33" t="n">
        <f aca="false">Costs!AP72/FX_EUR</f>
        <v>1778.57186776979</v>
      </c>
      <c r="AQ72" s="33" t="n">
        <f aca="false">Costs!AQ72/FX_EUR</f>
        <v>1778.57186776979</v>
      </c>
      <c r="AR72" s="33" t="n">
        <f aca="false">Costs!AR72/FX_EUR</f>
        <v>1778.57186776979</v>
      </c>
      <c r="AS72" s="33" t="n">
        <f aca="false">Costs!AS72/FX_EUR</f>
        <v>1778.57186776979</v>
      </c>
      <c r="AT72" s="33" t="n">
        <f aca="false">Costs!AT72/FX_EUR</f>
        <v>1778.57186776979</v>
      </c>
      <c r="AU72" s="33" t="n">
        <f aca="false">Costs!AU72/FX_EUR</f>
        <v>1778.57186776979</v>
      </c>
      <c r="AV72" s="33" t="n">
        <f aca="false">Costs!AV72/FX_EUR</f>
        <v>1778.57186776979</v>
      </c>
      <c r="AW72" s="33" t="n">
        <f aca="false">Costs!AW72/FX_EUR</f>
        <v>1778.57186776979</v>
      </c>
      <c r="AX72" s="33" t="n">
        <f aca="false">Costs!AX72/FX_EUR</f>
        <v>1778.57186776979</v>
      </c>
      <c r="AY72" s="33" t="n">
        <f aca="false">Costs!AY72/FX_EUR</f>
        <v>1778.57186776979</v>
      </c>
      <c r="AZ72" s="33" t="n">
        <f aca="false">Costs!AZ72/FX_EUR</f>
        <v>1778.57186776979</v>
      </c>
      <c r="BA72" s="33" t="n">
        <f aca="false">Costs!BA72/FX_EUR</f>
        <v>2032.65356316547</v>
      </c>
      <c r="BB72" s="33" t="n">
        <f aca="false">Costs!BB72/FX_EUR</f>
        <v>2032.65356316547</v>
      </c>
      <c r="BC72" s="33" t="n">
        <f aca="false">Costs!BC72/FX_EUR</f>
        <v>2032.65356316547</v>
      </c>
      <c r="BD72" s="33" t="n">
        <f aca="false">Costs!BD72/FX_EUR</f>
        <v>2032.65356316547</v>
      </c>
      <c r="BE72" s="33" t="n">
        <f aca="false">Costs!BE72/FX_EUR</f>
        <v>2032.65356316547</v>
      </c>
      <c r="BF72" s="33" t="n">
        <f aca="false">Costs!BF72/FX_EUR</f>
        <v>2032.65356316547</v>
      </c>
      <c r="BG72" s="33" t="n">
        <f aca="false">Costs!BG72/FX_EUR</f>
        <v>2032.65356316547</v>
      </c>
      <c r="BH72" s="33" t="n">
        <f aca="false">Costs!BH72/FX_EUR</f>
        <v>2032.65356316547</v>
      </c>
      <c r="BI72" s="33" t="n">
        <f aca="false">Costs!BI72/FX_EUR</f>
        <v>2032.65356316547</v>
      </c>
      <c r="BJ72" s="33" t="n">
        <f aca="false">Costs!BJ72/FX_EUR</f>
        <v>2032.65356316547</v>
      </c>
      <c r="BK72" s="33" t="n">
        <f aca="false">Costs!BK72/FX_EUR</f>
        <v>2032.65356316547</v>
      </c>
      <c r="BL72" s="33" t="n">
        <f aca="false">Costs!BL72/FX_EUR</f>
        <v>2032.65356316547</v>
      </c>
    </row>
    <row r="73" customFormat="false" ht="15" hidden="false" customHeight="true" outlineLevel="0" collapsed="false">
      <c r="A73" s="13" t="s">
        <v>1083</v>
      </c>
      <c r="B73" s="15" t="s">
        <v>79</v>
      </c>
      <c r="D73" s="56" t="n">
        <f aca="false">Costs!D73/FX_EUR</f>
        <v>16769.3918961151</v>
      </c>
      <c r="E73" s="33" t="n">
        <f aca="false">Costs!E73/FX_EUR</f>
        <v>444.642966942447</v>
      </c>
      <c r="F73" s="33" t="n">
        <f aca="false">Costs!F73/FX_EUR</f>
        <v>444.642966942447</v>
      </c>
      <c r="G73" s="33" t="n">
        <f aca="false">Costs!G73/FX_EUR</f>
        <v>444.642966942447</v>
      </c>
      <c r="H73" s="33" t="n">
        <f aca="false">Costs!H73/FX_EUR</f>
        <v>444.642966942447</v>
      </c>
      <c r="I73" s="33" t="n">
        <f aca="false">Costs!I73/FX_EUR</f>
        <v>444.642966942447</v>
      </c>
      <c r="J73" s="33" t="n">
        <f aca="false">Costs!J73/FX_EUR</f>
        <v>444.642966942447</v>
      </c>
      <c r="K73" s="33" t="n">
        <f aca="false">Costs!K73/FX_EUR</f>
        <v>444.642966942447</v>
      </c>
      <c r="L73" s="33" t="n">
        <f aca="false">Costs!L73/FX_EUR</f>
        <v>444.642966942447</v>
      </c>
      <c r="M73" s="33" t="n">
        <f aca="false">Costs!M73/FX_EUR</f>
        <v>444.642966942447</v>
      </c>
      <c r="N73" s="33" t="n">
        <f aca="false">Costs!N73/FX_EUR</f>
        <v>444.642966942447</v>
      </c>
      <c r="O73" s="33" t="n">
        <f aca="false">Costs!O73/FX_EUR</f>
        <v>444.642966942447</v>
      </c>
      <c r="P73" s="33" t="n">
        <f aca="false">Costs!P73/FX_EUR</f>
        <v>444.642966942447</v>
      </c>
      <c r="Q73" s="33" t="n">
        <f aca="false">Costs!Q73/FX_EUR</f>
        <v>381.122543093526</v>
      </c>
      <c r="R73" s="33" t="n">
        <f aca="false">Costs!R73/FX_EUR</f>
        <v>381.122543093526</v>
      </c>
      <c r="S73" s="33" t="n">
        <f aca="false">Costs!S73/FX_EUR</f>
        <v>381.122543093526</v>
      </c>
      <c r="T73" s="33" t="n">
        <f aca="false">Costs!T73/FX_EUR</f>
        <v>381.122543093526</v>
      </c>
      <c r="U73" s="33" t="n">
        <f aca="false">Costs!U73/FX_EUR</f>
        <v>381.122543093526</v>
      </c>
      <c r="V73" s="33" t="n">
        <f aca="false">Costs!V73/FX_EUR</f>
        <v>381.122543093526</v>
      </c>
      <c r="W73" s="33" t="n">
        <f aca="false">Costs!W73/FX_EUR</f>
        <v>381.122543093526</v>
      </c>
      <c r="X73" s="33" t="n">
        <f aca="false">Costs!X73/FX_EUR</f>
        <v>381.122543093526</v>
      </c>
      <c r="Y73" s="33" t="n">
        <f aca="false">Costs!Y73/FX_EUR</f>
        <v>381.122543093526</v>
      </c>
      <c r="Z73" s="33" t="n">
        <f aca="false">Costs!Z73/FX_EUR</f>
        <v>381.122543093526</v>
      </c>
      <c r="AA73" s="33" t="n">
        <f aca="false">Costs!AA73/FX_EUR</f>
        <v>381.122543093526</v>
      </c>
      <c r="AB73" s="33" t="n">
        <f aca="false">Costs!AB73/FX_EUR</f>
        <v>381.122543093526</v>
      </c>
      <c r="AC73" s="33" t="n">
        <f aca="false">Costs!AC73/FX_EUR</f>
        <v>190.561271546763</v>
      </c>
      <c r="AD73" s="33" t="n">
        <f aca="false">Costs!AD73/FX_EUR</f>
        <v>190.561271546763</v>
      </c>
      <c r="AE73" s="33" t="n">
        <f aca="false">Costs!AE73/FX_EUR</f>
        <v>190.561271546763</v>
      </c>
      <c r="AF73" s="33" t="n">
        <f aca="false">Costs!AF73/FX_EUR</f>
        <v>190.561271546763</v>
      </c>
      <c r="AG73" s="33" t="n">
        <f aca="false">Costs!AG73/FX_EUR</f>
        <v>190.561271546763</v>
      </c>
      <c r="AH73" s="33" t="n">
        <f aca="false">Costs!AH73/FX_EUR</f>
        <v>190.561271546763</v>
      </c>
      <c r="AI73" s="33" t="n">
        <f aca="false">Costs!AI73/FX_EUR</f>
        <v>190.561271546763</v>
      </c>
      <c r="AJ73" s="33" t="n">
        <f aca="false">Costs!AJ73/FX_EUR</f>
        <v>190.561271546763</v>
      </c>
      <c r="AK73" s="33" t="n">
        <f aca="false">Costs!AK73/FX_EUR</f>
        <v>190.561271546763</v>
      </c>
      <c r="AL73" s="33" t="n">
        <f aca="false">Costs!AL73/FX_EUR</f>
        <v>190.561271546763</v>
      </c>
      <c r="AM73" s="33" t="n">
        <f aca="false">Costs!AM73/FX_EUR</f>
        <v>190.561271546763</v>
      </c>
      <c r="AN73" s="33" t="n">
        <f aca="false">Costs!AN73/FX_EUR</f>
        <v>190.561271546763</v>
      </c>
      <c r="AO73" s="33" t="n">
        <f aca="false">Costs!AO73/FX_EUR</f>
        <v>190.561271546763</v>
      </c>
      <c r="AP73" s="33" t="n">
        <f aca="false">Costs!AP73/FX_EUR</f>
        <v>190.561271546763</v>
      </c>
      <c r="AQ73" s="33" t="n">
        <f aca="false">Costs!AQ73/FX_EUR</f>
        <v>190.561271546763</v>
      </c>
      <c r="AR73" s="33" t="n">
        <f aca="false">Costs!AR73/FX_EUR</f>
        <v>190.561271546763</v>
      </c>
      <c r="AS73" s="33" t="n">
        <f aca="false">Costs!AS73/FX_EUR</f>
        <v>190.561271546763</v>
      </c>
      <c r="AT73" s="33" t="n">
        <f aca="false">Costs!AT73/FX_EUR</f>
        <v>190.561271546763</v>
      </c>
      <c r="AU73" s="33" t="n">
        <f aca="false">Costs!AU73/FX_EUR</f>
        <v>190.561271546763</v>
      </c>
      <c r="AV73" s="33" t="n">
        <f aca="false">Costs!AV73/FX_EUR</f>
        <v>190.561271546763</v>
      </c>
      <c r="AW73" s="33" t="n">
        <f aca="false">Costs!AW73/FX_EUR</f>
        <v>190.561271546763</v>
      </c>
      <c r="AX73" s="33" t="n">
        <f aca="false">Costs!AX73/FX_EUR</f>
        <v>190.561271546763</v>
      </c>
      <c r="AY73" s="33" t="n">
        <f aca="false">Costs!AY73/FX_EUR</f>
        <v>190.561271546763</v>
      </c>
      <c r="AZ73" s="33" t="n">
        <f aca="false">Costs!AZ73/FX_EUR</f>
        <v>190.561271546763</v>
      </c>
      <c r="BA73" s="33" t="n">
        <f aca="false">Costs!BA73/FX_EUR</f>
        <v>190.561271546763</v>
      </c>
      <c r="BB73" s="33" t="n">
        <f aca="false">Costs!BB73/FX_EUR</f>
        <v>190.561271546763</v>
      </c>
      <c r="BC73" s="33" t="n">
        <f aca="false">Costs!BC73/FX_EUR</f>
        <v>190.561271546763</v>
      </c>
      <c r="BD73" s="33" t="n">
        <f aca="false">Costs!BD73/FX_EUR</f>
        <v>190.561271546763</v>
      </c>
      <c r="BE73" s="33" t="n">
        <f aca="false">Costs!BE73/FX_EUR</f>
        <v>190.561271546763</v>
      </c>
      <c r="BF73" s="33" t="n">
        <f aca="false">Costs!BF73/FX_EUR</f>
        <v>190.561271546763</v>
      </c>
      <c r="BG73" s="33" t="n">
        <f aca="false">Costs!BG73/FX_EUR</f>
        <v>190.561271546763</v>
      </c>
      <c r="BH73" s="33" t="n">
        <f aca="false">Costs!BH73/FX_EUR</f>
        <v>190.561271546763</v>
      </c>
      <c r="BI73" s="33" t="n">
        <f aca="false">Costs!BI73/FX_EUR</f>
        <v>190.561271546763</v>
      </c>
      <c r="BJ73" s="33" t="n">
        <f aca="false">Costs!BJ73/FX_EUR</f>
        <v>190.561271546763</v>
      </c>
      <c r="BK73" s="33" t="n">
        <f aca="false">Costs!BK73/FX_EUR</f>
        <v>190.561271546763</v>
      </c>
      <c r="BL73" s="33" t="n">
        <f aca="false">Costs!BL73/FX_EUR</f>
        <v>190.561271546763</v>
      </c>
    </row>
    <row r="74" customFormat="false" ht="15" hidden="false" customHeight="true" outlineLevel="0" collapsed="false">
      <c r="A74" s="13" t="s">
        <v>838</v>
      </c>
      <c r="B74" s="15" t="s">
        <v>79</v>
      </c>
      <c r="D74" s="56" t="n">
        <f aca="false">Costs!D74/FX_EUR</f>
        <v>43447.969912662</v>
      </c>
      <c r="E74" s="33" t="n">
        <f aca="false">Costs!E74/FX_EUR</f>
        <v>0</v>
      </c>
      <c r="F74" s="33" t="n">
        <f aca="false">Costs!F74/FX_EUR</f>
        <v>0</v>
      </c>
      <c r="G74" s="33" t="n">
        <f aca="false">Costs!G74/FX_EUR</f>
        <v>0</v>
      </c>
      <c r="H74" s="33" t="n">
        <f aca="false">Costs!H74/FX_EUR</f>
        <v>0</v>
      </c>
      <c r="I74" s="33" t="n">
        <f aca="false">Costs!I74/FX_EUR</f>
        <v>0</v>
      </c>
      <c r="J74" s="33" t="n">
        <f aca="false">Costs!J74/FX_EUR</f>
        <v>0</v>
      </c>
      <c r="K74" s="33" t="n">
        <f aca="false">Costs!K74/FX_EUR</f>
        <v>0</v>
      </c>
      <c r="L74" s="33" t="n">
        <f aca="false">Costs!L74/FX_EUR</f>
        <v>0</v>
      </c>
      <c r="M74" s="33" t="n">
        <f aca="false">Costs!M74/FX_EUR</f>
        <v>0</v>
      </c>
      <c r="N74" s="33" t="n">
        <f aca="false">Costs!N74/FX_EUR</f>
        <v>0</v>
      </c>
      <c r="O74" s="33" t="n">
        <f aca="false">Costs!O74/FX_EUR</f>
        <v>0</v>
      </c>
      <c r="P74" s="33" t="n">
        <f aca="false">Costs!P74/FX_EUR</f>
        <v>0</v>
      </c>
      <c r="Q74" s="33" t="n">
        <f aca="false">Costs!Q74/FX_EUR</f>
        <v>571.683814640289</v>
      </c>
      <c r="R74" s="33" t="n">
        <f aca="false">Costs!R74/FX_EUR</f>
        <v>571.683814640289</v>
      </c>
      <c r="S74" s="33" t="n">
        <f aca="false">Costs!S74/FX_EUR</f>
        <v>571.683814640289</v>
      </c>
      <c r="T74" s="33" t="n">
        <f aca="false">Costs!T74/FX_EUR</f>
        <v>571.683814640289</v>
      </c>
      <c r="U74" s="33" t="n">
        <f aca="false">Costs!U74/FX_EUR</f>
        <v>571.683814640289</v>
      </c>
      <c r="V74" s="33" t="n">
        <f aca="false">Costs!V74/FX_EUR</f>
        <v>571.683814640289</v>
      </c>
      <c r="W74" s="33" t="n">
        <f aca="false">Costs!W74/FX_EUR</f>
        <v>571.683814640289</v>
      </c>
      <c r="X74" s="33" t="n">
        <f aca="false">Costs!X74/FX_EUR</f>
        <v>571.683814640289</v>
      </c>
      <c r="Y74" s="33" t="n">
        <f aca="false">Costs!Y74/FX_EUR</f>
        <v>571.683814640289</v>
      </c>
      <c r="Z74" s="33" t="n">
        <f aca="false">Costs!Z74/FX_EUR</f>
        <v>571.683814640289</v>
      </c>
      <c r="AA74" s="33" t="n">
        <f aca="false">Costs!AA74/FX_EUR</f>
        <v>571.683814640289</v>
      </c>
      <c r="AB74" s="33" t="n">
        <f aca="false">Costs!AB74/FX_EUR</f>
        <v>571.683814640289</v>
      </c>
      <c r="AC74" s="33" t="n">
        <f aca="false">Costs!AC74/FX_EUR</f>
        <v>762.245086187052</v>
      </c>
      <c r="AD74" s="33" t="n">
        <f aca="false">Costs!AD74/FX_EUR</f>
        <v>762.245086187052</v>
      </c>
      <c r="AE74" s="33" t="n">
        <f aca="false">Costs!AE74/FX_EUR</f>
        <v>762.245086187052</v>
      </c>
      <c r="AF74" s="33" t="n">
        <f aca="false">Costs!AF74/FX_EUR</f>
        <v>762.245086187052</v>
      </c>
      <c r="AG74" s="33" t="n">
        <f aca="false">Costs!AG74/FX_EUR</f>
        <v>762.245086187052</v>
      </c>
      <c r="AH74" s="33" t="n">
        <f aca="false">Costs!AH74/FX_EUR</f>
        <v>762.245086187052</v>
      </c>
      <c r="AI74" s="33" t="n">
        <f aca="false">Costs!AI74/FX_EUR</f>
        <v>762.245086187052</v>
      </c>
      <c r="AJ74" s="33" t="n">
        <f aca="false">Costs!AJ74/FX_EUR</f>
        <v>762.245086187052</v>
      </c>
      <c r="AK74" s="33" t="n">
        <f aca="false">Costs!AK74/FX_EUR</f>
        <v>762.245086187052</v>
      </c>
      <c r="AL74" s="33" t="n">
        <f aca="false">Costs!AL74/FX_EUR</f>
        <v>762.245086187052</v>
      </c>
      <c r="AM74" s="33" t="n">
        <f aca="false">Costs!AM74/FX_EUR</f>
        <v>762.245086187052</v>
      </c>
      <c r="AN74" s="33" t="n">
        <f aca="false">Costs!AN74/FX_EUR</f>
        <v>762.245086187052</v>
      </c>
      <c r="AO74" s="33" t="n">
        <f aca="false">Costs!AO74/FX_EUR</f>
        <v>1016.32678158274</v>
      </c>
      <c r="AP74" s="33" t="n">
        <f aca="false">Costs!AP74/FX_EUR</f>
        <v>1016.32678158274</v>
      </c>
      <c r="AQ74" s="33" t="n">
        <f aca="false">Costs!AQ74/FX_EUR</f>
        <v>1016.32678158274</v>
      </c>
      <c r="AR74" s="33" t="n">
        <f aca="false">Costs!AR74/FX_EUR</f>
        <v>1016.32678158274</v>
      </c>
      <c r="AS74" s="33" t="n">
        <f aca="false">Costs!AS74/FX_EUR</f>
        <v>1016.32678158274</v>
      </c>
      <c r="AT74" s="33" t="n">
        <f aca="false">Costs!AT74/FX_EUR</f>
        <v>1016.32678158274</v>
      </c>
      <c r="AU74" s="33" t="n">
        <f aca="false">Costs!AU74/FX_EUR</f>
        <v>1016.32678158274</v>
      </c>
      <c r="AV74" s="33" t="n">
        <f aca="false">Costs!AV74/FX_EUR</f>
        <v>1016.32678158274</v>
      </c>
      <c r="AW74" s="33" t="n">
        <f aca="false">Costs!AW74/FX_EUR</f>
        <v>1016.32678158274</v>
      </c>
      <c r="AX74" s="33" t="n">
        <f aca="false">Costs!AX74/FX_EUR</f>
        <v>1016.32678158274</v>
      </c>
      <c r="AY74" s="33" t="n">
        <f aca="false">Costs!AY74/FX_EUR</f>
        <v>1016.32678158274</v>
      </c>
      <c r="AZ74" s="33" t="n">
        <f aca="false">Costs!AZ74/FX_EUR</f>
        <v>1016.32678158274</v>
      </c>
      <c r="BA74" s="33" t="n">
        <f aca="false">Costs!BA74/FX_EUR</f>
        <v>1270.40847697842</v>
      </c>
      <c r="BB74" s="33" t="n">
        <f aca="false">Costs!BB74/FX_EUR</f>
        <v>1270.40847697842</v>
      </c>
      <c r="BC74" s="33" t="n">
        <f aca="false">Costs!BC74/FX_EUR</f>
        <v>1270.40847697842</v>
      </c>
      <c r="BD74" s="33" t="n">
        <f aca="false">Costs!BD74/FX_EUR</f>
        <v>1270.40847697842</v>
      </c>
      <c r="BE74" s="33" t="n">
        <f aca="false">Costs!BE74/FX_EUR</f>
        <v>1270.40847697842</v>
      </c>
      <c r="BF74" s="33" t="n">
        <f aca="false">Costs!BF74/FX_EUR</f>
        <v>1270.40847697842</v>
      </c>
      <c r="BG74" s="33" t="n">
        <f aca="false">Costs!BG74/FX_EUR</f>
        <v>1270.40847697842</v>
      </c>
      <c r="BH74" s="33" t="n">
        <f aca="false">Costs!BH74/FX_EUR</f>
        <v>1270.40847697842</v>
      </c>
      <c r="BI74" s="33" t="n">
        <f aca="false">Costs!BI74/FX_EUR</f>
        <v>1270.40847697842</v>
      </c>
      <c r="BJ74" s="33" t="n">
        <f aca="false">Costs!BJ74/FX_EUR</f>
        <v>1270.40847697842</v>
      </c>
      <c r="BK74" s="33" t="n">
        <f aca="false">Costs!BK74/FX_EUR</f>
        <v>1270.40847697842</v>
      </c>
      <c r="BL74" s="33" t="n">
        <f aca="false">Costs!BL74/FX_EUR</f>
        <v>1270.40847697842</v>
      </c>
    </row>
    <row r="75" customFormat="false" ht="15" hidden="false" customHeight="true" outlineLevel="0" collapsed="false">
      <c r="A75" s="13" t="s">
        <v>1084</v>
      </c>
      <c r="B75" s="15" t="s">
        <v>79</v>
      </c>
      <c r="D75" s="56" t="n">
        <f aca="false">Costs!D75/FX_EUR</f>
        <v>159156.773995856</v>
      </c>
      <c r="E75" s="33" t="n">
        <f aca="false">Costs!E75/FX_EUR</f>
        <v>1473.67383329497</v>
      </c>
      <c r="F75" s="33" t="n">
        <f aca="false">Costs!F75/FX_EUR</f>
        <v>1473.67383329497</v>
      </c>
      <c r="G75" s="33" t="n">
        <f aca="false">Costs!G75/FX_EUR</f>
        <v>1473.67383329497</v>
      </c>
      <c r="H75" s="33" t="n">
        <f aca="false">Costs!H75/FX_EUR</f>
        <v>1473.67383329497</v>
      </c>
      <c r="I75" s="33" t="n">
        <f aca="false">Costs!I75/FX_EUR</f>
        <v>1473.67383329497</v>
      </c>
      <c r="J75" s="33" t="n">
        <f aca="false">Costs!J75/FX_EUR</f>
        <v>1473.67383329497</v>
      </c>
      <c r="K75" s="33" t="n">
        <f aca="false">Costs!K75/FX_EUR</f>
        <v>1473.67383329497</v>
      </c>
      <c r="L75" s="33" t="n">
        <f aca="false">Costs!L75/FX_EUR</f>
        <v>1473.67383329497</v>
      </c>
      <c r="M75" s="33" t="n">
        <f aca="false">Costs!M75/FX_EUR</f>
        <v>1473.67383329497</v>
      </c>
      <c r="N75" s="33" t="n">
        <f aca="false">Costs!N75/FX_EUR</f>
        <v>1473.67383329497</v>
      </c>
      <c r="O75" s="33" t="n">
        <f aca="false">Costs!O75/FX_EUR</f>
        <v>1473.67383329497</v>
      </c>
      <c r="P75" s="33" t="n">
        <f aca="false">Costs!P75/FX_EUR</f>
        <v>1473.67383329497</v>
      </c>
      <c r="Q75" s="33" t="n">
        <f aca="false">Costs!Q75/FX_EUR</f>
        <v>1842.09229161871</v>
      </c>
      <c r="R75" s="33" t="n">
        <f aca="false">Costs!R75/FX_EUR</f>
        <v>1842.09229161871</v>
      </c>
      <c r="S75" s="33" t="n">
        <f aca="false">Costs!S75/FX_EUR</f>
        <v>1842.09229161871</v>
      </c>
      <c r="T75" s="33" t="n">
        <f aca="false">Costs!T75/FX_EUR</f>
        <v>1842.09229161871</v>
      </c>
      <c r="U75" s="33" t="n">
        <f aca="false">Costs!U75/FX_EUR</f>
        <v>1842.09229161871</v>
      </c>
      <c r="V75" s="33" t="n">
        <f aca="false">Costs!V75/FX_EUR</f>
        <v>1842.09229161871</v>
      </c>
      <c r="W75" s="33" t="n">
        <f aca="false">Costs!W75/FX_EUR</f>
        <v>1842.09229161871</v>
      </c>
      <c r="X75" s="33" t="n">
        <f aca="false">Costs!X75/FX_EUR</f>
        <v>1842.09229161871</v>
      </c>
      <c r="Y75" s="33" t="n">
        <f aca="false">Costs!Y75/FX_EUR</f>
        <v>1842.09229161871</v>
      </c>
      <c r="Z75" s="33" t="n">
        <f aca="false">Costs!Z75/FX_EUR</f>
        <v>1842.09229161871</v>
      </c>
      <c r="AA75" s="33" t="n">
        <f aca="false">Costs!AA75/FX_EUR</f>
        <v>1842.09229161871</v>
      </c>
      <c r="AB75" s="33" t="n">
        <f aca="false">Costs!AB75/FX_EUR</f>
        <v>1842.09229161871</v>
      </c>
      <c r="AC75" s="33" t="n">
        <f aca="false">Costs!AC75/FX_EUR</f>
        <v>2578.92920826619</v>
      </c>
      <c r="AD75" s="33" t="n">
        <f aca="false">Costs!AD75/FX_EUR</f>
        <v>2578.92920826619</v>
      </c>
      <c r="AE75" s="33" t="n">
        <f aca="false">Costs!AE75/FX_EUR</f>
        <v>2578.92920826619</v>
      </c>
      <c r="AF75" s="33" t="n">
        <f aca="false">Costs!AF75/FX_EUR</f>
        <v>2578.92920826619</v>
      </c>
      <c r="AG75" s="33" t="n">
        <f aca="false">Costs!AG75/FX_EUR</f>
        <v>2578.92920826619</v>
      </c>
      <c r="AH75" s="33" t="n">
        <f aca="false">Costs!AH75/FX_EUR</f>
        <v>2578.92920826619</v>
      </c>
      <c r="AI75" s="33" t="n">
        <f aca="false">Costs!AI75/FX_EUR</f>
        <v>2578.92920826619</v>
      </c>
      <c r="AJ75" s="33" t="n">
        <f aca="false">Costs!AJ75/FX_EUR</f>
        <v>2578.92920826619</v>
      </c>
      <c r="AK75" s="33" t="n">
        <f aca="false">Costs!AK75/FX_EUR</f>
        <v>2578.92920826619</v>
      </c>
      <c r="AL75" s="33" t="n">
        <f aca="false">Costs!AL75/FX_EUR</f>
        <v>2578.92920826619</v>
      </c>
      <c r="AM75" s="33" t="n">
        <f aca="false">Costs!AM75/FX_EUR</f>
        <v>2578.92920826619</v>
      </c>
      <c r="AN75" s="33" t="n">
        <f aca="false">Costs!AN75/FX_EUR</f>
        <v>2578.92920826619</v>
      </c>
      <c r="AO75" s="33" t="n">
        <f aca="false">Costs!AO75/FX_EUR</f>
        <v>3315.76612491368</v>
      </c>
      <c r="AP75" s="33" t="n">
        <f aca="false">Costs!AP75/FX_EUR</f>
        <v>3315.76612491368</v>
      </c>
      <c r="AQ75" s="33" t="n">
        <f aca="false">Costs!AQ75/FX_EUR</f>
        <v>3315.76612491368</v>
      </c>
      <c r="AR75" s="33" t="n">
        <f aca="false">Costs!AR75/FX_EUR</f>
        <v>3315.76612491368</v>
      </c>
      <c r="AS75" s="33" t="n">
        <f aca="false">Costs!AS75/FX_EUR</f>
        <v>3315.76612491368</v>
      </c>
      <c r="AT75" s="33" t="n">
        <f aca="false">Costs!AT75/FX_EUR</f>
        <v>3315.76612491368</v>
      </c>
      <c r="AU75" s="33" t="n">
        <f aca="false">Costs!AU75/FX_EUR</f>
        <v>3315.76612491368</v>
      </c>
      <c r="AV75" s="33" t="n">
        <f aca="false">Costs!AV75/FX_EUR</f>
        <v>3315.76612491368</v>
      </c>
      <c r="AW75" s="33" t="n">
        <f aca="false">Costs!AW75/FX_EUR</f>
        <v>3315.76612491368</v>
      </c>
      <c r="AX75" s="33" t="n">
        <f aca="false">Costs!AX75/FX_EUR</f>
        <v>3315.76612491368</v>
      </c>
      <c r="AY75" s="33" t="n">
        <f aca="false">Costs!AY75/FX_EUR</f>
        <v>3315.76612491368</v>
      </c>
      <c r="AZ75" s="33" t="n">
        <f aca="false">Costs!AZ75/FX_EUR</f>
        <v>3315.76612491368</v>
      </c>
      <c r="BA75" s="33" t="n">
        <f aca="false">Costs!BA75/FX_EUR</f>
        <v>4052.60304156116</v>
      </c>
      <c r="BB75" s="33" t="n">
        <f aca="false">Costs!BB75/FX_EUR</f>
        <v>4052.60304156116</v>
      </c>
      <c r="BC75" s="33" t="n">
        <f aca="false">Costs!BC75/FX_EUR</f>
        <v>4052.60304156116</v>
      </c>
      <c r="BD75" s="33" t="n">
        <f aca="false">Costs!BD75/FX_EUR</f>
        <v>4052.60304156116</v>
      </c>
      <c r="BE75" s="33" t="n">
        <f aca="false">Costs!BE75/FX_EUR</f>
        <v>4052.60304156116</v>
      </c>
      <c r="BF75" s="33" t="n">
        <f aca="false">Costs!BF75/FX_EUR</f>
        <v>4052.60304156116</v>
      </c>
      <c r="BG75" s="33" t="n">
        <f aca="false">Costs!BG75/FX_EUR</f>
        <v>4052.60304156116</v>
      </c>
      <c r="BH75" s="33" t="n">
        <f aca="false">Costs!BH75/FX_EUR</f>
        <v>4052.60304156116</v>
      </c>
      <c r="BI75" s="33" t="n">
        <f aca="false">Costs!BI75/FX_EUR</f>
        <v>4052.60304156116</v>
      </c>
      <c r="BJ75" s="33" t="n">
        <f aca="false">Costs!BJ75/FX_EUR</f>
        <v>4052.60304156116</v>
      </c>
      <c r="BK75" s="33" t="n">
        <f aca="false">Costs!BK75/FX_EUR</f>
        <v>4052.60304156116</v>
      </c>
      <c r="BL75" s="33" t="n">
        <f aca="false">Costs!BL75/FX_EUR</f>
        <v>4052.60304156116</v>
      </c>
    </row>
    <row r="76" customFormat="false" ht="15" hidden="false" customHeight="true" outlineLevel="0" collapsed="false">
      <c r="A76" s="9" t="s">
        <v>1313</v>
      </c>
      <c r="B76" s="15" t="s">
        <v>79</v>
      </c>
      <c r="D76" s="56" t="n">
        <f aca="false">Costs!D76/FX_EUR</f>
        <v>1000980.24718084</v>
      </c>
      <c r="E76" s="17" t="n">
        <f aca="false">Costs!E76/FX_EUR</f>
        <v>8346.58369374822</v>
      </c>
      <c r="F76" s="17" t="n">
        <f aca="false">Costs!F76/FX_EUR</f>
        <v>4535.35826281296</v>
      </c>
      <c r="G76" s="17" t="n">
        <f aca="false">Costs!G76/FX_EUR</f>
        <v>4535.35826281296</v>
      </c>
      <c r="H76" s="17" t="n">
        <f aca="false">Costs!H76/FX_EUR</f>
        <v>4535.35826281296</v>
      </c>
      <c r="I76" s="17" t="n">
        <f aca="false">Costs!I76/FX_EUR</f>
        <v>4535.35826281296</v>
      </c>
      <c r="J76" s="17" t="n">
        <f aca="false">Costs!J76/FX_EUR</f>
        <v>4535.35826281296</v>
      </c>
      <c r="K76" s="17" t="n">
        <f aca="false">Costs!K76/FX_EUR</f>
        <v>4535.35826281296</v>
      </c>
      <c r="L76" s="17" t="n">
        <f aca="false">Costs!L76/FX_EUR</f>
        <v>4535.35826281296</v>
      </c>
      <c r="M76" s="17" t="n">
        <f aca="false">Costs!M76/FX_EUR</f>
        <v>4535.35826281296</v>
      </c>
      <c r="N76" s="17" t="n">
        <f aca="false">Costs!N76/FX_EUR</f>
        <v>4535.35826281296</v>
      </c>
      <c r="O76" s="17" t="n">
        <f aca="false">Costs!O76/FX_EUR</f>
        <v>4535.35826281296</v>
      </c>
      <c r="P76" s="17" t="n">
        <f aca="false">Costs!P76/FX_EUR</f>
        <v>4535.35826281296</v>
      </c>
      <c r="Q76" s="17" t="n">
        <f aca="false">Costs!Q76/FX_EUR</f>
        <v>12348.3703962302</v>
      </c>
      <c r="R76" s="17" t="n">
        <f aca="false">Costs!R76/FX_EUR</f>
        <v>12348.3703962302</v>
      </c>
      <c r="S76" s="17" t="n">
        <f aca="false">Costs!S76/FX_EUR</f>
        <v>12348.3703962302</v>
      </c>
      <c r="T76" s="17" t="n">
        <f aca="false">Costs!T76/FX_EUR</f>
        <v>16921.8409133526</v>
      </c>
      <c r="U76" s="17" t="n">
        <f aca="false">Costs!U76/FX_EUR</f>
        <v>12348.3703962302</v>
      </c>
      <c r="V76" s="17" t="n">
        <f aca="false">Costs!V76/FX_EUR</f>
        <v>12348.3703962302</v>
      </c>
      <c r="W76" s="17" t="n">
        <f aca="false">Costs!W76/FX_EUR</f>
        <v>12348.3703962302</v>
      </c>
      <c r="X76" s="17" t="n">
        <f aca="false">Costs!X76/FX_EUR</f>
        <v>12348.3703962302</v>
      </c>
      <c r="Y76" s="17" t="n">
        <f aca="false">Costs!Y76/FX_EUR</f>
        <v>12348.3703962302</v>
      </c>
      <c r="Z76" s="17" t="n">
        <f aca="false">Costs!Z76/FX_EUR</f>
        <v>12348.3703962302</v>
      </c>
      <c r="AA76" s="17" t="n">
        <f aca="false">Costs!AA76/FX_EUR</f>
        <v>12348.3703962302</v>
      </c>
      <c r="AB76" s="17" t="n">
        <f aca="false">Costs!AB76/FX_EUR</f>
        <v>16921.8409133526</v>
      </c>
      <c r="AC76" s="17" t="n">
        <f aca="false">Costs!AC76/FX_EUR</f>
        <v>19106.9434937554</v>
      </c>
      <c r="AD76" s="17" t="n">
        <f aca="false">Costs!AD76/FX_EUR</f>
        <v>19106.9434937554</v>
      </c>
      <c r="AE76" s="17" t="n">
        <f aca="false">Costs!AE76/FX_EUR</f>
        <v>19106.9434937554</v>
      </c>
      <c r="AF76" s="17" t="n">
        <f aca="false">Costs!AF76/FX_EUR</f>
        <v>19106.9434937554</v>
      </c>
      <c r="AG76" s="17" t="n">
        <f aca="false">Costs!AG76/FX_EUR</f>
        <v>19106.9434937554</v>
      </c>
      <c r="AH76" s="17" t="n">
        <f aca="false">Costs!AH76/FX_EUR</f>
        <v>19106.9434937554</v>
      </c>
      <c r="AI76" s="17" t="n">
        <f aca="false">Costs!AI76/FX_EUR</f>
        <v>19106.9434937554</v>
      </c>
      <c r="AJ76" s="17" t="n">
        <f aca="false">Costs!AJ76/FX_EUR</f>
        <v>19106.9434937554</v>
      </c>
      <c r="AK76" s="17" t="n">
        <f aca="false">Costs!AK76/FX_EUR</f>
        <v>19106.9434937554</v>
      </c>
      <c r="AL76" s="17" t="n">
        <f aca="false">Costs!AL76/FX_EUR</f>
        <v>19106.9434937554</v>
      </c>
      <c r="AM76" s="17" t="n">
        <f aca="false">Costs!AM76/FX_EUR</f>
        <v>19106.9434937554</v>
      </c>
      <c r="AN76" s="17" t="n">
        <f aca="false">Costs!AN76/FX_EUR</f>
        <v>19106.9434937554</v>
      </c>
      <c r="AO76" s="17" t="n">
        <f aca="false">Costs!AO76/FX_EUR</f>
        <v>21393.6787523166</v>
      </c>
      <c r="AP76" s="17" t="n">
        <f aca="false">Costs!AP76/FX_EUR</f>
        <v>21393.6787523166</v>
      </c>
      <c r="AQ76" s="17" t="n">
        <f aca="false">Costs!AQ76/FX_EUR</f>
        <v>21393.6787523166</v>
      </c>
      <c r="AR76" s="17" t="n">
        <f aca="false">Costs!AR76/FX_EUR</f>
        <v>21393.6787523166</v>
      </c>
      <c r="AS76" s="17" t="n">
        <f aca="false">Costs!AS76/FX_EUR</f>
        <v>21393.6787523166</v>
      </c>
      <c r="AT76" s="17" t="n">
        <f aca="false">Costs!AT76/FX_EUR</f>
        <v>21393.6787523166</v>
      </c>
      <c r="AU76" s="17" t="n">
        <f aca="false">Costs!AU76/FX_EUR</f>
        <v>21393.6787523166</v>
      </c>
      <c r="AV76" s="17" t="n">
        <f aca="false">Costs!AV76/FX_EUR</f>
        <v>21393.6787523166</v>
      </c>
      <c r="AW76" s="17" t="n">
        <f aca="false">Costs!AW76/FX_EUR</f>
        <v>21393.6787523166</v>
      </c>
      <c r="AX76" s="17" t="n">
        <f aca="false">Costs!AX76/FX_EUR</f>
        <v>21393.6787523166</v>
      </c>
      <c r="AY76" s="17" t="n">
        <f aca="false">Costs!AY76/FX_EUR</f>
        <v>21393.6787523166</v>
      </c>
      <c r="AZ76" s="17" t="n">
        <f aca="false">Costs!AZ76/FX_EUR</f>
        <v>21393.6787523166</v>
      </c>
      <c r="BA76" s="17" t="n">
        <f aca="false">Costs!BA76/FX_EUR</f>
        <v>24950.8224878562</v>
      </c>
      <c r="BB76" s="17" t="n">
        <f aca="false">Costs!BB76/FX_EUR</f>
        <v>24950.8224878562</v>
      </c>
      <c r="BC76" s="17" t="n">
        <f aca="false">Costs!BC76/FX_EUR</f>
        <v>24950.8224878562</v>
      </c>
      <c r="BD76" s="17" t="n">
        <f aca="false">Costs!BD76/FX_EUR</f>
        <v>24950.8224878562</v>
      </c>
      <c r="BE76" s="17" t="n">
        <f aca="false">Costs!BE76/FX_EUR</f>
        <v>24950.8224878562</v>
      </c>
      <c r="BF76" s="17" t="n">
        <f aca="false">Costs!BF76/FX_EUR</f>
        <v>24950.8224878562</v>
      </c>
      <c r="BG76" s="17" t="n">
        <f aca="false">Costs!BG76/FX_EUR</f>
        <v>24950.8224878562</v>
      </c>
      <c r="BH76" s="17" t="n">
        <f aca="false">Costs!BH76/FX_EUR</f>
        <v>24950.8224878562</v>
      </c>
      <c r="BI76" s="17" t="n">
        <f aca="false">Costs!BI76/FX_EUR</f>
        <v>24950.8224878562</v>
      </c>
      <c r="BJ76" s="17" t="n">
        <f aca="false">Costs!BJ76/FX_EUR</f>
        <v>24950.8224878562</v>
      </c>
      <c r="BK76" s="17" t="n">
        <f aca="false">Costs!BK76/FX_EUR</f>
        <v>24950.8224878562</v>
      </c>
      <c r="BL76" s="17" t="n">
        <f aca="false">Costs!BL76/FX_EUR</f>
        <v>24950.8224878562</v>
      </c>
    </row>
    <row r="78" customFormat="false" ht="15" hidden="false" customHeight="true" outlineLevel="0" collapsed="false">
      <c r="A78" s="11" t="s">
        <v>876</v>
      </c>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row>
    <row r="79" customFormat="false" ht="15" hidden="false" customHeight="true" outlineLevel="0" collapsed="false">
      <c r="A79" s="13" t="s">
        <v>1200</v>
      </c>
      <c r="B79" s="15" t="s">
        <v>79</v>
      </c>
      <c r="D79" s="56" t="n">
        <f aca="false">Costs!D79/FX_EUR</f>
        <v>507990.615238499</v>
      </c>
      <c r="E79" s="33" t="n">
        <f aca="false">Costs!E79/FX_EUR</f>
        <v>0</v>
      </c>
      <c r="F79" s="33" t="n">
        <f aca="false">Costs!F79/FX_EUR</f>
        <v>0</v>
      </c>
      <c r="G79" s="33" t="n">
        <f aca="false">Costs!G79/FX_EUR</f>
        <v>0</v>
      </c>
      <c r="H79" s="33" t="n">
        <f aca="false">Costs!H79/FX_EUR</f>
        <v>0</v>
      </c>
      <c r="I79" s="33" t="n">
        <f aca="false">Costs!I79/FX_EUR</f>
        <v>1997.08212581008</v>
      </c>
      <c r="J79" s="33" t="n">
        <f aca="false">Costs!J79/FX_EUR</f>
        <v>1997.08212581008</v>
      </c>
      <c r="K79" s="33" t="n">
        <f aca="false">Costs!K79/FX_EUR</f>
        <v>1997.08212581008</v>
      </c>
      <c r="L79" s="33" t="n">
        <f aca="false">Costs!L79/FX_EUR</f>
        <v>1997.08212581008</v>
      </c>
      <c r="M79" s="33" t="n">
        <f aca="false">Costs!M79/FX_EUR</f>
        <v>1997.08212581008</v>
      </c>
      <c r="N79" s="33" t="n">
        <f aca="false">Costs!N79/FX_EUR</f>
        <v>1997.08212581008</v>
      </c>
      <c r="O79" s="33" t="n">
        <f aca="false">Costs!O79/FX_EUR</f>
        <v>1997.08212581008</v>
      </c>
      <c r="P79" s="33" t="n">
        <f aca="false">Costs!P79/FX_EUR</f>
        <v>1997.08212581008</v>
      </c>
      <c r="Q79" s="33" t="n">
        <f aca="false">Costs!Q79/FX_EUR</f>
        <v>3994.16425162015</v>
      </c>
      <c r="R79" s="33" t="n">
        <f aca="false">Costs!R79/FX_EUR</f>
        <v>3994.16425162015</v>
      </c>
      <c r="S79" s="33" t="n">
        <f aca="false">Costs!S79/FX_EUR</f>
        <v>3994.16425162015</v>
      </c>
      <c r="T79" s="33" t="n">
        <f aca="false">Costs!T79/FX_EUR</f>
        <v>3994.16425162015</v>
      </c>
      <c r="U79" s="33" t="n">
        <f aca="false">Costs!U79/FX_EUR</f>
        <v>3994.16425162015</v>
      </c>
      <c r="V79" s="33" t="n">
        <f aca="false">Costs!V79/FX_EUR</f>
        <v>3994.16425162015</v>
      </c>
      <c r="W79" s="33" t="n">
        <f aca="false">Costs!W79/FX_EUR</f>
        <v>5991.24637743023</v>
      </c>
      <c r="X79" s="33" t="n">
        <f aca="false">Costs!X79/FX_EUR</f>
        <v>5991.24637743023</v>
      </c>
      <c r="Y79" s="33" t="n">
        <f aca="false">Costs!Y79/FX_EUR</f>
        <v>5991.24637743023</v>
      </c>
      <c r="Z79" s="33" t="n">
        <f aca="false">Costs!Z79/FX_EUR</f>
        <v>5991.24637743023</v>
      </c>
      <c r="AA79" s="33" t="n">
        <f aca="false">Costs!AA79/FX_EUR</f>
        <v>5991.24637743023</v>
      </c>
      <c r="AB79" s="33" t="n">
        <f aca="false">Costs!AB79/FX_EUR</f>
        <v>5991.24637743023</v>
      </c>
      <c r="AC79" s="33" t="n">
        <f aca="false">Costs!AC79/FX_EUR</f>
        <v>10000.6555307741</v>
      </c>
      <c r="AD79" s="33" t="n">
        <f aca="false">Costs!AD79/FX_EUR</f>
        <v>10000.6555307741</v>
      </c>
      <c r="AE79" s="33" t="n">
        <f aca="false">Costs!AE79/FX_EUR</f>
        <v>10000.6555307741</v>
      </c>
      <c r="AF79" s="33" t="n">
        <f aca="false">Costs!AF79/FX_EUR</f>
        <v>10000.6555307741</v>
      </c>
      <c r="AG79" s="33" t="n">
        <f aca="false">Costs!AG79/FX_EUR</f>
        <v>10000.6555307741</v>
      </c>
      <c r="AH79" s="33" t="n">
        <f aca="false">Costs!AH79/FX_EUR</f>
        <v>10000.6555307741</v>
      </c>
      <c r="AI79" s="33" t="n">
        <f aca="false">Costs!AI79/FX_EUR</f>
        <v>10000.6555307741</v>
      </c>
      <c r="AJ79" s="33" t="n">
        <f aca="false">Costs!AJ79/FX_EUR</f>
        <v>10000.6555307741</v>
      </c>
      <c r="AK79" s="33" t="n">
        <f aca="false">Costs!AK79/FX_EUR</f>
        <v>10000.6555307741</v>
      </c>
      <c r="AL79" s="33" t="n">
        <f aca="false">Costs!AL79/FX_EUR</f>
        <v>10000.6555307741</v>
      </c>
      <c r="AM79" s="33" t="n">
        <f aca="false">Costs!AM79/FX_EUR</f>
        <v>10000.6555307741</v>
      </c>
      <c r="AN79" s="33" t="n">
        <f aca="false">Costs!AN79/FX_EUR</f>
        <v>10000.6555307741</v>
      </c>
      <c r="AO79" s="33" t="n">
        <f aca="false">Costs!AO79/FX_EUR</f>
        <v>11997.7376565842</v>
      </c>
      <c r="AP79" s="33" t="n">
        <f aca="false">Costs!AP79/FX_EUR</f>
        <v>11997.7376565842</v>
      </c>
      <c r="AQ79" s="33" t="n">
        <f aca="false">Costs!AQ79/FX_EUR</f>
        <v>11997.7376565842</v>
      </c>
      <c r="AR79" s="33" t="n">
        <f aca="false">Costs!AR79/FX_EUR</f>
        <v>11997.7376565842</v>
      </c>
      <c r="AS79" s="33" t="n">
        <f aca="false">Costs!AS79/FX_EUR</f>
        <v>11997.7376565842</v>
      </c>
      <c r="AT79" s="33" t="n">
        <f aca="false">Costs!AT79/FX_EUR</f>
        <v>11997.7376565842</v>
      </c>
      <c r="AU79" s="33" t="n">
        <f aca="false">Costs!AU79/FX_EUR</f>
        <v>11997.7376565842</v>
      </c>
      <c r="AV79" s="33" t="n">
        <f aca="false">Costs!AV79/FX_EUR</f>
        <v>11997.7376565842</v>
      </c>
      <c r="AW79" s="33" t="n">
        <f aca="false">Costs!AW79/FX_EUR</f>
        <v>11997.7376565842</v>
      </c>
      <c r="AX79" s="33" t="n">
        <f aca="false">Costs!AX79/FX_EUR</f>
        <v>11997.7376565842</v>
      </c>
      <c r="AY79" s="33" t="n">
        <f aca="false">Costs!AY79/FX_EUR</f>
        <v>11997.7376565842</v>
      </c>
      <c r="AZ79" s="33" t="n">
        <f aca="false">Costs!AZ79/FX_EUR</f>
        <v>11997.7376565842</v>
      </c>
      <c r="BA79" s="33" t="n">
        <f aca="false">Costs!BA79/FX_EUR</f>
        <v>14010.064684118</v>
      </c>
      <c r="BB79" s="33" t="n">
        <f aca="false">Costs!BB79/FX_EUR</f>
        <v>14010.064684118</v>
      </c>
      <c r="BC79" s="33" t="n">
        <f aca="false">Costs!BC79/FX_EUR</f>
        <v>14010.064684118</v>
      </c>
      <c r="BD79" s="33" t="n">
        <f aca="false">Costs!BD79/FX_EUR</f>
        <v>14010.064684118</v>
      </c>
      <c r="BE79" s="33" t="n">
        <f aca="false">Costs!BE79/FX_EUR</f>
        <v>14010.064684118</v>
      </c>
      <c r="BF79" s="33" t="n">
        <f aca="false">Costs!BF79/FX_EUR</f>
        <v>14010.064684118</v>
      </c>
      <c r="BG79" s="33" t="n">
        <f aca="false">Costs!BG79/FX_EUR</f>
        <v>14010.064684118</v>
      </c>
      <c r="BH79" s="33" t="n">
        <f aca="false">Costs!BH79/FX_EUR</f>
        <v>14010.064684118</v>
      </c>
      <c r="BI79" s="33" t="n">
        <f aca="false">Costs!BI79/FX_EUR</f>
        <v>14010.064684118</v>
      </c>
      <c r="BJ79" s="33" t="n">
        <f aca="false">Costs!BJ79/FX_EUR</f>
        <v>14010.064684118</v>
      </c>
      <c r="BK79" s="33" t="n">
        <f aca="false">Costs!BK79/FX_EUR</f>
        <v>14010.064684118</v>
      </c>
      <c r="BL79" s="33" t="n">
        <f aca="false">Costs!BL79/FX_EUR</f>
        <v>14010.064684118</v>
      </c>
    </row>
    <row r="80" customFormat="false" ht="15" hidden="false" customHeight="true" outlineLevel="0" collapsed="false">
      <c r="A80" s="13" t="s">
        <v>880</v>
      </c>
      <c r="B80" s="15" t="s">
        <v>79</v>
      </c>
      <c r="D80" s="56" t="n">
        <f aca="false">Costs!D80/FX_EUR</f>
        <v>63007.1788242217</v>
      </c>
      <c r="E80" s="33" t="n">
        <f aca="false">Costs!E80/FX_EUR</f>
        <v>2083.46990224461</v>
      </c>
      <c r="F80" s="33" t="n">
        <f aca="false">Costs!F80/FX_EUR</f>
        <v>2083.46990224461</v>
      </c>
      <c r="G80" s="33" t="n">
        <f aca="false">Costs!G80/FX_EUR</f>
        <v>2083.46990224461</v>
      </c>
      <c r="H80" s="33" t="n">
        <f aca="false">Costs!H80/FX_EUR</f>
        <v>2083.46990224461</v>
      </c>
      <c r="I80" s="33" t="n">
        <f aca="false">Costs!I80/FX_EUR</f>
        <v>2083.46990224461</v>
      </c>
      <c r="J80" s="33" t="n">
        <f aca="false">Costs!J80/FX_EUR</f>
        <v>2083.46990224461</v>
      </c>
      <c r="K80" s="33" t="n">
        <f aca="false">Costs!K80/FX_EUR</f>
        <v>2083.46990224461</v>
      </c>
      <c r="L80" s="33" t="n">
        <f aca="false">Costs!L80/FX_EUR</f>
        <v>2083.46990224461</v>
      </c>
      <c r="M80" s="33" t="n">
        <f aca="false">Costs!M80/FX_EUR</f>
        <v>2083.46990224461</v>
      </c>
      <c r="N80" s="33" t="n">
        <f aca="false">Costs!N80/FX_EUR</f>
        <v>2083.46990224461</v>
      </c>
      <c r="O80" s="33" t="n">
        <f aca="false">Costs!O80/FX_EUR</f>
        <v>2083.46990224461</v>
      </c>
      <c r="P80" s="33" t="n">
        <f aca="false">Costs!P80/FX_EUR</f>
        <v>2083.46990224461</v>
      </c>
      <c r="Q80" s="33" t="n">
        <f aca="false">Costs!Q80/FX_EUR</f>
        <v>666.96445041367</v>
      </c>
      <c r="R80" s="33" t="n">
        <f aca="false">Costs!R80/FX_EUR</f>
        <v>666.96445041367</v>
      </c>
      <c r="S80" s="33" t="n">
        <f aca="false">Costs!S80/FX_EUR</f>
        <v>666.96445041367</v>
      </c>
      <c r="T80" s="33" t="n">
        <f aca="false">Costs!T80/FX_EUR</f>
        <v>666.96445041367</v>
      </c>
      <c r="U80" s="33" t="n">
        <f aca="false">Costs!U80/FX_EUR</f>
        <v>666.96445041367</v>
      </c>
      <c r="V80" s="33" t="n">
        <f aca="false">Costs!V80/FX_EUR</f>
        <v>666.96445041367</v>
      </c>
      <c r="W80" s="33" t="n">
        <f aca="false">Costs!W80/FX_EUR</f>
        <v>666.96445041367</v>
      </c>
      <c r="X80" s="33" t="n">
        <f aca="false">Costs!X80/FX_EUR</f>
        <v>666.96445041367</v>
      </c>
      <c r="Y80" s="33" t="n">
        <f aca="false">Costs!Y80/FX_EUR</f>
        <v>666.96445041367</v>
      </c>
      <c r="Z80" s="33" t="n">
        <f aca="false">Costs!Z80/FX_EUR</f>
        <v>666.96445041367</v>
      </c>
      <c r="AA80" s="33" t="n">
        <f aca="false">Costs!AA80/FX_EUR</f>
        <v>666.96445041367</v>
      </c>
      <c r="AB80" s="33" t="n">
        <f aca="false">Costs!AB80/FX_EUR</f>
        <v>666.96445041367</v>
      </c>
      <c r="AC80" s="33" t="n">
        <f aca="false">Costs!AC80/FX_EUR</f>
        <v>833.387960897843</v>
      </c>
      <c r="AD80" s="33" t="n">
        <f aca="false">Costs!AD80/FX_EUR</f>
        <v>833.387960897843</v>
      </c>
      <c r="AE80" s="33" t="n">
        <f aca="false">Costs!AE80/FX_EUR</f>
        <v>833.387960897843</v>
      </c>
      <c r="AF80" s="33" t="n">
        <f aca="false">Costs!AF80/FX_EUR</f>
        <v>833.387960897843</v>
      </c>
      <c r="AG80" s="33" t="n">
        <f aca="false">Costs!AG80/FX_EUR</f>
        <v>833.387960897843</v>
      </c>
      <c r="AH80" s="33" t="n">
        <f aca="false">Costs!AH80/FX_EUR</f>
        <v>833.387960897843</v>
      </c>
      <c r="AI80" s="33" t="n">
        <f aca="false">Costs!AI80/FX_EUR</f>
        <v>833.387960897843</v>
      </c>
      <c r="AJ80" s="33" t="n">
        <f aca="false">Costs!AJ80/FX_EUR</f>
        <v>833.387960897843</v>
      </c>
      <c r="AK80" s="33" t="n">
        <f aca="false">Costs!AK80/FX_EUR</f>
        <v>833.387960897843</v>
      </c>
      <c r="AL80" s="33" t="n">
        <f aca="false">Costs!AL80/FX_EUR</f>
        <v>833.387960897843</v>
      </c>
      <c r="AM80" s="33" t="n">
        <f aca="false">Costs!AM80/FX_EUR</f>
        <v>833.387960897843</v>
      </c>
      <c r="AN80" s="33" t="n">
        <f aca="false">Costs!AN80/FX_EUR</f>
        <v>833.387960897843</v>
      </c>
      <c r="AO80" s="33" t="n">
        <f aca="false">Costs!AO80/FX_EUR</f>
        <v>833.387960897843</v>
      </c>
      <c r="AP80" s="33" t="n">
        <f aca="false">Costs!AP80/FX_EUR</f>
        <v>833.387960897843</v>
      </c>
      <c r="AQ80" s="33" t="n">
        <f aca="false">Costs!AQ80/FX_EUR</f>
        <v>833.387960897843</v>
      </c>
      <c r="AR80" s="33" t="n">
        <f aca="false">Costs!AR80/FX_EUR</f>
        <v>833.387960897843</v>
      </c>
      <c r="AS80" s="33" t="n">
        <f aca="false">Costs!AS80/FX_EUR</f>
        <v>833.387960897843</v>
      </c>
      <c r="AT80" s="33" t="n">
        <f aca="false">Costs!AT80/FX_EUR</f>
        <v>833.387960897843</v>
      </c>
      <c r="AU80" s="33" t="n">
        <f aca="false">Costs!AU80/FX_EUR</f>
        <v>833.387960897843</v>
      </c>
      <c r="AV80" s="33" t="n">
        <f aca="false">Costs!AV80/FX_EUR</f>
        <v>833.387960897843</v>
      </c>
      <c r="AW80" s="33" t="n">
        <f aca="false">Costs!AW80/FX_EUR</f>
        <v>833.387960897843</v>
      </c>
      <c r="AX80" s="33" t="n">
        <f aca="false">Costs!AX80/FX_EUR</f>
        <v>833.387960897843</v>
      </c>
      <c r="AY80" s="33" t="n">
        <f aca="false">Costs!AY80/FX_EUR</f>
        <v>833.387960897843</v>
      </c>
      <c r="AZ80" s="33" t="n">
        <f aca="false">Costs!AZ80/FX_EUR</f>
        <v>833.387960897843</v>
      </c>
      <c r="BA80" s="33" t="n">
        <f aca="false">Costs!BA80/FX_EUR</f>
        <v>833.387960897843</v>
      </c>
      <c r="BB80" s="33" t="n">
        <f aca="false">Costs!BB80/FX_EUR</f>
        <v>833.387960897843</v>
      </c>
      <c r="BC80" s="33" t="n">
        <f aca="false">Costs!BC80/FX_EUR</f>
        <v>833.387960897843</v>
      </c>
      <c r="BD80" s="33" t="n">
        <f aca="false">Costs!BD80/FX_EUR</f>
        <v>833.387960897843</v>
      </c>
      <c r="BE80" s="33" t="n">
        <f aca="false">Costs!BE80/FX_EUR</f>
        <v>833.387960897843</v>
      </c>
      <c r="BF80" s="33" t="n">
        <f aca="false">Costs!BF80/FX_EUR</f>
        <v>833.387960897843</v>
      </c>
      <c r="BG80" s="33" t="n">
        <f aca="false">Costs!BG80/FX_EUR</f>
        <v>833.387960897843</v>
      </c>
      <c r="BH80" s="33" t="n">
        <f aca="false">Costs!BH80/FX_EUR</f>
        <v>833.387960897843</v>
      </c>
      <c r="BI80" s="33" t="n">
        <f aca="false">Costs!BI80/FX_EUR</f>
        <v>833.387960897843</v>
      </c>
      <c r="BJ80" s="33" t="n">
        <f aca="false">Costs!BJ80/FX_EUR</f>
        <v>833.387960897843</v>
      </c>
      <c r="BK80" s="33" t="n">
        <f aca="false">Costs!BK80/FX_EUR</f>
        <v>833.387960897843</v>
      </c>
      <c r="BL80" s="33" t="n">
        <f aca="false">Costs!BL80/FX_EUR</f>
        <v>833.387960897843</v>
      </c>
    </row>
    <row r="81" customFormat="false" ht="15" hidden="false" customHeight="true" outlineLevel="0" collapsed="false">
      <c r="A81" s="13" t="s">
        <v>882</v>
      </c>
      <c r="B81" s="15" t="s">
        <v>79</v>
      </c>
      <c r="D81" s="56" t="n">
        <f aca="false">Costs!D81/FX_EUR</f>
        <v>209983.276342809</v>
      </c>
      <c r="E81" s="33" t="n">
        <f aca="false">Costs!E81/FX_EUR</f>
        <v>1250.08194134677</v>
      </c>
      <c r="F81" s="33" t="n">
        <f aca="false">Costs!F81/FX_EUR</f>
        <v>1250.08194134677</v>
      </c>
      <c r="G81" s="33" t="n">
        <f aca="false">Costs!G81/FX_EUR</f>
        <v>1250.08194134677</v>
      </c>
      <c r="H81" s="33" t="n">
        <f aca="false">Costs!H81/FX_EUR</f>
        <v>1250.08194134677</v>
      </c>
      <c r="I81" s="33" t="n">
        <f aca="false">Costs!I81/FX_EUR</f>
        <v>1250.08194134677</v>
      </c>
      <c r="J81" s="33" t="n">
        <f aca="false">Costs!J81/FX_EUR</f>
        <v>1250.08194134677</v>
      </c>
      <c r="K81" s="33" t="n">
        <f aca="false">Costs!K81/FX_EUR</f>
        <v>1250.08194134677</v>
      </c>
      <c r="L81" s="33" t="n">
        <f aca="false">Costs!L81/FX_EUR</f>
        <v>1250.08194134677</v>
      </c>
      <c r="M81" s="33" t="n">
        <f aca="false">Costs!M81/FX_EUR</f>
        <v>1250.08194134677</v>
      </c>
      <c r="N81" s="33" t="n">
        <f aca="false">Costs!N81/FX_EUR</f>
        <v>1250.08194134677</v>
      </c>
      <c r="O81" s="33" t="n">
        <f aca="false">Costs!O81/FX_EUR</f>
        <v>1250.08194134677</v>
      </c>
      <c r="P81" s="33" t="n">
        <f aca="false">Costs!P81/FX_EUR</f>
        <v>1250.08194134677</v>
      </c>
      <c r="Q81" s="33" t="n">
        <f aca="false">Costs!Q81/FX_EUR</f>
        <v>2502.70469964749</v>
      </c>
      <c r="R81" s="33" t="n">
        <f aca="false">Costs!R81/FX_EUR</f>
        <v>2502.70469964749</v>
      </c>
      <c r="S81" s="33" t="n">
        <f aca="false">Costs!S81/FX_EUR</f>
        <v>2502.70469964749</v>
      </c>
      <c r="T81" s="33" t="n">
        <f aca="false">Costs!T81/FX_EUR</f>
        <v>2502.70469964749</v>
      </c>
      <c r="U81" s="33" t="n">
        <f aca="false">Costs!U81/FX_EUR</f>
        <v>2502.70469964749</v>
      </c>
      <c r="V81" s="33" t="n">
        <f aca="false">Costs!V81/FX_EUR</f>
        <v>2502.70469964749</v>
      </c>
      <c r="W81" s="33" t="n">
        <f aca="false">Costs!W81/FX_EUR</f>
        <v>2502.70469964749</v>
      </c>
      <c r="X81" s="33" t="n">
        <f aca="false">Costs!X81/FX_EUR</f>
        <v>2502.70469964749</v>
      </c>
      <c r="Y81" s="33" t="n">
        <f aca="false">Costs!Y81/FX_EUR</f>
        <v>2502.70469964749</v>
      </c>
      <c r="Z81" s="33" t="n">
        <f aca="false">Costs!Z81/FX_EUR</f>
        <v>2502.70469964749</v>
      </c>
      <c r="AA81" s="33" t="n">
        <f aca="false">Costs!AA81/FX_EUR</f>
        <v>2502.70469964749</v>
      </c>
      <c r="AB81" s="33" t="n">
        <f aca="false">Costs!AB81/FX_EUR</f>
        <v>2502.70469964749</v>
      </c>
      <c r="AC81" s="33" t="n">
        <f aca="false">Costs!AC81/FX_EUR</f>
        <v>3747.70500708634</v>
      </c>
      <c r="AD81" s="33" t="n">
        <f aca="false">Costs!AD81/FX_EUR</f>
        <v>3747.70500708634</v>
      </c>
      <c r="AE81" s="33" t="n">
        <f aca="false">Costs!AE81/FX_EUR</f>
        <v>3747.70500708634</v>
      </c>
      <c r="AF81" s="33" t="n">
        <f aca="false">Costs!AF81/FX_EUR</f>
        <v>3747.70500708634</v>
      </c>
      <c r="AG81" s="33" t="n">
        <f aca="false">Costs!AG81/FX_EUR</f>
        <v>3747.70500708634</v>
      </c>
      <c r="AH81" s="33" t="n">
        <f aca="false">Costs!AH81/FX_EUR</f>
        <v>3747.70500708634</v>
      </c>
      <c r="AI81" s="33" t="n">
        <f aca="false">Costs!AI81/FX_EUR</f>
        <v>3747.70500708634</v>
      </c>
      <c r="AJ81" s="33" t="n">
        <f aca="false">Costs!AJ81/FX_EUR</f>
        <v>3747.70500708634</v>
      </c>
      <c r="AK81" s="33" t="n">
        <f aca="false">Costs!AK81/FX_EUR</f>
        <v>3747.70500708634</v>
      </c>
      <c r="AL81" s="33" t="n">
        <f aca="false">Costs!AL81/FX_EUR</f>
        <v>3747.70500708634</v>
      </c>
      <c r="AM81" s="33" t="n">
        <f aca="false">Costs!AM81/FX_EUR</f>
        <v>3747.70500708634</v>
      </c>
      <c r="AN81" s="33" t="n">
        <f aca="false">Costs!AN81/FX_EUR</f>
        <v>3747.70500708634</v>
      </c>
      <c r="AO81" s="33" t="n">
        <f aca="false">Costs!AO81/FX_EUR</f>
        <v>4586.1746018921</v>
      </c>
      <c r="AP81" s="33" t="n">
        <f aca="false">Costs!AP81/FX_EUR</f>
        <v>4586.1746018921</v>
      </c>
      <c r="AQ81" s="33" t="n">
        <f aca="false">Costs!AQ81/FX_EUR</f>
        <v>4586.1746018921</v>
      </c>
      <c r="AR81" s="33" t="n">
        <f aca="false">Costs!AR81/FX_EUR</f>
        <v>4586.1746018921</v>
      </c>
      <c r="AS81" s="33" t="n">
        <f aca="false">Costs!AS81/FX_EUR</f>
        <v>4586.1746018921</v>
      </c>
      <c r="AT81" s="33" t="n">
        <f aca="false">Costs!AT81/FX_EUR</f>
        <v>4586.1746018921</v>
      </c>
      <c r="AU81" s="33" t="n">
        <f aca="false">Costs!AU81/FX_EUR</f>
        <v>4586.1746018921</v>
      </c>
      <c r="AV81" s="33" t="n">
        <f aca="false">Costs!AV81/FX_EUR</f>
        <v>4586.1746018921</v>
      </c>
      <c r="AW81" s="33" t="n">
        <f aca="false">Costs!AW81/FX_EUR</f>
        <v>4586.1746018921</v>
      </c>
      <c r="AX81" s="33" t="n">
        <f aca="false">Costs!AX81/FX_EUR</f>
        <v>4586.1746018921</v>
      </c>
      <c r="AY81" s="33" t="n">
        <f aca="false">Costs!AY81/FX_EUR</f>
        <v>4586.1746018921</v>
      </c>
      <c r="AZ81" s="33" t="n">
        <f aca="false">Costs!AZ81/FX_EUR</f>
        <v>4586.1746018921</v>
      </c>
      <c r="BA81" s="33" t="n">
        <f aca="false">Costs!BA81/FX_EUR</f>
        <v>5411.94011192807</v>
      </c>
      <c r="BB81" s="33" t="n">
        <f aca="false">Costs!BB81/FX_EUR</f>
        <v>5411.94011192807</v>
      </c>
      <c r="BC81" s="33" t="n">
        <f aca="false">Costs!BC81/FX_EUR</f>
        <v>5411.94011192807</v>
      </c>
      <c r="BD81" s="33" t="n">
        <f aca="false">Costs!BD81/FX_EUR</f>
        <v>5411.94011192807</v>
      </c>
      <c r="BE81" s="33" t="n">
        <f aca="false">Costs!BE81/FX_EUR</f>
        <v>5411.94011192807</v>
      </c>
      <c r="BF81" s="33" t="n">
        <f aca="false">Costs!BF81/FX_EUR</f>
        <v>5411.94011192807</v>
      </c>
      <c r="BG81" s="33" t="n">
        <f aca="false">Costs!BG81/FX_EUR</f>
        <v>5411.94011192807</v>
      </c>
      <c r="BH81" s="33" t="n">
        <f aca="false">Costs!BH81/FX_EUR</f>
        <v>5411.94011192807</v>
      </c>
      <c r="BI81" s="33" t="n">
        <f aca="false">Costs!BI81/FX_EUR</f>
        <v>5411.94011192807</v>
      </c>
      <c r="BJ81" s="33" t="n">
        <f aca="false">Costs!BJ81/FX_EUR</f>
        <v>5411.94011192807</v>
      </c>
      <c r="BK81" s="33" t="n">
        <f aca="false">Costs!BK81/FX_EUR</f>
        <v>5411.94011192807</v>
      </c>
      <c r="BL81" s="33" t="n">
        <f aca="false">Costs!BL81/FX_EUR</f>
        <v>5411.94011192807</v>
      </c>
    </row>
    <row r="82" customFormat="false" ht="15" hidden="false" customHeight="true" outlineLevel="0" collapsed="false">
      <c r="A82" s="13" t="s">
        <v>1201</v>
      </c>
      <c r="B82" s="15" t="s">
        <v>79</v>
      </c>
      <c r="D82" s="56" t="n">
        <f aca="false">Costs!D82/FX_EUR</f>
        <v>135933.739508181</v>
      </c>
      <c r="E82" s="33" t="n">
        <f aca="false">Costs!E82/FX_EUR</f>
        <v>0</v>
      </c>
      <c r="F82" s="33" t="n">
        <f aca="false">Costs!F82/FX_EUR</f>
        <v>0</v>
      </c>
      <c r="G82" s="33" t="n">
        <f aca="false">Costs!G82/FX_EUR</f>
        <v>0</v>
      </c>
      <c r="H82" s="33" t="n">
        <f aca="false">Costs!H82/FX_EUR</f>
        <v>0</v>
      </c>
      <c r="I82" s="33" t="n">
        <f aca="false">Costs!I82/FX_EUR</f>
        <v>304.898034474821</v>
      </c>
      <c r="J82" s="33" t="n">
        <f aca="false">Costs!J82/FX_EUR</f>
        <v>323.19191654331</v>
      </c>
      <c r="K82" s="33" t="n">
        <f aca="false">Costs!K82/FX_EUR</f>
        <v>342.583431535909</v>
      </c>
      <c r="L82" s="33" t="n">
        <f aca="false">Costs!L82/FX_EUR</f>
        <v>363.138437428063</v>
      </c>
      <c r="M82" s="33" t="n">
        <f aca="false">Costs!M82/FX_EUR</f>
        <v>384.926743673747</v>
      </c>
      <c r="N82" s="33" t="n">
        <f aca="false">Costs!N82/FX_EUR</f>
        <v>408.022348294172</v>
      </c>
      <c r="O82" s="33" t="n">
        <f aca="false">Costs!O82/FX_EUR</f>
        <v>432.503689191822</v>
      </c>
      <c r="P82" s="33" t="n">
        <f aca="false">Costs!P82/FX_EUR</f>
        <v>458.453910543332</v>
      </c>
      <c r="Q82" s="33" t="n">
        <f aca="false">Costs!Q82/FX_EUR</f>
        <v>485.961145175932</v>
      </c>
      <c r="R82" s="33" t="n">
        <f aca="false">Costs!R82/FX_EUR</f>
        <v>515.118813886487</v>
      </c>
      <c r="S82" s="33" t="n">
        <f aca="false">Costs!S82/FX_EUR</f>
        <v>546.025942719677</v>
      </c>
      <c r="T82" s="33" t="n">
        <f aca="false">Costs!T82/FX_EUR</f>
        <v>578.787499282857</v>
      </c>
      <c r="U82" s="33" t="n">
        <f aca="false">Costs!U82/FX_EUR</f>
        <v>613.514749239829</v>
      </c>
      <c r="V82" s="33" t="n">
        <f aca="false">Costs!V82/FX_EUR</f>
        <v>650.325634194218</v>
      </c>
      <c r="W82" s="33" t="n">
        <f aca="false">Costs!W82/FX_EUR</f>
        <v>918.018698101987</v>
      </c>
      <c r="X82" s="33" t="n">
        <f aca="false">Costs!X82/FX_EUR</f>
        <v>973.099819988106</v>
      </c>
      <c r="Y82" s="33" t="n">
        <f aca="false">Costs!Y82/FX_EUR</f>
        <v>1031.48580918739</v>
      </c>
      <c r="Z82" s="33" t="n">
        <f aca="false">Costs!Z82/FX_EUR</f>
        <v>1093.37495773864</v>
      </c>
      <c r="AA82" s="33" t="n">
        <f aca="false">Costs!AA82/FX_EUR</f>
        <v>1158.97745520295</v>
      </c>
      <c r="AB82" s="33" t="n">
        <f aca="false">Costs!AB82/FX_EUR</f>
        <v>1228.51610251513</v>
      </c>
      <c r="AC82" s="33" t="n">
        <f aca="false">Costs!AC82/FX_EUR</f>
        <v>1302.22706866604</v>
      </c>
      <c r="AD82" s="33" t="n">
        <f aca="false">Costs!AD82/FX_EUR</f>
        <v>1380.360692786</v>
      </c>
      <c r="AE82" s="33" t="n">
        <f aca="false">Costs!AE82/FX_EUR</f>
        <v>1463.18233435316</v>
      </c>
      <c r="AF82" s="33" t="n">
        <f aca="false">Costs!AF82/FX_EUR</f>
        <v>1550.97327441435</v>
      </c>
      <c r="AG82" s="33" t="n">
        <f aca="false">Costs!AG82/FX_EUR</f>
        <v>1644.03167087921</v>
      </c>
      <c r="AH82" s="33" t="n">
        <f aca="false">Costs!AH82/FX_EUR</f>
        <v>1742.67357113197</v>
      </c>
      <c r="AI82" s="33" t="n">
        <f aca="false">Costs!AI82/FX_EUR</f>
        <v>1847.23398539989</v>
      </c>
      <c r="AJ82" s="33" t="n">
        <f aca="false">Costs!AJ82/FX_EUR</f>
        <v>1958.06802452388</v>
      </c>
      <c r="AK82" s="33" t="n">
        <f aca="false">Costs!AK82/FX_EUR</f>
        <v>2075.55210599531</v>
      </c>
      <c r="AL82" s="33" t="n">
        <f aca="false">Costs!AL82/FX_EUR</f>
        <v>2200.08523235503</v>
      </c>
      <c r="AM82" s="33" t="n">
        <f aca="false">Costs!AM82/FX_EUR</f>
        <v>2332.09034629633</v>
      </c>
      <c r="AN82" s="33" t="n">
        <f aca="false">Costs!AN82/FX_EUR</f>
        <v>2472.01576707411</v>
      </c>
      <c r="AO82" s="33" t="n">
        <f aca="false">Costs!AO82/FX_EUR</f>
        <v>2620.33671309856</v>
      </c>
      <c r="AP82" s="33" t="n">
        <f aca="false">Costs!AP82/FX_EUR</f>
        <v>2777.55691588447</v>
      </c>
      <c r="AQ82" s="33" t="n">
        <f aca="false">Costs!AQ82/FX_EUR</f>
        <v>2944.21033083754</v>
      </c>
      <c r="AR82" s="33" t="n">
        <f aca="false">Costs!AR82/FX_EUR</f>
        <v>3120.86295068779</v>
      </c>
      <c r="AS82" s="33" t="n">
        <f aca="false">Costs!AS82/FX_EUR</f>
        <v>3308.11472772906</v>
      </c>
      <c r="AT82" s="33" t="n">
        <f aca="false">Costs!AT82/FX_EUR</f>
        <v>3506.60161139281</v>
      </c>
      <c r="AU82" s="33" t="n">
        <f aca="false">Costs!AU82/FX_EUR</f>
        <v>3716.99770807637</v>
      </c>
      <c r="AV82" s="33" t="n">
        <f aca="false">Costs!AV82/FX_EUR</f>
        <v>3940.01757056096</v>
      </c>
      <c r="AW82" s="33" t="n">
        <f aca="false">Costs!AW82/FX_EUR</f>
        <v>4089.30378735072</v>
      </c>
      <c r="AX82" s="33" t="n">
        <f aca="false">Costs!AX82/FX_EUR</f>
        <v>4151.72319390687</v>
      </c>
      <c r="AY82" s="33" t="n">
        <f aca="false">Costs!AY82/FX_EUR</f>
        <v>4217.88776485639</v>
      </c>
      <c r="AZ82" s="33" t="n">
        <f aca="false">Costs!AZ82/FX_EUR</f>
        <v>4288.02221006288</v>
      </c>
      <c r="BA82" s="33" t="n">
        <f aca="false">Costs!BA82/FX_EUR</f>
        <v>4362.36472198176</v>
      </c>
      <c r="BB82" s="33" t="n">
        <f aca="false">Costs!BB82/FX_EUR</f>
        <v>4441.16778461577</v>
      </c>
      <c r="BC82" s="33" t="n">
        <f aca="false">Costs!BC82/FX_EUR</f>
        <v>4524.69903100783</v>
      </c>
      <c r="BD82" s="33" t="n">
        <f aca="false">Costs!BD82/FX_EUR</f>
        <v>4613.2421521834</v>
      </c>
      <c r="BE82" s="33" t="n">
        <f aca="false">Costs!BE82/FX_EUR</f>
        <v>4707.09786062952</v>
      </c>
      <c r="BF82" s="33" t="n">
        <f aca="false">Costs!BF82/FX_EUR</f>
        <v>4806.58491158239</v>
      </c>
      <c r="BG82" s="33" t="n">
        <f aca="false">Costs!BG82/FX_EUR</f>
        <v>4912.04118559245</v>
      </c>
      <c r="BH82" s="33" t="n">
        <f aca="false">Costs!BH82/FX_EUR</f>
        <v>5023.8248360431</v>
      </c>
      <c r="BI82" s="33" t="n">
        <f aca="false">Costs!BI82/FX_EUR</f>
        <v>5142.31550552079</v>
      </c>
      <c r="BJ82" s="33" t="n">
        <f aca="false">Costs!BJ82/FX_EUR</f>
        <v>5267.91561516715</v>
      </c>
      <c r="BK82" s="33" t="n">
        <f aca="false">Costs!BK82/FX_EUR</f>
        <v>5335.71560330936</v>
      </c>
      <c r="BL82" s="33" t="n">
        <f aca="false">Costs!BL82/FX_EUR</f>
        <v>5335.71560330936</v>
      </c>
    </row>
    <row r="83" customFormat="false" ht="15" hidden="false" customHeight="true" outlineLevel="0" collapsed="false">
      <c r="A83" s="13" t="s">
        <v>1202</v>
      </c>
      <c r="B83" s="15" t="s">
        <v>79</v>
      </c>
      <c r="D83" s="56" t="n">
        <f aca="false">Costs!D83/FX_EUR</f>
        <v>67230.016601698</v>
      </c>
      <c r="E83" s="33" t="n">
        <f aca="false">Costs!E83/FX_EUR</f>
        <v>114.336762928058</v>
      </c>
      <c r="F83" s="33" t="n">
        <f aca="false">Costs!F83/FX_EUR</f>
        <v>114.336762928058</v>
      </c>
      <c r="G83" s="33" t="n">
        <f aca="false">Costs!G83/FX_EUR</f>
        <v>114.336762928058</v>
      </c>
      <c r="H83" s="33" t="n">
        <f aca="false">Costs!H83/FX_EUR</f>
        <v>343.010288784173</v>
      </c>
      <c r="I83" s="33" t="n">
        <f aca="false">Costs!I83/FX_EUR</f>
        <v>343.010288784173</v>
      </c>
      <c r="J83" s="33" t="n">
        <f aca="false">Costs!J83/FX_EUR</f>
        <v>343.010288784173</v>
      </c>
      <c r="K83" s="33" t="n">
        <f aca="false">Costs!K83/FX_EUR</f>
        <v>343.010288784173</v>
      </c>
      <c r="L83" s="33" t="n">
        <f aca="false">Costs!L83/FX_EUR</f>
        <v>343.010288784173</v>
      </c>
      <c r="M83" s="33" t="n">
        <f aca="false">Costs!M83/FX_EUR</f>
        <v>343.010288784173</v>
      </c>
      <c r="N83" s="33" t="n">
        <f aca="false">Costs!N83/FX_EUR</f>
        <v>343.010288784173</v>
      </c>
      <c r="O83" s="33" t="n">
        <f aca="false">Costs!O83/FX_EUR</f>
        <v>343.010288784173</v>
      </c>
      <c r="P83" s="33" t="n">
        <f aca="false">Costs!P83/FX_EUR</f>
        <v>343.010288784173</v>
      </c>
      <c r="Q83" s="33" t="n">
        <f aca="false">Costs!Q83/FX_EUR</f>
        <v>343.010288784173</v>
      </c>
      <c r="R83" s="33" t="n">
        <f aca="false">Costs!R83/FX_EUR</f>
        <v>343.010288784173</v>
      </c>
      <c r="S83" s="33" t="n">
        <f aca="false">Costs!S83/FX_EUR</f>
        <v>343.010288784173</v>
      </c>
      <c r="T83" s="33" t="n">
        <f aca="false">Costs!T83/FX_EUR</f>
        <v>343.010288784173</v>
      </c>
      <c r="U83" s="33" t="n">
        <f aca="false">Costs!U83/FX_EUR</f>
        <v>343.010288784173</v>
      </c>
      <c r="V83" s="33" t="n">
        <f aca="false">Costs!V83/FX_EUR</f>
        <v>571.683814640289</v>
      </c>
      <c r="W83" s="33" t="n">
        <f aca="false">Costs!W83/FX_EUR</f>
        <v>571.683814640289</v>
      </c>
      <c r="X83" s="33" t="n">
        <f aca="false">Costs!X83/FX_EUR</f>
        <v>686.020577568347</v>
      </c>
      <c r="Y83" s="33" t="n">
        <f aca="false">Costs!Y83/FX_EUR</f>
        <v>686.020577568347</v>
      </c>
      <c r="Z83" s="33" t="n">
        <f aca="false">Costs!Z83/FX_EUR</f>
        <v>686.020577568347</v>
      </c>
      <c r="AA83" s="33" t="n">
        <f aca="false">Costs!AA83/FX_EUR</f>
        <v>686.020577568347</v>
      </c>
      <c r="AB83" s="33" t="n">
        <f aca="false">Costs!AB83/FX_EUR</f>
        <v>686.020577568347</v>
      </c>
      <c r="AC83" s="33" t="n">
        <f aca="false">Costs!AC83/FX_EUR</f>
        <v>686.020577568347</v>
      </c>
      <c r="AD83" s="33" t="n">
        <f aca="false">Costs!AD83/FX_EUR</f>
        <v>800.357340496405</v>
      </c>
      <c r="AE83" s="33" t="n">
        <f aca="false">Costs!AE83/FX_EUR</f>
        <v>800.357340496405</v>
      </c>
      <c r="AF83" s="33" t="n">
        <f aca="false">Costs!AF83/FX_EUR</f>
        <v>800.357340496405</v>
      </c>
      <c r="AG83" s="33" t="n">
        <f aca="false">Costs!AG83/FX_EUR</f>
        <v>800.357340496405</v>
      </c>
      <c r="AH83" s="33" t="n">
        <f aca="false">Costs!AH83/FX_EUR</f>
        <v>914.694103424462</v>
      </c>
      <c r="AI83" s="33" t="n">
        <f aca="false">Costs!AI83/FX_EUR</f>
        <v>914.694103424462</v>
      </c>
      <c r="AJ83" s="33" t="n">
        <f aca="false">Costs!AJ83/FX_EUR</f>
        <v>914.694103424462</v>
      </c>
      <c r="AK83" s="33" t="n">
        <f aca="false">Costs!AK83/FX_EUR</f>
        <v>914.694103424462</v>
      </c>
      <c r="AL83" s="33" t="n">
        <f aca="false">Costs!AL83/FX_EUR</f>
        <v>1029.03086635252</v>
      </c>
      <c r="AM83" s="33" t="n">
        <f aca="false">Costs!AM83/FX_EUR</f>
        <v>1029.03086635252</v>
      </c>
      <c r="AN83" s="33" t="n">
        <f aca="false">Costs!AN83/FX_EUR</f>
        <v>1143.36762928058</v>
      </c>
      <c r="AO83" s="33" t="n">
        <f aca="false">Costs!AO83/FX_EUR</f>
        <v>1257.70439220864</v>
      </c>
      <c r="AP83" s="33" t="n">
        <f aca="false">Costs!AP83/FX_EUR</f>
        <v>1257.70439220864</v>
      </c>
      <c r="AQ83" s="33" t="n">
        <f aca="false">Costs!AQ83/FX_EUR</f>
        <v>1257.70439220864</v>
      </c>
      <c r="AR83" s="33" t="n">
        <f aca="false">Costs!AR83/FX_EUR</f>
        <v>1372.04115513669</v>
      </c>
      <c r="AS83" s="33" t="n">
        <f aca="false">Costs!AS83/FX_EUR</f>
        <v>1372.04115513669</v>
      </c>
      <c r="AT83" s="33" t="n">
        <f aca="false">Costs!AT83/FX_EUR</f>
        <v>1372.04115513669</v>
      </c>
      <c r="AU83" s="33" t="n">
        <f aca="false">Costs!AU83/FX_EUR</f>
        <v>1600.71468099281</v>
      </c>
      <c r="AV83" s="33" t="n">
        <f aca="false">Costs!AV83/FX_EUR</f>
        <v>1600.71468099281</v>
      </c>
      <c r="AW83" s="33" t="n">
        <f aca="false">Costs!AW83/FX_EUR</f>
        <v>1715.05144392087</v>
      </c>
      <c r="AX83" s="33" t="n">
        <f aca="false">Costs!AX83/FX_EUR</f>
        <v>1715.05144392087</v>
      </c>
      <c r="AY83" s="33" t="n">
        <f aca="false">Costs!AY83/FX_EUR</f>
        <v>1715.05144392087</v>
      </c>
      <c r="AZ83" s="33" t="n">
        <f aca="false">Costs!AZ83/FX_EUR</f>
        <v>1943.72496977698</v>
      </c>
      <c r="BA83" s="33" t="n">
        <f aca="false">Costs!BA83/FX_EUR</f>
        <v>1943.72496977698</v>
      </c>
      <c r="BB83" s="33" t="n">
        <f aca="false">Costs!BB83/FX_EUR</f>
        <v>2058.06173270504</v>
      </c>
      <c r="BC83" s="33" t="n">
        <f aca="false">Costs!BC83/FX_EUR</f>
        <v>2058.06173270504</v>
      </c>
      <c r="BD83" s="33" t="n">
        <f aca="false">Costs!BD83/FX_EUR</f>
        <v>2172.3984956331</v>
      </c>
      <c r="BE83" s="33" t="n">
        <f aca="false">Costs!BE83/FX_EUR</f>
        <v>2286.73525856116</v>
      </c>
      <c r="BF83" s="33" t="n">
        <f aca="false">Costs!BF83/FX_EUR</f>
        <v>2286.73525856116</v>
      </c>
      <c r="BG83" s="33" t="n">
        <f aca="false">Costs!BG83/FX_EUR</f>
        <v>2401.07202148921</v>
      </c>
      <c r="BH83" s="33" t="n">
        <f aca="false">Costs!BH83/FX_EUR</f>
        <v>2515.40878441727</v>
      </c>
      <c r="BI83" s="33" t="n">
        <f aca="false">Costs!BI83/FX_EUR</f>
        <v>2629.74554734533</v>
      </c>
      <c r="BJ83" s="33" t="n">
        <f aca="false">Costs!BJ83/FX_EUR</f>
        <v>2629.74554734533</v>
      </c>
      <c r="BK83" s="33" t="n">
        <f aca="false">Costs!BK83/FX_EUR</f>
        <v>2744.08231027339</v>
      </c>
      <c r="BL83" s="33" t="n">
        <f aca="false">Costs!BL83/FX_EUR</f>
        <v>2858.41907320144</v>
      </c>
    </row>
    <row r="84" customFormat="false" ht="15" hidden="false" customHeight="true" outlineLevel="0" collapsed="false">
      <c r="A84" s="9" t="s">
        <v>1314</v>
      </c>
      <c r="B84" s="15" t="s">
        <v>79</v>
      </c>
      <c r="D84" s="56" t="n">
        <f aca="false">Costs!D84/FX_EUR</f>
        <v>984144.826515409</v>
      </c>
      <c r="E84" s="17" t="n">
        <f aca="false">Costs!E84/FX_EUR</f>
        <v>3447.88860651943</v>
      </c>
      <c r="F84" s="17" t="n">
        <f aca="false">Costs!F84/FX_EUR</f>
        <v>3447.88860651943</v>
      </c>
      <c r="G84" s="17" t="n">
        <f aca="false">Costs!G84/FX_EUR</f>
        <v>3447.88860651943</v>
      </c>
      <c r="H84" s="17" t="n">
        <f aca="false">Costs!H84/FX_EUR</f>
        <v>3676.56213237555</v>
      </c>
      <c r="I84" s="17" t="n">
        <f aca="false">Costs!I84/FX_EUR</f>
        <v>5978.54229266044</v>
      </c>
      <c r="J84" s="17" t="n">
        <f aca="false">Costs!J84/FX_EUR</f>
        <v>5996.83617472893</v>
      </c>
      <c r="K84" s="17" t="n">
        <f aca="false">Costs!K84/FX_EUR</f>
        <v>6016.22768972153</v>
      </c>
      <c r="L84" s="17" t="n">
        <f aca="false">Costs!L84/FX_EUR</f>
        <v>6036.78269561369</v>
      </c>
      <c r="M84" s="17" t="n">
        <f aca="false">Costs!M84/FX_EUR</f>
        <v>6058.57100185937</v>
      </c>
      <c r="N84" s="17" t="n">
        <f aca="false">Costs!N84/FX_EUR</f>
        <v>6081.6666064798</v>
      </c>
      <c r="O84" s="17" t="n">
        <f aca="false">Costs!O84/FX_EUR</f>
        <v>6106.14794737745</v>
      </c>
      <c r="P84" s="17" t="n">
        <f aca="false">Costs!P84/FX_EUR</f>
        <v>6132.09816872896</v>
      </c>
      <c r="Q84" s="17" t="n">
        <f aca="false">Costs!Q84/FX_EUR</f>
        <v>7992.80483564142</v>
      </c>
      <c r="R84" s="17" t="n">
        <f aca="false">Costs!R84/FX_EUR</f>
        <v>8021.96250435197</v>
      </c>
      <c r="S84" s="17" t="n">
        <f aca="false">Costs!S84/FX_EUR</f>
        <v>8052.86963318516</v>
      </c>
      <c r="T84" s="17" t="n">
        <f aca="false">Costs!T84/FX_EUR</f>
        <v>8085.63118974834</v>
      </c>
      <c r="U84" s="17" t="n">
        <f aca="false">Costs!U84/FX_EUR</f>
        <v>8120.35843970531</v>
      </c>
      <c r="V84" s="17" t="n">
        <f aca="false">Costs!V84/FX_EUR</f>
        <v>8385.84285051582</v>
      </c>
      <c r="W84" s="17" t="n">
        <f aca="false">Costs!W84/FX_EUR</f>
        <v>10650.6180402337</v>
      </c>
      <c r="X84" s="17" t="n">
        <f aca="false">Costs!X84/FX_EUR</f>
        <v>10820.0359250478</v>
      </c>
      <c r="Y84" s="17" t="n">
        <f aca="false">Costs!Y84/FX_EUR</f>
        <v>10878.4219142471</v>
      </c>
      <c r="Z84" s="17" t="n">
        <f aca="false">Costs!Z84/FX_EUR</f>
        <v>10940.3110627984</v>
      </c>
      <c r="AA84" s="17" t="n">
        <f aca="false">Costs!AA84/FX_EUR</f>
        <v>11005.9135602627</v>
      </c>
      <c r="AB84" s="17" t="n">
        <f aca="false">Costs!AB84/FX_EUR</f>
        <v>11075.4522075749</v>
      </c>
      <c r="AC84" s="17" t="n">
        <f aca="false">Costs!AC84/FX_EUR</f>
        <v>16569.9961449927</v>
      </c>
      <c r="AD84" s="17" t="n">
        <f aca="false">Costs!AD84/FX_EUR</f>
        <v>16762.4665320407</v>
      </c>
      <c r="AE84" s="17" t="n">
        <f aca="false">Costs!AE84/FX_EUR</f>
        <v>16845.2881736079</v>
      </c>
      <c r="AF84" s="17" t="n">
        <f aca="false">Costs!AF84/FX_EUR</f>
        <v>16933.0791136691</v>
      </c>
      <c r="AG84" s="17" t="n">
        <f aca="false">Costs!AG84/FX_EUR</f>
        <v>17026.1375101339</v>
      </c>
      <c r="AH84" s="17" t="n">
        <f aca="false">Costs!AH84/FX_EUR</f>
        <v>17239.1161733147</v>
      </c>
      <c r="AI84" s="17" t="n">
        <f aca="false">Costs!AI84/FX_EUR</f>
        <v>17343.6765875827</v>
      </c>
      <c r="AJ84" s="17" t="n">
        <f aca="false">Costs!AJ84/FX_EUR</f>
        <v>17454.5106267066</v>
      </c>
      <c r="AK84" s="17" t="n">
        <f aca="false">Costs!AK84/FX_EUR</f>
        <v>17571.9947081781</v>
      </c>
      <c r="AL84" s="17" t="n">
        <f aca="false">Costs!AL84/FX_EUR</f>
        <v>17810.8645974659</v>
      </c>
      <c r="AM84" s="17" t="n">
        <f aca="false">Costs!AM84/FX_EUR</f>
        <v>17942.8697114072</v>
      </c>
      <c r="AN84" s="17" t="n">
        <f aca="false">Costs!AN84/FX_EUR</f>
        <v>18197.131895113</v>
      </c>
      <c r="AO84" s="17" t="n">
        <f aca="false">Costs!AO84/FX_EUR</f>
        <v>21295.3413246813</v>
      </c>
      <c r="AP84" s="17" t="n">
        <f aca="false">Costs!AP84/FX_EUR</f>
        <v>21452.5615274672</v>
      </c>
      <c r="AQ84" s="17" t="n">
        <f aca="false">Costs!AQ84/FX_EUR</f>
        <v>21619.2149424203</v>
      </c>
      <c r="AR84" s="17" t="n">
        <f aca="false">Costs!AR84/FX_EUR</f>
        <v>21910.2043251986</v>
      </c>
      <c r="AS84" s="17" t="n">
        <f aca="false">Costs!AS84/FX_EUR</f>
        <v>22097.4561022399</v>
      </c>
      <c r="AT84" s="17" t="n">
        <f aca="false">Costs!AT84/FX_EUR</f>
        <v>22295.9429859036</v>
      </c>
      <c r="AU84" s="17" t="n">
        <f aca="false">Costs!AU84/FX_EUR</f>
        <v>22735.0126084433</v>
      </c>
      <c r="AV84" s="17" t="n">
        <f aca="false">Costs!AV84/FX_EUR</f>
        <v>22958.0324709279</v>
      </c>
      <c r="AW84" s="17" t="n">
        <f aca="false">Costs!AW84/FX_EUR</f>
        <v>23221.6554506457</v>
      </c>
      <c r="AX84" s="17" t="n">
        <f aca="false">Costs!AX84/FX_EUR</f>
        <v>23284.0748572019</v>
      </c>
      <c r="AY84" s="17" t="n">
        <f aca="false">Costs!AY84/FX_EUR</f>
        <v>23350.2394281514</v>
      </c>
      <c r="AZ84" s="17" t="n">
        <f aca="false">Costs!AZ84/FX_EUR</f>
        <v>23649.047399214</v>
      </c>
      <c r="BA84" s="17" t="n">
        <f aca="false">Costs!BA84/FX_EUR</f>
        <v>26561.4824487027</v>
      </c>
      <c r="BB84" s="17" t="n">
        <f aca="false">Costs!BB84/FX_EUR</f>
        <v>26754.6222742647</v>
      </c>
      <c r="BC84" s="17" t="n">
        <f aca="false">Costs!BC84/FX_EUR</f>
        <v>26838.1535206568</v>
      </c>
      <c r="BD84" s="17" t="n">
        <f aca="false">Costs!BD84/FX_EUR</f>
        <v>27041.0334047604</v>
      </c>
      <c r="BE84" s="17" t="n">
        <f aca="false">Costs!BE84/FX_EUR</f>
        <v>27249.2258761346</v>
      </c>
      <c r="BF84" s="17" t="n">
        <f aca="false">Costs!BF84/FX_EUR</f>
        <v>27348.7129270875</v>
      </c>
      <c r="BG84" s="17" t="n">
        <f aca="false">Costs!BG84/FX_EUR</f>
        <v>27568.5059640256</v>
      </c>
      <c r="BH84" s="17" t="n">
        <f aca="false">Costs!BH84/FX_EUR</f>
        <v>27794.6263774043</v>
      </c>
      <c r="BI84" s="17" t="n">
        <f aca="false">Costs!BI84/FX_EUR</f>
        <v>28027.4538098101</v>
      </c>
      <c r="BJ84" s="17" t="n">
        <f aca="false">Costs!BJ84/FX_EUR</f>
        <v>28153.0539194564</v>
      </c>
      <c r="BK84" s="17" t="n">
        <f aca="false">Costs!BK84/FX_EUR</f>
        <v>28335.1906705267</v>
      </c>
      <c r="BL84" s="17" t="n">
        <f aca="false">Costs!BL84/FX_EUR</f>
        <v>28449.5274334547</v>
      </c>
    </row>
    <row r="86" customFormat="false" ht="15" hidden="false" customHeight="true" outlineLevel="0" collapsed="false">
      <c r="A86" s="11" t="s">
        <v>883</v>
      </c>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row>
    <row r="87" customFormat="false" ht="15" hidden="false" customHeight="true" outlineLevel="0" collapsed="false">
      <c r="A87" s="13" t="s">
        <v>1315</v>
      </c>
      <c r="B87" s="15" t="s">
        <v>79</v>
      </c>
      <c r="D87" s="56" t="n">
        <f aca="false">Costs!D87/FX_EUR</f>
        <v>15200</v>
      </c>
      <c r="E87" s="33" t="n">
        <f aca="false">Costs!E87/FX_EUR</f>
        <v>3200</v>
      </c>
      <c r="F87" s="33" t="n">
        <f aca="false">Costs!F87/FX_EUR</f>
        <v>0</v>
      </c>
      <c r="G87" s="33" t="n">
        <f aca="false">Costs!G87/FX_EUR</f>
        <v>0</v>
      </c>
      <c r="H87" s="33" t="n">
        <f aca="false">Costs!H87/FX_EUR</f>
        <v>0</v>
      </c>
      <c r="I87" s="33" t="n">
        <f aca="false">Costs!I87/FX_EUR</f>
        <v>0</v>
      </c>
      <c r="J87" s="33" t="n">
        <f aca="false">Costs!J87/FX_EUR</f>
        <v>0</v>
      </c>
      <c r="K87" s="33" t="n">
        <f aca="false">Costs!K87/FX_EUR</f>
        <v>0</v>
      </c>
      <c r="L87" s="33" t="n">
        <f aca="false">Costs!L87/FX_EUR</f>
        <v>0</v>
      </c>
      <c r="M87" s="33" t="n">
        <f aca="false">Costs!M87/FX_EUR</f>
        <v>0</v>
      </c>
      <c r="N87" s="33" t="n">
        <f aca="false">Costs!N87/FX_EUR</f>
        <v>0</v>
      </c>
      <c r="O87" s="33" t="n">
        <f aca="false">Costs!O87/FX_EUR</f>
        <v>0</v>
      </c>
      <c r="P87" s="33" t="n">
        <f aca="false">Costs!P87/FX_EUR</f>
        <v>0</v>
      </c>
      <c r="Q87" s="33" t="n">
        <f aca="false">Costs!Q87/FX_EUR</f>
        <v>800</v>
      </c>
      <c r="R87" s="33" t="n">
        <f aca="false">Costs!R87/FX_EUR</f>
        <v>0</v>
      </c>
      <c r="S87" s="33" t="n">
        <f aca="false">Costs!S87/FX_EUR</f>
        <v>0</v>
      </c>
      <c r="T87" s="33" t="n">
        <f aca="false">Costs!T87/FX_EUR</f>
        <v>800</v>
      </c>
      <c r="U87" s="33" t="n">
        <f aca="false">Costs!U87/FX_EUR</f>
        <v>0</v>
      </c>
      <c r="V87" s="33" t="n">
        <f aca="false">Costs!V87/FX_EUR</f>
        <v>800</v>
      </c>
      <c r="W87" s="33" t="n">
        <f aca="false">Costs!W87/FX_EUR</f>
        <v>0</v>
      </c>
      <c r="X87" s="33" t="n">
        <f aca="false">Costs!X87/FX_EUR</f>
        <v>0</v>
      </c>
      <c r="Y87" s="33" t="n">
        <f aca="false">Costs!Y87/FX_EUR</f>
        <v>0</v>
      </c>
      <c r="Z87" s="33" t="n">
        <f aca="false">Costs!Z87/FX_EUR</f>
        <v>0</v>
      </c>
      <c r="AA87" s="33" t="n">
        <f aca="false">Costs!AA87/FX_EUR</f>
        <v>0</v>
      </c>
      <c r="AB87" s="33" t="n">
        <f aca="false">Costs!AB87/FX_EUR</f>
        <v>800</v>
      </c>
      <c r="AC87" s="33" t="n">
        <f aca="false">Costs!AC87/FX_EUR</f>
        <v>0</v>
      </c>
      <c r="AD87" s="33" t="n">
        <f aca="false">Costs!AD87/FX_EUR</f>
        <v>0</v>
      </c>
      <c r="AE87" s="33" t="n">
        <f aca="false">Costs!AE87/FX_EUR</f>
        <v>0</v>
      </c>
      <c r="AF87" s="33" t="n">
        <f aca="false">Costs!AF87/FX_EUR</f>
        <v>800</v>
      </c>
      <c r="AG87" s="33" t="n">
        <f aca="false">Costs!AG87/FX_EUR</f>
        <v>800</v>
      </c>
      <c r="AH87" s="33" t="n">
        <f aca="false">Costs!AH87/FX_EUR</f>
        <v>0</v>
      </c>
      <c r="AI87" s="33" t="n">
        <f aca="false">Costs!AI87/FX_EUR</f>
        <v>0</v>
      </c>
      <c r="AJ87" s="33" t="n">
        <f aca="false">Costs!AJ87/FX_EUR</f>
        <v>0</v>
      </c>
      <c r="AK87" s="33" t="n">
        <f aca="false">Costs!AK87/FX_EUR</f>
        <v>0</v>
      </c>
      <c r="AL87" s="33" t="n">
        <f aca="false">Costs!AL87/FX_EUR</f>
        <v>800</v>
      </c>
      <c r="AM87" s="33" t="n">
        <f aca="false">Costs!AM87/FX_EUR</f>
        <v>0</v>
      </c>
      <c r="AN87" s="33" t="n">
        <f aca="false">Costs!AN87/FX_EUR</f>
        <v>0</v>
      </c>
      <c r="AO87" s="33" t="n">
        <f aca="false">Costs!AO87/FX_EUR</f>
        <v>0</v>
      </c>
      <c r="AP87" s="33" t="n">
        <f aca="false">Costs!AP87/FX_EUR</f>
        <v>0</v>
      </c>
      <c r="AQ87" s="33" t="n">
        <f aca="false">Costs!AQ87/FX_EUR</f>
        <v>800</v>
      </c>
      <c r="AR87" s="33" t="n">
        <f aca="false">Costs!AR87/FX_EUR</f>
        <v>800</v>
      </c>
      <c r="AS87" s="33" t="n">
        <f aca="false">Costs!AS87/FX_EUR</f>
        <v>0</v>
      </c>
      <c r="AT87" s="33" t="n">
        <f aca="false">Costs!AT87/FX_EUR</f>
        <v>0</v>
      </c>
      <c r="AU87" s="33" t="n">
        <f aca="false">Costs!AU87/FX_EUR</f>
        <v>0</v>
      </c>
      <c r="AV87" s="33" t="n">
        <f aca="false">Costs!AV87/FX_EUR</f>
        <v>0</v>
      </c>
      <c r="AW87" s="33" t="n">
        <f aca="false">Costs!AW87/FX_EUR</f>
        <v>800</v>
      </c>
      <c r="AX87" s="33" t="n">
        <f aca="false">Costs!AX87/FX_EUR</f>
        <v>0</v>
      </c>
      <c r="AY87" s="33" t="n">
        <f aca="false">Costs!AY87/FX_EUR</f>
        <v>0</v>
      </c>
      <c r="AZ87" s="33" t="n">
        <f aca="false">Costs!AZ87/FX_EUR</f>
        <v>0</v>
      </c>
      <c r="BA87" s="33" t="n">
        <f aca="false">Costs!BA87/FX_EUR</f>
        <v>800</v>
      </c>
      <c r="BB87" s="33" t="n">
        <f aca="false">Costs!BB87/FX_EUR</f>
        <v>800</v>
      </c>
      <c r="BC87" s="33" t="n">
        <f aca="false">Costs!BC87/FX_EUR</f>
        <v>0</v>
      </c>
      <c r="BD87" s="33" t="n">
        <f aca="false">Costs!BD87/FX_EUR</f>
        <v>0</v>
      </c>
      <c r="BE87" s="33" t="n">
        <f aca="false">Costs!BE87/FX_EUR</f>
        <v>0</v>
      </c>
      <c r="BF87" s="33" t="n">
        <f aca="false">Costs!BF87/FX_EUR</f>
        <v>800</v>
      </c>
      <c r="BG87" s="33" t="n">
        <f aca="false">Costs!BG87/FX_EUR</f>
        <v>0</v>
      </c>
      <c r="BH87" s="33" t="n">
        <f aca="false">Costs!BH87/FX_EUR</f>
        <v>800</v>
      </c>
      <c r="BI87" s="33" t="n">
        <f aca="false">Costs!BI87/FX_EUR</f>
        <v>0</v>
      </c>
      <c r="BJ87" s="33" t="n">
        <f aca="false">Costs!BJ87/FX_EUR</f>
        <v>800</v>
      </c>
      <c r="BK87" s="33" t="n">
        <f aca="false">Costs!BK87/FX_EUR</f>
        <v>0</v>
      </c>
      <c r="BL87" s="33" t="n">
        <f aca="false">Costs!BL87/FX_EUR</f>
        <v>0</v>
      </c>
    </row>
    <row r="88" customFormat="false" ht="15" hidden="false" customHeight="true" outlineLevel="0" collapsed="false">
      <c r="A88" s="13" t="s">
        <v>1090</v>
      </c>
      <c r="B88" s="15" t="s">
        <v>79</v>
      </c>
      <c r="D88" s="56" t="n">
        <f aca="false">Costs!D88/FX_EUR</f>
        <v>118071.763850374</v>
      </c>
      <c r="E88" s="33" t="n">
        <f aca="false">Costs!E88/FX_EUR</f>
        <v>666.96445041367</v>
      </c>
      <c r="F88" s="33" t="n">
        <f aca="false">Costs!F88/FX_EUR</f>
        <v>666.96445041367</v>
      </c>
      <c r="G88" s="33" t="n">
        <f aca="false">Costs!G88/FX_EUR</f>
        <v>666.96445041367</v>
      </c>
      <c r="H88" s="33" t="n">
        <f aca="false">Costs!H88/FX_EUR</f>
        <v>666.96445041367</v>
      </c>
      <c r="I88" s="33" t="n">
        <f aca="false">Costs!I88/FX_EUR</f>
        <v>666.96445041367</v>
      </c>
      <c r="J88" s="33" t="n">
        <f aca="false">Costs!J88/FX_EUR</f>
        <v>666.96445041367</v>
      </c>
      <c r="K88" s="33" t="n">
        <f aca="false">Costs!K88/FX_EUR</f>
        <v>666.96445041367</v>
      </c>
      <c r="L88" s="33" t="n">
        <f aca="false">Costs!L88/FX_EUR</f>
        <v>666.96445041367</v>
      </c>
      <c r="M88" s="33" t="n">
        <f aca="false">Costs!M88/FX_EUR</f>
        <v>666.96445041367</v>
      </c>
      <c r="N88" s="33" t="n">
        <f aca="false">Costs!N88/FX_EUR</f>
        <v>666.96445041367</v>
      </c>
      <c r="O88" s="33" t="n">
        <f aca="false">Costs!O88/FX_EUR</f>
        <v>666.96445041367</v>
      </c>
      <c r="P88" s="33" t="n">
        <f aca="false">Costs!P88/FX_EUR</f>
        <v>666.96445041367</v>
      </c>
      <c r="Q88" s="33" t="n">
        <f aca="false">Costs!Q88/FX_EUR</f>
        <v>1664.23510484173</v>
      </c>
      <c r="R88" s="33" t="n">
        <f aca="false">Costs!R88/FX_EUR</f>
        <v>1664.23510484173</v>
      </c>
      <c r="S88" s="33" t="n">
        <f aca="false">Costs!S88/FX_EUR</f>
        <v>1664.23510484173</v>
      </c>
      <c r="T88" s="33" t="n">
        <f aca="false">Costs!T88/FX_EUR</f>
        <v>1664.23510484173</v>
      </c>
      <c r="U88" s="33" t="n">
        <f aca="false">Costs!U88/FX_EUR</f>
        <v>1664.23510484173</v>
      </c>
      <c r="V88" s="33" t="n">
        <f aca="false">Costs!V88/FX_EUR</f>
        <v>1664.23510484173</v>
      </c>
      <c r="W88" s="33" t="n">
        <f aca="false">Costs!W88/FX_EUR</f>
        <v>1664.23510484173</v>
      </c>
      <c r="X88" s="33" t="n">
        <f aca="false">Costs!X88/FX_EUR</f>
        <v>1664.23510484173</v>
      </c>
      <c r="Y88" s="33" t="n">
        <f aca="false">Costs!Y88/FX_EUR</f>
        <v>1664.23510484173</v>
      </c>
      <c r="Z88" s="33" t="n">
        <f aca="false">Costs!Z88/FX_EUR</f>
        <v>1664.23510484173</v>
      </c>
      <c r="AA88" s="33" t="n">
        <f aca="false">Costs!AA88/FX_EUR</f>
        <v>1664.23510484173</v>
      </c>
      <c r="AB88" s="33" t="n">
        <f aca="false">Costs!AB88/FX_EUR</f>
        <v>1664.23510484173</v>
      </c>
      <c r="AC88" s="33" t="n">
        <f aca="false">Costs!AC88/FX_EUR</f>
        <v>2083.46990224461</v>
      </c>
      <c r="AD88" s="33" t="n">
        <f aca="false">Costs!AD88/FX_EUR</f>
        <v>2083.46990224461</v>
      </c>
      <c r="AE88" s="33" t="n">
        <f aca="false">Costs!AE88/FX_EUR</f>
        <v>2083.46990224461</v>
      </c>
      <c r="AF88" s="33" t="n">
        <f aca="false">Costs!AF88/FX_EUR</f>
        <v>2083.46990224461</v>
      </c>
      <c r="AG88" s="33" t="n">
        <f aca="false">Costs!AG88/FX_EUR</f>
        <v>2083.46990224461</v>
      </c>
      <c r="AH88" s="33" t="n">
        <f aca="false">Costs!AH88/FX_EUR</f>
        <v>2083.46990224461</v>
      </c>
      <c r="AI88" s="33" t="n">
        <f aca="false">Costs!AI88/FX_EUR</f>
        <v>2083.46990224461</v>
      </c>
      <c r="AJ88" s="33" t="n">
        <f aca="false">Costs!AJ88/FX_EUR</f>
        <v>2083.46990224461</v>
      </c>
      <c r="AK88" s="33" t="n">
        <f aca="false">Costs!AK88/FX_EUR</f>
        <v>2083.46990224461</v>
      </c>
      <c r="AL88" s="33" t="n">
        <f aca="false">Costs!AL88/FX_EUR</f>
        <v>2083.46990224461</v>
      </c>
      <c r="AM88" s="33" t="n">
        <f aca="false">Costs!AM88/FX_EUR</f>
        <v>2083.46990224461</v>
      </c>
      <c r="AN88" s="33" t="n">
        <f aca="false">Costs!AN88/FX_EUR</f>
        <v>2083.46990224461</v>
      </c>
      <c r="AO88" s="33" t="n">
        <f aca="false">Costs!AO88/FX_EUR</f>
        <v>2502.70469964749</v>
      </c>
      <c r="AP88" s="33" t="n">
        <f aca="false">Costs!AP88/FX_EUR</f>
        <v>2502.70469964749</v>
      </c>
      <c r="AQ88" s="33" t="n">
        <f aca="false">Costs!AQ88/FX_EUR</f>
        <v>2502.70469964749</v>
      </c>
      <c r="AR88" s="33" t="n">
        <f aca="false">Costs!AR88/FX_EUR</f>
        <v>2502.70469964749</v>
      </c>
      <c r="AS88" s="33" t="n">
        <f aca="false">Costs!AS88/FX_EUR</f>
        <v>2502.70469964749</v>
      </c>
      <c r="AT88" s="33" t="n">
        <f aca="false">Costs!AT88/FX_EUR</f>
        <v>2502.70469964749</v>
      </c>
      <c r="AU88" s="33" t="n">
        <f aca="false">Costs!AU88/FX_EUR</f>
        <v>2502.70469964749</v>
      </c>
      <c r="AV88" s="33" t="n">
        <f aca="false">Costs!AV88/FX_EUR</f>
        <v>2502.70469964749</v>
      </c>
      <c r="AW88" s="33" t="n">
        <f aca="false">Costs!AW88/FX_EUR</f>
        <v>2502.70469964749</v>
      </c>
      <c r="AX88" s="33" t="n">
        <f aca="false">Costs!AX88/FX_EUR</f>
        <v>2502.70469964749</v>
      </c>
      <c r="AY88" s="33" t="n">
        <f aca="false">Costs!AY88/FX_EUR</f>
        <v>2502.70469964749</v>
      </c>
      <c r="AZ88" s="33" t="n">
        <f aca="false">Costs!AZ88/FX_EUR</f>
        <v>2502.70469964749</v>
      </c>
      <c r="BA88" s="33" t="n">
        <f aca="false">Costs!BA88/FX_EUR</f>
        <v>2921.93949705037</v>
      </c>
      <c r="BB88" s="33" t="n">
        <f aca="false">Costs!BB88/FX_EUR</f>
        <v>2921.93949705037</v>
      </c>
      <c r="BC88" s="33" t="n">
        <f aca="false">Costs!BC88/FX_EUR</f>
        <v>2921.93949705037</v>
      </c>
      <c r="BD88" s="33" t="n">
        <f aca="false">Costs!BD88/FX_EUR</f>
        <v>2921.93949705037</v>
      </c>
      <c r="BE88" s="33" t="n">
        <f aca="false">Costs!BE88/FX_EUR</f>
        <v>2921.93949705037</v>
      </c>
      <c r="BF88" s="33" t="n">
        <f aca="false">Costs!BF88/FX_EUR</f>
        <v>2921.93949705037</v>
      </c>
      <c r="BG88" s="33" t="n">
        <f aca="false">Costs!BG88/FX_EUR</f>
        <v>2921.93949705037</v>
      </c>
      <c r="BH88" s="33" t="n">
        <f aca="false">Costs!BH88/FX_EUR</f>
        <v>2921.93949705037</v>
      </c>
      <c r="BI88" s="33" t="n">
        <f aca="false">Costs!BI88/FX_EUR</f>
        <v>2921.93949705037</v>
      </c>
      <c r="BJ88" s="33" t="n">
        <f aca="false">Costs!BJ88/FX_EUR</f>
        <v>2921.93949705037</v>
      </c>
      <c r="BK88" s="33" t="n">
        <f aca="false">Costs!BK88/FX_EUR</f>
        <v>2921.93949705037</v>
      </c>
      <c r="BL88" s="33" t="n">
        <f aca="false">Costs!BL88/FX_EUR</f>
        <v>2921.93949705037</v>
      </c>
    </row>
    <row r="89" customFormat="false" ht="15" hidden="false" customHeight="true" outlineLevel="0" collapsed="false">
      <c r="A89" s="13" t="s">
        <v>885</v>
      </c>
      <c r="B89" s="15" t="s">
        <v>79</v>
      </c>
      <c r="D89" s="56" t="n">
        <f aca="false">Costs!D89/FX_EUR</f>
        <v>52137.5638951944</v>
      </c>
      <c r="E89" s="33" t="n">
        <f aca="false">Costs!E89/FX_EUR</f>
        <v>457.347051712231</v>
      </c>
      <c r="F89" s="33" t="n">
        <f aca="false">Costs!F89/FX_EUR</f>
        <v>457.347051712231</v>
      </c>
      <c r="G89" s="33" t="n">
        <f aca="false">Costs!G89/FX_EUR</f>
        <v>457.347051712231</v>
      </c>
      <c r="H89" s="33" t="n">
        <f aca="false">Costs!H89/FX_EUR</f>
        <v>457.347051712231</v>
      </c>
      <c r="I89" s="33" t="n">
        <f aca="false">Costs!I89/FX_EUR</f>
        <v>457.347051712231</v>
      </c>
      <c r="J89" s="33" t="n">
        <f aca="false">Costs!J89/FX_EUR</f>
        <v>457.347051712231</v>
      </c>
      <c r="K89" s="33" t="n">
        <f aca="false">Costs!K89/FX_EUR</f>
        <v>457.347051712231</v>
      </c>
      <c r="L89" s="33" t="n">
        <f aca="false">Costs!L89/FX_EUR</f>
        <v>457.347051712231</v>
      </c>
      <c r="M89" s="33" t="n">
        <f aca="false">Costs!M89/FX_EUR</f>
        <v>457.347051712231</v>
      </c>
      <c r="N89" s="33" t="n">
        <f aca="false">Costs!N89/FX_EUR</f>
        <v>457.347051712231</v>
      </c>
      <c r="O89" s="33" t="n">
        <f aca="false">Costs!O89/FX_EUR</f>
        <v>457.347051712231</v>
      </c>
      <c r="P89" s="33" t="n">
        <f aca="false">Costs!P89/FX_EUR</f>
        <v>457.347051712231</v>
      </c>
      <c r="Q89" s="33" t="n">
        <f aca="false">Costs!Q89/FX_EUR</f>
        <v>686.020577568347</v>
      </c>
      <c r="R89" s="33" t="n">
        <f aca="false">Costs!R89/FX_EUR</f>
        <v>686.020577568347</v>
      </c>
      <c r="S89" s="33" t="n">
        <f aca="false">Costs!S89/FX_EUR</f>
        <v>686.020577568347</v>
      </c>
      <c r="T89" s="33" t="n">
        <f aca="false">Costs!T89/FX_EUR</f>
        <v>686.020577568347</v>
      </c>
      <c r="U89" s="33" t="n">
        <f aca="false">Costs!U89/FX_EUR</f>
        <v>686.020577568347</v>
      </c>
      <c r="V89" s="33" t="n">
        <f aca="false">Costs!V89/FX_EUR</f>
        <v>686.020577568347</v>
      </c>
      <c r="W89" s="33" t="n">
        <f aca="false">Costs!W89/FX_EUR</f>
        <v>686.020577568347</v>
      </c>
      <c r="X89" s="33" t="n">
        <f aca="false">Costs!X89/FX_EUR</f>
        <v>686.020577568347</v>
      </c>
      <c r="Y89" s="33" t="n">
        <f aca="false">Costs!Y89/FX_EUR</f>
        <v>686.020577568347</v>
      </c>
      <c r="Z89" s="33" t="n">
        <f aca="false">Costs!Z89/FX_EUR</f>
        <v>686.020577568347</v>
      </c>
      <c r="AA89" s="33" t="n">
        <f aca="false">Costs!AA89/FX_EUR</f>
        <v>686.020577568347</v>
      </c>
      <c r="AB89" s="33" t="n">
        <f aca="false">Costs!AB89/FX_EUR</f>
        <v>686.020577568347</v>
      </c>
      <c r="AC89" s="33" t="n">
        <f aca="false">Costs!AC89/FX_EUR</f>
        <v>914.694103424462</v>
      </c>
      <c r="AD89" s="33" t="n">
        <f aca="false">Costs!AD89/FX_EUR</f>
        <v>914.694103424462</v>
      </c>
      <c r="AE89" s="33" t="n">
        <f aca="false">Costs!AE89/FX_EUR</f>
        <v>914.694103424462</v>
      </c>
      <c r="AF89" s="33" t="n">
        <f aca="false">Costs!AF89/FX_EUR</f>
        <v>914.694103424462</v>
      </c>
      <c r="AG89" s="33" t="n">
        <f aca="false">Costs!AG89/FX_EUR</f>
        <v>914.694103424462</v>
      </c>
      <c r="AH89" s="33" t="n">
        <f aca="false">Costs!AH89/FX_EUR</f>
        <v>914.694103424462</v>
      </c>
      <c r="AI89" s="33" t="n">
        <f aca="false">Costs!AI89/FX_EUR</f>
        <v>914.694103424462</v>
      </c>
      <c r="AJ89" s="33" t="n">
        <f aca="false">Costs!AJ89/FX_EUR</f>
        <v>914.694103424462</v>
      </c>
      <c r="AK89" s="33" t="n">
        <f aca="false">Costs!AK89/FX_EUR</f>
        <v>914.694103424462</v>
      </c>
      <c r="AL89" s="33" t="n">
        <f aca="false">Costs!AL89/FX_EUR</f>
        <v>914.694103424462</v>
      </c>
      <c r="AM89" s="33" t="n">
        <f aca="false">Costs!AM89/FX_EUR</f>
        <v>914.694103424462</v>
      </c>
      <c r="AN89" s="33" t="n">
        <f aca="false">Costs!AN89/FX_EUR</f>
        <v>914.694103424462</v>
      </c>
      <c r="AO89" s="33" t="n">
        <f aca="false">Costs!AO89/FX_EUR</f>
        <v>1067.14312066187</v>
      </c>
      <c r="AP89" s="33" t="n">
        <f aca="false">Costs!AP89/FX_EUR</f>
        <v>1067.14312066187</v>
      </c>
      <c r="AQ89" s="33" t="n">
        <f aca="false">Costs!AQ89/FX_EUR</f>
        <v>1067.14312066187</v>
      </c>
      <c r="AR89" s="33" t="n">
        <f aca="false">Costs!AR89/FX_EUR</f>
        <v>1067.14312066187</v>
      </c>
      <c r="AS89" s="33" t="n">
        <f aca="false">Costs!AS89/FX_EUR</f>
        <v>1067.14312066187</v>
      </c>
      <c r="AT89" s="33" t="n">
        <f aca="false">Costs!AT89/FX_EUR</f>
        <v>1067.14312066187</v>
      </c>
      <c r="AU89" s="33" t="n">
        <f aca="false">Costs!AU89/FX_EUR</f>
        <v>1067.14312066187</v>
      </c>
      <c r="AV89" s="33" t="n">
        <f aca="false">Costs!AV89/FX_EUR</f>
        <v>1067.14312066187</v>
      </c>
      <c r="AW89" s="33" t="n">
        <f aca="false">Costs!AW89/FX_EUR</f>
        <v>1067.14312066187</v>
      </c>
      <c r="AX89" s="33" t="n">
        <f aca="false">Costs!AX89/FX_EUR</f>
        <v>1067.14312066187</v>
      </c>
      <c r="AY89" s="33" t="n">
        <f aca="false">Costs!AY89/FX_EUR</f>
        <v>1067.14312066187</v>
      </c>
      <c r="AZ89" s="33" t="n">
        <f aca="false">Costs!AZ89/FX_EUR</f>
        <v>1067.14312066187</v>
      </c>
      <c r="BA89" s="33" t="n">
        <f aca="false">Costs!BA89/FX_EUR</f>
        <v>1219.59213789928</v>
      </c>
      <c r="BB89" s="33" t="n">
        <f aca="false">Costs!BB89/FX_EUR</f>
        <v>1219.59213789928</v>
      </c>
      <c r="BC89" s="33" t="n">
        <f aca="false">Costs!BC89/FX_EUR</f>
        <v>1219.59213789928</v>
      </c>
      <c r="BD89" s="33" t="n">
        <f aca="false">Costs!BD89/FX_EUR</f>
        <v>1219.59213789928</v>
      </c>
      <c r="BE89" s="33" t="n">
        <f aca="false">Costs!BE89/FX_EUR</f>
        <v>1219.59213789928</v>
      </c>
      <c r="BF89" s="33" t="n">
        <f aca="false">Costs!BF89/FX_EUR</f>
        <v>1219.59213789928</v>
      </c>
      <c r="BG89" s="33" t="n">
        <f aca="false">Costs!BG89/FX_EUR</f>
        <v>1219.59213789928</v>
      </c>
      <c r="BH89" s="33" t="n">
        <f aca="false">Costs!BH89/FX_EUR</f>
        <v>1219.59213789928</v>
      </c>
      <c r="BI89" s="33" t="n">
        <f aca="false">Costs!BI89/FX_EUR</f>
        <v>1219.59213789928</v>
      </c>
      <c r="BJ89" s="33" t="n">
        <f aca="false">Costs!BJ89/FX_EUR</f>
        <v>1219.59213789928</v>
      </c>
      <c r="BK89" s="33" t="n">
        <f aca="false">Costs!BK89/FX_EUR</f>
        <v>1219.59213789928</v>
      </c>
      <c r="BL89" s="33" t="n">
        <f aca="false">Costs!BL89/FX_EUR</f>
        <v>1219.59213789928</v>
      </c>
    </row>
    <row r="90" customFormat="false" ht="15" hidden="false" customHeight="true" outlineLevel="0" collapsed="false">
      <c r="A90" s="9" t="s">
        <v>1316</v>
      </c>
      <c r="B90" s="15" t="s">
        <v>79</v>
      </c>
      <c r="D90" s="56" t="n">
        <f aca="false">Costs!D90/FX_EUR</f>
        <v>185409.327745569</v>
      </c>
      <c r="E90" s="17" t="n">
        <f aca="false">Costs!E90/FX_EUR</f>
        <v>4324.3115021259</v>
      </c>
      <c r="F90" s="17" t="n">
        <f aca="false">Costs!F90/FX_EUR</f>
        <v>1124.3115021259</v>
      </c>
      <c r="G90" s="17" t="n">
        <f aca="false">Costs!G90/FX_EUR</f>
        <v>1124.3115021259</v>
      </c>
      <c r="H90" s="17" t="n">
        <f aca="false">Costs!H90/FX_EUR</f>
        <v>1124.3115021259</v>
      </c>
      <c r="I90" s="17" t="n">
        <f aca="false">Costs!I90/FX_EUR</f>
        <v>1124.3115021259</v>
      </c>
      <c r="J90" s="17" t="n">
        <f aca="false">Costs!J90/FX_EUR</f>
        <v>1124.3115021259</v>
      </c>
      <c r="K90" s="17" t="n">
        <f aca="false">Costs!K90/FX_EUR</f>
        <v>1124.3115021259</v>
      </c>
      <c r="L90" s="17" t="n">
        <f aca="false">Costs!L90/FX_EUR</f>
        <v>1124.3115021259</v>
      </c>
      <c r="M90" s="17" t="n">
        <f aca="false">Costs!M90/FX_EUR</f>
        <v>1124.3115021259</v>
      </c>
      <c r="N90" s="17" t="n">
        <f aca="false">Costs!N90/FX_EUR</f>
        <v>1124.3115021259</v>
      </c>
      <c r="O90" s="17" t="n">
        <f aca="false">Costs!O90/FX_EUR</f>
        <v>1124.3115021259</v>
      </c>
      <c r="P90" s="17" t="n">
        <f aca="false">Costs!P90/FX_EUR</f>
        <v>1124.3115021259</v>
      </c>
      <c r="Q90" s="17" t="n">
        <f aca="false">Costs!Q90/FX_EUR</f>
        <v>3150.25568241008</v>
      </c>
      <c r="R90" s="17" t="n">
        <f aca="false">Costs!R90/FX_EUR</f>
        <v>2350.25568241008</v>
      </c>
      <c r="S90" s="17" t="n">
        <f aca="false">Costs!S90/FX_EUR</f>
        <v>2350.25568241008</v>
      </c>
      <c r="T90" s="17" t="n">
        <f aca="false">Costs!T90/FX_EUR</f>
        <v>3150.25568241008</v>
      </c>
      <c r="U90" s="17" t="n">
        <f aca="false">Costs!U90/FX_EUR</f>
        <v>2350.25568241008</v>
      </c>
      <c r="V90" s="17" t="n">
        <f aca="false">Costs!V90/FX_EUR</f>
        <v>3150.25568241008</v>
      </c>
      <c r="W90" s="17" t="n">
        <f aca="false">Costs!W90/FX_EUR</f>
        <v>2350.25568241008</v>
      </c>
      <c r="X90" s="17" t="n">
        <f aca="false">Costs!X90/FX_EUR</f>
        <v>2350.25568241008</v>
      </c>
      <c r="Y90" s="17" t="n">
        <f aca="false">Costs!Y90/FX_EUR</f>
        <v>2350.25568241008</v>
      </c>
      <c r="Z90" s="17" t="n">
        <f aca="false">Costs!Z90/FX_EUR</f>
        <v>2350.25568241008</v>
      </c>
      <c r="AA90" s="17" t="n">
        <f aca="false">Costs!AA90/FX_EUR</f>
        <v>2350.25568241008</v>
      </c>
      <c r="AB90" s="17" t="n">
        <f aca="false">Costs!AB90/FX_EUR</f>
        <v>3150.25568241008</v>
      </c>
      <c r="AC90" s="17" t="n">
        <f aca="false">Costs!AC90/FX_EUR</f>
        <v>2998.16400566907</v>
      </c>
      <c r="AD90" s="17" t="n">
        <f aca="false">Costs!AD90/FX_EUR</f>
        <v>2998.16400566907</v>
      </c>
      <c r="AE90" s="17" t="n">
        <f aca="false">Costs!AE90/FX_EUR</f>
        <v>2998.16400566907</v>
      </c>
      <c r="AF90" s="17" t="n">
        <f aca="false">Costs!AF90/FX_EUR</f>
        <v>3798.16400566907</v>
      </c>
      <c r="AG90" s="17" t="n">
        <f aca="false">Costs!AG90/FX_EUR</f>
        <v>3798.16400566907</v>
      </c>
      <c r="AH90" s="17" t="n">
        <f aca="false">Costs!AH90/FX_EUR</f>
        <v>2998.16400566907</v>
      </c>
      <c r="AI90" s="17" t="n">
        <f aca="false">Costs!AI90/FX_EUR</f>
        <v>2998.16400566907</v>
      </c>
      <c r="AJ90" s="17" t="n">
        <f aca="false">Costs!AJ90/FX_EUR</f>
        <v>2998.16400566907</v>
      </c>
      <c r="AK90" s="17" t="n">
        <f aca="false">Costs!AK90/FX_EUR</f>
        <v>2998.16400566907</v>
      </c>
      <c r="AL90" s="17" t="n">
        <f aca="false">Costs!AL90/FX_EUR</f>
        <v>3798.16400566907</v>
      </c>
      <c r="AM90" s="17" t="n">
        <f aca="false">Costs!AM90/FX_EUR</f>
        <v>2998.16400566907</v>
      </c>
      <c r="AN90" s="17" t="n">
        <f aca="false">Costs!AN90/FX_EUR</f>
        <v>2998.16400566907</v>
      </c>
      <c r="AO90" s="17" t="n">
        <f aca="false">Costs!AO90/FX_EUR</f>
        <v>3569.84782030936</v>
      </c>
      <c r="AP90" s="17" t="n">
        <f aca="false">Costs!AP90/FX_EUR</f>
        <v>3569.84782030936</v>
      </c>
      <c r="AQ90" s="17" t="n">
        <f aca="false">Costs!AQ90/FX_EUR</f>
        <v>4369.84782030936</v>
      </c>
      <c r="AR90" s="17" t="n">
        <f aca="false">Costs!AR90/FX_EUR</f>
        <v>4369.84782030936</v>
      </c>
      <c r="AS90" s="17" t="n">
        <f aca="false">Costs!AS90/FX_EUR</f>
        <v>3569.84782030936</v>
      </c>
      <c r="AT90" s="17" t="n">
        <f aca="false">Costs!AT90/FX_EUR</f>
        <v>3569.84782030936</v>
      </c>
      <c r="AU90" s="17" t="n">
        <f aca="false">Costs!AU90/FX_EUR</f>
        <v>3569.84782030936</v>
      </c>
      <c r="AV90" s="17" t="n">
        <f aca="false">Costs!AV90/FX_EUR</f>
        <v>3569.84782030936</v>
      </c>
      <c r="AW90" s="17" t="n">
        <f aca="false">Costs!AW90/FX_EUR</f>
        <v>4369.84782030936</v>
      </c>
      <c r="AX90" s="17" t="n">
        <f aca="false">Costs!AX90/FX_EUR</f>
        <v>3569.84782030936</v>
      </c>
      <c r="AY90" s="17" t="n">
        <f aca="false">Costs!AY90/FX_EUR</f>
        <v>3569.84782030936</v>
      </c>
      <c r="AZ90" s="17" t="n">
        <f aca="false">Costs!AZ90/FX_EUR</f>
        <v>3569.84782030936</v>
      </c>
      <c r="BA90" s="17" t="n">
        <f aca="false">Costs!BA90/FX_EUR</f>
        <v>4941.53163494965</v>
      </c>
      <c r="BB90" s="17" t="n">
        <f aca="false">Costs!BB90/FX_EUR</f>
        <v>4941.53163494965</v>
      </c>
      <c r="BC90" s="17" t="n">
        <f aca="false">Costs!BC90/FX_EUR</f>
        <v>4141.53163494965</v>
      </c>
      <c r="BD90" s="17" t="n">
        <f aca="false">Costs!BD90/FX_EUR</f>
        <v>4141.53163494965</v>
      </c>
      <c r="BE90" s="17" t="n">
        <f aca="false">Costs!BE90/FX_EUR</f>
        <v>4141.53163494965</v>
      </c>
      <c r="BF90" s="17" t="n">
        <f aca="false">Costs!BF90/FX_EUR</f>
        <v>4941.53163494965</v>
      </c>
      <c r="BG90" s="17" t="n">
        <f aca="false">Costs!BG90/FX_EUR</f>
        <v>4141.53163494965</v>
      </c>
      <c r="BH90" s="17" t="n">
        <f aca="false">Costs!BH90/FX_EUR</f>
        <v>4941.53163494965</v>
      </c>
      <c r="BI90" s="17" t="n">
        <f aca="false">Costs!BI90/FX_EUR</f>
        <v>4141.53163494965</v>
      </c>
      <c r="BJ90" s="17" t="n">
        <f aca="false">Costs!BJ90/FX_EUR</f>
        <v>4941.53163494965</v>
      </c>
      <c r="BK90" s="17" t="n">
        <f aca="false">Costs!BK90/FX_EUR</f>
        <v>4141.53163494965</v>
      </c>
      <c r="BL90" s="17" t="n">
        <f aca="false">Costs!BL90/FX_EUR</f>
        <v>4141.53163494965</v>
      </c>
    </row>
    <row r="92" customFormat="false" ht="15" hidden="false" customHeight="true" outlineLevel="0" collapsed="false">
      <c r="A92" s="11" t="s">
        <v>1317</v>
      </c>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row>
    <row r="93" customFormat="false" ht="15" hidden="false" customHeight="true" outlineLevel="0" collapsed="false">
      <c r="A93" s="13" t="s">
        <v>1318</v>
      </c>
      <c r="B93" s="15" t="s">
        <v>79</v>
      </c>
      <c r="D93" s="56" t="n">
        <f aca="false">Costs!D93/FX_EUR</f>
        <v>7333294.37353402</v>
      </c>
      <c r="E93" s="33" t="n">
        <f aca="false">Costs!E93/FX_EUR</f>
        <v>46737.8767205777</v>
      </c>
      <c r="F93" s="33" t="n">
        <f aca="false">Costs!F93/FX_EUR</f>
        <v>58941.3909753231</v>
      </c>
      <c r="G93" s="33" t="n">
        <f aca="false">Costs!G93/FX_EUR</f>
        <v>80284.2533885605</v>
      </c>
      <c r="H93" s="33" t="n">
        <f aca="false">Costs!H93/FX_EUR</f>
        <v>53874.0283280764</v>
      </c>
      <c r="I93" s="33" t="n">
        <f aca="false">Costs!I93/FX_EUR</f>
        <v>52844.3771466727</v>
      </c>
      <c r="J93" s="33" t="n">
        <f aca="false">Costs!J93/FX_EUR</f>
        <v>52182.3706736875</v>
      </c>
      <c r="K93" s="33" t="n">
        <f aca="false">Costs!K93/FX_EUR</f>
        <v>52022.0302986324</v>
      </c>
      <c r="L93" s="33" t="n">
        <f aca="false">Costs!L93/FX_EUR</f>
        <v>51863.2985800487</v>
      </c>
      <c r="M93" s="33" t="n">
        <f aca="false">Costs!M93/FX_EUR</f>
        <v>51706.1170613254</v>
      </c>
      <c r="N93" s="33" t="n">
        <f aca="false">Costs!N93/FX_EUR</f>
        <v>51550.4261689071</v>
      </c>
      <c r="O93" s="33" t="n">
        <f aca="false">Costs!O93/FX_EUR</f>
        <v>51396.1651051238</v>
      </c>
      <c r="P93" s="33" t="n">
        <f aca="false">Costs!P93/FX_EUR</f>
        <v>51243.2717353078</v>
      </c>
      <c r="Q93" s="33" t="n">
        <f aca="false">Costs!Q93/FX_EUR</f>
        <v>72943.9042862249</v>
      </c>
      <c r="R93" s="33" t="n">
        <f aca="false">Costs!R93/FX_EUR</f>
        <v>71430.510062585</v>
      </c>
      <c r="S93" s="33" t="n">
        <f aca="false">Costs!S93/FX_EUR</f>
        <v>78841.5884251813</v>
      </c>
      <c r="T93" s="33" t="n">
        <f aca="false">Costs!T93/FX_EUR</f>
        <v>110164.666887019</v>
      </c>
      <c r="U93" s="33" t="n">
        <f aca="false">Costs!U93/FX_EUR</f>
        <v>72374.2251961159</v>
      </c>
      <c r="V93" s="33" t="n">
        <f aca="false">Costs!V93/FX_EUR</f>
        <v>83367.1465854804</v>
      </c>
      <c r="W93" s="33" t="n">
        <f aca="false">Costs!W93/FX_EUR</f>
        <v>85236.9717103786</v>
      </c>
      <c r="X93" s="33" t="n">
        <f aca="false">Costs!X93/FX_EUR</f>
        <v>86680.4203622772</v>
      </c>
      <c r="Y93" s="33" t="n">
        <f aca="false">Costs!Y93/FX_EUR</f>
        <v>87233.3395080178</v>
      </c>
      <c r="Z93" s="33" t="n">
        <f aca="false">Costs!Z93/FX_EUR</f>
        <v>86440.0317761988</v>
      </c>
      <c r="AA93" s="33" t="n">
        <f aca="false">Costs!AA93/FX_EUR</f>
        <v>86505.6342736631</v>
      </c>
      <c r="AB93" s="33" t="n">
        <f aca="false">Costs!AB93/FX_EUR</f>
        <v>95893.575194295</v>
      </c>
      <c r="AC93" s="33" t="n">
        <f aca="false">Costs!AC93/FX_EUR</f>
        <v>111559.299476186</v>
      </c>
      <c r="AD93" s="33" t="n">
        <f aca="false">Costs!AD93/FX_EUR</f>
        <v>112405.02300615</v>
      </c>
      <c r="AE93" s="33" t="n">
        <f aca="false">Costs!AE93/FX_EUR</f>
        <v>111749.616150391</v>
      </c>
      <c r="AF93" s="33" t="n">
        <f aca="false">Costs!AF93/FX_EUR</f>
        <v>127650.80385274</v>
      </c>
      <c r="AG93" s="33" t="n">
        <f aca="false">Costs!AG93/FX_EUR</f>
        <v>121638.596660149</v>
      </c>
      <c r="AH93" s="33" t="n">
        <f aca="false">Costs!AH93/FX_EUR</f>
        <v>121249.103667414</v>
      </c>
      <c r="AI93" s="33" t="n">
        <f aca="false">Costs!AI93/FX_EUR</f>
        <v>122288.995361019</v>
      </c>
      <c r="AJ93" s="33" t="n">
        <f aca="false">Costs!AJ93/FX_EUR</f>
        <v>121899.829400143</v>
      </c>
      <c r="AK93" s="33" t="n">
        <f aca="false">Costs!AK93/FX_EUR</f>
        <v>123452.644760951</v>
      </c>
      <c r="AL93" s="33" t="n">
        <f aca="false">Costs!AL93/FX_EUR</f>
        <v>127823.566446317</v>
      </c>
      <c r="AM93" s="33" t="n">
        <f aca="false">Costs!AM93/FX_EUR</f>
        <v>127590.902839595</v>
      </c>
      <c r="AN93" s="33" t="n">
        <f aca="false">Costs!AN93/FX_EUR</f>
        <v>129151.942144362</v>
      </c>
      <c r="AO93" s="33" t="n">
        <f aca="false">Costs!AO93/FX_EUR</f>
        <v>140193.510907444</v>
      </c>
      <c r="AP93" s="33" t="n">
        <f aca="false">Costs!AP93/FX_EUR</f>
        <v>139350.73111023</v>
      </c>
      <c r="AQ93" s="33" t="n">
        <f aca="false">Costs!AQ93/FX_EUR</f>
        <v>143983.378180255</v>
      </c>
      <c r="AR93" s="33" t="n">
        <f aca="false">Costs!AR93/FX_EUR</f>
        <v>160190.680370122</v>
      </c>
      <c r="AS93" s="33" t="n">
        <f aca="false">Costs!AS93/FX_EUR</f>
        <v>147967.48054744</v>
      </c>
      <c r="AT93" s="33" t="n">
        <f aca="false">Costs!AT93/FX_EUR</f>
        <v>149631.888367994</v>
      </c>
      <c r="AU93" s="33" t="n">
        <f aca="false">Costs!AU93/FX_EUR</f>
        <v>154634.045853001</v>
      </c>
      <c r="AV93" s="33" t="n">
        <f aca="false">Costs!AV93/FX_EUR</f>
        <v>153357.065715485</v>
      </c>
      <c r="AW93" s="33" t="n">
        <f aca="false">Costs!AW93/FX_EUR</f>
        <v>159827.910205149</v>
      </c>
      <c r="AX93" s="33" t="n">
        <f aca="false">Costs!AX93/FX_EUR</f>
        <v>159056.250548596</v>
      </c>
      <c r="AY93" s="33" t="n">
        <f aca="false">Costs!AY93/FX_EUR</f>
        <v>160088.336056436</v>
      </c>
      <c r="AZ93" s="33" t="n">
        <f aca="false">Costs!AZ93/FX_EUR</f>
        <v>163484.310953075</v>
      </c>
      <c r="BA93" s="33" t="n">
        <f aca="false">Costs!BA93/FX_EUR</f>
        <v>183095.014388169</v>
      </c>
      <c r="BB93" s="33" t="n">
        <f aca="false">Costs!BB93/FX_EUR</f>
        <v>186573.797479982</v>
      </c>
      <c r="BC93" s="33" t="n">
        <f aca="false">Costs!BC93/FX_EUR</f>
        <v>185855.368803696</v>
      </c>
      <c r="BD93" s="33" t="n">
        <f aca="false">Costs!BD93/FX_EUR</f>
        <v>197805.890882715</v>
      </c>
      <c r="BE93" s="33" t="n">
        <f aca="false">Costs!BE93/FX_EUR</f>
        <v>189959.152695525</v>
      </c>
      <c r="BF93" s="33" t="n">
        <f aca="false">Costs!BF93/FX_EUR</f>
        <v>194125.579271477</v>
      </c>
      <c r="BG93" s="33" t="n">
        <f aca="false">Costs!BG93/FX_EUR</f>
        <v>195830.524726942</v>
      </c>
      <c r="BH93" s="33" t="n">
        <f aca="false">Costs!BH93/FX_EUR</f>
        <v>204267.018810013</v>
      </c>
      <c r="BI93" s="33" t="n">
        <f aca="false">Costs!BI93/FX_EUR</f>
        <v>204216.590060992</v>
      </c>
      <c r="BJ93" s="33" t="n">
        <f aca="false">Costs!BJ93/FX_EUR</f>
        <v>207909.129695638</v>
      </c>
      <c r="BK93" s="33" t="n">
        <f aca="false">Costs!BK93/FX_EUR</f>
        <v>209576.418865236</v>
      </c>
      <c r="BL93" s="33" t="n">
        <f aca="false">Costs!BL93/FX_EUR</f>
        <v>212096.354823309</v>
      </c>
    </row>
    <row r="94" customFormat="false" ht="15" hidden="false" customHeight="true" outlineLevel="0" collapsed="false">
      <c r="A94" s="13" t="s">
        <v>1319</v>
      </c>
      <c r="B94" s="15" t="s">
        <v>79</v>
      </c>
      <c r="D94" s="56" t="n">
        <f aca="false">Costs!D94/FX_EUR</f>
        <v>366664.718676701</v>
      </c>
      <c r="E94" s="33" t="n">
        <f aca="false">Costs!E94/FX_EUR</f>
        <v>2336.89383602889</v>
      </c>
      <c r="F94" s="33" t="n">
        <f aca="false">Costs!F94/FX_EUR</f>
        <v>2947.06954876615</v>
      </c>
      <c r="G94" s="33" t="n">
        <f aca="false">Costs!G94/FX_EUR</f>
        <v>4014.21266942803</v>
      </c>
      <c r="H94" s="33" t="n">
        <f aca="false">Costs!H94/FX_EUR</f>
        <v>2693.70141640382</v>
      </c>
      <c r="I94" s="33" t="n">
        <f aca="false">Costs!I94/FX_EUR</f>
        <v>2642.21885733364</v>
      </c>
      <c r="J94" s="33" t="n">
        <f aca="false">Costs!J94/FX_EUR</f>
        <v>2609.11853368437</v>
      </c>
      <c r="K94" s="33" t="n">
        <f aca="false">Costs!K94/FX_EUR</f>
        <v>2601.10151493162</v>
      </c>
      <c r="L94" s="33" t="n">
        <f aca="false">Costs!L94/FX_EUR</f>
        <v>2593.16492900243</v>
      </c>
      <c r="M94" s="33" t="n">
        <f aca="false">Costs!M94/FX_EUR</f>
        <v>2585.30585306627</v>
      </c>
      <c r="N94" s="33" t="n">
        <f aca="false">Costs!N94/FX_EUR</f>
        <v>2577.52130844535</v>
      </c>
      <c r="O94" s="33" t="n">
        <f aca="false">Costs!O94/FX_EUR</f>
        <v>2569.80825525619</v>
      </c>
      <c r="P94" s="33" t="n">
        <f aca="false">Costs!P94/FX_EUR</f>
        <v>2562.16358676539</v>
      </c>
      <c r="Q94" s="33" t="n">
        <f aca="false">Costs!Q94/FX_EUR</f>
        <v>3647.19521431124</v>
      </c>
      <c r="R94" s="33" t="n">
        <f aca="false">Costs!R94/FX_EUR</f>
        <v>3571.52550312925</v>
      </c>
      <c r="S94" s="33" t="n">
        <f aca="false">Costs!S94/FX_EUR</f>
        <v>3942.07942125906</v>
      </c>
      <c r="T94" s="33" t="n">
        <f aca="false">Costs!T94/FX_EUR</f>
        <v>5508.23334435097</v>
      </c>
      <c r="U94" s="33" t="n">
        <f aca="false">Costs!U94/FX_EUR</f>
        <v>3618.7112598058</v>
      </c>
      <c r="V94" s="33" t="n">
        <f aca="false">Costs!V94/FX_EUR</f>
        <v>4168.35732927402</v>
      </c>
      <c r="W94" s="33" t="n">
        <f aca="false">Costs!W94/FX_EUR</f>
        <v>4261.84858551893</v>
      </c>
      <c r="X94" s="33" t="n">
        <f aca="false">Costs!X94/FX_EUR</f>
        <v>4334.02101811386</v>
      </c>
      <c r="Y94" s="33" t="n">
        <f aca="false">Costs!Y94/FX_EUR</f>
        <v>4361.66697540089</v>
      </c>
      <c r="Z94" s="33" t="n">
        <f aca="false">Costs!Z94/FX_EUR</f>
        <v>4322.00158880994</v>
      </c>
      <c r="AA94" s="33" t="n">
        <f aca="false">Costs!AA94/FX_EUR</f>
        <v>4325.28171368316</v>
      </c>
      <c r="AB94" s="33" t="n">
        <f aca="false">Costs!AB94/FX_EUR</f>
        <v>4794.67875971475</v>
      </c>
      <c r="AC94" s="33" t="n">
        <f aca="false">Costs!AC94/FX_EUR</f>
        <v>5577.96497380932</v>
      </c>
      <c r="AD94" s="33" t="n">
        <f aca="false">Costs!AD94/FX_EUR</f>
        <v>5620.25115030751</v>
      </c>
      <c r="AE94" s="33" t="n">
        <f aca="false">Costs!AE94/FX_EUR</f>
        <v>5587.48080751954</v>
      </c>
      <c r="AF94" s="33" t="n">
        <f aca="false">Costs!AF94/FX_EUR</f>
        <v>6382.54019263699</v>
      </c>
      <c r="AG94" s="33" t="n">
        <f aca="false">Costs!AG94/FX_EUR</f>
        <v>6081.92983300747</v>
      </c>
      <c r="AH94" s="33" t="n">
        <f aca="false">Costs!AH94/FX_EUR</f>
        <v>6062.45518337069</v>
      </c>
      <c r="AI94" s="33" t="n">
        <f aca="false">Costs!AI94/FX_EUR</f>
        <v>6114.44976805093</v>
      </c>
      <c r="AJ94" s="33" t="n">
        <f aca="false">Costs!AJ94/FX_EUR</f>
        <v>6094.99147000713</v>
      </c>
      <c r="AK94" s="33" t="n">
        <f aca="false">Costs!AK94/FX_EUR</f>
        <v>6172.63223804754</v>
      </c>
      <c r="AL94" s="33" t="n">
        <f aca="false">Costs!AL94/FX_EUR</f>
        <v>6391.17832231584</v>
      </c>
      <c r="AM94" s="33" t="n">
        <f aca="false">Costs!AM94/FX_EUR</f>
        <v>6379.54514197975</v>
      </c>
      <c r="AN94" s="33" t="n">
        <f aca="false">Costs!AN94/FX_EUR</f>
        <v>6457.5971072181</v>
      </c>
      <c r="AO94" s="33" t="n">
        <f aca="false">Costs!AO94/FX_EUR</f>
        <v>7009.67554537218</v>
      </c>
      <c r="AP94" s="33" t="n">
        <f aca="false">Costs!AP94/FX_EUR</f>
        <v>6967.53655551148</v>
      </c>
      <c r="AQ94" s="33" t="n">
        <f aca="false">Costs!AQ94/FX_EUR</f>
        <v>7199.16890901273</v>
      </c>
      <c r="AR94" s="33" t="n">
        <f aca="false">Costs!AR94/FX_EUR</f>
        <v>8009.53401850611</v>
      </c>
      <c r="AS94" s="33" t="n">
        <f aca="false">Costs!AS94/FX_EUR</f>
        <v>7398.37402737199</v>
      </c>
      <c r="AT94" s="33" t="n">
        <f aca="false">Costs!AT94/FX_EUR</f>
        <v>7481.59441839971</v>
      </c>
      <c r="AU94" s="33" t="n">
        <f aca="false">Costs!AU94/FX_EUR</f>
        <v>7731.70229265003</v>
      </c>
      <c r="AV94" s="33" t="n">
        <f aca="false">Costs!AV94/FX_EUR</f>
        <v>7667.85328577426</v>
      </c>
      <c r="AW94" s="33" t="n">
        <f aca="false">Costs!AW94/FX_EUR</f>
        <v>7991.39551025747</v>
      </c>
      <c r="AX94" s="33" t="n">
        <f aca="false">Costs!AX94/FX_EUR</f>
        <v>7952.81252742981</v>
      </c>
      <c r="AY94" s="33" t="n">
        <f aca="false">Costs!AY94/FX_EUR</f>
        <v>8004.41680282183</v>
      </c>
      <c r="AZ94" s="33" t="n">
        <f aca="false">Costs!AZ94/FX_EUR</f>
        <v>8174.21554765375</v>
      </c>
      <c r="BA94" s="33" t="n">
        <f aca="false">Costs!BA94/FX_EUR</f>
        <v>9154.75071940846</v>
      </c>
      <c r="BB94" s="33" t="n">
        <f aca="false">Costs!BB94/FX_EUR</f>
        <v>9328.6898739991</v>
      </c>
      <c r="BC94" s="33" t="n">
        <f aca="false">Costs!BC94/FX_EUR</f>
        <v>9292.76844018481</v>
      </c>
      <c r="BD94" s="33" t="n">
        <f aca="false">Costs!BD94/FX_EUR</f>
        <v>9890.29454413575</v>
      </c>
      <c r="BE94" s="33" t="n">
        <f aca="false">Costs!BE94/FX_EUR</f>
        <v>9497.95763477624</v>
      </c>
      <c r="BF94" s="33" t="n">
        <f aca="false">Costs!BF94/FX_EUR</f>
        <v>9706.27896357385</v>
      </c>
      <c r="BG94" s="33" t="n">
        <f aca="false">Costs!BG94/FX_EUR</f>
        <v>9791.52623634713</v>
      </c>
      <c r="BH94" s="33" t="n">
        <f aca="false">Costs!BH94/FX_EUR</f>
        <v>10213.3509405006</v>
      </c>
      <c r="BI94" s="33" t="n">
        <f aca="false">Costs!BI94/FX_EUR</f>
        <v>10210.8295030496</v>
      </c>
      <c r="BJ94" s="33" t="n">
        <f aca="false">Costs!BJ94/FX_EUR</f>
        <v>10395.4564847819</v>
      </c>
      <c r="BK94" s="33" t="n">
        <f aca="false">Costs!BK94/FX_EUR</f>
        <v>10478.8209432618</v>
      </c>
      <c r="BL94" s="33" t="n">
        <f aca="false">Costs!BL94/FX_EUR</f>
        <v>10604.8177411655</v>
      </c>
    </row>
    <row r="95" customFormat="false" ht="15" hidden="false" customHeight="true" outlineLevel="0" collapsed="false">
      <c r="A95" s="9" t="s">
        <v>1320</v>
      </c>
      <c r="B95" s="15" t="s">
        <v>79</v>
      </c>
      <c r="D95" s="56" t="n">
        <f aca="false">Costs!D95/FX_EUR</f>
        <v>7699959.09221072</v>
      </c>
      <c r="E95" s="17" t="n">
        <f aca="false">Costs!E95/FX_EUR</f>
        <v>49074.7705566066</v>
      </c>
      <c r="F95" s="17" t="n">
        <f aca="false">Costs!F95/FX_EUR</f>
        <v>61888.4605240892</v>
      </c>
      <c r="G95" s="17" t="n">
        <f aca="false">Costs!G95/FX_EUR</f>
        <v>84298.4660579886</v>
      </c>
      <c r="H95" s="17" t="n">
        <f aca="false">Costs!H95/FX_EUR</f>
        <v>56567.7297444802</v>
      </c>
      <c r="I95" s="17" t="n">
        <f aca="false">Costs!I95/FX_EUR</f>
        <v>55486.5960040064</v>
      </c>
      <c r="J95" s="17" t="n">
        <f aca="false">Costs!J95/FX_EUR</f>
        <v>54791.4892073718</v>
      </c>
      <c r="K95" s="17" t="n">
        <f aca="false">Costs!K95/FX_EUR</f>
        <v>54623.131813564</v>
      </c>
      <c r="L95" s="17" t="n">
        <f aca="false">Costs!L95/FX_EUR</f>
        <v>54456.4635090511</v>
      </c>
      <c r="M95" s="17" t="n">
        <f aca="false">Costs!M95/FX_EUR</f>
        <v>54291.4229143917</v>
      </c>
      <c r="N95" s="17" t="n">
        <f aca="false">Costs!N95/FX_EUR</f>
        <v>54127.9474773524</v>
      </c>
      <c r="O95" s="17" t="n">
        <f aca="false">Costs!O95/FX_EUR</f>
        <v>53965.97336038</v>
      </c>
      <c r="P95" s="17" t="n">
        <f aca="false">Costs!P95/FX_EUR</f>
        <v>53805.4353220732</v>
      </c>
      <c r="Q95" s="17" t="n">
        <f aca="false">Costs!Q95/FX_EUR</f>
        <v>76591.0995005361</v>
      </c>
      <c r="R95" s="17" t="n">
        <f aca="false">Costs!R95/FX_EUR</f>
        <v>75002.0355657143</v>
      </c>
      <c r="S95" s="17" t="n">
        <f aca="false">Costs!S95/FX_EUR</f>
        <v>82783.6678464403</v>
      </c>
      <c r="T95" s="17" t="n">
        <f aca="false">Costs!T95/FX_EUR</f>
        <v>115672.90023137</v>
      </c>
      <c r="U95" s="17" t="n">
        <f aca="false">Costs!U95/FX_EUR</f>
        <v>75992.9364559217</v>
      </c>
      <c r="V95" s="17" t="n">
        <f aca="false">Costs!V95/FX_EUR</f>
        <v>87535.5039147545</v>
      </c>
      <c r="W95" s="17" t="n">
        <f aca="false">Costs!W95/FX_EUR</f>
        <v>89498.8202958975</v>
      </c>
      <c r="X95" s="17" t="n">
        <f aca="false">Costs!X95/FX_EUR</f>
        <v>91014.4413803911</v>
      </c>
      <c r="Y95" s="17" t="n">
        <f aca="false">Costs!Y95/FX_EUR</f>
        <v>91595.0064834187</v>
      </c>
      <c r="Z95" s="17" t="n">
        <f aca="false">Costs!Z95/FX_EUR</f>
        <v>90762.0333650087</v>
      </c>
      <c r="AA95" s="17" t="n">
        <f aca="false">Costs!AA95/FX_EUR</f>
        <v>90830.9159873463</v>
      </c>
      <c r="AB95" s="17" t="n">
        <f aca="false">Costs!AB95/FX_EUR</f>
        <v>100688.25395401</v>
      </c>
      <c r="AC95" s="17" t="n">
        <f aca="false">Costs!AC95/FX_EUR</f>
        <v>117137.264449996</v>
      </c>
      <c r="AD95" s="17" t="n">
        <f aca="false">Costs!AD95/FX_EUR</f>
        <v>118025.274156458</v>
      </c>
      <c r="AE95" s="17" t="n">
        <f aca="false">Costs!AE95/FX_EUR</f>
        <v>117337.09695791</v>
      </c>
      <c r="AF95" s="17" t="n">
        <f aca="false">Costs!AF95/FX_EUR</f>
        <v>134033.344045377</v>
      </c>
      <c r="AG95" s="17" t="n">
        <f aca="false">Costs!AG95/FX_EUR</f>
        <v>127720.526493157</v>
      </c>
      <c r="AH95" s="17" t="n">
        <f aca="false">Costs!AH95/FX_EUR</f>
        <v>127311.558850784</v>
      </c>
      <c r="AI95" s="17" t="n">
        <f aca="false">Costs!AI95/FX_EUR</f>
        <v>128403.445129069</v>
      </c>
      <c r="AJ95" s="17" t="n">
        <f aca="false">Costs!AJ95/FX_EUR</f>
        <v>127994.82087015</v>
      </c>
      <c r="AK95" s="17" t="n">
        <f aca="false">Costs!AK95/FX_EUR</f>
        <v>129625.276998998</v>
      </c>
      <c r="AL95" s="17" t="n">
        <f aca="false">Costs!AL95/FX_EUR</f>
        <v>134214.744768633</v>
      </c>
      <c r="AM95" s="17" t="n">
        <f aca="false">Costs!AM95/FX_EUR</f>
        <v>133970.447981575</v>
      </c>
      <c r="AN95" s="17" t="n">
        <f aca="false">Costs!AN95/FX_EUR</f>
        <v>135609.53925158</v>
      </c>
      <c r="AO95" s="17" t="n">
        <f aca="false">Costs!AO95/FX_EUR</f>
        <v>147203.186452816</v>
      </c>
      <c r="AP95" s="17" t="n">
        <f aca="false">Costs!AP95/FX_EUR</f>
        <v>146318.267665741</v>
      </c>
      <c r="AQ95" s="17" t="n">
        <f aca="false">Costs!AQ95/FX_EUR</f>
        <v>151182.547089267</v>
      </c>
      <c r="AR95" s="17" t="n">
        <f aca="false">Costs!AR95/FX_EUR</f>
        <v>168200.214388628</v>
      </c>
      <c r="AS95" s="17" t="n">
        <f aca="false">Costs!AS95/FX_EUR</f>
        <v>155365.854574812</v>
      </c>
      <c r="AT95" s="17" t="n">
        <f aca="false">Costs!AT95/FX_EUR</f>
        <v>157113.482786394</v>
      </c>
      <c r="AU95" s="17" t="n">
        <f aca="false">Costs!AU95/FX_EUR</f>
        <v>162365.748145651</v>
      </c>
      <c r="AV95" s="17" t="n">
        <f aca="false">Costs!AV95/FX_EUR</f>
        <v>161024.919001259</v>
      </c>
      <c r="AW95" s="17" t="n">
        <f aca="false">Costs!AW95/FX_EUR</f>
        <v>167819.305715407</v>
      </c>
      <c r="AX95" s="17" t="n">
        <f aca="false">Costs!AX95/FX_EUR</f>
        <v>167009.063076026</v>
      </c>
      <c r="AY95" s="17" t="n">
        <f aca="false">Costs!AY95/FX_EUR</f>
        <v>168092.752859258</v>
      </c>
      <c r="AZ95" s="17" t="n">
        <f aca="false">Costs!AZ95/FX_EUR</f>
        <v>171658.526500729</v>
      </c>
      <c r="BA95" s="17" t="n">
        <f aca="false">Costs!BA95/FX_EUR</f>
        <v>192249.765107578</v>
      </c>
      <c r="BB95" s="17" t="n">
        <f aca="false">Costs!BB95/FX_EUR</f>
        <v>195902.487353981</v>
      </c>
      <c r="BC95" s="17" t="n">
        <f aca="false">Costs!BC95/FX_EUR</f>
        <v>195148.137243881</v>
      </c>
      <c r="BD95" s="17" t="n">
        <f aca="false">Costs!BD95/FX_EUR</f>
        <v>207696.185426851</v>
      </c>
      <c r="BE95" s="17" t="n">
        <f aca="false">Costs!BE95/FX_EUR</f>
        <v>199457.110330301</v>
      </c>
      <c r="BF95" s="17" t="n">
        <f aca="false">Costs!BF95/FX_EUR</f>
        <v>203831.858235051</v>
      </c>
      <c r="BG95" s="17" t="n">
        <f aca="false">Costs!BG95/FX_EUR</f>
        <v>205622.05096329</v>
      </c>
      <c r="BH95" s="17" t="n">
        <f aca="false">Costs!BH95/FX_EUR</f>
        <v>214480.369750514</v>
      </c>
      <c r="BI95" s="17" t="n">
        <f aca="false">Costs!BI95/FX_EUR</f>
        <v>214427.419564042</v>
      </c>
      <c r="BJ95" s="17" t="n">
        <f aca="false">Costs!BJ95/FX_EUR</f>
        <v>218304.58618042</v>
      </c>
      <c r="BK95" s="17" t="n">
        <f aca="false">Costs!BK95/FX_EUR</f>
        <v>220055.239808497</v>
      </c>
      <c r="BL95" s="17" t="n">
        <f aca="false">Costs!BL95/FX_EUR</f>
        <v>222701.172564475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32</v>
      </c>
    </row>
    <row r="2" customFormat="false" ht="15" hidden="false" customHeight="true" outlineLevel="0" collapsed="false">
      <c r="A2" s="3" t="s">
        <v>1323</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985</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1253</v>
      </c>
      <c r="B9" s="15" t="s">
        <v>77</v>
      </c>
      <c r="D9" s="56" t="n">
        <f aca="false">SUM(E9:BL9)</f>
        <v>3340167574.11753</v>
      </c>
      <c r="E9" s="24" t="n">
        <f aca="false">'Clients &amp; revenue'!E57</f>
        <v>0</v>
      </c>
      <c r="F9" s="24" t="n">
        <f aca="false">'Clients &amp; revenue'!F57</f>
        <v>0</v>
      </c>
      <c r="G9" s="24" t="n">
        <f aca="false">'Clients &amp; revenue'!G57</f>
        <v>0</v>
      </c>
      <c r="H9" s="24" t="n">
        <f aca="false">'Clients &amp; revenue'!H57</f>
        <v>0</v>
      </c>
      <c r="I9" s="24" t="n">
        <f aca="false">'Clients &amp; revenue'!I57</f>
        <v>0</v>
      </c>
      <c r="J9" s="24" t="n">
        <f aca="false">'Clients &amp; revenue'!J57</f>
        <v>869186.343666667</v>
      </c>
      <c r="K9" s="24" t="n">
        <f aca="false">'Clients &amp; revenue'!K57</f>
        <v>1735511.09999333</v>
      </c>
      <c r="L9" s="24" t="n">
        <f aca="false">'Clients &amp; revenue'!L57</f>
        <v>2599540.78452333</v>
      </c>
      <c r="M9" s="24" t="n">
        <f aca="false">'Clients &amp; revenue'!M57</f>
        <v>3461864.49413827</v>
      </c>
      <c r="N9" s="24" t="n">
        <f aca="false">'Clients &amp; revenue'!N57</f>
        <v>4323095.45697949</v>
      </c>
      <c r="O9" s="24" t="n">
        <f aca="false">'Clients &amp; revenue'!O57</f>
        <v>5183872.67181244</v>
      </c>
      <c r="P9" s="24" t="n">
        <f aca="false">'Clients &amp; revenue'!P57</f>
        <v>6044862.64226789</v>
      </c>
      <c r="Q9" s="24" t="n">
        <f aca="false">'Clients &amp; revenue'!Q57</f>
        <v>6906761.21171829</v>
      </c>
      <c r="R9" s="24" t="n">
        <f aca="false">'Clients &amp; revenue'!R57</f>
        <v>8077204.96855882</v>
      </c>
      <c r="S9" s="24" t="n">
        <f aca="false">'Clients &amp; revenue'!S57</f>
        <v>9246056.38708731</v>
      </c>
      <c r="T9" s="24" t="n">
        <f aca="false">'Clients &amp; revenue'!T57</f>
        <v>10414171.4925651</v>
      </c>
      <c r="U9" s="24" t="n">
        <f aca="false">'Clients &amp; revenue'!U57</f>
        <v>11582443.1152603</v>
      </c>
      <c r="V9" s="24" t="n">
        <f aca="false">'Clients &amp; revenue'!V57</f>
        <v>12751803.3458331</v>
      </c>
      <c r="W9" s="24" t="n">
        <f aca="false">'Clients &amp; revenue'!W57</f>
        <v>13923226.1335651</v>
      </c>
      <c r="X9" s="24" t="n">
        <f aca="false">'Clients &amp; revenue'!X57</f>
        <v>15763091.010752</v>
      </c>
      <c r="Y9" s="24" t="n">
        <f aca="false">'Clients &amp; revenue'!Y57</f>
        <v>17604781.819841</v>
      </c>
      <c r="Z9" s="24" t="n">
        <f aca="false">'Clients &amp; revenue'!Z57</f>
        <v>19590411.9793249</v>
      </c>
      <c r="AA9" s="24" t="n">
        <f aca="false">'Clients &amp; revenue'!AA57</f>
        <v>21579200.4160639</v>
      </c>
      <c r="AB9" s="24" t="n">
        <f aca="false">'Clients &amp; revenue'!AB57</f>
        <v>23572864.9557519</v>
      </c>
      <c r="AC9" s="24" t="n">
        <f aca="false">'Clients &amp; revenue'!AC57</f>
        <v>25573203.2179871</v>
      </c>
      <c r="AD9" s="24" t="n">
        <f aca="false">'Clients &amp; revenue'!AD57</f>
        <v>28198259.5454466</v>
      </c>
      <c r="AE9" s="24" t="n">
        <f aca="false">'Clients &amp; revenue'!AE57</f>
        <v>30825837.7535385</v>
      </c>
      <c r="AF9" s="24" t="n">
        <f aca="false">'Clients &amp; revenue'!AF57</f>
        <v>33598696.9510586</v>
      </c>
      <c r="AG9" s="24" t="n">
        <f aca="false">'Clients &amp; revenue'!AG57</f>
        <v>36376731.3952504</v>
      </c>
      <c r="AH9" s="24" t="n">
        <f aca="false">'Clients &amp; revenue'!AH57</f>
        <v>39162365.8135668</v>
      </c>
      <c r="AI9" s="24" t="n">
        <f aca="false">'Clients &amp; revenue'!AI57</f>
        <v>41958138.3431591</v>
      </c>
      <c r="AJ9" s="24" t="n">
        <f aca="false">'Clients &amp; revenue'!AJ57</f>
        <v>44907277.0967676</v>
      </c>
      <c r="AK9" s="24" t="n">
        <f aca="false">'Clients &amp; revenue'!AK57</f>
        <v>47870173.4751852</v>
      </c>
      <c r="AL9" s="24" t="n">
        <f aca="false">'Clients &amp; revenue'!AL57</f>
        <v>50849779.1752658</v>
      </c>
      <c r="AM9" s="24" t="n">
        <f aca="false">'Clients &amp; revenue'!AM57</f>
        <v>53849190.9168973</v>
      </c>
      <c r="AN9" s="24" t="n">
        <f aca="false">'Clients &amp; revenue'!AN57</f>
        <v>57012228.9036867</v>
      </c>
      <c r="AO9" s="24" t="n">
        <f aca="false">'Clients &amp; revenue'!AO57</f>
        <v>60199912.1439659</v>
      </c>
      <c r="AP9" s="24" t="n">
        <f aca="false">'Clients &amp; revenue'!AP57</f>
        <v>63849279.3495806</v>
      </c>
      <c r="AQ9" s="24" t="n">
        <f aca="false">'Clients &amp; revenue'!AQ57</f>
        <v>67665647.2078806</v>
      </c>
      <c r="AR9" s="24" t="n">
        <f aca="false">'Clients &amp; revenue'!AR57</f>
        <v>71510702.9372899</v>
      </c>
      <c r="AS9" s="24" t="n">
        <f aca="false">'Clients &amp; revenue'!AS57</f>
        <v>75388764.7422948</v>
      </c>
      <c r="AT9" s="24" t="n">
        <f aca="false">'Clients &amp; revenue'!AT57</f>
        <v>79444940.1187533</v>
      </c>
      <c r="AU9" s="24" t="n">
        <f aca="false">'Clients &amp; revenue'!AU57</f>
        <v>83541605.2479305</v>
      </c>
      <c r="AV9" s="24" t="n">
        <f aca="false">'Clients &amp; revenue'!AV57</f>
        <v>87683808.4487983</v>
      </c>
      <c r="AW9" s="24" t="n">
        <f aca="false">'Clients &amp; revenue'!AW57</f>
        <v>92143943.2518257</v>
      </c>
      <c r="AX9" s="24" t="n">
        <f aca="false">'Clients &amp; revenue'!AX57</f>
        <v>96616886.2461952</v>
      </c>
      <c r="AY9" s="24" t="n">
        <f aca="false">'Clients &amp; revenue'!AY57</f>
        <v>101203082.497257</v>
      </c>
      <c r="AZ9" s="24" t="n">
        <f aca="false">'Clients &amp; revenue'!AZ57</f>
        <v>105762307.747033</v>
      </c>
      <c r="BA9" s="24" t="n">
        <f aca="false">'Clients &amp; revenue'!BA57</f>
        <v>110296834.604141</v>
      </c>
      <c r="BB9" s="24" t="n">
        <f aca="false">'Clients &amp; revenue'!BB57</f>
        <v>115385347.706126</v>
      </c>
      <c r="BC9" s="24" t="n">
        <f aca="false">'Clients &amp; revenue'!BC57</f>
        <v>120446458.079616</v>
      </c>
      <c r="BD9" s="24" t="n">
        <f aca="false">'Clients &amp; revenue'!BD57</f>
        <v>125623372.320892</v>
      </c>
      <c r="BE9" s="24" t="n">
        <f aca="false">'Clients &amp; revenue'!BE57</f>
        <v>130776426.094973</v>
      </c>
      <c r="BF9" s="24" t="n">
        <f aca="false">'Clients &amp; revenue'!BF57</f>
        <v>136034991.933543</v>
      </c>
      <c r="BG9" s="24" t="n">
        <f aca="false">'Clients &amp; revenue'!BG57</f>
        <v>141414450.555665</v>
      </c>
      <c r="BH9" s="24" t="n">
        <f aca="false">'Clients &amp; revenue'!BH57</f>
        <v>146775513.826434</v>
      </c>
      <c r="BI9" s="24" t="n">
        <f aca="false">'Clients &amp; revenue'!BI57</f>
        <v>152262009.117573</v>
      </c>
      <c r="BJ9" s="24" t="n">
        <f aca="false">'Clients &amp; revenue'!BJ57</f>
        <v>157861441.574628</v>
      </c>
      <c r="BK9" s="24" t="n">
        <f aca="false">'Clients &amp; revenue'!BK57</f>
        <v>163589780.013109</v>
      </c>
      <c r="BL9" s="24" t="n">
        <f aca="false">'Clients &amp; revenue'!BL57</f>
        <v>169278235.434516</v>
      </c>
    </row>
    <row r="10" customFormat="false" ht="15" hidden="false" customHeight="true" outlineLevel="0" collapsed="false">
      <c r="A10" s="13" t="s">
        <v>988</v>
      </c>
      <c r="B10" s="15" t="s">
        <v>77</v>
      </c>
      <c r="D10" s="56" t="n">
        <f aca="false">SUM(E10:BL10)</f>
        <v>6841596470.5586</v>
      </c>
      <c r="E10" s="24" t="n">
        <f aca="false">'Clients &amp; revenue'!E58</f>
        <v>0</v>
      </c>
      <c r="F10" s="24" t="n">
        <f aca="false">'Clients &amp; revenue'!F58</f>
        <v>0</v>
      </c>
      <c r="G10" s="24" t="n">
        <f aca="false">'Clients &amp; revenue'!G58</f>
        <v>0</v>
      </c>
      <c r="H10" s="24" t="n">
        <f aca="false">'Clients &amp; revenue'!H58</f>
        <v>0</v>
      </c>
      <c r="I10" s="24" t="n">
        <f aca="false">'Clients &amp; revenue'!I58</f>
        <v>1672962.66666667</v>
      </c>
      <c r="J10" s="24" t="n">
        <f aca="false">'Clients &amp; revenue'!J58</f>
        <v>3341998.79333333</v>
      </c>
      <c r="K10" s="24" t="n">
        <f aca="false">'Clients &amp; revenue'!K58</f>
        <v>5008164.85505</v>
      </c>
      <c r="L10" s="24" t="n">
        <f aca="false">'Clients &amp; revenue'!L58</f>
        <v>6672562.42270879</v>
      </c>
      <c r="M10" s="24" t="n">
        <f aca="false">'Clients &amp; revenue'!M58</f>
        <v>8336341.15811318</v>
      </c>
      <c r="N10" s="24" t="n">
        <f aca="false">'Clients &amp; revenue'!N58</f>
        <v>10000701.983788</v>
      </c>
      <c r="O10" s="24" t="n">
        <f aca="false">'Clients &amp; revenue'!O58</f>
        <v>11666900.4381046</v>
      </c>
      <c r="P10" s="24" t="n">
        <f aca="false">'Clients &amp; revenue'!P58</f>
        <v>13336250.2269286</v>
      </c>
      <c r="Q10" s="24" t="n">
        <f aca="false">'Clients &amp; revenue'!Q58</f>
        <v>15600849.6503343</v>
      </c>
      <c r="R10" s="24" t="n">
        <f aca="false">'Clients &amp; revenue'!R58</f>
        <v>17864299.0436426</v>
      </c>
      <c r="S10" s="24" t="n">
        <f aca="false">'Clients &amp; revenue'!S58</f>
        <v>20128208.2638401</v>
      </c>
      <c r="T10" s="24" t="n">
        <f aca="false">'Clients &amp; revenue'!T58</f>
        <v>22394260.2352386</v>
      </c>
      <c r="U10" s="24" t="n">
        <f aca="false">'Clients &amp; revenue'!U58</f>
        <v>24664215.7024651</v>
      </c>
      <c r="V10" s="24" t="n">
        <f aca="false">'Clients &amp; revenue'!V58</f>
        <v>26939918.2623415</v>
      </c>
      <c r="W10" s="24" t="n">
        <f aca="false">'Clients &amp; revenue'!W58</f>
        <v>30503950.3581651</v>
      </c>
      <c r="X10" s="24" t="n">
        <f aca="false">'Clients &amp; revenue'!X58</f>
        <v>34074429.5609143</v>
      </c>
      <c r="Y10" s="24" t="n">
        <f aca="false">'Clients &amp; revenue'!Y58</f>
        <v>37924837.9291702</v>
      </c>
      <c r="Z10" s="24" t="n">
        <f aca="false">'Clients &amp; revenue'!Z58</f>
        <v>41784416.9976883</v>
      </c>
      <c r="AA10" s="24" t="n">
        <f aca="false">'Clients &amp; revenue'!AA58</f>
        <v>45656422.4979574</v>
      </c>
      <c r="AB10" s="24" t="n">
        <f aca="false">'Clients &amp; revenue'!AB58</f>
        <v>49544267.7637629</v>
      </c>
      <c r="AC10" s="24" t="n">
        <f aca="false">'Clients &amp; revenue'!AC58</f>
        <v>54637488.4437957</v>
      </c>
      <c r="AD10" s="24" t="n">
        <f aca="false">'Clients &amp; revenue'!AD58</f>
        <v>59739597.7203202</v>
      </c>
      <c r="AE10" s="24" t="n">
        <f aca="false">'Clients &amp; revenue'!AE58</f>
        <v>65125301.5479639</v>
      </c>
      <c r="AF10" s="24" t="n">
        <f aca="false">'Clients &amp; revenue'!AF58</f>
        <v>70525123.9163539</v>
      </c>
      <c r="AG10" s="24" t="n">
        <f aca="false">'Clients &amp; revenue'!AG58</f>
        <v>75943665.3146889</v>
      </c>
      <c r="AH10" s="24" t="n">
        <f aca="false">'Clients &amp; revenue'!AH58</f>
        <v>81385750.1020616</v>
      </c>
      <c r="AI10" s="24" t="n">
        <f aca="false">'Clients &amp; revenue'!AI58</f>
        <v>87127000.7522208</v>
      </c>
      <c r="AJ10" s="24" t="n">
        <f aca="false">'Clients &amp; revenue'!AJ58</f>
        <v>92898912.5392315</v>
      </c>
      <c r="AK10" s="24" t="n">
        <f aca="false">'Clients &amp; revenue'!AK58</f>
        <v>98707115.2877376</v>
      </c>
      <c r="AL10" s="24" t="n">
        <f aca="false">'Clients &amp; revenue'!AL58</f>
        <v>104557524.226166</v>
      </c>
      <c r="AM10" s="24" t="n">
        <f aca="false">'Clients &amp; revenue'!AM58</f>
        <v>110726917.923394</v>
      </c>
      <c r="AN10" s="24" t="n">
        <f aca="false">'Clients &amp; revenue'!AN58</f>
        <v>116948016.887874</v>
      </c>
      <c r="AO10" s="24" t="n">
        <f aca="false">'Clients &amp; revenue'!AO58</f>
        <v>124061976.132888</v>
      </c>
      <c r="AP10" s="24" t="n">
        <f aca="false">'Clients &amp; revenue'!AP58</f>
        <v>131502367.527012</v>
      </c>
      <c r="AQ10" s="24" t="n">
        <f aca="false">'Clients &amp; revenue'!AQ58</f>
        <v>139003186.458683</v>
      </c>
      <c r="AR10" s="24" t="n">
        <f aca="false">'Clients &amp; revenue'!AR58</f>
        <v>146572701.168536</v>
      </c>
      <c r="AS10" s="24" t="n">
        <f aca="false">'Clients &amp; revenue'!AS58</f>
        <v>154490172.079215</v>
      </c>
      <c r="AT10" s="24" t="n">
        <f aca="false">'Clients &amp; revenue'!AT58</f>
        <v>162490938.314247</v>
      </c>
      <c r="AU10" s="24" t="n">
        <f aca="false">'Clients &amp; revenue'!AU58</f>
        <v>170584691.988399</v>
      </c>
      <c r="AV10" s="24" t="n">
        <f aca="false">'Clients &amp; revenue'!AV58</f>
        <v>179295706.350295</v>
      </c>
      <c r="AW10" s="24" t="n">
        <f aca="false">'Clients &amp; revenue'!AW58</f>
        <v>188037177.197785</v>
      </c>
      <c r="AX10" s="24" t="n">
        <f aca="false">'Clients &amp; revenue'!AX58</f>
        <v>197002352.630858</v>
      </c>
      <c r="AY10" s="24" t="n">
        <f aca="false">'Clients &amp; revenue'!AY58</f>
        <v>205921437.710362</v>
      </c>
      <c r="AZ10" s="24" t="n">
        <f aca="false">'Clients &amp; revenue'!AZ58</f>
        <v>214798650.742176</v>
      </c>
      <c r="BA10" s="24" t="n">
        <f aca="false">'Clients &amp; revenue'!BA58</f>
        <v>224747663.521961</v>
      </c>
      <c r="BB10" s="24" t="n">
        <f aca="false">'Clients &amp; revenue'!BB58</f>
        <v>234650356.615677</v>
      </c>
      <c r="BC10" s="24" t="n">
        <f aca="false">'Clients &amp; revenue'!BC58</f>
        <v>244782198.579901</v>
      </c>
      <c r="BD10" s="24" t="n">
        <f aca="false">'Clients &amp; revenue'!BD58</f>
        <v>254874466.897076</v>
      </c>
      <c r="BE10" s="24" t="n">
        <f aca="false">'Clients &amp; revenue'!BE58</f>
        <v>265176010.725861</v>
      </c>
      <c r="BF10" s="24" t="n">
        <f aca="false">'Clients &amp; revenue'!BF58</f>
        <v>275716512.20053</v>
      </c>
      <c r="BG10" s="24" t="n">
        <f aca="false">'Clients &amp; revenue'!BG58</f>
        <v>286227981.764253</v>
      </c>
      <c r="BH10" s="24" t="n">
        <f aca="false">'Clients &amp; revenue'!BH58</f>
        <v>296987099.86234</v>
      </c>
      <c r="BI10" s="24" t="n">
        <f aca="false">'Clients &amp; revenue'!BI58</f>
        <v>307969930.762423</v>
      </c>
      <c r="BJ10" s="24" t="n">
        <f aca="false">'Clients &amp; revenue'!BJ58</f>
        <v>319207299.219178</v>
      </c>
      <c r="BK10" s="24" t="n">
        <f aca="false">'Clients &amp; revenue'!BK58</f>
        <v>330374445.576196</v>
      </c>
      <c r="BL10" s="24" t="n">
        <f aca="false">'Clients &amp; revenue'!BL58</f>
        <v>341682773.060727</v>
      </c>
    </row>
    <row r="11" customFormat="false" ht="15" hidden="false" customHeight="true" outlineLevel="0" collapsed="false">
      <c r="A11" s="13" t="s">
        <v>1324</v>
      </c>
      <c r="B11" s="15" t="s">
        <v>77</v>
      </c>
      <c r="D11" s="56" t="n">
        <f aca="false">SUM(E11:BL11)</f>
        <v>0</v>
      </c>
      <c r="E11" s="24" t="n">
        <f aca="false">'Clients &amp; revenue'!E59</f>
        <v>0</v>
      </c>
      <c r="F11" s="24" t="n">
        <f aca="false">'Clients &amp; revenue'!F59</f>
        <v>0</v>
      </c>
      <c r="G11" s="24" t="n">
        <f aca="false">'Clients &amp; revenue'!G59</f>
        <v>0</v>
      </c>
      <c r="H11" s="24" t="n">
        <f aca="false">'Clients &amp; revenue'!H59</f>
        <v>0</v>
      </c>
      <c r="I11" s="24" t="n">
        <f aca="false">'Clients &amp; revenue'!I59</f>
        <v>0</v>
      </c>
      <c r="J11" s="24" t="n">
        <f aca="false">'Clients &amp; revenue'!J59</f>
        <v>0</v>
      </c>
      <c r="K11" s="24" t="n">
        <f aca="false">'Clients &amp; revenue'!K59</f>
        <v>0</v>
      </c>
      <c r="L11" s="24" t="n">
        <f aca="false">'Clients &amp; revenue'!L59</f>
        <v>0</v>
      </c>
      <c r="M11" s="24" t="n">
        <f aca="false">'Clients &amp; revenue'!M59</f>
        <v>0</v>
      </c>
      <c r="N11" s="24" t="n">
        <f aca="false">'Clients &amp; revenue'!N59</f>
        <v>0</v>
      </c>
      <c r="O11" s="24" t="n">
        <f aca="false">'Clients &amp; revenue'!O59</f>
        <v>0</v>
      </c>
      <c r="P11" s="24" t="n">
        <f aca="false">'Clients &amp; revenue'!P59</f>
        <v>0</v>
      </c>
      <c r="Q11" s="24" t="n">
        <f aca="false">'Clients &amp; revenue'!Q59</f>
        <v>0</v>
      </c>
      <c r="R11" s="24" t="n">
        <f aca="false">'Clients &amp; revenue'!R59</f>
        <v>0</v>
      </c>
      <c r="S11" s="24" t="n">
        <f aca="false">'Clients &amp; revenue'!S59</f>
        <v>0</v>
      </c>
      <c r="T11" s="24" t="n">
        <f aca="false">'Clients &amp; revenue'!T59</f>
        <v>0</v>
      </c>
      <c r="U11" s="24" t="n">
        <f aca="false">'Clients &amp; revenue'!U59</f>
        <v>0</v>
      </c>
      <c r="V11" s="24" t="n">
        <f aca="false">'Clients &amp; revenue'!V59</f>
        <v>0</v>
      </c>
      <c r="W11" s="24" t="n">
        <f aca="false">'Clients &amp; revenue'!W59</f>
        <v>0</v>
      </c>
      <c r="X11" s="24" t="n">
        <f aca="false">'Clients &amp; revenue'!X59</f>
        <v>0</v>
      </c>
      <c r="Y11" s="24" t="n">
        <f aca="false">'Clients &amp; revenue'!Y59</f>
        <v>0</v>
      </c>
      <c r="Z11" s="24" t="n">
        <f aca="false">'Clients &amp; revenue'!Z59</f>
        <v>0</v>
      </c>
      <c r="AA11" s="24" t="n">
        <f aca="false">'Clients &amp; revenue'!AA59</f>
        <v>0</v>
      </c>
      <c r="AB11" s="24" t="n">
        <f aca="false">'Clients &amp; revenue'!AB59</f>
        <v>0</v>
      </c>
      <c r="AC11" s="24" t="n">
        <f aca="false">'Clients &amp; revenue'!AC59</f>
        <v>0</v>
      </c>
      <c r="AD11" s="24" t="n">
        <f aca="false">'Clients &amp; revenue'!AD59</f>
        <v>0</v>
      </c>
      <c r="AE11" s="24" t="n">
        <f aca="false">'Clients &amp; revenue'!AE59</f>
        <v>0</v>
      </c>
      <c r="AF11" s="24" t="n">
        <f aca="false">'Clients &amp; revenue'!AF59</f>
        <v>0</v>
      </c>
      <c r="AG11" s="24" t="n">
        <f aca="false">'Clients &amp; revenue'!AG59</f>
        <v>0</v>
      </c>
      <c r="AH11" s="24" t="n">
        <f aca="false">'Clients &amp; revenue'!AH59</f>
        <v>0</v>
      </c>
      <c r="AI11" s="24" t="n">
        <f aca="false">'Clients &amp; revenue'!AI59</f>
        <v>0</v>
      </c>
      <c r="AJ11" s="24" t="n">
        <f aca="false">'Clients &amp; revenue'!AJ59</f>
        <v>0</v>
      </c>
      <c r="AK11" s="24" t="n">
        <f aca="false">'Clients &amp; revenue'!AK59</f>
        <v>0</v>
      </c>
      <c r="AL11" s="24" t="n">
        <f aca="false">'Clients &amp; revenue'!AL59</f>
        <v>0</v>
      </c>
      <c r="AM11" s="24" t="n">
        <f aca="false">'Clients &amp; revenue'!AM59</f>
        <v>0</v>
      </c>
      <c r="AN11" s="24" t="n">
        <f aca="false">'Clients &amp; revenue'!AN59</f>
        <v>0</v>
      </c>
      <c r="AO11" s="24" t="n">
        <f aca="false">'Clients &amp; revenue'!AO59</f>
        <v>0</v>
      </c>
      <c r="AP11" s="24" t="n">
        <f aca="false">'Clients &amp; revenue'!AP59</f>
        <v>0</v>
      </c>
      <c r="AQ11" s="24" t="n">
        <f aca="false">'Clients &amp; revenue'!AQ59</f>
        <v>0</v>
      </c>
      <c r="AR11" s="24" t="n">
        <f aca="false">'Clients &amp; revenue'!AR59</f>
        <v>0</v>
      </c>
      <c r="AS11" s="24" t="n">
        <f aca="false">'Clients &amp; revenue'!AS59</f>
        <v>0</v>
      </c>
      <c r="AT11" s="24" t="n">
        <f aca="false">'Clients &amp; revenue'!AT59</f>
        <v>0</v>
      </c>
      <c r="AU11" s="24" t="n">
        <f aca="false">'Clients &amp; revenue'!AU59</f>
        <v>0</v>
      </c>
      <c r="AV11" s="24" t="n">
        <f aca="false">'Clients &amp; revenue'!AV59</f>
        <v>0</v>
      </c>
      <c r="AW11" s="24" t="n">
        <f aca="false">'Clients &amp; revenue'!AW59</f>
        <v>0</v>
      </c>
      <c r="AX11" s="24" t="n">
        <f aca="false">'Clients &amp; revenue'!AX59</f>
        <v>0</v>
      </c>
      <c r="AY11" s="24" t="n">
        <f aca="false">'Clients &amp; revenue'!AY59</f>
        <v>0</v>
      </c>
      <c r="AZ11" s="24" t="n">
        <f aca="false">'Clients &amp; revenue'!AZ59</f>
        <v>0</v>
      </c>
      <c r="BA11" s="24" t="n">
        <f aca="false">'Clients &amp; revenue'!BA59</f>
        <v>0</v>
      </c>
      <c r="BB11" s="24" t="n">
        <f aca="false">'Clients &amp; revenue'!BB59</f>
        <v>0</v>
      </c>
      <c r="BC11" s="24" t="n">
        <f aca="false">'Clients &amp; revenue'!BC59</f>
        <v>0</v>
      </c>
      <c r="BD11" s="24" t="n">
        <f aca="false">'Clients &amp; revenue'!BD59</f>
        <v>0</v>
      </c>
      <c r="BE11" s="24" t="n">
        <f aca="false">'Clients &amp; revenue'!BE59</f>
        <v>0</v>
      </c>
      <c r="BF11" s="24" t="n">
        <f aca="false">'Clients &amp; revenue'!BF59</f>
        <v>0</v>
      </c>
      <c r="BG11" s="24" t="n">
        <f aca="false">'Clients &amp; revenue'!BG59</f>
        <v>0</v>
      </c>
      <c r="BH11" s="24" t="n">
        <f aca="false">'Clients &amp; revenue'!BH59</f>
        <v>0</v>
      </c>
      <c r="BI11" s="24" t="n">
        <f aca="false">'Clients &amp; revenue'!BI59</f>
        <v>0</v>
      </c>
      <c r="BJ11" s="24" t="n">
        <f aca="false">'Clients &amp; revenue'!BJ59</f>
        <v>0</v>
      </c>
      <c r="BK11" s="24" t="n">
        <f aca="false">'Clients &amp; revenue'!BK59</f>
        <v>0</v>
      </c>
      <c r="BL11" s="24" t="n">
        <f aca="false">'Clients &amp; revenue'!BL59</f>
        <v>0</v>
      </c>
    </row>
    <row r="12" customFormat="false" ht="15" hidden="false" customHeight="true" outlineLevel="0" collapsed="false">
      <c r="A12" s="13" t="s">
        <v>1325</v>
      </c>
      <c r="B12" s="15" t="s">
        <v>77</v>
      </c>
      <c r="D12" s="56" t="n">
        <f aca="false">SUM(E12:BL12)</f>
        <v>0</v>
      </c>
      <c r="E12" s="24" t="n">
        <f aca="false">'Clients &amp; revenue'!E60</f>
        <v>0</v>
      </c>
      <c r="F12" s="24" t="n">
        <f aca="false">'Clients &amp; revenue'!F60</f>
        <v>0</v>
      </c>
      <c r="G12" s="24" t="n">
        <f aca="false">'Clients &amp; revenue'!G60</f>
        <v>0</v>
      </c>
      <c r="H12" s="24" t="n">
        <f aca="false">'Clients &amp; revenue'!H60</f>
        <v>0</v>
      </c>
      <c r="I12" s="24" t="n">
        <f aca="false">'Clients &amp; revenue'!I60</f>
        <v>0</v>
      </c>
      <c r="J12" s="24" t="n">
        <f aca="false">'Clients &amp; revenue'!J60</f>
        <v>0</v>
      </c>
      <c r="K12" s="24" t="n">
        <f aca="false">'Clients &amp; revenue'!K60</f>
        <v>0</v>
      </c>
      <c r="L12" s="24" t="n">
        <f aca="false">'Clients &amp; revenue'!L60</f>
        <v>0</v>
      </c>
      <c r="M12" s="24" t="n">
        <f aca="false">'Clients &amp; revenue'!M60</f>
        <v>0</v>
      </c>
      <c r="N12" s="24" t="n">
        <f aca="false">'Clients &amp; revenue'!N60</f>
        <v>0</v>
      </c>
      <c r="O12" s="24" t="n">
        <f aca="false">'Clients &amp; revenue'!O60</f>
        <v>0</v>
      </c>
      <c r="P12" s="24" t="n">
        <f aca="false">'Clients &amp; revenue'!P60</f>
        <v>0</v>
      </c>
      <c r="Q12" s="24" t="n">
        <f aca="false">'Clients &amp; revenue'!Q60</f>
        <v>0</v>
      </c>
      <c r="R12" s="24" t="n">
        <f aca="false">'Clients &amp; revenue'!R60</f>
        <v>0</v>
      </c>
      <c r="S12" s="24" t="n">
        <f aca="false">'Clients &amp; revenue'!S60</f>
        <v>0</v>
      </c>
      <c r="T12" s="24" t="n">
        <f aca="false">'Clients &amp; revenue'!T60</f>
        <v>0</v>
      </c>
      <c r="U12" s="24" t="n">
        <f aca="false">'Clients &amp; revenue'!U60</f>
        <v>0</v>
      </c>
      <c r="V12" s="24" t="n">
        <f aca="false">'Clients &amp; revenue'!V60</f>
        <v>0</v>
      </c>
      <c r="W12" s="24" t="n">
        <f aca="false">'Clients &amp; revenue'!W60</f>
        <v>0</v>
      </c>
      <c r="X12" s="24" t="n">
        <f aca="false">'Clients &amp; revenue'!X60</f>
        <v>0</v>
      </c>
      <c r="Y12" s="24" t="n">
        <f aca="false">'Clients &amp; revenue'!Y60</f>
        <v>0</v>
      </c>
      <c r="Z12" s="24" t="n">
        <f aca="false">'Clients &amp; revenue'!Z60</f>
        <v>0</v>
      </c>
      <c r="AA12" s="24" t="n">
        <f aca="false">'Clients &amp; revenue'!AA60</f>
        <v>0</v>
      </c>
      <c r="AB12" s="24" t="n">
        <f aca="false">'Clients &amp; revenue'!AB60</f>
        <v>0</v>
      </c>
      <c r="AC12" s="24" t="n">
        <f aca="false">'Clients &amp; revenue'!AC60</f>
        <v>0</v>
      </c>
      <c r="AD12" s="24" t="n">
        <f aca="false">'Clients &amp; revenue'!AD60</f>
        <v>0</v>
      </c>
      <c r="AE12" s="24" t="n">
        <f aca="false">'Clients &amp; revenue'!AE60</f>
        <v>0</v>
      </c>
      <c r="AF12" s="24" t="n">
        <f aca="false">'Clients &amp; revenue'!AF60</f>
        <v>0</v>
      </c>
      <c r="AG12" s="24" t="n">
        <f aca="false">'Clients &amp; revenue'!AG60</f>
        <v>0</v>
      </c>
      <c r="AH12" s="24" t="n">
        <f aca="false">'Clients &amp; revenue'!AH60</f>
        <v>0</v>
      </c>
      <c r="AI12" s="24" t="n">
        <f aca="false">'Clients &amp; revenue'!AI60</f>
        <v>0</v>
      </c>
      <c r="AJ12" s="24" t="n">
        <f aca="false">'Clients &amp; revenue'!AJ60</f>
        <v>0</v>
      </c>
      <c r="AK12" s="24" t="n">
        <f aca="false">'Clients &amp; revenue'!AK60</f>
        <v>0</v>
      </c>
      <c r="AL12" s="24" t="n">
        <f aca="false">'Clients &amp; revenue'!AL60</f>
        <v>0</v>
      </c>
      <c r="AM12" s="24" t="n">
        <f aca="false">'Clients &amp; revenue'!AM60</f>
        <v>0</v>
      </c>
      <c r="AN12" s="24" t="n">
        <f aca="false">'Clients &amp; revenue'!AN60</f>
        <v>0</v>
      </c>
      <c r="AO12" s="24" t="n">
        <f aca="false">'Clients &amp; revenue'!AO60</f>
        <v>0</v>
      </c>
      <c r="AP12" s="24" t="n">
        <f aca="false">'Clients &amp; revenue'!AP60</f>
        <v>0</v>
      </c>
      <c r="AQ12" s="24" t="n">
        <f aca="false">'Clients &amp; revenue'!AQ60</f>
        <v>0</v>
      </c>
      <c r="AR12" s="24" t="n">
        <f aca="false">'Clients &amp; revenue'!AR60</f>
        <v>0</v>
      </c>
      <c r="AS12" s="24" t="n">
        <f aca="false">'Clients &amp; revenue'!AS60</f>
        <v>0</v>
      </c>
      <c r="AT12" s="24" t="n">
        <f aca="false">'Clients &amp; revenue'!AT60</f>
        <v>0</v>
      </c>
      <c r="AU12" s="24" t="n">
        <f aca="false">'Clients &amp; revenue'!AU60</f>
        <v>0</v>
      </c>
      <c r="AV12" s="24" t="n">
        <f aca="false">'Clients &amp; revenue'!AV60</f>
        <v>0</v>
      </c>
      <c r="AW12" s="24" t="n">
        <f aca="false">'Clients &amp; revenue'!AW60</f>
        <v>0</v>
      </c>
      <c r="AX12" s="24" t="n">
        <f aca="false">'Clients &amp; revenue'!AX60</f>
        <v>0</v>
      </c>
      <c r="AY12" s="24" t="n">
        <f aca="false">'Clients &amp; revenue'!AY60</f>
        <v>0</v>
      </c>
      <c r="AZ12" s="24" t="n">
        <f aca="false">'Clients &amp; revenue'!AZ60</f>
        <v>0</v>
      </c>
      <c r="BA12" s="24" t="n">
        <f aca="false">'Clients &amp; revenue'!BA60</f>
        <v>0</v>
      </c>
      <c r="BB12" s="24" t="n">
        <f aca="false">'Clients &amp; revenue'!BB60</f>
        <v>0</v>
      </c>
      <c r="BC12" s="24" t="n">
        <f aca="false">'Clients &amp; revenue'!BC60</f>
        <v>0</v>
      </c>
      <c r="BD12" s="24" t="n">
        <f aca="false">'Clients &amp; revenue'!BD60</f>
        <v>0</v>
      </c>
      <c r="BE12" s="24" t="n">
        <f aca="false">'Clients &amp; revenue'!BE60</f>
        <v>0</v>
      </c>
      <c r="BF12" s="24" t="n">
        <f aca="false">'Clients &amp; revenue'!BF60</f>
        <v>0</v>
      </c>
      <c r="BG12" s="24" t="n">
        <f aca="false">'Clients &amp; revenue'!BG60</f>
        <v>0</v>
      </c>
      <c r="BH12" s="24" t="n">
        <f aca="false">'Clients &amp; revenue'!BH60</f>
        <v>0</v>
      </c>
      <c r="BI12" s="24" t="n">
        <f aca="false">'Clients &amp; revenue'!BI60</f>
        <v>0</v>
      </c>
      <c r="BJ12" s="24" t="n">
        <f aca="false">'Clients &amp; revenue'!BJ60</f>
        <v>0</v>
      </c>
      <c r="BK12" s="24" t="n">
        <f aca="false">'Clients &amp; revenue'!BK60</f>
        <v>0</v>
      </c>
      <c r="BL12" s="24" t="n">
        <f aca="false">'Clients &amp; revenue'!BL60</f>
        <v>0</v>
      </c>
    </row>
    <row r="13" customFormat="false" ht="15" hidden="false" customHeight="true" outlineLevel="0" collapsed="false">
      <c r="A13" s="13" t="s">
        <v>1326</v>
      </c>
      <c r="B13" s="15" t="s">
        <v>77</v>
      </c>
      <c r="D13" s="56" t="n">
        <f aca="false">SUM(E13:BL13)</f>
        <v>16081521.1075949</v>
      </c>
      <c r="E13" s="24" t="n">
        <f aca="false">'Clients &amp; revenue'!E61</f>
        <v>0</v>
      </c>
      <c r="F13" s="24" t="n">
        <f aca="false">'Clients &amp; revenue'!F61</f>
        <v>0</v>
      </c>
      <c r="G13" s="24" t="n">
        <f aca="false">'Clients &amp; revenue'!G61</f>
        <v>0</v>
      </c>
      <c r="H13" s="24" t="n">
        <f aca="false">'Clients &amp; revenue'!H61</f>
        <v>0</v>
      </c>
      <c r="I13" s="24" t="n">
        <f aca="false">'Clients &amp; revenue'!I61</f>
        <v>64306.6666666667</v>
      </c>
      <c r="J13" s="24" t="n">
        <f aca="false">'Clients &amp; revenue'!J61</f>
        <v>64930.6666666667</v>
      </c>
      <c r="K13" s="24" t="n">
        <f aca="false">'Clients &amp; revenue'!K61</f>
        <v>65592.1066666667</v>
      </c>
      <c r="L13" s="24" t="n">
        <f aca="false">'Clients &amp; revenue'!L61</f>
        <v>66293.2330666667</v>
      </c>
      <c r="M13" s="24" t="n">
        <f aca="false">'Clients &amp; revenue'!M61</f>
        <v>67036.4270506667</v>
      </c>
      <c r="N13" s="24" t="n">
        <f aca="false">'Clients &amp; revenue'!N61</f>
        <v>67824.2126737067</v>
      </c>
      <c r="O13" s="24" t="n">
        <f aca="false">'Clients &amp; revenue'!O61</f>
        <v>68659.2654341291</v>
      </c>
      <c r="P13" s="24" t="n">
        <f aca="false">'Clients &amp; revenue'!P61</f>
        <v>69544.4213601768</v>
      </c>
      <c r="Q13" s="24" t="n">
        <f aca="false">'Clients &amp; revenue'!Q61</f>
        <v>93189.3533084541</v>
      </c>
      <c r="R13" s="24" t="n">
        <f aca="false">'Clients &amp; revenue'!R61</f>
        <v>94183.9145069613</v>
      </c>
      <c r="S13" s="24" t="n">
        <f aca="false">'Clients &amp; revenue'!S61</f>
        <v>95238.149377379</v>
      </c>
      <c r="T13" s="24" t="n">
        <f aca="false">'Clients &amp; revenue'!T61</f>
        <v>96355.6383400218</v>
      </c>
      <c r="U13" s="24" t="n">
        <f aca="false">'Clients &amp; revenue'!U61</f>
        <v>97540.1766404231</v>
      </c>
      <c r="V13" s="24" t="n">
        <f aca="false">'Clients &amp; revenue'!V61</f>
        <v>98795.7872388484</v>
      </c>
      <c r="W13" s="24" t="n">
        <f aca="false">'Clients &amp; revenue'!W61</f>
        <v>149353.401139846</v>
      </c>
      <c r="X13" s="24" t="n">
        <f aca="false">'Clients &amp; revenue'!X61</f>
        <v>151232.205208237</v>
      </c>
      <c r="Y13" s="24" t="n">
        <f aca="false">'Clients &amp; revenue'!Y61</f>
        <v>163623.737520731</v>
      </c>
      <c r="Z13" s="24" t="n">
        <f aca="false">'Clients &amp; revenue'!Z61</f>
        <v>165734.761771975</v>
      </c>
      <c r="AA13" s="24" t="n">
        <f aca="false">'Clients &amp; revenue'!AA61</f>
        <v>167972.447478293</v>
      </c>
      <c r="AB13" s="24" t="n">
        <f aca="false">'Clients &amp; revenue'!AB61</f>
        <v>170344.394326991</v>
      </c>
      <c r="AC13" s="24" t="n">
        <f aca="false">'Clients &amp; revenue'!AC61</f>
        <v>218445.324653277</v>
      </c>
      <c r="AD13" s="24" t="n">
        <f aca="false">'Clients &amp; revenue'!AD61</f>
        <v>221110.444132474</v>
      </c>
      <c r="AE13" s="24" t="n">
        <f aca="false">'Clients &amp; revenue'!AE61</f>
        <v>234335.470780422</v>
      </c>
      <c r="AF13" s="24" t="n">
        <f aca="false">'Clients &amp; revenue'!AF61</f>
        <v>237329.999027247</v>
      </c>
      <c r="AG13" s="24" t="n">
        <f aca="false">'Clients &amp; revenue'!AG61</f>
        <v>240504.198968882</v>
      </c>
      <c r="AH13" s="24" t="n">
        <f aca="false">'Clients &amp; revenue'!AH61</f>
        <v>243868.850907015</v>
      </c>
      <c r="AI13" s="24" t="n">
        <f aca="false">'Clients &amp; revenue'!AI61</f>
        <v>257835.381961436</v>
      </c>
      <c r="AJ13" s="24" t="n">
        <f aca="false">'Clients &amp; revenue'!AJ61</f>
        <v>261615.904879122</v>
      </c>
      <c r="AK13" s="24" t="n">
        <f aca="false">'Clients &amp; revenue'!AK61</f>
        <v>265623.25917187</v>
      </c>
      <c r="AL13" s="24" t="n">
        <f aca="false">'Clients &amp; revenue'!AL61</f>
        <v>269871.054722182</v>
      </c>
      <c r="AM13" s="24" t="n">
        <f aca="false">'Clients &amp; revenue'!AM61</f>
        <v>284773.718005513</v>
      </c>
      <c r="AN13" s="24" t="n">
        <f aca="false">'Clients &amp; revenue'!AN61</f>
        <v>289546.541085844</v>
      </c>
      <c r="AO13" s="24" t="n">
        <f aca="false">'Clients &amp; revenue'!AO61</f>
        <v>326672.400217661</v>
      </c>
      <c r="AP13" s="24" t="n">
        <f aca="false">'Clients &amp; revenue'!AP61</f>
        <v>342435.144230721</v>
      </c>
      <c r="AQ13" s="24" t="n">
        <f aca="false">'Clients &amp; revenue'!AQ61</f>
        <v>348119.652884564</v>
      </c>
      <c r="AR13" s="24" t="n">
        <f aca="false">'Clients &amp; revenue'!AR61</f>
        <v>354145.232057638</v>
      </c>
      <c r="AS13" s="24" t="n">
        <f aca="false">'Clients &amp; revenue'!AS61</f>
        <v>370932.345981096</v>
      </c>
      <c r="AT13" s="24" t="n">
        <f aca="false">'Clients &amp; revenue'!AT61</f>
        <v>377702.686739962</v>
      </c>
      <c r="AU13" s="24" t="n">
        <f aca="false">'Clients &amp; revenue'!AU61</f>
        <v>384879.247944359</v>
      </c>
      <c r="AV13" s="24" t="n">
        <f aca="false">'Clients &amp; revenue'!AV61</f>
        <v>412246.402821021</v>
      </c>
      <c r="AW13" s="24" t="n">
        <f aca="false">'Clients &amp; revenue'!AW61</f>
        <v>417338.520444173</v>
      </c>
      <c r="AX13" s="24" t="n">
        <f aca="false">'Clients &amp; revenue'!AX61</f>
        <v>429867.631670823</v>
      </c>
      <c r="AY13" s="24" t="n">
        <f aca="false">'Clients &amp; revenue'!AY61</f>
        <v>432124.489571072</v>
      </c>
      <c r="AZ13" s="24" t="n">
        <f aca="false">'Clients &amp; revenue'!AZ61</f>
        <v>434516.758945337</v>
      </c>
      <c r="BA13" s="24" t="n">
        <f aca="false">'Clients &amp; revenue'!BA61</f>
        <v>479692.564482057</v>
      </c>
      <c r="BB13" s="24" t="n">
        <f aca="false">'Clients &amp; revenue'!BB61</f>
        <v>482380.51835098</v>
      </c>
      <c r="BC13" s="24" t="n">
        <f aca="false">'Clients &amp; revenue'!BC61</f>
        <v>495629.749452039</v>
      </c>
      <c r="BD13" s="24" t="n">
        <f aca="false">'Clients &amp; revenue'!BD61</f>
        <v>498649.934419161</v>
      </c>
      <c r="BE13" s="24" t="n">
        <f aca="false">'Clients &amp; revenue'!BE61</f>
        <v>511211.330484311</v>
      </c>
      <c r="BF13" s="24" t="n">
        <f aca="false">'Clients &amp; revenue'!BF61</f>
        <v>525004.81031337</v>
      </c>
      <c r="BG13" s="24" t="n">
        <f aca="false">'Clients &amp; revenue'!BG61</f>
        <v>528601.898932172</v>
      </c>
      <c r="BH13" s="24" t="n">
        <f aca="false">'Clients &amp; revenue'!BH61</f>
        <v>542814.812868102</v>
      </c>
      <c r="BI13" s="24" t="n">
        <f aca="false">'Clients &amp; revenue'!BI61</f>
        <v>556216.501640188</v>
      </c>
      <c r="BJ13" s="24" t="n">
        <f aca="false">'Clients &amp; revenue'!BJ61</f>
        <v>570900.6917386</v>
      </c>
      <c r="BK13" s="24" t="n">
        <f aca="false">'Clients &amp; revenue'!BK61</f>
        <v>573213.333333333</v>
      </c>
      <c r="BL13" s="24" t="n">
        <f aca="false">'Clients &amp; revenue'!BL61</f>
        <v>583613.333333333</v>
      </c>
    </row>
    <row r="14" customFormat="false" ht="15" hidden="false" customHeight="true" outlineLevel="0" collapsed="false">
      <c r="A14" s="13" t="s">
        <v>990</v>
      </c>
      <c r="B14" s="15" t="s">
        <v>77</v>
      </c>
      <c r="D14" s="56" t="n">
        <f aca="false">SUM(E14:BL14)</f>
        <v>136162983.368738</v>
      </c>
      <c r="E14" s="24" t="n">
        <f aca="false">'Clients &amp; revenue'!E62</f>
        <v>0</v>
      </c>
      <c r="F14" s="24" t="n">
        <f aca="false">'Clients &amp; revenue'!F62</f>
        <v>0</v>
      </c>
      <c r="G14" s="24" t="n">
        <f aca="false">'Clients &amp; revenue'!G62</f>
        <v>0</v>
      </c>
      <c r="H14" s="24" t="n">
        <f aca="false">'Clients &amp; revenue'!H62</f>
        <v>0</v>
      </c>
      <c r="I14" s="24" t="n">
        <f aca="false">'Clients &amp; revenue'!I62</f>
        <v>33390</v>
      </c>
      <c r="J14" s="24" t="n">
        <f aca="false">'Clients &amp; revenue'!J62</f>
        <v>66693.303</v>
      </c>
      <c r="K14" s="24" t="n">
        <f aca="false">'Clients &amp; revenue'!K62</f>
        <v>99931.1987025</v>
      </c>
      <c r="L14" s="24" t="n">
        <f aca="false">'Clients &amp; revenue'!L62</f>
        <v>133125.867496294</v>
      </c>
      <c r="M14" s="24" t="n">
        <f aca="false">'Clients &amp; revenue'!M62</f>
        <v>166300.440204223</v>
      </c>
      <c r="N14" s="24" t="n">
        <f aca="false">'Clients &amp; revenue'!N62</f>
        <v>199479.061304795</v>
      </c>
      <c r="O14" s="24" t="n">
        <f aca="false">'Clients &amp; revenue'!O62</f>
        <v>232686.955838141</v>
      </c>
      <c r="P14" s="24" t="n">
        <f aca="false">'Clients &amp; revenue'!P62</f>
        <v>265950.500219396</v>
      </c>
      <c r="Q14" s="24" t="n">
        <f aca="false">'Clients &amp; revenue'!Q62</f>
        <v>311087.297195916</v>
      </c>
      <c r="R14" s="24" t="n">
        <f aca="false">'Clients &amp; revenue'!R62</f>
        <v>356191.238198892</v>
      </c>
      <c r="S14" s="24" t="n">
        <f aca="false">'Clients &amp; revenue'!S62</f>
        <v>401294.681657439</v>
      </c>
      <c r="T14" s="24" t="n">
        <f aca="false">'Clients &amp; revenue'!T62</f>
        <v>446431.431732902</v>
      </c>
      <c r="U14" s="24" t="n">
        <f aca="false">'Clients &amp; revenue'!U62</f>
        <v>491636.833082893</v>
      </c>
      <c r="V14" s="24" t="n">
        <f aca="false">'Clients &amp; revenue'!V62</f>
        <v>536947.871170783</v>
      </c>
      <c r="W14" s="24" t="n">
        <f aca="false">'Clients &amp; revenue'!W62</f>
        <v>607963.27845597</v>
      </c>
      <c r="X14" s="24" t="n">
        <f aca="false">'Clients &amp; revenue'!X62</f>
        <v>679092.258820297</v>
      </c>
      <c r="Y14" s="24" t="n">
        <f aca="false">'Clients &amp; revenue'!Y62</f>
        <v>755793.440317274</v>
      </c>
      <c r="Z14" s="24" t="n">
        <f aca="false">'Clients &amp; revenue'!Z62</f>
        <v>832661.802083252</v>
      </c>
      <c r="AA14" s="24" t="n">
        <f aca="false">'Clients &amp; revenue'!AA62</f>
        <v>909762.636309693</v>
      </c>
      <c r="AB14" s="24" t="n">
        <f aca="false">'Clients &amp; revenue'!AB62</f>
        <v>987164.35832784</v>
      </c>
      <c r="AC14" s="24" t="n">
        <f aca="false">'Clients &amp; revenue'!AC62</f>
        <v>1088608.70680289</v>
      </c>
      <c r="AD14" s="24" t="n">
        <f aca="false">'Clients &amp; revenue'!AD62</f>
        <v>1190209.8147162</v>
      </c>
      <c r="AE14" s="24" t="n">
        <f aca="false">'Clients &amp; revenue'!AE62</f>
        <v>1297450.85217943</v>
      </c>
      <c r="AF14" s="24" t="n">
        <f aca="false">'Clients &amp; revenue'!AF62</f>
        <v>1404952.50075338</v>
      </c>
      <c r="AG14" s="24" t="n">
        <f aca="false">'Clients &amp; revenue'!AG62</f>
        <v>1512806.99003264</v>
      </c>
      <c r="AH14" s="24" t="n">
        <f aca="false">'Clients &amp; revenue'!AH62</f>
        <v>1621110.98673259</v>
      </c>
      <c r="AI14" s="24" t="n">
        <f aca="false">'Clients &amp; revenue'!AI62</f>
        <v>1735365.87854107</v>
      </c>
      <c r="AJ14" s="24" t="n">
        <f aca="false">'Clients &amp; revenue'!AJ62</f>
        <v>1850211.65469405</v>
      </c>
      <c r="AK14" s="24" t="n">
        <f aca="false">'Clients &amp; revenue'!AK62</f>
        <v>1965761.00793433</v>
      </c>
      <c r="AL14" s="24" t="n">
        <f aca="false">'Clients &amp; revenue'!AL62</f>
        <v>2082132.29289663</v>
      </c>
      <c r="AM14" s="24" t="n">
        <f aca="false">'Clients &amp; revenue'!AM62</f>
        <v>2204849.88341679</v>
      </c>
      <c r="AN14" s="24" t="n">
        <f aca="false">'Clients &amp; revenue'!AN62</f>
        <v>2328578.13097365</v>
      </c>
      <c r="AO14" s="24" t="n">
        <f aca="false">'Clients &amp; revenue'!AO62</f>
        <v>2470105.54918746</v>
      </c>
      <c r="AP14" s="24" t="n">
        <f aca="false">'Clients &amp; revenue'!AP62</f>
        <v>2618123.0646985</v>
      </c>
      <c r="AQ14" s="24" t="n">
        <f aca="false">'Clients &amp; revenue'!AQ62</f>
        <v>2767320.54680797</v>
      </c>
      <c r="AR14" s="24" t="n">
        <f aca="false">'Clients &amp; revenue'!AR62</f>
        <v>2917863.31680808</v>
      </c>
      <c r="AS14" s="24" t="n">
        <f aca="false">'Clients &amp; revenue'!AS62</f>
        <v>3075325.27512124</v>
      </c>
      <c r="AT14" s="24" t="n">
        <f aca="false">'Clients &amp; revenue'!AT62</f>
        <v>3234423.01742242</v>
      </c>
      <c r="AU14" s="24" t="n">
        <f aca="false">'Clients &amp; revenue'!AU62</f>
        <v>3395350.18620835</v>
      </c>
      <c r="AV14" s="24" t="n">
        <f aca="false">'Clients &amp; revenue'!AV62</f>
        <v>3568570.69370197</v>
      </c>
      <c r="AW14" s="24" t="n">
        <f aca="false">'Clients &amp; revenue'!AW62</f>
        <v>3742370.28462499</v>
      </c>
      <c r="AX14" s="24" t="n">
        <f aca="false">'Clients &amp; revenue'!AX62</f>
        <v>3920606.436008</v>
      </c>
      <c r="AY14" s="24" t="n">
        <f aca="false">'Clients &amp; revenue'!AY62</f>
        <v>4097893.95983749</v>
      </c>
      <c r="AZ14" s="24" t="n">
        <f aca="false">'Clients &amp; revenue'!AZ62</f>
        <v>4274317.94455658</v>
      </c>
      <c r="BA14" s="24" t="n">
        <f aca="false">'Clients &amp; revenue'!BA62</f>
        <v>4472106.58226053</v>
      </c>
      <c r="BB14" s="24" t="n">
        <f aca="false">'Clients &amp; revenue'!BB62</f>
        <v>4668939.06469681</v>
      </c>
      <c r="BC14" s="24" t="n">
        <f aca="false">'Clients &amp; revenue'!BC62</f>
        <v>4870314.32676093</v>
      </c>
      <c r="BD14" s="24" t="n">
        <f aca="false">'Clients &amp; revenue'!BD62</f>
        <v>5070868.61754288</v>
      </c>
      <c r="BE14" s="24" t="n">
        <f aca="false">'Clients &amp; revenue'!BE62</f>
        <v>5275569.54297363</v>
      </c>
      <c r="BF14" s="24" t="n">
        <f aca="false">'Clients &amp; revenue'!BF62</f>
        <v>5485009.18303148</v>
      </c>
      <c r="BG14" s="24" t="n">
        <f aca="false">'Clients &amp; revenue'!BG62</f>
        <v>5693838.36706467</v>
      </c>
      <c r="BH14" s="24" t="n">
        <f aca="false">'Clients &amp; revenue'!BH62</f>
        <v>5907580.12342524</v>
      </c>
      <c r="BI14" s="24" t="n">
        <f aca="false">'Clients &amp; revenue'!BI62</f>
        <v>6125756.20563476</v>
      </c>
      <c r="BJ14" s="24" t="n">
        <f aca="false">'Clients &amp; revenue'!BJ62</f>
        <v>6348981.44208234</v>
      </c>
      <c r="BK14" s="24" t="n">
        <f aca="false">'Clients &amp; revenue'!BK62</f>
        <v>6570773.5490204</v>
      </c>
      <c r="BL14" s="24" t="n">
        <f aca="false">'Clients &amp; revenue'!BL62</f>
        <v>6795352.93546895</v>
      </c>
    </row>
    <row r="15" customFormat="false" ht="15" hidden="false" customHeight="true" outlineLevel="0" collapsed="false">
      <c r="A15" s="13" t="s">
        <v>1258</v>
      </c>
      <c r="B15" s="15" t="s">
        <v>77</v>
      </c>
      <c r="D15" s="56" t="n">
        <f aca="false">SUM(E15:BL15)</f>
        <v>956796171.094988</v>
      </c>
      <c r="E15" s="24" t="n">
        <f aca="false">'Clients &amp; revenue'!E63</f>
        <v>0</v>
      </c>
      <c r="F15" s="24" t="n">
        <f aca="false">'Clients &amp; revenue'!F63</f>
        <v>0</v>
      </c>
      <c r="G15" s="24" t="n">
        <f aca="false">'Clients &amp; revenue'!G63</f>
        <v>0</v>
      </c>
      <c r="H15" s="24" t="n">
        <f aca="false">'Clients &amp; revenue'!H63</f>
        <v>0</v>
      </c>
      <c r="I15" s="24" t="n">
        <f aca="false">'Clients &amp; revenue'!I63</f>
        <v>0</v>
      </c>
      <c r="J15" s="24" t="n">
        <f aca="false">'Clients &amp; revenue'!J63</f>
        <v>0</v>
      </c>
      <c r="K15" s="24" t="n">
        <f aca="false">'Clients &amp; revenue'!K63</f>
        <v>0</v>
      </c>
      <c r="L15" s="24" t="n">
        <f aca="false">'Clients &amp; revenue'!L63</f>
        <v>0</v>
      </c>
      <c r="M15" s="24" t="n">
        <f aca="false">'Clients &amp; revenue'!M63</f>
        <v>0</v>
      </c>
      <c r="N15" s="24" t="n">
        <f aca="false">'Clients &amp; revenue'!N63</f>
        <v>0</v>
      </c>
      <c r="O15" s="24" t="n">
        <f aca="false">'Clients &amp; revenue'!O63</f>
        <v>0</v>
      </c>
      <c r="P15" s="24" t="n">
        <f aca="false">'Clients &amp; revenue'!P63</f>
        <v>0</v>
      </c>
      <c r="Q15" s="24" t="n">
        <f aca="false">'Clients &amp; revenue'!Q63</f>
        <v>0</v>
      </c>
      <c r="R15" s="24" t="n">
        <f aca="false">'Clients &amp; revenue'!R63</f>
        <v>0</v>
      </c>
      <c r="S15" s="24" t="n">
        <f aca="false">'Clients &amp; revenue'!S63</f>
        <v>0</v>
      </c>
      <c r="T15" s="24" t="n">
        <f aca="false">'Clients &amp; revenue'!T63</f>
        <v>0</v>
      </c>
      <c r="U15" s="24" t="n">
        <f aca="false">'Clients &amp; revenue'!U63</f>
        <v>0</v>
      </c>
      <c r="V15" s="24" t="n">
        <f aca="false">'Clients &amp; revenue'!V63</f>
        <v>332036.437518309</v>
      </c>
      <c r="W15" s="24" t="n">
        <f aca="false">'Clients &amp; revenue'!W63</f>
        <v>751944.033984571</v>
      </c>
      <c r="X15" s="24" t="n">
        <f aca="false">'Clients &amp; revenue'!X63</f>
        <v>1259978.15172081</v>
      </c>
      <c r="Y15" s="24" t="n">
        <f aca="false">'Clients &amp; revenue'!Y63</f>
        <v>1869865.94704</v>
      </c>
      <c r="Z15" s="24" t="n">
        <f aca="false">'Clients &amp; revenue'!Z63</f>
        <v>2575296.55942538</v>
      </c>
      <c r="AA15" s="24" t="n">
        <f aca="false">'Clients &amp; revenue'!AA63</f>
        <v>3376867.50959009</v>
      </c>
      <c r="AB15" s="24" t="n">
        <f aca="false">'Clients &amp; revenue'!AB63</f>
        <v>4275350.18103454</v>
      </c>
      <c r="AC15" s="24" t="n">
        <f aca="false">'Clients &amp; revenue'!AC63</f>
        <v>5388542.67837536</v>
      </c>
      <c r="AD15" s="24" t="n">
        <f aca="false">'Clients &amp; revenue'!AD63</f>
        <v>6628399.72465244</v>
      </c>
      <c r="AE15" s="24" t="n">
        <f aca="false">'Clients &amp; revenue'!AE63</f>
        <v>8029103.87569041</v>
      </c>
      <c r="AF15" s="24" t="n">
        <f aca="false">'Clients &amp; revenue'!AF63</f>
        <v>9564656.08246315</v>
      </c>
      <c r="AG15" s="24" t="n">
        <f aca="false">'Clients &amp; revenue'!AG63</f>
        <v>11236282.4691221</v>
      </c>
      <c r="AH15" s="24" t="n">
        <f aca="false">'Clients &amp; revenue'!AH63</f>
        <v>12041973.7315087</v>
      </c>
      <c r="AI15" s="24" t="n">
        <f aca="false">'Clients &amp; revenue'!AI63</f>
        <v>12891975.8384286</v>
      </c>
      <c r="AJ15" s="24" t="n">
        <f aca="false">'Clients &amp; revenue'!AJ63</f>
        <v>13746613.8136772</v>
      </c>
      <c r="AK15" s="24" t="n">
        <f aca="false">'Clients &amp; revenue'!AK63</f>
        <v>14606719.3839512</v>
      </c>
      <c r="AL15" s="24" t="n">
        <f aca="false">'Clients &amp; revenue'!AL63</f>
        <v>15473166.5701098</v>
      </c>
      <c r="AM15" s="24" t="n">
        <f aca="false">'Clients &amp; revenue'!AM63</f>
        <v>16386858.3428076</v>
      </c>
      <c r="AN15" s="24" t="n">
        <f aca="false">'Clients &amp; revenue'!AN63</f>
        <v>17308301.1554651</v>
      </c>
      <c r="AO15" s="24" t="n">
        <f aca="false">'Clients &amp; revenue'!AO63</f>
        <v>18361803.0171537</v>
      </c>
      <c r="AP15" s="24" t="n">
        <f aca="false">'Clients &amp; revenue'!AP63</f>
        <v>19463673.2050081</v>
      </c>
      <c r="AQ15" s="24" t="n">
        <f aca="false">'Clients &amp; revenue'!AQ63</f>
        <v>20574606.5338114</v>
      </c>
      <c r="AR15" s="24" t="n">
        <f aca="false">'Clients &amp; revenue'!AR63</f>
        <v>21695825.0081689</v>
      </c>
      <c r="AS15" s="24" t="n">
        <f aca="false">'Clients &amp; revenue'!AS63</f>
        <v>22868598.6688946</v>
      </c>
      <c r="AT15" s="24" t="n">
        <f aca="false">'Clients &amp; revenue'!AT63</f>
        <v>24053821.2986451</v>
      </c>
      <c r="AU15" s="24" t="n">
        <f aca="false">'Clients &amp; revenue'!AU63</f>
        <v>25252925.7373637</v>
      </c>
      <c r="AV15" s="24" t="n">
        <f aca="false">'Clients &amp; revenue'!AV63</f>
        <v>26543391.0413532</v>
      </c>
      <c r="AW15" s="24" t="n">
        <f aca="false">'Clients &amp; revenue'!AW63</f>
        <v>27838509.3463522</v>
      </c>
      <c r="AX15" s="24" t="n">
        <f aca="false">'Clients &amp; revenue'!AX63</f>
        <v>29166838.6385057</v>
      </c>
      <c r="AY15" s="24" t="n">
        <f aca="false">'Clients &amp; revenue'!AY63</f>
        <v>30488511.2708357</v>
      </c>
      <c r="AZ15" s="24" t="n">
        <f aca="false">'Clients &amp; revenue'!AZ63</f>
        <v>31804148.3622611</v>
      </c>
      <c r="BA15" s="24" t="n">
        <f aca="false">'Clients &amp; revenue'!BA63</f>
        <v>33278328.8098798</v>
      </c>
      <c r="BB15" s="24" t="n">
        <f aca="false">'Clients &amp; revenue'!BB63</f>
        <v>34745834.9572545</v>
      </c>
      <c r="BC15" s="24" t="n">
        <f aca="false">'Clients &amp; revenue'!BC63</f>
        <v>36247373.7857868</v>
      </c>
      <c r="BD15" s="24" t="n">
        <f aca="false">'Clients &amp; revenue'!BD63</f>
        <v>37743236.0950796</v>
      </c>
      <c r="BE15" s="24" t="n">
        <f aca="false">'Clients &amp; revenue'!BE63</f>
        <v>39270195.1168179</v>
      </c>
      <c r="BF15" s="24" t="n">
        <f aca="false">'Clients &amp; revenue'!BF63</f>
        <v>40832640.1806086</v>
      </c>
      <c r="BG15" s="24" t="n">
        <f aca="false">'Clients &amp; revenue'!BG63</f>
        <v>42390970.5695912</v>
      </c>
      <c r="BH15" s="24" t="n">
        <f aca="false">'Clients &amp; revenue'!BH63</f>
        <v>43986072.6677109</v>
      </c>
      <c r="BI15" s="24" t="n">
        <f aca="false">'Clients &amp; revenue'!BI63</f>
        <v>45614412.7767482</v>
      </c>
      <c r="BJ15" s="24" t="n">
        <f aca="false">'Clients &amp; revenue'!BJ63</f>
        <v>47280549.3111382</v>
      </c>
      <c r="BK15" s="24" t="n">
        <f aca="false">'Clients &amp; revenue'!BK63</f>
        <v>48936492.1809798</v>
      </c>
      <c r="BL15" s="24" t="n">
        <f aca="false">'Clients &amp; revenue'!BL63</f>
        <v>50613480.0284743</v>
      </c>
    </row>
    <row r="16" customFormat="false" ht="15" hidden="false" customHeight="true" outlineLevel="0" collapsed="false">
      <c r="A16" s="13" t="s">
        <v>994</v>
      </c>
      <c r="B16" s="15" t="s">
        <v>77</v>
      </c>
      <c r="D16" s="56" t="n">
        <f aca="false">SUM(E16:BL16)</f>
        <v>257405875.353935</v>
      </c>
      <c r="E16" s="24" t="n">
        <f aca="false">'Clients &amp; revenue'!E64</f>
        <v>0</v>
      </c>
      <c r="F16" s="24" t="n">
        <f aca="false">'Clients &amp; revenue'!F64</f>
        <v>0</v>
      </c>
      <c r="G16" s="24" t="n">
        <f aca="false">'Clients &amp; revenue'!G64</f>
        <v>0</v>
      </c>
      <c r="H16" s="24" t="n">
        <f aca="false">'Clients &amp; revenue'!H64</f>
        <v>0</v>
      </c>
      <c r="I16" s="24" t="n">
        <f aca="false">'Clients &amp; revenue'!I64</f>
        <v>61833.3333333333</v>
      </c>
      <c r="J16" s="24" t="n">
        <f aca="false">'Clients &amp; revenue'!J64</f>
        <v>123617.416666667</v>
      </c>
      <c r="K16" s="24" t="n">
        <f aca="false">'Clients &amp; revenue'!K64</f>
        <v>185389.138125</v>
      </c>
      <c r="L16" s="24" t="n">
        <f aca="false">'Clients &amp; revenue'!L64</f>
        <v>247187.154688021</v>
      </c>
      <c r="M16" s="24" t="n">
        <f aca="false">'Clients &amp; revenue'!M64</f>
        <v>309052.003474749</v>
      </c>
      <c r="N16" s="24" t="n">
        <f aca="false">'Clients &amp; revenue'!N64</f>
        <v>371026.219643857</v>
      </c>
      <c r="O16" s="24" t="n">
        <f aca="false">'Clients &amp; revenue'!O64</f>
        <v>433154.461307356</v>
      </c>
      <c r="P16" s="24" t="n">
        <f aca="false">'Clients &amp; revenue'!P64</f>
        <v>495483.641879177</v>
      </c>
      <c r="Q16" s="24" t="n">
        <f aca="false">'Clients &amp; revenue'!Q64</f>
        <v>579896.403638814</v>
      </c>
      <c r="R16" s="24" t="n">
        <f aca="false">'Clients &amp; revenue'!R64</f>
        <v>664382.016316964</v>
      </c>
      <c r="S16" s="24" t="n">
        <f aca="false">'Clients &amp; revenue'!S64</f>
        <v>748997.57266355</v>
      </c>
      <c r="T16" s="24" t="n">
        <f aca="false">'Clients &amp; revenue'!T64</f>
        <v>833803.004551606</v>
      </c>
      <c r="U16" s="24" t="n">
        <f aca="false">'Clients &amp; revenue'!U64</f>
        <v>918861.260110839</v>
      </c>
      <c r="V16" s="24" t="n">
        <f aca="false">'Clients &amp; revenue'!V64</f>
        <v>1004238.49140847</v>
      </c>
      <c r="W16" s="24" t="n">
        <f aca="false">'Clients &amp; revenue'!W64</f>
        <v>1137337.58664448</v>
      </c>
      <c r="X16" s="24" t="n">
        <f aca="false">'Clients &amp; revenue'!X64</f>
        <v>1270851.38086645</v>
      </c>
      <c r="Y16" s="24" t="n">
        <f aca="false">'Clients &amp; revenue'!Y64</f>
        <v>1414884.65674944</v>
      </c>
      <c r="Z16" s="24" t="n">
        <f aca="false">'Clients &amp; revenue'!Z64</f>
        <v>1559442.59571867</v>
      </c>
      <c r="AA16" s="24" t="n">
        <f aca="false">'Clients &amp; revenue'!AA64</f>
        <v>1704642.27464805</v>
      </c>
      <c r="AB16" s="24" t="n">
        <f aca="false">'Clients &amp; revenue'!AB64</f>
        <v>1850606.84408217</v>
      </c>
      <c r="AC16" s="24" t="n">
        <f aca="false">'Clients &amp; revenue'!AC64</f>
        <v>2041299.23698397</v>
      </c>
      <c r="AD16" s="24" t="n">
        <f aca="false">'Clients &amp; revenue'!AD64</f>
        <v>2232562.31654321</v>
      </c>
      <c r="AE16" s="24" t="n">
        <f aca="false">'Clients &amp; revenue'!AE64</f>
        <v>2434544.89334935</v>
      </c>
      <c r="AF16" s="24" t="n">
        <f aca="false">'Clients &amp; revenue'!AF64</f>
        <v>2637298.43438223</v>
      </c>
      <c r="AG16" s="24" t="n">
        <f aca="false">'Clients &amp; revenue'!AG64</f>
        <v>2840988.69959954</v>
      </c>
      <c r="AH16" s="24" t="n">
        <f aca="false">'Clients &amp; revenue'!AH64</f>
        <v>3045790.06838845</v>
      </c>
      <c r="AI16" s="24" t="n">
        <f aca="false">'Clients &amp; revenue'!AI64</f>
        <v>3261886.07205142</v>
      </c>
      <c r="AJ16" s="24" t="n">
        <f aca="false">'Clients &amp; revenue'!AJ64</f>
        <v>3479364.95805906</v>
      </c>
      <c r="AK16" s="24" t="n">
        <f aca="false">'Clients &amp; revenue'!AK64</f>
        <v>3698431.45047835</v>
      </c>
      <c r="AL16" s="24" t="n">
        <f aca="false">'Clients &amp; revenue'!AL64</f>
        <v>3919301.20769255</v>
      </c>
      <c r="AM16" s="24" t="n">
        <f aca="false">'Clients &amp; revenue'!AM64</f>
        <v>4152201.4940286</v>
      </c>
      <c r="AN16" s="24" t="n">
        <f aca="false">'Clients &amp; revenue'!AN64</f>
        <v>4387266.89149719</v>
      </c>
      <c r="AO16" s="24" t="n">
        <f aca="false">'Clients &amp; revenue'!AO64</f>
        <v>4655584.54988801</v>
      </c>
      <c r="AP16" s="24" t="n">
        <f aca="false">'Clients &amp; revenue'!AP64</f>
        <v>4936265.06020063</v>
      </c>
      <c r="AQ16" s="24" t="n">
        <f aca="false">'Clients &amp; revenue'!AQ64</f>
        <v>5219489.38629779</v>
      </c>
      <c r="AR16" s="24" t="n">
        <f aca="false">'Clients &amp; revenue'!AR64</f>
        <v>5505560.2162885</v>
      </c>
      <c r="AS16" s="24" t="n">
        <f aca="false">'Clients &amp; revenue'!AS64</f>
        <v>5804796.7387302</v>
      </c>
      <c r="AT16" s="24" t="n">
        <f aca="false">'Clients &amp; revenue'!AT64</f>
        <v>6107430.65180441</v>
      </c>
      <c r="AU16" s="24" t="n">
        <f aca="false">'Clients &amp; revenue'!AU64</f>
        <v>6413818.3953156</v>
      </c>
      <c r="AV16" s="24" t="n">
        <f aca="false">'Clients &amp; revenue'!AV64</f>
        <v>6743336.10822924</v>
      </c>
      <c r="AW16" s="24" t="n">
        <f aca="false">'Clients &amp; revenue'!AW64</f>
        <v>7074324.15068885</v>
      </c>
      <c r="AX16" s="24" t="n">
        <f aca="false">'Clients &amp; revenue'!AX64</f>
        <v>7413919.69374187</v>
      </c>
      <c r="AY16" s="24" t="n">
        <f aca="false">'Clients &amp; revenue'!AY64</f>
        <v>7752156.83919964</v>
      </c>
      <c r="AZ16" s="24" t="n">
        <f aca="false">'Clients &amp; revenue'!AZ64</f>
        <v>8089181.73680118</v>
      </c>
      <c r="BA16" s="24" t="n">
        <f aca="false">'Clients &amp; revenue'!BA64</f>
        <v>8466146.78977269</v>
      </c>
      <c r="BB16" s="24" t="n">
        <f aca="false">'Clients &amp; revenue'!BB64</f>
        <v>8841780.55900416</v>
      </c>
      <c r="BC16" s="24" t="n">
        <f aca="false">'Clients &amp; revenue'!BC64</f>
        <v>9226253.9573831</v>
      </c>
      <c r="BD16" s="24" t="n">
        <f aca="false">'Clients &amp; revenue'!BD64</f>
        <v>9609640.38200833</v>
      </c>
      <c r="BE16" s="24" t="n">
        <f aca="false">'Clients &amp; revenue'!BE64</f>
        <v>10001127.3576423</v>
      </c>
      <c r="BF16" s="24" t="n">
        <f aca="false">'Clients &amp; revenue'!BF64</f>
        <v>10401816.3702361</v>
      </c>
      <c r="BG16" s="24" t="n">
        <f aca="false">'Clients &amp; revenue'!BG64</f>
        <v>10801808.452962</v>
      </c>
      <c r="BH16" s="24" t="n">
        <f aca="false">'Clients &amp; revenue'!BH64</f>
        <v>11211320.362187</v>
      </c>
      <c r="BI16" s="24" t="n">
        <f aca="false">'Clients &amp; revenue'!BI64</f>
        <v>11629474.0074296</v>
      </c>
      <c r="BJ16" s="24" t="n">
        <f aca="false">'Clients &amp; revenue'!BJ64</f>
        <v>12057413.7558526</v>
      </c>
      <c r="BK16" s="24" t="n">
        <f aca="false">'Clients &amp; revenue'!BK64</f>
        <v>12483143.0982019</v>
      </c>
      <c r="BL16" s="24" t="n">
        <f aca="false">'Clients &amp; revenue'!BL64</f>
        <v>12914463.5544979</v>
      </c>
    </row>
    <row r="17" customFormat="false" ht="15" hidden="false" customHeight="true" outlineLevel="0" collapsed="false">
      <c r="A17" s="13" t="s">
        <v>1259</v>
      </c>
      <c r="B17" s="15" t="s">
        <v>77</v>
      </c>
      <c r="D17" s="56" t="n">
        <f aca="false">SUM(E17:BL17)</f>
        <v>0</v>
      </c>
      <c r="E17" s="24" t="n">
        <f aca="false">'Clients &amp; revenue'!E65</f>
        <v>0</v>
      </c>
      <c r="F17" s="24" t="n">
        <f aca="false">'Clients &amp; revenue'!F65</f>
        <v>0</v>
      </c>
      <c r="G17" s="24" t="n">
        <f aca="false">'Clients &amp; revenue'!G65</f>
        <v>0</v>
      </c>
      <c r="H17" s="24" t="n">
        <f aca="false">'Clients &amp; revenue'!H65</f>
        <v>0</v>
      </c>
      <c r="I17" s="24" t="n">
        <f aca="false">'Clients &amp; revenue'!I65</f>
        <v>0</v>
      </c>
      <c r="J17" s="24" t="n">
        <f aca="false">'Clients &amp; revenue'!J65</f>
        <v>0</v>
      </c>
      <c r="K17" s="24" t="n">
        <f aca="false">'Clients &amp; revenue'!K65</f>
        <v>0</v>
      </c>
      <c r="L17" s="24" t="n">
        <f aca="false">'Clients &amp; revenue'!L65</f>
        <v>0</v>
      </c>
      <c r="M17" s="24" t="n">
        <f aca="false">'Clients &amp; revenue'!M65</f>
        <v>0</v>
      </c>
      <c r="N17" s="24" t="n">
        <f aca="false">'Clients &amp; revenue'!N65</f>
        <v>0</v>
      </c>
      <c r="O17" s="24" t="n">
        <f aca="false">'Clients &amp; revenue'!O65</f>
        <v>0</v>
      </c>
      <c r="P17" s="24" t="n">
        <f aca="false">'Clients &amp; revenue'!P65</f>
        <v>0</v>
      </c>
      <c r="Q17" s="24" t="n">
        <f aca="false">'Clients &amp; revenue'!Q65</f>
        <v>0</v>
      </c>
      <c r="R17" s="24" t="n">
        <f aca="false">'Clients &amp; revenue'!R65</f>
        <v>0</v>
      </c>
      <c r="S17" s="24" t="n">
        <f aca="false">'Clients &amp; revenue'!S65</f>
        <v>0</v>
      </c>
      <c r="T17" s="24" t="n">
        <f aca="false">'Clients &amp; revenue'!T65</f>
        <v>0</v>
      </c>
      <c r="U17" s="24" t="n">
        <f aca="false">'Clients &amp; revenue'!U65</f>
        <v>0</v>
      </c>
      <c r="V17" s="24" t="n">
        <f aca="false">'Clients &amp; revenue'!V65</f>
        <v>0</v>
      </c>
      <c r="W17" s="24" t="n">
        <f aca="false">'Clients &amp; revenue'!W65</f>
        <v>0</v>
      </c>
      <c r="X17" s="24" t="n">
        <f aca="false">'Clients &amp; revenue'!X65</f>
        <v>0</v>
      </c>
      <c r="Y17" s="24" t="n">
        <f aca="false">'Clients &amp; revenue'!Y65</f>
        <v>0</v>
      </c>
      <c r="Z17" s="24" t="n">
        <f aca="false">'Clients &amp; revenue'!Z65</f>
        <v>0</v>
      </c>
      <c r="AA17" s="24" t="n">
        <f aca="false">'Clients &amp; revenue'!AA65</f>
        <v>0</v>
      </c>
      <c r="AB17" s="24" t="n">
        <f aca="false">'Clients &amp; revenue'!AB65</f>
        <v>0</v>
      </c>
      <c r="AC17" s="24" t="n">
        <f aca="false">'Clients &amp; revenue'!AC65</f>
        <v>0</v>
      </c>
      <c r="AD17" s="24" t="n">
        <f aca="false">'Clients &amp; revenue'!AD65</f>
        <v>0</v>
      </c>
      <c r="AE17" s="24" t="n">
        <f aca="false">'Clients &amp; revenue'!AE65</f>
        <v>0</v>
      </c>
      <c r="AF17" s="24" t="n">
        <f aca="false">'Clients &amp; revenue'!AF65</f>
        <v>0</v>
      </c>
      <c r="AG17" s="24" t="n">
        <f aca="false">'Clients &amp; revenue'!AG65</f>
        <v>0</v>
      </c>
      <c r="AH17" s="24" t="n">
        <f aca="false">'Clients &amp; revenue'!AH65</f>
        <v>0</v>
      </c>
      <c r="AI17" s="24" t="n">
        <f aca="false">'Clients &amp; revenue'!AI65</f>
        <v>0</v>
      </c>
      <c r="AJ17" s="24" t="n">
        <f aca="false">'Clients &amp; revenue'!AJ65</f>
        <v>0</v>
      </c>
      <c r="AK17" s="24" t="n">
        <f aca="false">'Clients &amp; revenue'!AK65</f>
        <v>0</v>
      </c>
      <c r="AL17" s="24" t="n">
        <f aca="false">'Clients &amp; revenue'!AL65</f>
        <v>0</v>
      </c>
      <c r="AM17" s="24" t="n">
        <f aca="false">'Clients &amp; revenue'!AM65</f>
        <v>0</v>
      </c>
      <c r="AN17" s="24" t="n">
        <f aca="false">'Clients &amp; revenue'!AN65</f>
        <v>0</v>
      </c>
      <c r="AO17" s="24" t="n">
        <f aca="false">'Clients &amp; revenue'!AO65</f>
        <v>0</v>
      </c>
      <c r="AP17" s="24" t="n">
        <f aca="false">'Clients &amp; revenue'!AP65</f>
        <v>0</v>
      </c>
      <c r="AQ17" s="24" t="n">
        <f aca="false">'Clients &amp; revenue'!AQ65</f>
        <v>0</v>
      </c>
      <c r="AR17" s="24" t="n">
        <f aca="false">'Clients &amp; revenue'!AR65</f>
        <v>0</v>
      </c>
      <c r="AS17" s="24" t="n">
        <f aca="false">'Clients &amp; revenue'!AS65</f>
        <v>0</v>
      </c>
      <c r="AT17" s="24" t="n">
        <f aca="false">'Clients &amp; revenue'!AT65</f>
        <v>0</v>
      </c>
      <c r="AU17" s="24" t="n">
        <f aca="false">'Clients &amp; revenue'!AU65</f>
        <v>0</v>
      </c>
      <c r="AV17" s="24" t="n">
        <f aca="false">'Clients &amp; revenue'!AV65</f>
        <v>0</v>
      </c>
      <c r="AW17" s="24" t="n">
        <f aca="false">'Clients &amp; revenue'!AW65</f>
        <v>0</v>
      </c>
      <c r="AX17" s="24" t="n">
        <f aca="false">'Clients &amp; revenue'!AX65</f>
        <v>0</v>
      </c>
      <c r="AY17" s="24" t="n">
        <f aca="false">'Clients &amp; revenue'!AY65</f>
        <v>0</v>
      </c>
      <c r="AZ17" s="24" t="n">
        <f aca="false">'Clients &amp; revenue'!AZ65</f>
        <v>0</v>
      </c>
      <c r="BA17" s="24" t="n">
        <f aca="false">'Clients &amp; revenue'!BA65</f>
        <v>0</v>
      </c>
      <c r="BB17" s="24" t="n">
        <f aca="false">'Clients &amp; revenue'!BB65</f>
        <v>0</v>
      </c>
      <c r="BC17" s="24" t="n">
        <f aca="false">'Clients &amp; revenue'!BC65</f>
        <v>0</v>
      </c>
      <c r="BD17" s="24" t="n">
        <f aca="false">'Clients &amp; revenue'!BD65</f>
        <v>0</v>
      </c>
      <c r="BE17" s="24" t="n">
        <f aca="false">'Clients &amp; revenue'!BE65</f>
        <v>0</v>
      </c>
      <c r="BF17" s="24" t="n">
        <f aca="false">'Clients &amp; revenue'!BF65</f>
        <v>0</v>
      </c>
      <c r="BG17" s="24" t="n">
        <f aca="false">'Clients &amp; revenue'!BG65</f>
        <v>0</v>
      </c>
      <c r="BH17" s="24" t="n">
        <f aca="false">'Clients &amp; revenue'!BH65</f>
        <v>0</v>
      </c>
      <c r="BI17" s="24" t="n">
        <f aca="false">'Clients &amp; revenue'!BI65</f>
        <v>0</v>
      </c>
      <c r="BJ17" s="24" t="n">
        <f aca="false">'Clients &amp; revenue'!BJ65</f>
        <v>0</v>
      </c>
      <c r="BK17" s="24" t="n">
        <f aca="false">'Clients &amp; revenue'!BK65</f>
        <v>0</v>
      </c>
      <c r="BL17" s="24" t="n">
        <f aca="false">'Clients &amp; revenue'!BL65</f>
        <v>0</v>
      </c>
    </row>
    <row r="18" customFormat="false" ht="15" hidden="false" customHeight="true" outlineLevel="0" collapsed="false">
      <c r="A18" s="13" t="s">
        <v>192</v>
      </c>
      <c r="B18" s="15" t="s">
        <v>77</v>
      </c>
      <c r="D18" s="56" t="n">
        <f aca="false">SUM(E18:BL18)</f>
        <v>7662599280.64928</v>
      </c>
      <c r="E18" s="24" t="n">
        <f aca="false">'Clients &amp; revenue'!E66</f>
        <v>0</v>
      </c>
      <c r="F18" s="24" t="n">
        <f aca="false">'Clients &amp; revenue'!F66</f>
        <v>0</v>
      </c>
      <c r="G18" s="24" t="n">
        <f aca="false">'Clients &amp; revenue'!G66</f>
        <v>0</v>
      </c>
      <c r="H18" s="24" t="n">
        <f aca="false">'Clients &amp; revenue'!H66</f>
        <v>0</v>
      </c>
      <c r="I18" s="24" t="n">
        <f aca="false">'Clients &amp; revenue'!I66</f>
        <v>1851908.33333333</v>
      </c>
      <c r="J18" s="24" t="n">
        <f aca="false">'Clients &amp; revenue'!J66</f>
        <v>3701219.35416667</v>
      </c>
      <c r="K18" s="24" t="n">
        <f aca="false">'Clients &amp; revenue'!K66</f>
        <v>5549075.50328125</v>
      </c>
      <c r="L18" s="24" t="n">
        <f aca="false">'Clients &amp; revenue'!L66</f>
        <v>7396670.62904701</v>
      </c>
      <c r="M18" s="24" t="n">
        <f aca="false">'Clients &amp; revenue'!M66</f>
        <v>9245253.32961631</v>
      </c>
      <c r="N18" s="24" t="n">
        <f aca="false">'Clients &amp; revenue'!N66</f>
        <v>11096130.4913679</v>
      </c>
      <c r="O18" s="24" t="n">
        <f aca="false">'Clients &amp; revenue'!O66</f>
        <v>12950671.035452</v>
      </c>
      <c r="P18" s="24" t="n">
        <f aca="false">'Clients &amp; revenue'!P66</f>
        <v>14810309.8849976</v>
      </c>
      <c r="Q18" s="24" t="n">
        <f aca="false">'Clients &amp; revenue'!Q66</f>
        <v>17330460.4996283</v>
      </c>
      <c r="R18" s="24" t="n">
        <f aca="false">'Clients &amp; revenue'!R66</f>
        <v>19851532.01223</v>
      </c>
      <c r="S18" s="24" t="n">
        <f aca="false">'Clients &amp; revenue'!S66</f>
        <v>22375276.7195417</v>
      </c>
      <c r="T18" s="24" t="n">
        <f aca="false">'Clients &amp; revenue'!T66</f>
        <v>24903529.9078008</v>
      </c>
      <c r="U18" s="24" t="n">
        <f aca="false">'Clients &amp; revenue'!U66</f>
        <v>27438215.1619209</v>
      </c>
      <c r="V18" s="24" t="n">
        <f aca="false">'Clients &amp; revenue'!V66</f>
        <v>29981349.9877808</v>
      </c>
      <c r="W18" s="24" t="n">
        <f aca="false">'Clients &amp; revenue'!W66</f>
        <v>33952685.0998431</v>
      </c>
      <c r="X18" s="24" t="n">
        <f aca="false">'Clients &amp; revenue'!X66</f>
        <v>37934543.9774477</v>
      </c>
      <c r="Y18" s="24" t="n">
        <f aca="false">'Clients &amp; revenue'!Y66</f>
        <v>42229623.9637036</v>
      </c>
      <c r="Z18" s="24" t="n">
        <f aca="false">'Clients &amp; revenue'!Z66</f>
        <v>46538454.5837172</v>
      </c>
      <c r="AA18" s="24" t="n">
        <f aca="false">'Clients &amp; revenue'!AA66</f>
        <v>50864602.7126028</v>
      </c>
      <c r="AB18" s="24" t="n">
        <f aca="false">'Clients &amp; revenue'!AB66</f>
        <v>55211813.6283596</v>
      </c>
      <c r="AC18" s="24" t="n">
        <f aca="false">'Clients &amp; revenue'!AC66</f>
        <v>60896830.5773949</v>
      </c>
      <c r="AD18" s="24" t="n">
        <f aca="false">'Clients &amp; revenue'!AD66</f>
        <v>66596401.6094664</v>
      </c>
      <c r="AE18" s="24" t="n">
        <f aca="false">'Clients &amp; revenue'!AE66</f>
        <v>72614564.3231009</v>
      </c>
      <c r="AF18" s="24" t="n">
        <f aca="false">'Clients &amp; revenue'!AF66</f>
        <v>78653254.8093404</v>
      </c>
      <c r="AG18" s="24" t="n">
        <f aca="false">'Clients &amp; revenue'!AG66</f>
        <v>84717517.0054558</v>
      </c>
      <c r="AH18" s="24" t="n">
        <f aca="false">'Clients &amp; revenue'!AH66</f>
        <v>90812648.18129</v>
      </c>
      <c r="AI18" s="24" t="n">
        <f aca="false">'Clients &amp; revenue'!AI66</f>
        <v>97243714.8676044</v>
      </c>
      <c r="AJ18" s="24" t="n">
        <f aca="false">'Clients &amp; revenue'!AJ66</f>
        <v>103713743.478185</v>
      </c>
      <c r="AK18" s="24" t="n">
        <f aca="false">'Clients &amp; revenue'!AK66</f>
        <v>110228933.348173</v>
      </c>
      <c r="AL18" s="24" t="n">
        <f aca="false">'Clients &amp; revenue'!AL66</f>
        <v>116795806.126125</v>
      </c>
      <c r="AM18" s="24" t="n">
        <f aca="false">'Clients &amp; revenue'!AM66</f>
        <v>123720725.842461</v>
      </c>
      <c r="AN18" s="24" t="n">
        <f aca="false">'Clients &amp; revenue'!AN66</f>
        <v>130708093.92009</v>
      </c>
      <c r="AO18" s="24" t="n">
        <f aca="false">'Clients &amp; revenue'!AO66</f>
        <v>138689025.197938</v>
      </c>
      <c r="AP18" s="24" t="n">
        <f aca="false">'Clients &amp; revenue'!AP66</f>
        <v>147037371.316518</v>
      </c>
      <c r="AQ18" s="24" t="n">
        <f aca="false">'Clients &amp; revenue'!AQ66</f>
        <v>155458938.190592</v>
      </c>
      <c r="AR18" s="24" t="n">
        <f aca="false">'Clients &amp; revenue'!AR66</f>
        <v>163962860.223069</v>
      </c>
      <c r="AS18" s="24" t="n">
        <f aca="false">'Clients &amp; revenue'!AS66</f>
        <v>172858259.192532</v>
      </c>
      <c r="AT18" s="24" t="n">
        <f aca="false">'Clients &amp; revenue'!AT66</f>
        <v>181852448.134275</v>
      </c>
      <c r="AU18" s="24" t="n">
        <f aca="false">'Clients &amp; revenue'!AU66</f>
        <v>190956158.430353</v>
      </c>
      <c r="AV18" s="24" t="n">
        <f aca="false">'Clients &amp; revenue'!AV66</f>
        <v>200749754.093799</v>
      </c>
      <c r="AW18" s="24" t="n">
        <f aca="false">'Clients &amp; revenue'!AW66</f>
        <v>210584225.222923</v>
      </c>
      <c r="AX18" s="24" t="n">
        <f aca="false">'Clients &amp; revenue'!AX66</f>
        <v>220673430.388514</v>
      </c>
      <c r="AY18" s="24" t="n">
        <f aca="false">'Clients &amp; revenue'!AY66</f>
        <v>230718859.426432</v>
      </c>
      <c r="AZ18" s="24" t="n">
        <f aca="false">'Clients &amp; revenue'!AZ66</f>
        <v>240725040.906954</v>
      </c>
      <c r="BA18" s="24" t="n">
        <f aca="false">'Clients &amp; revenue'!BA66</f>
        <v>251924634.08133</v>
      </c>
      <c r="BB18" s="24" t="n">
        <f aca="false">'Clients &amp; revenue'!BB66</f>
        <v>263080953.423238</v>
      </c>
      <c r="BC18" s="24" t="n">
        <f aca="false">'Clients &amp; revenue'!BC66</f>
        <v>274498781.682799</v>
      </c>
      <c r="BD18" s="24" t="n">
        <f aca="false">'Clients &amp; revenue'!BD66</f>
        <v>285880792.142853</v>
      </c>
      <c r="BE18" s="24" t="n">
        <f aca="false">'Clients &amp; revenue'!BE66</f>
        <v>297502308.249583</v>
      </c>
      <c r="BF18" s="24" t="n">
        <f aca="false">'Clients &amp; revenue'!BF66</f>
        <v>309396305.755315</v>
      </c>
      <c r="BG18" s="24" t="n">
        <f aca="false">'Clients &amp; revenue'!BG66</f>
        <v>321266278.332394</v>
      </c>
      <c r="BH18" s="24" t="n">
        <f aca="false">'Clients &amp; revenue'!BH66</f>
        <v>333418367.315585</v>
      </c>
      <c r="BI18" s="24" t="n">
        <f aca="false">'Clients &amp; revenue'!BI66</f>
        <v>345826234.090534</v>
      </c>
      <c r="BJ18" s="24" t="n">
        <f aca="false">'Clients &amp; revenue'!BJ66</f>
        <v>358524130.891846</v>
      </c>
      <c r="BK18" s="24" t="n">
        <f aca="false">'Clients &amp; revenue'!BK66</f>
        <v>371152721.658046</v>
      </c>
      <c r="BL18" s="24" t="n">
        <f aca="false">'Clients &amp; revenue'!BL66</f>
        <v>383945841.397327</v>
      </c>
    </row>
    <row r="19" customFormat="false" ht="15" hidden="false" customHeight="true" outlineLevel="0" collapsed="false">
      <c r="A19" s="13" t="s">
        <v>202</v>
      </c>
      <c r="B19" s="15" t="s">
        <v>77</v>
      </c>
      <c r="D19" s="56" t="n">
        <f aca="false">SUM(E19:BL19)</f>
        <v>1629946832.81326</v>
      </c>
      <c r="E19" s="24" t="n">
        <f aca="false">'Clients &amp; revenue'!E67</f>
        <v>0</v>
      </c>
      <c r="F19" s="24" t="n">
        <f aca="false">'Clients &amp; revenue'!F67</f>
        <v>0</v>
      </c>
      <c r="G19" s="24" t="n">
        <f aca="false">'Clients &amp; revenue'!G67</f>
        <v>0</v>
      </c>
      <c r="H19" s="24" t="n">
        <f aca="false">'Clients &amp; revenue'!H67</f>
        <v>0</v>
      </c>
      <c r="I19" s="24" t="n">
        <f aca="false">'Clients &amp; revenue'!I67</f>
        <v>0</v>
      </c>
      <c r="J19" s="24" t="n">
        <f aca="false">'Clients &amp; revenue'!J67</f>
        <v>0</v>
      </c>
      <c r="K19" s="24" t="n">
        <f aca="false">'Clients &amp; revenue'!K67</f>
        <v>0</v>
      </c>
      <c r="L19" s="24" t="n">
        <f aca="false">'Clients &amp; revenue'!L67</f>
        <v>0</v>
      </c>
      <c r="M19" s="24" t="n">
        <f aca="false">'Clients &amp; revenue'!M67</f>
        <v>0</v>
      </c>
      <c r="N19" s="24" t="n">
        <f aca="false">'Clients &amp; revenue'!N67</f>
        <v>0</v>
      </c>
      <c r="O19" s="24" t="n">
        <f aca="false">'Clients &amp; revenue'!O67</f>
        <v>233687.591273076</v>
      </c>
      <c r="P19" s="24" t="n">
        <f aca="false">'Clients &amp; revenue'!P67</f>
        <v>534555.814388494</v>
      </c>
      <c r="Q19" s="24" t="n">
        <f aca="false">'Clients &amp; revenue'!Q67</f>
        <v>938356.598019333</v>
      </c>
      <c r="R19" s="24" t="n">
        <f aca="false">'Clients &amp; revenue'!R67</f>
        <v>1433284.55314729</v>
      </c>
      <c r="S19" s="24" t="n">
        <f aca="false">'Clients &amp; revenue'!S67</f>
        <v>2019580.78154521</v>
      </c>
      <c r="T19" s="24" t="n">
        <f aca="false">'Clients &amp; revenue'!T67</f>
        <v>2697621.15891845</v>
      </c>
      <c r="U19" s="24" t="n">
        <f aca="false">'Clients &amp; revenue'!U67</f>
        <v>3467924.54401279</v>
      </c>
      <c r="V19" s="24" t="n">
        <f aca="false">'Clients &amp; revenue'!V67</f>
        <v>4331161.60884826</v>
      </c>
      <c r="W19" s="24" t="n">
        <f aca="false">'Clients &amp; revenue'!W67</f>
        <v>5518204.33283193</v>
      </c>
      <c r="X19" s="24" t="n">
        <f aca="false">'Clients &amp; revenue'!X67</f>
        <v>6850797.2064405</v>
      </c>
      <c r="Y19" s="24" t="n">
        <f aca="false">'Clients &amp; revenue'!Y67</f>
        <v>8389593.98954951</v>
      </c>
      <c r="Z19" s="24" t="n">
        <f aca="false">'Clients &amp; revenue'!Z67</f>
        <v>10086810.7240401</v>
      </c>
      <c r="AA19" s="24" t="n">
        <f aca="false">'Clients &amp; revenue'!AA67</f>
        <v>11025305.0478856</v>
      </c>
      <c r="AB19" s="24" t="n">
        <f aca="false">'Clients &amp; revenue'!AB67</f>
        <v>11968575.4575823</v>
      </c>
      <c r="AC19" s="24" t="n">
        <f aca="false">'Clients &amp; revenue'!AC67</f>
        <v>13201511.3729741</v>
      </c>
      <c r="AD19" s="24" t="n">
        <f aca="false">'Clients &amp; revenue'!AD67</f>
        <v>14437888.9814087</v>
      </c>
      <c r="AE19" s="24" t="n">
        <f aca="false">'Clients &amp; revenue'!AE67</f>
        <v>15743486.636162</v>
      </c>
      <c r="AF19" s="24" t="n">
        <f aca="false">'Clients &amp; revenue'!AF67</f>
        <v>17053829.6379788</v>
      </c>
      <c r="AG19" s="24" t="n">
        <f aca="false">'Clients &amp; revenue'!AG67</f>
        <v>18370006.0882212</v>
      </c>
      <c r="AH19" s="24" t="n">
        <f aca="false">'Clients &amp; revenue'!AH67</f>
        <v>19693159.2485335</v>
      </c>
      <c r="AI19" s="24" t="n">
        <f aca="false">'Clients &amp; revenue'!AI67</f>
        <v>21089290.9968046</v>
      </c>
      <c r="AJ19" s="24" t="n">
        <f aca="false">'Clients &amp; revenue'!AJ67</f>
        <v>22494163.4881271</v>
      </c>
      <c r="AK19" s="24" t="n">
        <f aca="false">'Clients &amp; revenue'!AK67</f>
        <v>23909115.8080945</v>
      </c>
      <c r="AL19" s="24" t="n">
        <f aca="false">'Clients &amp; revenue'!AL67</f>
        <v>25335557.1806302</v>
      </c>
      <c r="AM19" s="24" t="n">
        <f aca="false">'Clients &amp; revenue'!AM67</f>
        <v>26839771.3230063</v>
      </c>
      <c r="AN19" s="24" t="n">
        <f aca="false">'Clients &amp; revenue'!AN67</f>
        <v>28357819.0598068</v>
      </c>
      <c r="AO19" s="24" t="n">
        <f aca="false">'Clients &amp; revenue'!AO67</f>
        <v>30091155.986414</v>
      </c>
      <c r="AP19" s="24" t="n">
        <f aca="false">'Clients &amp; revenue'!AP67</f>
        <v>31904362.2476393</v>
      </c>
      <c r="AQ19" s="24" t="n">
        <f aca="false">'Clients &amp; revenue'!AQ67</f>
        <v>33733802.0840477</v>
      </c>
      <c r="AR19" s="24" t="n">
        <f aca="false">'Clients &amp; revenue'!AR67</f>
        <v>35581450.479679</v>
      </c>
      <c r="AS19" s="24" t="n">
        <f aca="false">'Clients &amp; revenue'!AS67</f>
        <v>37514188.4312251</v>
      </c>
      <c r="AT19" s="24" t="n">
        <f aca="false">'Clients &amp; revenue'!AT67</f>
        <v>39468707.4875641</v>
      </c>
      <c r="AU19" s="24" t="n">
        <f aca="false">'Clients &amp; revenue'!AU67</f>
        <v>41447329.4538032</v>
      </c>
      <c r="AV19" s="24" t="n">
        <f aca="false">'Clients &amp; revenue'!AV67</f>
        <v>43575622.8323642</v>
      </c>
      <c r="AW19" s="24" t="n">
        <f aca="false">'Clients &amp; revenue'!AW67</f>
        <v>45713202.2824037</v>
      </c>
      <c r="AX19" s="24" t="n">
        <f aca="false">'Clients &amp; revenue'!AX67</f>
        <v>47906334.4077205</v>
      </c>
      <c r="AY19" s="24" t="n">
        <f aca="false">'Clients &amp; revenue'!AY67</f>
        <v>50090442.0854737</v>
      </c>
      <c r="AZ19" s="24" t="n">
        <f aca="false">'Clients &amp; revenue'!AZ67</f>
        <v>52266496.1016702</v>
      </c>
      <c r="BA19" s="24" t="n">
        <f aca="false">'Clients &amp; revenue'!BA67</f>
        <v>54701186.7398658</v>
      </c>
      <c r="BB19" s="24" t="n">
        <f aca="false">'Clients &amp; revenue'!BB67</f>
        <v>57127008.2179754</v>
      </c>
      <c r="BC19" s="24" t="n">
        <f aca="false">'Clients &amp; revenue'!BC67</f>
        <v>59609893.8565368</v>
      </c>
      <c r="BD19" s="24" t="n">
        <f aca="false">'Clients &amp; revenue'!BD67</f>
        <v>62085522.3390982</v>
      </c>
      <c r="BE19" s="24" t="n">
        <f aca="false">'Clients &amp; revenue'!BE67</f>
        <v>64613453.6226539</v>
      </c>
      <c r="BF19" s="24" t="n">
        <f aca="false">'Clients &amp; revenue'!BF67</f>
        <v>67200829.5556396</v>
      </c>
      <c r="BG19" s="24" t="n">
        <f aca="false">'Clients &amp; revenue'!BG67</f>
        <v>69783506.8908674</v>
      </c>
      <c r="BH19" s="24" t="n">
        <f aca="false">'Clients &amp; revenue'!BH67</f>
        <v>72427713.9714133</v>
      </c>
      <c r="BI19" s="24" t="n">
        <f aca="false">'Clients &amp; revenue'!BI67</f>
        <v>75127761.771938</v>
      </c>
      <c r="BJ19" s="24" t="n">
        <f aca="false">'Clients &amp; revenue'!BJ67</f>
        <v>77891069.0497922</v>
      </c>
      <c r="BK19" s="24" t="n">
        <f aca="false">'Clients &amp; revenue'!BK67</f>
        <v>80639899.4718227</v>
      </c>
      <c r="BL19" s="24" t="n">
        <f aca="false">'Clients &amp; revenue'!BL67</f>
        <v>83424834.215419</v>
      </c>
    </row>
    <row r="20" customFormat="false" ht="15" hidden="false" customHeight="true" outlineLevel="0" collapsed="false">
      <c r="A20" s="13" t="s">
        <v>330</v>
      </c>
      <c r="B20" s="15" t="s">
        <v>77</v>
      </c>
      <c r="D20" s="56" t="n">
        <f aca="false">SUM(E20:BL20)</f>
        <v>2226892150.88781</v>
      </c>
      <c r="E20" s="24" t="n">
        <f aca="false">'Clients &amp; revenue'!E68</f>
        <v>0</v>
      </c>
      <c r="F20" s="24" t="n">
        <f aca="false">'Clients &amp; revenue'!F68</f>
        <v>0</v>
      </c>
      <c r="G20" s="24" t="n">
        <f aca="false">'Clients &amp; revenue'!G68</f>
        <v>0</v>
      </c>
      <c r="H20" s="24" t="n">
        <f aca="false">'Clients &amp; revenue'!H68</f>
        <v>0</v>
      </c>
      <c r="I20" s="24" t="n">
        <f aca="false">'Clients &amp; revenue'!I68</f>
        <v>0</v>
      </c>
      <c r="J20" s="24" t="n">
        <f aca="false">'Clients &amp; revenue'!J68</f>
        <v>0</v>
      </c>
      <c r="K20" s="24" t="n">
        <f aca="false">'Clients &amp; revenue'!K68</f>
        <v>0</v>
      </c>
      <c r="L20" s="24" t="n">
        <f aca="false">'Clients &amp; revenue'!L68</f>
        <v>0</v>
      </c>
      <c r="M20" s="24" t="n">
        <f aca="false">'Clients &amp; revenue'!M68</f>
        <v>0</v>
      </c>
      <c r="N20" s="24" t="n">
        <f aca="false">'Clients &amp; revenue'!N68</f>
        <v>0</v>
      </c>
      <c r="O20" s="24" t="n">
        <f aca="false">'Clients &amp; revenue'!O68</f>
        <v>0</v>
      </c>
      <c r="P20" s="24" t="n">
        <f aca="false">'Clients &amp; revenue'!P68</f>
        <v>0</v>
      </c>
      <c r="Q20" s="24" t="n">
        <f aca="false">'Clients &amp; revenue'!Q68</f>
        <v>436671.377170287</v>
      </c>
      <c r="R20" s="24" t="n">
        <f aca="false">'Clients &amp; revenue'!R68</f>
        <v>999918.364251568</v>
      </c>
      <c r="S20" s="24" t="n">
        <f aca="false">'Clients &amp; revenue'!S68</f>
        <v>1689715.62430335</v>
      </c>
      <c r="T20" s="24" t="n">
        <f aca="false">'Clients &amp; revenue'!T68</f>
        <v>2506228.60733347</v>
      </c>
      <c r="U20" s="24" t="n">
        <f aca="false">'Clients &amp; revenue'!U68</f>
        <v>3449824.3091667</v>
      </c>
      <c r="V20" s="24" t="n">
        <f aca="false">'Clients &amp; revenue'!V68</f>
        <v>4521082.87537068</v>
      </c>
      <c r="W20" s="24" t="n">
        <f aca="false">'Clients &amp; revenue'!W68</f>
        <v>5972093.30792842</v>
      </c>
      <c r="X20" s="24" t="n">
        <f aca="false">'Clients &amp; revenue'!X68</f>
        <v>7623567.97366682</v>
      </c>
      <c r="Y20" s="24" t="n">
        <f aca="false">'Clients &amp; revenue'!Y68</f>
        <v>9544949.12483737</v>
      </c>
      <c r="Z20" s="24" t="n">
        <f aca="false">'Clients &amp; revenue'!Z68</f>
        <v>11683760.3350157</v>
      </c>
      <c r="AA20" s="24" t="n">
        <f aca="false">'Clients &amp; revenue'!AA68</f>
        <v>14041680.5684611</v>
      </c>
      <c r="AB20" s="24" t="n">
        <f aca="false">'Clients &amp; revenue'!AB68</f>
        <v>16620809.2852025</v>
      </c>
      <c r="AC20" s="24" t="n">
        <f aca="false">'Clients &amp; revenue'!AC68</f>
        <v>18328480.1755367</v>
      </c>
      <c r="AD20" s="24" t="n">
        <f aca="false">'Clients &amp; revenue'!AD68</f>
        <v>20038597.3538688</v>
      </c>
      <c r="AE20" s="24" t="n">
        <f aca="false">'Clients &amp; revenue'!AE68</f>
        <v>21843575.7800509</v>
      </c>
      <c r="AF20" s="24" t="n">
        <f aca="false">'Clients &amp; revenue'!AF68</f>
        <v>23652747.4930994</v>
      </c>
      <c r="AG20" s="24" t="n">
        <f aca="false">'Clients &amp; revenue'!AG68</f>
        <v>25467672.027944</v>
      </c>
      <c r="AH20" s="24" t="n">
        <f aca="false">'Clients &amp; revenue'!AH68</f>
        <v>27289983.3617772</v>
      </c>
      <c r="AI20" s="24" t="n">
        <f aca="false">'Clients &amp; revenue'!AI68</f>
        <v>29212402.6951874</v>
      </c>
      <c r="AJ20" s="24" t="n">
        <f aca="false">'Clients &amp; revenue'!AJ68</f>
        <v>31144586.6545681</v>
      </c>
      <c r="AK20" s="24" t="n">
        <f aca="false">'Clients &amp; revenue'!AK68</f>
        <v>33088438.8087359</v>
      </c>
      <c r="AL20" s="24" t="n">
        <f aca="false">'Clients &amp; revenue'!AL68</f>
        <v>35045957.7811741</v>
      </c>
      <c r="AM20" s="24" t="n">
        <f aca="false">'Clients &amp; revenue'!AM68</f>
        <v>37110251.2670454</v>
      </c>
      <c r="AN20" s="24" t="n">
        <f aca="false">'Clients &amp; revenue'!AN68</f>
        <v>39191385.5456644</v>
      </c>
      <c r="AO20" s="24" t="n">
        <f aca="false">'Clients &amp; revenue'!AO68</f>
        <v>41572306.385812</v>
      </c>
      <c r="AP20" s="24" t="n">
        <f aca="false">'Clients &amp; revenue'!AP68</f>
        <v>44062379.6450284</v>
      </c>
      <c r="AQ20" s="24" t="n">
        <f aca="false">'Clients &amp; revenue'!AQ68</f>
        <v>46572102.6345376</v>
      </c>
      <c r="AR20" s="24" t="n">
        <f aca="false">'Clients &amp; revenue'!AR68</f>
        <v>49104265.8106301</v>
      </c>
      <c r="AS20" s="24" t="n">
        <f aca="false">'Clients &amp; revenue'!AS68</f>
        <v>51752811.7273426</v>
      </c>
      <c r="AT20" s="24" t="n">
        <f aca="false">'Clients &amp; revenue'!AT68</f>
        <v>54428687.2031328</v>
      </c>
      <c r="AU20" s="24" t="n">
        <f aca="false">'Clients &amp; revenue'!AU68</f>
        <v>57135159.038371</v>
      </c>
      <c r="AV20" s="24" t="n">
        <f aca="false">'Clients &amp; revenue'!AV68</f>
        <v>60048581.7792853</v>
      </c>
      <c r="AW20" s="24" t="n">
        <f aca="false">'Clients &amp; revenue'!AW68</f>
        <v>62971507.8005513</v>
      </c>
      <c r="AX20" s="24" t="n">
        <f aca="false">'Clients &amp; revenue'!AX68</f>
        <v>65968954.9489527</v>
      </c>
      <c r="AY20" s="24" t="n">
        <f aca="false">'Clients &amp; revenue'!AY68</f>
        <v>68950161.6046282</v>
      </c>
      <c r="AZ20" s="24" t="n">
        <f aca="false">'Clients &amp; revenue'!AZ68</f>
        <v>71916572.0940103</v>
      </c>
      <c r="BA20" s="24" t="n">
        <f aca="false">'Clients &amp; revenue'!BA68</f>
        <v>75242815.3986485</v>
      </c>
      <c r="BB20" s="24" t="n">
        <f aca="false">'Clients &amp; revenue'!BB68</f>
        <v>78552665.7060982</v>
      </c>
      <c r="BC20" s="24" t="n">
        <f aca="false">'Clients &amp; revenue'!BC68</f>
        <v>81938809.5368443</v>
      </c>
      <c r="BD20" s="24" t="n">
        <f aca="false">'Clients &amp; revenue'!BD68</f>
        <v>85310846.9801103</v>
      </c>
      <c r="BE20" s="24" t="n">
        <f aca="false">'Clients &amp; revenue'!BE68</f>
        <v>88752509.4173603</v>
      </c>
      <c r="BF20" s="24" t="n">
        <f aca="false">'Clients &amp; revenue'!BF68</f>
        <v>92273773.4022619</v>
      </c>
      <c r="BG20" s="24" t="n">
        <f aca="false">'Clients &amp; revenue'!BG68</f>
        <v>95784484.2308005</v>
      </c>
      <c r="BH20" s="24" t="n">
        <f aca="false">'Clients &amp; revenue'!BH68</f>
        <v>99377733.4612284</v>
      </c>
      <c r="BI20" s="24" t="n">
        <f aca="false">'Clients &amp; revenue'!BI68</f>
        <v>103045457.165482</v>
      </c>
      <c r="BJ20" s="24" t="n">
        <f aca="false">'Clients &amp; revenue'!BJ68</f>
        <v>106798014.709679</v>
      </c>
      <c r="BK20" s="24" t="n">
        <f aca="false">'Clients &amp; revenue'!BK68</f>
        <v>110526154.041701</v>
      </c>
      <c r="BL20" s="24" t="n">
        <f aca="false">'Clients &amp; revenue'!BL68</f>
        <v>114301015.467948</v>
      </c>
    </row>
    <row r="21" customFormat="false" ht="15" hidden="false" customHeight="true" outlineLevel="0" collapsed="false">
      <c r="A21" s="13" t="s">
        <v>1327</v>
      </c>
      <c r="B21" s="15" t="s">
        <v>77</v>
      </c>
      <c r="D21" s="56" t="n">
        <f aca="false">SUM(E21:BL21)</f>
        <v>0</v>
      </c>
      <c r="E21" s="24" t="n">
        <f aca="false">'Clients &amp; revenue'!E69</f>
        <v>0</v>
      </c>
      <c r="F21" s="24" t="n">
        <f aca="false">'Clients &amp; revenue'!F69</f>
        <v>0</v>
      </c>
      <c r="G21" s="24" t="n">
        <f aca="false">'Clients &amp; revenue'!G69</f>
        <v>0</v>
      </c>
      <c r="H21" s="24" t="n">
        <f aca="false">'Clients &amp; revenue'!H69</f>
        <v>0</v>
      </c>
      <c r="I21" s="24" t="n">
        <f aca="false">'Clients &amp; revenue'!I69</f>
        <v>0</v>
      </c>
      <c r="J21" s="24" t="n">
        <f aca="false">'Clients &amp; revenue'!J69</f>
        <v>0</v>
      </c>
      <c r="K21" s="24" t="n">
        <f aca="false">'Clients &amp; revenue'!K69</f>
        <v>0</v>
      </c>
      <c r="L21" s="24" t="n">
        <f aca="false">'Clients &amp; revenue'!L69</f>
        <v>0</v>
      </c>
      <c r="M21" s="24" t="n">
        <f aca="false">'Clients &amp; revenue'!M69</f>
        <v>0</v>
      </c>
      <c r="N21" s="24" t="n">
        <f aca="false">'Clients &amp; revenue'!N69</f>
        <v>0</v>
      </c>
      <c r="O21" s="24" t="n">
        <f aca="false">'Clients &amp; revenue'!O69</f>
        <v>0</v>
      </c>
      <c r="P21" s="24" t="n">
        <f aca="false">'Clients &amp; revenue'!P69</f>
        <v>0</v>
      </c>
      <c r="Q21" s="24" t="n">
        <f aca="false">'Clients &amp; revenue'!Q69</f>
        <v>0</v>
      </c>
      <c r="R21" s="24" t="n">
        <f aca="false">'Clients &amp; revenue'!R69</f>
        <v>0</v>
      </c>
      <c r="S21" s="24" t="n">
        <f aca="false">'Clients &amp; revenue'!S69</f>
        <v>0</v>
      </c>
      <c r="T21" s="24" t="n">
        <f aca="false">'Clients &amp; revenue'!T69</f>
        <v>0</v>
      </c>
      <c r="U21" s="24" t="n">
        <f aca="false">'Clients &amp; revenue'!U69</f>
        <v>0</v>
      </c>
      <c r="V21" s="24" t="n">
        <f aca="false">'Clients &amp; revenue'!V69</f>
        <v>0</v>
      </c>
      <c r="W21" s="24" t="n">
        <f aca="false">'Clients &amp; revenue'!W69</f>
        <v>0</v>
      </c>
      <c r="X21" s="24" t="n">
        <f aca="false">'Clients &amp; revenue'!X69</f>
        <v>0</v>
      </c>
      <c r="Y21" s="24" t="n">
        <f aca="false">'Clients &amp; revenue'!Y69</f>
        <v>0</v>
      </c>
      <c r="Z21" s="24" t="n">
        <f aca="false">'Clients &amp; revenue'!Z69</f>
        <v>0</v>
      </c>
      <c r="AA21" s="24" t="n">
        <f aca="false">'Clients &amp; revenue'!AA69</f>
        <v>0</v>
      </c>
      <c r="AB21" s="24" t="n">
        <f aca="false">'Clients &amp; revenue'!AB69</f>
        <v>0</v>
      </c>
      <c r="AC21" s="24" t="n">
        <f aca="false">'Clients &amp; revenue'!AC69</f>
        <v>0</v>
      </c>
      <c r="AD21" s="24" t="n">
        <f aca="false">'Clients &amp; revenue'!AD69</f>
        <v>0</v>
      </c>
      <c r="AE21" s="24" t="n">
        <f aca="false">'Clients &amp; revenue'!AE69</f>
        <v>0</v>
      </c>
      <c r="AF21" s="24" t="n">
        <f aca="false">'Clients &amp; revenue'!AF69</f>
        <v>0</v>
      </c>
      <c r="AG21" s="24" t="n">
        <f aca="false">'Clients &amp; revenue'!AG69</f>
        <v>0</v>
      </c>
      <c r="AH21" s="24" t="n">
        <f aca="false">'Clients &amp; revenue'!AH69</f>
        <v>0</v>
      </c>
      <c r="AI21" s="24" t="n">
        <f aca="false">'Clients &amp; revenue'!AI69</f>
        <v>0</v>
      </c>
      <c r="AJ21" s="24" t="n">
        <f aca="false">'Clients &amp; revenue'!AJ69</f>
        <v>0</v>
      </c>
      <c r="AK21" s="24" t="n">
        <f aca="false">'Clients &amp; revenue'!AK69</f>
        <v>0</v>
      </c>
      <c r="AL21" s="24" t="n">
        <f aca="false">'Clients &amp; revenue'!AL69</f>
        <v>0</v>
      </c>
      <c r="AM21" s="24" t="n">
        <f aca="false">'Clients &amp; revenue'!AM69</f>
        <v>0</v>
      </c>
      <c r="AN21" s="24" t="n">
        <f aca="false">'Clients &amp; revenue'!AN69</f>
        <v>0</v>
      </c>
      <c r="AO21" s="24" t="n">
        <f aca="false">'Clients &amp; revenue'!AO69</f>
        <v>0</v>
      </c>
      <c r="AP21" s="24" t="n">
        <f aca="false">'Clients &amp; revenue'!AP69</f>
        <v>0</v>
      </c>
      <c r="AQ21" s="24" t="n">
        <f aca="false">'Clients &amp; revenue'!AQ69</f>
        <v>0</v>
      </c>
      <c r="AR21" s="24" t="n">
        <f aca="false">'Clients &amp; revenue'!AR69</f>
        <v>0</v>
      </c>
      <c r="AS21" s="24" t="n">
        <f aca="false">'Clients &amp; revenue'!AS69</f>
        <v>0</v>
      </c>
      <c r="AT21" s="24" t="n">
        <f aca="false">'Clients &amp; revenue'!AT69</f>
        <v>0</v>
      </c>
      <c r="AU21" s="24" t="n">
        <f aca="false">'Clients &amp; revenue'!AU69</f>
        <v>0</v>
      </c>
      <c r="AV21" s="24" t="n">
        <f aca="false">'Clients &amp; revenue'!AV69</f>
        <v>0</v>
      </c>
      <c r="AW21" s="24" t="n">
        <f aca="false">'Clients &amp; revenue'!AW69</f>
        <v>0</v>
      </c>
      <c r="AX21" s="24" t="n">
        <f aca="false">'Clients &amp; revenue'!AX69</f>
        <v>0</v>
      </c>
      <c r="AY21" s="24" t="n">
        <f aca="false">'Clients &amp; revenue'!AY69</f>
        <v>0</v>
      </c>
      <c r="AZ21" s="24" t="n">
        <f aca="false">'Clients &amp; revenue'!AZ69</f>
        <v>0</v>
      </c>
      <c r="BA21" s="24" t="n">
        <f aca="false">'Clients &amp; revenue'!BA69</f>
        <v>0</v>
      </c>
      <c r="BB21" s="24" t="n">
        <f aca="false">'Clients &amp; revenue'!BB69</f>
        <v>0</v>
      </c>
      <c r="BC21" s="24" t="n">
        <f aca="false">'Clients &amp; revenue'!BC69</f>
        <v>0</v>
      </c>
      <c r="BD21" s="24" t="n">
        <f aca="false">'Clients &amp; revenue'!BD69</f>
        <v>0</v>
      </c>
      <c r="BE21" s="24" t="n">
        <f aca="false">'Clients &amp; revenue'!BE69</f>
        <v>0</v>
      </c>
      <c r="BF21" s="24" t="n">
        <f aca="false">'Clients &amp; revenue'!BF69</f>
        <v>0</v>
      </c>
      <c r="BG21" s="24" t="n">
        <f aca="false">'Clients &amp; revenue'!BG69</f>
        <v>0</v>
      </c>
      <c r="BH21" s="24" t="n">
        <f aca="false">'Clients &amp; revenue'!BH69</f>
        <v>0</v>
      </c>
      <c r="BI21" s="24" t="n">
        <f aca="false">'Clients &amp; revenue'!BI69</f>
        <v>0</v>
      </c>
      <c r="BJ21" s="24" t="n">
        <f aca="false">'Clients &amp; revenue'!BJ69</f>
        <v>0</v>
      </c>
      <c r="BK21" s="24" t="n">
        <f aca="false">'Clients &amp; revenue'!BK69</f>
        <v>0</v>
      </c>
      <c r="BL21" s="24" t="n">
        <f aca="false">'Clients &amp; revenue'!BL69</f>
        <v>0</v>
      </c>
    </row>
    <row r="22" customFormat="false" ht="15" hidden="false" customHeight="true" outlineLevel="0" collapsed="false">
      <c r="A22" s="13" t="s">
        <v>1328</v>
      </c>
      <c r="B22" s="15" t="s">
        <v>77</v>
      </c>
      <c r="D22" s="56" t="n">
        <f aca="false">SUM(E22:BL22)</f>
        <v>1030885274.04224</v>
      </c>
      <c r="E22" s="24" t="n">
        <f aca="false">Credit!E43</f>
        <v>0</v>
      </c>
      <c r="F22" s="24" t="n">
        <f aca="false">Credit!F43</f>
        <v>0</v>
      </c>
      <c r="G22" s="24" t="n">
        <f aca="false">Credit!G43</f>
        <v>0</v>
      </c>
      <c r="H22" s="24" t="n">
        <f aca="false">Credit!H43</f>
        <v>0</v>
      </c>
      <c r="I22" s="24" t="n">
        <f aca="false">Credit!I43</f>
        <v>0</v>
      </c>
      <c r="J22" s="24" t="n">
        <f aca="false">Credit!J43</f>
        <v>0</v>
      </c>
      <c r="K22" s="24" t="n">
        <f aca="false">Credit!K43</f>
        <v>0</v>
      </c>
      <c r="L22" s="24" t="n">
        <f aca="false">Credit!L43</f>
        <v>0</v>
      </c>
      <c r="M22" s="24" t="n">
        <f aca="false">Credit!M43</f>
        <v>0</v>
      </c>
      <c r="N22" s="24" t="n">
        <f aca="false">Credit!N43</f>
        <v>0</v>
      </c>
      <c r="O22" s="24" t="n">
        <f aca="false">Credit!O43</f>
        <v>0</v>
      </c>
      <c r="P22" s="24" t="n">
        <f aca="false">Credit!P43</f>
        <v>0</v>
      </c>
      <c r="Q22" s="24" t="n">
        <f aca="false">Credit!Q43</f>
        <v>0</v>
      </c>
      <c r="R22" s="24" t="n">
        <f aca="false">Credit!R43</f>
        <v>0</v>
      </c>
      <c r="S22" s="24" t="n">
        <f aca="false">Credit!S43</f>
        <v>0</v>
      </c>
      <c r="T22" s="24" t="n">
        <f aca="false">Credit!T43</f>
        <v>0</v>
      </c>
      <c r="U22" s="24" t="n">
        <f aca="false">Credit!U43</f>
        <v>0</v>
      </c>
      <c r="V22" s="24" t="n">
        <f aca="false">Credit!V43</f>
        <v>75377.4293318827</v>
      </c>
      <c r="W22" s="24" t="n">
        <f aca="false">Credit!W43</f>
        <v>245961.588281376</v>
      </c>
      <c r="X22" s="24" t="n">
        <f aca="false">Credit!X43</f>
        <v>456138.580244107</v>
      </c>
      <c r="Y22" s="24" t="n">
        <f aca="false">Credit!Y43</f>
        <v>728230.92506279</v>
      </c>
      <c r="Z22" s="24" t="n">
        <f aca="false">Credit!Z43</f>
        <v>1067587.91924804</v>
      </c>
      <c r="AA22" s="24" t="n">
        <f aca="false">Credit!AA43</f>
        <v>1457177.13009712</v>
      </c>
      <c r="AB22" s="24" t="n">
        <f aca="false">Credit!AB43</f>
        <v>1897061.69093654</v>
      </c>
      <c r="AC22" s="24" t="n">
        <f aca="false">Credit!AC43</f>
        <v>4405571.52790202</v>
      </c>
      <c r="AD22" s="24" t="n">
        <f aca="false">Credit!AD43</f>
        <v>5465847.01820029</v>
      </c>
      <c r="AE22" s="24" t="n">
        <f aca="false">Credit!AE43</f>
        <v>6745769.47521033</v>
      </c>
      <c r="AF22" s="24" t="n">
        <f aca="false">Credit!AF43</f>
        <v>8259586.45900485</v>
      </c>
      <c r="AG22" s="24" t="n">
        <f aca="false">Credit!AG43</f>
        <v>9916990.0376909</v>
      </c>
      <c r="AH22" s="24" t="n">
        <f aca="false">Credit!AH43</f>
        <v>11341023.5725647</v>
      </c>
      <c r="AI22" s="24" t="n">
        <f aca="false">Credit!AI43</f>
        <v>12514443.7462178</v>
      </c>
      <c r="AJ22" s="24" t="n">
        <f aca="false">Credit!AJ43</f>
        <v>13763809.7424567</v>
      </c>
      <c r="AK22" s="24" t="n">
        <f aca="false">Credit!AK43</f>
        <v>14983322.7024906</v>
      </c>
      <c r="AL22" s="24" t="n">
        <f aca="false">Credit!AL43</f>
        <v>16164869.8762673</v>
      </c>
      <c r="AM22" s="24" t="n">
        <f aca="false">Credit!AM43</f>
        <v>17416387.3965291</v>
      </c>
      <c r="AN22" s="24" t="n">
        <f aca="false">Credit!AN43</f>
        <v>18733453.4317916</v>
      </c>
      <c r="AO22" s="24" t="n">
        <f aca="false">Credit!AO43</f>
        <v>20137074.7588092</v>
      </c>
      <c r="AP22" s="24" t="n">
        <f aca="false">Credit!AP43</f>
        <v>21692978.8732878</v>
      </c>
      <c r="AQ22" s="24" t="n">
        <f aca="false">Credit!AQ43</f>
        <v>23136226.6368429</v>
      </c>
      <c r="AR22" s="24" t="n">
        <f aca="false">Credit!AR43</f>
        <v>24425883.7468583</v>
      </c>
      <c r="AS22" s="24" t="n">
        <f aca="false">Credit!AS43</f>
        <v>25764034.1838644</v>
      </c>
      <c r="AT22" s="24" t="n">
        <f aca="false">Credit!AT43</f>
        <v>27106801.3854495</v>
      </c>
      <c r="AU22" s="24" t="n">
        <f aca="false">Credit!AU43</f>
        <v>28427747.6202571</v>
      </c>
      <c r="AV22" s="24" t="n">
        <f aca="false">Credit!AV43</f>
        <v>29798673.0076211</v>
      </c>
      <c r="AW22" s="24" t="n">
        <f aca="false">Credit!AW43</f>
        <v>31221871.1474886</v>
      </c>
      <c r="AX22" s="24" t="n">
        <f aca="false">Credit!AX43</f>
        <v>32667153.6714084</v>
      </c>
      <c r="AY22" s="24" t="n">
        <f aca="false">Credit!AY43</f>
        <v>34119455.1077584</v>
      </c>
      <c r="AZ22" s="24" t="n">
        <f aca="false">Credit!AZ43</f>
        <v>35554804.4981029</v>
      </c>
      <c r="BA22" s="24" t="n">
        <f aca="false">Credit!BA43</f>
        <v>37050290.6175537</v>
      </c>
      <c r="BB22" s="24" t="n">
        <f aca="false">Credit!BB43</f>
        <v>38627949.2896547</v>
      </c>
      <c r="BC22" s="24" t="n">
        <f aca="false">Credit!BC43</f>
        <v>40220089.7533686</v>
      </c>
      <c r="BD22" s="24" t="n">
        <f aca="false">Credit!BD43</f>
        <v>41818770.0642175</v>
      </c>
      <c r="BE22" s="24" t="n">
        <f aca="false">Credit!BE43</f>
        <v>43404337.3507768</v>
      </c>
      <c r="BF22" s="24" t="n">
        <f aca="false">Credit!BF43</f>
        <v>45027478.87575</v>
      </c>
      <c r="BG22" s="24" t="n">
        <f aca="false">Credit!BG43</f>
        <v>46658100.9234667</v>
      </c>
      <c r="BH22" s="24" t="n">
        <f aca="false">Credit!BH43</f>
        <v>48305173.6987893</v>
      </c>
      <c r="BI22" s="24" t="n">
        <f aca="false">Credit!BI43</f>
        <v>49964620.2717144</v>
      </c>
      <c r="BJ22" s="24" t="n">
        <f aca="false">Credit!BJ43</f>
        <v>51662875.3129049</v>
      </c>
      <c r="BK22" s="24" t="n">
        <f aca="false">Credit!BK43</f>
        <v>53368776.5516927</v>
      </c>
      <c r="BL22" s="24" t="n">
        <f aca="false">Credit!BL43</f>
        <v>55085496.445073</v>
      </c>
    </row>
    <row r="23" customFormat="false" ht="15" hidden="false" customHeight="true" outlineLevel="0" collapsed="false">
      <c r="A23" s="9" t="s">
        <v>93</v>
      </c>
      <c r="B23" s="15" t="s">
        <v>77</v>
      </c>
      <c r="D23" s="56" t="n">
        <f aca="false">SUM(E23:BL23)</f>
        <v>24098534133.994</v>
      </c>
      <c r="E23" s="56" t="n">
        <f aca="false">SUM(E9:E22)</f>
        <v>0</v>
      </c>
      <c r="F23" s="56" t="n">
        <f aca="false">SUM(F9:F22)</f>
        <v>0</v>
      </c>
      <c r="G23" s="56" t="n">
        <f aca="false">SUM(G9:G22)</f>
        <v>0</v>
      </c>
      <c r="H23" s="56" t="n">
        <f aca="false">SUM(H9:H22)</f>
        <v>0</v>
      </c>
      <c r="I23" s="56" t="n">
        <f aca="false">SUM(I9:I22)</f>
        <v>3684401</v>
      </c>
      <c r="J23" s="56" t="n">
        <f aca="false">SUM(J9:J22)</f>
        <v>8167645.8775</v>
      </c>
      <c r="K23" s="56" t="n">
        <f aca="false">SUM(K9:K22)</f>
        <v>12643663.9018187</v>
      </c>
      <c r="L23" s="56" t="n">
        <f aca="false">SUM(L9:L22)</f>
        <v>17115380.0915301</v>
      </c>
      <c r="M23" s="56" t="n">
        <f aca="false">SUM(M9:M22)</f>
        <v>21585847.8525974</v>
      </c>
      <c r="N23" s="56" t="n">
        <f aca="false">SUM(N9:N22)</f>
        <v>26058257.4257577</v>
      </c>
      <c r="O23" s="56" t="n">
        <f aca="false">SUM(O9:O22)</f>
        <v>30769632.4192217</v>
      </c>
      <c r="P23" s="56" t="n">
        <f aca="false">SUM(P9:P22)</f>
        <v>35556957.1320413</v>
      </c>
      <c r="Q23" s="56" t="n">
        <f aca="false">SUM(Q9:Q22)</f>
        <v>42197272.3910137</v>
      </c>
      <c r="R23" s="56" t="n">
        <f aca="false">SUM(R9:R22)</f>
        <v>49340996.1108531</v>
      </c>
      <c r="S23" s="56" t="n">
        <f aca="false">SUM(S9:S22)</f>
        <v>56704368.1800161</v>
      </c>
      <c r="T23" s="56" t="n">
        <f aca="false">SUM(T9:T22)</f>
        <v>64292401.476481</v>
      </c>
      <c r="U23" s="56" t="n">
        <f aca="false">SUM(U9:U22)</f>
        <v>72110661.1026599</v>
      </c>
      <c r="V23" s="56" t="n">
        <f aca="false">SUM(V9:V22)</f>
        <v>80572712.0968427</v>
      </c>
      <c r="W23" s="56" t="n">
        <f aca="false">SUM(W9:W22)</f>
        <v>92762719.1208398</v>
      </c>
      <c r="X23" s="56" t="n">
        <f aca="false">SUM(X9:X22)</f>
        <v>106063722.306081</v>
      </c>
      <c r="Y23" s="56" t="n">
        <f aca="false">SUM(Y9:Y22)</f>
        <v>120626185.533792</v>
      </c>
      <c r="Z23" s="56" t="n">
        <f aca="false">SUM(Z9:Z22)</f>
        <v>135884578.258034</v>
      </c>
      <c r="AA23" s="56" t="n">
        <f aca="false">SUM(AA9:AA22)</f>
        <v>150783633.241094</v>
      </c>
      <c r="AB23" s="56" t="n">
        <f aca="false">SUM(AB9:AB22)</f>
        <v>166098858.559367</v>
      </c>
      <c r="AC23" s="56" t="n">
        <f aca="false">SUM(AC9:AC22)</f>
        <v>185779981.262406</v>
      </c>
      <c r="AD23" s="56" t="n">
        <f aca="false">SUM(AD9:AD22)</f>
        <v>204748874.528755</v>
      </c>
      <c r="AE23" s="56" t="n">
        <f aca="false">SUM(AE9:AE22)</f>
        <v>224893970.608026</v>
      </c>
      <c r="AF23" s="56" t="n">
        <f aca="false">SUM(AF9:AF22)</f>
        <v>245587476.283462</v>
      </c>
      <c r="AG23" s="56" t="n">
        <f aca="false">SUM(AG9:AG22)</f>
        <v>266623164.226974</v>
      </c>
      <c r="AH23" s="56" t="n">
        <f aca="false">SUM(AH9:AH22)</f>
        <v>286637673.91733</v>
      </c>
      <c r="AI23" s="56" t="n">
        <f aca="false">SUM(AI9:AI22)</f>
        <v>307292054.572177</v>
      </c>
      <c r="AJ23" s="56" t="n">
        <f aca="false">SUM(AJ9:AJ22)</f>
        <v>328260299.330646</v>
      </c>
      <c r="AK23" s="56" t="n">
        <f aca="false">SUM(AK9:AK22)</f>
        <v>349323634.531952</v>
      </c>
      <c r="AL23" s="56" t="n">
        <f aca="false">SUM(AL9:AL22)</f>
        <v>370493965.49105</v>
      </c>
      <c r="AM23" s="56" t="n">
        <f aca="false">SUM(AM9:AM22)</f>
        <v>392691928.107592</v>
      </c>
      <c r="AN23" s="56" t="n">
        <f aca="false">SUM(AN9:AN22)</f>
        <v>415264690.467935</v>
      </c>
      <c r="AO23" s="56" t="n">
        <f aca="false">SUM(AO9:AO22)</f>
        <v>440565616.122274</v>
      </c>
      <c r="AP23" s="56" t="n">
        <f aca="false">SUM(AP9:AP22)</f>
        <v>467409235.433204</v>
      </c>
      <c r="AQ23" s="56" t="n">
        <f aca="false">SUM(AQ9:AQ22)</f>
        <v>494479439.332385</v>
      </c>
      <c r="AR23" s="56" t="n">
        <f aca="false">SUM(AR9:AR22)</f>
        <v>521631258.139386</v>
      </c>
      <c r="AS23" s="56" t="n">
        <f aca="false">SUM(AS9:AS22)</f>
        <v>549887883.385201</v>
      </c>
      <c r="AT23" s="56" t="n">
        <f aca="false">SUM(AT9:AT22)</f>
        <v>578565900.298033</v>
      </c>
      <c r="AU23" s="56" t="n">
        <f aca="false">SUM(AU9:AU22)</f>
        <v>607539665.345945</v>
      </c>
      <c r="AV23" s="56" t="n">
        <f aca="false">SUM(AV9:AV22)</f>
        <v>638419690.758269</v>
      </c>
      <c r="AW23" s="56" t="n">
        <f aca="false">SUM(AW9:AW22)</f>
        <v>669744469.205088</v>
      </c>
      <c r="AX23" s="56" t="n">
        <f aca="false">SUM(AX9:AX22)</f>
        <v>701766344.693575</v>
      </c>
      <c r="AY23" s="56" t="n">
        <f aca="false">SUM(AY9:AY22)</f>
        <v>733774124.991355</v>
      </c>
      <c r="AZ23" s="56" t="n">
        <f aca="false">SUM(AZ9:AZ22)</f>
        <v>765626036.892511</v>
      </c>
      <c r="BA23" s="56" t="n">
        <f aca="false">SUM(BA9:BA22)</f>
        <v>800659699.709895</v>
      </c>
      <c r="BB23" s="56" t="n">
        <f aca="false">SUM(BB9:BB22)</f>
        <v>836163216.058075</v>
      </c>
      <c r="BC23" s="56" t="n">
        <f aca="false">SUM(BC9:BC22)</f>
        <v>872335803.308449</v>
      </c>
      <c r="BD23" s="56" t="n">
        <f aca="false">SUM(BD9:BD22)</f>
        <v>908516165.773296</v>
      </c>
      <c r="BE23" s="56" t="n">
        <f aca="false">SUM(BE9:BE22)</f>
        <v>945283148.809126</v>
      </c>
      <c r="BF23" s="56" t="n">
        <f aca="false">SUM(BF9:BF22)</f>
        <v>982894362.267229</v>
      </c>
      <c r="BG23" s="56" t="n">
        <f aca="false">SUM(BG9:BG22)</f>
        <v>1020550021.986</v>
      </c>
      <c r="BH23" s="56" t="n">
        <f aca="false">SUM(BH9:BH22)</f>
        <v>1058939390.10198</v>
      </c>
      <c r="BI23" s="56" t="n">
        <f aca="false">SUM(BI9:BI22)</f>
        <v>1098121872.67112</v>
      </c>
      <c r="BJ23" s="56" t="n">
        <f aca="false">SUM(BJ9:BJ22)</f>
        <v>1138202675.95884</v>
      </c>
      <c r="BK23" s="56" t="n">
        <f aca="false">SUM(BK9:BK22)</f>
        <v>1178215399.4741</v>
      </c>
      <c r="BL23" s="56" t="n">
        <f aca="false">SUM(BL9:BL22)</f>
        <v>1218625105.87278</v>
      </c>
    </row>
    <row r="25" customFormat="false" ht="15" hidden="false" customHeight="true" outlineLevel="0" collapsed="false">
      <c r="A25" s="11" t="s">
        <v>1329</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customFormat="false" ht="15" hidden="false" customHeight="true" outlineLevel="0" collapsed="false">
      <c r="A26" s="13" t="s">
        <v>1330</v>
      </c>
      <c r="B26" s="15" t="s">
        <v>77</v>
      </c>
      <c r="D26" s="56" t="n">
        <f aca="false">SUM(E26:BL26)</f>
        <v>369691478.030292</v>
      </c>
      <c r="E26" s="33" t="n">
        <f aca="false">Costs!E9+Costs!E10</f>
        <v>0</v>
      </c>
      <c r="F26" s="33" t="n">
        <f aca="false">Costs!F9+Costs!F10</f>
        <v>0</v>
      </c>
      <c r="G26" s="33" t="n">
        <f aca="false">Costs!G9+Costs!G10</f>
        <v>0</v>
      </c>
      <c r="H26" s="33" t="n">
        <f aca="false">Costs!H9+Costs!H10</f>
        <v>0</v>
      </c>
      <c r="I26" s="33" t="n">
        <f aca="false">Costs!I9+Costs!I10</f>
        <v>237440</v>
      </c>
      <c r="J26" s="33" t="n">
        <f aca="false">Costs!J9+Costs!J10</f>
        <v>312719.7</v>
      </c>
      <c r="K26" s="33" t="n">
        <f aca="false">Costs!K9+Costs!K10</f>
        <v>387643.1635</v>
      </c>
      <c r="L26" s="33" t="n">
        <f aca="false">Costs!L9+Costs!L10</f>
        <v>462270.803433125</v>
      </c>
      <c r="M26" s="33" t="n">
        <f aca="false">Costs!M9+Costs!M10</f>
        <v>536665.191079509</v>
      </c>
      <c r="N26" s="33" t="n">
        <f aca="false">Costs!N9+Costs!N10</f>
        <v>610891.212978794</v>
      </c>
      <c r="O26" s="33" t="n">
        <f aca="false">Costs!O9+Costs!O10</f>
        <v>685016.236731606</v>
      </c>
      <c r="P26" s="33" t="n">
        <f aca="false">Costs!P9+Costs!P10</f>
        <v>759110.2862336</v>
      </c>
      <c r="Q26" s="33" t="n">
        <f aca="false">Costs!Q9+Costs!Q10</f>
        <v>917086.226918072</v>
      </c>
      <c r="R26" s="33" t="n">
        <f aca="false">Costs!R9+Costs!R10</f>
        <v>1017107.66161749</v>
      </c>
      <c r="S26" s="33" t="n">
        <f aca="false">Costs!S9+Costs!S10</f>
        <v>1116901.40119072</v>
      </c>
      <c r="T26" s="33" t="n">
        <f aca="false">Costs!T9+Costs!T10</f>
        <v>1216557.57788457</v>
      </c>
      <c r="U26" s="33" t="n">
        <f aca="false">Costs!U9+Costs!U10</f>
        <v>1316169.87980492</v>
      </c>
      <c r="V26" s="33" t="n">
        <f aca="false">Costs!V9+Costs!V10</f>
        <v>1415835.79878246</v>
      </c>
      <c r="W26" s="33" t="n">
        <f aca="false">Costs!W9+Costs!W10</f>
        <v>1697416.89244946</v>
      </c>
      <c r="X26" s="33" t="n">
        <f aca="false">Costs!X9+Costs!X10</f>
        <v>1855089.86139352</v>
      </c>
      <c r="Y26" s="33" t="n">
        <f aca="false">Costs!Y9+Costs!Y10</f>
        <v>2051248.62630506</v>
      </c>
      <c r="Z26" s="33" t="n">
        <f aca="false">Costs!Z9+Costs!Z10</f>
        <v>2221056.30992345</v>
      </c>
      <c r="AA26" s="33" t="n">
        <f aca="false">Costs!AA9+Costs!AA10</f>
        <v>2391084.4319512</v>
      </c>
      <c r="AB26" s="33" t="n">
        <f aca="false">Costs!AB9+Costs!AB10</f>
        <v>2561511.79891498</v>
      </c>
      <c r="AC26" s="33" t="n">
        <f aca="false">Costs!AC9+Costs!AC10</f>
        <v>2900844.99731692</v>
      </c>
      <c r="AD26" s="33" t="n">
        <f aca="false">Costs!AD9+Costs!AD10</f>
        <v>3124371.01530456</v>
      </c>
      <c r="AE26" s="33" t="n">
        <f aca="false">Costs!AE9+Costs!AE10</f>
        <v>3386428.9800915</v>
      </c>
      <c r="AF26" s="33" t="n">
        <f aca="false">Costs!AF9+Costs!AF10</f>
        <v>3622249.17094479</v>
      </c>
      <c r="AG26" s="33" t="n">
        <f aca="false">Costs!AG9+Costs!AG10</f>
        <v>13043476.1967851</v>
      </c>
      <c r="AH26" s="33" t="n">
        <f aca="false">Costs!AH9+Costs!AH10</f>
        <v>4756929.4401286</v>
      </c>
      <c r="AI26" s="33" t="n">
        <f aca="false">Costs!AI9+Costs!AI10</f>
        <v>5069617.17044198</v>
      </c>
      <c r="AJ26" s="33" t="n">
        <f aca="false">Costs!AJ9+Costs!AJ10</f>
        <v>5324781.51894209</v>
      </c>
      <c r="AK26" s="33" t="n">
        <f aca="false">Costs!AK9+Costs!AK10</f>
        <v>5581901.86290529</v>
      </c>
      <c r="AL26" s="33" t="n">
        <f aca="false">Costs!AL9+Costs!AL10</f>
        <v>5841317.53661796</v>
      </c>
      <c r="AM26" s="33" t="n">
        <f aca="false">Costs!AM9+Costs!AM10</f>
        <v>6174184.28231319</v>
      </c>
      <c r="AN26" s="33" t="n">
        <f aca="false">Costs!AN9+Costs!AN10</f>
        <v>6450726.3081705</v>
      </c>
      <c r="AO26" s="33" t="n">
        <f aca="false">Costs!AO9+Costs!AO10</f>
        <v>6948794.3058899</v>
      </c>
      <c r="AP26" s="33" t="n">
        <f aca="false">Costs!AP9+Costs!AP10</f>
        <v>7338310.47351061</v>
      </c>
      <c r="AQ26" s="33" t="n">
        <f aca="false">Costs!AQ9+Costs!AQ10</f>
        <v>7671968.32443544</v>
      </c>
      <c r="AR26" s="33" t="n">
        <f aca="false">Costs!AR9+Costs!AR10</f>
        <v>8009395.3921848</v>
      </c>
      <c r="AS26" s="33" t="n">
        <f aca="false">Costs!AS9+Costs!AS10</f>
        <v>8421887.2058458</v>
      </c>
      <c r="AT26" s="33" t="n">
        <f aca="false">Costs!AT9+Costs!AT10</f>
        <v>8779815.23905166</v>
      </c>
      <c r="AU26" s="33" t="n">
        <f aca="false">Costs!AU9+Costs!AU10</f>
        <v>9142885.39310722</v>
      </c>
      <c r="AV26" s="33" t="n">
        <f aca="false">Costs!AV9+Costs!AV10</f>
        <v>9646196.26297123</v>
      </c>
      <c r="AW26" s="33" t="n">
        <f aca="false">Costs!AW9+Costs!AW10</f>
        <v>10022844.4381457</v>
      </c>
      <c r="AX26" s="33" t="n">
        <f aca="false">Costs!AX9+Costs!AX10</f>
        <v>10450164.3262224</v>
      </c>
      <c r="AY26" s="33" t="n">
        <f aca="false">Costs!AY9+Costs!AY10</f>
        <v>10815789.9283254</v>
      </c>
      <c r="AZ26" s="33" t="n">
        <f aca="false">Costs!AZ9+Costs!AZ10</f>
        <v>11179131.5420262</v>
      </c>
      <c r="BA26" s="33" t="n">
        <f aca="false">Costs!BA9+Costs!BA10</f>
        <v>11830732.0810182</v>
      </c>
      <c r="BB26" s="33" t="n">
        <f aca="false">Costs!BB9+Costs!BB10</f>
        <v>12237252.2447064</v>
      </c>
      <c r="BC26" s="33" t="n">
        <f aca="false">Costs!BC9+Costs!BC10</f>
        <v>12712324.4506029</v>
      </c>
      <c r="BD26" s="33" t="n">
        <f aca="false">Costs!BD9+Costs!BD10</f>
        <v>13126104.5299882</v>
      </c>
      <c r="BE26" s="33" t="n">
        <f aca="false">Costs!BE9+Costs!BE10</f>
        <v>13601786.7096604</v>
      </c>
      <c r="BF26" s="33" t="n">
        <f aca="false">Costs!BF9+Costs!BF10</f>
        <v>14093366.8732515</v>
      </c>
      <c r="BG26" s="33" t="n">
        <f aca="false">Costs!BG9+Costs!BG10</f>
        <v>14524281.0397779</v>
      </c>
      <c r="BH26" s="33" t="n">
        <f aca="false">Costs!BH9+Costs!BH10</f>
        <v>15024846.055055</v>
      </c>
      <c r="BI26" s="33" t="n">
        <f aca="false">Costs!BI9+Costs!BI10</f>
        <v>15529008.0009247</v>
      </c>
      <c r="BJ26" s="33" t="n">
        <f aca="false">Costs!BJ9+Costs!BJ10</f>
        <v>16049981.4136145</v>
      </c>
      <c r="BK26" s="33" t="n">
        <f aca="false">Costs!BK9+Costs!BK10</f>
        <v>16496097.4806713</v>
      </c>
      <c r="BL26" s="33" t="n">
        <f aca="false">Costs!BL9+Costs!BL10</f>
        <v>16992862.7782494</v>
      </c>
    </row>
    <row r="27" customFormat="false" ht="15" hidden="false" customHeight="true" outlineLevel="0" collapsed="false">
      <c r="A27" s="13" t="s">
        <v>1331</v>
      </c>
      <c r="B27" s="15" t="s">
        <v>77</v>
      </c>
      <c r="D27" s="56" t="n">
        <f aca="false">SUM(E27:BL27)</f>
        <v>4976491405.71525</v>
      </c>
      <c r="E27" s="33" t="n">
        <f aca="false">Costs!E11+Costs!E12+Costs!E13+Costs!E14</f>
        <v>0</v>
      </c>
      <c r="F27" s="33" t="n">
        <f aca="false">Costs!F11+Costs!F12+Costs!F13+Costs!F14</f>
        <v>0</v>
      </c>
      <c r="G27" s="33" t="n">
        <f aca="false">Costs!G11+Costs!G12+Costs!G13+Costs!G14</f>
        <v>0</v>
      </c>
      <c r="H27" s="33" t="n">
        <f aca="false">Costs!H11+Costs!H12+Costs!H13+Costs!H14</f>
        <v>0</v>
      </c>
      <c r="I27" s="33" t="n">
        <f aca="false">Costs!I11+Costs!I12+Costs!I13+Costs!I14</f>
        <v>1470149.33333333</v>
      </c>
      <c r="J27" s="33" t="n">
        <f aca="false">Costs!J11+Costs!J12+Costs!J13+Costs!J14</f>
        <v>2672745.24666667</v>
      </c>
      <c r="K27" s="33" t="n">
        <f aca="false">Costs!K11+Costs!K12+Costs!K13+Costs!K14</f>
        <v>3873234.44815</v>
      </c>
      <c r="L27" s="33" t="n">
        <f aca="false">Costs!L11+Costs!L12+Costs!L13+Costs!L14</f>
        <v>5072421.70310846</v>
      </c>
      <c r="M27" s="33" t="n">
        <f aca="false">Costs!M11+Costs!M12+Costs!M13+Costs!M14</f>
        <v>6271146.7338466</v>
      </c>
      <c r="N27" s="33" t="n">
        <f aca="false">Costs!N11+Costs!N12+Costs!N13+Costs!N14</f>
        <v>7470286.52970269</v>
      </c>
      <c r="O27" s="33" t="n">
        <f aca="false">Costs!O11+Costs!O12+Costs!O13+Costs!O14</f>
        <v>8670757.79203606</v>
      </c>
      <c r="P27" s="33" t="n">
        <f aca="false">Costs!P11+Costs!P12+Costs!P13+Costs!P14</f>
        <v>9873519.52231023</v>
      </c>
      <c r="Q27" s="33" t="n">
        <f aca="false">Costs!Q11+Costs!Q12+Costs!Q13+Costs!Q14</f>
        <v>11598685.0952567</v>
      </c>
      <c r="R27" s="33" t="n">
        <f aca="false">Costs!R11+Costs!R12+Costs!R13+Costs!R14</f>
        <v>13228686.9396215</v>
      </c>
      <c r="S27" s="33" t="n">
        <f aca="false">Costs!S11+Costs!S12+Costs!S13+Costs!S14</f>
        <v>14859020.5776963</v>
      </c>
      <c r="T27" s="33" t="n">
        <f aca="false">Costs!T11+Costs!T12+Costs!T13+Costs!T14</f>
        <v>16490914.6612155</v>
      </c>
      <c r="U27" s="33" t="n">
        <f aca="false">Costs!U11+Costs!U12+Costs!U13+Costs!U14</f>
        <v>18125654.4348414</v>
      </c>
      <c r="V27" s="33" t="n">
        <f aca="false">Costs!V11+Costs!V12+Costs!V13+Costs!V14</f>
        <v>19764585.4027222</v>
      </c>
      <c r="W27" s="33" t="n">
        <f aca="false">Costs!W11+Costs!W12+Costs!W13+Costs!W14</f>
        <v>22534514.5437279</v>
      </c>
      <c r="X27" s="33" t="n">
        <f aca="false">Costs!X11+Costs!X12+Costs!X13+Costs!X14</f>
        <v>25106489.5417013</v>
      </c>
      <c r="Y27" s="33" t="n">
        <f aca="false">Costs!Y11+Costs!Y12+Costs!Y13+Costs!Y14</f>
        <v>27923049.1124413</v>
      </c>
      <c r="Z27" s="33" t="n">
        <f aca="false">Costs!Z11+Costs!Z12+Costs!Z13+Costs!Z14</f>
        <v>30703090.47796</v>
      </c>
      <c r="AA27" s="33" t="n">
        <f aca="false">Costs!AA11+Costs!AA12+Costs!AA13+Costs!AA14</f>
        <v>33492189.542535</v>
      </c>
      <c r="AB27" s="33" t="n">
        <f aca="false">Costs!AB11+Costs!AB12+Costs!AB13+Costs!AB14</f>
        <v>36292836.8572526</v>
      </c>
      <c r="AC27" s="33" t="n">
        <f aca="false">Costs!AC11+Costs!AC12+Costs!AC13+Costs!AC14</f>
        <v>40149826.2727681</v>
      </c>
      <c r="AD27" s="33" t="n">
        <f aca="false">Costs!AD11+Costs!AD12+Costs!AD13+Costs!AD14</f>
        <v>43823938.630349</v>
      </c>
      <c r="AE27" s="33" t="n">
        <f aca="false">Costs!AE11+Costs!AE12+Costs!AE13+Costs!AE14</f>
        <v>47745319.7005195</v>
      </c>
      <c r="AF27" s="33" t="n">
        <f aca="false">Costs!AF11+Costs!AF12+Costs!AF13+Costs!AF14</f>
        <v>51633802.3951821</v>
      </c>
      <c r="AG27" s="33" t="n">
        <f aca="false">Costs!AG11+Costs!AG12+Costs!AG13+Costs!AG14</f>
        <v>55535943.6338299</v>
      </c>
      <c r="AH27" s="33" t="n">
        <f aca="false">Costs!AH11+Costs!AH12+Costs!AH13+Costs!AH14</f>
        <v>59455263.1967315</v>
      </c>
      <c r="AI27" s="33" t="n">
        <f aca="false">Costs!AI11+Costs!AI12+Costs!AI13+Costs!AI14</f>
        <v>63633214.1034396</v>
      </c>
      <c r="AJ27" s="33" t="n">
        <f aca="false">Costs!AJ11+Costs!AJ12+Costs!AJ13+Costs!AJ14</f>
        <v>67790336.4036365</v>
      </c>
      <c r="AK27" s="33" t="n">
        <f aca="false">Costs!AK11+Costs!AK12+Costs!AK13+Costs!AK14</f>
        <v>71973936.4362452</v>
      </c>
      <c r="AL27" s="33" t="n">
        <f aca="false">Costs!AL11+Costs!AL12+Costs!AL13+Costs!AL14</f>
        <v>76188328.2191263</v>
      </c>
      <c r="AM27" s="33" t="n">
        <f aca="false">Costs!AM11+Costs!AM12+Costs!AM13+Costs!AM14</f>
        <v>80675806.5163318</v>
      </c>
      <c r="AN27" s="33" t="n">
        <f aca="false">Costs!AN11+Costs!AN12+Costs!AN13+Costs!AN14</f>
        <v>85157803.4790582</v>
      </c>
      <c r="AO27" s="33" t="n">
        <f aca="false">Costs!AO11+Costs!AO12+Costs!AO13+Costs!AO14</f>
        <v>90415664.2592433</v>
      </c>
      <c r="AP27" s="33" t="n">
        <f aca="false">Costs!AP11+Costs!AP12+Costs!AP13+Costs!AP14</f>
        <v>95818841.9017218</v>
      </c>
      <c r="AQ27" s="33" t="n">
        <f aca="false">Costs!AQ11+Costs!AQ12+Costs!AQ13+Costs!AQ14</f>
        <v>101222898.431371</v>
      </c>
      <c r="AR27" s="33" t="n">
        <f aca="false">Costs!AR11+Costs!AR12+Costs!AR13+Costs!AR14</f>
        <v>106677062.850064</v>
      </c>
      <c r="AS27" s="33" t="n">
        <f aca="false">Costs!AS11+Costs!AS12+Costs!AS13+Costs!AS14</f>
        <v>112425438.700688</v>
      </c>
      <c r="AT27" s="33" t="n">
        <f aca="false">Costs!AT11+Costs!AT12+Costs!AT13+Costs!AT14</f>
        <v>118191366.476938</v>
      </c>
      <c r="AU27" s="33" t="n">
        <f aca="false">Costs!AU11+Costs!AU12+Costs!AU13+Costs!AU14</f>
        <v>124025112.016157</v>
      </c>
      <c r="AV27" s="33" t="n">
        <f aca="false">Costs!AV11+Costs!AV12+Costs!AV13+Costs!AV14</f>
        <v>130385861.568489</v>
      </c>
      <c r="AW27" s="33" t="n">
        <f aca="false">Costs!AW11+Costs!AW12+Costs!AW13+Costs!AW14</f>
        <v>136675184.145356</v>
      </c>
      <c r="AX27" s="33" t="n">
        <f aca="false">Costs!AX11+Costs!AX12+Costs!AX13+Costs!AX14</f>
        <v>143155471.883666</v>
      </c>
      <c r="AY27" s="33" t="n">
        <f aca="false">Costs!AY11+Costs!AY12+Costs!AY13+Costs!AY14</f>
        <v>149559138.013903</v>
      </c>
      <c r="AZ27" s="33" t="n">
        <f aca="false">Costs!AZ11+Costs!AZ12+Costs!AZ13+Costs!AZ14</f>
        <v>155932465.094693</v>
      </c>
      <c r="BA27" s="33" t="n">
        <f aca="false">Costs!BA11+Costs!BA12+Costs!BA13+Costs!BA14</f>
        <v>163253466.069307</v>
      </c>
      <c r="BB27" s="33" t="n">
        <f aca="false">Costs!BB11+Costs!BB12+Costs!BB13+Costs!BB14</f>
        <v>170363777.706206</v>
      </c>
      <c r="BC27" s="33" t="n">
        <f aca="false">Costs!BC11+Costs!BC12+Costs!BC13+Costs!BC14</f>
        <v>177681866.256523</v>
      </c>
      <c r="BD27" s="33" t="n">
        <f aca="false">Costs!BD11+Costs!BD12+Costs!BD13+Costs!BD14</f>
        <v>184928118.311405</v>
      </c>
      <c r="BE27" s="33" t="n">
        <f aca="false">Costs!BE11+Costs!BE12+Costs!BE13+Costs!BE14</f>
        <v>192363621.880241</v>
      </c>
      <c r="BF27" s="33" t="n">
        <f aca="false">Costs!BF11+Costs!BF12+Costs!BF13+Costs!BF14</f>
        <v>199975193.978188</v>
      </c>
      <c r="BG27" s="33" t="n">
        <f aca="false">Costs!BG11+Costs!BG12+Costs!BG13+Costs!BG14</f>
        <v>207522634.878763</v>
      </c>
      <c r="BH27" s="33" t="n">
        <f aca="false">Costs!BH11+Costs!BH12+Costs!BH13+Costs!BH14</f>
        <v>215291373.098733</v>
      </c>
      <c r="BI27" s="33" t="n">
        <f aca="false">Costs!BI11+Costs!BI12+Costs!BI13+Costs!BI14</f>
        <v>223216713.130688</v>
      </c>
      <c r="BJ27" s="33" t="n">
        <f aca="false">Costs!BJ11+Costs!BJ12+Costs!BJ13+Costs!BJ14</f>
        <v>231329504.154274</v>
      </c>
      <c r="BK27" s="33" t="n">
        <f aca="false">Costs!BK11+Costs!BK12+Costs!BK13+Costs!BK14</f>
        <v>239339476.837856</v>
      </c>
      <c r="BL27" s="33" t="n">
        <f aca="false">Costs!BL11+Costs!BL12+Costs!BL13+Costs!BL14</f>
        <v>247483656.587437</v>
      </c>
    </row>
    <row r="28" customFormat="false" ht="15" hidden="false" customHeight="true" outlineLevel="0" collapsed="false">
      <c r="A28" s="13" t="s">
        <v>1332</v>
      </c>
      <c r="B28" s="15" t="s">
        <v>77</v>
      </c>
      <c r="D28" s="56" t="n">
        <f aca="false">SUM(E28:BL28)</f>
        <v>7096074174.43543</v>
      </c>
      <c r="E28" s="33" t="n">
        <f aca="false">Costs!E15+Costs!E16+Costs!E17+Costs!E18+Costs!E19</f>
        <v>0</v>
      </c>
      <c r="F28" s="33" t="n">
        <f aca="false">Costs!F15+Costs!F16+Costs!F17+Costs!F18+Costs!F19</f>
        <v>0</v>
      </c>
      <c r="G28" s="33" t="n">
        <f aca="false">Costs!G15+Costs!G16+Costs!G17+Costs!G18+Costs!G19</f>
        <v>0</v>
      </c>
      <c r="H28" s="33" t="n">
        <f aca="false">Costs!H15+Costs!H16+Costs!H17+Costs!H18+Costs!H19</f>
        <v>0</v>
      </c>
      <c r="I28" s="33" t="n">
        <f aca="false">Costs!I15+Costs!I16+Costs!I17+Costs!I18+Costs!I19</f>
        <v>1154181</v>
      </c>
      <c r="J28" s="33" t="n">
        <f aca="false">Costs!J15+Costs!J16+Costs!J17+Costs!J18+Costs!J19</f>
        <v>2306761.1725</v>
      </c>
      <c r="K28" s="33" t="n">
        <f aca="false">Costs!K15+Costs!K16+Costs!K17+Costs!K18+Costs!K19</f>
        <v>3458452.29664375</v>
      </c>
      <c r="L28" s="33" t="n">
        <f aca="false">Costs!L15+Costs!L16+Costs!L17+Costs!L18+Costs!L19</f>
        <v>4609998.20472345</v>
      </c>
      <c r="M28" s="33" t="n">
        <f aca="false">Costs!M15+Costs!M16+Costs!M17+Costs!M18+Costs!M19</f>
        <v>5762176.86549413</v>
      </c>
      <c r="N28" s="33" t="n">
        <f aca="false">Costs!N15+Costs!N16+Costs!N17+Costs!N18+Costs!N19</f>
        <v>6915802.58982735</v>
      </c>
      <c r="O28" s="33" t="n">
        <f aca="false">Costs!O15+Costs!O16+Costs!O17+Costs!O18+Costs!O19</f>
        <v>8071728.36609201</v>
      </c>
      <c r="P28" s="33" t="n">
        <f aca="false">Costs!P15+Costs!P16+Costs!P17+Costs!P18+Costs!P19</f>
        <v>9230848.3330922</v>
      </c>
      <c r="Q28" s="33" t="n">
        <f aca="false">Costs!Q15+Costs!Q16+Costs!Q17+Costs!Q18+Costs!Q19</f>
        <v>11100125.6313572</v>
      </c>
      <c r="R28" s="33" t="n">
        <f aca="false">Costs!R15+Costs!R16+Costs!R17+Costs!R18+Costs!R19</f>
        <v>13056519.6887535</v>
      </c>
      <c r="S28" s="33" t="n">
        <f aca="false">Costs!S15+Costs!S16+Costs!S17+Costs!S18+Costs!S19</f>
        <v>15101105.029808</v>
      </c>
      <c r="T28" s="33" t="n">
        <f aca="false">Costs!T15+Costs!T16+Costs!T17+Costs!T18+Costs!T19</f>
        <v>17235138.3327729</v>
      </c>
      <c r="U28" s="33" t="n">
        <f aca="false">Costs!U15+Costs!U16+Costs!U17+Costs!U18+Costs!U19</f>
        <v>19460069.0932373</v>
      </c>
      <c r="V28" s="33" t="n">
        <f aca="false">Costs!V15+Costs!V16+Costs!V17+Costs!V18+Costs!V19</f>
        <v>22054248.0918258</v>
      </c>
      <c r="W28" s="33" t="n">
        <f aca="false">Costs!W15+Costs!W16+Costs!W17+Costs!W18+Costs!W19</f>
        <v>25871361.7266538</v>
      </c>
      <c r="X28" s="33" t="n">
        <f aca="false">Costs!X15+Costs!X16+Costs!X17+Costs!X18+Costs!X19</f>
        <v>29905534.4106008</v>
      </c>
      <c r="Y28" s="33" t="n">
        <f aca="false">Costs!Y15+Costs!Y16+Costs!Y17+Costs!Y18+Costs!Y19</f>
        <v>34404324.6970282</v>
      </c>
      <c r="Z28" s="33" t="n">
        <f aca="false">Costs!Z15+Costs!Z16+Costs!Z17+Costs!Z18+Costs!Z19</f>
        <v>39139964.5993666</v>
      </c>
      <c r="AA28" s="33" t="n">
        <f aca="false">Costs!AA15+Costs!AA16+Costs!AA17+Costs!AA18+Costs!AA19</f>
        <v>44116322.4098574</v>
      </c>
      <c r="AB28" s="33" t="n">
        <f aca="false">Costs!AB15+Costs!AB16+Costs!AB17+Costs!AB18+Costs!AB19</f>
        <v>49337809.959811</v>
      </c>
      <c r="AC28" s="33" t="n">
        <f aca="false">Costs!AC15+Costs!AC16+Costs!AC17+Costs!AC18+Costs!AC19</f>
        <v>54976351.6697732</v>
      </c>
      <c r="AD28" s="33" t="n">
        <f aca="false">Costs!AD15+Costs!AD16+Costs!AD17+Costs!AD18+Costs!AD19</f>
        <v>60731239.3067359</v>
      </c>
      <c r="AE28" s="33" t="n">
        <f aca="false">Costs!AE15+Costs!AE16+Costs!AE17+Costs!AE18+Costs!AE19</f>
        <v>66883615.6296441</v>
      </c>
      <c r="AF28" s="33" t="n">
        <f aca="false">Costs!AF15+Costs!AF16+Costs!AF17+Costs!AF18+Costs!AF19</f>
        <v>73164076.7399568</v>
      </c>
      <c r="AG28" s="33" t="n">
        <f aca="false">Costs!AG15+Costs!AG16+Costs!AG17+Costs!AG18+Costs!AG19</f>
        <v>79577853.5995105</v>
      </c>
      <c r="AH28" s="33" t="n">
        <f aca="false">Costs!AH15+Costs!AH16+Costs!AH17+Costs!AH18+Costs!AH19</f>
        <v>85294356.4716202</v>
      </c>
      <c r="AI28" s="33" t="n">
        <f aca="false">Costs!AI15+Costs!AI16+Costs!AI17+Costs!AI18+Costs!AI19</f>
        <v>91325631.7025665</v>
      </c>
      <c r="AJ28" s="33" t="n">
        <f aca="false">Costs!AJ15+Costs!AJ16+Costs!AJ17+Costs!AJ18+Costs!AJ19</f>
        <v>97391780.3409603</v>
      </c>
      <c r="AK28" s="33" t="n">
        <f aca="false">Costs!AK15+Costs!AK16+Costs!AK17+Costs!AK18+Costs!AK19</f>
        <v>103498660.095881</v>
      </c>
      <c r="AL28" s="33" t="n">
        <f aca="false">Costs!AL15+Costs!AL16+Costs!AL17+Costs!AL18+Costs!AL19</f>
        <v>109652429.836935</v>
      </c>
      <c r="AM28" s="33" t="n">
        <f aca="false">Costs!AM15+Costs!AM16+Costs!AM17+Costs!AM18+Costs!AM19</f>
        <v>116141756.429978</v>
      </c>
      <c r="AN28" s="33" t="n">
        <f aca="false">Costs!AN15+Costs!AN16+Costs!AN17+Costs!AN18+Costs!AN19</f>
        <v>122688029.280116</v>
      </c>
      <c r="AO28" s="33" t="n">
        <f aca="false">Costs!AO15+Costs!AO16+Costs!AO17+Costs!AO18+Costs!AO19</f>
        <v>130168551.159744</v>
      </c>
      <c r="AP28" s="33" t="n">
        <f aca="false">Costs!AP15+Costs!AP16+Costs!AP17+Costs!AP18+Costs!AP19</f>
        <v>137993041.983793</v>
      </c>
      <c r="AQ28" s="33" t="n">
        <f aca="false">Costs!AQ15+Costs!AQ16+Costs!AQ17+Costs!AQ18+Costs!AQ19</f>
        <v>145884218.04235</v>
      </c>
      <c r="AR28" s="33" t="n">
        <f aca="false">Costs!AR15+Costs!AR16+Costs!AR17+Costs!AR18+Costs!AR19</f>
        <v>153850697.920497</v>
      </c>
      <c r="AS28" s="33" t="n">
        <f aca="false">Costs!AS15+Costs!AS16+Costs!AS17+Costs!AS18+Costs!AS19</f>
        <v>162183743.905027</v>
      </c>
      <c r="AT28" s="33" t="n">
        <f aca="false">Costs!AT15+Costs!AT16+Costs!AT17+Costs!AT18+Costs!AT19</f>
        <v>170607484.84842</v>
      </c>
      <c r="AU28" s="33" t="n">
        <f aca="false">Costs!AU15+Costs!AU16+Costs!AU17+Costs!AU18+Costs!AU19</f>
        <v>179132036.147483</v>
      </c>
      <c r="AV28" s="33" t="n">
        <f aca="false">Costs!AV15+Costs!AV16+Costs!AV17+Costs!AV18+Costs!AV19</f>
        <v>188304215.409486</v>
      </c>
      <c r="AW28" s="33" t="n">
        <f aca="false">Costs!AW15+Costs!AW16+Costs!AW17+Costs!AW18+Costs!AW19</f>
        <v>197512319.636853</v>
      </c>
      <c r="AX28" s="33" t="n">
        <f aca="false">Costs!AX15+Costs!AX16+Costs!AX17+Costs!AX18+Costs!AX19</f>
        <v>206957874.190253</v>
      </c>
      <c r="AY28" s="33" t="n">
        <f aca="false">Costs!AY15+Costs!AY16+Costs!AY17+Costs!AY18+Costs!AY19</f>
        <v>216359574.937412</v>
      </c>
      <c r="AZ28" s="33" t="n">
        <f aca="false">Costs!AZ15+Costs!AZ16+Costs!AZ17+Costs!AZ18+Costs!AZ19</f>
        <v>225721747.803681</v>
      </c>
      <c r="BA28" s="33" t="n">
        <f aca="false">Costs!BA15+Costs!BA16+Costs!BA17+Costs!BA18+Costs!BA19</f>
        <v>236205857.108526</v>
      </c>
      <c r="BB28" s="33" t="n">
        <f aca="false">Costs!BB15+Costs!BB16+Costs!BB17+Costs!BB18+Costs!BB19</f>
        <v>246646314.828387</v>
      </c>
      <c r="BC28" s="33" t="n">
        <f aca="false">Costs!BC15+Costs!BC16+Costs!BC17+Costs!BC18+Costs!BC19</f>
        <v>257330349.801684</v>
      </c>
      <c r="BD28" s="33" t="n">
        <f aca="false">Costs!BD15+Costs!BD16+Costs!BD17+Costs!BD18+Costs!BD19</f>
        <v>267977774.720228</v>
      </c>
      <c r="BE28" s="33" t="n">
        <f aca="false">Costs!BE15+Costs!BE16+Costs!BE17+Costs!BE18+Costs!BE19</f>
        <v>278848058.955542</v>
      </c>
      <c r="BF28" s="33" t="n">
        <f aca="false">Costs!BF15+Costs!BF16+Costs!BF17+Costs!BF18+Costs!BF19</f>
        <v>289972232.812403</v>
      </c>
      <c r="BG28" s="33" t="n">
        <f aca="false">Costs!BG15+Costs!BG16+Costs!BG17+Costs!BG18+Costs!BG19</f>
        <v>301070878.383055</v>
      </c>
      <c r="BH28" s="33" t="n">
        <f aca="false">Costs!BH15+Costs!BH16+Costs!BH17+Costs!BH18+Costs!BH19</f>
        <v>312432497.759382</v>
      </c>
      <c r="BI28" s="33" t="n">
        <f aca="false">Costs!BI15+Costs!BI16+Costs!BI17+Costs!BI18+Costs!BI19</f>
        <v>324032220.637032</v>
      </c>
      <c r="BJ28" s="33" t="n">
        <f aca="false">Costs!BJ15+Costs!BJ16+Costs!BJ17+Costs!BJ18+Costs!BJ19</f>
        <v>335902275.565826</v>
      </c>
      <c r="BK28" s="33" t="n">
        <f aca="false">Costs!BK15+Costs!BK16+Costs!BK17+Costs!BK18+Costs!BK19</f>
        <v>347704041.816224</v>
      </c>
      <c r="BL28" s="33" t="n">
        <f aca="false">Costs!BL15+Costs!BL16+Costs!BL17+Costs!BL18+Costs!BL19</f>
        <v>359657912.459018</v>
      </c>
    </row>
    <row r="29" customFormat="false" ht="15" hidden="false" customHeight="true" outlineLevel="0" collapsed="false">
      <c r="A29" s="13" t="s">
        <v>1333</v>
      </c>
      <c r="B29" s="15" t="s">
        <v>77</v>
      </c>
      <c r="D29" s="56" t="n">
        <f aca="false">SUM(E29:BL29)</f>
        <v>244170485.117078</v>
      </c>
      <c r="E29" s="33" t="n">
        <f aca="false">Costs!E21+Costs!E22+Costs!E20</f>
        <v>0</v>
      </c>
      <c r="F29" s="33" t="n">
        <f aca="false">Costs!F21+Costs!F22+Costs!F20</f>
        <v>0</v>
      </c>
      <c r="G29" s="33" t="n">
        <f aca="false">Costs!G21+Costs!G22+Costs!G20</f>
        <v>0</v>
      </c>
      <c r="H29" s="33" t="n">
        <f aca="false">Costs!H21+Costs!H22+Costs!H20</f>
        <v>0</v>
      </c>
      <c r="I29" s="33" t="n">
        <f aca="false">Costs!I21+Costs!I22+Costs!I20</f>
        <v>17313.3333333333</v>
      </c>
      <c r="J29" s="33" t="n">
        <f aca="false">Costs!J21+Costs!J22+Costs!J20</f>
        <v>34508.9966666667</v>
      </c>
      <c r="K29" s="33" t="n">
        <f aca="false">Costs!K21+Costs!K22+Costs!K20</f>
        <v>51599.36215</v>
      </c>
      <c r="L29" s="33" t="n">
        <f aca="false">Costs!L21+Costs!L22+Costs!L20</f>
        <v>68597.1955743958</v>
      </c>
      <c r="M29" s="33" t="n">
        <f aca="false">Costs!M21+Costs!M22+Costs!M20</f>
        <v>85515.6865116189</v>
      </c>
      <c r="N29" s="33" t="n">
        <f aca="false">Costs!N21+Costs!N22+Costs!N20</f>
        <v>102368.480137036</v>
      </c>
      <c r="O29" s="33" t="n">
        <f aca="false">Costs!O21+Costs!O22+Costs!O20</f>
        <v>123064.504027096</v>
      </c>
      <c r="P29" s="33" t="n">
        <f aca="false">Costs!P21+Costs!P22+Costs!P20</f>
        <v>144843.301298928</v>
      </c>
      <c r="Q29" s="33" t="n">
        <f aca="false">Costs!Q21+Costs!Q22+Costs!Q20</f>
        <v>174429.292108762</v>
      </c>
      <c r="R29" s="33" t="n">
        <f aca="false">Costs!R21+Costs!R22+Costs!R20</f>
        <v>205427.339875745</v>
      </c>
      <c r="S29" s="33" t="n">
        <f aca="false">Costs!S21+Costs!S22+Costs!S20</f>
        <v>237859.718159551</v>
      </c>
      <c r="T29" s="33" t="n">
        <f aca="false">Costs!T21+Costs!T22+Costs!T20</f>
        <v>271751.601702361</v>
      </c>
      <c r="U29" s="33" t="n">
        <f aca="false">Costs!U21+Costs!U22+Costs!U20</f>
        <v>307131.250754855</v>
      </c>
      <c r="V29" s="33" t="n">
        <f aca="false">Costs!V21+Costs!V22+Costs!V20</f>
        <v>344030.208447547</v>
      </c>
      <c r="W29" s="33" t="n">
        <f aca="false">Costs!W21+Costs!W22+Costs!W20</f>
        <v>399570.84541796</v>
      </c>
      <c r="X29" s="33" t="n">
        <f aca="false">Costs!X21+Costs!X22+Costs!X20</f>
        <v>457458.255963002</v>
      </c>
      <c r="Y29" s="33" t="n">
        <f aca="false">Costs!Y21+Costs!Y22+Costs!Y20</f>
        <v>521535.647586009</v>
      </c>
      <c r="Z29" s="33" t="n">
        <f aca="false">Costs!Z21+Costs!Z22+Costs!Z20</f>
        <v>588194.010102482</v>
      </c>
      <c r="AA29" s="33" t="n">
        <f aca="false">Costs!AA21+Costs!AA22+Costs!AA20</f>
        <v>642183.412182896</v>
      </c>
      <c r="AB29" s="33" t="n">
        <f aca="false">Costs!AB21+Costs!AB22+Costs!AB20</f>
        <v>696266.048938496</v>
      </c>
      <c r="AC29" s="33" t="n">
        <f aca="false">Costs!AC21+Costs!AC22+Costs!AC20</f>
        <v>767502.176116063</v>
      </c>
      <c r="AD29" s="33" t="n">
        <f aca="false">Costs!AD21+Costs!AD22+Costs!AD20</f>
        <v>838685.969685308</v>
      </c>
      <c r="AE29" s="33" t="n">
        <f aca="false">Costs!AE21+Costs!AE22+Costs!AE20</f>
        <v>913759.504033594</v>
      </c>
      <c r="AF29" s="33" t="n">
        <f aca="false">Costs!AF21+Costs!AF22+Costs!AF20</f>
        <v>988849.583147549</v>
      </c>
      <c r="AG29" s="33" t="n">
        <f aca="false">Costs!AG21+Costs!AG22+Costs!AG20</f>
        <v>2901025.29216828</v>
      </c>
      <c r="AH29" s="33" t="n">
        <f aca="false">Costs!AH21+Costs!AH22+Costs!AH20</f>
        <v>3108672.18334935</v>
      </c>
      <c r="AI29" s="33" t="n">
        <f aca="false">Costs!AI21+Costs!AI22+Costs!AI20</f>
        <v>3327728.03868053</v>
      </c>
      <c r="AJ29" s="33" t="n">
        <f aca="false">Costs!AJ21+Costs!AJ22+Costs!AJ20</f>
        <v>3547909.19115709</v>
      </c>
      <c r="AK29" s="33" t="n">
        <f aca="false">Costs!AK21+Costs!AK22+Costs!AK20</f>
        <v>3769432.14196272</v>
      </c>
      <c r="AL29" s="33" t="n">
        <f aca="false">Costs!AL21+Costs!AL22+Costs!AL20</f>
        <v>3992524.23451208</v>
      </c>
      <c r="AM29" s="33" t="n">
        <f aca="false">Costs!AM21+Costs!AM22+Costs!AM20</f>
        <v>4227784.33987154</v>
      </c>
      <c r="AN29" s="33" t="n">
        <f aca="false">Costs!AN21+Costs!AN22+Costs!AN20</f>
        <v>4464975.48269095</v>
      </c>
      <c r="AO29" s="33" t="n">
        <f aca="false">Costs!AO21+Costs!AO22+Costs!AO20</f>
        <v>4736306.98617157</v>
      </c>
      <c r="AP29" s="33" t="n">
        <f aca="false">Costs!AP21+Costs!AP22+Costs!AP20</f>
        <v>5020080.33885642</v>
      </c>
      <c r="AQ29" s="33" t="n">
        <f aca="false">Costs!AQ21+Costs!AQ22+Costs!AQ20</f>
        <v>5306107.58967918</v>
      </c>
      <c r="AR29" s="33" t="n">
        <f aca="false">Costs!AR21+Costs!AR22+Costs!AR20</f>
        <v>5594706.22284019</v>
      </c>
      <c r="AS29" s="33" t="n">
        <f aca="false">Costs!AS21+Costs!AS22+Costs!AS20</f>
        <v>5896570.15547623</v>
      </c>
      <c r="AT29" s="33" t="n">
        <f aca="false">Costs!AT21+Costs!AT22+Costs!AT20</f>
        <v>6201562.66599362</v>
      </c>
      <c r="AU29" s="33" t="n">
        <f aca="false">Costs!AU21+Costs!AU22+Costs!AU20</f>
        <v>6510055.52610711</v>
      </c>
      <c r="AV29" s="33" t="n">
        <f aca="false">Costs!AV21+Costs!AV22+Costs!AV20</f>
        <v>6842124.18211993</v>
      </c>
      <c r="AW29" s="33" t="n">
        <f aca="false">Costs!AW21+Costs!AW22+Costs!AW20</f>
        <v>7175293.55005444</v>
      </c>
      <c r="AX29" s="33" t="n">
        <f aca="false">Costs!AX21+Costs!AX22+Costs!AX20</f>
        <v>7516964.70415293</v>
      </c>
      <c r="AY29" s="33" t="n">
        <f aca="false">Costs!AY21+Costs!AY22+Costs!AY20</f>
        <v>7856806.00496917</v>
      </c>
      <c r="AZ29" s="33" t="n">
        <f aca="false">Costs!AZ21+Costs!AZ22+Costs!AZ20</f>
        <v>8194981.31768477</v>
      </c>
      <c r="BA29" s="33" t="n">
        <f aca="false">Costs!BA21+Costs!BA22+Costs!BA20</f>
        <v>8574136.43488025</v>
      </c>
      <c r="BB29" s="33" t="n">
        <f aca="false">Costs!BB21+Costs!BB22+Costs!BB20</f>
        <v>8951446.28511052</v>
      </c>
      <c r="BC29" s="33" t="n">
        <f aca="false">Costs!BC21+Costs!BC22+Costs!BC20</f>
        <v>9337461.3507675</v>
      </c>
      <c r="BD29" s="33" t="n">
        <f aca="false">Costs!BD21+Costs!BD22+Costs!BD20</f>
        <v>9721891.14833468</v>
      </c>
      <c r="BE29" s="33" t="n">
        <f aca="false">Costs!BE21+Costs!BE22+Costs!BE20</f>
        <v>10114266.7683748</v>
      </c>
      <c r="BF29" s="33" t="n">
        <f aca="false">Costs!BF21+Costs!BF22+Costs!BF20</f>
        <v>10515724.1387545</v>
      </c>
      <c r="BG29" s="33" t="n">
        <f aca="false">Costs!BG21+Costs!BG22+Costs!BG20</f>
        <v>10916000.7198668</v>
      </c>
      <c r="BH29" s="33" t="n">
        <f aca="false">Costs!BH21+Costs!BH22+Costs!BH20</f>
        <v>11325693.1609537</v>
      </c>
      <c r="BI29" s="33" t="n">
        <f aca="false">Costs!BI21+Costs!BI22+Costs!BI20</f>
        <v>11743883.8510374</v>
      </c>
      <c r="BJ29" s="33" t="n">
        <f aca="false">Costs!BJ21+Costs!BJ22+Costs!BJ20</f>
        <v>12171752.3319756</v>
      </c>
      <c r="BK29" s="33" t="n">
        <f aca="false">Costs!BK21+Costs!BK22+Costs!BK20</f>
        <v>12596862.1346324</v>
      </c>
      <c r="BL29" s="33" t="n">
        <f aca="false">Costs!BL21+Costs!BL22+Costs!BL20</f>
        <v>13027310.9199708</v>
      </c>
    </row>
    <row r="30" customFormat="false" ht="15" hidden="false" customHeight="true" outlineLevel="0" collapsed="false">
      <c r="A30" s="9" t="s">
        <v>1334</v>
      </c>
      <c r="B30" s="15" t="s">
        <v>77</v>
      </c>
      <c r="D30" s="56" t="n">
        <f aca="false">SUM(E30:BL30)</f>
        <v>12686427543.2981</v>
      </c>
      <c r="E30" s="17" t="n">
        <f aca="false">SUM(E26:E29)</f>
        <v>0</v>
      </c>
      <c r="F30" s="17" t="n">
        <f aca="false">SUM(F26:F29)</f>
        <v>0</v>
      </c>
      <c r="G30" s="17" t="n">
        <f aca="false">SUM(G26:G29)</f>
        <v>0</v>
      </c>
      <c r="H30" s="17" t="n">
        <f aca="false">SUM(H26:H29)</f>
        <v>0</v>
      </c>
      <c r="I30" s="17" t="n">
        <f aca="false">SUM(I26:I29)</f>
        <v>2879083.66666667</v>
      </c>
      <c r="J30" s="17" t="n">
        <f aca="false">SUM(J26:J29)</f>
        <v>5326735.11583333</v>
      </c>
      <c r="K30" s="17" t="n">
        <f aca="false">SUM(K26:K29)</f>
        <v>7770929.27044375</v>
      </c>
      <c r="L30" s="17" t="n">
        <f aca="false">SUM(L26:L29)</f>
        <v>10213287.9068394</v>
      </c>
      <c r="M30" s="17" t="n">
        <f aca="false">SUM(M26:M29)</f>
        <v>12655504.4769319</v>
      </c>
      <c r="N30" s="17" t="n">
        <f aca="false">SUM(N26:N29)</f>
        <v>15099348.8126459</v>
      </c>
      <c r="O30" s="17" t="n">
        <f aca="false">SUM(O26:O29)</f>
        <v>17550566.8988868</v>
      </c>
      <c r="P30" s="17" t="n">
        <f aca="false">SUM(P26:P29)</f>
        <v>20008321.442935</v>
      </c>
      <c r="Q30" s="17" t="n">
        <f aca="false">SUM(Q26:Q29)</f>
        <v>23790326.2456408</v>
      </c>
      <c r="R30" s="17" t="n">
        <f aca="false">SUM(R26:R29)</f>
        <v>27507741.6298682</v>
      </c>
      <c r="S30" s="17" t="n">
        <f aca="false">SUM(S26:S29)</f>
        <v>31314886.7268545</v>
      </c>
      <c r="T30" s="17" t="n">
        <f aca="false">SUM(T26:T29)</f>
        <v>35214362.1735753</v>
      </c>
      <c r="U30" s="17" t="n">
        <f aca="false">SUM(U26:U29)</f>
        <v>39209024.6586385</v>
      </c>
      <c r="V30" s="17" t="n">
        <f aca="false">SUM(V26:V29)</f>
        <v>43578699.501778</v>
      </c>
      <c r="W30" s="17" t="n">
        <f aca="false">SUM(W26:W29)</f>
        <v>50502864.0082491</v>
      </c>
      <c r="X30" s="17" t="n">
        <f aca="false">SUM(X26:X29)</f>
        <v>57324572.0696586</v>
      </c>
      <c r="Y30" s="17" t="n">
        <f aca="false">SUM(Y26:Y29)</f>
        <v>64900158.0833605</v>
      </c>
      <c r="Z30" s="17" t="n">
        <f aca="false">SUM(Z26:Z29)</f>
        <v>72652305.3973526</v>
      </c>
      <c r="AA30" s="17" t="n">
        <f aca="false">SUM(AA26:AA29)</f>
        <v>80641779.7965265</v>
      </c>
      <c r="AB30" s="17" t="n">
        <f aca="false">SUM(AB26:AB29)</f>
        <v>88888424.664917</v>
      </c>
      <c r="AC30" s="17" t="n">
        <f aca="false">SUM(AC26:AC29)</f>
        <v>98794525.1159743</v>
      </c>
      <c r="AD30" s="17" t="n">
        <f aca="false">SUM(AD26:AD29)</f>
        <v>108518234.922075</v>
      </c>
      <c r="AE30" s="17" t="n">
        <f aca="false">SUM(AE26:AE29)</f>
        <v>118929123.814289</v>
      </c>
      <c r="AF30" s="17" t="n">
        <f aca="false">SUM(AF26:AF29)</f>
        <v>129408977.889231</v>
      </c>
      <c r="AG30" s="17" t="n">
        <f aca="false">SUM(AG26:AG29)</f>
        <v>151058298.722294</v>
      </c>
      <c r="AH30" s="17" t="n">
        <f aca="false">SUM(AH26:AH29)</f>
        <v>152615221.29183</v>
      </c>
      <c r="AI30" s="17" t="n">
        <f aca="false">SUM(AI26:AI29)</f>
        <v>163356191.015129</v>
      </c>
      <c r="AJ30" s="17" t="n">
        <f aca="false">SUM(AJ26:AJ29)</f>
        <v>174054807.454696</v>
      </c>
      <c r="AK30" s="17" t="n">
        <f aca="false">SUM(AK26:AK29)</f>
        <v>184823930.536994</v>
      </c>
      <c r="AL30" s="17" t="n">
        <f aca="false">SUM(AL26:AL29)</f>
        <v>195674599.827191</v>
      </c>
      <c r="AM30" s="17" t="n">
        <f aca="false">SUM(AM26:AM29)</f>
        <v>207219531.568494</v>
      </c>
      <c r="AN30" s="17" t="n">
        <f aca="false">SUM(AN26:AN29)</f>
        <v>218761534.550036</v>
      </c>
      <c r="AO30" s="17" t="n">
        <f aca="false">SUM(AO26:AO29)</f>
        <v>232269316.711049</v>
      </c>
      <c r="AP30" s="17" t="n">
        <f aca="false">SUM(AP26:AP29)</f>
        <v>246170274.697882</v>
      </c>
      <c r="AQ30" s="17" t="n">
        <f aca="false">SUM(AQ26:AQ29)</f>
        <v>260085192.387835</v>
      </c>
      <c r="AR30" s="17" t="n">
        <f aca="false">SUM(AR26:AR29)</f>
        <v>274131862.385586</v>
      </c>
      <c r="AS30" s="17" t="n">
        <f aca="false">SUM(AS26:AS29)</f>
        <v>288927639.967037</v>
      </c>
      <c r="AT30" s="17" t="n">
        <f aca="false">SUM(AT26:AT29)</f>
        <v>303780229.230403</v>
      </c>
      <c r="AU30" s="17" t="n">
        <f aca="false">SUM(AU26:AU29)</f>
        <v>318810089.082854</v>
      </c>
      <c r="AV30" s="17" t="n">
        <f aca="false">SUM(AV26:AV29)</f>
        <v>335178397.423066</v>
      </c>
      <c r="AW30" s="17" t="n">
        <f aca="false">SUM(AW26:AW29)</f>
        <v>351385641.770409</v>
      </c>
      <c r="AX30" s="17" t="n">
        <f aca="false">SUM(AX26:AX29)</f>
        <v>368080475.104294</v>
      </c>
      <c r="AY30" s="17" t="n">
        <f aca="false">SUM(AY26:AY29)</f>
        <v>384591308.88461</v>
      </c>
      <c r="AZ30" s="17" t="n">
        <f aca="false">SUM(AZ26:AZ29)</f>
        <v>401028325.758086</v>
      </c>
      <c r="BA30" s="17" t="n">
        <f aca="false">SUM(BA26:BA29)</f>
        <v>419864191.693732</v>
      </c>
      <c r="BB30" s="17" t="n">
        <f aca="false">SUM(BB26:BB29)</f>
        <v>438198791.06441</v>
      </c>
      <c r="BC30" s="17" t="n">
        <f aca="false">SUM(BC26:BC29)</f>
        <v>457062001.859577</v>
      </c>
      <c r="BD30" s="17" t="n">
        <f aca="false">SUM(BD26:BD29)</f>
        <v>475753888.709956</v>
      </c>
      <c r="BE30" s="17" t="n">
        <f aca="false">SUM(BE26:BE29)</f>
        <v>494927734.313819</v>
      </c>
      <c r="BF30" s="17" t="n">
        <f aca="false">SUM(BF26:BF29)</f>
        <v>514556517.802596</v>
      </c>
      <c r="BG30" s="17" t="n">
        <f aca="false">SUM(BG26:BG29)</f>
        <v>534033795.021463</v>
      </c>
      <c r="BH30" s="17" t="n">
        <f aca="false">SUM(BH26:BH29)</f>
        <v>554074410.074123</v>
      </c>
      <c r="BI30" s="17" t="n">
        <f aca="false">SUM(BI26:BI29)</f>
        <v>574521825.619683</v>
      </c>
      <c r="BJ30" s="17" t="n">
        <f aca="false">SUM(BJ26:BJ29)</f>
        <v>595453513.46569</v>
      </c>
      <c r="BK30" s="17" t="n">
        <f aca="false">SUM(BK26:BK29)</f>
        <v>616136478.269383</v>
      </c>
      <c r="BL30" s="17" t="n">
        <f aca="false">SUM(BL26:BL29)</f>
        <v>637161742.744675</v>
      </c>
    </row>
    <row r="31" customFormat="false" ht="15" hidden="false" customHeight="true" outlineLevel="0" collapsed="false">
      <c r="A31" s="9" t="s">
        <v>94</v>
      </c>
      <c r="B31" s="15" t="s">
        <v>77</v>
      </c>
      <c r="D31" s="56" t="n">
        <f aca="false">SUM(E31:BL31)</f>
        <v>11412106590.6959</v>
      </c>
      <c r="E31" s="56" t="n">
        <f aca="false">E23-E30</f>
        <v>0</v>
      </c>
      <c r="F31" s="56" t="n">
        <f aca="false">F23-F30</f>
        <v>0</v>
      </c>
      <c r="G31" s="56" t="n">
        <f aca="false">G23-G30</f>
        <v>0</v>
      </c>
      <c r="H31" s="56" t="n">
        <f aca="false">H23-H30</f>
        <v>0</v>
      </c>
      <c r="I31" s="56" t="n">
        <f aca="false">I23-I30</f>
        <v>805317.333333334</v>
      </c>
      <c r="J31" s="56" t="n">
        <f aca="false">J23-J30</f>
        <v>2840910.76166667</v>
      </c>
      <c r="K31" s="56" t="n">
        <f aca="false">K23-K30</f>
        <v>4872734.631375</v>
      </c>
      <c r="L31" s="56" t="n">
        <f aca="false">L23-L30</f>
        <v>6902092.18469068</v>
      </c>
      <c r="M31" s="56" t="n">
        <f aca="false">M23-M30</f>
        <v>8930343.37566554</v>
      </c>
      <c r="N31" s="56" t="n">
        <f aca="false">N23-N30</f>
        <v>10958908.6131118</v>
      </c>
      <c r="O31" s="56" t="n">
        <f aca="false">O23-O30</f>
        <v>13219065.5203349</v>
      </c>
      <c r="P31" s="56" t="n">
        <f aca="false">P23-P30</f>
        <v>15548635.6891063</v>
      </c>
      <c r="Q31" s="56" t="n">
        <f aca="false">Q23-Q30</f>
        <v>18406946.145373</v>
      </c>
      <c r="R31" s="56" t="n">
        <f aca="false">R23-R30</f>
        <v>21833254.4809849</v>
      </c>
      <c r="S31" s="56" t="n">
        <f aca="false">S23-S30</f>
        <v>25389481.4531616</v>
      </c>
      <c r="T31" s="56" t="n">
        <f aca="false">T23-T30</f>
        <v>29078039.3029057</v>
      </c>
      <c r="U31" s="56" t="n">
        <f aca="false">U23-U30</f>
        <v>32901636.4440215</v>
      </c>
      <c r="V31" s="56" t="n">
        <f aca="false">V23-V30</f>
        <v>36994012.5950646</v>
      </c>
      <c r="W31" s="56" t="n">
        <f aca="false">W23-W30</f>
        <v>42259855.1125907</v>
      </c>
      <c r="X31" s="56" t="n">
        <f aca="false">X23-X30</f>
        <v>48739150.2364226</v>
      </c>
      <c r="Y31" s="56" t="n">
        <f aca="false">Y23-Y30</f>
        <v>55726027.4504313</v>
      </c>
      <c r="Z31" s="56" t="n">
        <f aca="false">Z23-Z30</f>
        <v>63232272.8606809</v>
      </c>
      <c r="AA31" s="56" t="n">
        <f aca="false">AA23-AA30</f>
        <v>70141853.4445674</v>
      </c>
      <c r="AB31" s="56" t="n">
        <f aca="false">AB23-AB30</f>
        <v>77210433.8944504</v>
      </c>
      <c r="AC31" s="56" t="n">
        <f aca="false">AC23-AC30</f>
        <v>86985456.1464317</v>
      </c>
      <c r="AD31" s="56" t="n">
        <f aca="false">AD23-AD30</f>
        <v>96230639.6066806</v>
      </c>
      <c r="AE31" s="56" t="n">
        <f aca="false">AE23-AE30</f>
        <v>105964846.793737</v>
      </c>
      <c r="AF31" s="56" t="n">
        <f aca="false">AF23-AF30</f>
        <v>116178498.394231</v>
      </c>
      <c r="AG31" s="56" t="n">
        <f aca="false">AG23-AG30</f>
        <v>115564865.504681</v>
      </c>
      <c r="AH31" s="56" t="n">
        <f aca="false">AH23-AH30</f>
        <v>134022452.625501</v>
      </c>
      <c r="AI31" s="56" t="n">
        <f aca="false">AI23-AI30</f>
        <v>143935863.557048</v>
      </c>
      <c r="AJ31" s="56" t="n">
        <f aca="false">AJ23-AJ30</f>
        <v>154205491.87595</v>
      </c>
      <c r="AK31" s="56" t="n">
        <f aca="false">AK23-AK30</f>
        <v>164499703.994958</v>
      </c>
      <c r="AL31" s="56" t="n">
        <f aca="false">AL23-AL30</f>
        <v>174819365.663859</v>
      </c>
      <c r="AM31" s="56" t="n">
        <f aca="false">AM23-AM30</f>
        <v>185472396.539097</v>
      </c>
      <c r="AN31" s="56" t="n">
        <f aca="false">AN23-AN30</f>
        <v>196503155.917899</v>
      </c>
      <c r="AO31" s="56" t="n">
        <f aca="false">AO23-AO30</f>
        <v>208296299.411225</v>
      </c>
      <c r="AP31" s="56" t="n">
        <f aca="false">AP23-AP30</f>
        <v>221238960.735321</v>
      </c>
      <c r="AQ31" s="56" t="n">
        <f aca="false">AQ23-AQ30</f>
        <v>234394246.94455</v>
      </c>
      <c r="AR31" s="56" t="n">
        <f aca="false">AR23-AR30</f>
        <v>247499395.7538</v>
      </c>
      <c r="AS31" s="56" t="n">
        <f aca="false">AS23-AS30</f>
        <v>260960243.418164</v>
      </c>
      <c r="AT31" s="56" t="n">
        <f aca="false">AT23-AT30</f>
        <v>274785671.06763</v>
      </c>
      <c r="AU31" s="56" t="n">
        <f aca="false">AU23-AU30</f>
        <v>288729576.263091</v>
      </c>
      <c r="AV31" s="56" t="n">
        <f aca="false">AV23-AV30</f>
        <v>303241293.335203</v>
      </c>
      <c r="AW31" s="56" t="n">
        <f aca="false">AW23-AW30</f>
        <v>318358827.434679</v>
      </c>
      <c r="AX31" s="56" t="n">
        <f aca="false">AX23-AX30</f>
        <v>333685869.589281</v>
      </c>
      <c r="AY31" s="56" t="n">
        <f aca="false">AY23-AY30</f>
        <v>349182816.106745</v>
      </c>
      <c r="AZ31" s="56" t="n">
        <f aca="false">AZ23-AZ30</f>
        <v>364597711.134425</v>
      </c>
      <c r="BA31" s="56" t="n">
        <f aca="false">BA23-BA30</f>
        <v>380795508.016163</v>
      </c>
      <c r="BB31" s="56" t="n">
        <f aca="false">BB23-BB30</f>
        <v>397964424.993666</v>
      </c>
      <c r="BC31" s="56" t="n">
        <f aca="false">BC23-BC30</f>
        <v>415273801.448871</v>
      </c>
      <c r="BD31" s="56" t="n">
        <f aca="false">BD23-BD30</f>
        <v>432762277.06334</v>
      </c>
      <c r="BE31" s="56" t="n">
        <f aca="false">BE23-BE30</f>
        <v>450355414.495307</v>
      </c>
      <c r="BF31" s="56" t="n">
        <f aca="false">BF23-BF30</f>
        <v>468337844.464633</v>
      </c>
      <c r="BG31" s="56" t="n">
        <f aca="false">BG23-BG30</f>
        <v>486516226.964534</v>
      </c>
      <c r="BH31" s="56" t="n">
        <f aca="false">BH23-BH30</f>
        <v>504864980.027857</v>
      </c>
      <c r="BI31" s="56" t="n">
        <f aca="false">BI23-BI30</f>
        <v>523600047.051435</v>
      </c>
      <c r="BJ31" s="56" t="n">
        <f aca="false">BJ23-BJ30</f>
        <v>542749162.49315</v>
      </c>
      <c r="BK31" s="56" t="n">
        <f aca="false">BK23-BK30</f>
        <v>562078921.20472</v>
      </c>
      <c r="BL31" s="56" t="n">
        <f aca="false">BL23-BL30</f>
        <v>581463363.12811</v>
      </c>
    </row>
    <row r="32" customFormat="false" ht="15" hidden="false" customHeight="true" outlineLevel="0" collapsed="false">
      <c r="A32" s="13" t="s">
        <v>95</v>
      </c>
      <c r="B32" s="15" t="s">
        <v>96</v>
      </c>
      <c r="E32" s="35" t="n">
        <f aca="false">IFERROR(E31/E23,0)</f>
        <v>0</v>
      </c>
      <c r="F32" s="35" t="n">
        <f aca="false">IFERROR(F31/F23,0)</f>
        <v>0</v>
      </c>
      <c r="G32" s="35" t="n">
        <f aca="false">IFERROR(G31/G23,0)</f>
        <v>0</v>
      </c>
      <c r="H32" s="35" t="n">
        <f aca="false">IFERROR(H31/H23,0)</f>
        <v>0</v>
      </c>
      <c r="I32" s="35" t="n">
        <f aca="false">IFERROR(I31/I23,0)</f>
        <v>0.218574833014467</v>
      </c>
      <c r="J32" s="35" t="n">
        <f aca="false">IFERROR(J31/J23,0)</f>
        <v>0.347824918498576</v>
      </c>
      <c r="K32" s="35" t="n">
        <f aca="false">IFERROR(K31/K23,0)</f>
        <v>0.385389446383028</v>
      </c>
      <c r="L32" s="35" t="n">
        <f aca="false">IFERROR(L31/L23,0)</f>
        <v>0.403268414010059</v>
      </c>
      <c r="M32" s="35" t="n">
        <f aca="false">IFERROR(M31/M23,0)</f>
        <v>0.413712884323465</v>
      </c>
      <c r="N32" s="35" t="n">
        <f aca="false">IFERROR(N31/N23,0)</f>
        <v>0.420554161932537</v>
      </c>
      <c r="O32" s="35" t="n">
        <f aca="false">IFERROR(O31/O23,0)</f>
        <v>0.429614021390682</v>
      </c>
      <c r="P32" s="35" t="n">
        <f aca="false">IFERROR(P31/P23,0)</f>
        <v>0.437288141146787</v>
      </c>
      <c r="Q32" s="35" t="n">
        <f aca="false">IFERROR(Q31/Q23,0)</f>
        <v>0.436211752617757</v>
      </c>
      <c r="R32" s="35" t="n">
        <f aca="false">IFERROR(R31/R23,0)</f>
        <v>0.442497237630401</v>
      </c>
      <c r="S32" s="35" t="n">
        <f aca="false">IFERROR(S31/S23,0)</f>
        <v>0.447751774123627</v>
      </c>
      <c r="T32" s="35" t="n">
        <f aca="false">IFERROR(T31/T23,0)</f>
        <v>0.452278008522404</v>
      </c>
      <c r="U32" s="35" t="n">
        <f aca="false">IFERROR(U31/U23,0)</f>
        <v>0.45626591048973</v>
      </c>
      <c r="V32" s="35" t="n">
        <f aca="false">IFERROR(V31/V23,0)</f>
        <v>0.459138232192066</v>
      </c>
      <c r="W32" s="35" t="n">
        <f aca="false">IFERROR(W31/W23,0)</f>
        <v>0.45556938728305</v>
      </c>
      <c r="X32" s="35" t="n">
        <f aca="false">IFERROR(X31/X23,0)</f>
        <v>0.459527057666051</v>
      </c>
      <c r="Y32" s="35" t="n">
        <f aca="false">IFERROR(Y31/Y23,0)</f>
        <v>0.461972889251483</v>
      </c>
      <c r="Z32" s="35" t="n">
        <f aca="false">IFERROR(Z31/Z23,0)</f>
        <v>0.465338110264493</v>
      </c>
      <c r="AA32" s="35" t="n">
        <f aca="false">IFERROR(AA31/AA23,0)</f>
        <v>0.465182141701115</v>
      </c>
      <c r="AB32" s="35" t="n">
        <f aca="false">IFERROR(AB31/AB23,0)</f>
        <v>0.464846264231573</v>
      </c>
      <c r="AC32" s="35" t="n">
        <f aca="false">IFERROR(AC31/AC23,0)</f>
        <v>0.468217595649171</v>
      </c>
      <c r="AD32" s="35" t="n">
        <f aca="false">IFERROR(AD31/AD23,0)</f>
        <v>0.469993497293514</v>
      </c>
      <c r="AE32" s="35" t="n">
        <f aca="false">IFERROR(AE31/AE23,0)</f>
        <v>0.471176912868093</v>
      </c>
      <c r="AF32" s="35" t="n">
        <f aca="false">IFERROR(AF31/AF23,0)</f>
        <v>0.47306361119219</v>
      </c>
      <c r="AG32" s="35" t="n">
        <f aca="false">IFERROR(AG31/AG23,0)</f>
        <v>0.433438954337445</v>
      </c>
      <c r="AH32" s="35" t="n">
        <f aca="false">IFERROR(AH31/AH23,0)</f>
        <v>0.467567472181463</v>
      </c>
      <c r="AI32" s="35" t="n">
        <f aca="false">IFERROR(AI31/AI23,0)</f>
        <v>0.468400863007802</v>
      </c>
      <c r="AJ32" s="35" t="n">
        <f aca="false">IFERROR(AJ31/AJ23,0)</f>
        <v>0.469765890637368</v>
      </c>
      <c r="AK32" s="35" t="n">
        <f aca="false">IFERROR(AK31/AK23,0)</f>
        <v>0.47090917342414</v>
      </c>
      <c r="AL32" s="35" t="n">
        <f aca="false">IFERROR(AL31/AL23,0)</f>
        <v>0.471854826116141</v>
      </c>
      <c r="AM32" s="35" t="n">
        <f aca="false">IFERROR(AM31/AM23,0)</f>
        <v>0.472310183285155</v>
      </c>
      <c r="AN32" s="35" t="n">
        <f aca="false">IFERROR(AN31/AN23,0)</f>
        <v>0.473199769757627</v>
      </c>
      <c r="AO32" s="35" t="n">
        <f aca="false">IFERROR(AO31/AO23,0)</f>
        <v>0.472792909361803</v>
      </c>
      <c r="AP32" s="35" t="n">
        <f aca="false">IFERROR(AP31/AP23,0)</f>
        <v>0.47333031520071</v>
      </c>
      <c r="AQ32" s="35" t="n">
        <f aca="false">IFERROR(AQ31/AQ23,0)</f>
        <v>0.474022230855572</v>
      </c>
      <c r="AR32" s="35" t="n">
        <f aca="false">IFERROR(AR31/AR23,0)</f>
        <v>0.474471941418175</v>
      </c>
      <c r="AS32" s="35" t="n">
        <f aca="false">IFERROR(AS31/AS23,0)</f>
        <v>0.474569910163594</v>
      </c>
      <c r="AT32" s="35" t="n">
        <f aca="false">IFERROR(AT31/AT23,0)</f>
        <v>0.474942735004054</v>
      </c>
      <c r="AU32" s="35" t="n">
        <f aca="false">IFERROR(AU31/AU23,0)</f>
        <v>0.475243992667842</v>
      </c>
      <c r="AV32" s="35" t="n">
        <f aca="false">IFERROR(AV31/AV23,0)</f>
        <v>0.474987375428591</v>
      </c>
      <c r="AW32" s="35" t="n">
        <f aca="false">IFERROR(AW31/AW23,0)</f>
        <v>0.475343719990006</v>
      </c>
      <c r="AX32" s="35" t="n">
        <f aca="false">IFERROR(AX31/AX23,0)</f>
        <v>0.475494261177464</v>
      </c>
      <c r="AY32" s="35" t="n">
        <f aca="false">IFERROR(AY31/AY23,0)</f>
        <v>0.475872348470803</v>
      </c>
      <c r="AZ32" s="35" t="n">
        <f aca="false">IFERROR(AZ31/AZ23,0)</f>
        <v>0.47620861042584</v>
      </c>
      <c r="BA32" s="35" t="n">
        <f aca="false">IFERROR(BA31/BA23,0)</f>
        <v>0.475602191735313</v>
      </c>
      <c r="BB32" s="35" t="n">
        <f aca="false">IFERROR(BB31/BB23,0)</f>
        <v>0.475941081060453</v>
      </c>
      <c r="BC32" s="35" t="n">
        <f aca="false">IFERROR(BC31/BC23,0)</f>
        <v>0.476048099681213</v>
      </c>
      <c r="BD32" s="35" t="n">
        <f aca="false">IFERROR(BD31/BD23,0)</f>
        <v>0.476339655106729</v>
      </c>
      <c r="BE32" s="35" t="n">
        <f aca="false">IFERROR(BE31/BE23,0)</f>
        <v>0.476423826091334</v>
      </c>
      <c r="BF32" s="35" t="n">
        <f aca="false">IFERROR(BF31/BF23,0)</f>
        <v>0.476488483853264</v>
      </c>
      <c r="BG32" s="35" t="n">
        <f aca="false">IFERROR(BG31/BG23,0)</f>
        <v>0.476719628125401</v>
      </c>
      <c r="BH32" s="35" t="n">
        <f aca="false">IFERROR(BH31/BH23,0)</f>
        <v>0.47676475608225</v>
      </c>
      <c r="BI32" s="35" t="n">
        <f aca="false">IFERROR(BI31/BI23,0)</f>
        <v>0.476814149760817</v>
      </c>
      <c r="BJ32" s="35" t="n">
        <f aca="false">IFERROR(BJ31/BJ23,0)</f>
        <v>0.476847554444493</v>
      </c>
      <c r="BK32" s="35" t="n">
        <f aca="false">IFERROR(BK31/BK23,0)</f>
        <v>0.47705956097298</v>
      </c>
      <c r="BL32" s="35" t="n">
        <f aca="false">IFERROR(BL31/BL23,0)</f>
        <v>0.477147040813395</v>
      </c>
    </row>
    <row r="34" customFormat="false" ht="15" hidden="false" customHeight="true" outlineLevel="0" collapsed="false">
      <c r="A34" s="11" t="s">
        <v>1335</v>
      </c>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row>
    <row r="35" customFormat="false" ht="15" hidden="false" customHeight="true" outlineLevel="0" collapsed="false">
      <c r="A35" s="13" t="s">
        <v>22</v>
      </c>
      <c r="B35" s="15" t="s">
        <v>77</v>
      </c>
      <c r="D35" s="56" t="n">
        <f aca="false">SUM(E35:BL35)</f>
        <v>2061753390.36875</v>
      </c>
      <c r="E35" s="24" t="n">
        <f aca="false">Costs!E34</f>
        <v>9880000</v>
      </c>
      <c r="F35" s="24" t="n">
        <f aca="false">Costs!F34</f>
        <v>9880000</v>
      </c>
      <c r="G35" s="24" t="n">
        <f aca="false">Costs!G34</f>
        <v>9880000</v>
      </c>
      <c r="H35" s="24" t="n">
        <f aca="false">Costs!H34</f>
        <v>12818000</v>
      </c>
      <c r="I35" s="24" t="n">
        <f aca="false">Costs!I34</f>
        <v>13338000</v>
      </c>
      <c r="J35" s="24" t="n">
        <f aca="false">Costs!J34</f>
        <v>13338000</v>
      </c>
      <c r="K35" s="24" t="n">
        <f aca="false">Costs!K34</f>
        <v>13338000</v>
      </c>
      <c r="L35" s="24" t="n">
        <f aca="false">Costs!L34</f>
        <v>13338000</v>
      </c>
      <c r="M35" s="24" t="n">
        <f aca="false">Costs!M34</f>
        <v>13338000</v>
      </c>
      <c r="N35" s="24" t="n">
        <f aca="false">Costs!N34</f>
        <v>13338000</v>
      </c>
      <c r="O35" s="24" t="n">
        <f aca="false">Costs!O34</f>
        <v>13338000</v>
      </c>
      <c r="P35" s="24" t="n">
        <f aca="false">Costs!P34</f>
        <v>13338000</v>
      </c>
      <c r="Q35" s="24" t="n">
        <f aca="false">Costs!Q34</f>
        <v>17417400</v>
      </c>
      <c r="R35" s="24" t="n">
        <f aca="false">Costs!R34</f>
        <v>17417400</v>
      </c>
      <c r="S35" s="24" t="n">
        <f aca="false">Costs!S34</f>
        <v>17417400</v>
      </c>
      <c r="T35" s="24" t="n">
        <f aca="false">Costs!T34</f>
        <v>18236400</v>
      </c>
      <c r="U35" s="24" t="n">
        <f aca="false">Costs!U34</f>
        <v>18236400</v>
      </c>
      <c r="V35" s="24" t="n">
        <f aca="false">Costs!V34</f>
        <v>23286900</v>
      </c>
      <c r="W35" s="24" t="n">
        <f aca="false">Costs!W34</f>
        <v>23286900</v>
      </c>
      <c r="X35" s="24" t="n">
        <f aca="false">Costs!X34</f>
        <v>23832900</v>
      </c>
      <c r="Y35" s="24" t="n">
        <f aca="false">Costs!Y34</f>
        <v>24215100</v>
      </c>
      <c r="Z35" s="24" t="n">
        <f aca="false">Costs!Z34</f>
        <v>24215100</v>
      </c>
      <c r="AA35" s="24" t="n">
        <f aca="false">Costs!AA34</f>
        <v>24215100</v>
      </c>
      <c r="AB35" s="24" t="n">
        <f aca="false">Costs!AB34</f>
        <v>26262600</v>
      </c>
      <c r="AC35" s="24" t="n">
        <f aca="false">Costs!AC34</f>
        <v>27977040</v>
      </c>
      <c r="AD35" s="24" t="n">
        <f aca="false">Costs!AD34</f>
        <v>28550340</v>
      </c>
      <c r="AE35" s="24" t="n">
        <f aca="false">Costs!AE34</f>
        <v>28550340</v>
      </c>
      <c r="AF35" s="24" t="n">
        <f aca="false">Costs!AF34</f>
        <v>30671550</v>
      </c>
      <c r="AG35" s="24" t="n">
        <f aca="false">Costs!AG34</f>
        <v>32334120</v>
      </c>
      <c r="AH35" s="24" t="n">
        <f aca="false">Costs!AH34</f>
        <v>32907420</v>
      </c>
      <c r="AI35" s="24" t="n">
        <f aca="false">Costs!AI34</f>
        <v>33308730</v>
      </c>
      <c r="AJ35" s="24" t="n">
        <f aca="false">Costs!AJ34</f>
        <v>33308730</v>
      </c>
      <c r="AK35" s="24" t="n">
        <f aca="false">Costs!AK34</f>
        <v>33710040</v>
      </c>
      <c r="AL35" s="24" t="n">
        <f aca="false">Costs!AL34</f>
        <v>35143290</v>
      </c>
      <c r="AM35" s="24" t="n">
        <f aca="false">Costs!AM34</f>
        <v>35544600</v>
      </c>
      <c r="AN35" s="24" t="n">
        <f aca="false">Costs!AN34</f>
        <v>36189562.5</v>
      </c>
      <c r="AO35" s="24" t="n">
        <f aca="false">Costs!AO34</f>
        <v>39022381.125</v>
      </c>
      <c r="AP35" s="24" t="n">
        <f aca="false">Costs!AP34</f>
        <v>39022381.125</v>
      </c>
      <c r="AQ35" s="24" t="n">
        <f aca="false">Costs!AQ34</f>
        <v>40346704.125</v>
      </c>
      <c r="AR35" s="24" t="n">
        <f aca="false">Costs!AR34</f>
        <v>43175939.625</v>
      </c>
      <c r="AS35" s="24" t="n">
        <f aca="false">Costs!AS34</f>
        <v>43175939.625</v>
      </c>
      <c r="AT35" s="24" t="n">
        <f aca="false">Costs!AT34</f>
        <v>43597315.125</v>
      </c>
      <c r="AU35" s="24" t="n">
        <f aca="false">Costs!AU34</f>
        <v>45297866.25</v>
      </c>
      <c r="AV35" s="24" t="n">
        <f aca="false">Costs!AV34</f>
        <v>45297866.25</v>
      </c>
      <c r="AW35" s="24" t="n">
        <f aca="false">Costs!AW34</f>
        <v>47224154.25</v>
      </c>
      <c r="AX35" s="24" t="n">
        <f aca="false">Costs!AX34</f>
        <v>47645529.75</v>
      </c>
      <c r="AY35" s="24" t="n">
        <f aca="false">Costs!AY34</f>
        <v>48066905.25</v>
      </c>
      <c r="AZ35" s="24" t="n">
        <f aca="false">Costs!AZ34</f>
        <v>49346080.875</v>
      </c>
      <c r="BA35" s="24" t="n">
        <f aca="false">Costs!BA34</f>
        <v>54152018.94375</v>
      </c>
      <c r="BB35" s="24" t="n">
        <f aca="false">Costs!BB34</f>
        <v>56174621.34375</v>
      </c>
      <c r="BC35" s="24" t="n">
        <f aca="false">Costs!BC34</f>
        <v>56617065.61875</v>
      </c>
      <c r="BD35" s="24" t="n">
        <f aca="false">Costs!BD34</f>
        <v>57770581.05</v>
      </c>
      <c r="BE35" s="24" t="n">
        <f aca="false">Costs!BE34</f>
        <v>58402644.3</v>
      </c>
      <c r="BF35" s="24" t="n">
        <f aca="false">Costs!BF34</f>
        <v>59793183.45</v>
      </c>
      <c r="BG35" s="24" t="n">
        <f aca="false">Costs!BG34</f>
        <v>60867690.975</v>
      </c>
      <c r="BH35" s="24" t="n">
        <f aca="false">Costs!BH34</f>
        <v>63917396.15625</v>
      </c>
      <c r="BI35" s="24" t="n">
        <f aca="false">Costs!BI34</f>
        <v>64991903.68125</v>
      </c>
      <c r="BJ35" s="24" t="n">
        <f aca="false">Costs!BJ34</f>
        <v>66382442.83125</v>
      </c>
      <c r="BK35" s="24" t="n">
        <f aca="false">Costs!BK34</f>
        <v>67456950.35625</v>
      </c>
      <c r="BL35" s="24" t="n">
        <f aca="false">Costs!BL34</f>
        <v>68610465.7875</v>
      </c>
    </row>
    <row r="36" customFormat="false" ht="15" hidden="false" customHeight="true" outlineLevel="0" collapsed="false">
      <c r="A36" s="13" t="s">
        <v>1292</v>
      </c>
      <c r="B36" s="15" t="s">
        <v>77</v>
      </c>
      <c r="D36" s="56" t="n">
        <f aca="false">SUM(E36:BL36)</f>
        <v>412405518.3</v>
      </c>
      <c r="E36" s="24" t="n">
        <f aca="false">Costs!E41</f>
        <v>5144892.5</v>
      </c>
      <c r="F36" s="24" t="n">
        <f aca="false">Costs!F41</f>
        <v>1008935.5</v>
      </c>
      <c r="G36" s="24" t="n">
        <f aca="false">Costs!G41</f>
        <v>1008935.5</v>
      </c>
      <c r="H36" s="24" t="n">
        <f aca="false">Costs!H41</f>
        <v>3657763.5</v>
      </c>
      <c r="I36" s="24" t="n">
        <f aca="false">Costs!I41</f>
        <v>2547636.6</v>
      </c>
      <c r="J36" s="24" t="n">
        <f aca="false">Costs!J41</f>
        <v>2219658.1</v>
      </c>
      <c r="K36" s="24" t="n">
        <f aca="false">Costs!K41</f>
        <v>2219658.1</v>
      </c>
      <c r="L36" s="24" t="n">
        <f aca="false">Costs!L41</f>
        <v>2219658.1</v>
      </c>
      <c r="M36" s="24" t="n">
        <f aca="false">Costs!M41</f>
        <v>2219658.1</v>
      </c>
      <c r="N36" s="24" t="n">
        <f aca="false">Costs!N41</f>
        <v>2219658.1</v>
      </c>
      <c r="O36" s="24" t="n">
        <f aca="false">Costs!O41</f>
        <v>2219658.1</v>
      </c>
      <c r="P36" s="24" t="n">
        <f aca="false">Costs!P41</f>
        <v>2219658.1</v>
      </c>
      <c r="Q36" s="24" t="n">
        <f aca="false">Costs!Q41</f>
        <v>2749423.7</v>
      </c>
      <c r="R36" s="24" t="n">
        <f aca="false">Costs!R41</f>
        <v>2421445.2</v>
      </c>
      <c r="S36" s="24" t="n">
        <f aca="false">Costs!S41</f>
        <v>2421445.2</v>
      </c>
      <c r="T36" s="24" t="n">
        <f aca="false">Costs!T41</f>
        <v>2951210.8</v>
      </c>
      <c r="U36" s="24" t="n">
        <f aca="false">Costs!U41</f>
        <v>2623232.3</v>
      </c>
      <c r="V36" s="24" t="n">
        <f aca="false">Costs!V41</f>
        <v>4212529.1</v>
      </c>
      <c r="W36" s="24" t="n">
        <f aca="false">Costs!W41</f>
        <v>3228593.6</v>
      </c>
      <c r="X36" s="24" t="n">
        <f aca="false">Costs!X41</f>
        <v>3758359.2</v>
      </c>
      <c r="Y36" s="24" t="n">
        <f aca="false">Costs!Y41</f>
        <v>3960146.3</v>
      </c>
      <c r="Z36" s="24" t="n">
        <f aca="false">Costs!Z41</f>
        <v>3632167.8</v>
      </c>
      <c r="AA36" s="24" t="n">
        <f aca="false">Costs!AA41</f>
        <v>3632167.8</v>
      </c>
      <c r="AB36" s="24" t="n">
        <f aca="false">Costs!AB41</f>
        <v>4161933.4</v>
      </c>
      <c r="AC36" s="24" t="n">
        <f aca="false">Costs!AC41</f>
        <v>4363720.5</v>
      </c>
      <c r="AD36" s="24" t="n">
        <f aca="false">Costs!AD41</f>
        <v>4565507.6</v>
      </c>
      <c r="AE36" s="24" t="n">
        <f aca="false">Costs!AE41</f>
        <v>4237529.1</v>
      </c>
      <c r="AF36" s="24" t="n">
        <f aca="false">Costs!AF41</f>
        <v>6129081.8</v>
      </c>
      <c r="AG36" s="24" t="n">
        <f aca="false">Costs!AG41</f>
        <v>6230400.1</v>
      </c>
      <c r="AH36" s="24" t="n">
        <f aca="false">Costs!AH41</f>
        <v>5776230.2</v>
      </c>
      <c r="AI36" s="24" t="n">
        <f aca="false">Costs!AI41</f>
        <v>5978017.3</v>
      </c>
      <c r="AJ36" s="24" t="n">
        <f aca="false">Costs!AJ41</f>
        <v>5650038.8</v>
      </c>
      <c r="AK36" s="24" t="n">
        <f aca="false">Costs!AK41</f>
        <v>6179804.4</v>
      </c>
      <c r="AL36" s="24" t="n">
        <f aca="false">Costs!AL41</f>
        <v>6911357.1</v>
      </c>
      <c r="AM36" s="24" t="n">
        <f aca="false">Costs!AM41</f>
        <v>6785165.7</v>
      </c>
      <c r="AN36" s="24" t="n">
        <f aca="false">Costs!AN41</f>
        <v>6986952.8</v>
      </c>
      <c r="AO36" s="24" t="n">
        <f aca="false">Costs!AO41</f>
        <v>7718505.5</v>
      </c>
      <c r="AP36" s="24" t="n">
        <f aca="false">Costs!AP41</f>
        <v>7062548.5</v>
      </c>
      <c r="AQ36" s="24" t="n">
        <f aca="false">Costs!AQ41</f>
        <v>8122079.7</v>
      </c>
      <c r="AR36" s="24" t="n">
        <f aca="false">Costs!AR41</f>
        <v>9887441</v>
      </c>
      <c r="AS36" s="24" t="n">
        <f aca="false">Costs!AS41</f>
        <v>8071484</v>
      </c>
      <c r="AT36" s="24" t="n">
        <f aca="false">Costs!AT41</f>
        <v>8601249.6</v>
      </c>
      <c r="AU36" s="24" t="n">
        <f aca="false">Costs!AU41</f>
        <v>9862567.9</v>
      </c>
      <c r="AV36" s="24" t="n">
        <f aca="false">Costs!AV41</f>
        <v>8878632.4</v>
      </c>
      <c r="AW36" s="24" t="n">
        <f aca="false">Costs!AW41</f>
        <v>10467929.2</v>
      </c>
      <c r="AX36" s="24" t="n">
        <f aca="false">Costs!AX41</f>
        <v>10013759.3</v>
      </c>
      <c r="AY36" s="24" t="n">
        <f aca="false">Costs!AY41</f>
        <v>10215546.4</v>
      </c>
      <c r="AZ36" s="24" t="n">
        <f aca="false">Costs!AZ41</f>
        <v>10947099.1</v>
      </c>
      <c r="BA36" s="24" t="n">
        <f aca="false">Costs!BA41</f>
        <v>12182694.8</v>
      </c>
      <c r="BB36" s="24" t="n">
        <f aca="false">Costs!BB41</f>
        <v>12284013.1</v>
      </c>
      <c r="BC36" s="24" t="n">
        <f aca="false">Costs!BC41</f>
        <v>11829843.2</v>
      </c>
      <c r="BD36" s="24" t="n">
        <f aca="false">Costs!BD41</f>
        <v>12561395.9</v>
      </c>
      <c r="BE36" s="24" t="n">
        <f aca="false">Costs!BE41</f>
        <v>12435204.5</v>
      </c>
      <c r="BF36" s="24" t="n">
        <f aca="false">Costs!BF41</f>
        <v>13166757.2</v>
      </c>
      <c r="BG36" s="24" t="n">
        <f aca="false">Costs!BG41</f>
        <v>13570331.4</v>
      </c>
      <c r="BH36" s="24" t="n">
        <f aca="false">Costs!BH41</f>
        <v>15335692.7</v>
      </c>
      <c r="BI36" s="24" t="n">
        <f aca="false">Costs!BI41</f>
        <v>14579266.9</v>
      </c>
      <c r="BJ36" s="24" t="n">
        <f aca="false">Costs!BJ41</f>
        <v>14982841.1</v>
      </c>
      <c r="BK36" s="24" t="n">
        <f aca="false">Costs!BK41</f>
        <v>15386415.3</v>
      </c>
      <c r="BL36" s="24" t="n">
        <f aca="false">Costs!BL41</f>
        <v>15789989.5</v>
      </c>
    </row>
    <row r="37" customFormat="false" ht="15" hidden="false" customHeight="true" outlineLevel="0" collapsed="false">
      <c r="A37" s="13" t="s">
        <v>833</v>
      </c>
      <c r="B37" s="15" t="s">
        <v>77</v>
      </c>
      <c r="D37" s="56" t="n">
        <f aca="false">SUM(E37:BL37)</f>
        <v>682389634.344936</v>
      </c>
      <c r="E37" s="24" t="n">
        <f aca="false">Costs!E55</f>
        <v>5059915.83333333</v>
      </c>
      <c r="F37" s="24" t="n">
        <f aca="false">Costs!F55</f>
        <v>6799915.83333333</v>
      </c>
      <c r="G37" s="24" t="n">
        <f aca="false">Costs!G55</f>
        <v>35799915.8333333</v>
      </c>
      <c r="H37" s="24" t="n">
        <f aca="false">Costs!H55</f>
        <v>12739115.8333333</v>
      </c>
      <c r="I37" s="24" t="n">
        <f aca="false">Costs!I55</f>
        <v>9643835.83333333</v>
      </c>
      <c r="J37" s="24" t="n">
        <f aca="false">Costs!J55</f>
        <v>9525566.55333334</v>
      </c>
      <c r="K37" s="24" t="n">
        <f aca="false">Costs!K55</f>
        <v>9407670.16193334</v>
      </c>
      <c r="L37" s="24" t="n">
        <f aca="false">Costs!L55</f>
        <v>9290065.78000633</v>
      </c>
      <c r="M37" s="24" t="n">
        <f aca="false">Costs!M55</f>
        <v>9172669.27052917</v>
      </c>
      <c r="N37" s="24" t="n">
        <f aca="false">Costs!N55</f>
        <v>9055393.01629111</v>
      </c>
      <c r="O37" s="24" t="n">
        <f aca="false">Costs!O55</f>
        <v>8938145.68474384</v>
      </c>
      <c r="P37" s="24" t="n">
        <f aca="false">Costs!P55</f>
        <v>8820831.97921234</v>
      </c>
      <c r="Q37" s="24" t="n">
        <f aca="false">Costs!Q55</f>
        <v>10521872.3756397</v>
      </c>
      <c r="R37" s="24" t="n">
        <f aca="false">Costs!R55</f>
        <v>10362768.7639892</v>
      </c>
      <c r="S37" s="24" t="n">
        <f aca="false">Costs!S55</f>
        <v>10203843.7459747</v>
      </c>
      <c r="T37" s="24" t="n">
        <f aca="false">Costs!T55</f>
        <v>15855414.9522082</v>
      </c>
      <c r="U37" s="24" t="n">
        <f aca="false">Costs!U55</f>
        <v>9896474.70926816</v>
      </c>
      <c r="V37" s="24" t="n">
        <f aca="false">Costs!V55</f>
        <v>9768649.68740952</v>
      </c>
      <c r="W37" s="24" t="n">
        <f aca="false">Costs!W55</f>
        <v>9518280.52774059</v>
      </c>
      <c r="X37" s="24" t="n">
        <f aca="false">Costs!X55</f>
        <v>9278224.32762499</v>
      </c>
      <c r="Y37" s="24" t="n">
        <f aca="false">Costs!Y55</f>
        <v>9018629.71339039</v>
      </c>
      <c r="Z37" s="24" t="n">
        <f aca="false">Costs!Z55</f>
        <v>8785635.83333333</v>
      </c>
      <c r="AA37" s="24" t="n">
        <f aca="false">Costs!AA55</f>
        <v>8785635.83333333</v>
      </c>
      <c r="AB37" s="24" t="n">
        <f aca="false">Costs!AB55</f>
        <v>8796075.83333333</v>
      </c>
      <c r="AC37" s="24" t="n">
        <f aca="false">Costs!AC55</f>
        <v>11218137.9452198</v>
      </c>
      <c r="AD37" s="24" t="n">
        <f aca="false">Costs!AD55</f>
        <v>10871556.8170875</v>
      </c>
      <c r="AE37" s="24" t="n">
        <f aca="false">Costs!AE55</f>
        <v>10715289.1666667</v>
      </c>
      <c r="AF37" s="24" t="n">
        <f aca="false">Costs!AF55</f>
        <v>16550669.1666667</v>
      </c>
      <c r="AG37" s="24" t="n">
        <f aca="false">Costs!AG55</f>
        <v>10781989.1666667</v>
      </c>
      <c r="AH37" s="24" t="n">
        <f aca="false">Costs!AH55</f>
        <v>10792429.1666667</v>
      </c>
      <c r="AI37" s="24" t="n">
        <f aca="false">Costs!AI55</f>
        <v>10802869.1666667</v>
      </c>
      <c r="AJ37" s="24" t="n">
        <f aca="false">Costs!AJ55</f>
        <v>10802869.1666667</v>
      </c>
      <c r="AK37" s="24" t="n">
        <f aca="false">Costs!AK55</f>
        <v>10813309.1666667</v>
      </c>
      <c r="AL37" s="24" t="n">
        <f aca="false">Costs!AL55</f>
        <v>10834189.1666667</v>
      </c>
      <c r="AM37" s="24" t="n">
        <f aca="false">Costs!AM55</f>
        <v>10844629.1666667</v>
      </c>
      <c r="AN37" s="24" t="n">
        <f aca="false">Costs!AN55</f>
        <v>10855069.1666667</v>
      </c>
      <c r="AO37" s="24" t="n">
        <f aca="false">Costs!AO55</f>
        <v>10626200</v>
      </c>
      <c r="AP37" s="24" t="n">
        <f aca="false">Costs!AP55</f>
        <v>10626200</v>
      </c>
      <c r="AQ37" s="24" t="n">
        <f aca="false">Costs!AQ55</f>
        <v>10647080</v>
      </c>
      <c r="AR37" s="24" t="n">
        <f aca="false">Costs!AR55</f>
        <v>16492900</v>
      </c>
      <c r="AS37" s="24" t="n">
        <f aca="false">Costs!AS55</f>
        <v>10692900</v>
      </c>
      <c r="AT37" s="24" t="n">
        <f aca="false">Costs!AT55</f>
        <v>10703340</v>
      </c>
      <c r="AU37" s="24" t="n">
        <f aca="false">Costs!AU55</f>
        <v>10734660</v>
      </c>
      <c r="AV37" s="24" t="n">
        <f aca="false">Costs!AV55</f>
        <v>10734660</v>
      </c>
      <c r="AW37" s="24" t="n">
        <f aca="false">Costs!AW55</f>
        <v>10765980</v>
      </c>
      <c r="AX37" s="24" t="n">
        <f aca="false">Costs!AX55</f>
        <v>10776420</v>
      </c>
      <c r="AY37" s="24" t="n">
        <f aca="false">Costs!AY55</f>
        <v>10786860</v>
      </c>
      <c r="AZ37" s="24" t="n">
        <f aca="false">Costs!AZ55</f>
        <v>10807740</v>
      </c>
      <c r="BA37" s="24" t="n">
        <f aca="false">Costs!BA55</f>
        <v>12486453.3333333</v>
      </c>
      <c r="BB37" s="24" t="n">
        <f aca="false">Costs!BB55</f>
        <v>12517773.3333333</v>
      </c>
      <c r="BC37" s="24" t="n">
        <f aca="false">Costs!BC55</f>
        <v>12528213.3333333</v>
      </c>
      <c r="BD37" s="24" t="n">
        <f aca="false">Costs!BD55</f>
        <v>18349093.3333333</v>
      </c>
      <c r="BE37" s="24" t="n">
        <f aca="false">Costs!BE55</f>
        <v>12559533.3333333</v>
      </c>
      <c r="BF37" s="24" t="n">
        <f aca="false">Costs!BF55</f>
        <v>12580413.3333333</v>
      </c>
      <c r="BG37" s="24" t="n">
        <f aca="false">Costs!BG55</f>
        <v>12601293.3333333</v>
      </c>
      <c r="BH37" s="24" t="n">
        <f aca="false">Costs!BH55</f>
        <v>12647113.3333333</v>
      </c>
      <c r="BI37" s="24" t="n">
        <f aca="false">Costs!BI55</f>
        <v>12667993.3333333</v>
      </c>
      <c r="BJ37" s="24" t="n">
        <f aca="false">Costs!BJ55</f>
        <v>12688873.3333333</v>
      </c>
      <c r="BK37" s="24" t="n">
        <f aca="false">Costs!BK55</f>
        <v>12709753.3333333</v>
      </c>
      <c r="BL37" s="24" t="n">
        <f aca="false">Costs!BL55</f>
        <v>12730633.3333333</v>
      </c>
    </row>
    <row r="38" customFormat="false" ht="15" hidden="false" customHeight="true" outlineLevel="0" collapsed="false">
      <c r="A38" s="13" t="s">
        <v>849</v>
      </c>
      <c r="B38" s="15" t="s">
        <v>77</v>
      </c>
      <c r="D38" s="56" t="n">
        <f aca="false">SUM(E38:BL38)</f>
        <v>230000000</v>
      </c>
      <c r="E38" s="24" t="n">
        <f aca="false">Costs!E63</f>
        <v>0</v>
      </c>
      <c r="F38" s="24" t="n">
        <f aca="false">Costs!F63</f>
        <v>15000000</v>
      </c>
      <c r="G38" s="24" t="n">
        <f aca="false">Costs!G63</f>
        <v>0</v>
      </c>
      <c r="H38" s="24" t="n">
        <f aca="false">Costs!H63</f>
        <v>0</v>
      </c>
      <c r="I38" s="24" t="n">
        <f aca="false">Costs!I63</f>
        <v>1500000</v>
      </c>
      <c r="J38" s="24" t="n">
        <f aca="false">Costs!J63</f>
        <v>1500000</v>
      </c>
      <c r="K38" s="24" t="n">
        <f aca="false">Costs!K63</f>
        <v>1500000</v>
      </c>
      <c r="L38" s="24" t="n">
        <f aca="false">Costs!L63</f>
        <v>1500000</v>
      </c>
      <c r="M38" s="24" t="n">
        <f aca="false">Costs!M63</f>
        <v>1500000</v>
      </c>
      <c r="N38" s="24" t="n">
        <f aca="false">Costs!N63</f>
        <v>1500000</v>
      </c>
      <c r="O38" s="24" t="n">
        <f aca="false">Costs!O63</f>
        <v>1500000</v>
      </c>
      <c r="P38" s="24" t="n">
        <f aca="false">Costs!P63</f>
        <v>1500000</v>
      </c>
      <c r="Q38" s="24" t="n">
        <f aca="false">Costs!Q63</f>
        <v>1750000</v>
      </c>
      <c r="R38" s="24" t="n">
        <f aca="false">Costs!R63</f>
        <v>1750000</v>
      </c>
      <c r="S38" s="24" t="n">
        <f aca="false">Costs!S63</f>
        <v>6750000</v>
      </c>
      <c r="T38" s="24" t="n">
        <f aca="false">Costs!T63</f>
        <v>16750000</v>
      </c>
      <c r="U38" s="24" t="n">
        <f aca="false">Costs!U63</f>
        <v>1750000</v>
      </c>
      <c r="V38" s="24" t="n">
        <f aca="false">Costs!V63</f>
        <v>1750000</v>
      </c>
      <c r="W38" s="24" t="n">
        <f aca="false">Costs!W63</f>
        <v>3250000</v>
      </c>
      <c r="X38" s="24" t="n">
        <f aca="false">Costs!X63</f>
        <v>3250000</v>
      </c>
      <c r="Y38" s="24" t="n">
        <f aca="false">Costs!Y63</f>
        <v>3250000</v>
      </c>
      <c r="Z38" s="24" t="n">
        <f aca="false">Costs!Z63</f>
        <v>3250000</v>
      </c>
      <c r="AA38" s="24" t="n">
        <f aca="false">Costs!AA63</f>
        <v>3250000</v>
      </c>
      <c r="AB38" s="24" t="n">
        <f aca="false">Costs!AB63</f>
        <v>3250000</v>
      </c>
      <c r="AC38" s="24" t="n">
        <f aca="false">Costs!AC63</f>
        <v>4250000</v>
      </c>
      <c r="AD38" s="24" t="n">
        <f aca="false">Costs!AD63</f>
        <v>4250000</v>
      </c>
      <c r="AE38" s="24" t="n">
        <f aca="false">Costs!AE63</f>
        <v>4250000</v>
      </c>
      <c r="AF38" s="24" t="n">
        <f aca="false">Costs!AF63</f>
        <v>4250000</v>
      </c>
      <c r="AG38" s="24" t="n">
        <f aca="false">Costs!AG63</f>
        <v>4250000</v>
      </c>
      <c r="AH38" s="24" t="n">
        <f aca="false">Costs!AH63</f>
        <v>4250000</v>
      </c>
      <c r="AI38" s="24" t="n">
        <f aca="false">Costs!AI63</f>
        <v>4250000</v>
      </c>
      <c r="AJ38" s="24" t="n">
        <f aca="false">Costs!AJ63</f>
        <v>4250000</v>
      </c>
      <c r="AK38" s="24" t="n">
        <f aca="false">Costs!AK63</f>
        <v>4250000</v>
      </c>
      <c r="AL38" s="24" t="n">
        <f aca="false">Costs!AL63</f>
        <v>4250000</v>
      </c>
      <c r="AM38" s="24" t="n">
        <f aca="false">Costs!AM63</f>
        <v>4250000</v>
      </c>
      <c r="AN38" s="24" t="n">
        <f aca="false">Costs!AN63</f>
        <v>4250000</v>
      </c>
      <c r="AO38" s="24" t="n">
        <f aca="false">Costs!AO63</f>
        <v>4250000</v>
      </c>
      <c r="AP38" s="24" t="n">
        <f aca="false">Costs!AP63</f>
        <v>4250000</v>
      </c>
      <c r="AQ38" s="24" t="n">
        <f aca="false">Costs!AQ63</f>
        <v>4250000</v>
      </c>
      <c r="AR38" s="24" t="n">
        <f aca="false">Costs!AR63</f>
        <v>4250000</v>
      </c>
      <c r="AS38" s="24" t="n">
        <f aca="false">Costs!AS63</f>
        <v>4250000</v>
      </c>
      <c r="AT38" s="24" t="n">
        <f aca="false">Costs!AT63</f>
        <v>4250000</v>
      </c>
      <c r="AU38" s="24" t="n">
        <f aca="false">Costs!AU63</f>
        <v>4250000</v>
      </c>
      <c r="AV38" s="24" t="n">
        <f aca="false">Costs!AV63</f>
        <v>4250000</v>
      </c>
      <c r="AW38" s="24" t="n">
        <f aca="false">Costs!AW63</f>
        <v>4250000</v>
      </c>
      <c r="AX38" s="24" t="n">
        <f aca="false">Costs!AX63</f>
        <v>4250000</v>
      </c>
      <c r="AY38" s="24" t="n">
        <f aca="false">Costs!AY63</f>
        <v>4250000</v>
      </c>
      <c r="AZ38" s="24" t="n">
        <f aca="false">Costs!AZ63</f>
        <v>4250000</v>
      </c>
      <c r="BA38" s="24" t="n">
        <f aca="false">Costs!BA63</f>
        <v>4250000</v>
      </c>
      <c r="BB38" s="24" t="n">
        <f aca="false">Costs!BB63</f>
        <v>4250000</v>
      </c>
      <c r="BC38" s="24" t="n">
        <f aca="false">Costs!BC63</f>
        <v>4250000</v>
      </c>
      <c r="BD38" s="24" t="n">
        <f aca="false">Costs!BD63</f>
        <v>4250000</v>
      </c>
      <c r="BE38" s="24" t="n">
        <f aca="false">Costs!BE63</f>
        <v>4250000</v>
      </c>
      <c r="BF38" s="24" t="n">
        <f aca="false">Costs!BF63</f>
        <v>4250000</v>
      </c>
      <c r="BG38" s="24" t="n">
        <f aca="false">Costs!BG63</f>
        <v>4250000</v>
      </c>
      <c r="BH38" s="24" t="n">
        <f aca="false">Costs!BH63</f>
        <v>4250000</v>
      </c>
      <c r="BI38" s="24" t="n">
        <f aca="false">Costs!BI63</f>
        <v>4250000</v>
      </c>
      <c r="BJ38" s="24" t="n">
        <f aca="false">Costs!BJ63</f>
        <v>4250000</v>
      </c>
      <c r="BK38" s="24" t="n">
        <f aca="false">Costs!BK63</f>
        <v>4250000</v>
      </c>
      <c r="BL38" s="24" t="n">
        <f aca="false">Costs!BL63</f>
        <v>4250000</v>
      </c>
    </row>
    <row r="39" customFormat="false" ht="15" hidden="false" customHeight="true" outlineLevel="0" collapsed="false">
      <c r="A39" s="13" t="s">
        <v>860</v>
      </c>
      <c r="B39" s="15" t="s">
        <v>77</v>
      </c>
      <c r="D39" s="56" t="n">
        <f aca="false">SUM(E39:BL39)</f>
        <v>656600000</v>
      </c>
      <c r="E39" s="24" t="n">
        <f aca="false">Costs!E76</f>
        <v>5475000</v>
      </c>
      <c r="F39" s="24" t="n">
        <f aca="false">Costs!F76</f>
        <v>2975000</v>
      </c>
      <c r="G39" s="24" t="n">
        <f aca="false">Costs!G76</f>
        <v>2975000</v>
      </c>
      <c r="H39" s="24" t="n">
        <f aca="false">Costs!H76</f>
        <v>2975000</v>
      </c>
      <c r="I39" s="24" t="n">
        <f aca="false">Costs!I76</f>
        <v>2975000</v>
      </c>
      <c r="J39" s="24" t="n">
        <f aca="false">Costs!J76</f>
        <v>2975000</v>
      </c>
      <c r="K39" s="24" t="n">
        <f aca="false">Costs!K76</f>
        <v>2975000</v>
      </c>
      <c r="L39" s="24" t="n">
        <f aca="false">Costs!L76</f>
        <v>2975000</v>
      </c>
      <c r="M39" s="24" t="n">
        <f aca="false">Costs!M76</f>
        <v>2975000</v>
      </c>
      <c r="N39" s="24" t="n">
        <f aca="false">Costs!N76</f>
        <v>2975000</v>
      </c>
      <c r="O39" s="24" t="n">
        <f aca="false">Costs!O76</f>
        <v>2975000</v>
      </c>
      <c r="P39" s="24" t="n">
        <f aca="false">Costs!P76</f>
        <v>2975000</v>
      </c>
      <c r="Q39" s="24" t="n">
        <f aca="false">Costs!Q76</f>
        <v>8100000</v>
      </c>
      <c r="R39" s="24" t="n">
        <f aca="false">Costs!R76</f>
        <v>8100000</v>
      </c>
      <c r="S39" s="24" t="n">
        <f aca="false">Costs!S76</f>
        <v>8100000</v>
      </c>
      <c r="T39" s="24" t="n">
        <f aca="false">Costs!T76</f>
        <v>11100000</v>
      </c>
      <c r="U39" s="24" t="n">
        <f aca="false">Costs!U76</f>
        <v>8100000</v>
      </c>
      <c r="V39" s="24" t="n">
        <f aca="false">Costs!V76</f>
        <v>8100000</v>
      </c>
      <c r="W39" s="24" t="n">
        <f aca="false">Costs!W76</f>
        <v>8100000</v>
      </c>
      <c r="X39" s="24" t="n">
        <f aca="false">Costs!X76</f>
        <v>8100000</v>
      </c>
      <c r="Y39" s="24" t="n">
        <f aca="false">Costs!Y76</f>
        <v>8100000</v>
      </c>
      <c r="Z39" s="24" t="n">
        <f aca="false">Costs!Z76</f>
        <v>8100000</v>
      </c>
      <c r="AA39" s="24" t="n">
        <f aca="false">Costs!AA76</f>
        <v>8100000</v>
      </c>
      <c r="AB39" s="24" t="n">
        <f aca="false">Costs!AB76</f>
        <v>11100000</v>
      </c>
      <c r="AC39" s="24" t="n">
        <f aca="false">Costs!AC76</f>
        <v>12533333.3333333</v>
      </c>
      <c r="AD39" s="24" t="n">
        <f aca="false">Costs!AD76</f>
        <v>12533333.3333333</v>
      </c>
      <c r="AE39" s="24" t="n">
        <f aca="false">Costs!AE76</f>
        <v>12533333.3333333</v>
      </c>
      <c r="AF39" s="24" t="n">
        <f aca="false">Costs!AF76</f>
        <v>12533333.3333333</v>
      </c>
      <c r="AG39" s="24" t="n">
        <f aca="false">Costs!AG76</f>
        <v>12533333.3333333</v>
      </c>
      <c r="AH39" s="24" t="n">
        <f aca="false">Costs!AH76</f>
        <v>12533333.3333333</v>
      </c>
      <c r="AI39" s="24" t="n">
        <f aca="false">Costs!AI76</f>
        <v>12533333.3333333</v>
      </c>
      <c r="AJ39" s="24" t="n">
        <f aca="false">Costs!AJ76</f>
        <v>12533333.3333333</v>
      </c>
      <c r="AK39" s="24" t="n">
        <f aca="false">Costs!AK76</f>
        <v>12533333.3333333</v>
      </c>
      <c r="AL39" s="24" t="n">
        <f aca="false">Costs!AL76</f>
        <v>12533333.3333333</v>
      </c>
      <c r="AM39" s="24" t="n">
        <f aca="false">Costs!AM76</f>
        <v>12533333.3333333</v>
      </c>
      <c r="AN39" s="24" t="n">
        <f aca="false">Costs!AN76</f>
        <v>12533333.3333333</v>
      </c>
      <c r="AO39" s="24" t="n">
        <f aca="false">Costs!AO76</f>
        <v>14033333.3333333</v>
      </c>
      <c r="AP39" s="24" t="n">
        <f aca="false">Costs!AP76</f>
        <v>14033333.3333333</v>
      </c>
      <c r="AQ39" s="24" t="n">
        <f aca="false">Costs!AQ76</f>
        <v>14033333.3333333</v>
      </c>
      <c r="AR39" s="24" t="n">
        <f aca="false">Costs!AR76</f>
        <v>14033333.3333333</v>
      </c>
      <c r="AS39" s="24" t="n">
        <f aca="false">Costs!AS76</f>
        <v>14033333.3333333</v>
      </c>
      <c r="AT39" s="24" t="n">
        <f aca="false">Costs!AT76</f>
        <v>14033333.3333333</v>
      </c>
      <c r="AU39" s="24" t="n">
        <f aca="false">Costs!AU76</f>
        <v>14033333.3333333</v>
      </c>
      <c r="AV39" s="24" t="n">
        <f aca="false">Costs!AV76</f>
        <v>14033333.3333333</v>
      </c>
      <c r="AW39" s="24" t="n">
        <f aca="false">Costs!AW76</f>
        <v>14033333.3333333</v>
      </c>
      <c r="AX39" s="24" t="n">
        <f aca="false">Costs!AX76</f>
        <v>14033333.3333333</v>
      </c>
      <c r="AY39" s="24" t="n">
        <f aca="false">Costs!AY76</f>
        <v>14033333.3333333</v>
      </c>
      <c r="AZ39" s="24" t="n">
        <f aca="false">Costs!AZ76</f>
        <v>14033333.3333333</v>
      </c>
      <c r="BA39" s="24" t="n">
        <f aca="false">Costs!BA76</f>
        <v>16366666.6666667</v>
      </c>
      <c r="BB39" s="24" t="n">
        <f aca="false">Costs!BB76</f>
        <v>16366666.6666667</v>
      </c>
      <c r="BC39" s="24" t="n">
        <f aca="false">Costs!BC76</f>
        <v>16366666.6666667</v>
      </c>
      <c r="BD39" s="24" t="n">
        <f aca="false">Costs!BD76</f>
        <v>16366666.6666667</v>
      </c>
      <c r="BE39" s="24" t="n">
        <f aca="false">Costs!BE76</f>
        <v>16366666.6666667</v>
      </c>
      <c r="BF39" s="24" t="n">
        <f aca="false">Costs!BF76</f>
        <v>16366666.6666667</v>
      </c>
      <c r="BG39" s="24" t="n">
        <f aca="false">Costs!BG76</f>
        <v>16366666.6666667</v>
      </c>
      <c r="BH39" s="24" t="n">
        <f aca="false">Costs!BH76</f>
        <v>16366666.6666667</v>
      </c>
      <c r="BI39" s="24" t="n">
        <f aca="false">Costs!BI76</f>
        <v>16366666.6666667</v>
      </c>
      <c r="BJ39" s="24" t="n">
        <f aca="false">Costs!BJ76</f>
        <v>16366666.6666667</v>
      </c>
      <c r="BK39" s="24" t="n">
        <f aca="false">Costs!BK76</f>
        <v>16366666.6666667</v>
      </c>
      <c r="BL39" s="24" t="n">
        <f aca="false">Costs!BL76</f>
        <v>16366666.6666667</v>
      </c>
    </row>
    <row r="40" customFormat="false" ht="15" hidden="false" customHeight="true" outlineLevel="0" collapsed="false">
      <c r="A40" s="13" t="s">
        <v>876</v>
      </c>
      <c r="B40" s="15" t="s">
        <v>77</v>
      </c>
      <c r="D40" s="56" t="n">
        <f aca="false">SUM(E40:BL40)</f>
        <v>645556687.966568</v>
      </c>
      <c r="E40" s="24" t="n">
        <f aca="false">Costs!E84</f>
        <v>2261666.66666667</v>
      </c>
      <c r="F40" s="24" t="n">
        <f aca="false">Costs!F84</f>
        <v>2261666.66666667</v>
      </c>
      <c r="G40" s="24" t="n">
        <f aca="false">Costs!G84</f>
        <v>2261666.66666667</v>
      </c>
      <c r="H40" s="24" t="n">
        <f aca="false">Costs!H84</f>
        <v>2411666.66666667</v>
      </c>
      <c r="I40" s="24" t="n">
        <f aca="false">Costs!I84</f>
        <v>3921666.66666667</v>
      </c>
      <c r="J40" s="24" t="n">
        <f aca="false">Costs!J84</f>
        <v>3933666.66666667</v>
      </c>
      <c r="K40" s="24" t="n">
        <f aca="false">Costs!K84</f>
        <v>3946386.66666667</v>
      </c>
      <c r="L40" s="24" t="n">
        <f aca="false">Costs!L84</f>
        <v>3959869.86666667</v>
      </c>
      <c r="M40" s="24" t="n">
        <f aca="false">Costs!M84</f>
        <v>3974162.05866667</v>
      </c>
      <c r="N40" s="24" t="n">
        <f aca="false">Costs!N84</f>
        <v>3989311.78218667</v>
      </c>
      <c r="O40" s="24" t="n">
        <f aca="false">Costs!O84</f>
        <v>4005370.48911787</v>
      </c>
      <c r="P40" s="24" t="n">
        <f aca="false">Costs!P84</f>
        <v>4022392.71846494</v>
      </c>
      <c r="Q40" s="24" t="n">
        <f aca="false">Costs!Q84</f>
        <v>5242936.28157284</v>
      </c>
      <c r="R40" s="24" t="n">
        <f aca="false">Costs!R84</f>
        <v>5262062.45846721</v>
      </c>
      <c r="S40" s="24" t="n">
        <f aca="false">Costs!S84</f>
        <v>5282336.20597524</v>
      </c>
      <c r="T40" s="24" t="n">
        <f aca="false">Costs!T84</f>
        <v>5303826.37833375</v>
      </c>
      <c r="U40" s="24" t="n">
        <f aca="false">Costs!U84</f>
        <v>5326605.96103378</v>
      </c>
      <c r="V40" s="24" t="n">
        <f aca="false">Costs!V84</f>
        <v>5500752.3186958</v>
      </c>
      <c r="W40" s="24" t="n">
        <f aca="false">Costs!W84</f>
        <v>6986347.45781755</v>
      </c>
      <c r="X40" s="24" t="n">
        <f aca="false">Costs!X84</f>
        <v>7097478.30528661</v>
      </c>
      <c r="Y40" s="24" t="n">
        <f aca="false">Costs!Y84</f>
        <v>7135777.0036038</v>
      </c>
      <c r="Z40" s="24" t="n">
        <f aca="false">Costs!Z84</f>
        <v>7176373.62382003</v>
      </c>
      <c r="AA40" s="24" t="n">
        <f aca="false">Costs!AA84</f>
        <v>7219406.04124923</v>
      </c>
      <c r="AB40" s="24" t="n">
        <f aca="false">Costs!AB84</f>
        <v>7265020.40372419</v>
      </c>
      <c r="AC40" s="24" t="n">
        <f aca="false">Costs!AC84</f>
        <v>10869204.961281</v>
      </c>
      <c r="AD40" s="24" t="n">
        <f aca="false">Costs!AD84</f>
        <v>10995457.2589578</v>
      </c>
      <c r="AE40" s="24" t="n">
        <f aca="false">Costs!AE84</f>
        <v>11049784.6944953</v>
      </c>
      <c r="AF40" s="24" t="n">
        <f aca="false">Costs!AF84</f>
        <v>11107371.776165</v>
      </c>
      <c r="AG40" s="24" t="n">
        <f aca="false">Costs!AG84</f>
        <v>11168414.0827349</v>
      </c>
      <c r="AH40" s="24" t="n">
        <f aca="false">Costs!AH84</f>
        <v>11308118.927699</v>
      </c>
      <c r="AI40" s="24" t="n">
        <f aca="false">Costs!AI84</f>
        <v>11376706.063361</v>
      </c>
      <c r="AJ40" s="24" t="n">
        <f aca="false">Costs!AJ84</f>
        <v>11449408.4271626</v>
      </c>
      <c r="AK40" s="24" t="n">
        <f aca="false">Costs!AK84</f>
        <v>11526472.9327924</v>
      </c>
      <c r="AL40" s="24" t="n">
        <f aca="false">Costs!AL84</f>
        <v>11683161.3087599</v>
      </c>
      <c r="AM40" s="24" t="n">
        <f aca="false">Costs!AM84</f>
        <v>11769750.9872855</v>
      </c>
      <c r="AN40" s="24" t="n">
        <f aca="false">Costs!AN84</f>
        <v>11936536.0465226</v>
      </c>
      <c r="AO40" s="24" t="n">
        <f aca="false">Costs!AO84</f>
        <v>13968828.209314</v>
      </c>
      <c r="AP40" s="24" t="n">
        <f aca="false">Costs!AP84</f>
        <v>14071957.9018728</v>
      </c>
      <c r="AQ40" s="24" t="n">
        <f aca="false">Costs!AQ84</f>
        <v>14181275.3759852</v>
      </c>
      <c r="AR40" s="24" t="n">
        <f aca="false">Costs!AR84</f>
        <v>14372151.8985443</v>
      </c>
      <c r="AS40" s="24" t="n">
        <f aca="false">Costs!AS84</f>
        <v>14494981.012457</v>
      </c>
      <c r="AT40" s="24" t="n">
        <f aca="false">Costs!AT84</f>
        <v>14625179.8732044</v>
      </c>
      <c r="AU40" s="24" t="n">
        <f aca="false">Costs!AU84</f>
        <v>14913190.6655967</v>
      </c>
      <c r="AV40" s="24" t="n">
        <f aca="false">Costs!AV84</f>
        <v>15059482.1055325</v>
      </c>
      <c r="AW40" s="24" t="n">
        <f aca="false">Costs!AW84</f>
        <v>15232407.4444392</v>
      </c>
      <c r="AX40" s="24" t="n">
        <f aca="false">Costs!AX84</f>
        <v>15273351.8911056</v>
      </c>
      <c r="AY40" s="24" t="n">
        <f aca="false">Costs!AY84</f>
        <v>15316753.0045719</v>
      </c>
      <c r="AZ40" s="24" t="n">
        <f aca="false">Costs!AZ84</f>
        <v>15512758.1848462</v>
      </c>
      <c r="BA40" s="24" t="n">
        <f aca="false">Costs!BA84</f>
        <v>17423190.3426037</v>
      </c>
      <c r="BB40" s="24" t="n">
        <f aca="false">Costs!BB84</f>
        <v>17549881.7631599</v>
      </c>
      <c r="BC40" s="24" t="n">
        <f aca="false">Costs!BC84</f>
        <v>17604674.6689495</v>
      </c>
      <c r="BD40" s="24" t="n">
        <f aca="false">Costs!BD84</f>
        <v>17737755.1490864</v>
      </c>
      <c r="BE40" s="24" t="n">
        <f aca="false">Costs!BE84</f>
        <v>17874320.4580316</v>
      </c>
      <c r="BF40" s="24" t="n">
        <f aca="false">Costs!BF84</f>
        <v>17939579.6855135</v>
      </c>
      <c r="BG40" s="24" t="n">
        <f aca="false">Costs!BG84</f>
        <v>18083754.4666443</v>
      </c>
      <c r="BH40" s="24" t="n">
        <f aca="false">Costs!BH84</f>
        <v>18232079.734643</v>
      </c>
      <c r="BI40" s="24" t="n">
        <f aca="false">Costs!BI84</f>
        <v>18384804.5187216</v>
      </c>
      <c r="BJ40" s="24" t="n">
        <f aca="false">Costs!BJ84</f>
        <v>18467192.7898449</v>
      </c>
      <c r="BK40" s="24" t="n">
        <f aca="false">Costs!BK84</f>
        <v>18586666.6666667</v>
      </c>
      <c r="BL40" s="24" t="n">
        <f aca="false">Costs!BL84</f>
        <v>18661666.6666667</v>
      </c>
    </row>
    <row r="41" customFormat="false" ht="15" hidden="false" customHeight="true" outlineLevel="0" collapsed="false">
      <c r="A41" s="13" t="s">
        <v>883</v>
      </c>
      <c r="B41" s="15" t="s">
        <v>77</v>
      </c>
      <c r="D41" s="56" t="n">
        <f aca="false">SUM(E41:BL41)</f>
        <v>121620546.4</v>
      </c>
      <c r="E41" s="24" t="n">
        <f aca="false">Costs!E90</f>
        <v>2836562.4</v>
      </c>
      <c r="F41" s="24" t="n">
        <f aca="false">Costs!F90</f>
        <v>737500</v>
      </c>
      <c r="G41" s="24" t="n">
        <f aca="false">Costs!G90</f>
        <v>737500</v>
      </c>
      <c r="H41" s="24" t="n">
        <f aca="false">Costs!H90</f>
        <v>737500</v>
      </c>
      <c r="I41" s="24" t="n">
        <f aca="false">Costs!I90</f>
        <v>737500</v>
      </c>
      <c r="J41" s="24" t="n">
        <f aca="false">Costs!J90</f>
        <v>737500</v>
      </c>
      <c r="K41" s="24" t="n">
        <f aca="false">Costs!K90</f>
        <v>737500</v>
      </c>
      <c r="L41" s="24" t="n">
        <f aca="false">Costs!L90</f>
        <v>737500</v>
      </c>
      <c r="M41" s="24" t="n">
        <f aca="false">Costs!M90</f>
        <v>737500</v>
      </c>
      <c r="N41" s="24" t="n">
        <f aca="false">Costs!N90</f>
        <v>737500</v>
      </c>
      <c r="O41" s="24" t="n">
        <f aca="false">Costs!O90</f>
        <v>737500</v>
      </c>
      <c r="P41" s="24" t="n">
        <f aca="false">Costs!P90</f>
        <v>737500</v>
      </c>
      <c r="Q41" s="24" t="n">
        <f aca="false">Costs!Q90</f>
        <v>2066432.26666667</v>
      </c>
      <c r="R41" s="24" t="n">
        <f aca="false">Costs!R90</f>
        <v>1541666.66666667</v>
      </c>
      <c r="S41" s="24" t="n">
        <f aca="false">Costs!S90</f>
        <v>1541666.66666667</v>
      </c>
      <c r="T41" s="24" t="n">
        <f aca="false">Costs!T90</f>
        <v>2066432.26666667</v>
      </c>
      <c r="U41" s="24" t="n">
        <f aca="false">Costs!U90</f>
        <v>1541666.66666667</v>
      </c>
      <c r="V41" s="24" t="n">
        <f aca="false">Costs!V90</f>
        <v>2066432.26666667</v>
      </c>
      <c r="W41" s="24" t="n">
        <f aca="false">Costs!W90</f>
        <v>1541666.66666667</v>
      </c>
      <c r="X41" s="24" t="n">
        <f aca="false">Costs!X90</f>
        <v>1541666.66666667</v>
      </c>
      <c r="Y41" s="24" t="n">
        <f aca="false">Costs!Y90</f>
        <v>1541666.66666667</v>
      </c>
      <c r="Z41" s="24" t="n">
        <f aca="false">Costs!Z90</f>
        <v>1541666.66666667</v>
      </c>
      <c r="AA41" s="24" t="n">
        <f aca="false">Costs!AA90</f>
        <v>1541666.66666667</v>
      </c>
      <c r="AB41" s="24" t="n">
        <f aca="false">Costs!AB90</f>
        <v>2066432.26666667</v>
      </c>
      <c r="AC41" s="24" t="n">
        <f aca="false">Costs!AC90</f>
        <v>1966666.66666667</v>
      </c>
      <c r="AD41" s="24" t="n">
        <f aca="false">Costs!AD90</f>
        <v>1966666.66666667</v>
      </c>
      <c r="AE41" s="24" t="n">
        <f aca="false">Costs!AE90</f>
        <v>1966666.66666667</v>
      </c>
      <c r="AF41" s="24" t="n">
        <f aca="false">Costs!AF90</f>
        <v>2491432.26666667</v>
      </c>
      <c r="AG41" s="24" t="n">
        <f aca="false">Costs!AG90</f>
        <v>2491432.26666667</v>
      </c>
      <c r="AH41" s="24" t="n">
        <f aca="false">Costs!AH90</f>
        <v>1966666.66666667</v>
      </c>
      <c r="AI41" s="24" t="n">
        <f aca="false">Costs!AI90</f>
        <v>1966666.66666667</v>
      </c>
      <c r="AJ41" s="24" t="n">
        <f aca="false">Costs!AJ90</f>
        <v>1966666.66666667</v>
      </c>
      <c r="AK41" s="24" t="n">
        <f aca="false">Costs!AK90</f>
        <v>1966666.66666667</v>
      </c>
      <c r="AL41" s="24" t="n">
        <f aca="false">Costs!AL90</f>
        <v>2491432.26666667</v>
      </c>
      <c r="AM41" s="24" t="n">
        <f aca="false">Costs!AM90</f>
        <v>1966666.66666667</v>
      </c>
      <c r="AN41" s="24" t="n">
        <f aca="false">Costs!AN90</f>
        <v>1966666.66666667</v>
      </c>
      <c r="AO41" s="24" t="n">
        <f aca="false">Costs!AO90</f>
        <v>2341666.66666667</v>
      </c>
      <c r="AP41" s="24" t="n">
        <f aca="false">Costs!AP90</f>
        <v>2341666.66666667</v>
      </c>
      <c r="AQ41" s="24" t="n">
        <f aca="false">Costs!AQ90</f>
        <v>2866432.26666667</v>
      </c>
      <c r="AR41" s="24" t="n">
        <f aca="false">Costs!AR90</f>
        <v>2866432.26666667</v>
      </c>
      <c r="AS41" s="24" t="n">
        <f aca="false">Costs!AS90</f>
        <v>2341666.66666667</v>
      </c>
      <c r="AT41" s="24" t="n">
        <f aca="false">Costs!AT90</f>
        <v>2341666.66666667</v>
      </c>
      <c r="AU41" s="24" t="n">
        <f aca="false">Costs!AU90</f>
        <v>2341666.66666667</v>
      </c>
      <c r="AV41" s="24" t="n">
        <f aca="false">Costs!AV90</f>
        <v>2341666.66666667</v>
      </c>
      <c r="AW41" s="24" t="n">
        <f aca="false">Costs!AW90</f>
        <v>2866432.26666667</v>
      </c>
      <c r="AX41" s="24" t="n">
        <f aca="false">Costs!AX90</f>
        <v>2341666.66666667</v>
      </c>
      <c r="AY41" s="24" t="n">
        <f aca="false">Costs!AY90</f>
        <v>2341666.66666667</v>
      </c>
      <c r="AZ41" s="24" t="n">
        <f aca="false">Costs!AZ90</f>
        <v>2341666.66666667</v>
      </c>
      <c r="BA41" s="24" t="n">
        <f aca="false">Costs!BA90</f>
        <v>3241432.26666667</v>
      </c>
      <c r="BB41" s="24" t="n">
        <f aca="false">Costs!BB90</f>
        <v>3241432.26666667</v>
      </c>
      <c r="BC41" s="24" t="n">
        <f aca="false">Costs!BC90</f>
        <v>2716666.66666667</v>
      </c>
      <c r="BD41" s="24" t="n">
        <f aca="false">Costs!BD90</f>
        <v>2716666.66666667</v>
      </c>
      <c r="BE41" s="24" t="n">
        <f aca="false">Costs!BE90</f>
        <v>2716666.66666667</v>
      </c>
      <c r="BF41" s="24" t="n">
        <f aca="false">Costs!BF90</f>
        <v>3241432.26666667</v>
      </c>
      <c r="BG41" s="24" t="n">
        <f aca="false">Costs!BG90</f>
        <v>2716666.66666667</v>
      </c>
      <c r="BH41" s="24" t="n">
        <f aca="false">Costs!BH90</f>
        <v>3241432.26666667</v>
      </c>
      <c r="BI41" s="24" t="n">
        <f aca="false">Costs!BI90</f>
        <v>2716666.66666667</v>
      </c>
      <c r="BJ41" s="24" t="n">
        <f aca="false">Costs!BJ90</f>
        <v>3241432.26666667</v>
      </c>
      <c r="BK41" s="24" t="n">
        <f aca="false">Costs!BK90</f>
        <v>2716666.66666667</v>
      </c>
      <c r="BL41" s="24" t="n">
        <f aca="false">Costs!BL90</f>
        <v>2716666.66666667</v>
      </c>
    </row>
    <row r="42" customFormat="false" ht="15" hidden="false" customHeight="true" outlineLevel="0" collapsed="false">
      <c r="A42" s="13" t="s">
        <v>1336</v>
      </c>
      <c r="B42" s="15" t="s">
        <v>77</v>
      </c>
      <c r="D42" s="56" t="n">
        <f aca="false">SUM(E42:BL42)</f>
        <v>240516288.869013</v>
      </c>
      <c r="E42" s="24" t="n">
        <f aca="false">Costs!E94</f>
        <v>1532901.87</v>
      </c>
      <c r="F42" s="24" t="n">
        <f aca="false">Costs!F94</f>
        <v>1933150.9</v>
      </c>
      <c r="G42" s="24" t="n">
        <f aca="false">Costs!G94</f>
        <v>2633150.9</v>
      </c>
      <c r="H42" s="24" t="n">
        <f aca="false">Costs!H94</f>
        <v>1766952.3</v>
      </c>
      <c r="I42" s="24" t="n">
        <f aca="false">Costs!I94</f>
        <v>1733181.955</v>
      </c>
      <c r="J42" s="24" t="n">
        <f aca="false">Costs!J94</f>
        <v>1711469.566</v>
      </c>
      <c r="K42" s="24" t="n">
        <f aca="false">Costs!K94</f>
        <v>1706210.74643</v>
      </c>
      <c r="L42" s="24" t="n">
        <f aca="false">Costs!L94</f>
        <v>1701004.68733365</v>
      </c>
      <c r="M42" s="24" t="n">
        <f aca="false">Costs!M94</f>
        <v>1695849.47145979</v>
      </c>
      <c r="N42" s="24" t="n">
        <f aca="false">Costs!N94</f>
        <v>1690743.14492389</v>
      </c>
      <c r="O42" s="24" t="n">
        <f aca="false">Costs!O94</f>
        <v>1685683.71369309</v>
      </c>
      <c r="P42" s="24" t="n">
        <f aca="false">Costs!P94</f>
        <v>1680669.13988386</v>
      </c>
      <c r="Q42" s="24" t="n">
        <f aca="false">Costs!Q94</f>
        <v>2392403.23119396</v>
      </c>
      <c r="R42" s="24" t="n">
        <f aca="false">Costs!R94</f>
        <v>2342767.15445615</v>
      </c>
      <c r="S42" s="24" t="n">
        <f aca="false">Costs!S94</f>
        <v>2585834.59093083</v>
      </c>
      <c r="T42" s="24" t="n">
        <f aca="false">Costs!T94</f>
        <v>3613164.21986043</v>
      </c>
      <c r="U42" s="24" t="n">
        <f aca="false">Costs!U94</f>
        <v>2373718.98184843</v>
      </c>
      <c r="V42" s="24" t="n">
        <f aca="false">Costs!V94</f>
        <v>2734263.1686386</v>
      </c>
      <c r="W42" s="24" t="n">
        <f aca="false">Costs!W94</f>
        <v>2795589.41261124</v>
      </c>
      <c r="X42" s="24" t="n">
        <f aca="false">Costs!X94</f>
        <v>2842931.42497891</v>
      </c>
      <c r="Y42" s="24" t="n">
        <f aca="false">Costs!Y94</f>
        <v>2861065.98418304</v>
      </c>
      <c r="Z42" s="24" t="n">
        <f aca="false">Costs!Z94</f>
        <v>2835047.196191</v>
      </c>
      <c r="AA42" s="24" t="n">
        <f aca="false">Costs!AA94</f>
        <v>2837198.81706246</v>
      </c>
      <c r="AB42" s="24" t="n">
        <f aca="false">Costs!AB94</f>
        <v>3145103.09518621</v>
      </c>
      <c r="AC42" s="24" t="n">
        <f aca="false">Costs!AC94</f>
        <v>3658905.17032504</v>
      </c>
      <c r="AD42" s="24" t="n">
        <f aca="false">Costs!AD94</f>
        <v>3686643.08380227</v>
      </c>
      <c r="AE42" s="24" t="n">
        <f aca="false">Costs!AE94</f>
        <v>3665147.1480581</v>
      </c>
      <c r="AF42" s="24" t="n">
        <f aca="false">Costs!AF94</f>
        <v>4186671.91714158</v>
      </c>
      <c r="AG42" s="24" t="n">
        <f aca="false">Costs!AG94</f>
        <v>3989484.44747008</v>
      </c>
      <c r="AH42" s="24" t="n">
        <f aca="false">Costs!AH94</f>
        <v>3976709.91471828</v>
      </c>
      <c r="AI42" s="24" t="n">
        <f aca="false">Costs!AI94</f>
        <v>4010816.12650138</v>
      </c>
      <c r="AJ42" s="24" t="n">
        <f aca="false">Costs!AJ94</f>
        <v>3998052.31969146</v>
      </c>
      <c r="AK42" s="24" t="n">
        <f aca="false">Costs!AK94</f>
        <v>4048981.32497295</v>
      </c>
      <c r="AL42" s="24" t="n">
        <f aca="false">Costs!AL94</f>
        <v>4192338.15877133</v>
      </c>
      <c r="AM42" s="24" t="n">
        <f aca="false">Costs!AM94</f>
        <v>4184707.29269761</v>
      </c>
      <c r="AN42" s="24" t="n">
        <f aca="false">Costs!AN94</f>
        <v>4235906.02565947</v>
      </c>
      <c r="AO42" s="24" t="n">
        <f aca="false">Costs!AO94</f>
        <v>4598045.7417157</v>
      </c>
      <c r="AP42" s="24" t="n">
        <f aca="false">Costs!AP94</f>
        <v>4570404.37634364</v>
      </c>
      <c r="AQ42" s="24" t="n">
        <f aca="false">Costs!AQ94</f>
        <v>4722345.24004926</v>
      </c>
      <c r="AR42" s="24" t="n">
        <f aca="false">Costs!AR94</f>
        <v>5253909.90617722</v>
      </c>
      <c r="AS42" s="24" t="n">
        <f aca="false">Costs!AS94</f>
        <v>4853015.23187285</v>
      </c>
      <c r="AT42" s="24" t="n">
        <f aca="false">Costs!AT94</f>
        <v>4907604.22991022</v>
      </c>
      <c r="AU42" s="24" t="n">
        <f aca="false">Costs!AU94</f>
        <v>5071664.24077983</v>
      </c>
      <c r="AV42" s="24" t="n">
        <f aca="false">Costs!AV94</f>
        <v>5029782.03777662</v>
      </c>
      <c r="AW42" s="24" t="n">
        <f aca="false">Costs!AW94</f>
        <v>5242011.82472196</v>
      </c>
      <c r="AX42" s="24" t="n">
        <f aca="false">Costs!AX94</f>
        <v>5216703.04705528</v>
      </c>
      <c r="AY42" s="24" t="n">
        <f aca="false">Costs!AY94</f>
        <v>5250553.2327286</v>
      </c>
      <c r="AZ42" s="24" t="n">
        <f aca="false">Costs!AZ94</f>
        <v>5361933.90799231</v>
      </c>
      <c r="BA42" s="24" t="n">
        <f aca="false">Costs!BA94</f>
        <v>6005122.81765102</v>
      </c>
      <c r="BB42" s="24" t="n">
        <f aca="false">Costs!BB94</f>
        <v>6119219.42367883</v>
      </c>
      <c r="BC42" s="24" t="n">
        <f aca="false">Costs!BC94</f>
        <v>6095656.50771831</v>
      </c>
      <c r="BD42" s="24" t="n">
        <f aca="false">Costs!BD94</f>
        <v>6487607.93828766</v>
      </c>
      <c r="BE42" s="24" t="n">
        <f aca="false">Costs!BE94</f>
        <v>6230251.79623492</v>
      </c>
      <c r="BF42" s="24" t="n">
        <f aca="false">Costs!BF94</f>
        <v>6366901.63010901</v>
      </c>
      <c r="BG42" s="24" t="n">
        <f aca="false">Costs!BG94</f>
        <v>6422820.17541555</v>
      </c>
      <c r="BH42" s="24" t="n">
        <f aca="false">Costs!BH94</f>
        <v>6699519.04287798</v>
      </c>
      <c r="BI42" s="24" t="n">
        <f aca="false">Costs!BI94</f>
        <v>6697865.08833191</v>
      </c>
      <c r="BJ42" s="24" t="n">
        <f aca="false">Costs!BJ94</f>
        <v>6818972.44938808</v>
      </c>
      <c r="BK42" s="24" t="n">
        <f aca="false">Costs!BK94</f>
        <v>6873655.94947917</v>
      </c>
      <c r="BL42" s="24" t="n">
        <f aca="false">Costs!BL94</f>
        <v>6956304.43104167</v>
      </c>
    </row>
    <row r="43" customFormat="false" ht="15" hidden="false" customHeight="true" outlineLevel="0" collapsed="false">
      <c r="A43" s="9" t="s">
        <v>97</v>
      </c>
      <c r="B43" s="15" t="s">
        <v>77</v>
      </c>
      <c r="D43" s="56" t="n">
        <f aca="false">SUM(E43:BL43)</f>
        <v>5050842066.24927</v>
      </c>
      <c r="E43" s="17" t="n">
        <f aca="false">SUM(E35:E42)</f>
        <v>32190939.27</v>
      </c>
      <c r="F43" s="17" t="n">
        <f aca="false">SUM(F35:F42)</f>
        <v>40596168.9</v>
      </c>
      <c r="G43" s="17" t="n">
        <f aca="false">SUM(G35:G42)</f>
        <v>55296168.9</v>
      </c>
      <c r="H43" s="17" t="n">
        <f aca="false">SUM(H35:H42)</f>
        <v>37105998.3</v>
      </c>
      <c r="I43" s="17" t="n">
        <f aca="false">SUM(I35:I42)</f>
        <v>36396821.055</v>
      </c>
      <c r="J43" s="17" t="n">
        <f aca="false">SUM(J35:J42)</f>
        <v>35940860.886</v>
      </c>
      <c r="K43" s="17" t="n">
        <f aca="false">SUM(K35:K42)</f>
        <v>35830425.67503</v>
      </c>
      <c r="L43" s="17" t="n">
        <f aca="false">SUM(L35:L42)</f>
        <v>35721098.4340067</v>
      </c>
      <c r="M43" s="17" t="n">
        <f aca="false">SUM(M35:M42)</f>
        <v>35612838.9006556</v>
      </c>
      <c r="N43" s="17" t="n">
        <f aca="false">SUM(N35:N42)</f>
        <v>35505606.0434017</v>
      </c>
      <c r="O43" s="17" t="n">
        <f aca="false">SUM(O35:O42)</f>
        <v>35399357.9875548</v>
      </c>
      <c r="P43" s="17" t="n">
        <f aca="false">SUM(P35:P42)</f>
        <v>35294051.9375611</v>
      </c>
      <c r="Q43" s="17" t="n">
        <f aca="false">SUM(Q35:Q42)</f>
        <v>50240467.8550732</v>
      </c>
      <c r="R43" s="17" t="n">
        <f aca="false">SUM(R35:R42)</f>
        <v>49198110.2435792</v>
      </c>
      <c r="S43" s="17" t="n">
        <f aca="false">SUM(S35:S42)</f>
        <v>54302526.4095475</v>
      </c>
      <c r="T43" s="17" t="n">
        <f aca="false">SUM(T35:T42)</f>
        <v>75876448.617069</v>
      </c>
      <c r="U43" s="17" t="n">
        <f aca="false">SUM(U35:U42)</f>
        <v>49848098.618817</v>
      </c>
      <c r="V43" s="17" t="n">
        <f aca="false">SUM(V35:V42)</f>
        <v>57419526.5414106</v>
      </c>
      <c r="W43" s="17" t="n">
        <f aca="false">SUM(W35:W42)</f>
        <v>58707377.6648361</v>
      </c>
      <c r="X43" s="17" t="n">
        <f aca="false">SUM(X35:X42)</f>
        <v>59701559.9245572</v>
      </c>
      <c r="Y43" s="17" t="n">
        <f aca="false">SUM(Y35:Y42)</f>
        <v>60082385.6678439</v>
      </c>
      <c r="Z43" s="17" t="n">
        <f aca="false">SUM(Z35:Z42)</f>
        <v>59535991.120011</v>
      </c>
      <c r="AA43" s="17" t="n">
        <f aca="false">SUM(AA35:AA42)</f>
        <v>59581175.1583117</v>
      </c>
      <c r="AB43" s="17" t="n">
        <f aca="false">SUM(AB35:AB42)</f>
        <v>66047164.9989104</v>
      </c>
      <c r="AC43" s="17" t="n">
        <f aca="false">SUM(AC35:AC42)</f>
        <v>76837008.5768258</v>
      </c>
      <c r="AD43" s="17" t="n">
        <f aca="false">SUM(AD35:AD42)</f>
        <v>77419504.7598476</v>
      </c>
      <c r="AE43" s="17" t="n">
        <f aca="false">SUM(AE35:AE42)</f>
        <v>76968090.1092201</v>
      </c>
      <c r="AF43" s="17" t="n">
        <f aca="false">SUM(AF35:AF42)</f>
        <v>87920110.2599733</v>
      </c>
      <c r="AG43" s="17" t="n">
        <f aca="false">SUM(AG35:AG42)</f>
        <v>83779173.3968717</v>
      </c>
      <c r="AH43" s="17" t="n">
        <f aca="false">SUM(AH35:AH42)</f>
        <v>83510908.209084</v>
      </c>
      <c r="AI43" s="17" t="n">
        <f aca="false">SUM(AI35:AI42)</f>
        <v>84227138.656529</v>
      </c>
      <c r="AJ43" s="17" t="n">
        <f aca="false">SUM(AJ35:AJ42)</f>
        <v>83959098.7135207</v>
      </c>
      <c r="AK43" s="17" t="n">
        <f aca="false">SUM(AK35:AK42)</f>
        <v>85028607.824432</v>
      </c>
      <c r="AL43" s="17" t="n">
        <f aca="false">SUM(AL35:AL42)</f>
        <v>88039101.3341979</v>
      </c>
      <c r="AM43" s="17" t="n">
        <f aca="false">SUM(AM35:AM42)</f>
        <v>87878853.1466498</v>
      </c>
      <c r="AN43" s="17" t="n">
        <f aca="false">SUM(AN35:AN42)</f>
        <v>88954026.5388488</v>
      </c>
      <c r="AO43" s="17" t="n">
        <f aca="false">SUM(AO35:AO42)</f>
        <v>96558960.5760297</v>
      </c>
      <c r="AP43" s="17" t="n">
        <f aca="false">SUM(AP35:AP42)</f>
        <v>95978491.9032165</v>
      </c>
      <c r="AQ43" s="17" t="n">
        <f aca="false">SUM(AQ35:AQ42)</f>
        <v>99169250.0410345</v>
      </c>
      <c r="AR43" s="17" t="n">
        <f aca="false">SUM(AR35:AR42)</f>
        <v>110332108.029722</v>
      </c>
      <c r="AS43" s="17" t="n">
        <f aca="false">SUM(AS35:AS42)</f>
        <v>101913319.86933</v>
      </c>
      <c r="AT43" s="17" t="n">
        <f aca="false">SUM(AT35:AT42)</f>
        <v>103059688.828115</v>
      </c>
      <c r="AU43" s="17" t="n">
        <f aca="false">SUM(AU35:AU42)</f>
        <v>106504949.056377</v>
      </c>
      <c r="AV43" s="17" t="n">
        <f aca="false">SUM(AV35:AV42)</f>
        <v>105625422.793309</v>
      </c>
      <c r="AW43" s="17" t="n">
        <f aca="false">SUM(AW35:AW42)</f>
        <v>110082248.319161</v>
      </c>
      <c r="AX43" s="17" t="n">
        <f aca="false">SUM(AX35:AX42)</f>
        <v>109550763.988161</v>
      </c>
      <c r="AY43" s="17" t="n">
        <f aca="false">SUM(AY35:AY42)</f>
        <v>110261617.887301</v>
      </c>
      <c r="AZ43" s="17" t="n">
        <f aca="false">SUM(AZ35:AZ42)</f>
        <v>112600612.067839</v>
      </c>
      <c r="BA43" s="17" t="n">
        <f aca="false">SUM(BA35:BA42)</f>
        <v>126107579.170671</v>
      </c>
      <c r="BB43" s="17" t="n">
        <f aca="false">SUM(BB35:BB42)</f>
        <v>128503607.897255</v>
      </c>
      <c r="BC43" s="17" t="n">
        <f aca="false">SUM(BC35:BC42)</f>
        <v>128008786.662084</v>
      </c>
      <c r="BD43" s="17" t="n">
        <f aca="false">SUM(BD35:BD42)</f>
        <v>136239766.704041</v>
      </c>
      <c r="BE43" s="17" t="n">
        <f aca="false">SUM(BE35:BE42)</f>
        <v>130835287.720933</v>
      </c>
      <c r="BF43" s="17" t="n">
        <f aca="false">SUM(BF35:BF42)</f>
        <v>133704934.232289</v>
      </c>
      <c r="BG43" s="17" t="n">
        <f aca="false">SUM(BG35:BG42)</f>
        <v>134879223.683727</v>
      </c>
      <c r="BH43" s="17" t="n">
        <f aca="false">SUM(BH35:BH42)</f>
        <v>140689899.900438</v>
      </c>
      <c r="BI43" s="17" t="n">
        <f aca="false">SUM(BI35:BI42)</f>
        <v>140655166.85497</v>
      </c>
      <c r="BJ43" s="17" t="n">
        <f aca="false">SUM(BJ35:BJ42)</f>
        <v>143198421.43715</v>
      </c>
      <c r="BK43" s="17" t="n">
        <f aca="false">SUM(BK35:BK42)</f>
        <v>144346774.939063</v>
      </c>
      <c r="BL43" s="17" t="n">
        <f aca="false">SUM(BL35:BL42)</f>
        <v>146082393.051875</v>
      </c>
    </row>
    <row r="44" customFormat="false" ht="15" hidden="false" customHeight="true" outlineLevel="0" collapsed="false">
      <c r="A44" s="9" t="s">
        <v>98</v>
      </c>
      <c r="B44" s="15" t="s">
        <v>77</v>
      </c>
      <c r="D44" s="56" t="n">
        <f aca="false">SUM(E44:BL44)</f>
        <v>6361264524.44665</v>
      </c>
      <c r="E44" s="56" t="n">
        <f aca="false">E31-E43</f>
        <v>-32190939.27</v>
      </c>
      <c r="F44" s="56" t="n">
        <f aca="false">F31-F43</f>
        <v>-40596168.9</v>
      </c>
      <c r="G44" s="56" t="n">
        <f aca="false">G31-G43</f>
        <v>-55296168.9</v>
      </c>
      <c r="H44" s="56" t="n">
        <f aca="false">H31-H43</f>
        <v>-37105998.3</v>
      </c>
      <c r="I44" s="56" t="n">
        <f aca="false">I31-I43</f>
        <v>-35591503.7216667</v>
      </c>
      <c r="J44" s="56" t="n">
        <f aca="false">J31-J43</f>
        <v>-33099950.1243333</v>
      </c>
      <c r="K44" s="56" t="n">
        <f aca="false">K31-K43</f>
        <v>-30957691.043655</v>
      </c>
      <c r="L44" s="56" t="n">
        <f aca="false">L31-L43</f>
        <v>-28819006.249316</v>
      </c>
      <c r="M44" s="56" t="n">
        <f aca="false">M31-M43</f>
        <v>-26682495.5249901</v>
      </c>
      <c r="N44" s="56" t="n">
        <f aca="false">N31-N43</f>
        <v>-24546697.4302898</v>
      </c>
      <c r="O44" s="56" t="n">
        <f aca="false">O31-O43</f>
        <v>-22180292.4672198</v>
      </c>
      <c r="P44" s="56" t="n">
        <f aca="false">P31-P43</f>
        <v>-19745416.2484548</v>
      </c>
      <c r="Q44" s="56" t="n">
        <f aca="false">Q31-Q43</f>
        <v>-31833521.7097002</v>
      </c>
      <c r="R44" s="56" t="n">
        <f aca="false">R31-R43</f>
        <v>-27364855.7625944</v>
      </c>
      <c r="S44" s="56" t="n">
        <f aca="false">S31-S43</f>
        <v>-28913044.9563859</v>
      </c>
      <c r="T44" s="56" t="n">
        <f aca="false">T31-T43</f>
        <v>-46798409.3141634</v>
      </c>
      <c r="U44" s="56" t="n">
        <f aca="false">U31-U43</f>
        <v>-16946462.1747956</v>
      </c>
      <c r="V44" s="56" t="n">
        <f aca="false">V31-V43</f>
        <v>-20425513.946346</v>
      </c>
      <c r="W44" s="56" t="n">
        <f aca="false">W31-W43</f>
        <v>-16447522.5522454</v>
      </c>
      <c r="X44" s="56" t="n">
        <f aca="false">X31-X43</f>
        <v>-10962409.6881346</v>
      </c>
      <c r="Y44" s="56" t="n">
        <f aca="false">Y31-Y43</f>
        <v>-4356358.21741258</v>
      </c>
      <c r="Z44" s="56" t="n">
        <f aca="false">Z31-Z43</f>
        <v>3696281.74066991</v>
      </c>
      <c r="AA44" s="56" t="n">
        <f aca="false">AA31-AA43</f>
        <v>10560678.2862557</v>
      </c>
      <c r="AB44" s="56" t="n">
        <f aca="false">AB31-AB43</f>
        <v>11163268.89554</v>
      </c>
      <c r="AC44" s="56" t="n">
        <f aca="false">AC31-AC43</f>
        <v>10148447.5696059</v>
      </c>
      <c r="AD44" s="56" t="n">
        <f aca="false">AD31-AD43</f>
        <v>18811134.846833</v>
      </c>
      <c r="AE44" s="56" t="n">
        <f aca="false">AE31-AE43</f>
        <v>28996756.6845172</v>
      </c>
      <c r="AF44" s="56" t="n">
        <f aca="false">AF31-AF43</f>
        <v>28258388.1342576</v>
      </c>
      <c r="AG44" s="56" t="n">
        <f aca="false">AG31-AG43</f>
        <v>31785692.107809</v>
      </c>
      <c r="AH44" s="56" t="n">
        <f aca="false">AH31-AH43</f>
        <v>50511544.4164168</v>
      </c>
      <c r="AI44" s="56" t="n">
        <f aca="false">AI31-AI43</f>
        <v>59708724.9005192</v>
      </c>
      <c r="AJ44" s="56" t="n">
        <f aca="false">AJ31-AJ43</f>
        <v>70246393.1624293</v>
      </c>
      <c r="AK44" s="56" t="n">
        <f aca="false">AK31-AK43</f>
        <v>79471096.170526</v>
      </c>
      <c r="AL44" s="56" t="n">
        <f aca="false">AL31-AL43</f>
        <v>86780264.329661</v>
      </c>
      <c r="AM44" s="56" t="n">
        <f aca="false">AM31-AM43</f>
        <v>97593543.3924476</v>
      </c>
      <c r="AN44" s="56" t="n">
        <f aca="false">AN31-AN43</f>
        <v>107549129.379051</v>
      </c>
      <c r="AO44" s="56" t="n">
        <f aca="false">AO31-AO43</f>
        <v>111737338.835195</v>
      </c>
      <c r="AP44" s="56" t="n">
        <f aca="false">AP31-AP43</f>
        <v>125260468.832105</v>
      </c>
      <c r="AQ44" s="56" t="n">
        <f aca="false">AQ31-AQ43</f>
        <v>135224996.903515</v>
      </c>
      <c r="AR44" s="56" t="n">
        <f aca="false">AR31-AR43</f>
        <v>137167287.724078</v>
      </c>
      <c r="AS44" s="56" t="n">
        <f aca="false">AS31-AS43</f>
        <v>159046923.548834</v>
      </c>
      <c r="AT44" s="56" t="n">
        <f aca="false">AT31-AT43</f>
        <v>171725982.239516</v>
      </c>
      <c r="AU44" s="56" t="n">
        <f aca="false">AU31-AU43</f>
        <v>182224627.206715</v>
      </c>
      <c r="AV44" s="56" t="n">
        <f aca="false">AV31-AV43</f>
        <v>197615870.541894</v>
      </c>
      <c r="AW44" s="56" t="n">
        <f aca="false">AW31-AW43</f>
        <v>208276579.115517</v>
      </c>
      <c r="AX44" s="56" t="n">
        <f aca="false">AX31-AX43</f>
        <v>224135105.60112</v>
      </c>
      <c r="AY44" s="56" t="n">
        <f aca="false">AY31-AY43</f>
        <v>238921198.219445</v>
      </c>
      <c r="AZ44" s="56" t="n">
        <f aca="false">AZ31-AZ43</f>
        <v>251997099.066587</v>
      </c>
      <c r="BA44" s="56" t="n">
        <f aca="false">BA31-BA43</f>
        <v>254687928.845492</v>
      </c>
      <c r="BB44" s="56" t="n">
        <f aca="false">BB31-BB43</f>
        <v>269460817.096411</v>
      </c>
      <c r="BC44" s="56" t="n">
        <f aca="false">BC31-BC43</f>
        <v>287265014.786787</v>
      </c>
      <c r="BD44" s="56" t="n">
        <f aca="false">BD31-BD43</f>
        <v>296522510.359299</v>
      </c>
      <c r="BE44" s="56" t="n">
        <f aca="false">BE31-BE43</f>
        <v>319520126.774374</v>
      </c>
      <c r="BF44" s="56" t="n">
        <f aca="false">BF31-BF43</f>
        <v>334632910.232344</v>
      </c>
      <c r="BG44" s="56" t="n">
        <f aca="false">BG31-BG43</f>
        <v>351637003.280807</v>
      </c>
      <c r="BH44" s="56" t="n">
        <f aca="false">BH31-BH43</f>
        <v>364175080.12742</v>
      </c>
      <c r="BI44" s="56" t="n">
        <f aca="false">BI31-BI43</f>
        <v>382944880.196465</v>
      </c>
      <c r="BJ44" s="56" t="n">
        <f aca="false">BJ31-BJ43</f>
        <v>399550741.056001</v>
      </c>
      <c r="BK44" s="56" t="n">
        <f aca="false">BK31-BK43</f>
        <v>417732146.265657</v>
      </c>
      <c r="BL44" s="56" t="n">
        <f aca="false">BL31-BL43</f>
        <v>435380970.076234</v>
      </c>
    </row>
    <row r="45" customFormat="false" ht="15" hidden="false" customHeight="true" outlineLevel="0" collapsed="false">
      <c r="A45" s="13" t="s">
        <v>99</v>
      </c>
      <c r="B45" s="15" t="s">
        <v>96</v>
      </c>
      <c r="E45" s="35" t="n">
        <f aca="false">IFERROR(E44/E23,0)</f>
        <v>0</v>
      </c>
      <c r="F45" s="35" t="n">
        <f aca="false">IFERROR(F44/F23,0)</f>
        <v>0</v>
      </c>
      <c r="G45" s="35" t="n">
        <f aca="false">IFERROR(G44/G23,0)</f>
        <v>0</v>
      </c>
      <c r="H45" s="35" t="n">
        <f aca="false">IFERROR(H44/H23,0)</f>
        <v>0</v>
      </c>
      <c r="I45" s="35" t="n">
        <f aca="false">IFERROR(I44/I23,0)</f>
        <v>-9.66005158549969</v>
      </c>
      <c r="J45" s="35" t="n">
        <f aca="false">IFERROR(J44/J23,0)</f>
        <v>-4.05256920057175</v>
      </c>
      <c r="K45" s="35" t="n">
        <f aca="false">IFERROR(K44/K23,0)</f>
        <v>-2.44847468930282</v>
      </c>
      <c r="L45" s="35" t="n">
        <f aca="false">IFERROR(L44/L23,0)</f>
        <v>-1.68380755175736</v>
      </c>
      <c r="M45" s="35" t="n">
        <f aca="false">IFERROR(M44/M23,0)</f>
        <v>-1.23611060854297</v>
      </c>
      <c r="N45" s="35" t="n">
        <f aca="false">IFERROR(N44/N23,0)</f>
        <v>-0.941993051539442</v>
      </c>
      <c r="O45" s="35" t="n">
        <f aca="false">IFERROR(O44/O23,0)</f>
        <v>-0.72085009547803</v>
      </c>
      <c r="P45" s="35" t="n">
        <f aca="false">IFERROR(P44/P23,0)</f>
        <v>-0.555317941721782</v>
      </c>
      <c r="Q45" s="35" t="n">
        <f aca="false">IFERROR(Q44/Q23,0)</f>
        <v>-0.75439761638431</v>
      </c>
      <c r="R45" s="35" t="n">
        <f aca="false">IFERROR(R44/R23,0)</f>
        <v>-0.554606877030096</v>
      </c>
      <c r="S45" s="35" t="n">
        <f aca="false">IFERROR(S44/S23,0)</f>
        <v>-0.509890964036445</v>
      </c>
      <c r="T45" s="35" t="n">
        <f aca="false">IFERROR(T44/T23,0)</f>
        <v>-0.727899537728153</v>
      </c>
      <c r="U45" s="35" t="n">
        <f aca="false">IFERROR(U44/U23,0)</f>
        <v>-0.235006334925564</v>
      </c>
      <c r="V45" s="35" t="n">
        <f aca="false">IFERROR(V44/V23,0)</f>
        <v>-0.253504113424852</v>
      </c>
      <c r="W45" s="35" t="n">
        <f aca="false">IFERROR(W44/W23,0)</f>
        <v>-0.177307464767387</v>
      </c>
      <c r="X45" s="35" t="n">
        <f aca="false">IFERROR(X44/X23,0)</f>
        <v>-0.103356825970137</v>
      </c>
      <c r="Y45" s="35" t="n">
        <f aca="false">IFERROR(Y44/Y23,0)</f>
        <v>-0.0361145318334898</v>
      </c>
      <c r="Z45" s="35" t="n">
        <f aca="false">IFERROR(Z44/Z23,0)</f>
        <v>0.0272016279408174</v>
      </c>
      <c r="AA45" s="35" t="n">
        <f aca="false">IFERROR(AA44/AA23,0)</f>
        <v>0.0700386246123268</v>
      </c>
      <c r="AB45" s="35" t="n">
        <f aca="false">IFERROR(AB44/AB23,0)</f>
        <v>0.0672085828425483</v>
      </c>
      <c r="AC45" s="35" t="n">
        <f aca="false">IFERROR(AC44/AC23,0)</f>
        <v>0.0546261631670187</v>
      </c>
      <c r="AD45" s="35" t="n">
        <f aca="false">IFERROR(AD44/AD23,0)</f>
        <v>0.091874179480245</v>
      </c>
      <c r="AE45" s="35" t="n">
        <f aca="false">IFERROR(AE44/AE23,0)</f>
        <v>0.128935233817613</v>
      </c>
      <c r="AF45" s="35" t="n">
        <f aca="false">IFERROR(AF44/AF23,0)</f>
        <v>0.115064451013134</v>
      </c>
      <c r="AG45" s="35" t="n">
        <f aca="false">IFERROR(AG44/AG23,0)</f>
        <v>0.119215793571297</v>
      </c>
      <c r="AH45" s="35" t="n">
        <f aca="false">IFERROR(AH44/AH23,0)</f>
        <v>0.176220884457027</v>
      </c>
      <c r="AI45" s="35" t="n">
        <f aca="false">IFERROR(AI44/AI23,0)</f>
        <v>0.194306113718586</v>
      </c>
      <c r="AJ45" s="35" t="n">
        <f aca="false">IFERROR(AJ44/AJ23,0)</f>
        <v>0.21399600654014</v>
      </c>
      <c r="AK45" s="35" t="n">
        <f aca="false">IFERROR(AK44/AK23,0)</f>
        <v>0.227499912157409</v>
      </c>
      <c r="AL45" s="35" t="n">
        <f aca="false">IFERROR(AL44/AL23,0)</f>
        <v>0.234228550024136</v>
      </c>
      <c r="AM45" s="35" t="n">
        <f aca="false">IFERROR(AM44/AM23,0)</f>
        <v>0.248524444754333</v>
      </c>
      <c r="AN45" s="35" t="n">
        <f aca="false">IFERROR(AN44/AN23,0)</f>
        <v>0.258989343056979</v>
      </c>
      <c r="AO45" s="35" t="n">
        <f aca="false">IFERROR(AO44/AO23,0)</f>
        <v>0.253622467905402</v>
      </c>
      <c r="AP45" s="35" t="n">
        <f aca="false">IFERROR(AP44/AP23,0)</f>
        <v>0.267988861443893</v>
      </c>
      <c r="AQ45" s="35" t="n">
        <f aca="false">IFERROR(AQ44/AQ23,0)</f>
        <v>0.273469402663309</v>
      </c>
      <c r="AR45" s="35" t="n">
        <f aca="false">IFERROR(AR44/AR23,0)</f>
        <v>0.262958336149835</v>
      </c>
      <c r="AS45" s="35" t="n">
        <f aca="false">IFERROR(AS44/AS23,0)</f>
        <v>0.289235184761146</v>
      </c>
      <c r="AT45" s="35" t="n">
        <f aca="false">IFERROR(AT44/AT23,0)</f>
        <v>0.296813175735133</v>
      </c>
      <c r="AU45" s="35" t="n">
        <f aca="false">IFERROR(AU44/AU23,0)</f>
        <v>0.299938650265662</v>
      </c>
      <c r="AV45" s="35" t="n">
        <f aca="false">IFERROR(AV44/AV23,0)</f>
        <v>0.309539121995407</v>
      </c>
      <c r="AW45" s="35" t="n">
        <f aca="false">IFERROR(AW44/AW23,0)</f>
        <v>0.31097916995525</v>
      </c>
      <c r="AX45" s="35" t="n">
        <f aca="false">IFERROR(AX44/AX23,0)</f>
        <v>0.319387082746164</v>
      </c>
      <c r="AY45" s="35" t="n">
        <f aca="false">IFERROR(AY44/AY23,0)</f>
        <v>0.325605918881726</v>
      </c>
      <c r="AZ45" s="35" t="n">
        <f aca="false">IFERROR(AZ44/AZ23,0)</f>
        <v>0.329138622413341</v>
      </c>
      <c r="BA45" s="35" t="n">
        <f aca="false">IFERROR(BA44/BA23,0)</f>
        <v>0.318097599938867</v>
      </c>
      <c r="BB45" s="35" t="n">
        <f aca="false">IFERROR(BB44/BB23,0)</f>
        <v>0.322258635540953</v>
      </c>
      <c r="BC45" s="35" t="n">
        <f aca="false">IFERROR(BC44/BC23,0)</f>
        <v>0.329305542312142</v>
      </c>
      <c r="BD45" s="35" t="n">
        <f aca="false">IFERROR(BD44/BD23,0)</f>
        <v>0.326381105290416</v>
      </c>
      <c r="BE45" s="35" t="n">
        <f aca="false">IFERROR(BE44/BE23,0)</f>
        <v>0.338015257308784</v>
      </c>
      <c r="BF45" s="35" t="n">
        <f aca="false">IFERROR(BF44/BF23,0)</f>
        <v>0.340456638148224</v>
      </c>
      <c r="BG45" s="35" t="n">
        <f aca="false">IFERROR(BG44/BG23,0)</f>
        <v>0.344556362456903</v>
      </c>
      <c r="BH45" s="35" t="n">
        <f aca="false">IFERROR(BH44/BH23,0)</f>
        <v>0.343905499721139</v>
      </c>
      <c r="BI45" s="35" t="n">
        <f aca="false">IFERROR(BI44/BI23,0)</f>
        <v>0.348727121940458</v>
      </c>
      <c r="BJ45" s="35" t="n">
        <f aca="false">IFERROR(BJ44/BJ23,0)</f>
        <v>0.351036550427553</v>
      </c>
      <c r="BK45" s="35" t="n">
        <f aca="false">IFERROR(BK44/BK23,0)</f>
        <v>0.354546500115439</v>
      </c>
      <c r="BL45" s="35" t="n">
        <f aca="false">IFERROR(BL44/BL23,0)</f>
        <v>0.357272280029396</v>
      </c>
    </row>
    <row r="46" customFormat="false" ht="15" hidden="false" customHeight="true" outlineLevel="0" collapsed="false">
      <c r="A46" s="13" t="s">
        <v>1337</v>
      </c>
      <c r="B46" s="15" t="s">
        <v>77</v>
      </c>
      <c r="D46" s="56" t="n">
        <f aca="false">BL46</f>
        <v>6361264524.44665</v>
      </c>
      <c r="E46" s="33" t="n">
        <f aca="false">E44</f>
        <v>-32190939.27</v>
      </c>
      <c r="F46" s="33" t="n">
        <f aca="false">E46+F44</f>
        <v>-72787108.17</v>
      </c>
      <c r="G46" s="33" t="n">
        <f aca="false">F46+G44</f>
        <v>-128083277.07</v>
      </c>
      <c r="H46" s="33" t="n">
        <f aca="false">G46+H44</f>
        <v>-165189275.37</v>
      </c>
      <c r="I46" s="33" t="n">
        <f aca="false">H46+I44</f>
        <v>-200780779.091667</v>
      </c>
      <c r="J46" s="33" t="n">
        <f aca="false">I46+J44</f>
        <v>-233880729.216</v>
      </c>
      <c r="K46" s="33" t="n">
        <f aca="false">J46+K44</f>
        <v>-264838420.259655</v>
      </c>
      <c r="L46" s="33" t="n">
        <f aca="false">K46+L44</f>
        <v>-293657426.508971</v>
      </c>
      <c r="M46" s="33" t="n">
        <f aca="false">L46+M44</f>
        <v>-320339922.033961</v>
      </c>
      <c r="N46" s="33" t="n">
        <f aca="false">M46+N44</f>
        <v>-344886619.464251</v>
      </c>
      <c r="O46" s="33" t="n">
        <f aca="false">N46+O44</f>
        <v>-367066911.931471</v>
      </c>
      <c r="P46" s="33" t="n">
        <f aca="false">O46+P44</f>
        <v>-386812328.179926</v>
      </c>
      <c r="Q46" s="33" t="n">
        <f aca="false">P46+Q44</f>
        <v>-418645849.889626</v>
      </c>
      <c r="R46" s="33" t="n">
        <f aca="false">Q46+R44</f>
        <v>-446010705.65222</v>
      </c>
      <c r="S46" s="33" t="n">
        <f aca="false">R46+S44</f>
        <v>-474923750.608606</v>
      </c>
      <c r="T46" s="33" t="n">
        <f aca="false">S46+T44</f>
        <v>-521722159.922769</v>
      </c>
      <c r="U46" s="33" t="n">
        <f aca="false">T46+U44</f>
        <v>-538668622.097565</v>
      </c>
      <c r="V46" s="33" t="n">
        <f aca="false">U46+V44</f>
        <v>-559094136.043911</v>
      </c>
      <c r="W46" s="33" t="n">
        <f aca="false">V46+W44</f>
        <v>-575541658.596156</v>
      </c>
      <c r="X46" s="33" t="n">
        <f aca="false">W46+X44</f>
        <v>-586504068.284291</v>
      </c>
      <c r="Y46" s="33" t="n">
        <f aca="false">X46+Y44</f>
        <v>-590860426.501703</v>
      </c>
      <c r="Z46" s="33" t="n">
        <f aca="false">Y46+Z44</f>
        <v>-587164144.761034</v>
      </c>
      <c r="AA46" s="33" t="n">
        <f aca="false">Z46+AA44</f>
        <v>-576603466.474778</v>
      </c>
      <c r="AB46" s="33" t="n">
        <f aca="false">AA46+AB44</f>
        <v>-565440197.579238</v>
      </c>
      <c r="AC46" s="33" t="n">
        <f aca="false">AB46+AC44</f>
        <v>-555291750.009632</v>
      </c>
      <c r="AD46" s="33" t="n">
        <f aca="false">AC46+AD44</f>
        <v>-536480615.162799</v>
      </c>
      <c r="AE46" s="33" t="n">
        <f aca="false">AD46+AE44</f>
        <v>-507483858.478282</v>
      </c>
      <c r="AF46" s="33" t="n">
        <f aca="false">AE46+AF44</f>
        <v>-479225470.344024</v>
      </c>
      <c r="AG46" s="33" t="n">
        <f aca="false">AF46+AG44</f>
        <v>-447439778.236215</v>
      </c>
      <c r="AH46" s="33" t="n">
        <f aca="false">AG46+AH44</f>
        <v>-396928233.819798</v>
      </c>
      <c r="AI46" s="33" t="n">
        <f aca="false">AH46+AI44</f>
        <v>-337219508.919279</v>
      </c>
      <c r="AJ46" s="33" t="n">
        <f aca="false">AI46+AJ44</f>
        <v>-266973115.75685</v>
      </c>
      <c r="AK46" s="33" t="n">
        <f aca="false">AJ46+AK44</f>
        <v>-187502019.586324</v>
      </c>
      <c r="AL46" s="33" t="n">
        <f aca="false">AK46+AL44</f>
        <v>-100721755.256663</v>
      </c>
      <c r="AM46" s="33" t="n">
        <f aca="false">AL46+AM44</f>
        <v>-3128211.8642154</v>
      </c>
      <c r="AN46" s="33" t="n">
        <f aca="false">AM46+AN44</f>
        <v>104420917.514835</v>
      </c>
      <c r="AO46" s="33" t="n">
        <f aca="false">AN46+AO44</f>
        <v>216158256.35003</v>
      </c>
      <c r="AP46" s="33" t="n">
        <f aca="false">AO46+AP44</f>
        <v>341418725.182135</v>
      </c>
      <c r="AQ46" s="33" t="n">
        <f aca="false">AP46+AQ44</f>
        <v>476643722.08565</v>
      </c>
      <c r="AR46" s="33" t="n">
        <f aca="false">AQ46+AR44</f>
        <v>613811009.809729</v>
      </c>
      <c r="AS46" s="33" t="n">
        <f aca="false">AR46+AS44</f>
        <v>772857933.358563</v>
      </c>
      <c r="AT46" s="33" t="n">
        <f aca="false">AS46+AT44</f>
        <v>944583915.598079</v>
      </c>
      <c r="AU46" s="33" t="n">
        <f aca="false">AT46+AU44</f>
        <v>1126808542.80479</v>
      </c>
      <c r="AV46" s="33" t="n">
        <f aca="false">AU46+AV44</f>
        <v>1324424413.34669</v>
      </c>
      <c r="AW46" s="33" t="n">
        <f aca="false">AV46+AW44</f>
        <v>1532700992.4622</v>
      </c>
      <c r="AX46" s="33" t="n">
        <f aca="false">AW46+AX44</f>
        <v>1756836098.06332</v>
      </c>
      <c r="AY46" s="33" t="n">
        <f aca="false">AX46+AY44</f>
        <v>1995757296.28277</v>
      </c>
      <c r="AZ46" s="33" t="n">
        <f aca="false">AY46+AZ44</f>
        <v>2247754395.34936</v>
      </c>
      <c r="BA46" s="33" t="n">
        <f aca="false">AZ46+BA44</f>
        <v>2502442324.19485</v>
      </c>
      <c r="BB46" s="33" t="n">
        <f aca="false">BA46+BB44</f>
        <v>2771903141.29126</v>
      </c>
      <c r="BC46" s="33" t="n">
        <f aca="false">BB46+BC44</f>
        <v>3059168156.07805</v>
      </c>
      <c r="BD46" s="33" t="n">
        <f aca="false">BC46+BD44</f>
        <v>3355690666.43734</v>
      </c>
      <c r="BE46" s="33" t="n">
        <f aca="false">BD46+BE44</f>
        <v>3675210793.21172</v>
      </c>
      <c r="BF46" s="33" t="n">
        <f aca="false">BE46+BF44</f>
        <v>4009843703.44406</v>
      </c>
      <c r="BG46" s="33" t="n">
        <f aca="false">BF46+BG44</f>
        <v>4361480706.72487</v>
      </c>
      <c r="BH46" s="33" t="n">
        <f aca="false">BG46+BH44</f>
        <v>4725655786.85229</v>
      </c>
      <c r="BI46" s="33" t="n">
        <f aca="false">BH46+BI44</f>
        <v>5108600667.04875</v>
      </c>
      <c r="BJ46" s="33" t="n">
        <f aca="false">BI46+BJ44</f>
        <v>5508151408.10475</v>
      </c>
      <c r="BK46" s="33" t="n">
        <f aca="false">BJ46+BK44</f>
        <v>5925883554.37041</v>
      </c>
      <c r="BL46" s="33" t="n">
        <f aca="false">BK46+BL44</f>
        <v>6361264524.44665</v>
      </c>
    </row>
    <row r="47" customFormat="false" ht="15" hidden="false" customHeight="true" outlineLevel="0" collapsed="false">
      <c r="A47" s="13" t="s">
        <v>1338</v>
      </c>
      <c r="B47" s="15" t="s">
        <v>77</v>
      </c>
      <c r="D47" s="56" t="n">
        <f aca="false">SUM(E47:BL47)</f>
        <v>1908379357.33399</v>
      </c>
      <c r="E47" s="33" t="n">
        <f aca="false">Tax_Rate*MAX(0,E46)</f>
        <v>0</v>
      </c>
      <c r="F47" s="33" t="n">
        <f aca="false">Tax_Rate*MAX(0,F46)-Tax_Rate*MAX(0,E46)</f>
        <v>0</v>
      </c>
      <c r="G47" s="33" t="n">
        <f aca="false">Tax_Rate*MAX(0,G46)-Tax_Rate*MAX(0,F46)</f>
        <v>0</v>
      </c>
      <c r="H47" s="33" t="n">
        <f aca="false">Tax_Rate*MAX(0,H46)-Tax_Rate*MAX(0,G46)</f>
        <v>0</v>
      </c>
      <c r="I47" s="33" t="n">
        <f aca="false">Tax_Rate*MAX(0,I46)-Tax_Rate*MAX(0,H46)</f>
        <v>0</v>
      </c>
      <c r="J47" s="33" t="n">
        <f aca="false">Tax_Rate*MAX(0,J46)-Tax_Rate*MAX(0,I46)</f>
        <v>0</v>
      </c>
      <c r="K47" s="33" t="n">
        <f aca="false">Tax_Rate*MAX(0,K46)-Tax_Rate*MAX(0,J46)</f>
        <v>0</v>
      </c>
      <c r="L47" s="33" t="n">
        <f aca="false">Tax_Rate*MAX(0,L46)-Tax_Rate*MAX(0,K46)</f>
        <v>0</v>
      </c>
      <c r="M47" s="33" t="n">
        <f aca="false">Tax_Rate*MAX(0,M46)-Tax_Rate*MAX(0,L46)</f>
        <v>0</v>
      </c>
      <c r="N47" s="33" t="n">
        <f aca="false">Tax_Rate*MAX(0,N46)-Tax_Rate*MAX(0,M46)</f>
        <v>0</v>
      </c>
      <c r="O47" s="33" t="n">
        <f aca="false">Tax_Rate*MAX(0,O46)-Tax_Rate*MAX(0,N46)</f>
        <v>0</v>
      </c>
      <c r="P47" s="33" t="n">
        <f aca="false">Tax_Rate*MAX(0,P46)-Tax_Rate*MAX(0,O46)</f>
        <v>0</v>
      </c>
      <c r="Q47" s="33" t="n">
        <f aca="false">Tax_Rate*MAX(0,Q46)-Tax_Rate*MAX(0,P46)</f>
        <v>0</v>
      </c>
      <c r="R47" s="33" t="n">
        <f aca="false">Tax_Rate*MAX(0,R46)-Tax_Rate*MAX(0,Q46)</f>
        <v>0</v>
      </c>
      <c r="S47" s="33" t="n">
        <f aca="false">Tax_Rate*MAX(0,S46)-Tax_Rate*MAX(0,R46)</f>
        <v>0</v>
      </c>
      <c r="T47" s="33" t="n">
        <f aca="false">Tax_Rate*MAX(0,T46)-Tax_Rate*MAX(0,S46)</f>
        <v>0</v>
      </c>
      <c r="U47" s="33" t="n">
        <f aca="false">Tax_Rate*MAX(0,U46)-Tax_Rate*MAX(0,T46)</f>
        <v>0</v>
      </c>
      <c r="V47" s="33" t="n">
        <f aca="false">Tax_Rate*MAX(0,V46)-Tax_Rate*MAX(0,U46)</f>
        <v>0</v>
      </c>
      <c r="W47" s="33" t="n">
        <f aca="false">Tax_Rate*MAX(0,W46)-Tax_Rate*MAX(0,V46)</f>
        <v>0</v>
      </c>
      <c r="X47" s="33" t="n">
        <f aca="false">Tax_Rate*MAX(0,X46)-Tax_Rate*MAX(0,W46)</f>
        <v>0</v>
      </c>
      <c r="Y47" s="33" t="n">
        <f aca="false">Tax_Rate*MAX(0,Y46)-Tax_Rate*MAX(0,X46)</f>
        <v>0</v>
      </c>
      <c r="Z47" s="33" t="n">
        <f aca="false">Tax_Rate*MAX(0,Z46)-Tax_Rate*MAX(0,Y46)</f>
        <v>0</v>
      </c>
      <c r="AA47" s="33" t="n">
        <f aca="false">Tax_Rate*MAX(0,AA46)-Tax_Rate*MAX(0,Z46)</f>
        <v>0</v>
      </c>
      <c r="AB47" s="33" t="n">
        <f aca="false">Tax_Rate*MAX(0,AB46)-Tax_Rate*MAX(0,AA46)</f>
        <v>0</v>
      </c>
      <c r="AC47" s="33" t="n">
        <f aca="false">Tax_Rate*MAX(0,AC46)-Tax_Rate*MAX(0,AB46)</f>
        <v>0</v>
      </c>
      <c r="AD47" s="33" t="n">
        <f aca="false">Tax_Rate*MAX(0,AD46)-Tax_Rate*MAX(0,AC46)</f>
        <v>0</v>
      </c>
      <c r="AE47" s="33" t="n">
        <f aca="false">Tax_Rate*MAX(0,AE46)-Tax_Rate*MAX(0,AD46)</f>
        <v>0</v>
      </c>
      <c r="AF47" s="33" t="n">
        <f aca="false">Tax_Rate*MAX(0,AF46)-Tax_Rate*MAX(0,AE46)</f>
        <v>0</v>
      </c>
      <c r="AG47" s="33" t="n">
        <f aca="false">Tax_Rate*MAX(0,AG46)-Tax_Rate*MAX(0,AF46)</f>
        <v>0</v>
      </c>
      <c r="AH47" s="33" t="n">
        <f aca="false">Tax_Rate*MAX(0,AH46)-Tax_Rate*MAX(0,AG46)</f>
        <v>0</v>
      </c>
      <c r="AI47" s="33" t="n">
        <f aca="false">Tax_Rate*MAX(0,AI46)-Tax_Rate*MAX(0,AH46)</f>
        <v>0</v>
      </c>
      <c r="AJ47" s="33" t="n">
        <f aca="false">Tax_Rate*MAX(0,AJ46)-Tax_Rate*MAX(0,AI46)</f>
        <v>0</v>
      </c>
      <c r="AK47" s="33" t="n">
        <f aca="false">Tax_Rate*MAX(0,AK46)-Tax_Rate*MAX(0,AJ46)</f>
        <v>0</v>
      </c>
      <c r="AL47" s="33" t="n">
        <f aca="false">Tax_Rate*MAX(0,AL46)-Tax_Rate*MAX(0,AK46)</f>
        <v>0</v>
      </c>
      <c r="AM47" s="33" t="n">
        <f aca="false">Tax_Rate*MAX(0,AM46)-Tax_Rate*MAX(0,AL46)</f>
        <v>0</v>
      </c>
      <c r="AN47" s="33" t="n">
        <f aca="false">Tax_Rate*MAX(0,AN46)-Tax_Rate*MAX(0,AM46)</f>
        <v>31326275.2544505</v>
      </c>
      <c r="AO47" s="33" t="n">
        <f aca="false">Tax_Rate*MAX(0,AO46)-Tax_Rate*MAX(0,AN46)</f>
        <v>33521201.6505586</v>
      </c>
      <c r="AP47" s="33" t="n">
        <f aca="false">Tax_Rate*MAX(0,AP46)-Tax_Rate*MAX(0,AO46)</f>
        <v>37578140.6496314</v>
      </c>
      <c r="AQ47" s="33" t="n">
        <f aca="false">Tax_Rate*MAX(0,AQ46)-Tax_Rate*MAX(0,AP46)</f>
        <v>40567499.0710545</v>
      </c>
      <c r="AR47" s="33" t="n">
        <f aca="false">Tax_Rate*MAX(0,AR46)-Tax_Rate*MAX(0,AQ46)</f>
        <v>41150186.3172235</v>
      </c>
      <c r="AS47" s="33" t="n">
        <f aca="false">Tax_Rate*MAX(0,AS46)-Tax_Rate*MAX(0,AR46)</f>
        <v>47714077.0646503</v>
      </c>
      <c r="AT47" s="33" t="n">
        <f aca="false">Tax_Rate*MAX(0,AT46)-Tax_Rate*MAX(0,AS46)</f>
        <v>51517794.6718547</v>
      </c>
      <c r="AU47" s="33" t="n">
        <f aca="false">Tax_Rate*MAX(0,AU46)-Tax_Rate*MAX(0,AT46)</f>
        <v>54667388.1620145</v>
      </c>
      <c r="AV47" s="33" t="n">
        <f aca="false">Tax_Rate*MAX(0,AV46)-Tax_Rate*MAX(0,AU46)</f>
        <v>59284761.1625682</v>
      </c>
      <c r="AW47" s="33" t="n">
        <f aca="false">Tax_Rate*MAX(0,AW46)-Tax_Rate*MAX(0,AV46)</f>
        <v>62482973.7346552</v>
      </c>
      <c r="AX47" s="33" t="n">
        <f aca="false">Tax_Rate*MAX(0,AX46)-Tax_Rate*MAX(0,AW46)</f>
        <v>67240531.6803359</v>
      </c>
      <c r="AY47" s="33" t="n">
        <f aca="false">Tax_Rate*MAX(0,AY46)-Tax_Rate*MAX(0,AX46)</f>
        <v>71676359.4658334</v>
      </c>
      <c r="AZ47" s="33" t="n">
        <f aca="false">Tax_Rate*MAX(0,AZ46)-Tax_Rate*MAX(0,AY46)</f>
        <v>75599129.719976</v>
      </c>
      <c r="BA47" s="33" t="n">
        <f aca="false">Tax_Rate*MAX(0,BA46)-Tax_Rate*MAX(0,AZ46)</f>
        <v>76406378.6536475</v>
      </c>
      <c r="BB47" s="33" t="n">
        <f aca="false">Tax_Rate*MAX(0,BB46)-Tax_Rate*MAX(0,BA46)</f>
        <v>80838245.1289232</v>
      </c>
      <c r="BC47" s="33" t="n">
        <f aca="false">Tax_Rate*MAX(0,BC46)-Tax_Rate*MAX(0,BB46)</f>
        <v>86179504.4360361</v>
      </c>
      <c r="BD47" s="33" t="n">
        <f aca="false">Tax_Rate*MAX(0,BD46)-Tax_Rate*MAX(0,BC46)</f>
        <v>88956753.1077896</v>
      </c>
      <c r="BE47" s="33" t="n">
        <f aca="false">Tax_Rate*MAX(0,BE46)-Tax_Rate*MAX(0,BD46)</f>
        <v>95856038.0323122</v>
      </c>
      <c r="BF47" s="33" t="n">
        <f aca="false">Tax_Rate*MAX(0,BF46)-Tax_Rate*MAX(0,BE46)</f>
        <v>100389873.069703</v>
      </c>
      <c r="BG47" s="33" t="n">
        <f aca="false">Tax_Rate*MAX(0,BG46)-Tax_Rate*MAX(0,BF46)</f>
        <v>105491100.984242</v>
      </c>
      <c r="BH47" s="33" t="n">
        <f aca="false">Tax_Rate*MAX(0,BH46)-Tax_Rate*MAX(0,BG46)</f>
        <v>109252524.038226</v>
      </c>
      <c r="BI47" s="33" t="n">
        <f aca="false">Tax_Rate*MAX(0,BI46)-Tax_Rate*MAX(0,BH46)</f>
        <v>114883464.05894</v>
      </c>
      <c r="BJ47" s="33" t="n">
        <f aca="false">Tax_Rate*MAX(0,BJ46)-Tax_Rate*MAX(0,BI46)</f>
        <v>119865222.3168</v>
      </c>
      <c r="BK47" s="33" t="n">
        <f aca="false">Tax_Rate*MAX(0,BK46)-Tax_Rate*MAX(0,BJ46)</f>
        <v>125319643.879697</v>
      </c>
      <c r="BL47" s="33" t="n">
        <f aca="false">Tax_Rate*MAX(0,BL46)-Tax_Rate*MAX(0,BK46)</f>
        <v>130614291.02287</v>
      </c>
    </row>
    <row r="48" customFormat="false" ht="15" hidden="false" customHeight="true" outlineLevel="0" collapsed="false">
      <c r="A48" s="9" t="s">
        <v>100</v>
      </c>
      <c r="B48" s="15" t="s">
        <v>77</v>
      </c>
      <c r="D48" s="56" t="n">
        <f aca="false">SUM(E48:BL48)</f>
        <v>4452885167.11265</v>
      </c>
      <c r="E48" s="56" t="n">
        <f aca="false">E44-E47</f>
        <v>-32190939.27</v>
      </c>
      <c r="F48" s="56" t="n">
        <f aca="false">F44-F47</f>
        <v>-40596168.9</v>
      </c>
      <c r="G48" s="56" t="n">
        <f aca="false">G44-G47</f>
        <v>-55296168.9</v>
      </c>
      <c r="H48" s="56" t="n">
        <f aca="false">H44-H47</f>
        <v>-37105998.3</v>
      </c>
      <c r="I48" s="56" t="n">
        <f aca="false">I44-I47</f>
        <v>-35591503.7216667</v>
      </c>
      <c r="J48" s="56" t="n">
        <f aca="false">J44-J47</f>
        <v>-33099950.1243333</v>
      </c>
      <c r="K48" s="56" t="n">
        <f aca="false">K44-K47</f>
        <v>-30957691.043655</v>
      </c>
      <c r="L48" s="56" t="n">
        <f aca="false">L44-L47</f>
        <v>-28819006.249316</v>
      </c>
      <c r="M48" s="56" t="n">
        <f aca="false">M44-M47</f>
        <v>-26682495.5249901</v>
      </c>
      <c r="N48" s="56" t="n">
        <f aca="false">N44-N47</f>
        <v>-24546697.4302898</v>
      </c>
      <c r="O48" s="56" t="n">
        <f aca="false">O44-O47</f>
        <v>-22180292.4672198</v>
      </c>
      <c r="P48" s="56" t="n">
        <f aca="false">P44-P47</f>
        <v>-19745416.2484548</v>
      </c>
      <c r="Q48" s="56" t="n">
        <f aca="false">Q44-Q47</f>
        <v>-31833521.7097002</v>
      </c>
      <c r="R48" s="56" t="n">
        <f aca="false">R44-R47</f>
        <v>-27364855.7625944</v>
      </c>
      <c r="S48" s="56" t="n">
        <f aca="false">S44-S47</f>
        <v>-28913044.9563859</v>
      </c>
      <c r="T48" s="56" t="n">
        <f aca="false">T44-T47</f>
        <v>-46798409.3141634</v>
      </c>
      <c r="U48" s="56" t="n">
        <f aca="false">U44-U47</f>
        <v>-16946462.1747956</v>
      </c>
      <c r="V48" s="56" t="n">
        <f aca="false">V44-V47</f>
        <v>-20425513.946346</v>
      </c>
      <c r="W48" s="56" t="n">
        <f aca="false">W44-W47</f>
        <v>-16447522.5522454</v>
      </c>
      <c r="X48" s="56" t="n">
        <f aca="false">X44-X47</f>
        <v>-10962409.6881346</v>
      </c>
      <c r="Y48" s="56" t="n">
        <f aca="false">Y44-Y47</f>
        <v>-4356358.21741258</v>
      </c>
      <c r="Z48" s="56" t="n">
        <f aca="false">Z44-Z47</f>
        <v>3696281.74066991</v>
      </c>
      <c r="AA48" s="56" t="n">
        <f aca="false">AA44-AA47</f>
        <v>10560678.2862557</v>
      </c>
      <c r="AB48" s="56" t="n">
        <f aca="false">AB44-AB47</f>
        <v>11163268.89554</v>
      </c>
      <c r="AC48" s="56" t="n">
        <f aca="false">AC44-AC47</f>
        <v>10148447.5696059</v>
      </c>
      <c r="AD48" s="56" t="n">
        <f aca="false">AD44-AD47</f>
        <v>18811134.846833</v>
      </c>
      <c r="AE48" s="56" t="n">
        <f aca="false">AE44-AE47</f>
        <v>28996756.6845172</v>
      </c>
      <c r="AF48" s="56" t="n">
        <f aca="false">AF44-AF47</f>
        <v>28258388.1342576</v>
      </c>
      <c r="AG48" s="56" t="n">
        <f aca="false">AG44-AG47</f>
        <v>31785692.107809</v>
      </c>
      <c r="AH48" s="56" t="n">
        <f aca="false">AH44-AH47</f>
        <v>50511544.4164168</v>
      </c>
      <c r="AI48" s="56" t="n">
        <f aca="false">AI44-AI47</f>
        <v>59708724.9005192</v>
      </c>
      <c r="AJ48" s="56" t="n">
        <f aca="false">AJ44-AJ47</f>
        <v>70246393.1624293</v>
      </c>
      <c r="AK48" s="56" t="n">
        <f aca="false">AK44-AK47</f>
        <v>79471096.170526</v>
      </c>
      <c r="AL48" s="56" t="n">
        <f aca="false">AL44-AL47</f>
        <v>86780264.329661</v>
      </c>
      <c r="AM48" s="56" t="n">
        <f aca="false">AM44-AM47</f>
        <v>97593543.3924476</v>
      </c>
      <c r="AN48" s="56" t="n">
        <f aca="false">AN44-AN47</f>
        <v>76222854.1246</v>
      </c>
      <c r="AO48" s="56" t="n">
        <f aca="false">AO44-AO47</f>
        <v>78216137.1846367</v>
      </c>
      <c r="AP48" s="56" t="n">
        <f aca="false">AP44-AP47</f>
        <v>87682328.1824734</v>
      </c>
      <c r="AQ48" s="56" t="n">
        <f aca="false">AQ44-AQ47</f>
        <v>94657497.8324606</v>
      </c>
      <c r="AR48" s="56" t="n">
        <f aca="false">AR44-AR47</f>
        <v>96017101.4068547</v>
      </c>
      <c r="AS48" s="56" t="n">
        <f aca="false">AS44-AS47</f>
        <v>111332846.484184</v>
      </c>
      <c r="AT48" s="56" t="n">
        <f aca="false">AT44-AT47</f>
        <v>120208187.567661</v>
      </c>
      <c r="AU48" s="56" t="n">
        <f aca="false">AU44-AU47</f>
        <v>127557239.0447</v>
      </c>
      <c r="AV48" s="56" t="n">
        <f aca="false">AV44-AV47</f>
        <v>138331109.379326</v>
      </c>
      <c r="AW48" s="56" t="n">
        <f aca="false">AW44-AW47</f>
        <v>145793605.380862</v>
      </c>
      <c r="AX48" s="56" t="n">
        <f aca="false">AX44-AX47</f>
        <v>156894573.920784</v>
      </c>
      <c r="AY48" s="56" t="n">
        <f aca="false">AY44-AY47</f>
        <v>167244838.753611</v>
      </c>
      <c r="AZ48" s="56" t="n">
        <f aca="false">AZ44-AZ47</f>
        <v>176397969.346611</v>
      </c>
      <c r="BA48" s="56" t="n">
        <f aca="false">BA44-BA47</f>
        <v>178281550.191844</v>
      </c>
      <c r="BB48" s="56" t="n">
        <f aca="false">BB44-BB47</f>
        <v>188622571.967487</v>
      </c>
      <c r="BC48" s="56" t="n">
        <f aca="false">BC44-BC47</f>
        <v>201085510.350751</v>
      </c>
      <c r="BD48" s="56" t="n">
        <f aca="false">BD44-BD47</f>
        <v>207565757.25151</v>
      </c>
      <c r="BE48" s="56" t="n">
        <f aca="false">BE44-BE47</f>
        <v>223664088.742062</v>
      </c>
      <c r="BF48" s="56" t="n">
        <f aca="false">BF44-BF47</f>
        <v>234243037.162641</v>
      </c>
      <c r="BG48" s="56" t="n">
        <f aca="false">BG44-BG47</f>
        <v>246145902.296565</v>
      </c>
      <c r="BH48" s="56" t="n">
        <f aca="false">BH44-BH47</f>
        <v>254922556.089194</v>
      </c>
      <c r="BI48" s="56" t="n">
        <f aca="false">BI44-BI47</f>
        <v>268061416.137526</v>
      </c>
      <c r="BJ48" s="56" t="n">
        <f aca="false">BJ44-BJ47</f>
        <v>279685518.739201</v>
      </c>
      <c r="BK48" s="56" t="n">
        <f aca="false">BK44-BK47</f>
        <v>292412502.38596</v>
      </c>
      <c r="BL48" s="56" t="n">
        <f aca="false">BL44-BL47</f>
        <v>304766679.053364</v>
      </c>
    </row>
    <row r="49" customFormat="false" ht="15" hidden="false" customHeight="true" outlineLevel="0" collapsed="false">
      <c r="A49" s="13" t="s">
        <v>1339</v>
      </c>
      <c r="B49" s="15" t="s">
        <v>77</v>
      </c>
      <c r="D49" s="56" t="n">
        <f aca="false">BL49</f>
        <v>4452885167.11265</v>
      </c>
      <c r="E49" s="33" t="n">
        <f aca="false">E48</f>
        <v>-32190939.27</v>
      </c>
      <c r="F49" s="33" t="n">
        <f aca="false">E49+F48</f>
        <v>-72787108.17</v>
      </c>
      <c r="G49" s="33" t="n">
        <f aca="false">F49+G48</f>
        <v>-128083277.07</v>
      </c>
      <c r="H49" s="33" t="n">
        <f aca="false">G49+H48</f>
        <v>-165189275.37</v>
      </c>
      <c r="I49" s="33" t="n">
        <f aca="false">H49+I48</f>
        <v>-200780779.091667</v>
      </c>
      <c r="J49" s="33" t="n">
        <f aca="false">I49+J48</f>
        <v>-233880729.216</v>
      </c>
      <c r="K49" s="33" t="n">
        <f aca="false">J49+K48</f>
        <v>-264838420.259655</v>
      </c>
      <c r="L49" s="33" t="n">
        <f aca="false">K49+L48</f>
        <v>-293657426.508971</v>
      </c>
      <c r="M49" s="33" t="n">
        <f aca="false">L49+M48</f>
        <v>-320339922.033961</v>
      </c>
      <c r="N49" s="33" t="n">
        <f aca="false">M49+N48</f>
        <v>-344886619.464251</v>
      </c>
      <c r="O49" s="33" t="n">
        <f aca="false">N49+O48</f>
        <v>-367066911.931471</v>
      </c>
      <c r="P49" s="33" t="n">
        <f aca="false">O49+P48</f>
        <v>-386812328.179926</v>
      </c>
      <c r="Q49" s="33" t="n">
        <f aca="false">P49+Q48</f>
        <v>-418645849.889626</v>
      </c>
      <c r="R49" s="33" t="n">
        <f aca="false">Q49+R48</f>
        <v>-446010705.65222</v>
      </c>
      <c r="S49" s="33" t="n">
        <f aca="false">R49+S48</f>
        <v>-474923750.608606</v>
      </c>
      <c r="T49" s="33" t="n">
        <f aca="false">S49+T48</f>
        <v>-521722159.922769</v>
      </c>
      <c r="U49" s="33" t="n">
        <f aca="false">T49+U48</f>
        <v>-538668622.097565</v>
      </c>
      <c r="V49" s="33" t="n">
        <f aca="false">U49+V48</f>
        <v>-559094136.043911</v>
      </c>
      <c r="W49" s="33" t="n">
        <f aca="false">V49+W48</f>
        <v>-575541658.596156</v>
      </c>
      <c r="X49" s="33" t="n">
        <f aca="false">W49+X48</f>
        <v>-586504068.284291</v>
      </c>
      <c r="Y49" s="33" t="n">
        <f aca="false">X49+Y48</f>
        <v>-590860426.501703</v>
      </c>
      <c r="Z49" s="33" t="n">
        <f aca="false">Y49+Z48</f>
        <v>-587164144.761034</v>
      </c>
      <c r="AA49" s="33" t="n">
        <f aca="false">Z49+AA48</f>
        <v>-576603466.474778</v>
      </c>
      <c r="AB49" s="33" t="n">
        <f aca="false">AA49+AB48</f>
        <v>-565440197.579238</v>
      </c>
      <c r="AC49" s="33" t="n">
        <f aca="false">AB49+AC48</f>
        <v>-555291750.009632</v>
      </c>
      <c r="AD49" s="33" t="n">
        <f aca="false">AC49+AD48</f>
        <v>-536480615.162799</v>
      </c>
      <c r="AE49" s="33" t="n">
        <f aca="false">AD49+AE48</f>
        <v>-507483858.478282</v>
      </c>
      <c r="AF49" s="33" t="n">
        <f aca="false">AE49+AF48</f>
        <v>-479225470.344024</v>
      </c>
      <c r="AG49" s="33" t="n">
        <f aca="false">AF49+AG48</f>
        <v>-447439778.236215</v>
      </c>
      <c r="AH49" s="33" t="n">
        <f aca="false">AG49+AH48</f>
        <v>-396928233.819798</v>
      </c>
      <c r="AI49" s="33" t="n">
        <f aca="false">AH49+AI48</f>
        <v>-337219508.919279</v>
      </c>
      <c r="AJ49" s="33" t="n">
        <f aca="false">AI49+AJ48</f>
        <v>-266973115.75685</v>
      </c>
      <c r="AK49" s="33" t="n">
        <f aca="false">AJ49+AK48</f>
        <v>-187502019.586324</v>
      </c>
      <c r="AL49" s="33" t="n">
        <f aca="false">AK49+AL48</f>
        <v>-100721755.256663</v>
      </c>
      <c r="AM49" s="33" t="n">
        <f aca="false">AL49+AM48</f>
        <v>-3128211.8642154</v>
      </c>
      <c r="AN49" s="33" t="n">
        <f aca="false">AM49+AN48</f>
        <v>73094642.2603846</v>
      </c>
      <c r="AO49" s="33" t="n">
        <f aca="false">AN49+AO48</f>
        <v>151310779.445021</v>
      </c>
      <c r="AP49" s="33" t="n">
        <f aca="false">AO49+AP48</f>
        <v>238993107.627495</v>
      </c>
      <c r="AQ49" s="33" t="n">
        <f aca="false">AP49+AQ48</f>
        <v>333650605.459955</v>
      </c>
      <c r="AR49" s="33" t="n">
        <f aca="false">AQ49+AR48</f>
        <v>429667706.86681</v>
      </c>
      <c r="AS49" s="33" t="n">
        <f aca="false">AR49+AS48</f>
        <v>541000553.350994</v>
      </c>
      <c r="AT49" s="33" t="n">
        <f aca="false">AS49+AT48</f>
        <v>661208740.918655</v>
      </c>
      <c r="AU49" s="33" t="n">
        <f aca="false">AT49+AU48</f>
        <v>788765979.963355</v>
      </c>
      <c r="AV49" s="33" t="n">
        <f aca="false">AU49+AV48</f>
        <v>927097089.342681</v>
      </c>
      <c r="AW49" s="33" t="n">
        <f aca="false">AV49+AW48</f>
        <v>1072890694.72354</v>
      </c>
      <c r="AX49" s="33" t="n">
        <f aca="false">AW49+AX48</f>
        <v>1229785268.64433</v>
      </c>
      <c r="AY49" s="33" t="n">
        <f aca="false">AX49+AY48</f>
        <v>1397030107.39794</v>
      </c>
      <c r="AZ49" s="33" t="n">
        <f aca="false">AY49+AZ48</f>
        <v>1573428076.74455</v>
      </c>
      <c r="BA49" s="33" t="n">
        <f aca="false">AZ49+BA48</f>
        <v>1751709626.93639</v>
      </c>
      <c r="BB49" s="33" t="n">
        <f aca="false">BA49+BB48</f>
        <v>1940332198.90388</v>
      </c>
      <c r="BC49" s="33" t="n">
        <f aca="false">BB49+BC48</f>
        <v>2141417709.25463</v>
      </c>
      <c r="BD49" s="33" t="n">
        <f aca="false">BC49+BD48</f>
        <v>2348983466.50614</v>
      </c>
      <c r="BE49" s="33" t="n">
        <f aca="false">BD49+BE48</f>
        <v>2572647555.2482</v>
      </c>
      <c r="BF49" s="33" t="n">
        <f aca="false">BE49+BF48</f>
        <v>2806890592.41084</v>
      </c>
      <c r="BG49" s="33" t="n">
        <f aca="false">BF49+BG48</f>
        <v>3053036494.70741</v>
      </c>
      <c r="BH49" s="33" t="n">
        <f aca="false">BG49+BH48</f>
        <v>3307959050.7966</v>
      </c>
      <c r="BI49" s="33" t="n">
        <f aca="false">BH49+BI48</f>
        <v>3576020466.93413</v>
      </c>
      <c r="BJ49" s="33" t="n">
        <f aca="false">BI49+BJ48</f>
        <v>3855705985.67333</v>
      </c>
      <c r="BK49" s="33" t="n">
        <f aca="false">BJ49+BK48</f>
        <v>4148118488.05929</v>
      </c>
      <c r="BL49" s="33" t="n">
        <f aca="false">BK49+BL48</f>
        <v>4452885167.11265</v>
      </c>
    </row>
    <row r="51" customFormat="false" ht="15" hidden="false" customHeight="true" outlineLevel="0" collapsed="false">
      <c r="A51" s="11" t="s">
        <v>1340</v>
      </c>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row>
    <row r="52" customFormat="false" ht="15" hidden="false" customHeight="true" outlineLevel="0" collapsed="false">
      <c r="A52" s="13" t="s">
        <v>1341</v>
      </c>
      <c r="B52" s="15" t="s">
        <v>74</v>
      </c>
      <c r="E52" s="57" t="n">
        <f aca="false">IF(E44&gt;0,E$3,999)</f>
        <v>999</v>
      </c>
      <c r="F52" s="57" t="n">
        <f aca="false">IF(F44&gt;0,F$3,999)</f>
        <v>999</v>
      </c>
      <c r="G52" s="57" t="n">
        <f aca="false">IF(G44&gt;0,G$3,999)</f>
        <v>999</v>
      </c>
      <c r="H52" s="57" t="n">
        <f aca="false">IF(H44&gt;0,H$3,999)</f>
        <v>999</v>
      </c>
      <c r="I52" s="57" t="n">
        <f aca="false">IF(I44&gt;0,I$3,999)</f>
        <v>999</v>
      </c>
      <c r="J52" s="57" t="n">
        <f aca="false">IF(J44&gt;0,J$3,999)</f>
        <v>999</v>
      </c>
      <c r="K52" s="57" t="n">
        <f aca="false">IF(K44&gt;0,K$3,999)</f>
        <v>999</v>
      </c>
      <c r="L52" s="57" t="n">
        <f aca="false">IF(L44&gt;0,L$3,999)</f>
        <v>999</v>
      </c>
      <c r="M52" s="57" t="n">
        <f aca="false">IF(M44&gt;0,M$3,999)</f>
        <v>999</v>
      </c>
      <c r="N52" s="57" t="n">
        <f aca="false">IF(N44&gt;0,N$3,999)</f>
        <v>999</v>
      </c>
      <c r="O52" s="57" t="n">
        <f aca="false">IF(O44&gt;0,O$3,999)</f>
        <v>999</v>
      </c>
      <c r="P52" s="57" t="n">
        <f aca="false">IF(P44&gt;0,P$3,999)</f>
        <v>999</v>
      </c>
      <c r="Q52" s="57" t="n">
        <f aca="false">IF(Q44&gt;0,Q$3,999)</f>
        <v>999</v>
      </c>
      <c r="R52" s="57" t="n">
        <f aca="false">IF(R44&gt;0,R$3,999)</f>
        <v>999</v>
      </c>
      <c r="S52" s="57" t="n">
        <f aca="false">IF(S44&gt;0,S$3,999)</f>
        <v>999</v>
      </c>
      <c r="T52" s="57" t="n">
        <f aca="false">IF(T44&gt;0,T$3,999)</f>
        <v>999</v>
      </c>
      <c r="U52" s="57" t="n">
        <f aca="false">IF(U44&gt;0,U$3,999)</f>
        <v>999</v>
      </c>
      <c r="V52" s="57" t="n">
        <f aca="false">IF(V44&gt;0,V$3,999)</f>
        <v>999</v>
      </c>
      <c r="W52" s="57" t="n">
        <f aca="false">IF(W44&gt;0,W$3,999)</f>
        <v>999</v>
      </c>
      <c r="X52" s="57" t="n">
        <f aca="false">IF(X44&gt;0,X$3,999)</f>
        <v>999</v>
      </c>
      <c r="Y52" s="57" t="n">
        <f aca="false">IF(Y44&gt;0,Y$3,999)</f>
        <v>999</v>
      </c>
      <c r="Z52" s="57" t="n">
        <f aca="false">IF(Z44&gt;0,Z$3,999)</f>
        <v>22</v>
      </c>
      <c r="AA52" s="57" t="n">
        <f aca="false">IF(AA44&gt;0,AA$3,999)</f>
        <v>23</v>
      </c>
      <c r="AB52" s="57" t="n">
        <f aca="false">IF(AB44&gt;0,AB$3,999)</f>
        <v>24</v>
      </c>
      <c r="AC52" s="57" t="n">
        <f aca="false">IF(AC44&gt;0,AC$3,999)</f>
        <v>25</v>
      </c>
      <c r="AD52" s="57" t="n">
        <f aca="false">IF(AD44&gt;0,AD$3,999)</f>
        <v>26</v>
      </c>
      <c r="AE52" s="57" t="n">
        <f aca="false">IF(AE44&gt;0,AE$3,999)</f>
        <v>27</v>
      </c>
      <c r="AF52" s="57" t="n">
        <f aca="false">IF(AF44&gt;0,AF$3,999)</f>
        <v>28</v>
      </c>
      <c r="AG52" s="57" t="n">
        <f aca="false">IF(AG44&gt;0,AG$3,999)</f>
        <v>29</v>
      </c>
      <c r="AH52" s="57" t="n">
        <f aca="false">IF(AH44&gt;0,AH$3,999)</f>
        <v>30</v>
      </c>
      <c r="AI52" s="57" t="n">
        <f aca="false">IF(AI44&gt;0,AI$3,999)</f>
        <v>31</v>
      </c>
      <c r="AJ52" s="57" t="n">
        <f aca="false">IF(AJ44&gt;0,AJ$3,999)</f>
        <v>32</v>
      </c>
      <c r="AK52" s="57" t="n">
        <f aca="false">IF(AK44&gt;0,AK$3,999)</f>
        <v>33</v>
      </c>
      <c r="AL52" s="57" t="n">
        <f aca="false">IF(AL44&gt;0,AL$3,999)</f>
        <v>34</v>
      </c>
      <c r="AM52" s="57" t="n">
        <f aca="false">IF(AM44&gt;0,AM$3,999)</f>
        <v>35</v>
      </c>
      <c r="AN52" s="57" t="n">
        <f aca="false">IF(AN44&gt;0,AN$3,999)</f>
        <v>36</v>
      </c>
      <c r="AO52" s="57" t="n">
        <f aca="false">IF(AO44&gt;0,AO$3,999)</f>
        <v>37</v>
      </c>
      <c r="AP52" s="57" t="n">
        <f aca="false">IF(AP44&gt;0,AP$3,999)</f>
        <v>38</v>
      </c>
      <c r="AQ52" s="57" t="n">
        <f aca="false">IF(AQ44&gt;0,AQ$3,999)</f>
        <v>39</v>
      </c>
      <c r="AR52" s="57" t="n">
        <f aca="false">IF(AR44&gt;0,AR$3,999)</f>
        <v>40</v>
      </c>
      <c r="AS52" s="57" t="n">
        <f aca="false">IF(AS44&gt;0,AS$3,999)</f>
        <v>41</v>
      </c>
      <c r="AT52" s="57" t="n">
        <f aca="false">IF(AT44&gt;0,AT$3,999)</f>
        <v>42</v>
      </c>
      <c r="AU52" s="57" t="n">
        <f aca="false">IF(AU44&gt;0,AU$3,999)</f>
        <v>43</v>
      </c>
      <c r="AV52" s="57" t="n">
        <f aca="false">IF(AV44&gt;0,AV$3,999)</f>
        <v>44</v>
      </c>
      <c r="AW52" s="57" t="n">
        <f aca="false">IF(AW44&gt;0,AW$3,999)</f>
        <v>45</v>
      </c>
      <c r="AX52" s="57" t="n">
        <f aca="false">IF(AX44&gt;0,AX$3,999)</f>
        <v>46</v>
      </c>
      <c r="AY52" s="57" t="n">
        <f aca="false">IF(AY44&gt;0,AY$3,999)</f>
        <v>47</v>
      </c>
      <c r="AZ52" s="57" t="n">
        <f aca="false">IF(AZ44&gt;0,AZ$3,999)</f>
        <v>48</v>
      </c>
      <c r="BA52" s="57" t="n">
        <f aca="false">IF(BA44&gt;0,BA$3,999)</f>
        <v>49</v>
      </c>
      <c r="BB52" s="57" t="n">
        <f aca="false">IF(BB44&gt;0,BB$3,999)</f>
        <v>50</v>
      </c>
      <c r="BC52" s="57" t="n">
        <f aca="false">IF(BC44&gt;0,BC$3,999)</f>
        <v>51</v>
      </c>
      <c r="BD52" s="57" t="n">
        <f aca="false">IF(BD44&gt;0,BD$3,999)</f>
        <v>52</v>
      </c>
      <c r="BE52" s="57" t="n">
        <f aca="false">IF(BE44&gt;0,BE$3,999)</f>
        <v>53</v>
      </c>
      <c r="BF52" s="57" t="n">
        <f aca="false">IF(BF44&gt;0,BF$3,999)</f>
        <v>54</v>
      </c>
      <c r="BG52" s="57" t="n">
        <f aca="false">IF(BG44&gt;0,BG$3,999)</f>
        <v>55</v>
      </c>
      <c r="BH52" s="57" t="n">
        <f aca="false">IF(BH44&gt;0,BH$3,999)</f>
        <v>56</v>
      </c>
      <c r="BI52" s="57" t="n">
        <f aca="false">IF(BI44&gt;0,BI$3,999)</f>
        <v>57</v>
      </c>
      <c r="BJ52" s="57" t="n">
        <f aca="false">IF(BJ44&gt;0,BJ$3,999)</f>
        <v>58</v>
      </c>
      <c r="BK52" s="57" t="n">
        <f aca="false">IF(BK44&gt;0,BK$3,999)</f>
        <v>59</v>
      </c>
      <c r="BL52" s="57" t="n">
        <f aca="false">IF(BL44&gt;0,BL$3,999)</f>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1342</v>
      </c>
    </row>
    <row r="2" customFormat="false" ht="15" hidden="false" customHeight="true" outlineLevel="0" collapsed="false">
      <c r="A2" s="3" t="s">
        <v>1343</v>
      </c>
    </row>
    <row r="3" customFormat="false" ht="15" hidden="false" customHeight="true" outlineLevel="0" collapsed="false">
      <c r="A3" s="9" t="s">
        <v>1131</v>
      </c>
      <c r="D3" s="9" t="s">
        <v>1132</v>
      </c>
      <c r="E3" s="21" t="n">
        <f aca="false">'P&amp;L monthly'!E3</f>
        <v>1</v>
      </c>
      <c r="F3" s="21" t="n">
        <f aca="false">'P&amp;L monthly'!F3</f>
        <v>2</v>
      </c>
      <c r="G3" s="21" t="n">
        <f aca="false">'P&amp;L monthly'!G3</f>
        <v>3</v>
      </c>
      <c r="H3" s="21" t="n">
        <f aca="false">'P&amp;L monthly'!H3</f>
        <v>4</v>
      </c>
      <c r="I3" s="21" t="n">
        <f aca="false">'P&amp;L monthly'!I3</f>
        <v>5</v>
      </c>
      <c r="J3" s="21" t="n">
        <f aca="false">'P&amp;L monthly'!J3</f>
        <v>6</v>
      </c>
      <c r="K3" s="21" t="n">
        <f aca="false">'P&amp;L monthly'!K3</f>
        <v>7</v>
      </c>
      <c r="L3" s="21" t="n">
        <f aca="false">'P&amp;L monthly'!L3</f>
        <v>8</v>
      </c>
      <c r="M3" s="21" t="n">
        <f aca="false">'P&amp;L monthly'!M3</f>
        <v>9</v>
      </c>
      <c r="N3" s="21" t="n">
        <f aca="false">'P&amp;L monthly'!N3</f>
        <v>10</v>
      </c>
      <c r="O3" s="21" t="n">
        <f aca="false">'P&amp;L monthly'!O3</f>
        <v>11</v>
      </c>
      <c r="P3" s="21" t="n">
        <f aca="false">'P&amp;L monthly'!P3</f>
        <v>12</v>
      </c>
      <c r="Q3" s="21" t="n">
        <f aca="false">'P&amp;L monthly'!Q3</f>
        <v>13</v>
      </c>
      <c r="R3" s="21" t="n">
        <f aca="false">'P&amp;L monthly'!R3</f>
        <v>14</v>
      </c>
      <c r="S3" s="21" t="n">
        <f aca="false">'P&amp;L monthly'!S3</f>
        <v>15</v>
      </c>
      <c r="T3" s="21" t="n">
        <f aca="false">'P&amp;L monthly'!T3</f>
        <v>16</v>
      </c>
      <c r="U3" s="21" t="n">
        <f aca="false">'P&amp;L monthly'!U3</f>
        <v>17</v>
      </c>
      <c r="V3" s="21" t="n">
        <f aca="false">'P&amp;L monthly'!V3</f>
        <v>18</v>
      </c>
      <c r="W3" s="21" t="n">
        <f aca="false">'P&amp;L monthly'!W3</f>
        <v>19</v>
      </c>
      <c r="X3" s="21" t="n">
        <f aca="false">'P&amp;L monthly'!X3</f>
        <v>20</v>
      </c>
      <c r="Y3" s="21" t="n">
        <f aca="false">'P&amp;L monthly'!Y3</f>
        <v>21</v>
      </c>
      <c r="Z3" s="21" t="n">
        <f aca="false">'P&amp;L monthly'!Z3</f>
        <v>22</v>
      </c>
      <c r="AA3" s="21" t="n">
        <f aca="false">'P&amp;L monthly'!AA3</f>
        <v>23</v>
      </c>
      <c r="AB3" s="21" t="n">
        <f aca="false">'P&amp;L monthly'!AB3</f>
        <v>24</v>
      </c>
      <c r="AC3" s="21" t="n">
        <f aca="false">'P&amp;L monthly'!AC3</f>
        <v>25</v>
      </c>
      <c r="AD3" s="21" t="n">
        <f aca="false">'P&amp;L monthly'!AD3</f>
        <v>26</v>
      </c>
      <c r="AE3" s="21" t="n">
        <f aca="false">'P&amp;L monthly'!AE3</f>
        <v>27</v>
      </c>
      <c r="AF3" s="21" t="n">
        <f aca="false">'P&amp;L monthly'!AF3</f>
        <v>28</v>
      </c>
      <c r="AG3" s="21" t="n">
        <f aca="false">'P&amp;L monthly'!AG3</f>
        <v>29</v>
      </c>
      <c r="AH3" s="21" t="n">
        <f aca="false">'P&amp;L monthly'!AH3</f>
        <v>30</v>
      </c>
      <c r="AI3" s="21" t="n">
        <f aca="false">'P&amp;L monthly'!AI3</f>
        <v>31</v>
      </c>
      <c r="AJ3" s="21" t="n">
        <f aca="false">'P&amp;L monthly'!AJ3</f>
        <v>32</v>
      </c>
      <c r="AK3" s="21" t="n">
        <f aca="false">'P&amp;L monthly'!AK3</f>
        <v>33</v>
      </c>
      <c r="AL3" s="21" t="n">
        <f aca="false">'P&amp;L monthly'!AL3</f>
        <v>34</v>
      </c>
      <c r="AM3" s="21" t="n">
        <f aca="false">'P&amp;L monthly'!AM3</f>
        <v>35</v>
      </c>
      <c r="AN3" s="21" t="n">
        <f aca="false">'P&amp;L monthly'!AN3</f>
        <v>36</v>
      </c>
      <c r="AO3" s="21" t="n">
        <f aca="false">'P&amp;L monthly'!AO3</f>
        <v>37</v>
      </c>
      <c r="AP3" s="21" t="n">
        <f aca="false">'P&amp;L monthly'!AP3</f>
        <v>38</v>
      </c>
      <c r="AQ3" s="21" t="n">
        <f aca="false">'P&amp;L monthly'!AQ3</f>
        <v>39</v>
      </c>
      <c r="AR3" s="21" t="n">
        <f aca="false">'P&amp;L monthly'!AR3</f>
        <v>40</v>
      </c>
      <c r="AS3" s="21" t="n">
        <f aca="false">'P&amp;L monthly'!AS3</f>
        <v>41</v>
      </c>
      <c r="AT3" s="21" t="n">
        <f aca="false">'P&amp;L monthly'!AT3</f>
        <v>42</v>
      </c>
      <c r="AU3" s="21" t="n">
        <f aca="false">'P&amp;L monthly'!AU3</f>
        <v>43</v>
      </c>
      <c r="AV3" s="21" t="n">
        <f aca="false">'P&amp;L monthly'!AV3</f>
        <v>44</v>
      </c>
      <c r="AW3" s="21" t="n">
        <f aca="false">'P&amp;L monthly'!AW3</f>
        <v>45</v>
      </c>
      <c r="AX3" s="21" t="n">
        <f aca="false">'P&amp;L monthly'!AX3</f>
        <v>46</v>
      </c>
      <c r="AY3" s="21" t="n">
        <f aca="false">'P&amp;L monthly'!AY3</f>
        <v>47</v>
      </c>
      <c r="AZ3" s="21" t="n">
        <f aca="false">'P&amp;L monthly'!AZ3</f>
        <v>48</v>
      </c>
      <c r="BA3" s="21" t="n">
        <f aca="false">'P&amp;L monthly'!BA3</f>
        <v>49</v>
      </c>
      <c r="BB3" s="21" t="n">
        <f aca="false">'P&amp;L monthly'!BB3</f>
        <v>50</v>
      </c>
      <c r="BC3" s="21" t="n">
        <f aca="false">'P&amp;L monthly'!BC3</f>
        <v>51</v>
      </c>
      <c r="BD3" s="21" t="n">
        <f aca="false">'P&amp;L monthly'!BD3</f>
        <v>52</v>
      </c>
      <c r="BE3" s="21" t="n">
        <f aca="false">'P&amp;L monthly'!BE3</f>
        <v>53</v>
      </c>
      <c r="BF3" s="21" t="n">
        <f aca="false">'P&amp;L monthly'!BF3</f>
        <v>54</v>
      </c>
      <c r="BG3" s="21" t="n">
        <f aca="false">'P&amp;L monthly'!BG3</f>
        <v>55</v>
      </c>
      <c r="BH3" s="21" t="n">
        <f aca="false">'P&amp;L monthly'!BH3</f>
        <v>56</v>
      </c>
      <c r="BI3" s="21" t="n">
        <f aca="false">'P&amp;L monthly'!BI3</f>
        <v>57</v>
      </c>
      <c r="BJ3" s="21" t="n">
        <f aca="false">'P&amp;L monthly'!BJ3</f>
        <v>58</v>
      </c>
      <c r="BK3" s="21" t="n">
        <f aca="false">'P&amp;L monthly'!BK3</f>
        <v>59</v>
      </c>
      <c r="BL3" s="21" t="n">
        <f aca="false">'P&amp;L monthly'!BL3</f>
        <v>60</v>
      </c>
    </row>
    <row r="4" customFormat="false" ht="15" hidden="false" customHeight="true" outlineLevel="0" collapsed="false">
      <c r="A4" s="9" t="s">
        <v>1133</v>
      </c>
      <c r="E4" s="54" t="n">
        <f aca="false">'P&amp;L monthly'!E4</f>
        <v>46388</v>
      </c>
      <c r="F4" s="54" t="n">
        <f aca="false">'P&amp;L monthly'!F4</f>
        <v>46419</v>
      </c>
      <c r="G4" s="54" t="n">
        <f aca="false">'P&amp;L monthly'!G4</f>
        <v>46447</v>
      </c>
      <c r="H4" s="54" t="n">
        <f aca="false">'P&amp;L monthly'!H4</f>
        <v>46478</v>
      </c>
      <c r="I4" s="54" t="n">
        <f aca="false">'P&amp;L monthly'!I4</f>
        <v>46508</v>
      </c>
      <c r="J4" s="54" t="n">
        <f aca="false">'P&amp;L monthly'!J4</f>
        <v>46539</v>
      </c>
      <c r="K4" s="54" t="n">
        <f aca="false">'P&amp;L monthly'!K4</f>
        <v>46569</v>
      </c>
      <c r="L4" s="54" t="n">
        <f aca="false">'P&amp;L monthly'!L4</f>
        <v>46600</v>
      </c>
      <c r="M4" s="54" t="n">
        <f aca="false">'P&amp;L monthly'!M4</f>
        <v>46631</v>
      </c>
      <c r="N4" s="54" t="n">
        <f aca="false">'P&amp;L monthly'!N4</f>
        <v>46661</v>
      </c>
      <c r="O4" s="54" t="n">
        <f aca="false">'P&amp;L monthly'!O4</f>
        <v>46692</v>
      </c>
      <c r="P4" s="54" t="n">
        <f aca="false">'P&amp;L monthly'!P4</f>
        <v>46722</v>
      </c>
      <c r="Q4" s="54" t="n">
        <f aca="false">'P&amp;L monthly'!Q4</f>
        <v>46753</v>
      </c>
      <c r="R4" s="54" t="n">
        <f aca="false">'P&amp;L monthly'!R4</f>
        <v>46784</v>
      </c>
      <c r="S4" s="54" t="n">
        <f aca="false">'P&amp;L monthly'!S4</f>
        <v>46813</v>
      </c>
      <c r="T4" s="54" t="n">
        <f aca="false">'P&amp;L monthly'!T4</f>
        <v>46844</v>
      </c>
      <c r="U4" s="54" t="n">
        <f aca="false">'P&amp;L monthly'!U4</f>
        <v>46874</v>
      </c>
      <c r="V4" s="54" t="n">
        <f aca="false">'P&amp;L monthly'!V4</f>
        <v>46905</v>
      </c>
      <c r="W4" s="54" t="n">
        <f aca="false">'P&amp;L monthly'!W4</f>
        <v>46935</v>
      </c>
      <c r="X4" s="54" t="n">
        <f aca="false">'P&amp;L monthly'!X4</f>
        <v>46966</v>
      </c>
      <c r="Y4" s="54" t="n">
        <f aca="false">'P&amp;L monthly'!Y4</f>
        <v>46997</v>
      </c>
      <c r="Z4" s="54" t="n">
        <f aca="false">'P&amp;L monthly'!Z4</f>
        <v>47027</v>
      </c>
      <c r="AA4" s="54" t="n">
        <f aca="false">'P&amp;L monthly'!AA4</f>
        <v>47058</v>
      </c>
      <c r="AB4" s="54" t="n">
        <f aca="false">'P&amp;L monthly'!AB4</f>
        <v>47088</v>
      </c>
      <c r="AC4" s="54" t="n">
        <f aca="false">'P&amp;L monthly'!AC4</f>
        <v>47119</v>
      </c>
      <c r="AD4" s="54" t="n">
        <f aca="false">'P&amp;L monthly'!AD4</f>
        <v>47150</v>
      </c>
      <c r="AE4" s="54" t="n">
        <f aca="false">'P&amp;L monthly'!AE4</f>
        <v>47178</v>
      </c>
      <c r="AF4" s="54" t="n">
        <f aca="false">'P&amp;L monthly'!AF4</f>
        <v>47209</v>
      </c>
      <c r="AG4" s="54" t="n">
        <f aca="false">'P&amp;L monthly'!AG4</f>
        <v>47239</v>
      </c>
      <c r="AH4" s="54" t="n">
        <f aca="false">'P&amp;L monthly'!AH4</f>
        <v>47270</v>
      </c>
      <c r="AI4" s="54" t="n">
        <f aca="false">'P&amp;L monthly'!AI4</f>
        <v>47300</v>
      </c>
      <c r="AJ4" s="54" t="n">
        <f aca="false">'P&amp;L monthly'!AJ4</f>
        <v>47331</v>
      </c>
      <c r="AK4" s="54" t="n">
        <f aca="false">'P&amp;L monthly'!AK4</f>
        <v>47362</v>
      </c>
      <c r="AL4" s="54" t="n">
        <f aca="false">'P&amp;L monthly'!AL4</f>
        <v>47392</v>
      </c>
      <c r="AM4" s="54" t="n">
        <f aca="false">'P&amp;L monthly'!AM4</f>
        <v>47423</v>
      </c>
      <c r="AN4" s="54" t="n">
        <f aca="false">'P&amp;L monthly'!AN4</f>
        <v>47453</v>
      </c>
      <c r="AO4" s="54" t="n">
        <f aca="false">'P&amp;L monthly'!AO4</f>
        <v>47484</v>
      </c>
      <c r="AP4" s="54" t="n">
        <f aca="false">'P&amp;L monthly'!AP4</f>
        <v>47515</v>
      </c>
      <c r="AQ4" s="54" t="n">
        <f aca="false">'P&amp;L monthly'!AQ4</f>
        <v>47543</v>
      </c>
      <c r="AR4" s="54" t="n">
        <f aca="false">'P&amp;L monthly'!AR4</f>
        <v>47574</v>
      </c>
      <c r="AS4" s="54" t="n">
        <f aca="false">'P&amp;L monthly'!AS4</f>
        <v>47604</v>
      </c>
      <c r="AT4" s="54" t="n">
        <f aca="false">'P&amp;L monthly'!AT4</f>
        <v>47635</v>
      </c>
      <c r="AU4" s="54" t="n">
        <f aca="false">'P&amp;L monthly'!AU4</f>
        <v>47665</v>
      </c>
      <c r="AV4" s="54" t="n">
        <f aca="false">'P&amp;L monthly'!AV4</f>
        <v>47696</v>
      </c>
      <c r="AW4" s="54" t="n">
        <f aca="false">'P&amp;L monthly'!AW4</f>
        <v>47727</v>
      </c>
      <c r="AX4" s="54" t="n">
        <f aca="false">'P&amp;L monthly'!AX4</f>
        <v>47757</v>
      </c>
      <c r="AY4" s="54" t="n">
        <f aca="false">'P&amp;L monthly'!AY4</f>
        <v>47788</v>
      </c>
      <c r="AZ4" s="54" t="n">
        <f aca="false">'P&amp;L monthly'!AZ4</f>
        <v>47818</v>
      </c>
      <c r="BA4" s="54" t="n">
        <f aca="false">'P&amp;L monthly'!BA4</f>
        <v>47849</v>
      </c>
      <c r="BB4" s="54" t="n">
        <f aca="false">'P&amp;L monthly'!BB4</f>
        <v>47880</v>
      </c>
      <c r="BC4" s="54" t="n">
        <f aca="false">'P&amp;L monthly'!BC4</f>
        <v>47908</v>
      </c>
      <c r="BD4" s="54" t="n">
        <f aca="false">'P&amp;L monthly'!BD4</f>
        <v>47939</v>
      </c>
      <c r="BE4" s="54" t="n">
        <f aca="false">'P&amp;L monthly'!BE4</f>
        <v>47969</v>
      </c>
      <c r="BF4" s="54" t="n">
        <f aca="false">'P&amp;L monthly'!BF4</f>
        <v>48000</v>
      </c>
      <c r="BG4" s="54" t="n">
        <f aca="false">'P&amp;L monthly'!BG4</f>
        <v>48030</v>
      </c>
      <c r="BH4" s="54" t="n">
        <f aca="false">'P&amp;L monthly'!BH4</f>
        <v>48061</v>
      </c>
      <c r="BI4" s="54" t="n">
        <f aca="false">'P&amp;L monthly'!BI4</f>
        <v>48092</v>
      </c>
      <c r="BJ4" s="54" t="n">
        <f aca="false">'P&amp;L monthly'!BJ4</f>
        <v>48122</v>
      </c>
      <c r="BK4" s="54" t="n">
        <f aca="false">'P&amp;L monthly'!BK4</f>
        <v>48153</v>
      </c>
      <c r="BL4" s="54" t="n">
        <f aca="false">'P&amp;L monthly'!BL4</f>
        <v>48183</v>
      </c>
    </row>
    <row r="5" customFormat="false" ht="15" hidden="false" customHeight="true" outlineLevel="0" collapsed="false">
      <c r="A5" s="9" t="s">
        <v>87</v>
      </c>
      <c r="E5" s="55" t="n">
        <f aca="false">'P&amp;L monthly'!E5</f>
        <v>1</v>
      </c>
      <c r="F5" s="55" t="n">
        <f aca="false">'P&amp;L monthly'!F5</f>
        <v>1</v>
      </c>
      <c r="G5" s="55" t="n">
        <f aca="false">'P&amp;L monthly'!G5</f>
        <v>1</v>
      </c>
      <c r="H5" s="55" t="n">
        <f aca="false">'P&amp;L monthly'!H5</f>
        <v>1</v>
      </c>
      <c r="I5" s="55" t="n">
        <f aca="false">'P&amp;L monthly'!I5</f>
        <v>1</v>
      </c>
      <c r="J5" s="55" t="n">
        <f aca="false">'P&amp;L monthly'!J5</f>
        <v>1</v>
      </c>
      <c r="K5" s="55" t="n">
        <f aca="false">'P&amp;L monthly'!K5</f>
        <v>1</v>
      </c>
      <c r="L5" s="55" t="n">
        <f aca="false">'P&amp;L monthly'!L5</f>
        <v>1</v>
      </c>
      <c r="M5" s="55" t="n">
        <f aca="false">'P&amp;L monthly'!M5</f>
        <v>1</v>
      </c>
      <c r="N5" s="55" t="n">
        <f aca="false">'P&amp;L monthly'!N5</f>
        <v>1</v>
      </c>
      <c r="O5" s="55" t="n">
        <f aca="false">'P&amp;L monthly'!O5</f>
        <v>1</v>
      </c>
      <c r="P5" s="55" t="n">
        <f aca="false">'P&amp;L monthly'!P5</f>
        <v>1</v>
      </c>
      <c r="Q5" s="55" t="n">
        <f aca="false">'P&amp;L monthly'!Q5</f>
        <v>2</v>
      </c>
      <c r="R5" s="55" t="n">
        <f aca="false">'P&amp;L monthly'!R5</f>
        <v>2</v>
      </c>
      <c r="S5" s="55" t="n">
        <f aca="false">'P&amp;L monthly'!S5</f>
        <v>2</v>
      </c>
      <c r="T5" s="55" t="n">
        <f aca="false">'P&amp;L monthly'!T5</f>
        <v>2</v>
      </c>
      <c r="U5" s="55" t="n">
        <f aca="false">'P&amp;L monthly'!U5</f>
        <v>2</v>
      </c>
      <c r="V5" s="55" t="n">
        <f aca="false">'P&amp;L monthly'!V5</f>
        <v>2</v>
      </c>
      <c r="W5" s="55" t="n">
        <f aca="false">'P&amp;L monthly'!W5</f>
        <v>2</v>
      </c>
      <c r="X5" s="55" t="n">
        <f aca="false">'P&amp;L monthly'!X5</f>
        <v>2</v>
      </c>
      <c r="Y5" s="55" t="n">
        <f aca="false">'P&amp;L monthly'!Y5</f>
        <v>2</v>
      </c>
      <c r="Z5" s="55" t="n">
        <f aca="false">'P&amp;L monthly'!Z5</f>
        <v>2</v>
      </c>
      <c r="AA5" s="55" t="n">
        <f aca="false">'P&amp;L monthly'!AA5</f>
        <v>2</v>
      </c>
      <c r="AB5" s="55" t="n">
        <f aca="false">'P&amp;L monthly'!AB5</f>
        <v>2</v>
      </c>
      <c r="AC5" s="55" t="n">
        <f aca="false">'P&amp;L monthly'!AC5</f>
        <v>3</v>
      </c>
      <c r="AD5" s="55" t="n">
        <f aca="false">'P&amp;L monthly'!AD5</f>
        <v>3</v>
      </c>
      <c r="AE5" s="55" t="n">
        <f aca="false">'P&amp;L monthly'!AE5</f>
        <v>3</v>
      </c>
      <c r="AF5" s="55" t="n">
        <f aca="false">'P&amp;L monthly'!AF5</f>
        <v>3</v>
      </c>
      <c r="AG5" s="55" t="n">
        <f aca="false">'P&amp;L monthly'!AG5</f>
        <v>3</v>
      </c>
      <c r="AH5" s="55" t="n">
        <f aca="false">'P&amp;L monthly'!AH5</f>
        <v>3</v>
      </c>
      <c r="AI5" s="55" t="n">
        <f aca="false">'P&amp;L monthly'!AI5</f>
        <v>3</v>
      </c>
      <c r="AJ5" s="55" t="n">
        <f aca="false">'P&amp;L monthly'!AJ5</f>
        <v>3</v>
      </c>
      <c r="AK5" s="55" t="n">
        <f aca="false">'P&amp;L monthly'!AK5</f>
        <v>3</v>
      </c>
      <c r="AL5" s="55" t="n">
        <f aca="false">'P&amp;L monthly'!AL5</f>
        <v>3</v>
      </c>
      <c r="AM5" s="55" t="n">
        <f aca="false">'P&amp;L monthly'!AM5</f>
        <v>3</v>
      </c>
      <c r="AN5" s="55" t="n">
        <f aca="false">'P&amp;L monthly'!AN5</f>
        <v>3</v>
      </c>
      <c r="AO5" s="55" t="n">
        <f aca="false">'P&amp;L monthly'!AO5</f>
        <v>4</v>
      </c>
      <c r="AP5" s="55" t="n">
        <f aca="false">'P&amp;L monthly'!AP5</f>
        <v>4</v>
      </c>
      <c r="AQ5" s="55" t="n">
        <f aca="false">'P&amp;L monthly'!AQ5</f>
        <v>4</v>
      </c>
      <c r="AR5" s="55" t="n">
        <f aca="false">'P&amp;L monthly'!AR5</f>
        <v>4</v>
      </c>
      <c r="AS5" s="55" t="n">
        <f aca="false">'P&amp;L monthly'!AS5</f>
        <v>4</v>
      </c>
      <c r="AT5" s="55" t="n">
        <f aca="false">'P&amp;L monthly'!AT5</f>
        <v>4</v>
      </c>
      <c r="AU5" s="55" t="n">
        <f aca="false">'P&amp;L monthly'!AU5</f>
        <v>4</v>
      </c>
      <c r="AV5" s="55" t="n">
        <f aca="false">'P&amp;L monthly'!AV5</f>
        <v>4</v>
      </c>
      <c r="AW5" s="55" t="n">
        <f aca="false">'P&amp;L monthly'!AW5</f>
        <v>4</v>
      </c>
      <c r="AX5" s="55" t="n">
        <f aca="false">'P&amp;L monthly'!AX5</f>
        <v>4</v>
      </c>
      <c r="AY5" s="55" t="n">
        <f aca="false">'P&amp;L monthly'!AY5</f>
        <v>4</v>
      </c>
      <c r="AZ5" s="55" t="n">
        <f aca="false">'P&amp;L monthly'!AZ5</f>
        <v>4</v>
      </c>
      <c r="BA5" s="55" t="n">
        <f aca="false">'P&amp;L monthly'!BA5</f>
        <v>5</v>
      </c>
      <c r="BB5" s="55" t="n">
        <f aca="false">'P&amp;L monthly'!BB5</f>
        <v>5</v>
      </c>
      <c r="BC5" s="55" t="n">
        <f aca="false">'P&amp;L monthly'!BC5</f>
        <v>5</v>
      </c>
      <c r="BD5" s="55" t="n">
        <f aca="false">'P&amp;L monthly'!BD5</f>
        <v>5</v>
      </c>
      <c r="BE5" s="55" t="n">
        <f aca="false">'P&amp;L monthly'!BE5</f>
        <v>5</v>
      </c>
      <c r="BF5" s="55" t="n">
        <f aca="false">'P&amp;L monthly'!BF5</f>
        <v>5</v>
      </c>
      <c r="BG5" s="55" t="n">
        <f aca="false">'P&amp;L monthly'!BG5</f>
        <v>5</v>
      </c>
      <c r="BH5" s="55" t="n">
        <f aca="false">'P&amp;L monthly'!BH5</f>
        <v>5</v>
      </c>
      <c r="BI5" s="55" t="n">
        <f aca="false">'P&amp;L monthly'!BI5</f>
        <v>5</v>
      </c>
      <c r="BJ5" s="55" t="n">
        <f aca="false">'P&amp;L monthly'!BJ5</f>
        <v>5</v>
      </c>
      <c r="BK5" s="55" t="n">
        <f aca="false">'P&amp;L monthly'!BK5</f>
        <v>5</v>
      </c>
      <c r="BL5" s="55" t="n">
        <f aca="false">'P&amp;L monthly'!BL5</f>
        <v>5</v>
      </c>
    </row>
    <row r="8" customFormat="false" ht="15" hidden="false" customHeight="true" outlineLevel="0" collapsed="false">
      <c r="A8" s="11" t="s">
        <v>985</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1253</v>
      </c>
      <c r="B9" s="15" t="s">
        <v>79</v>
      </c>
      <c r="D9" s="56" t="n">
        <f aca="false">'P&amp;L monthly'!D9/FX_EUR</f>
        <v>5092052.64082483</v>
      </c>
      <c r="E9" s="33" t="n">
        <f aca="false">'P&amp;L monthly'!E9/FX_EUR</f>
        <v>0</v>
      </c>
      <c r="F9" s="33" t="n">
        <f aca="false">'P&amp;L monthly'!F9/FX_EUR</f>
        <v>0</v>
      </c>
      <c r="G9" s="33" t="n">
        <f aca="false">'P&amp;L monthly'!G9/FX_EUR</f>
        <v>0</v>
      </c>
      <c r="H9" s="33" t="n">
        <f aca="false">'P&amp;L monthly'!H9/FX_EUR</f>
        <v>0</v>
      </c>
      <c r="I9" s="33" t="n">
        <f aca="false">'P&amp;L monthly'!I9/FX_EUR</f>
        <v>0</v>
      </c>
      <c r="J9" s="33" t="n">
        <f aca="false">'P&amp;L monthly'!J9/FX_EUR</f>
        <v>1325.06603888161</v>
      </c>
      <c r="K9" s="33" t="n">
        <f aca="false">'P&amp;L monthly'!K9/FX_EUR</f>
        <v>2645.76961598601</v>
      </c>
      <c r="L9" s="33" t="n">
        <f aca="false">'P&amp;L monthly'!L9/FX_EUR</f>
        <v>3962.97437869149</v>
      </c>
      <c r="M9" s="33" t="n">
        <f aca="false">'P&amp;L monthly'!M9/FX_EUR</f>
        <v>5277.57839940465</v>
      </c>
      <c r="N9" s="33" t="n">
        <f aca="false">'P&amp;L monthly'!N9/FX_EUR</f>
        <v>6590.51653840037</v>
      </c>
      <c r="O9" s="33" t="n">
        <f aca="false">'P&amp;L monthly'!O9/FX_EUR</f>
        <v>7902.76294301675</v>
      </c>
      <c r="P9" s="33" t="n">
        <f aca="false">'P&amp;L monthly'!P9/FX_EUR</f>
        <v>9215.33369148876</v>
      </c>
      <c r="Q9" s="33" t="n">
        <f aca="false">'P&amp;L monthly'!Q9/FX_EUR</f>
        <v>10529.2895901992</v>
      </c>
      <c r="R9" s="33" t="n">
        <f aca="false">'P&amp;L monthly'!R9/FX_EUR</f>
        <v>12313.6195948192</v>
      </c>
      <c r="S9" s="33" t="n">
        <f aca="false">'P&amp;L monthly'!S9/FX_EUR</f>
        <v>14095.5220953314</v>
      </c>
      <c r="T9" s="33" t="n">
        <f aca="false">'P&amp;L monthly'!T9/FX_EUR</f>
        <v>15876.3020938341</v>
      </c>
      <c r="U9" s="33" t="n">
        <f aca="false">'P&amp;L monthly'!U9/FX_EUR</f>
        <v>17657.3207012964</v>
      </c>
      <c r="V9" s="33" t="n">
        <f aca="false">'P&amp;L monthly'!V9/FX_EUR</f>
        <v>19439.9988807698</v>
      </c>
      <c r="W9" s="33" t="n">
        <f aca="false">'P&amp;L monthly'!W9/FX_EUR</f>
        <v>21225.8214083623</v>
      </c>
      <c r="X9" s="33" t="n">
        <f aca="false">'P&amp;L monthly'!X9/FX_EUR</f>
        <v>24030.67733213</v>
      </c>
      <c r="Y9" s="33" t="n">
        <f aca="false">'P&amp;L monthly'!Y9/FX_EUR</f>
        <v>26838.3168711379</v>
      </c>
      <c r="Z9" s="33" t="n">
        <f aca="false">'P&amp;L monthly'!Z9/FX_EUR</f>
        <v>29865.3905352407</v>
      </c>
      <c r="AA9" s="33" t="n">
        <f aca="false">'P&amp;L monthly'!AA9/FX_EUR</f>
        <v>32897.2789619806</v>
      </c>
      <c r="AB9" s="33" t="n">
        <f aca="false">'P&amp;L monthly'!AB9/FX_EUR</f>
        <v>35936.6009597458</v>
      </c>
      <c r="AC9" s="33" t="n">
        <f aca="false">'P&amp;L monthly'!AC9/FX_EUR</f>
        <v>38986.0969819471</v>
      </c>
      <c r="AD9" s="33" t="n">
        <f aca="false">'P&amp;L monthly'!AD9/FX_EUR</f>
        <v>42987.9695550876</v>
      </c>
      <c r="AE9" s="33" t="n">
        <f aca="false">'P&amp;L monthly'!AE9/FX_EUR</f>
        <v>46993.686710468</v>
      </c>
      <c r="AF9" s="33" t="n">
        <f aca="false">'P&amp;L monthly'!AF9/FX_EUR</f>
        <v>51220.8833064646</v>
      </c>
      <c r="AG9" s="33" t="n">
        <f aca="false">'P&amp;L monthly'!AG9/FX_EUR</f>
        <v>55455.9695151517</v>
      </c>
      <c r="AH9" s="33" t="n">
        <f aca="false">'P&amp;L monthly'!AH9/FX_EUR</f>
        <v>59702.6418097021</v>
      </c>
      <c r="AI9" s="33" t="n">
        <f aca="false">'P&amp;L monthly'!AI9/FX_EUR</f>
        <v>63964.7695552591</v>
      </c>
      <c r="AJ9" s="33" t="n">
        <f aca="false">'P&amp;L monthly'!AJ9/FX_EUR</f>
        <v>68460.7026021029</v>
      </c>
      <c r="AK9" s="33" t="n">
        <f aca="false">'P&amp;L monthly'!AK9/FX_EUR</f>
        <v>72977.6090127633</v>
      </c>
      <c r="AL9" s="33" t="n">
        <f aca="false">'P&amp;L monthly'!AL9/FX_EUR</f>
        <v>77519.988620086</v>
      </c>
      <c r="AM9" s="33" t="n">
        <f aca="false">'P&amp;L monthly'!AM9/FX_EUR</f>
        <v>82092.5623431068</v>
      </c>
      <c r="AN9" s="33" t="n">
        <f aca="false">'P&amp;L monthly'!AN9/FX_EUR</f>
        <v>86914.5826688132</v>
      </c>
      <c r="AO9" s="33" t="n">
        <f aca="false">'P&amp;L monthly'!AO9/FX_EUR</f>
        <v>91774.1744412605</v>
      </c>
      <c r="AP9" s="33" t="n">
        <f aca="false">'P&amp;L monthly'!AP9/FX_EUR</f>
        <v>97337.5988816044</v>
      </c>
      <c r="AQ9" s="33" t="n">
        <f aca="false">'P&amp;L monthly'!AQ9/FX_EUR</f>
        <v>103155.614175747</v>
      </c>
      <c r="AR9" s="33" t="n">
        <f aca="false">'P&amp;L monthly'!AR9/FX_EUR</f>
        <v>109017.363847462</v>
      </c>
      <c r="AS9" s="33" t="n">
        <f aca="false">'P&amp;L monthly'!AS9/FX_EUR</f>
        <v>114929.430957052</v>
      </c>
      <c r="AT9" s="33" t="n">
        <f aca="false">'P&amp;L monthly'!AT9/FX_EUR</f>
        <v>121113.030455889</v>
      </c>
      <c r="AU9" s="33" t="n">
        <f aca="false">'P&amp;L monthly'!AU9/FX_EUR</f>
        <v>127358.356184827</v>
      </c>
      <c r="AV9" s="33" t="n">
        <f aca="false">'P&amp;L monthly'!AV9/FX_EUR</f>
        <v>133673.104256526</v>
      </c>
      <c r="AW9" s="33" t="n">
        <f aca="false">'P&amp;L monthly'!AW9/FX_EUR</f>
        <v>140472.535931205</v>
      </c>
      <c r="AX9" s="33" t="n">
        <f aca="false">'P&amp;L monthly'!AX9/FX_EUR</f>
        <v>147291.493567711</v>
      </c>
      <c r="AY9" s="33" t="n">
        <f aca="false">'P&amp;L monthly'!AY9/FX_EUR</f>
        <v>154283.104681034</v>
      </c>
      <c r="AZ9" s="33" t="n">
        <f aca="false">'P&amp;L monthly'!AZ9/FX_EUR</f>
        <v>161233.598767957</v>
      </c>
      <c r="BA9" s="33" t="n">
        <f aca="false">'P&amp;L monthly'!BA9/FX_EUR</f>
        <v>168146.440397985</v>
      </c>
      <c r="BB9" s="33" t="n">
        <f aca="false">'P&amp;L monthly'!BB9/FX_EUR</f>
        <v>175903.828613957</v>
      </c>
      <c r="BC9" s="33" t="n">
        <f aca="false">'P&amp;L monthly'!BC9/FX_EUR</f>
        <v>183619.441639644</v>
      </c>
      <c r="BD9" s="33" t="n">
        <f aca="false">'P&amp;L monthly'!BD9/FX_EUR</f>
        <v>191511.596523692</v>
      </c>
      <c r="BE9" s="33" t="n">
        <f aca="false">'P&amp;L monthly'!BE9/FX_EUR</f>
        <v>199367.376359994</v>
      </c>
      <c r="BF9" s="33" t="n">
        <f aca="false">'P&amp;L monthly'!BF9/FX_EUR</f>
        <v>207384.008301677</v>
      </c>
      <c r="BG9" s="33" t="n">
        <f aca="false">'P&amp;L monthly'!BG9/FX_EUR</f>
        <v>215584.940103795</v>
      </c>
      <c r="BH9" s="33" t="n">
        <f aca="false">'P&amp;L monthly'!BH9/FX_EUR</f>
        <v>223757.828373558</v>
      </c>
      <c r="BI9" s="33" t="n">
        <f aca="false">'P&amp;L monthly'!BI9/FX_EUR</f>
        <v>232121.936525677</v>
      </c>
      <c r="BJ9" s="33" t="n">
        <f aca="false">'P&amp;L monthly'!BJ9/FX_EUR</f>
        <v>240658.21627733</v>
      </c>
      <c r="BK9" s="33" t="n">
        <f aca="false">'P&amp;L monthly'!BK9/FX_EUR</f>
        <v>249391.011930827</v>
      </c>
      <c r="BL9" s="33" t="n">
        <f aca="false">'P&amp;L monthly'!BL9/FX_EUR</f>
        <v>258063.006316749</v>
      </c>
    </row>
    <row r="10" customFormat="false" ht="15" hidden="false" customHeight="true" outlineLevel="0" collapsed="false">
      <c r="A10" s="13" t="s">
        <v>988</v>
      </c>
      <c r="B10" s="15" t="s">
        <v>79</v>
      </c>
      <c r="D10" s="56" t="n">
        <f aca="false">'P&amp;L monthly'!D10/FX_EUR</f>
        <v>10429946.5827159</v>
      </c>
      <c r="E10" s="33" t="n">
        <f aca="false">'P&amp;L monthly'!E10/FX_EUR</f>
        <v>0</v>
      </c>
      <c r="F10" s="33" t="n">
        <f aca="false">'P&amp;L monthly'!F10/FX_EUR</f>
        <v>0</v>
      </c>
      <c r="G10" s="33" t="n">
        <f aca="false">'P&amp;L monthly'!G10/FX_EUR</f>
        <v>0</v>
      </c>
      <c r="H10" s="33" t="n">
        <f aca="false">'P&amp;L monthly'!H10/FX_EUR</f>
        <v>0</v>
      </c>
      <c r="I10" s="33" t="n">
        <f aca="false">'P&amp;L monthly'!I10/FX_EUR</f>
        <v>2550.41514408211</v>
      </c>
      <c r="J10" s="33" t="n">
        <f aca="false">'P&amp;L monthly'!J10/FX_EUR</f>
        <v>5094.84431652278</v>
      </c>
      <c r="K10" s="33" t="n">
        <f aca="false">'P&amp;L monthly'!K10/FX_EUR</f>
        <v>7634.8981031531</v>
      </c>
      <c r="L10" s="33" t="n">
        <f aca="false">'P&amp;L monthly'!L10/FX_EUR</f>
        <v>10172.2558379723</v>
      </c>
      <c r="M10" s="33" t="n">
        <f aca="false">'P&amp;L monthly'!M10/FX_EUR</f>
        <v>12708.6701691013</v>
      </c>
      <c r="N10" s="33" t="n">
        <f aca="false">'P&amp;L monthly'!N10/FX_EUR</f>
        <v>15245.971891127</v>
      </c>
      <c r="O10" s="33" t="n">
        <f aca="false">'P&amp;L monthly'!O10/FX_EUR</f>
        <v>17786.0750599576</v>
      </c>
      <c r="P10" s="33" t="n">
        <f aca="false">'P&amp;L monthly'!P10/FX_EUR</f>
        <v>20330.9824072745</v>
      </c>
      <c r="Q10" s="33" t="n">
        <f aca="false">'P&amp;L monthly'!Q10/FX_EUR</f>
        <v>23783.3419726206</v>
      </c>
      <c r="R10" s="33" t="n">
        <f aca="false">'P&amp;L monthly'!R10/FX_EUR</f>
        <v>27233.9483283853</v>
      </c>
      <c r="S10" s="33" t="n">
        <f aca="false">'P&amp;L monthly'!S10/FX_EUR</f>
        <v>30685.2556857235</v>
      </c>
      <c r="T10" s="33" t="n">
        <f aca="false">'P&amp;L monthly'!T10/FX_EUR</f>
        <v>34139.8296462094</v>
      </c>
      <c r="U10" s="33" t="n">
        <f aca="false">'P&amp;L monthly'!U10/FX_EUR</f>
        <v>37600.3544477232</v>
      </c>
      <c r="V10" s="33" t="n">
        <f aca="false">'P&amp;L monthly'!V10/FX_EUR</f>
        <v>41069.6406355013</v>
      </c>
      <c r="W10" s="33" t="n">
        <f aca="false">'P&amp;L monthly'!W10/FX_EUR</f>
        <v>46502.9725396102</v>
      </c>
      <c r="X10" s="33" t="n">
        <f aca="false">'P&amp;L monthly'!X10/FX_EUR</f>
        <v>51946.1329948675</v>
      </c>
      <c r="Y10" s="33" t="n">
        <f aca="false">'P&amp;L monthly'!Y10/FX_EUR</f>
        <v>57816.0427119006</v>
      </c>
      <c r="Z10" s="33" t="n">
        <f aca="false">'P&amp;L monthly'!Z10/FX_EUR</f>
        <v>63699.9330713573</v>
      </c>
      <c r="AA10" s="33" t="n">
        <f aca="false">'P&amp;L monthly'!AA10/FX_EUR</f>
        <v>69602.767403896</v>
      </c>
      <c r="AB10" s="33" t="n">
        <f aca="false">'P&amp;L monthly'!AB10/FX_EUR</f>
        <v>75529.7493033277</v>
      </c>
      <c r="AC10" s="33" t="n">
        <f aca="false">'P&amp;L monthly'!AC10/FX_EUR</f>
        <v>83294.3141757702</v>
      </c>
      <c r="AD10" s="33" t="n">
        <f aca="false">'P&amp;L monthly'!AD10/FX_EUR</f>
        <v>91072.4296262105</v>
      </c>
      <c r="AE10" s="33" t="n">
        <f aca="false">'P&amp;L monthly'!AE10/FX_EUR</f>
        <v>99282.8821827709</v>
      </c>
      <c r="AF10" s="33" t="n">
        <f aca="false">'P&amp;L monthly'!AF10/FX_EUR</f>
        <v>107514.858315947</v>
      </c>
      <c r="AG10" s="33" t="n">
        <f aca="false">'P&amp;L monthly'!AG10/FX_EUR</f>
        <v>115775.371426311</v>
      </c>
      <c r="AH10" s="33" t="n">
        <f aca="false">'P&amp;L monthly'!AH10/FX_EUR</f>
        <v>124071.776201888</v>
      </c>
      <c r="AI10" s="33" t="n">
        <f aca="false">'P&amp;L monthly'!AI10/FX_EUR</f>
        <v>132824.256395192</v>
      </c>
      <c r="AJ10" s="33" t="n">
        <f aca="false">'P&amp;L monthly'!AJ10/FX_EUR</f>
        <v>141623.4791903</v>
      </c>
      <c r="AK10" s="33" t="n">
        <f aca="false">'P&amp;L monthly'!AK10/FX_EUR</f>
        <v>150478.027199554</v>
      </c>
      <c r="AL10" s="33" t="n">
        <f aca="false">'P&amp;L monthly'!AL10/FX_EUR</f>
        <v>159396.918130558</v>
      </c>
      <c r="AM10" s="33" t="n">
        <f aca="false">'P&amp;L monthly'!AM10/FX_EUR</f>
        <v>168802.098191488</v>
      </c>
      <c r="AN10" s="33" t="n">
        <f aca="false">'P&amp;L monthly'!AN10/FX_EUR</f>
        <v>178286.102424205</v>
      </c>
      <c r="AO10" s="33" t="n">
        <f aca="false">'P&amp;L monthly'!AO10/FX_EUR</f>
        <v>189131.263379898</v>
      </c>
      <c r="AP10" s="33" t="n">
        <f aca="false">'P&amp;L monthly'!AP10/FX_EUR</f>
        <v>200474.066938857</v>
      </c>
      <c r="AQ10" s="33" t="n">
        <f aca="false">'P&amp;L monthly'!AQ10/FX_EUR</f>
        <v>211908.991684947</v>
      </c>
      <c r="AR10" s="33" t="n">
        <f aca="false">'P&amp;L monthly'!AR10/FX_EUR</f>
        <v>223448.64246976</v>
      </c>
      <c r="AS10" s="33" t="n">
        <f aca="false">'P&amp;L monthly'!AS10/FX_EUR</f>
        <v>235518.749063147</v>
      </c>
      <c r="AT10" s="33" t="n">
        <f aca="false">'P&amp;L monthly'!AT10/FX_EUR</f>
        <v>247715.838559916</v>
      </c>
      <c r="AU10" s="33" t="n">
        <f aca="false">'P&amp;L monthly'!AU10/FX_EUR</f>
        <v>260054.686493777</v>
      </c>
      <c r="AV10" s="33" t="n">
        <f aca="false">'P&amp;L monthly'!AV10/FX_EUR</f>
        <v>273334.542279898</v>
      </c>
      <c r="AW10" s="33" t="n">
        <f aca="false">'P&amp;L monthly'!AW10/FX_EUR</f>
        <v>286660.828678991</v>
      </c>
      <c r="AX10" s="33" t="n">
        <f aca="false">'P&amp;L monthly'!AX10/FX_EUR</f>
        <v>300328.15052032</v>
      </c>
      <c r="AY10" s="33" t="n">
        <f aca="false">'P&amp;L monthly'!AY10/FX_EUR</f>
        <v>313925.208070593</v>
      </c>
      <c r="AZ10" s="33" t="n">
        <f aca="false">'P&amp;L monthly'!AZ10/FX_EUR</f>
        <v>327458.432095665</v>
      </c>
      <c r="BA10" s="33" t="n">
        <f aca="false">'P&amp;L monthly'!BA10/FX_EUR</f>
        <v>342625.604303271</v>
      </c>
      <c r="BB10" s="33" t="n">
        <f aca="false">'P&amp;L monthly'!BB10/FX_EUR</f>
        <v>357722.162604679</v>
      </c>
      <c r="BC10" s="33" t="n">
        <f aca="false">'P&amp;L monthly'!BC10/FX_EUR</f>
        <v>373168.056107185</v>
      </c>
      <c r="BD10" s="33" t="n">
        <f aca="false">'P&amp;L monthly'!BD10/FX_EUR</f>
        <v>388553.619973681</v>
      </c>
      <c r="BE10" s="33" t="n">
        <f aca="false">'P&amp;L monthly'!BE10/FX_EUR</f>
        <v>404258.222300945</v>
      </c>
      <c r="BF10" s="33" t="n">
        <f aca="false">'P&amp;L monthly'!BF10/FX_EUR</f>
        <v>420327.113210972</v>
      </c>
      <c r="BG10" s="33" t="n">
        <f aca="false">'P&amp;L monthly'!BG10/FX_EUR</f>
        <v>436351.745258078</v>
      </c>
      <c r="BH10" s="33" t="n">
        <f aca="false">'P&amp;L monthly'!BH10/FX_EUR</f>
        <v>452753.915062024</v>
      </c>
      <c r="BI10" s="33" t="n">
        <f aca="false">'P&amp;L monthly'!BI10/FX_EUR</f>
        <v>469497.132834047</v>
      </c>
      <c r="BJ10" s="33" t="n">
        <f aca="false">'P&amp;L monthly'!BJ10/FX_EUR</f>
        <v>486628.390609716</v>
      </c>
      <c r="BK10" s="33" t="n">
        <f aca="false">'P&amp;L monthly'!BK10/FX_EUR</f>
        <v>503652.595484454</v>
      </c>
      <c r="BL10" s="33" t="n">
        <f aca="false">'P&amp;L monthly'!BL10/FX_EUR</f>
        <v>520892.02960061</v>
      </c>
    </row>
    <row r="11" customFormat="false" ht="15" hidden="false" customHeight="true" outlineLevel="0" collapsed="false">
      <c r="A11" s="13" t="s">
        <v>1324</v>
      </c>
      <c r="B11" s="15" t="s">
        <v>79</v>
      </c>
      <c r="D11" s="56" t="n">
        <f aca="false">'P&amp;L monthly'!D11/FX_EUR</f>
        <v>0</v>
      </c>
      <c r="E11" s="33" t="n">
        <f aca="false">'P&amp;L monthly'!E11/FX_EUR</f>
        <v>0</v>
      </c>
      <c r="F11" s="33" t="n">
        <f aca="false">'P&amp;L monthly'!F11/FX_EUR</f>
        <v>0</v>
      </c>
      <c r="G11" s="33" t="n">
        <f aca="false">'P&amp;L monthly'!G11/FX_EUR</f>
        <v>0</v>
      </c>
      <c r="H11" s="33" t="n">
        <f aca="false">'P&amp;L monthly'!H11/FX_EUR</f>
        <v>0</v>
      </c>
      <c r="I11" s="33" t="n">
        <f aca="false">'P&amp;L monthly'!I11/FX_EUR</f>
        <v>0</v>
      </c>
      <c r="J11" s="33" t="n">
        <f aca="false">'P&amp;L monthly'!J11/FX_EUR</f>
        <v>0</v>
      </c>
      <c r="K11" s="33" t="n">
        <f aca="false">'P&amp;L monthly'!K11/FX_EUR</f>
        <v>0</v>
      </c>
      <c r="L11" s="33" t="n">
        <f aca="false">'P&amp;L monthly'!L11/FX_EUR</f>
        <v>0</v>
      </c>
      <c r="M11" s="33" t="n">
        <f aca="false">'P&amp;L monthly'!M11/FX_EUR</f>
        <v>0</v>
      </c>
      <c r="N11" s="33" t="n">
        <f aca="false">'P&amp;L monthly'!N11/FX_EUR</f>
        <v>0</v>
      </c>
      <c r="O11" s="33" t="n">
        <f aca="false">'P&amp;L monthly'!O11/FX_EUR</f>
        <v>0</v>
      </c>
      <c r="P11" s="33" t="n">
        <f aca="false">'P&amp;L monthly'!P11/FX_EUR</f>
        <v>0</v>
      </c>
      <c r="Q11" s="33" t="n">
        <f aca="false">'P&amp;L monthly'!Q11/FX_EUR</f>
        <v>0</v>
      </c>
      <c r="R11" s="33" t="n">
        <f aca="false">'P&amp;L monthly'!R11/FX_EUR</f>
        <v>0</v>
      </c>
      <c r="S11" s="33" t="n">
        <f aca="false">'P&amp;L monthly'!S11/FX_EUR</f>
        <v>0</v>
      </c>
      <c r="T11" s="33" t="n">
        <f aca="false">'P&amp;L monthly'!T11/FX_EUR</f>
        <v>0</v>
      </c>
      <c r="U11" s="33" t="n">
        <f aca="false">'P&amp;L monthly'!U11/FX_EUR</f>
        <v>0</v>
      </c>
      <c r="V11" s="33" t="n">
        <f aca="false">'P&amp;L monthly'!V11/FX_EUR</f>
        <v>0</v>
      </c>
      <c r="W11" s="33" t="n">
        <f aca="false">'P&amp;L monthly'!W11/FX_EUR</f>
        <v>0</v>
      </c>
      <c r="X11" s="33" t="n">
        <f aca="false">'P&amp;L monthly'!X11/FX_EUR</f>
        <v>0</v>
      </c>
      <c r="Y11" s="33" t="n">
        <f aca="false">'P&amp;L monthly'!Y11/FX_EUR</f>
        <v>0</v>
      </c>
      <c r="Z11" s="33" t="n">
        <f aca="false">'P&amp;L monthly'!Z11/FX_EUR</f>
        <v>0</v>
      </c>
      <c r="AA11" s="33" t="n">
        <f aca="false">'P&amp;L monthly'!AA11/FX_EUR</f>
        <v>0</v>
      </c>
      <c r="AB11" s="33" t="n">
        <f aca="false">'P&amp;L monthly'!AB11/FX_EUR</f>
        <v>0</v>
      </c>
      <c r="AC11" s="33" t="n">
        <f aca="false">'P&amp;L monthly'!AC11/FX_EUR</f>
        <v>0</v>
      </c>
      <c r="AD11" s="33" t="n">
        <f aca="false">'P&amp;L monthly'!AD11/FX_EUR</f>
        <v>0</v>
      </c>
      <c r="AE11" s="33" t="n">
        <f aca="false">'P&amp;L monthly'!AE11/FX_EUR</f>
        <v>0</v>
      </c>
      <c r="AF11" s="33" t="n">
        <f aca="false">'P&amp;L monthly'!AF11/FX_EUR</f>
        <v>0</v>
      </c>
      <c r="AG11" s="33" t="n">
        <f aca="false">'P&amp;L monthly'!AG11/FX_EUR</f>
        <v>0</v>
      </c>
      <c r="AH11" s="33" t="n">
        <f aca="false">'P&amp;L monthly'!AH11/FX_EUR</f>
        <v>0</v>
      </c>
      <c r="AI11" s="33" t="n">
        <f aca="false">'P&amp;L monthly'!AI11/FX_EUR</f>
        <v>0</v>
      </c>
      <c r="AJ11" s="33" t="n">
        <f aca="false">'P&amp;L monthly'!AJ11/FX_EUR</f>
        <v>0</v>
      </c>
      <c r="AK11" s="33" t="n">
        <f aca="false">'P&amp;L monthly'!AK11/FX_EUR</f>
        <v>0</v>
      </c>
      <c r="AL11" s="33" t="n">
        <f aca="false">'P&amp;L monthly'!AL11/FX_EUR</f>
        <v>0</v>
      </c>
      <c r="AM11" s="33" t="n">
        <f aca="false">'P&amp;L monthly'!AM11/FX_EUR</f>
        <v>0</v>
      </c>
      <c r="AN11" s="33" t="n">
        <f aca="false">'P&amp;L monthly'!AN11/FX_EUR</f>
        <v>0</v>
      </c>
      <c r="AO11" s="33" t="n">
        <f aca="false">'P&amp;L monthly'!AO11/FX_EUR</f>
        <v>0</v>
      </c>
      <c r="AP11" s="33" t="n">
        <f aca="false">'P&amp;L monthly'!AP11/FX_EUR</f>
        <v>0</v>
      </c>
      <c r="AQ11" s="33" t="n">
        <f aca="false">'P&amp;L monthly'!AQ11/FX_EUR</f>
        <v>0</v>
      </c>
      <c r="AR11" s="33" t="n">
        <f aca="false">'P&amp;L monthly'!AR11/FX_EUR</f>
        <v>0</v>
      </c>
      <c r="AS11" s="33" t="n">
        <f aca="false">'P&amp;L monthly'!AS11/FX_EUR</f>
        <v>0</v>
      </c>
      <c r="AT11" s="33" t="n">
        <f aca="false">'P&amp;L monthly'!AT11/FX_EUR</f>
        <v>0</v>
      </c>
      <c r="AU11" s="33" t="n">
        <f aca="false">'P&amp;L monthly'!AU11/FX_EUR</f>
        <v>0</v>
      </c>
      <c r="AV11" s="33" t="n">
        <f aca="false">'P&amp;L monthly'!AV11/FX_EUR</f>
        <v>0</v>
      </c>
      <c r="AW11" s="33" t="n">
        <f aca="false">'P&amp;L monthly'!AW11/FX_EUR</f>
        <v>0</v>
      </c>
      <c r="AX11" s="33" t="n">
        <f aca="false">'P&amp;L monthly'!AX11/FX_EUR</f>
        <v>0</v>
      </c>
      <c r="AY11" s="33" t="n">
        <f aca="false">'P&amp;L monthly'!AY11/FX_EUR</f>
        <v>0</v>
      </c>
      <c r="AZ11" s="33" t="n">
        <f aca="false">'P&amp;L monthly'!AZ11/FX_EUR</f>
        <v>0</v>
      </c>
      <c r="BA11" s="33" t="n">
        <f aca="false">'P&amp;L monthly'!BA11/FX_EUR</f>
        <v>0</v>
      </c>
      <c r="BB11" s="33" t="n">
        <f aca="false">'P&amp;L monthly'!BB11/FX_EUR</f>
        <v>0</v>
      </c>
      <c r="BC11" s="33" t="n">
        <f aca="false">'P&amp;L monthly'!BC11/FX_EUR</f>
        <v>0</v>
      </c>
      <c r="BD11" s="33" t="n">
        <f aca="false">'P&amp;L monthly'!BD11/FX_EUR</f>
        <v>0</v>
      </c>
      <c r="BE11" s="33" t="n">
        <f aca="false">'P&amp;L monthly'!BE11/FX_EUR</f>
        <v>0</v>
      </c>
      <c r="BF11" s="33" t="n">
        <f aca="false">'P&amp;L monthly'!BF11/FX_EUR</f>
        <v>0</v>
      </c>
      <c r="BG11" s="33" t="n">
        <f aca="false">'P&amp;L monthly'!BG11/FX_EUR</f>
        <v>0</v>
      </c>
      <c r="BH11" s="33" t="n">
        <f aca="false">'P&amp;L monthly'!BH11/FX_EUR</f>
        <v>0</v>
      </c>
      <c r="BI11" s="33" t="n">
        <f aca="false">'P&amp;L monthly'!BI11/FX_EUR</f>
        <v>0</v>
      </c>
      <c r="BJ11" s="33" t="n">
        <f aca="false">'P&amp;L monthly'!BJ11/FX_EUR</f>
        <v>0</v>
      </c>
      <c r="BK11" s="33" t="n">
        <f aca="false">'P&amp;L monthly'!BK11/FX_EUR</f>
        <v>0</v>
      </c>
      <c r="BL11" s="33" t="n">
        <f aca="false">'P&amp;L monthly'!BL11/FX_EUR</f>
        <v>0</v>
      </c>
    </row>
    <row r="12" customFormat="false" ht="15" hidden="false" customHeight="true" outlineLevel="0" collapsed="false">
      <c r="A12" s="13" t="s">
        <v>1325</v>
      </c>
      <c r="B12" s="15" t="s">
        <v>79</v>
      </c>
      <c r="D12" s="56" t="n">
        <f aca="false">'P&amp;L monthly'!D12/FX_EUR</f>
        <v>0</v>
      </c>
      <c r="E12" s="33" t="n">
        <f aca="false">'P&amp;L monthly'!E12/FX_EUR</f>
        <v>0</v>
      </c>
      <c r="F12" s="33" t="n">
        <f aca="false">'P&amp;L monthly'!F12/FX_EUR</f>
        <v>0</v>
      </c>
      <c r="G12" s="33" t="n">
        <f aca="false">'P&amp;L monthly'!G12/FX_EUR</f>
        <v>0</v>
      </c>
      <c r="H12" s="33" t="n">
        <f aca="false">'P&amp;L monthly'!H12/FX_EUR</f>
        <v>0</v>
      </c>
      <c r="I12" s="33" t="n">
        <f aca="false">'P&amp;L monthly'!I12/FX_EUR</f>
        <v>0</v>
      </c>
      <c r="J12" s="33" t="n">
        <f aca="false">'P&amp;L monthly'!J12/FX_EUR</f>
        <v>0</v>
      </c>
      <c r="K12" s="33" t="n">
        <f aca="false">'P&amp;L monthly'!K12/FX_EUR</f>
        <v>0</v>
      </c>
      <c r="L12" s="33" t="n">
        <f aca="false">'P&amp;L monthly'!L12/FX_EUR</f>
        <v>0</v>
      </c>
      <c r="M12" s="33" t="n">
        <f aca="false">'P&amp;L monthly'!M12/FX_EUR</f>
        <v>0</v>
      </c>
      <c r="N12" s="33" t="n">
        <f aca="false">'P&amp;L monthly'!N12/FX_EUR</f>
        <v>0</v>
      </c>
      <c r="O12" s="33" t="n">
        <f aca="false">'P&amp;L monthly'!O12/FX_EUR</f>
        <v>0</v>
      </c>
      <c r="P12" s="33" t="n">
        <f aca="false">'P&amp;L monthly'!P12/FX_EUR</f>
        <v>0</v>
      </c>
      <c r="Q12" s="33" t="n">
        <f aca="false">'P&amp;L monthly'!Q12/FX_EUR</f>
        <v>0</v>
      </c>
      <c r="R12" s="33" t="n">
        <f aca="false">'P&amp;L monthly'!R12/FX_EUR</f>
        <v>0</v>
      </c>
      <c r="S12" s="33" t="n">
        <f aca="false">'P&amp;L monthly'!S12/FX_EUR</f>
        <v>0</v>
      </c>
      <c r="T12" s="33" t="n">
        <f aca="false">'P&amp;L monthly'!T12/FX_EUR</f>
        <v>0</v>
      </c>
      <c r="U12" s="33" t="n">
        <f aca="false">'P&amp;L monthly'!U12/FX_EUR</f>
        <v>0</v>
      </c>
      <c r="V12" s="33" t="n">
        <f aca="false">'P&amp;L monthly'!V12/FX_EUR</f>
        <v>0</v>
      </c>
      <c r="W12" s="33" t="n">
        <f aca="false">'P&amp;L monthly'!W12/FX_EUR</f>
        <v>0</v>
      </c>
      <c r="X12" s="33" t="n">
        <f aca="false">'P&amp;L monthly'!X12/FX_EUR</f>
        <v>0</v>
      </c>
      <c r="Y12" s="33" t="n">
        <f aca="false">'P&amp;L monthly'!Y12/FX_EUR</f>
        <v>0</v>
      </c>
      <c r="Z12" s="33" t="n">
        <f aca="false">'P&amp;L monthly'!Z12/FX_EUR</f>
        <v>0</v>
      </c>
      <c r="AA12" s="33" t="n">
        <f aca="false">'P&amp;L monthly'!AA12/FX_EUR</f>
        <v>0</v>
      </c>
      <c r="AB12" s="33" t="n">
        <f aca="false">'P&amp;L monthly'!AB12/FX_EUR</f>
        <v>0</v>
      </c>
      <c r="AC12" s="33" t="n">
        <f aca="false">'P&amp;L monthly'!AC12/FX_EUR</f>
        <v>0</v>
      </c>
      <c r="AD12" s="33" t="n">
        <f aca="false">'P&amp;L monthly'!AD12/FX_EUR</f>
        <v>0</v>
      </c>
      <c r="AE12" s="33" t="n">
        <f aca="false">'P&amp;L monthly'!AE12/FX_EUR</f>
        <v>0</v>
      </c>
      <c r="AF12" s="33" t="n">
        <f aca="false">'P&amp;L monthly'!AF12/FX_EUR</f>
        <v>0</v>
      </c>
      <c r="AG12" s="33" t="n">
        <f aca="false">'P&amp;L monthly'!AG12/FX_EUR</f>
        <v>0</v>
      </c>
      <c r="AH12" s="33" t="n">
        <f aca="false">'P&amp;L monthly'!AH12/FX_EUR</f>
        <v>0</v>
      </c>
      <c r="AI12" s="33" t="n">
        <f aca="false">'P&amp;L monthly'!AI12/FX_EUR</f>
        <v>0</v>
      </c>
      <c r="AJ12" s="33" t="n">
        <f aca="false">'P&amp;L monthly'!AJ12/FX_EUR</f>
        <v>0</v>
      </c>
      <c r="AK12" s="33" t="n">
        <f aca="false">'P&amp;L monthly'!AK12/FX_EUR</f>
        <v>0</v>
      </c>
      <c r="AL12" s="33" t="n">
        <f aca="false">'P&amp;L monthly'!AL12/FX_EUR</f>
        <v>0</v>
      </c>
      <c r="AM12" s="33" t="n">
        <f aca="false">'P&amp;L monthly'!AM12/FX_EUR</f>
        <v>0</v>
      </c>
      <c r="AN12" s="33" t="n">
        <f aca="false">'P&amp;L monthly'!AN12/FX_EUR</f>
        <v>0</v>
      </c>
      <c r="AO12" s="33" t="n">
        <f aca="false">'P&amp;L monthly'!AO12/FX_EUR</f>
        <v>0</v>
      </c>
      <c r="AP12" s="33" t="n">
        <f aca="false">'P&amp;L monthly'!AP12/FX_EUR</f>
        <v>0</v>
      </c>
      <c r="AQ12" s="33" t="n">
        <f aca="false">'P&amp;L monthly'!AQ12/FX_EUR</f>
        <v>0</v>
      </c>
      <c r="AR12" s="33" t="n">
        <f aca="false">'P&amp;L monthly'!AR12/FX_EUR</f>
        <v>0</v>
      </c>
      <c r="AS12" s="33" t="n">
        <f aca="false">'P&amp;L monthly'!AS12/FX_EUR</f>
        <v>0</v>
      </c>
      <c r="AT12" s="33" t="n">
        <f aca="false">'P&amp;L monthly'!AT12/FX_EUR</f>
        <v>0</v>
      </c>
      <c r="AU12" s="33" t="n">
        <f aca="false">'P&amp;L monthly'!AU12/FX_EUR</f>
        <v>0</v>
      </c>
      <c r="AV12" s="33" t="n">
        <f aca="false">'P&amp;L monthly'!AV12/FX_EUR</f>
        <v>0</v>
      </c>
      <c r="AW12" s="33" t="n">
        <f aca="false">'P&amp;L monthly'!AW12/FX_EUR</f>
        <v>0</v>
      </c>
      <c r="AX12" s="33" t="n">
        <f aca="false">'P&amp;L monthly'!AX12/FX_EUR</f>
        <v>0</v>
      </c>
      <c r="AY12" s="33" t="n">
        <f aca="false">'P&amp;L monthly'!AY12/FX_EUR</f>
        <v>0</v>
      </c>
      <c r="AZ12" s="33" t="n">
        <f aca="false">'P&amp;L monthly'!AZ12/FX_EUR</f>
        <v>0</v>
      </c>
      <c r="BA12" s="33" t="n">
        <f aca="false">'P&amp;L monthly'!BA12/FX_EUR</f>
        <v>0</v>
      </c>
      <c r="BB12" s="33" t="n">
        <f aca="false">'P&amp;L monthly'!BB12/FX_EUR</f>
        <v>0</v>
      </c>
      <c r="BC12" s="33" t="n">
        <f aca="false">'P&amp;L monthly'!BC12/FX_EUR</f>
        <v>0</v>
      </c>
      <c r="BD12" s="33" t="n">
        <f aca="false">'P&amp;L monthly'!BD12/FX_EUR</f>
        <v>0</v>
      </c>
      <c r="BE12" s="33" t="n">
        <f aca="false">'P&amp;L monthly'!BE12/FX_EUR</f>
        <v>0</v>
      </c>
      <c r="BF12" s="33" t="n">
        <f aca="false">'P&amp;L monthly'!BF12/FX_EUR</f>
        <v>0</v>
      </c>
      <c r="BG12" s="33" t="n">
        <f aca="false">'P&amp;L monthly'!BG12/FX_EUR</f>
        <v>0</v>
      </c>
      <c r="BH12" s="33" t="n">
        <f aca="false">'P&amp;L monthly'!BH12/FX_EUR</f>
        <v>0</v>
      </c>
      <c r="BI12" s="33" t="n">
        <f aca="false">'P&amp;L monthly'!BI12/FX_EUR</f>
        <v>0</v>
      </c>
      <c r="BJ12" s="33" t="n">
        <f aca="false">'P&amp;L monthly'!BJ12/FX_EUR</f>
        <v>0</v>
      </c>
      <c r="BK12" s="33" t="n">
        <f aca="false">'P&amp;L monthly'!BK12/FX_EUR</f>
        <v>0</v>
      </c>
      <c r="BL12" s="33" t="n">
        <f aca="false">'P&amp;L monthly'!BL12/FX_EUR</f>
        <v>0</v>
      </c>
    </row>
    <row r="13" customFormat="false" ht="15" hidden="false" customHeight="true" outlineLevel="0" collapsed="false">
      <c r="A13" s="13" t="s">
        <v>1326</v>
      </c>
      <c r="B13" s="15" t="s">
        <v>79</v>
      </c>
      <c r="D13" s="56" t="n">
        <f aca="false">'P&amp;L monthly'!D13/FX_EUR</f>
        <v>24516.1208853551</v>
      </c>
      <c r="E13" s="33" t="n">
        <f aca="false">'P&amp;L monthly'!E13/FX_EUR</f>
        <v>0</v>
      </c>
      <c r="F13" s="33" t="n">
        <f aca="false">'P&amp;L monthly'!F13/FX_EUR</f>
        <v>0</v>
      </c>
      <c r="G13" s="33" t="n">
        <f aca="false">'P&amp;L monthly'!G13/FX_EUR</f>
        <v>0</v>
      </c>
      <c r="H13" s="33" t="n">
        <f aca="false">'P&amp;L monthly'!H13/FX_EUR</f>
        <v>0</v>
      </c>
      <c r="I13" s="33" t="n">
        <f aca="false">'P&amp;L monthly'!I13/FX_EUR</f>
        <v>98.0348813514707</v>
      </c>
      <c r="J13" s="33" t="n">
        <f aca="false">'P&amp;L monthly'!J13/FX_EUR</f>
        <v>98.9861632190322</v>
      </c>
      <c r="K13" s="33" t="n">
        <f aca="false">'P&amp;L monthly'!K13/FX_EUR</f>
        <v>99.9945219986473</v>
      </c>
      <c r="L13" s="33" t="n">
        <f aca="false">'P&amp;L monthly'!L13/FX_EUR</f>
        <v>101.063382305039</v>
      </c>
      <c r="M13" s="33" t="n">
        <f aca="false">'P&amp;L monthly'!M13/FX_EUR</f>
        <v>102.196374229815</v>
      </c>
      <c r="N13" s="33" t="n">
        <f aca="false">'P&amp;L monthly'!N13/FX_EUR</f>
        <v>103.397345670077</v>
      </c>
      <c r="O13" s="33" t="n">
        <f aca="false">'P&amp;L monthly'!O13/FX_EUR</f>
        <v>104.670375396755</v>
      </c>
      <c r="P13" s="33" t="n">
        <f aca="false">'P&amp;L monthly'!P13/FX_EUR</f>
        <v>106.019786907033</v>
      </c>
      <c r="Q13" s="33" t="n">
        <f aca="false">'P&amp;L monthly'!Q13/FX_EUR</f>
        <v>142.066253288636</v>
      </c>
      <c r="R13" s="33" t="n">
        <f aca="false">'P&amp;L monthly'!R13/FX_EUR</f>
        <v>143.582452061585</v>
      </c>
      <c r="S13" s="33" t="n">
        <f aca="false">'P&amp;L monthly'!S13/FX_EUR</f>
        <v>145.189622760911</v>
      </c>
      <c r="T13" s="33" t="n">
        <f aca="false">'P&amp;L monthly'!T13/FX_EUR</f>
        <v>146.893223702197</v>
      </c>
      <c r="U13" s="33" t="n">
        <f aca="false">'P&amp;L monthly'!U13/FX_EUR</f>
        <v>148.699040699959</v>
      </c>
      <c r="V13" s="33" t="n">
        <f aca="false">'P&amp;L monthly'!V13/FX_EUR</f>
        <v>150.613206717587</v>
      </c>
      <c r="W13" s="33" t="n">
        <f aca="false">'P&amp;L monthly'!W13/FX_EUR</f>
        <v>227.687792248343</v>
      </c>
      <c r="X13" s="33" t="n">
        <f aca="false">'P&amp;L monthly'!X13/FX_EUR</f>
        <v>230.552010586421</v>
      </c>
      <c r="Y13" s="33" t="n">
        <f aca="false">'P&amp;L monthly'!Y13/FX_EUR</f>
        <v>249.442779817474</v>
      </c>
      <c r="Z13" s="33" t="n">
        <f aca="false">'P&amp;L monthly'!Z13/FX_EUR</f>
        <v>252.661015542139</v>
      </c>
      <c r="AA13" s="33" t="n">
        <f aca="false">'P&amp;L monthly'!AA13/FX_EUR</f>
        <v>256.072345410284</v>
      </c>
      <c r="AB13" s="33" t="n">
        <f aca="false">'P&amp;L monthly'!AB13/FX_EUR</f>
        <v>259.688355070517</v>
      </c>
      <c r="AC13" s="33" t="n">
        <f aca="false">'P&amp;L monthly'!AC13/FX_EUR</f>
        <v>333.017750634991</v>
      </c>
      <c r="AD13" s="33" t="n">
        <f aca="false">'P&amp;L monthly'!AD13/FX_EUR</f>
        <v>337.08069908923</v>
      </c>
      <c r="AE13" s="33" t="n">
        <f aca="false">'P&amp;L monthly'!AE13/FX_EUR</f>
        <v>357.242122243413</v>
      </c>
      <c r="AF13" s="33" t="n">
        <f aca="false">'P&amp;L monthly'!AF13/FX_EUR</f>
        <v>361.807251126594</v>
      </c>
      <c r="AG13" s="33" t="n">
        <f aca="false">'P&amp;L monthly'!AG13/FX_EUR</f>
        <v>366.646287742767</v>
      </c>
      <c r="AH13" s="33" t="n">
        <f aca="false">'P&amp;L monthly'!AH13/FX_EUR</f>
        <v>371.77566655591</v>
      </c>
      <c r="AI13" s="33" t="n">
        <f aca="false">'P&amp;L monthly'!AI13/FX_EUR</f>
        <v>393.067505890533</v>
      </c>
      <c r="AJ13" s="33" t="n">
        <f aca="false">'P&amp;L monthly'!AJ13/FX_EUR</f>
        <v>398.83087592498</v>
      </c>
      <c r="AK13" s="33" t="n">
        <f aca="false">'P&amp;L monthly'!AK13/FX_EUR</f>
        <v>404.940048161495</v>
      </c>
      <c r="AL13" s="33" t="n">
        <f aca="false">'P&amp;L monthly'!AL13/FX_EUR</f>
        <v>411.4157707322</v>
      </c>
      <c r="AM13" s="33" t="n">
        <f aca="false">'P&amp;L monthly'!AM13/FX_EUR</f>
        <v>434.134734449839</v>
      </c>
      <c r="AN13" s="33" t="n">
        <f aca="false">'P&amp;L monthly'!AN13/FX_EUR</f>
        <v>441.410856330283</v>
      </c>
      <c r="AO13" s="33" t="n">
        <f aca="false">'P&amp;L monthly'!AO13/FX_EUR</f>
        <v>498.008863717684</v>
      </c>
      <c r="AP13" s="33" t="n">
        <f aca="false">'P&amp;L monthly'!AP13/FX_EUR</f>
        <v>522.039012055242</v>
      </c>
      <c r="AQ13" s="33" t="n">
        <f aca="false">'P&amp;L monthly'!AQ13/FX_EUR</f>
        <v>530.704989632802</v>
      </c>
      <c r="AR13" s="33" t="n">
        <f aca="false">'P&amp;L monthly'!AR13/FX_EUR</f>
        <v>539.890925865015</v>
      </c>
      <c r="AS13" s="33" t="n">
        <f aca="false">'P&amp;L monthly'!AS13/FX_EUR</f>
        <v>565.482716063852</v>
      </c>
      <c r="AT13" s="33" t="n">
        <f aca="false">'P&amp;L monthly'!AT13/FX_EUR</f>
        <v>575.804034014366</v>
      </c>
      <c r="AU13" s="33" t="n">
        <f aca="false">'P&amp;L monthly'!AU13/FX_EUR</f>
        <v>586.744631041912</v>
      </c>
      <c r="AV13" s="33" t="n">
        <f aca="false">'P&amp;L monthly'!AV13/FX_EUR</f>
        <v>628.465589697222</v>
      </c>
      <c r="AW13" s="33" t="n">
        <f aca="false">'P&amp;L monthly'!AW13/FX_EUR</f>
        <v>636.22847297029</v>
      </c>
      <c r="AX13" s="33" t="n">
        <f aca="false">'P&amp;L monthly'!AX13/FX_EUR</f>
        <v>655.3289799039</v>
      </c>
      <c r="AY13" s="33" t="n">
        <f aca="false">'P&amp;L monthly'!AY13/FX_EUR</f>
        <v>658.769537593276</v>
      </c>
      <c r="AZ13" s="33" t="n">
        <f aca="false">'P&amp;L monthly'!AZ13/FX_EUR</f>
        <v>662.416528744013</v>
      </c>
      <c r="BA13" s="33" t="n">
        <f aca="false">'P&amp;L monthly'!BA13/FX_EUR</f>
        <v>731.286600313827</v>
      </c>
      <c r="BB13" s="33" t="n">
        <f aca="false">'P&amp;L monthly'!BB13/FX_EUR</f>
        <v>735.384359570795</v>
      </c>
      <c r="BC13" s="33" t="n">
        <f aca="false">'P&amp;L monthly'!BC13/FX_EUR</f>
        <v>755.582682175873</v>
      </c>
      <c r="BD13" s="33" t="n">
        <f aca="false">'P&amp;L monthly'!BD13/FX_EUR</f>
        <v>760.186924477003</v>
      </c>
      <c r="BE13" s="33" t="n">
        <f aca="false">'P&amp;L monthly'!BE13/FX_EUR</f>
        <v>779.336649329622</v>
      </c>
      <c r="BF13" s="33" t="n">
        <f aca="false">'P&amp;L monthly'!BF13/FX_EUR</f>
        <v>800.364673771863</v>
      </c>
      <c r="BG13" s="33" t="n">
        <f aca="false">'P&amp;L monthly'!BG13/FX_EUR</f>
        <v>805.848400020385</v>
      </c>
      <c r="BH13" s="33" t="n">
        <f aca="false">'P&amp;L monthly'!BH13/FX_EUR</f>
        <v>827.51584763651</v>
      </c>
      <c r="BI13" s="33" t="n">
        <f aca="false">'P&amp;L monthly'!BI13/FX_EUR</f>
        <v>847.946590462772</v>
      </c>
      <c r="BJ13" s="33" t="n">
        <f aca="false">'P&amp;L monthly'!BJ13/FX_EUR</f>
        <v>870.332493957073</v>
      </c>
      <c r="BK13" s="33" t="n">
        <f aca="false">'P&amp;L monthly'!BK13/FX_EUR</f>
        <v>873.858093340468</v>
      </c>
      <c r="BL13" s="33" t="n">
        <f aca="false">'P&amp;L monthly'!BL13/FX_EUR</f>
        <v>889.712791133159</v>
      </c>
    </row>
    <row r="14" customFormat="false" ht="15" hidden="false" customHeight="true" outlineLevel="0" collapsed="false">
      <c r="A14" s="13" t="s">
        <v>990</v>
      </c>
      <c r="B14" s="15" t="s">
        <v>79</v>
      </c>
      <c r="D14" s="56" t="n">
        <f aca="false">'P&amp;L monthly'!D14/FX_EUR</f>
        <v>207579.129986779</v>
      </c>
      <c r="E14" s="33" t="n">
        <f aca="false">'P&amp;L monthly'!E14/FX_EUR</f>
        <v>0</v>
      </c>
      <c r="F14" s="33" t="n">
        <f aca="false">'P&amp;L monthly'!F14/FX_EUR</f>
        <v>0</v>
      </c>
      <c r="G14" s="33" t="n">
        <f aca="false">'P&amp;L monthly'!G14/FX_EUR</f>
        <v>0</v>
      </c>
      <c r="H14" s="33" t="n">
        <f aca="false">'P&amp;L monthly'!H14/FX_EUR</f>
        <v>0</v>
      </c>
      <c r="I14" s="33" t="n">
        <f aca="false">'P&amp;L monthly'!I14/FX_EUR</f>
        <v>50.9027268555713</v>
      </c>
      <c r="J14" s="33" t="n">
        <f aca="false">'P&amp;L monthly'!J14/FX_EUR</f>
        <v>101.673284986668</v>
      </c>
      <c r="K14" s="33" t="n">
        <f aca="false">'P&amp;L monthly'!K14/FX_EUR</f>
        <v>152.344130335525</v>
      </c>
      <c r="L14" s="33" t="n">
        <f aca="false">'P&amp;L monthly'!L14/FX_EUR</f>
        <v>202.949076686877</v>
      </c>
      <c r="M14" s="33" t="n">
        <f aca="false">'P&amp;L monthly'!M14/FX_EUR</f>
        <v>253.523386752826</v>
      </c>
      <c r="N14" s="33" t="n">
        <f aca="false">'P&amp;L monthly'!N14/FX_EUR</f>
        <v>304.103868553571</v>
      </c>
      <c r="O14" s="33" t="n">
        <f aca="false">'P&amp;L monthly'!O14/FX_EUR</f>
        <v>354.728977414893</v>
      </c>
      <c r="P14" s="33" t="n">
        <f aca="false">'P&amp;L monthly'!P14/FX_EUR</f>
        <v>405.438923922447</v>
      </c>
      <c r="Q14" s="33" t="n">
        <f aca="false">'P&amp;L monthly'!Q14/FX_EUR</f>
        <v>474.249527325596</v>
      </c>
      <c r="R14" s="33" t="n">
        <f aca="false">'P&amp;L monthly'!R14/FX_EUR</f>
        <v>543.010042119975</v>
      </c>
      <c r="S14" s="33" t="n">
        <f aca="false">'P&amp;L monthly'!S14/FX_EUR</f>
        <v>611.769798412761</v>
      </c>
      <c r="T14" s="33" t="n">
        <f aca="false">'P&amp;L monthly'!T14/FX_EUR</f>
        <v>680.58033031571</v>
      </c>
      <c r="U14" s="33" t="n">
        <f aca="false">'P&amp;L monthly'!U14/FX_EUR</f>
        <v>749.495520411998</v>
      </c>
      <c r="V14" s="33" t="n">
        <f aca="false">'P&amp;L monthly'!V14/FX_EUR</f>
        <v>818.571752677054</v>
      </c>
      <c r="W14" s="33" t="n">
        <f aca="false">'P&amp;L monthly'!W14/FX_EUR</f>
        <v>926.834043170467</v>
      </c>
      <c r="X14" s="33" t="n">
        <f aca="false">'P&amp;L monthly'!X14/FX_EUR</f>
        <v>1035.26947470687</v>
      </c>
      <c r="Y14" s="33" t="n">
        <f aca="false">'P&amp;L monthly'!Y14/FX_EUR</f>
        <v>1152.1996721085</v>
      </c>
      <c r="Z14" s="33" t="n">
        <f aca="false">'P&amp;L monthly'!Z14/FX_EUR</f>
        <v>1269.38473418723</v>
      </c>
      <c r="AA14" s="33" t="n">
        <f aca="false">'P&amp;L monthly'!AA14/FX_EUR</f>
        <v>1386.92419824728</v>
      </c>
      <c r="AB14" s="33" t="n">
        <f aca="false">'P&amp;L monthly'!AB14/FX_EUR</f>
        <v>1504.92236278878</v>
      </c>
      <c r="AC14" s="33" t="n">
        <f aca="false">'P&amp;L monthly'!AC14/FX_EUR</f>
        <v>1659.57327508189</v>
      </c>
      <c r="AD14" s="33" t="n">
        <f aca="false">'P&amp;L monthly'!AD14/FX_EUR</f>
        <v>1814.46316559805</v>
      </c>
      <c r="AE14" s="33" t="n">
        <f aca="false">'P&amp;L monthly'!AE14/FX_EUR</f>
        <v>1977.95107328594</v>
      </c>
      <c r="AF14" s="33" t="n">
        <f aca="false">'P&amp;L monthly'!AF14/FX_EUR</f>
        <v>2141.83628005095</v>
      </c>
      <c r="AG14" s="33" t="n">
        <f aca="false">'P&amp;L monthly'!AG14/FX_EUR</f>
        <v>2306.25938900361</v>
      </c>
      <c r="AH14" s="33" t="n">
        <f aca="false">'P&amp;L monthly'!AH14/FX_EUR</f>
        <v>2471.36776760151</v>
      </c>
      <c r="AI14" s="33" t="n">
        <f aca="false">'P&amp;L monthly'!AI14/FX_EUR</f>
        <v>2645.54822730921</v>
      </c>
      <c r="AJ14" s="33" t="n">
        <f aca="false">'P&amp;L monthly'!AJ14/FX_EUR</f>
        <v>2820.62948439312</v>
      </c>
      <c r="AK14" s="33" t="n">
        <f aca="false">'P&amp;L monthly'!AK14/FX_EUR</f>
        <v>2996.78333783209</v>
      </c>
      <c r="AL14" s="33" t="n">
        <f aca="false">'P&amp;L monthly'!AL14/FX_EUR</f>
        <v>3174.19021810367</v>
      </c>
      <c r="AM14" s="33" t="n">
        <f aca="false">'P&amp;L monthly'!AM14/FX_EUR</f>
        <v>3361.27197882909</v>
      </c>
      <c r="AN14" s="33" t="n">
        <f aca="false">'P&amp;L monthly'!AN14/FX_EUR</f>
        <v>3549.89447627458</v>
      </c>
      <c r="AO14" s="33" t="n">
        <f aca="false">'P&amp;L monthly'!AO14/FX_EUR</f>
        <v>3765.65163446302</v>
      </c>
      <c r="AP14" s="33" t="n">
        <f aca="false">'P&amp;L monthly'!AP14/FX_EUR</f>
        <v>3991.30288219883</v>
      </c>
      <c r="AQ14" s="33" t="n">
        <f aca="false">'P&amp;L monthly'!AQ14/FX_EUR</f>
        <v>4218.75297741768</v>
      </c>
      <c r="AR14" s="33" t="n">
        <f aca="false">'P&amp;L monthly'!AR14/FX_EUR</f>
        <v>4448.25395080482</v>
      </c>
      <c r="AS14" s="33" t="n">
        <f aca="false">'P&amp;L monthly'!AS14/FX_EUR</f>
        <v>4688.30315877602</v>
      </c>
      <c r="AT14" s="33" t="n">
        <f aca="false">'P&amp;L monthly'!AT14/FX_EUR</f>
        <v>4930.84610336108</v>
      </c>
      <c r="AU14" s="33" t="n">
        <f aca="false">'P&amp;L monthly'!AU14/FX_EUR</f>
        <v>5176.17799064321</v>
      </c>
      <c r="AV14" s="33" t="n">
        <f aca="false">'P&amp;L monthly'!AV14/FX_EUR</f>
        <v>5440.25095197089</v>
      </c>
      <c r="AW14" s="33" t="n">
        <f aca="false">'P&amp;L monthly'!AW14/FX_EUR</f>
        <v>5705.20672029567</v>
      </c>
      <c r="AX14" s="33" t="n">
        <f aca="false">'P&amp;L monthly'!AX14/FX_EUR</f>
        <v>5976.92598144086</v>
      </c>
      <c r="AY14" s="33" t="n">
        <f aca="false">'P&amp;L monthly'!AY14/FX_EUR</f>
        <v>6247.19906920346</v>
      </c>
      <c r="AZ14" s="33" t="n">
        <f aca="false">'P&amp;L monthly'!AZ14/FX_EUR</f>
        <v>6516.15570007878</v>
      </c>
      <c r="BA14" s="33" t="n">
        <f aca="false">'P&amp;L monthly'!BA14/FX_EUR</f>
        <v>6817.68253446572</v>
      </c>
      <c r="BB14" s="33" t="n">
        <f aca="false">'P&amp;L monthly'!BB14/FX_EUR</f>
        <v>7117.75171954383</v>
      </c>
      <c r="BC14" s="33" t="n">
        <f aca="false">'P&amp;L monthly'!BC14/FX_EUR</f>
        <v>7424.74632751983</v>
      </c>
      <c r="BD14" s="33" t="n">
        <f aca="false">'P&amp;L monthly'!BD14/FX_EUR</f>
        <v>7730.48937284438</v>
      </c>
      <c r="BE14" s="33" t="n">
        <f aca="false">'P&amp;L monthly'!BE14/FX_EUR</f>
        <v>8042.55392193943</v>
      </c>
      <c r="BF14" s="33" t="n">
        <f aca="false">'P&amp;L monthly'!BF14/FX_EUR</f>
        <v>8361.8425949132</v>
      </c>
      <c r="BG14" s="33" t="n">
        <f aca="false">'P&amp;L monthly'!BG14/FX_EUR</f>
        <v>8680.2006336767</v>
      </c>
      <c r="BH14" s="33" t="n">
        <f aca="false">'P&amp;L monthly'!BH14/FX_EUR</f>
        <v>9006.04784067437</v>
      </c>
      <c r="BI14" s="33" t="n">
        <f aca="false">'P&amp;L monthly'!BI14/FX_EUR</f>
        <v>9338.65513384988</v>
      </c>
      <c r="BJ14" s="33" t="n">
        <f aca="false">'P&amp;L monthly'!BJ14/FX_EUR</f>
        <v>9678.9598130401</v>
      </c>
      <c r="BK14" s="33" t="n">
        <f aca="false">'P&amp;L monthly'!BK14/FX_EUR</f>
        <v>10017.0797003773</v>
      </c>
      <c r="BL14" s="33" t="n">
        <f aca="false">'P&amp;L monthly'!BL14/FX_EUR</f>
        <v>10359.4487679359</v>
      </c>
    </row>
    <row r="15" customFormat="false" ht="15" hidden="false" customHeight="true" outlineLevel="0" collapsed="false">
      <c r="A15" s="13" t="s">
        <v>1258</v>
      </c>
      <c r="B15" s="15" t="s">
        <v>79</v>
      </c>
      <c r="D15" s="56" t="n">
        <f aca="false">'P&amp;L monthly'!D15/FX_EUR</f>
        <v>1458626.35979948</v>
      </c>
      <c r="E15" s="33" t="n">
        <f aca="false">'P&amp;L monthly'!E15/FX_EUR</f>
        <v>0</v>
      </c>
      <c r="F15" s="33" t="n">
        <f aca="false">'P&amp;L monthly'!F15/FX_EUR</f>
        <v>0</v>
      </c>
      <c r="G15" s="33" t="n">
        <f aca="false">'P&amp;L monthly'!G15/FX_EUR</f>
        <v>0</v>
      </c>
      <c r="H15" s="33" t="n">
        <f aca="false">'P&amp;L monthly'!H15/FX_EUR</f>
        <v>0</v>
      </c>
      <c r="I15" s="33" t="n">
        <f aca="false">'P&amp;L monthly'!I15/FX_EUR</f>
        <v>0</v>
      </c>
      <c r="J15" s="33" t="n">
        <f aca="false">'P&amp;L monthly'!J15/FX_EUR</f>
        <v>0</v>
      </c>
      <c r="K15" s="33" t="n">
        <f aca="false">'P&amp;L monthly'!K15/FX_EUR</f>
        <v>0</v>
      </c>
      <c r="L15" s="33" t="n">
        <f aca="false">'P&amp;L monthly'!L15/FX_EUR</f>
        <v>0</v>
      </c>
      <c r="M15" s="33" t="n">
        <f aca="false">'P&amp;L monthly'!M15/FX_EUR</f>
        <v>0</v>
      </c>
      <c r="N15" s="33" t="n">
        <f aca="false">'P&amp;L monthly'!N15/FX_EUR</f>
        <v>0</v>
      </c>
      <c r="O15" s="33" t="n">
        <f aca="false">'P&amp;L monthly'!O15/FX_EUR</f>
        <v>0</v>
      </c>
      <c r="P15" s="33" t="n">
        <f aca="false">'P&amp;L monthly'!P15/FX_EUR</f>
        <v>0</v>
      </c>
      <c r="Q15" s="33" t="n">
        <f aca="false">'P&amp;L monthly'!Q15/FX_EUR</f>
        <v>0</v>
      </c>
      <c r="R15" s="33" t="n">
        <f aca="false">'P&amp;L monthly'!R15/FX_EUR</f>
        <v>0</v>
      </c>
      <c r="S15" s="33" t="n">
        <f aca="false">'P&amp;L monthly'!S15/FX_EUR</f>
        <v>0</v>
      </c>
      <c r="T15" s="33" t="n">
        <f aca="false">'P&amp;L monthly'!T15/FX_EUR</f>
        <v>0</v>
      </c>
      <c r="U15" s="33" t="n">
        <f aca="false">'P&amp;L monthly'!U15/FX_EUR</f>
        <v>0</v>
      </c>
      <c r="V15" s="33" t="n">
        <f aca="false">'P&amp;L monthly'!V15/FX_EUR</f>
        <v>506.18628586677</v>
      </c>
      <c r="W15" s="33" t="n">
        <f aca="false">'P&amp;L monthly'!W15/FX_EUR</f>
        <v>1146.33128998482</v>
      </c>
      <c r="X15" s="33" t="n">
        <f aca="false">'P&amp;L monthly'!X15/FX_EUR</f>
        <v>1920.82430970446</v>
      </c>
      <c r="Y15" s="33" t="n">
        <f aca="false">'P&amp;L monthly'!Y15/FX_EUR</f>
        <v>2850.59225991948</v>
      </c>
      <c r="Z15" s="33" t="n">
        <f aca="false">'P&amp;L monthly'!Z15/FX_EUR</f>
        <v>3926.01429579283</v>
      </c>
      <c r="AA15" s="33" t="n">
        <f aca="false">'P&amp;L monthly'!AA15/FX_EUR</f>
        <v>5148.00133177951</v>
      </c>
      <c r="AB15" s="33" t="n">
        <f aca="false">'P&amp;L monthly'!AB15/FX_EUR</f>
        <v>6517.72933444501</v>
      </c>
      <c r="AC15" s="33" t="n">
        <f aca="false">'P&amp;L monthly'!AC15/FX_EUR</f>
        <v>8214.78035660167</v>
      </c>
      <c r="AD15" s="33" t="n">
        <f aca="false">'P&amp;L monthly'!AD15/FX_EUR</f>
        <v>10104.9302387999</v>
      </c>
      <c r="AE15" s="33" t="n">
        <f aca="false">'P&amp;L monthly'!AE15/FX_EUR</f>
        <v>12240.2899514609</v>
      </c>
      <c r="AF15" s="33" t="n">
        <f aca="false">'P&amp;L monthly'!AF15/FX_EUR</f>
        <v>14581.2241998533</v>
      </c>
      <c r="AG15" s="33" t="n">
        <f aca="false">'P&amp;L monthly'!AG15/FX_EUR</f>
        <v>17129.6021981961</v>
      </c>
      <c r="AH15" s="33" t="n">
        <f aca="false">'P&amp;L monthly'!AH15/FX_EUR</f>
        <v>18357.8706096721</v>
      </c>
      <c r="AI15" s="33" t="n">
        <f aca="false">'P&amp;L monthly'!AI15/FX_EUR</f>
        <v>19653.6904681688</v>
      </c>
      <c r="AJ15" s="33" t="n">
        <f aca="false">'P&amp;L monthly'!AJ15/FX_EUR</f>
        <v>20956.577662373</v>
      </c>
      <c r="AK15" s="33" t="n">
        <f aca="false">'P&amp;L monthly'!AK15/FX_EUR</f>
        <v>22267.8001514599</v>
      </c>
      <c r="AL15" s="33" t="n">
        <f aca="false">'P&amp;L monthly'!AL15/FX_EUR</f>
        <v>23588.6903716399</v>
      </c>
      <c r="AM15" s="33" t="n">
        <f aca="false">'P&amp;L monthly'!AM15/FX_EUR</f>
        <v>24981.6044996968</v>
      </c>
      <c r="AN15" s="33" t="n">
        <f aca="false">'P&amp;L monthly'!AN15/FX_EUR</f>
        <v>26386.3350119979</v>
      </c>
      <c r="AO15" s="33" t="n">
        <f aca="false">'P&amp;L monthly'!AO15/FX_EUR</f>
        <v>27992.38824672</v>
      </c>
      <c r="AP15" s="33" t="n">
        <f aca="false">'P&amp;L monthly'!AP15/FX_EUR</f>
        <v>29672.178519336</v>
      </c>
      <c r="AQ15" s="33" t="n">
        <f aca="false">'P&amp;L monthly'!AQ15/FX_EUR</f>
        <v>31365.7854612595</v>
      </c>
      <c r="AR15" s="33" t="n">
        <f aca="false">'P&amp;L monthly'!AR15/FX_EUR</f>
        <v>33075.0720065017</v>
      </c>
      <c r="AS15" s="33" t="n">
        <f aca="false">'P&amp;L monthly'!AS15/FX_EUR</f>
        <v>34862.9539266974</v>
      </c>
      <c r="AT15" s="33" t="n">
        <f aca="false">'P&amp;L monthly'!AT15/FX_EUR</f>
        <v>36669.8141778274</v>
      </c>
      <c r="AU15" s="33" t="n">
        <f aca="false">'P&amp;L monthly'!AU15/FX_EUR</f>
        <v>38497.837110304</v>
      </c>
      <c r="AV15" s="33" t="n">
        <f aca="false">'P&amp;L monthly'!AV15/FX_EUR</f>
        <v>40465.1387840258</v>
      </c>
      <c r="AW15" s="33" t="n">
        <f aca="false">'P&amp;L monthly'!AW15/FX_EUR</f>
        <v>42439.5339120586</v>
      </c>
      <c r="AX15" s="33" t="n">
        <f aca="false">'P&amp;L monthly'!AX15/FX_EUR</f>
        <v>44464.5588636233</v>
      </c>
      <c r="AY15" s="33" t="n">
        <f aca="false">'P&amp;L monthly'!AY15/FX_EUR</f>
        <v>46479.4358027061</v>
      </c>
      <c r="AZ15" s="33" t="n">
        <f aca="false">'P&amp;L monthly'!AZ15/FX_EUR</f>
        <v>48485.111618995</v>
      </c>
      <c r="BA15" s="33" t="n">
        <f aca="false">'P&amp;L monthly'!BA15/FX_EUR</f>
        <v>50732.4852236957</v>
      </c>
      <c r="BB15" s="33" t="n">
        <f aca="false">'P&amp;L monthly'!BB15/FX_EUR</f>
        <v>52969.683923267</v>
      </c>
      <c r="BC15" s="33" t="n">
        <f aca="false">'P&amp;L monthly'!BC15/FX_EUR</f>
        <v>55258.7651108026</v>
      </c>
      <c r="BD15" s="33" t="n">
        <f aca="false">'P&amp;L monthly'!BD15/FX_EUR</f>
        <v>57539.1925005444</v>
      </c>
      <c r="BE15" s="33" t="n">
        <f aca="false">'P&amp;L monthly'!BE15/FX_EUR</f>
        <v>59867.0265228024</v>
      </c>
      <c r="BF15" s="33" t="n">
        <f aca="false">'P&amp;L monthly'!BF15/FX_EUR</f>
        <v>62248.9586674257</v>
      </c>
      <c r="BG15" s="33" t="n">
        <f aca="false">'P&amp;L monthly'!BG15/FX_EUR</f>
        <v>64624.6180307416</v>
      </c>
      <c r="BH15" s="33" t="n">
        <f aca="false">'P&amp;L monthly'!BH15/FX_EUR</f>
        <v>67056.3355032584</v>
      </c>
      <c r="BI15" s="33" t="n">
        <f aca="false">'P&amp;L monthly'!BI15/FX_EUR</f>
        <v>69538.7239967684</v>
      </c>
      <c r="BJ15" s="33" t="n">
        <f aca="false">'P&amp;L monthly'!BJ15/FX_EUR</f>
        <v>72078.7327692794</v>
      </c>
      <c r="BK15" s="33" t="n">
        <f aca="false">'P&amp;L monthly'!BK15/FX_EUR</f>
        <v>74603.2014003658</v>
      </c>
      <c r="BL15" s="33" t="n">
        <f aca="false">'P&amp;L monthly'!BL15/FX_EUR</f>
        <v>77159.7528930621</v>
      </c>
    </row>
    <row r="16" customFormat="false" ht="15" hidden="false" customHeight="true" outlineLevel="0" collapsed="false">
      <c r="A16" s="13" t="s">
        <v>994</v>
      </c>
      <c r="B16" s="15" t="s">
        <v>79</v>
      </c>
      <c r="D16" s="56" t="n">
        <f aca="false">'P&amp;L monthly'!D16/FX_EUR</f>
        <v>392412.727288428</v>
      </c>
      <c r="E16" s="33" t="n">
        <f aca="false">'P&amp;L monthly'!E16/FX_EUR</f>
        <v>0</v>
      </c>
      <c r="F16" s="33" t="n">
        <f aca="false">'P&amp;L monthly'!F16/FX_EUR</f>
        <v>0</v>
      </c>
      <c r="G16" s="33" t="n">
        <f aca="false">'P&amp;L monthly'!G16/FX_EUR</f>
        <v>0</v>
      </c>
      <c r="H16" s="33" t="n">
        <f aca="false">'P&amp;L monthly'!H16/FX_EUR</f>
        <v>0</v>
      </c>
      <c r="I16" s="33" t="n">
        <f aca="false">'P&amp;L monthly'!I16/FX_EUR</f>
        <v>94.2643089917988</v>
      </c>
      <c r="J16" s="33" t="n">
        <f aca="false">'P&amp;L monthly'!J16/FX_EUR</f>
        <v>188.453536842608</v>
      </c>
      <c r="K16" s="33" t="n">
        <f aca="false">'P&amp;L monthly'!K16/FX_EUR</f>
        <v>282.623919136468</v>
      </c>
      <c r="L16" s="33" t="n">
        <f aca="false">'P&amp;L monthly'!L16/FX_EUR</f>
        <v>376.834388059005</v>
      </c>
      <c r="M16" s="33" t="n">
        <f aca="false">'P&amp;L monthly'!M16/FX_EUR</f>
        <v>471.146742049782</v>
      </c>
      <c r="N16" s="33" t="n">
        <f aca="false">'P&amp;L monthly'!N16/FX_EUR</f>
        <v>565.625825540175</v>
      </c>
      <c r="O16" s="33" t="n">
        <f aca="false">'P&amp;L monthly'!O16/FX_EUR</f>
        <v>660.339719383062</v>
      </c>
      <c r="P16" s="33" t="n">
        <f aca="false">'P&amp;L monthly'!P16/FX_EUR</f>
        <v>755.359942616936</v>
      </c>
      <c r="Q16" s="33" t="n">
        <f aca="false">'P&amp;L monthly'!Q16/FX_EUR</f>
        <v>884.046368342458</v>
      </c>
      <c r="R16" s="33" t="n">
        <f aca="false">'P&amp;L monthly'!R16/FX_EUR</f>
        <v>1012.8438545773</v>
      </c>
      <c r="S16" s="33" t="n">
        <f aca="false">'P&amp;L monthly'!S16/FX_EUR</f>
        <v>1141.83943865764</v>
      </c>
      <c r="T16" s="33" t="n">
        <f aca="false">'P&amp;L monthly'!T16/FX_EUR</f>
        <v>1271.12448613492</v>
      </c>
      <c r="U16" s="33" t="n">
        <f aca="false">'P&amp;L monthly'!U16/FX_EUR</f>
        <v>1400.79496081426</v>
      </c>
      <c r="V16" s="33" t="n">
        <f aca="false">'P&amp;L monthly'!V16/FX_EUR</f>
        <v>1530.95171087201</v>
      </c>
      <c r="W16" s="33" t="n">
        <f aca="false">'P&amp;L monthly'!W16/FX_EUR</f>
        <v>1733.85997351119</v>
      </c>
      <c r="X16" s="33" t="n">
        <f aca="false">'P&amp;L monthly'!X16/FX_EUR</f>
        <v>1937.40044067897</v>
      </c>
      <c r="Y16" s="33" t="n">
        <f aca="false">'P&amp;L monthly'!Y16/FX_EUR</f>
        <v>2156.97775425743</v>
      </c>
      <c r="Z16" s="33" t="n">
        <f aca="false">'P&amp;L monthly'!Z16/FX_EUR</f>
        <v>2377.35491155467</v>
      </c>
      <c r="AA16" s="33" t="n">
        <f aca="false">'P&amp;L monthly'!AA16/FX_EUR</f>
        <v>2598.71039511439</v>
      </c>
      <c r="AB16" s="33" t="n">
        <f aca="false">'P&amp;L monthly'!AB16/FX_EUR</f>
        <v>2821.23194673152</v>
      </c>
      <c r="AC16" s="33" t="n">
        <f aca="false">'P&amp;L monthly'!AC16/FX_EUR</f>
        <v>3111.94062565681</v>
      </c>
      <c r="AD16" s="33" t="n">
        <f aca="false">'P&amp;L monthly'!AD16/FX_EUR</f>
        <v>3403.51931078289</v>
      </c>
      <c r="AE16" s="33" t="n">
        <f aca="false">'P&amp;L monthly'!AE16/FX_EUR</f>
        <v>3711.43976411465</v>
      </c>
      <c r="AF16" s="33" t="n">
        <f aca="false">'P&amp;L monthly'!AF16/FX_EUR</f>
        <v>4020.53554483332</v>
      </c>
      <c r="AG16" s="33" t="n">
        <f aca="false">'P&amp;L monthly'!AG16/FX_EUR</f>
        <v>4331.05935236538</v>
      </c>
      <c r="AH16" s="33" t="n">
        <f aca="false">'P&amp;L monthly'!AH16/FX_EUR</f>
        <v>4643.27702637284</v>
      </c>
      <c r="AI16" s="33" t="n">
        <f aca="false">'P&amp;L monthly'!AI16/FX_EUR</f>
        <v>4972.71326024635</v>
      </c>
      <c r="AJ16" s="33" t="n">
        <f aca="false">'P&amp;L monthly'!AJ16/FX_EUR</f>
        <v>5304.25768466387</v>
      </c>
      <c r="AK16" s="33" t="n">
        <f aca="false">'P&amp;L monthly'!AK16/FX_EUR</f>
        <v>5638.22239945354</v>
      </c>
      <c r="AL16" s="33" t="n">
        <f aca="false">'P&amp;L monthly'!AL16/FX_EUR</f>
        <v>5974.93617370125</v>
      </c>
      <c r="AM16" s="33" t="n">
        <f aca="false">'P&amp;L monthly'!AM16/FX_EUR</f>
        <v>6329.99037136367</v>
      </c>
      <c r="AN16" s="33" t="n">
        <f aca="false">'P&amp;L monthly'!AN16/FX_EUR</f>
        <v>6688.34525966975</v>
      </c>
      <c r="AO16" s="33" t="n">
        <f aca="false">'P&amp;L monthly'!AO16/FX_EUR</f>
        <v>7097.39289296098</v>
      </c>
      <c r="AP16" s="33" t="n">
        <f aca="false">'P&amp;L monthly'!AP16/FX_EUR</f>
        <v>7525.28757250953</v>
      </c>
      <c r="AQ16" s="33" t="n">
        <f aca="false">'P&amp;L monthly'!AQ16/FX_EUR</f>
        <v>7957.06027422192</v>
      </c>
      <c r="AR16" s="33" t="n">
        <f aca="false">'P&amp;L monthly'!AR16/FX_EUR</f>
        <v>8393.17244314566</v>
      </c>
      <c r="AS16" s="33" t="n">
        <f aca="false">'P&amp;L monthly'!AS16/FX_EUR</f>
        <v>8849.35558082343</v>
      </c>
      <c r="AT16" s="33" t="n">
        <f aca="false">'P&amp;L monthly'!AT16/FX_EUR</f>
        <v>9310.71800713219</v>
      </c>
      <c r="AU16" s="33" t="n">
        <f aca="false">'P&amp;L monthly'!AU16/FX_EUR</f>
        <v>9777.80311105087</v>
      </c>
      <c r="AV16" s="33" t="n">
        <f aca="false">'P&amp;L monthly'!AV16/FX_EUR</f>
        <v>10280.1496260109</v>
      </c>
      <c r="AW16" s="33" t="n">
        <f aca="false">'P&amp;L monthly'!AW16/FX_EUR</f>
        <v>10784.7376439139</v>
      </c>
      <c r="AX16" s="33" t="n">
        <f aca="false">'P&amp;L monthly'!AX16/FX_EUR</f>
        <v>11302.4477118803</v>
      </c>
      <c r="AY16" s="33" t="n">
        <f aca="false">'P&amp;L monthly'!AY16/FX_EUR</f>
        <v>11818.0869160625</v>
      </c>
      <c r="AZ16" s="33" t="n">
        <f aca="false">'P&amp;L monthly'!AZ16/FX_EUR</f>
        <v>12331.8780603015</v>
      </c>
      <c r="BA16" s="33" t="n">
        <f aca="false">'P&amp;L monthly'!BA16/FX_EUR</f>
        <v>12906.557578885</v>
      </c>
      <c r="BB16" s="33" t="n">
        <f aca="false">'P&amp;L monthly'!BB16/FX_EUR</f>
        <v>13479.2075684902</v>
      </c>
      <c r="BC16" s="33" t="n">
        <f aca="false">'P&amp;L monthly'!BC16/FX_EUR</f>
        <v>14065.3334858582</v>
      </c>
      <c r="BD16" s="33" t="n">
        <f aca="false">'P&amp;L monthly'!BD16/FX_EUR</f>
        <v>14649.802322421</v>
      </c>
      <c r="BE16" s="33" t="n">
        <f aca="false">'P&amp;L monthly'!BE16/FX_EUR</f>
        <v>15246.6203693875</v>
      </c>
      <c r="BF16" s="33" t="n">
        <f aca="false">'P&amp;L monthly'!BF16/FX_EUR</f>
        <v>15857.466831265</v>
      </c>
      <c r="BG16" s="33" t="n">
        <f aca="false">'P&amp;L monthly'!BG16/FX_EUR</f>
        <v>16467.2508304082</v>
      </c>
      <c r="BH16" s="33" t="n">
        <f aca="false">'P&amp;L monthly'!BH16/FX_EUR</f>
        <v>17091.5477114918</v>
      </c>
      <c r="BI16" s="33" t="n">
        <f aca="false">'P&amp;L monthly'!BI16/FX_EUR</f>
        <v>17729.0188342065</v>
      </c>
      <c r="BJ16" s="33" t="n">
        <f aca="false">'P&amp;L monthly'!BJ16/FX_EUR</f>
        <v>18381.4087750456</v>
      </c>
      <c r="BK16" s="33" t="n">
        <f aca="false">'P&amp;L monthly'!BK16/FX_EUR</f>
        <v>19030.4289735484</v>
      </c>
      <c r="BL16" s="33" t="n">
        <f aca="false">'P&amp;L monthly'!BL16/FX_EUR</f>
        <v>19687.9727703156</v>
      </c>
    </row>
    <row r="17" customFormat="false" ht="15" hidden="false" customHeight="true" outlineLevel="0" collapsed="false">
      <c r="A17" s="13" t="s">
        <v>1259</v>
      </c>
      <c r="B17" s="15" t="s">
        <v>79</v>
      </c>
      <c r="D17" s="56" t="n">
        <f aca="false">'P&amp;L monthly'!D17/FX_EUR</f>
        <v>0</v>
      </c>
      <c r="E17" s="33" t="n">
        <f aca="false">'P&amp;L monthly'!E17/FX_EUR</f>
        <v>0</v>
      </c>
      <c r="F17" s="33" t="n">
        <f aca="false">'P&amp;L monthly'!F17/FX_EUR</f>
        <v>0</v>
      </c>
      <c r="G17" s="33" t="n">
        <f aca="false">'P&amp;L monthly'!G17/FX_EUR</f>
        <v>0</v>
      </c>
      <c r="H17" s="33" t="n">
        <f aca="false">'P&amp;L monthly'!H17/FX_EUR</f>
        <v>0</v>
      </c>
      <c r="I17" s="33" t="n">
        <f aca="false">'P&amp;L monthly'!I17/FX_EUR</f>
        <v>0</v>
      </c>
      <c r="J17" s="33" t="n">
        <f aca="false">'P&amp;L monthly'!J17/FX_EUR</f>
        <v>0</v>
      </c>
      <c r="K17" s="33" t="n">
        <f aca="false">'P&amp;L monthly'!K17/FX_EUR</f>
        <v>0</v>
      </c>
      <c r="L17" s="33" t="n">
        <f aca="false">'P&amp;L monthly'!L17/FX_EUR</f>
        <v>0</v>
      </c>
      <c r="M17" s="33" t="n">
        <f aca="false">'P&amp;L monthly'!M17/FX_EUR</f>
        <v>0</v>
      </c>
      <c r="N17" s="33" t="n">
        <f aca="false">'P&amp;L monthly'!N17/FX_EUR</f>
        <v>0</v>
      </c>
      <c r="O17" s="33" t="n">
        <f aca="false">'P&amp;L monthly'!O17/FX_EUR</f>
        <v>0</v>
      </c>
      <c r="P17" s="33" t="n">
        <f aca="false">'P&amp;L monthly'!P17/FX_EUR</f>
        <v>0</v>
      </c>
      <c r="Q17" s="33" t="n">
        <f aca="false">'P&amp;L monthly'!Q17/FX_EUR</f>
        <v>0</v>
      </c>
      <c r="R17" s="33" t="n">
        <f aca="false">'P&amp;L monthly'!R17/FX_EUR</f>
        <v>0</v>
      </c>
      <c r="S17" s="33" t="n">
        <f aca="false">'P&amp;L monthly'!S17/FX_EUR</f>
        <v>0</v>
      </c>
      <c r="T17" s="33" t="n">
        <f aca="false">'P&amp;L monthly'!T17/FX_EUR</f>
        <v>0</v>
      </c>
      <c r="U17" s="33" t="n">
        <f aca="false">'P&amp;L monthly'!U17/FX_EUR</f>
        <v>0</v>
      </c>
      <c r="V17" s="33" t="n">
        <f aca="false">'P&amp;L monthly'!V17/FX_EUR</f>
        <v>0</v>
      </c>
      <c r="W17" s="33" t="n">
        <f aca="false">'P&amp;L monthly'!W17/FX_EUR</f>
        <v>0</v>
      </c>
      <c r="X17" s="33" t="n">
        <f aca="false">'P&amp;L monthly'!X17/FX_EUR</f>
        <v>0</v>
      </c>
      <c r="Y17" s="33" t="n">
        <f aca="false">'P&amp;L monthly'!Y17/FX_EUR</f>
        <v>0</v>
      </c>
      <c r="Z17" s="33" t="n">
        <f aca="false">'P&amp;L monthly'!Z17/FX_EUR</f>
        <v>0</v>
      </c>
      <c r="AA17" s="33" t="n">
        <f aca="false">'P&amp;L monthly'!AA17/FX_EUR</f>
        <v>0</v>
      </c>
      <c r="AB17" s="33" t="n">
        <f aca="false">'P&amp;L monthly'!AB17/FX_EUR</f>
        <v>0</v>
      </c>
      <c r="AC17" s="33" t="n">
        <f aca="false">'P&amp;L monthly'!AC17/FX_EUR</f>
        <v>0</v>
      </c>
      <c r="AD17" s="33" t="n">
        <f aca="false">'P&amp;L monthly'!AD17/FX_EUR</f>
        <v>0</v>
      </c>
      <c r="AE17" s="33" t="n">
        <f aca="false">'P&amp;L monthly'!AE17/FX_EUR</f>
        <v>0</v>
      </c>
      <c r="AF17" s="33" t="n">
        <f aca="false">'P&amp;L monthly'!AF17/FX_EUR</f>
        <v>0</v>
      </c>
      <c r="AG17" s="33" t="n">
        <f aca="false">'P&amp;L monthly'!AG17/FX_EUR</f>
        <v>0</v>
      </c>
      <c r="AH17" s="33" t="n">
        <f aca="false">'P&amp;L monthly'!AH17/FX_EUR</f>
        <v>0</v>
      </c>
      <c r="AI17" s="33" t="n">
        <f aca="false">'P&amp;L monthly'!AI17/FX_EUR</f>
        <v>0</v>
      </c>
      <c r="AJ17" s="33" t="n">
        <f aca="false">'P&amp;L monthly'!AJ17/FX_EUR</f>
        <v>0</v>
      </c>
      <c r="AK17" s="33" t="n">
        <f aca="false">'P&amp;L monthly'!AK17/FX_EUR</f>
        <v>0</v>
      </c>
      <c r="AL17" s="33" t="n">
        <f aca="false">'P&amp;L monthly'!AL17/FX_EUR</f>
        <v>0</v>
      </c>
      <c r="AM17" s="33" t="n">
        <f aca="false">'P&amp;L monthly'!AM17/FX_EUR</f>
        <v>0</v>
      </c>
      <c r="AN17" s="33" t="n">
        <f aca="false">'P&amp;L monthly'!AN17/FX_EUR</f>
        <v>0</v>
      </c>
      <c r="AO17" s="33" t="n">
        <f aca="false">'P&amp;L monthly'!AO17/FX_EUR</f>
        <v>0</v>
      </c>
      <c r="AP17" s="33" t="n">
        <f aca="false">'P&amp;L monthly'!AP17/FX_EUR</f>
        <v>0</v>
      </c>
      <c r="AQ17" s="33" t="n">
        <f aca="false">'P&amp;L monthly'!AQ17/FX_EUR</f>
        <v>0</v>
      </c>
      <c r="AR17" s="33" t="n">
        <f aca="false">'P&amp;L monthly'!AR17/FX_EUR</f>
        <v>0</v>
      </c>
      <c r="AS17" s="33" t="n">
        <f aca="false">'P&amp;L monthly'!AS17/FX_EUR</f>
        <v>0</v>
      </c>
      <c r="AT17" s="33" t="n">
        <f aca="false">'P&amp;L monthly'!AT17/FX_EUR</f>
        <v>0</v>
      </c>
      <c r="AU17" s="33" t="n">
        <f aca="false">'P&amp;L monthly'!AU17/FX_EUR</f>
        <v>0</v>
      </c>
      <c r="AV17" s="33" t="n">
        <f aca="false">'P&amp;L monthly'!AV17/FX_EUR</f>
        <v>0</v>
      </c>
      <c r="AW17" s="33" t="n">
        <f aca="false">'P&amp;L monthly'!AW17/FX_EUR</f>
        <v>0</v>
      </c>
      <c r="AX17" s="33" t="n">
        <f aca="false">'P&amp;L monthly'!AX17/FX_EUR</f>
        <v>0</v>
      </c>
      <c r="AY17" s="33" t="n">
        <f aca="false">'P&amp;L monthly'!AY17/FX_EUR</f>
        <v>0</v>
      </c>
      <c r="AZ17" s="33" t="n">
        <f aca="false">'P&amp;L monthly'!AZ17/FX_EUR</f>
        <v>0</v>
      </c>
      <c r="BA17" s="33" t="n">
        <f aca="false">'P&amp;L monthly'!BA17/FX_EUR</f>
        <v>0</v>
      </c>
      <c r="BB17" s="33" t="n">
        <f aca="false">'P&amp;L monthly'!BB17/FX_EUR</f>
        <v>0</v>
      </c>
      <c r="BC17" s="33" t="n">
        <f aca="false">'P&amp;L monthly'!BC17/FX_EUR</f>
        <v>0</v>
      </c>
      <c r="BD17" s="33" t="n">
        <f aca="false">'P&amp;L monthly'!BD17/FX_EUR</f>
        <v>0</v>
      </c>
      <c r="BE17" s="33" t="n">
        <f aca="false">'P&amp;L monthly'!BE17/FX_EUR</f>
        <v>0</v>
      </c>
      <c r="BF17" s="33" t="n">
        <f aca="false">'P&amp;L monthly'!BF17/FX_EUR</f>
        <v>0</v>
      </c>
      <c r="BG17" s="33" t="n">
        <f aca="false">'P&amp;L monthly'!BG17/FX_EUR</f>
        <v>0</v>
      </c>
      <c r="BH17" s="33" t="n">
        <f aca="false">'P&amp;L monthly'!BH17/FX_EUR</f>
        <v>0</v>
      </c>
      <c r="BI17" s="33" t="n">
        <f aca="false">'P&amp;L monthly'!BI17/FX_EUR</f>
        <v>0</v>
      </c>
      <c r="BJ17" s="33" t="n">
        <f aca="false">'P&amp;L monthly'!BJ17/FX_EUR</f>
        <v>0</v>
      </c>
      <c r="BK17" s="33" t="n">
        <f aca="false">'P&amp;L monthly'!BK17/FX_EUR</f>
        <v>0</v>
      </c>
      <c r="BL17" s="33" t="n">
        <f aca="false">'P&amp;L monthly'!BL17/FX_EUR</f>
        <v>0</v>
      </c>
    </row>
    <row r="18" customFormat="false" ht="15" hidden="false" customHeight="true" outlineLevel="0" collapsed="false">
      <c r="A18" s="13" t="s">
        <v>192</v>
      </c>
      <c r="B18" s="15" t="s">
        <v>79</v>
      </c>
      <c r="D18" s="56" t="n">
        <f aca="false">'P&amp;L monthly'!D18/FX_EUR</f>
        <v>11681557.2981907</v>
      </c>
      <c r="E18" s="33" t="n">
        <f aca="false">'P&amp;L monthly'!E18/FX_EUR</f>
        <v>0</v>
      </c>
      <c r="F18" s="33" t="n">
        <f aca="false">'P&amp;L monthly'!F18/FX_EUR</f>
        <v>0</v>
      </c>
      <c r="G18" s="33" t="n">
        <f aca="false">'P&amp;L monthly'!G18/FX_EUR</f>
        <v>0</v>
      </c>
      <c r="H18" s="33" t="n">
        <f aca="false">'P&amp;L monthly'!H18/FX_EUR</f>
        <v>0</v>
      </c>
      <c r="I18" s="33" t="n">
        <f aca="false">'P&amp;L monthly'!I18/FX_EUR</f>
        <v>2823.21605430437</v>
      </c>
      <c r="J18" s="33" t="n">
        <f aca="false">'P&amp;L monthly'!J18/FX_EUR</f>
        <v>5642.47253122791</v>
      </c>
      <c r="K18" s="33" t="n">
        <f aca="false">'P&amp;L monthly'!K18/FX_EUR</f>
        <v>8459.51107051415</v>
      </c>
      <c r="L18" s="33" t="n">
        <f aca="false">'P&amp;L monthly'!L18/FX_EUR</f>
        <v>11276.1516822703</v>
      </c>
      <c r="M18" s="33" t="n">
        <f aca="false">'P&amp;L monthly'!M18/FX_EUR</f>
        <v>14094.297842109</v>
      </c>
      <c r="N18" s="33" t="n">
        <f aca="false">'P&amp;L monthly'!N18/FX_EUR</f>
        <v>16915.941885471</v>
      </c>
      <c r="O18" s="33" t="n">
        <f aca="false">'P&amp;L monthly'!O18/FX_EUR</f>
        <v>19743.1707191965</v>
      </c>
      <c r="P18" s="33" t="n">
        <f aca="false">'P&amp;L monthly'!P18/FX_EUR</f>
        <v>22578.1718694939</v>
      </c>
      <c r="Q18" s="33" t="n">
        <f aca="false">'P&amp;L monthly'!Q18/FX_EUR</f>
        <v>26420.1167144009</v>
      </c>
      <c r="R18" s="33" t="n">
        <f aca="false">'P&amp;L monthly'!R18/FX_EUR</f>
        <v>30263.4654592145</v>
      </c>
      <c r="S18" s="33" t="n">
        <f aca="false">'P&amp;L monthly'!S18/FX_EUR</f>
        <v>34110.8894630924</v>
      </c>
      <c r="T18" s="33" t="n">
        <f aca="false">'P&amp;L monthly'!T18/FX_EUR</f>
        <v>37965.1866018669</v>
      </c>
      <c r="U18" s="33" t="n">
        <f aca="false">'P&amp;L monthly'!U18/FX_EUR</f>
        <v>41829.2893618345</v>
      </c>
      <c r="V18" s="33" t="n">
        <f aca="false">'P&amp;L monthly'!V18/FX_EUR</f>
        <v>45706.2734108803</v>
      </c>
      <c r="W18" s="33" t="n">
        <f aca="false">'P&amp;L monthly'!W18/FX_EUR</f>
        <v>51760.5347604234</v>
      </c>
      <c r="X18" s="33" t="n">
        <f aca="false">'P&amp;L monthly'!X18/FX_EUR</f>
        <v>57830.8394871123</v>
      </c>
      <c r="Y18" s="33" t="n">
        <f aca="false">'P&amp;L monthly'!Y18/FX_EUR</f>
        <v>64378.6467157201</v>
      </c>
      <c r="Z18" s="33" t="n">
        <f aca="false">'P&amp;L monthly'!Z18/FX_EUR</f>
        <v>70947.4166503555</v>
      </c>
      <c r="AA18" s="33" t="n">
        <f aca="false">'P&amp;L monthly'!AA18/FX_EUR</f>
        <v>77542.5869570762</v>
      </c>
      <c r="AB18" s="33" t="n">
        <f aca="false">'P&amp;L monthly'!AB18/FX_EUR</f>
        <v>84169.8672753847</v>
      </c>
      <c r="AC18" s="33" t="n">
        <f aca="false">'P&amp;L monthly'!AC18/FX_EUR</f>
        <v>92836.6197439693</v>
      </c>
      <c r="AD18" s="33" t="n">
        <f aca="false">'P&amp;L monthly'!AD18/FX_EUR</f>
        <v>101525.559769111</v>
      </c>
      <c r="AE18" s="33" t="n">
        <f aca="false">'P&amp;L monthly'!AE18/FX_EUR</f>
        <v>110700.189681795</v>
      </c>
      <c r="AF18" s="33" t="n">
        <f aca="false">'P&amp;L monthly'!AF18/FX_EUR</f>
        <v>119906.113982076</v>
      </c>
      <c r="AG18" s="33" t="n">
        <f aca="false">'P&amp;L monthly'!AG18/FX_EUR</f>
        <v>129151.022102753</v>
      </c>
      <c r="AH18" s="33" t="n">
        <f aca="false">'P&amp;L monthly'!AH18/FX_EUR</f>
        <v>138442.989679644</v>
      </c>
      <c r="AI18" s="33" t="n">
        <f aca="false">'P&amp;L monthly'!AI18/FX_EUR</f>
        <v>148247.087640812</v>
      </c>
      <c r="AJ18" s="33" t="n">
        <f aca="false">'P&amp;L monthly'!AJ18/FX_EUR</f>
        <v>158110.582672623</v>
      </c>
      <c r="AK18" s="33" t="n">
        <f aca="false">'P&amp;L monthly'!AK18/FX_EUR</f>
        <v>168042.92560057</v>
      </c>
      <c r="AL18" s="33" t="n">
        <f aca="false">'P&amp;L monthly'!AL18/FX_EUR</f>
        <v>178054.058613789</v>
      </c>
      <c r="AM18" s="33" t="n">
        <f aca="false">'P&amp;L monthly'!AM18/FX_EUR</f>
        <v>188611.030665823</v>
      </c>
      <c r="AN18" s="33" t="n">
        <f aca="false">'P&amp;L monthly'!AN18/FX_EUR</f>
        <v>199263.204630929</v>
      </c>
      <c r="AO18" s="33" t="n">
        <f aca="false">'P&amp;L monthly'!AO18/FX_EUR</f>
        <v>211430.055930402</v>
      </c>
      <c r="AP18" s="33" t="n">
        <f aca="false">'P&amp;L monthly'!AP18/FX_EUR</f>
        <v>224157.027543753</v>
      </c>
      <c r="AQ18" s="33" t="n">
        <f aca="false">'P&amp;L monthly'!AQ18/FX_EUR</f>
        <v>236995.62347927</v>
      </c>
      <c r="AR18" s="33" t="n">
        <f aca="false">'P&amp;L monthly'!AR18/FX_EUR</f>
        <v>249959.769044417</v>
      </c>
      <c r="AS18" s="33" t="n">
        <f aca="false">'P&amp;L monthly'!AS18/FX_EUR</f>
        <v>263520.717352711</v>
      </c>
      <c r="AT18" s="33" t="n">
        <f aca="false">'P&amp;L monthly'!AT18/FX_EUR</f>
        <v>277232.270002873</v>
      </c>
      <c r="AU18" s="33" t="n">
        <f aca="false">'P&amp;L monthly'!AU18/FX_EUR</f>
        <v>291110.786881385</v>
      </c>
      <c r="AV18" s="33" t="n">
        <f aca="false">'P&amp;L monthly'!AV18/FX_EUR</f>
        <v>306041.027222515</v>
      </c>
      <c r="AW18" s="33" t="n">
        <f aca="false">'P&amp;L monthly'!AW18/FX_EUR</f>
        <v>321033.581809361</v>
      </c>
      <c r="AX18" s="33" t="n">
        <f aca="false">'P&amp;L monthly'!AX18/FX_EUR</f>
        <v>336414.47593137</v>
      </c>
      <c r="AY18" s="33" t="n">
        <f aca="false">'P&amp;L monthly'!AY18/FX_EUR</f>
        <v>351728.633776959</v>
      </c>
      <c r="AZ18" s="33" t="n">
        <f aca="false">'P&amp;L monthly'!AZ18/FX_EUR</f>
        <v>366982.959107006</v>
      </c>
      <c r="BA18" s="33" t="n">
        <f aca="false">'P&amp;L monthly'!BA18/FX_EUR</f>
        <v>384056.62883593</v>
      </c>
      <c r="BB18" s="33" t="n">
        <f aca="false">'P&amp;L monthly'!BB18/FX_EUR</f>
        <v>401064.328032536</v>
      </c>
      <c r="BC18" s="33" t="n">
        <f aca="false">'P&amp;L monthly'!BC18/FX_EUR</f>
        <v>418470.695004092</v>
      </c>
      <c r="BD18" s="33" t="n">
        <f aca="false">'P&amp;L monthly'!BD18/FX_EUR</f>
        <v>435822.458092303</v>
      </c>
      <c r="BE18" s="33" t="n">
        <f aca="false">'P&amp;L monthly'!BE18/FX_EUR</f>
        <v>453539.345185101</v>
      </c>
      <c r="BF18" s="33" t="n">
        <f aca="false">'P&amp;L monthly'!BF18/FX_EUR</f>
        <v>471671.627492831</v>
      </c>
      <c r="BG18" s="33" t="n">
        <f aca="false">'P&amp;L monthly'!BG18/FX_EUR</f>
        <v>489767.284032939</v>
      </c>
      <c r="BH18" s="33" t="n">
        <f aca="false">'P&amp;L monthly'!BH18/FX_EUR</f>
        <v>508293.024261628</v>
      </c>
      <c r="BI18" s="33" t="n">
        <f aca="false">'P&amp;L monthly'!BI18/FX_EUR</f>
        <v>527208.695220166</v>
      </c>
      <c r="BJ18" s="33" t="n">
        <f aca="false">'P&amp;L monthly'!BJ18/FX_EUR</f>
        <v>546566.514103586</v>
      </c>
      <c r="BK18" s="33" t="n">
        <f aca="false">'P&amp;L monthly'!BK18/FX_EUR</f>
        <v>565818.676617593</v>
      </c>
      <c r="BL18" s="33" t="n">
        <f aca="false">'P&amp;L monthly'!BL18/FX_EUR</f>
        <v>585321.661934131</v>
      </c>
    </row>
    <row r="19" customFormat="false" ht="15" hidden="false" customHeight="true" outlineLevel="0" collapsed="false">
      <c r="A19" s="13" t="s">
        <v>202</v>
      </c>
      <c r="B19" s="15" t="s">
        <v>79</v>
      </c>
      <c r="D19" s="56" t="n">
        <f aca="false">'P&amp;L monthly'!D19/FX_EUR</f>
        <v>2484837.92811611</v>
      </c>
      <c r="E19" s="33" t="n">
        <f aca="false">'P&amp;L monthly'!E19/FX_EUR</f>
        <v>0</v>
      </c>
      <c r="F19" s="33" t="n">
        <f aca="false">'P&amp;L monthly'!F19/FX_EUR</f>
        <v>0</v>
      </c>
      <c r="G19" s="33" t="n">
        <f aca="false">'P&amp;L monthly'!G19/FX_EUR</f>
        <v>0</v>
      </c>
      <c r="H19" s="33" t="n">
        <f aca="false">'P&amp;L monthly'!H19/FX_EUR</f>
        <v>0</v>
      </c>
      <c r="I19" s="33" t="n">
        <f aca="false">'P&amp;L monthly'!I19/FX_EUR</f>
        <v>0</v>
      </c>
      <c r="J19" s="33" t="n">
        <f aca="false">'P&amp;L monthly'!J19/FX_EUR</f>
        <v>0</v>
      </c>
      <c r="K19" s="33" t="n">
        <f aca="false">'P&amp;L monthly'!K19/FX_EUR</f>
        <v>0</v>
      </c>
      <c r="L19" s="33" t="n">
        <f aca="false">'P&amp;L monthly'!L19/FX_EUR</f>
        <v>0</v>
      </c>
      <c r="M19" s="33" t="n">
        <f aca="false">'P&amp;L monthly'!M19/FX_EUR</f>
        <v>0</v>
      </c>
      <c r="N19" s="33" t="n">
        <f aca="false">'P&amp;L monthly'!N19/FX_EUR</f>
        <v>0</v>
      </c>
      <c r="O19" s="33" t="n">
        <f aca="false">'P&amp;L monthly'!O19/FX_EUR</f>
        <v>356.254436301581</v>
      </c>
      <c r="P19" s="33" t="n">
        <f aca="false">'P&amp;L monthly'!P19/FX_EUR</f>
        <v>814.925085620694</v>
      </c>
      <c r="Q19" s="33" t="n">
        <f aca="false">'P&amp;L monthly'!Q19/FX_EUR</f>
        <v>1430.51541186287</v>
      </c>
      <c r="R19" s="33" t="n">
        <f aca="false">'P&amp;L monthly'!R19/FX_EUR</f>
        <v>2185.02821548865</v>
      </c>
      <c r="S19" s="33" t="n">
        <f aca="false">'P&amp;L monthly'!S19/FX_EUR</f>
        <v>3078.83105378128</v>
      </c>
      <c r="T19" s="33" t="n">
        <f aca="false">'P&amp;L monthly'!T19/FX_EUR</f>
        <v>4112.49694555962</v>
      </c>
      <c r="U19" s="33" t="n">
        <f aca="false">'P&amp;L monthly'!U19/FX_EUR</f>
        <v>5286.81688588245</v>
      </c>
      <c r="V19" s="33" t="n">
        <f aca="false">'P&amp;L monthly'!V19/FX_EUR</f>
        <v>6602.81330765319</v>
      </c>
      <c r="W19" s="33" t="n">
        <f aca="false">'P&amp;L monthly'!W19/FX_EUR</f>
        <v>8412.44827455447</v>
      </c>
      <c r="X19" s="33" t="n">
        <f aca="false">'P&amp;L monthly'!X19/FX_EUR</f>
        <v>10443.9730141465</v>
      </c>
      <c r="Y19" s="33" t="n">
        <f aca="false">'P&amp;L monthly'!Y19/FX_EUR</f>
        <v>12789.8535872771</v>
      </c>
      <c r="Z19" s="33" t="n">
        <f aca="false">'P&amp;L monthly'!Z19/FX_EUR</f>
        <v>15377.2438193968</v>
      </c>
      <c r="AA19" s="33" t="n">
        <f aca="false">'P&amp;L monthly'!AA19/FX_EUR</f>
        <v>16807.9691929281</v>
      </c>
      <c r="AB19" s="33" t="n">
        <f aca="false">'P&amp;L monthly'!AB19/FX_EUR</f>
        <v>18245.9756624022</v>
      </c>
      <c r="AC19" s="33" t="n">
        <f aca="false">'P&amp;L monthly'!AC19/FX_EUR</f>
        <v>20125.574348584</v>
      </c>
      <c r="AD19" s="33" t="n">
        <f aca="false">'P&amp;L monthly'!AD19/FX_EUR</f>
        <v>22010.419861986</v>
      </c>
      <c r="AE19" s="33" t="n">
        <f aca="false">'P&amp;L monthly'!AE19/FX_EUR</f>
        <v>24000.790655732</v>
      </c>
      <c r="AF19" s="33" t="n">
        <f aca="false">'P&amp;L monthly'!AF19/FX_EUR</f>
        <v>25998.395684441</v>
      </c>
      <c r="AG19" s="33" t="n">
        <f aca="false">'P&amp;L monthly'!AG19/FX_EUR</f>
        <v>28004.8937479457</v>
      </c>
      <c r="AH19" s="33" t="n">
        <f aca="false">'P&amp;L monthly'!AH19/FX_EUR</f>
        <v>30022.0277373876</v>
      </c>
      <c r="AI19" s="33" t="n">
        <f aca="false">'P&amp;L monthly'!AI19/FX_EUR</f>
        <v>32150.4168669663</v>
      </c>
      <c r="AJ19" s="33" t="n">
        <f aca="false">'P&amp;L monthly'!AJ19/FX_EUR</f>
        <v>34292.1311734261</v>
      </c>
      <c r="AK19" s="33" t="n">
        <f aca="false">'P&amp;L monthly'!AK19/FX_EUR</f>
        <v>36449.2120795944</v>
      </c>
      <c r="AL19" s="33" t="n">
        <f aca="false">'P&amp;L monthly'!AL19/FX_EUR</f>
        <v>38623.8079334929</v>
      </c>
      <c r="AM19" s="33" t="n">
        <f aca="false">'P&amp;L monthly'!AM19/FX_EUR</f>
        <v>40916.9676106914</v>
      </c>
      <c r="AN19" s="33" t="n">
        <f aca="false">'P&amp;L monthly'!AN19/FX_EUR</f>
        <v>43231.2164666386</v>
      </c>
      <c r="AO19" s="33" t="n">
        <f aca="false">'P&amp;L monthly'!AO19/FX_EUR</f>
        <v>45873.6715766643</v>
      </c>
      <c r="AP19" s="33" t="n">
        <f aca="false">'P&amp;L monthly'!AP19/FX_EUR</f>
        <v>48637.8867023895</v>
      </c>
      <c r="AQ19" s="33" t="n">
        <f aca="false">'P&amp;L monthly'!AQ19/FX_EUR</f>
        <v>51426.8497539438</v>
      </c>
      <c r="AR19" s="33" t="n">
        <f aca="false">'P&amp;L monthly'!AR19/FX_EUR</f>
        <v>54243.5715750865</v>
      </c>
      <c r="AS19" s="33" t="n">
        <f aca="false">'P&amp;L monthly'!AS19/FX_EUR</f>
        <v>57190.011587993</v>
      </c>
      <c r="AT19" s="33" t="n">
        <f aca="false">'P&amp;L monthly'!AT19/FX_EUR</f>
        <v>60169.6566810996</v>
      </c>
      <c r="AU19" s="33" t="n">
        <f aca="false">'P&amp;L monthly'!AU19/FX_EUR</f>
        <v>63186.0464234747</v>
      </c>
      <c r="AV19" s="33" t="n">
        <f aca="false">'P&amp;L monthly'!AV19/FX_EUR</f>
        <v>66430.6087630199</v>
      </c>
      <c r="AW19" s="33" t="n">
        <f aca="false">'P&amp;L monthly'!AW19/FX_EUR</f>
        <v>69689.3276272739</v>
      </c>
      <c r="AX19" s="33" t="n">
        <f aca="false">'P&amp;L monthly'!AX19/FX_EUR</f>
        <v>73032.7359990372</v>
      </c>
      <c r="AY19" s="33" t="n">
        <f aca="false">'P&amp;L monthly'!AY19/FX_EUR</f>
        <v>76362.3866891788</v>
      </c>
      <c r="AZ19" s="33" t="n">
        <f aca="false">'P&amp;L monthly'!AZ19/FX_EUR</f>
        <v>79679.7596514257</v>
      </c>
      <c r="BA19" s="33" t="n">
        <f aca="false">'P&amp;L monthly'!BA19/FX_EUR</f>
        <v>83391.421602126</v>
      </c>
      <c r="BB19" s="33" t="n">
        <f aca="false">'P&amp;L monthly'!BB19/FX_EUR</f>
        <v>87089.5626054381</v>
      </c>
      <c r="BC19" s="33" t="n">
        <f aca="false">'P&amp;L monthly'!BC19/FX_EUR</f>
        <v>90874.6973605538</v>
      </c>
      <c r="BD19" s="33" t="n">
        <f aca="false">'P&amp;L monthly'!BD19/FX_EUR</f>
        <v>94648.768652668</v>
      </c>
      <c r="BE19" s="33" t="n">
        <f aca="false">'P&amp;L monthly'!BE19/FX_EUR</f>
        <v>98502.5750508858</v>
      </c>
      <c r="BF19" s="33" t="n">
        <f aca="false">'P&amp;L monthly'!BF19/FX_EUR</f>
        <v>102447.00423296</v>
      </c>
      <c r="BG19" s="33" t="n">
        <f aca="false">'P&amp;L monthly'!BG19/FX_EUR</f>
        <v>106384.270448928</v>
      </c>
      <c r="BH19" s="33" t="n">
        <f aca="false">'P&amp;L monthly'!BH19/FX_EUR</f>
        <v>110415.338156942</v>
      </c>
      <c r="BI19" s="33" t="n">
        <f aca="false">'P&amp;L monthly'!BI19/FX_EUR</f>
        <v>114531.534493782</v>
      </c>
      <c r="BJ19" s="33" t="n">
        <f aca="false">'P&amp;L monthly'!BJ19/FX_EUR</f>
        <v>118744.169282121</v>
      </c>
      <c r="BK19" s="33" t="n">
        <f aca="false">'P&amp;L monthly'!BK19/FX_EUR</f>
        <v>122934.734246029</v>
      </c>
      <c r="BL19" s="33" t="n">
        <f aca="false">'P&amp;L monthly'!BL19/FX_EUR</f>
        <v>127180.339893345</v>
      </c>
    </row>
    <row r="20" customFormat="false" ht="15" hidden="false" customHeight="true" outlineLevel="0" collapsed="false">
      <c r="A20" s="13" t="s">
        <v>330</v>
      </c>
      <c r="B20" s="15" t="s">
        <v>79</v>
      </c>
      <c r="D20" s="56" t="n">
        <f aca="false">'P&amp;L monthly'!D20/FX_EUR</f>
        <v>3394875.19896549</v>
      </c>
      <c r="E20" s="33" t="n">
        <f aca="false">'P&amp;L monthly'!E20/FX_EUR</f>
        <v>0</v>
      </c>
      <c r="F20" s="33" t="n">
        <f aca="false">'P&amp;L monthly'!F20/FX_EUR</f>
        <v>0</v>
      </c>
      <c r="G20" s="33" t="n">
        <f aca="false">'P&amp;L monthly'!G20/FX_EUR</f>
        <v>0</v>
      </c>
      <c r="H20" s="33" t="n">
        <f aca="false">'P&amp;L monthly'!H20/FX_EUR</f>
        <v>0</v>
      </c>
      <c r="I20" s="33" t="n">
        <f aca="false">'P&amp;L monthly'!I20/FX_EUR</f>
        <v>0</v>
      </c>
      <c r="J20" s="33" t="n">
        <f aca="false">'P&amp;L monthly'!J20/FX_EUR</f>
        <v>0</v>
      </c>
      <c r="K20" s="33" t="n">
        <f aca="false">'P&amp;L monthly'!K20/FX_EUR</f>
        <v>0</v>
      </c>
      <c r="L20" s="33" t="n">
        <f aca="false">'P&amp;L monthly'!L20/FX_EUR</f>
        <v>0</v>
      </c>
      <c r="M20" s="33" t="n">
        <f aca="false">'P&amp;L monthly'!M20/FX_EUR</f>
        <v>0</v>
      </c>
      <c r="N20" s="33" t="n">
        <f aca="false">'P&amp;L monthly'!N20/FX_EUR</f>
        <v>0</v>
      </c>
      <c r="O20" s="33" t="n">
        <f aca="false">'P&amp;L monthly'!O20/FX_EUR</f>
        <v>0</v>
      </c>
      <c r="P20" s="33" t="n">
        <f aca="false">'P&amp;L monthly'!P20/FX_EUR</f>
        <v>0</v>
      </c>
      <c r="Q20" s="33" t="n">
        <f aca="false">'P&amp;L monthly'!Q20/FX_EUR</f>
        <v>665.701223053167</v>
      </c>
      <c r="R20" s="33" t="n">
        <f aca="false">'P&amp;L monthly'!R20/FX_EUR</f>
        <v>1524.3657194779</v>
      </c>
      <c r="S20" s="33" t="n">
        <f aca="false">'P&amp;L monthly'!S20/FX_EUR</f>
        <v>2575.95486335743</v>
      </c>
      <c r="T20" s="33" t="n">
        <f aca="false">'P&amp;L monthly'!T20/FX_EUR</f>
        <v>3820.72088160271</v>
      </c>
      <c r="U20" s="33" t="n">
        <f aca="false">'P&amp;L monthly'!U20/FX_EUR</f>
        <v>5259.22325574191</v>
      </c>
      <c r="V20" s="33" t="n">
        <f aca="false">'P&amp;L monthly'!V20/FX_EUR</f>
        <v>6892.34641199146</v>
      </c>
      <c r="W20" s="33" t="n">
        <f aca="false">'P&amp;L monthly'!W20/FX_EUR</f>
        <v>9104.39755643803</v>
      </c>
      <c r="X20" s="33" t="n">
        <f aca="false">'P&amp;L monthly'!X20/FX_EUR</f>
        <v>11622.054454281</v>
      </c>
      <c r="Y20" s="33" t="n">
        <f aca="false">'P&amp;L monthly'!Y20/FX_EUR</f>
        <v>14551.1811366254</v>
      </c>
      <c r="Z20" s="33" t="n">
        <f aca="false">'P&amp;L monthly'!Z20/FX_EUR</f>
        <v>17811.7778071058</v>
      </c>
      <c r="AA20" s="33" t="n">
        <f aca="false">'P&amp;L monthly'!AA20/FX_EUR</f>
        <v>21406.4040302353</v>
      </c>
      <c r="AB20" s="33" t="n">
        <f aca="false">'P&amp;L monthly'!AB20/FX_EUR</f>
        <v>25338.2604121955</v>
      </c>
      <c r="AC20" s="33" t="n">
        <f aca="false">'P&amp;L monthly'!AC20/FX_EUR</f>
        <v>27941.5879021593</v>
      </c>
      <c r="AD20" s="33" t="n">
        <f aca="false">'P&amp;L monthly'!AD20/FX_EUR</f>
        <v>30548.6447341348</v>
      </c>
      <c r="AE20" s="33" t="n">
        <f aca="false">'P&amp;L monthly'!AE20/FX_EUR</f>
        <v>33300.3166061965</v>
      </c>
      <c r="AF20" s="33" t="n">
        <f aca="false">'P&amp;L monthly'!AF20/FX_EUR</f>
        <v>36058.3811028763</v>
      </c>
      <c r="AG20" s="33" t="n">
        <f aca="false">'P&amp;L monthly'!AG20/FX_EUR</f>
        <v>38825.2157198475</v>
      </c>
      <c r="AH20" s="33" t="n">
        <f aca="false">'P&amp;L monthly'!AH20/FX_EUR</f>
        <v>41603.3114392821</v>
      </c>
      <c r="AI20" s="33" t="n">
        <f aca="false">'P&amp;L monthly'!AI20/FX_EUR</f>
        <v>44534.0208202479</v>
      </c>
      <c r="AJ20" s="33" t="n">
        <f aca="false">'P&amp;L monthly'!AJ20/FX_EUR</f>
        <v>47479.6162775428</v>
      </c>
      <c r="AK20" s="33" t="n">
        <f aca="false">'P&amp;L monthly'!AK20/FX_EUR</f>
        <v>50442.9997831198</v>
      </c>
      <c r="AL20" s="33" t="n">
        <f aca="false">'P&amp;L monthly'!AL20/FX_EUR</f>
        <v>53427.2182188376</v>
      </c>
      <c r="AM20" s="33" t="n">
        <f aca="false">'P&amp;L monthly'!AM20/FX_EUR</f>
        <v>56574.2133509443</v>
      </c>
      <c r="AN20" s="33" t="n">
        <f aca="false">'P&amp;L monthly'!AN20/FX_EUR</f>
        <v>59746.8821060899</v>
      </c>
      <c r="AO20" s="33" t="n">
        <f aca="false">'P&amp;L monthly'!AO20/FX_EUR</f>
        <v>63376.5725280956</v>
      </c>
      <c r="AP20" s="33" t="n">
        <f aca="false">'P&amp;L monthly'!AP20/FX_EUR</f>
        <v>67172.6647402626</v>
      </c>
      <c r="AQ20" s="33" t="n">
        <f aca="false">'P&amp;L monthly'!AQ20/FX_EUR</f>
        <v>70998.7127731507</v>
      </c>
      <c r="AR20" s="33" t="n">
        <f aca="false">'P&amp;L monthly'!AR20/FX_EUR</f>
        <v>74858.9706499513</v>
      </c>
      <c r="AS20" s="33" t="n">
        <f aca="false">'P&amp;L monthly'!AS20/FX_EUR</f>
        <v>78896.652871061</v>
      </c>
      <c r="AT20" s="33" t="n">
        <f aca="false">'P&amp;L monthly'!AT20/FX_EUR</f>
        <v>82975.9987364001</v>
      </c>
      <c r="AU20" s="33" t="n">
        <f aca="false">'P&amp;L monthly'!AU20/FX_EUR</f>
        <v>87101.9884510281</v>
      </c>
      <c r="AV20" s="33" t="n">
        <f aca="false">'P&amp;L monthly'!AV20/FX_EUR</f>
        <v>91543.4727875231</v>
      </c>
      <c r="AW20" s="33" t="n">
        <f aca="false">'P&amp;L monthly'!AW20/FX_EUR</f>
        <v>95999.4447815197</v>
      </c>
      <c r="AX20" s="33" t="n">
        <f aca="false">'P&amp;L monthly'!AX20/FX_EUR</f>
        <v>100569.023501468</v>
      </c>
      <c r="AY20" s="33" t="n">
        <f aca="false">'P&amp;L monthly'!AY20/FX_EUR</f>
        <v>105113.843749862</v>
      </c>
      <c r="AZ20" s="33" t="n">
        <f aca="false">'P&amp;L monthly'!AZ20/FX_EUR</f>
        <v>109636.107388152</v>
      </c>
      <c r="BA20" s="33" t="n">
        <f aca="false">'P&amp;L monthly'!BA20/FX_EUR</f>
        <v>114706.932616999</v>
      </c>
      <c r="BB20" s="33" t="n">
        <f aca="false">'P&amp;L monthly'!BB20/FX_EUR</f>
        <v>119752.766882735</v>
      </c>
      <c r="BC20" s="33" t="n">
        <f aca="false">'P&amp;L monthly'!BC20/FX_EUR</f>
        <v>124914.909874953</v>
      </c>
      <c r="BD20" s="33" t="n">
        <f aca="false">'P&amp;L monthly'!BD20/FX_EUR</f>
        <v>130055.547818089</v>
      </c>
      <c r="BE20" s="33" t="n">
        <f aca="false">'P&amp;L monthly'!BE20/FX_EUR</f>
        <v>135302.328380306</v>
      </c>
      <c r="BF20" s="33" t="n">
        <f aca="false">'P&amp;L monthly'!BF20/FX_EUR</f>
        <v>140670.460719623</v>
      </c>
      <c r="BG20" s="33" t="n">
        <f aca="false">'P&amp;L monthly'!BG20/FX_EUR</f>
        <v>146022.504875778</v>
      </c>
      <c r="BH20" s="33" t="n">
        <f aca="false">'P&amp;L monthly'!BH20/FX_EUR</f>
        <v>151500.378014456</v>
      </c>
      <c r="BI20" s="33" t="n">
        <f aca="false">'P&amp;L monthly'!BI20/FX_EUR</f>
        <v>157091.786756574</v>
      </c>
      <c r="BJ20" s="33" t="n">
        <f aca="false">'P&amp;L monthly'!BJ20/FX_EUR</f>
        <v>162812.523853971</v>
      </c>
      <c r="BK20" s="33" t="n">
        <f aca="false">'P&amp;L monthly'!BK20/FX_EUR</f>
        <v>168496.035626879</v>
      </c>
      <c r="BL20" s="33" t="n">
        <f aca="false">'P&amp;L monthly'!BL20/FX_EUR</f>
        <v>174250.774773267</v>
      </c>
    </row>
    <row r="21" customFormat="false" ht="15" hidden="false" customHeight="true" outlineLevel="0" collapsed="false">
      <c r="A21" s="13" t="s">
        <v>1327</v>
      </c>
      <c r="B21" s="15" t="s">
        <v>79</v>
      </c>
      <c r="D21" s="56" t="n">
        <f aca="false">'P&amp;L monthly'!D21/FX_EUR</f>
        <v>0</v>
      </c>
      <c r="E21" s="33" t="n">
        <f aca="false">'P&amp;L monthly'!E21/FX_EUR</f>
        <v>0</v>
      </c>
      <c r="F21" s="33" t="n">
        <f aca="false">'P&amp;L monthly'!F21/FX_EUR</f>
        <v>0</v>
      </c>
      <c r="G21" s="33" t="n">
        <f aca="false">'P&amp;L monthly'!G21/FX_EUR</f>
        <v>0</v>
      </c>
      <c r="H21" s="33" t="n">
        <f aca="false">'P&amp;L monthly'!H21/FX_EUR</f>
        <v>0</v>
      </c>
      <c r="I21" s="33" t="n">
        <f aca="false">'P&amp;L monthly'!I21/FX_EUR</f>
        <v>0</v>
      </c>
      <c r="J21" s="33" t="n">
        <f aca="false">'P&amp;L monthly'!J21/FX_EUR</f>
        <v>0</v>
      </c>
      <c r="K21" s="33" t="n">
        <f aca="false">'P&amp;L monthly'!K21/FX_EUR</f>
        <v>0</v>
      </c>
      <c r="L21" s="33" t="n">
        <f aca="false">'P&amp;L monthly'!L21/FX_EUR</f>
        <v>0</v>
      </c>
      <c r="M21" s="33" t="n">
        <f aca="false">'P&amp;L monthly'!M21/FX_EUR</f>
        <v>0</v>
      </c>
      <c r="N21" s="33" t="n">
        <f aca="false">'P&amp;L monthly'!N21/FX_EUR</f>
        <v>0</v>
      </c>
      <c r="O21" s="33" t="n">
        <f aca="false">'P&amp;L monthly'!O21/FX_EUR</f>
        <v>0</v>
      </c>
      <c r="P21" s="33" t="n">
        <f aca="false">'P&amp;L monthly'!P21/FX_EUR</f>
        <v>0</v>
      </c>
      <c r="Q21" s="33" t="n">
        <f aca="false">'P&amp;L monthly'!Q21/FX_EUR</f>
        <v>0</v>
      </c>
      <c r="R21" s="33" t="n">
        <f aca="false">'P&amp;L monthly'!R21/FX_EUR</f>
        <v>0</v>
      </c>
      <c r="S21" s="33" t="n">
        <f aca="false">'P&amp;L monthly'!S21/FX_EUR</f>
        <v>0</v>
      </c>
      <c r="T21" s="33" t="n">
        <f aca="false">'P&amp;L monthly'!T21/FX_EUR</f>
        <v>0</v>
      </c>
      <c r="U21" s="33" t="n">
        <f aca="false">'P&amp;L monthly'!U21/FX_EUR</f>
        <v>0</v>
      </c>
      <c r="V21" s="33" t="n">
        <f aca="false">'P&amp;L monthly'!V21/FX_EUR</f>
        <v>0</v>
      </c>
      <c r="W21" s="33" t="n">
        <f aca="false">'P&amp;L monthly'!W21/FX_EUR</f>
        <v>0</v>
      </c>
      <c r="X21" s="33" t="n">
        <f aca="false">'P&amp;L monthly'!X21/FX_EUR</f>
        <v>0</v>
      </c>
      <c r="Y21" s="33" t="n">
        <f aca="false">'P&amp;L monthly'!Y21/FX_EUR</f>
        <v>0</v>
      </c>
      <c r="Z21" s="33" t="n">
        <f aca="false">'P&amp;L monthly'!Z21/FX_EUR</f>
        <v>0</v>
      </c>
      <c r="AA21" s="33" t="n">
        <f aca="false">'P&amp;L monthly'!AA21/FX_EUR</f>
        <v>0</v>
      </c>
      <c r="AB21" s="33" t="n">
        <f aca="false">'P&amp;L monthly'!AB21/FX_EUR</f>
        <v>0</v>
      </c>
      <c r="AC21" s="33" t="n">
        <f aca="false">'P&amp;L monthly'!AC21/FX_EUR</f>
        <v>0</v>
      </c>
      <c r="AD21" s="33" t="n">
        <f aca="false">'P&amp;L monthly'!AD21/FX_EUR</f>
        <v>0</v>
      </c>
      <c r="AE21" s="33" t="n">
        <f aca="false">'P&amp;L monthly'!AE21/FX_EUR</f>
        <v>0</v>
      </c>
      <c r="AF21" s="33" t="n">
        <f aca="false">'P&amp;L monthly'!AF21/FX_EUR</f>
        <v>0</v>
      </c>
      <c r="AG21" s="33" t="n">
        <f aca="false">'P&amp;L monthly'!AG21/FX_EUR</f>
        <v>0</v>
      </c>
      <c r="AH21" s="33" t="n">
        <f aca="false">'P&amp;L monthly'!AH21/FX_EUR</f>
        <v>0</v>
      </c>
      <c r="AI21" s="33" t="n">
        <f aca="false">'P&amp;L monthly'!AI21/FX_EUR</f>
        <v>0</v>
      </c>
      <c r="AJ21" s="33" t="n">
        <f aca="false">'P&amp;L monthly'!AJ21/FX_EUR</f>
        <v>0</v>
      </c>
      <c r="AK21" s="33" t="n">
        <f aca="false">'P&amp;L monthly'!AK21/FX_EUR</f>
        <v>0</v>
      </c>
      <c r="AL21" s="33" t="n">
        <f aca="false">'P&amp;L monthly'!AL21/FX_EUR</f>
        <v>0</v>
      </c>
      <c r="AM21" s="33" t="n">
        <f aca="false">'P&amp;L monthly'!AM21/FX_EUR</f>
        <v>0</v>
      </c>
      <c r="AN21" s="33" t="n">
        <f aca="false">'P&amp;L monthly'!AN21/FX_EUR</f>
        <v>0</v>
      </c>
      <c r="AO21" s="33" t="n">
        <f aca="false">'P&amp;L monthly'!AO21/FX_EUR</f>
        <v>0</v>
      </c>
      <c r="AP21" s="33" t="n">
        <f aca="false">'P&amp;L monthly'!AP21/FX_EUR</f>
        <v>0</v>
      </c>
      <c r="AQ21" s="33" t="n">
        <f aca="false">'P&amp;L monthly'!AQ21/FX_EUR</f>
        <v>0</v>
      </c>
      <c r="AR21" s="33" t="n">
        <f aca="false">'P&amp;L monthly'!AR21/FX_EUR</f>
        <v>0</v>
      </c>
      <c r="AS21" s="33" t="n">
        <f aca="false">'P&amp;L monthly'!AS21/FX_EUR</f>
        <v>0</v>
      </c>
      <c r="AT21" s="33" t="n">
        <f aca="false">'P&amp;L monthly'!AT21/FX_EUR</f>
        <v>0</v>
      </c>
      <c r="AU21" s="33" t="n">
        <f aca="false">'P&amp;L monthly'!AU21/FX_EUR</f>
        <v>0</v>
      </c>
      <c r="AV21" s="33" t="n">
        <f aca="false">'P&amp;L monthly'!AV21/FX_EUR</f>
        <v>0</v>
      </c>
      <c r="AW21" s="33" t="n">
        <f aca="false">'P&amp;L monthly'!AW21/FX_EUR</f>
        <v>0</v>
      </c>
      <c r="AX21" s="33" t="n">
        <f aca="false">'P&amp;L monthly'!AX21/FX_EUR</f>
        <v>0</v>
      </c>
      <c r="AY21" s="33" t="n">
        <f aca="false">'P&amp;L monthly'!AY21/FX_EUR</f>
        <v>0</v>
      </c>
      <c r="AZ21" s="33" t="n">
        <f aca="false">'P&amp;L monthly'!AZ21/FX_EUR</f>
        <v>0</v>
      </c>
      <c r="BA21" s="33" t="n">
        <f aca="false">'P&amp;L monthly'!BA21/FX_EUR</f>
        <v>0</v>
      </c>
      <c r="BB21" s="33" t="n">
        <f aca="false">'P&amp;L monthly'!BB21/FX_EUR</f>
        <v>0</v>
      </c>
      <c r="BC21" s="33" t="n">
        <f aca="false">'P&amp;L monthly'!BC21/FX_EUR</f>
        <v>0</v>
      </c>
      <c r="BD21" s="33" t="n">
        <f aca="false">'P&amp;L monthly'!BD21/FX_EUR</f>
        <v>0</v>
      </c>
      <c r="BE21" s="33" t="n">
        <f aca="false">'P&amp;L monthly'!BE21/FX_EUR</f>
        <v>0</v>
      </c>
      <c r="BF21" s="33" t="n">
        <f aca="false">'P&amp;L monthly'!BF21/FX_EUR</f>
        <v>0</v>
      </c>
      <c r="BG21" s="33" t="n">
        <f aca="false">'P&amp;L monthly'!BG21/FX_EUR</f>
        <v>0</v>
      </c>
      <c r="BH21" s="33" t="n">
        <f aca="false">'P&amp;L monthly'!BH21/FX_EUR</f>
        <v>0</v>
      </c>
      <c r="BI21" s="33" t="n">
        <f aca="false">'P&amp;L monthly'!BI21/FX_EUR</f>
        <v>0</v>
      </c>
      <c r="BJ21" s="33" t="n">
        <f aca="false">'P&amp;L monthly'!BJ21/FX_EUR</f>
        <v>0</v>
      </c>
      <c r="BK21" s="33" t="n">
        <f aca="false">'P&amp;L monthly'!BK21/FX_EUR</f>
        <v>0</v>
      </c>
      <c r="BL21" s="33" t="n">
        <f aca="false">'P&amp;L monthly'!BL21/FX_EUR</f>
        <v>0</v>
      </c>
    </row>
    <row r="22" customFormat="false" ht="15" hidden="false" customHeight="true" outlineLevel="0" collapsed="false">
      <c r="A22" s="13" t="s">
        <v>1328</v>
      </c>
      <c r="B22" s="15" t="s">
        <v>79</v>
      </c>
      <c r="D22" s="56" t="n">
        <f aca="false">'P&amp;L monthly'!D22/FX_EUR</f>
        <v>1571574.46912258</v>
      </c>
      <c r="E22" s="33" t="n">
        <f aca="false">'P&amp;L monthly'!E22/FX_EUR</f>
        <v>0</v>
      </c>
      <c r="F22" s="33" t="n">
        <f aca="false">'P&amp;L monthly'!F22/FX_EUR</f>
        <v>0</v>
      </c>
      <c r="G22" s="33" t="n">
        <f aca="false">'P&amp;L monthly'!G22/FX_EUR</f>
        <v>0</v>
      </c>
      <c r="H22" s="33" t="n">
        <f aca="false">'P&amp;L monthly'!H22/FX_EUR</f>
        <v>0</v>
      </c>
      <c r="I22" s="33" t="n">
        <f aca="false">'P&amp;L monthly'!I22/FX_EUR</f>
        <v>0</v>
      </c>
      <c r="J22" s="33" t="n">
        <f aca="false">'P&amp;L monthly'!J22/FX_EUR</f>
        <v>0</v>
      </c>
      <c r="K22" s="33" t="n">
        <f aca="false">'P&amp;L monthly'!K22/FX_EUR</f>
        <v>0</v>
      </c>
      <c r="L22" s="33" t="n">
        <f aca="false">'P&amp;L monthly'!L22/FX_EUR</f>
        <v>0</v>
      </c>
      <c r="M22" s="33" t="n">
        <f aca="false">'P&amp;L monthly'!M22/FX_EUR</f>
        <v>0</v>
      </c>
      <c r="N22" s="33" t="n">
        <f aca="false">'P&amp;L monthly'!N22/FX_EUR</f>
        <v>0</v>
      </c>
      <c r="O22" s="33" t="n">
        <f aca="false">'P&amp;L monthly'!O22/FX_EUR</f>
        <v>0</v>
      </c>
      <c r="P22" s="33" t="n">
        <f aca="false">'P&amp;L monthly'!P22/FX_EUR</f>
        <v>0</v>
      </c>
      <c r="Q22" s="33" t="n">
        <f aca="false">'P&amp;L monthly'!Q22/FX_EUR</f>
        <v>0</v>
      </c>
      <c r="R22" s="33" t="n">
        <f aca="false">'P&amp;L monthly'!R22/FX_EUR</f>
        <v>0</v>
      </c>
      <c r="S22" s="33" t="n">
        <f aca="false">'P&amp;L monthly'!S22/FX_EUR</f>
        <v>0</v>
      </c>
      <c r="T22" s="33" t="n">
        <f aca="false">'P&amp;L monthly'!T22/FX_EUR</f>
        <v>0</v>
      </c>
      <c r="U22" s="33" t="n">
        <f aca="false">'P&amp;L monthly'!U22/FX_EUR</f>
        <v>0</v>
      </c>
      <c r="V22" s="33" t="n">
        <f aca="false">'P&amp;L monthly'!V22/FX_EUR</f>
        <v>114.912150235279</v>
      </c>
      <c r="W22" s="33" t="n">
        <f aca="false">'P&amp;L monthly'!W22/FX_EUR</f>
        <v>374.966024116483</v>
      </c>
      <c r="X22" s="33" t="n">
        <f aca="false">'P&amp;L monthly'!X22/FX_EUR</f>
        <v>695.378782822818</v>
      </c>
      <c r="Y22" s="33" t="n">
        <f aca="false">'P&amp;L monthly'!Y22/FX_EUR</f>
        <v>1110.18088847713</v>
      </c>
      <c r="Z22" s="33" t="n">
        <f aca="false">'P&amp;L monthly'!Z22/FX_EUR</f>
        <v>1627.52729103896</v>
      </c>
      <c r="AA22" s="33" t="n">
        <f aca="false">'P&amp;L monthly'!AA22/FX_EUR</f>
        <v>2221.45221424136</v>
      </c>
      <c r="AB22" s="33" t="n">
        <f aca="false">'P&amp;L monthly'!AB22/FX_EUR</f>
        <v>2892.05190422016</v>
      </c>
      <c r="AC22" s="33" t="n">
        <f aca="false">'P&amp;L monthly'!AC22/FX_EUR</f>
        <v>6716.25049797779</v>
      </c>
      <c r="AD22" s="33" t="n">
        <f aca="false">'P&amp;L monthly'!AD22/FX_EUR</f>
        <v>8332.63006294664</v>
      </c>
      <c r="AE22" s="33" t="n">
        <f aca="false">'P&amp;L monthly'!AE22/FX_EUR</f>
        <v>10283.8592700594</v>
      </c>
      <c r="AF22" s="33" t="n">
        <f aca="false">'P&amp;L monthly'!AF22/FX_EUR</f>
        <v>12591.6583846271</v>
      </c>
      <c r="AG22" s="33" t="n">
        <f aca="false">'P&amp;L monthly'!AG22/FX_EUR</f>
        <v>15118.3538519917</v>
      </c>
      <c r="AH22" s="33" t="n">
        <f aca="false">'P&amp;L monthly'!AH22/FX_EUR</f>
        <v>17289.2789810379</v>
      </c>
      <c r="AI22" s="33" t="n">
        <f aca="false">'P&amp;L monthly'!AI22/FX_EUR</f>
        <v>19078.1465038376</v>
      </c>
      <c r="AJ22" s="33" t="n">
        <f aca="false">'P&amp;L monthly'!AJ22/FX_EUR</f>
        <v>20982.7926868022</v>
      </c>
      <c r="AK22" s="33" t="n">
        <f aca="false">'P&amp;L monthly'!AK22/FX_EUR</f>
        <v>22841.9282094568</v>
      </c>
      <c r="AL22" s="33" t="n">
        <f aca="false">'P&amp;L monthly'!AL22/FX_EUR</f>
        <v>24643.1852640757</v>
      </c>
      <c r="AM22" s="33" t="n">
        <f aca="false">'P&amp;L monthly'!AM22/FX_EUR</f>
        <v>26551.1114242688</v>
      </c>
      <c r="AN22" s="33" t="n">
        <f aca="false">'P&amp;L monthly'!AN22/FX_EUR</f>
        <v>28558.9656513943</v>
      </c>
      <c r="AO22" s="33" t="n">
        <f aca="false">'P&amp;L monthly'!AO22/FX_EUR</f>
        <v>30698.7725701673</v>
      </c>
      <c r="AP22" s="33" t="n">
        <f aca="false">'P&amp;L monthly'!AP22/FX_EUR</f>
        <v>33070.7331018463</v>
      </c>
      <c r="AQ22" s="33" t="n">
        <f aca="false">'P&amp;L monthly'!AQ22/FX_EUR</f>
        <v>35270.950133687</v>
      </c>
      <c r="AR22" s="33" t="n">
        <f aca="false">'P&amp;L monthly'!AR22/FX_EUR</f>
        <v>37237.0197236379</v>
      </c>
      <c r="AS22" s="33" t="n">
        <f aca="false">'P&amp;L monthly'!AS22/FX_EUR</f>
        <v>39277.0169140118</v>
      </c>
      <c r="AT22" s="33" t="n">
        <f aca="false">'P&amp;L monthly'!AT22/FX_EUR</f>
        <v>41324.0523166146</v>
      </c>
      <c r="AU22" s="33" t="n">
        <f aca="false">'P&amp;L monthly'!AU22/FX_EUR</f>
        <v>43337.8218698133</v>
      </c>
      <c r="AV22" s="33" t="n">
        <f aca="false">'P&amp;L monthly'!AV22/FX_EUR</f>
        <v>45427.7841499078</v>
      </c>
      <c r="AW22" s="33" t="n">
        <f aca="false">'P&amp;L monthly'!AW22/FX_EUR</f>
        <v>47597.435727477</v>
      </c>
      <c r="AX22" s="33" t="n">
        <f aca="false">'P&amp;L monthly'!AX22/FX_EUR</f>
        <v>49800.7547314968</v>
      </c>
      <c r="AY22" s="33" t="n">
        <f aca="false">'P&amp;L monthly'!AY22/FX_EUR</f>
        <v>52014.773998537</v>
      </c>
      <c r="AZ22" s="33" t="n">
        <f aca="false">'P&amp;L monthly'!AZ22/FX_EUR</f>
        <v>54202.9500380405</v>
      </c>
      <c r="BA22" s="33" t="n">
        <f aca="false">'P&amp;L monthly'!BA22/FX_EUR</f>
        <v>56482.8039300651</v>
      </c>
      <c r="BB22" s="33" t="n">
        <f aca="false">'P&amp;L monthly'!BB22/FX_EUR</f>
        <v>58887.9290710439</v>
      </c>
      <c r="BC22" s="33" t="n">
        <f aca="false">'P&amp;L monthly'!BC22/FX_EUR</f>
        <v>61315.1315610148</v>
      </c>
      <c r="BD22" s="33" t="n">
        <f aca="false">'P&amp;L monthly'!BD22/FX_EUR</f>
        <v>63752.303983672</v>
      </c>
      <c r="BE22" s="33" t="n">
        <f aca="false">'P&amp;L monthly'!BE22/FX_EUR</f>
        <v>66169.4857296695</v>
      </c>
      <c r="BF22" s="33" t="n">
        <f aca="false">'P&amp;L monthly'!BF22/FX_EUR</f>
        <v>68643.9490328635</v>
      </c>
      <c r="BG22" s="33" t="n">
        <f aca="false">'P&amp;L monthly'!BG22/FX_EUR</f>
        <v>71129.8163194641</v>
      </c>
      <c r="BH22" s="33" t="n">
        <f aca="false">'P&amp;L monthly'!BH22/FX_EUR</f>
        <v>73640.7625786283</v>
      </c>
      <c r="BI22" s="33" t="n">
        <f aca="false">'P&amp;L monthly'!BI22/FX_EUR</f>
        <v>76170.5725706325</v>
      </c>
      <c r="BJ22" s="33" t="n">
        <f aca="false">'P&amp;L monthly'!BJ22/FX_EUR</f>
        <v>78759.5456911122</v>
      </c>
      <c r="BK22" s="33" t="n">
        <f aca="false">'P&amp;L monthly'!BK22/FX_EUR</f>
        <v>81360.175364685</v>
      </c>
      <c r="BL22" s="33" t="n">
        <f aca="false">'P&amp;L monthly'!BL22/FX_EUR</f>
        <v>83977.2979708625</v>
      </c>
    </row>
    <row r="23" customFormat="false" ht="15" hidden="false" customHeight="true" outlineLevel="0" collapsed="false">
      <c r="A23" s="9" t="s">
        <v>93</v>
      </c>
      <c r="B23" s="15" t="s">
        <v>79</v>
      </c>
      <c r="D23" s="56" t="n">
        <f aca="false">'P&amp;L monthly'!D23/FX_EUR</f>
        <v>36737978.4558957</v>
      </c>
      <c r="E23" s="17" t="n">
        <f aca="false">'P&amp;L monthly'!E23/FX_EUR</f>
        <v>0</v>
      </c>
      <c r="F23" s="17" t="n">
        <f aca="false">'P&amp;L monthly'!F23/FX_EUR</f>
        <v>0</v>
      </c>
      <c r="G23" s="17" t="n">
        <f aca="false">'P&amp;L monthly'!G23/FX_EUR</f>
        <v>0</v>
      </c>
      <c r="H23" s="17" t="n">
        <f aca="false">'P&amp;L monthly'!H23/FX_EUR</f>
        <v>0</v>
      </c>
      <c r="I23" s="17" t="n">
        <f aca="false">'P&amp;L monthly'!I23/FX_EUR</f>
        <v>5616.83311558532</v>
      </c>
      <c r="J23" s="17" t="n">
        <f aca="false">'P&amp;L monthly'!J23/FX_EUR</f>
        <v>12451.4958716806</v>
      </c>
      <c r="K23" s="17" t="n">
        <f aca="false">'P&amp;L monthly'!K23/FX_EUR</f>
        <v>19275.1413611239</v>
      </c>
      <c r="L23" s="17" t="n">
        <f aca="false">'P&amp;L monthly'!L23/FX_EUR</f>
        <v>26092.228745985</v>
      </c>
      <c r="M23" s="17" t="n">
        <f aca="false">'P&amp;L monthly'!M23/FX_EUR</f>
        <v>32907.4129136474</v>
      </c>
      <c r="N23" s="17" t="n">
        <f aca="false">'P&amp;L monthly'!N23/FX_EUR</f>
        <v>39725.5573547621</v>
      </c>
      <c r="O23" s="17" t="n">
        <f aca="false">'P&amp;L monthly'!O23/FX_EUR</f>
        <v>46908.0022306671</v>
      </c>
      <c r="P23" s="17" t="n">
        <f aca="false">'P&amp;L monthly'!P23/FX_EUR</f>
        <v>54206.2317073243</v>
      </c>
      <c r="Q23" s="17" t="n">
        <f aca="false">'P&amp;L monthly'!Q23/FX_EUR</f>
        <v>64329.3270610935</v>
      </c>
      <c r="R23" s="17" t="n">
        <f aca="false">'P&amp;L monthly'!R23/FX_EUR</f>
        <v>75219.8636661444</v>
      </c>
      <c r="S23" s="17" t="n">
        <f aca="false">'P&amp;L monthly'!S23/FX_EUR</f>
        <v>86445.2520211173</v>
      </c>
      <c r="T23" s="17" t="n">
        <f aca="false">'P&amp;L monthly'!T23/FX_EUR</f>
        <v>98013.1342092256</v>
      </c>
      <c r="U23" s="17" t="n">
        <f aca="false">'P&amp;L monthly'!U23/FX_EUR</f>
        <v>109931.994174405</v>
      </c>
      <c r="V23" s="17" t="n">
        <f aca="false">'P&amp;L monthly'!V23/FX_EUR</f>
        <v>122832.307753165</v>
      </c>
      <c r="W23" s="17" t="n">
        <f aca="false">'P&amp;L monthly'!W23/FX_EUR</f>
        <v>141415.85366242</v>
      </c>
      <c r="X23" s="17" t="n">
        <f aca="false">'P&amp;L monthly'!X23/FX_EUR</f>
        <v>161693.102301037</v>
      </c>
      <c r="Y23" s="17" t="n">
        <f aca="false">'P&amp;L monthly'!Y23/FX_EUR</f>
        <v>183893.434377241</v>
      </c>
      <c r="Z23" s="17" t="n">
        <f aca="false">'P&amp;L monthly'!Z23/FX_EUR</f>
        <v>207154.704131572</v>
      </c>
      <c r="AA23" s="17" t="n">
        <f aca="false">'P&amp;L monthly'!AA23/FX_EUR</f>
        <v>229868.167030909</v>
      </c>
      <c r="AB23" s="17" t="n">
        <f aca="false">'P&amp;L monthly'!AB23/FX_EUR</f>
        <v>253216.077516312</v>
      </c>
      <c r="AC23" s="17" t="n">
        <f aca="false">'P&amp;L monthly'!AC23/FX_EUR</f>
        <v>283219.755658383</v>
      </c>
      <c r="AD23" s="17" t="n">
        <f aca="false">'P&amp;L monthly'!AD23/FX_EUR</f>
        <v>312137.647023746</v>
      </c>
      <c r="AE23" s="17" t="n">
        <f aca="false">'P&amp;L monthly'!AE23/FX_EUR</f>
        <v>342848.648018126</v>
      </c>
      <c r="AF23" s="17" t="n">
        <f aca="false">'P&amp;L monthly'!AF23/FX_EUR</f>
        <v>374395.694052296</v>
      </c>
      <c r="AG23" s="17" t="n">
        <f aca="false">'P&amp;L monthly'!AG23/FX_EUR</f>
        <v>406464.393591309</v>
      </c>
      <c r="AH23" s="17" t="n">
        <f aca="false">'P&amp;L monthly'!AH23/FX_EUR</f>
        <v>436976.316919143</v>
      </c>
      <c r="AI23" s="17" t="n">
        <f aca="false">'P&amp;L monthly'!AI23/FX_EUR</f>
        <v>468463.71724393</v>
      </c>
      <c r="AJ23" s="17" t="n">
        <f aca="false">'P&amp;L monthly'!AJ23/FX_EUR</f>
        <v>500429.600310151</v>
      </c>
      <c r="AK23" s="17" t="n">
        <f aca="false">'P&amp;L monthly'!AK23/FX_EUR</f>
        <v>532540.447821964</v>
      </c>
      <c r="AL23" s="17" t="n">
        <f aca="false">'P&amp;L monthly'!AL23/FX_EUR</f>
        <v>564814.409315016</v>
      </c>
      <c r="AM23" s="17" t="n">
        <f aca="false">'P&amp;L monthly'!AM23/FX_EUR</f>
        <v>598654.985170662</v>
      </c>
      <c r="AN23" s="17" t="n">
        <f aca="false">'P&amp;L monthly'!AN23/FX_EUR</f>
        <v>633066.939552342</v>
      </c>
      <c r="AO23" s="17" t="n">
        <f aca="false">'P&amp;L monthly'!AO23/FX_EUR</f>
        <v>671637.952064349</v>
      </c>
      <c r="AP23" s="17" t="n">
        <f aca="false">'P&amp;L monthly'!AP23/FX_EUR</f>
        <v>712560.785894813</v>
      </c>
      <c r="AQ23" s="17" t="n">
        <f aca="false">'P&amp;L monthly'!AQ23/FX_EUR</f>
        <v>753829.045703278</v>
      </c>
      <c r="AR23" s="17" t="n">
        <f aca="false">'P&amp;L monthly'!AR23/FX_EUR</f>
        <v>795221.726636633</v>
      </c>
      <c r="AS23" s="17" t="n">
        <f aca="false">'P&amp;L monthly'!AS23/FX_EUR</f>
        <v>838298.674128337</v>
      </c>
      <c r="AT23" s="17" t="n">
        <f aca="false">'P&amp;L monthly'!AT23/FX_EUR</f>
        <v>882018.029075127</v>
      </c>
      <c r="AU23" s="17" t="n">
        <f aca="false">'P&amp;L monthly'!AU23/FX_EUR</f>
        <v>926188.249147346</v>
      </c>
      <c r="AV23" s="17" t="n">
        <f aca="false">'P&amp;L monthly'!AV23/FX_EUR</f>
        <v>973264.544411095</v>
      </c>
      <c r="AW23" s="17" t="n">
        <f aca="false">'P&amp;L monthly'!AW23/FX_EUR</f>
        <v>1021018.86130507</v>
      </c>
      <c r="AX23" s="17" t="n">
        <f aca="false">'P&amp;L monthly'!AX23/FX_EUR</f>
        <v>1069835.89578825</v>
      </c>
      <c r="AY23" s="17" t="n">
        <f aca="false">'P&amp;L monthly'!AY23/FX_EUR</f>
        <v>1118631.44229173</v>
      </c>
      <c r="AZ23" s="17" t="n">
        <f aca="false">'P&amp;L monthly'!AZ23/FX_EUR</f>
        <v>1167189.36895637</v>
      </c>
      <c r="BA23" s="17" t="n">
        <f aca="false">'P&amp;L monthly'!BA23/FX_EUR</f>
        <v>1220597.84362374</v>
      </c>
      <c r="BB23" s="17" t="n">
        <f aca="false">'P&amp;L monthly'!BB23/FX_EUR</f>
        <v>1274722.60538126</v>
      </c>
      <c r="BC23" s="17" t="n">
        <f aca="false">'P&amp;L monthly'!BC23/FX_EUR</f>
        <v>1329867.3591538</v>
      </c>
      <c r="BD23" s="17" t="n">
        <f aca="false">'P&amp;L monthly'!BD23/FX_EUR</f>
        <v>1385023.96616439</v>
      </c>
      <c r="BE23" s="17" t="n">
        <f aca="false">'P&amp;L monthly'!BE23/FX_EUR</f>
        <v>1441074.87047036</v>
      </c>
      <c r="BF23" s="17" t="n">
        <f aca="false">'P&amp;L monthly'!BF23/FX_EUR</f>
        <v>1498412.7957583</v>
      </c>
      <c r="BG23" s="17" t="n">
        <f aca="false">'P&amp;L monthly'!BG23/FX_EUR</f>
        <v>1555818.47893383</v>
      </c>
      <c r="BH23" s="17" t="n">
        <f aca="false">'P&amp;L monthly'!BH23/FX_EUR</f>
        <v>1614342.6933503</v>
      </c>
      <c r="BI23" s="17" t="n">
        <f aca="false">'P&amp;L monthly'!BI23/FX_EUR</f>
        <v>1674076.00295617</v>
      </c>
      <c r="BJ23" s="17" t="n">
        <f aca="false">'P&amp;L monthly'!BJ23/FX_EUR</f>
        <v>1735178.79366916</v>
      </c>
      <c r="BK23" s="17" t="n">
        <f aca="false">'P&amp;L monthly'!BK23/FX_EUR</f>
        <v>1796177.7974381</v>
      </c>
      <c r="BL23" s="17" t="n">
        <f aca="false">'P&amp;L monthly'!BL23/FX_EUR</f>
        <v>1857781.99771141</v>
      </c>
    </row>
    <row r="25" customFormat="false" ht="15" hidden="false" customHeight="true" outlineLevel="0" collapsed="false">
      <c r="A25" s="11" t="s">
        <v>1329</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row>
    <row r="26" customFormat="false" ht="15" hidden="false" customHeight="true" outlineLevel="0" collapsed="false">
      <c r="A26" s="13" t="s">
        <v>1330</v>
      </c>
      <c r="B26" s="15" t="s">
        <v>79</v>
      </c>
      <c r="D26" s="56" t="n">
        <f aca="false">'P&amp;L monthly'!D26/FX_EUR</f>
        <v>563591.025067637</v>
      </c>
      <c r="E26" s="33" t="n">
        <f aca="false">'P&amp;L monthly'!E26/FX_EUR</f>
        <v>0</v>
      </c>
      <c r="F26" s="33" t="n">
        <f aca="false">'P&amp;L monthly'!F26/FX_EUR</f>
        <v>0</v>
      </c>
      <c r="G26" s="33" t="n">
        <f aca="false">'P&amp;L monthly'!G26/FX_EUR</f>
        <v>0</v>
      </c>
      <c r="H26" s="33" t="n">
        <f aca="false">'P&amp;L monthly'!H26/FX_EUR</f>
        <v>0</v>
      </c>
      <c r="I26" s="33" t="n">
        <f aca="false">'P&amp;L monthly'!I26/FX_EUR</f>
        <v>361.974946528507</v>
      </c>
      <c r="J26" s="33" t="n">
        <f aca="false">'P&amp;L monthly'!J26/FX_EUR</f>
        <v>476.738109357778</v>
      </c>
      <c r="K26" s="33" t="n">
        <f aca="false">'P&amp;L monthly'!K26/FX_EUR</f>
        <v>590.958193143758</v>
      </c>
      <c r="L26" s="33" t="n">
        <f aca="false">'P&amp;L monthly'!L26/FX_EUR</f>
        <v>704.72729680928</v>
      </c>
      <c r="M26" s="33" t="n">
        <f aca="false">'P&amp;L monthly'!M26/FX_EUR</f>
        <v>818.140809655983</v>
      </c>
      <c r="N26" s="33" t="n">
        <f aca="false">'P&amp;L monthly'!N26/FX_EUR</f>
        <v>931.297650575867</v>
      </c>
      <c r="O26" s="33" t="n">
        <f aca="false">'P&amp;L monthly'!O26/FX_EUR</f>
        <v>1044.30052081403</v>
      </c>
      <c r="P26" s="33" t="n">
        <f aca="false">'P&amp;L monthly'!P26/FX_EUR</f>
        <v>1157.25617111122</v>
      </c>
      <c r="Q26" s="33" t="n">
        <f aca="false">'P&amp;L monthly'!Q26/FX_EUR</f>
        <v>1398.08894015625</v>
      </c>
      <c r="R26" s="33" t="n">
        <f aca="false">'P&amp;L monthly'!R26/FX_EUR</f>
        <v>1550.57063438226</v>
      </c>
      <c r="S26" s="33" t="n">
        <f aca="false">'P&amp;L monthly'!S26/FX_EUR</f>
        <v>1702.70520962612</v>
      </c>
      <c r="T26" s="33" t="n">
        <f aca="false">'P&amp;L monthly'!T26/FX_EUR</f>
        <v>1854.63007161227</v>
      </c>
      <c r="U26" s="33" t="n">
        <f aca="false">'P&amp;L monthly'!U26/FX_EUR</f>
        <v>2006.48804693741</v>
      </c>
      <c r="V26" s="33" t="n">
        <f aca="false">'P&amp;L monthly'!V26/FX_EUR</f>
        <v>2158.42776093929</v>
      </c>
      <c r="W26" s="33" t="n">
        <f aca="false">'P&amp;L monthly'!W26/FX_EUR</f>
        <v>2587.695370961</v>
      </c>
      <c r="X26" s="33" t="n">
        <f aca="false">'P&amp;L monthly'!X26/FX_EUR</f>
        <v>2828.06626256526</v>
      </c>
      <c r="Y26" s="33" t="n">
        <f aca="false">'P&amp;L monthly'!Y26/FX_EUR</f>
        <v>3127.10837189794</v>
      </c>
      <c r="Z26" s="33" t="n">
        <f aca="false">'P&amp;L monthly'!Z26/FX_EUR</f>
        <v>3385.97851676779</v>
      </c>
      <c r="AA26" s="33" t="n">
        <f aca="false">'P&amp;L monthly'!AA26/FX_EUR</f>
        <v>3645.18471782632</v>
      </c>
      <c r="AB26" s="33" t="n">
        <f aca="false">'P&amp;L monthly'!AB26/FX_EUR</f>
        <v>3904.9995638662</v>
      </c>
      <c r="AC26" s="33" t="n">
        <f aca="false">'P&amp;L monthly'!AC26/FX_EUR</f>
        <v>4422.30968999023</v>
      </c>
      <c r="AD26" s="33" t="n">
        <f aca="false">'P&amp;L monthly'!AD26/FX_EUR</f>
        <v>4763.0729076823</v>
      </c>
      <c r="AE26" s="33" t="n">
        <f aca="false">'P&amp;L monthly'!AE26/FX_EUR</f>
        <v>5162.57769959235</v>
      </c>
      <c r="AF26" s="33" t="n">
        <f aca="false">'P&amp;L monthly'!AF26/FX_EUR</f>
        <v>5522.08326299558</v>
      </c>
      <c r="AG26" s="33" t="n">
        <f aca="false">'P&amp;L monthly'!AG26/FX_EUR</f>
        <v>19884.6512755944</v>
      </c>
      <c r="AH26" s="33" t="n">
        <f aca="false">'P&amp;L monthly'!AH26/FX_EUR</f>
        <v>7251.8921821531</v>
      </c>
      <c r="AI26" s="33" t="n">
        <f aca="false">'P&amp;L monthly'!AI26/FX_EUR</f>
        <v>7728.58155403782</v>
      </c>
      <c r="AJ26" s="33" t="n">
        <f aca="false">'P&amp;L monthly'!AJ26/FX_EUR</f>
        <v>8117.57709566648</v>
      </c>
      <c r="AK26" s="33" t="n">
        <f aca="false">'P&amp;L monthly'!AK26/FX_EUR</f>
        <v>8509.55453315582</v>
      </c>
      <c r="AL26" s="33" t="n">
        <f aca="false">'P&amp;L monthly'!AL26/FX_EUR</f>
        <v>8905.0311782906</v>
      </c>
      <c r="AM26" s="33" t="n">
        <f aca="false">'P&amp;L monthly'!AM26/FX_EUR</f>
        <v>9412.48326081311</v>
      </c>
      <c r="AN26" s="33" t="n">
        <f aca="false">'P&amp;L monthly'!AN26/FX_EUR</f>
        <v>9834.06886148101</v>
      </c>
      <c r="AO26" s="33" t="n">
        <f aca="false">'P&amp;L monthly'!AO26/FX_EUR</f>
        <v>10593.3686291783</v>
      </c>
      <c r="AP26" s="33" t="n">
        <f aca="false">'P&amp;L monthly'!AP26/FX_EUR</f>
        <v>11187.1821986969</v>
      </c>
      <c r="AQ26" s="33" t="n">
        <f aca="false">'P&amp;L monthly'!AQ26/FX_EUR</f>
        <v>11695.8403133673</v>
      </c>
      <c r="AR26" s="33" t="n">
        <f aca="false">'P&amp;L monthly'!AR26/FX_EUR</f>
        <v>12210.2445620442</v>
      </c>
      <c r="AS26" s="33" t="n">
        <f aca="false">'P&amp;L monthly'!AS26/FX_EUR</f>
        <v>12839.0842781551</v>
      </c>
      <c r="AT26" s="33" t="n">
        <f aca="false">'P&amp;L monthly'!AT26/FX_EUR</f>
        <v>13384.7420471946</v>
      </c>
      <c r="AU26" s="33" t="n">
        <f aca="false">'P&amp;L monthly'!AU26/FX_EUR</f>
        <v>13938.2389289347</v>
      </c>
      <c r="AV26" s="33" t="n">
        <f aca="false">'P&amp;L monthly'!AV26/FX_EUR</f>
        <v>14705.5314036915</v>
      </c>
      <c r="AW26" s="33" t="n">
        <f aca="false">'P&amp;L monthly'!AW26/FX_EUR</f>
        <v>15279.7278451876</v>
      </c>
      <c r="AX26" s="33" t="n">
        <f aca="false">'P&amp;L monthly'!AX26/FX_EUR</f>
        <v>15931.1728150204</v>
      </c>
      <c r="AY26" s="33" t="n">
        <f aca="false">'P&amp;L monthly'!AY26/FX_EUR</f>
        <v>16488.5654521949</v>
      </c>
      <c r="AZ26" s="33" t="n">
        <f aca="false">'P&amp;L monthly'!AZ26/FX_EUR</f>
        <v>17042.4761714962</v>
      </c>
      <c r="BA26" s="33" t="n">
        <f aca="false">'P&amp;L monthly'!BA26/FX_EUR</f>
        <v>18035.8347895033</v>
      </c>
      <c r="BB26" s="33" t="n">
        <f aca="false">'P&amp;L monthly'!BB26/FX_EUR</f>
        <v>18655.5707839179</v>
      </c>
      <c r="BC26" s="33" t="n">
        <f aca="false">'P&amp;L monthly'!BC26/FX_EUR</f>
        <v>19379.8136929752</v>
      </c>
      <c r="BD26" s="33" t="n">
        <f aca="false">'P&amp;L monthly'!BD26/FX_EUR</f>
        <v>20010.6173575222</v>
      </c>
      <c r="BE26" s="33" t="n">
        <f aca="false">'P&amp;L monthly'!BE26/FX_EUR</f>
        <v>20735.790165606</v>
      </c>
      <c r="BF26" s="33" t="n">
        <f aca="false">'P&amp;L monthly'!BF26/FX_EUR</f>
        <v>21485.1992939346</v>
      </c>
      <c r="BG26" s="33" t="n">
        <f aca="false">'P&amp;L monthly'!BG26/FX_EUR</f>
        <v>22142.1237059409</v>
      </c>
      <c r="BH26" s="33" t="n">
        <f aca="false">'P&amp;L monthly'!BH26/FX_EUR</f>
        <v>22905.2301523652</v>
      </c>
      <c r="BI26" s="33" t="n">
        <f aca="false">'P&amp;L monthly'!BI26/FX_EUR</f>
        <v>23673.8200841286</v>
      </c>
      <c r="BJ26" s="33" t="n">
        <f aca="false">'P&amp;L monthly'!BJ26/FX_EUR</f>
        <v>24468.0389318424</v>
      </c>
      <c r="BK26" s="33" t="n">
        <f aca="false">'P&amp;L monthly'!BK26/FX_EUR</f>
        <v>25148.1384918086</v>
      </c>
      <c r="BL26" s="33" t="n">
        <f aca="false">'P&amp;L monthly'!BL26/FX_EUR</f>
        <v>25905.4523059429</v>
      </c>
    </row>
    <row r="27" customFormat="false" ht="15" hidden="false" customHeight="true" outlineLevel="0" collapsed="false">
      <c r="A27" s="13" t="s">
        <v>1331</v>
      </c>
      <c r="B27" s="15" t="s">
        <v>79</v>
      </c>
      <c r="D27" s="56" t="n">
        <f aca="false">'P&amp;L monthly'!D27/FX_EUR</f>
        <v>7586612.24091709</v>
      </c>
      <c r="E27" s="33" t="n">
        <f aca="false">'P&amp;L monthly'!E27/FX_EUR</f>
        <v>0</v>
      </c>
      <c r="F27" s="33" t="n">
        <f aca="false">'P&amp;L monthly'!F27/FX_EUR</f>
        <v>0</v>
      </c>
      <c r="G27" s="33" t="n">
        <f aca="false">'P&amp;L monthly'!G27/FX_EUR</f>
        <v>0</v>
      </c>
      <c r="H27" s="33" t="n">
        <f aca="false">'P&amp;L monthly'!H27/FX_EUR</f>
        <v>0</v>
      </c>
      <c r="I27" s="33" t="n">
        <f aca="false">'P&amp;L monthly'!I27/FX_EUR</f>
        <v>2241.22821058901</v>
      </c>
      <c r="J27" s="33" t="n">
        <f aca="false">'P&amp;L monthly'!J27/FX_EUR</f>
        <v>4074.57386180293</v>
      </c>
      <c r="K27" s="33" t="n">
        <f aca="false">'P&amp;L monthly'!K27/FX_EUR</f>
        <v>5904.70785150551</v>
      </c>
      <c r="L27" s="33" t="n">
        <f aca="false">'P&amp;L monthly'!L27/FX_EUR</f>
        <v>7732.85703652596</v>
      </c>
      <c r="M27" s="33" t="n">
        <f aca="false">'P&amp;L monthly'!M27/FX_EUR</f>
        <v>9560.3015652651</v>
      </c>
      <c r="N27" s="33" t="n">
        <f aca="false">'P&amp;L monthly'!N27/FX_EUR</f>
        <v>11388.3783993504</v>
      </c>
      <c r="O27" s="33" t="n">
        <f aca="false">'P&amp;L monthly'!O27/FX_EUR</f>
        <v>13218.4850409951</v>
      </c>
      <c r="P27" s="33" t="n">
        <f aca="false">'P&amp;L monthly'!P27/FX_EUR</f>
        <v>15052.0834785058</v>
      </c>
      <c r="Q27" s="33" t="n">
        <f aca="false">'P&amp;L monthly'!Q27/FX_EUR</f>
        <v>17682.0814401808</v>
      </c>
      <c r="R27" s="33" t="n">
        <f aca="false">'P&amp;L monthly'!R27/FX_EUR</f>
        <v>20167.0032328666</v>
      </c>
      <c r="S27" s="33" t="n">
        <f aca="false">'P&amp;L monthly'!S27/FX_EUR</f>
        <v>22652.4308418025</v>
      </c>
      <c r="T27" s="33" t="n">
        <f aca="false">'P&amp;L monthly'!T27/FX_EUR</f>
        <v>25140.237334483</v>
      </c>
      <c r="U27" s="33" t="n">
        <f aca="false">'P&amp;L monthly'!U27/FX_EUR</f>
        <v>27632.3820537648</v>
      </c>
      <c r="V27" s="33" t="n">
        <f aca="false">'P&amp;L monthly'!V27/FX_EUR</f>
        <v>30130.9162074987</v>
      </c>
      <c r="W27" s="33" t="n">
        <f aca="false">'P&amp;L monthly'!W27/FX_EUR</f>
        <v>34353.6459611346</v>
      </c>
      <c r="X27" s="33" t="n">
        <f aca="false">'P&amp;L monthly'!X27/FX_EUR</f>
        <v>38274.5965691369</v>
      </c>
      <c r="Y27" s="33" t="n">
        <f aca="false">'P&amp;L monthly'!Y27/FX_EUR</f>
        <v>42568.4139546362</v>
      </c>
      <c r="Z27" s="33" t="n">
        <f aca="false">'P&amp;L monthly'!Z27/FX_EUR</f>
        <v>46806.559695163</v>
      </c>
      <c r="AA27" s="33" t="n">
        <f aca="false">'P&amp;L monthly'!AA27/FX_EUR</f>
        <v>51058.5138088853</v>
      </c>
      <c r="AB27" s="33" t="n">
        <f aca="false">'P&amp;L monthly'!AB27/FX_EUR</f>
        <v>55328.0731164583</v>
      </c>
      <c r="AC27" s="33" t="n">
        <f aca="false">'P&amp;L monthly'!AC27/FX_EUR</f>
        <v>61208.0155753625</v>
      </c>
      <c r="AD27" s="33" t="n">
        <f aca="false">'P&amp;L monthly'!AD27/FX_EUR</f>
        <v>66809.1637566929</v>
      </c>
      <c r="AE27" s="33" t="n">
        <f aca="false">'P&amp;L monthly'!AE27/FX_EUR</f>
        <v>72787.2706603017</v>
      </c>
      <c r="AF27" s="33" t="n">
        <f aca="false">'P&amp;L monthly'!AF27/FX_EUR</f>
        <v>78715.2243137615</v>
      </c>
      <c r="AG27" s="33" t="n">
        <f aca="false">'P&amp;L monthly'!AG27/FX_EUR</f>
        <v>84664.0002832958</v>
      </c>
      <c r="AH27" s="33" t="n">
        <f aca="false">'P&amp;L monthly'!AH27/FX_EUR</f>
        <v>90638.9644393329</v>
      </c>
      <c r="AI27" s="33" t="n">
        <f aca="false">'P&amp;L monthly'!AI27/FX_EUR</f>
        <v>97008.2095372708</v>
      </c>
      <c r="AJ27" s="33" t="n">
        <f aca="false">'P&amp;L monthly'!AJ27/FX_EUR</f>
        <v>103345.701629278</v>
      </c>
      <c r="AK27" s="33" t="n">
        <f aca="false">'P&amp;L monthly'!AK27/FX_EUR</f>
        <v>109723.558764134</v>
      </c>
      <c r="AL27" s="33" t="n">
        <f aca="false">'P&amp;L monthly'!AL27/FX_EUR</f>
        <v>116148.357619671</v>
      </c>
      <c r="AM27" s="33" t="n">
        <f aca="false">'P&amp;L monthly'!AM27/FX_EUR</f>
        <v>122989.474182503</v>
      </c>
      <c r="AN27" s="33" t="n">
        <f aca="false">'P&amp;L monthly'!AN27/FX_EUR</f>
        <v>129822.23450479</v>
      </c>
      <c r="AO27" s="33" t="n">
        <f aca="false">'P&amp;L monthly'!AO27/FX_EUR</f>
        <v>137837.791591893</v>
      </c>
      <c r="AP27" s="33" t="n">
        <f aca="false">'P&amp;L monthly'!AP27/FX_EUR</f>
        <v>146074.882807443</v>
      </c>
      <c r="AQ27" s="33" t="n">
        <f aca="false">'P&amp;L monthly'!AQ27/FX_EUR</f>
        <v>154313.313877847</v>
      </c>
      <c r="AR27" s="33" t="n">
        <f aca="false">'P&amp;L monthly'!AR27/FX_EUR</f>
        <v>162628.133932657</v>
      </c>
      <c r="AS27" s="33" t="n">
        <f aca="false">'P&amp;L monthly'!AS27/FX_EUR</f>
        <v>171391.476424047</v>
      </c>
      <c r="AT27" s="33" t="n">
        <f aca="false">'P&amp;L monthly'!AT27/FX_EUR</f>
        <v>180181.576653558</v>
      </c>
      <c r="AU27" s="33" t="n">
        <f aca="false">'P&amp;L monthly'!AU27/FX_EUR</f>
        <v>189075.064396228</v>
      </c>
      <c r="AV27" s="33" t="n">
        <f aca="false">'P&amp;L monthly'!AV27/FX_EUR</f>
        <v>198771.964577692</v>
      </c>
      <c r="AW27" s="33" t="n">
        <f aca="false">'P&amp;L monthly'!AW27/FX_EUR</f>
        <v>208359.975037016</v>
      </c>
      <c r="AX27" s="33" t="n">
        <f aca="false">'P&amp;L monthly'!AX27/FX_EUR</f>
        <v>218239.110008226</v>
      </c>
      <c r="AY27" s="33" t="n">
        <f aca="false">'P&amp;L monthly'!AY27/FX_EUR</f>
        <v>228001.436090938</v>
      </c>
      <c r="AZ27" s="33" t="n">
        <f aca="false">'P&amp;L monthly'!AZ27/FX_EUR</f>
        <v>237717.510590928</v>
      </c>
      <c r="BA27" s="33" t="n">
        <f aca="false">'P&amp;L monthly'!BA27/FX_EUR</f>
        <v>248878.304628667</v>
      </c>
      <c r="BB27" s="33" t="n">
        <f aca="false">'P&amp;L monthly'!BB27/FX_EUR</f>
        <v>259717.904841637</v>
      </c>
      <c r="BC27" s="33" t="n">
        <f aca="false">'P&amp;L monthly'!BC27/FX_EUR</f>
        <v>270874.258917159</v>
      </c>
      <c r="BD27" s="33" t="n">
        <f aca="false">'P&amp;L monthly'!BD27/FX_EUR</f>
        <v>281921.098961372</v>
      </c>
      <c r="BE27" s="33" t="n">
        <f aca="false">'P&amp;L monthly'!BE27/FX_EUR</f>
        <v>293256.451078716</v>
      </c>
      <c r="BF27" s="33" t="n">
        <f aca="false">'P&amp;L monthly'!BF27/FX_EUR</f>
        <v>304860.217938352</v>
      </c>
      <c r="BG27" s="33" t="n">
        <f aca="false">'P&amp;L monthly'!BG27/FX_EUR</f>
        <v>316366.217417854</v>
      </c>
      <c r="BH27" s="33" t="n">
        <f aca="false">'P&amp;L monthly'!BH27/FX_EUR</f>
        <v>328209.582485945</v>
      </c>
      <c r="BI27" s="33" t="n">
        <f aca="false">'P&amp;L monthly'!BI27/FX_EUR</f>
        <v>340291.685477384</v>
      </c>
      <c r="BJ27" s="33" t="n">
        <f aca="false">'P&amp;L monthly'!BJ27/FX_EUR</f>
        <v>352659.555663364</v>
      </c>
      <c r="BK27" s="33" t="n">
        <f aca="false">'P&amp;L monthly'!BK27/FX_EUR</f>
        <v>364870.680300471</v>
      </c>
      <c r="BL27" s="33" t="n">
        <f aca="false">'P&amp;L monthly'!BL27/FX_EUR</f>
        <v>377286.402290756</v>
      </c>
    </row>
    <row r="28" customFormat="false" ht="15" hidden="false" customHeight="true" outlineLevel="0" collapsed="false">
      <c r="A28" s="13" t="s">
        <v>1332</v>
      </c>
      <c r="B28" s="15" t="s">
        <v>79</v>
      </c>
      <c r="D28" s="56" t="n">
        <f aca="false">'P&amp;L monthly'!D28/FX_EUR</f>
        <v>10817895.3413645</v>
      </c>
      <c r="E28" s="33" t="n">
        <f aca="false">'P&amp;L monthly'!E28/FX_EUR</f>
        <v>0</v>
      </c>
      <c r="F28" s="33" t="n">
        <f aca="false">'P&amp;L monthly'!F28/FX_EUR</f>
        <v>0</v>
      </c>
      <c r="G28" s="33" t="n">
        <f aca="false">'P&amp;L monthly'!G28/FX_EUR</f>
        <v>0</v>
      </c>
      <c r="H28" s="33" t="n">
        <f aca="false">'P&amp;L monthly'!H28/FX_EUR</f>
        <v>0</v>
      </c>
      <c r="I28" s="33" t="n">
        <f aca="false">'P&amp;L monthly'!I28/FX_EUR</f>
        <v>1759.53759164092</v>
      </c>
      <c r="J28" s="33" t="n">
        <f aca="false">'P&amp;L monthly'!J28/FX_EUR</f>
        <v>3516.63473749042</v>
      </c>
      <c r="K28" s="33" t="n">
        <f aca="false">'P&amp;L monthly'!K28/FX_EUR</f>
        <v>5272.37653785805</v>
      </c>
      <c r="L28" s="33" t="n">
        <f aca="false">'P&amp;L monthly'!L28/FX_EUR</f>
        <v>7027.89695776317</v>
      </c>
      <c r="M28" s="33" t="n">
        <f aca="false">'P&amp;L monthly'!M28/FX_EUR</f>
        <v>8784.38200292722</v>
      </c>
      <c r="N28" s="33" t="n">
        <f aca="false">'P&amp;L monthly'!N28/FX_EUR</f>
        <v>10543.0730822712</v>
      </c>
      <c r="O28" s="33" t="n">
        <f aca="false">'P&amp;L monthly'!O28/FX_EUR</f>
        <v>12305.2705681806</v>
      </c>
      <c r="P28" s="33" t="n">
        <f aca="false">'P&amp;L monthly'!P28/FX_EUR</f>
        <v>14072.3375664749</v>
      </c>
      <c r="Q28" s="33" t="n">
        <f aca="false">'P&amp;L monthly'!Q28/FX_EUR</f>
        <v>16922.032437122</v>
      </c>
      <c r="R28" s="33" t="n">
        <f aca="false">'P&amp;L monthly'!R28/FX_EUR</f>
        <v>19904.5359509138</v>
      </c>
      <c r="S28" s="33" t="n">
        <f aca="false">'P&amp;L monthly'!S28/FX_EUR</f>
        <v>23021.4862099314</v>
      </c>
      <c r="T28" s="33" t="n">
        <f aca="false">'P&amp;L monthly'!T28/FX_EUR</f>
        <v>26274.7990078205</v>
      </c>
      <c r="U28" s="33" t="n">
        <f aca="false">'P&amp;L monthly'!U28/FX_EUR</f>
        <v>29666.6840863613</v>
      </c>
      <c r="V28" s="33" t="n">
        <f aca="false">'P&amp;L monthly'!V28/FX_EUR</f>
        <v>33621.4844750888</v>
      </c>
      <c r="W28" s="33" t="n">
        <f aca="false">'P&amp;L monthly'!W28/FX_EUR</f>
        <v>39440.6366982192</v>
      </c>
      <c r="X28" s="33" t="n">
        <f aca="false">'P&amp;L monthly'!X28/FX_EUR</f>
        <v>45590.6933085565</v>
      </c>
      <c r="Y28" s="33" t="n">
        <f aca="false">'P&amp;L monthly'!Y28/FX_EUR</f>
        <v>52449.0548877872</v>
      </c>
      <c r="Z28" s="33" t="n">
        <f aca="false">'P&amp;L monthly'!Z28/FX_EUR</f>
        <v>59668.4913788048</v>
      </c>
      <c r="AA28" s="33" t="n">
        <f aca="false">'P&amp;L monthly'!AA28/FX_EUR</f>
        <v>67254.899955115</v>
      </c>
      <c r="AB28" s="33" t="n">
        <f aca="false">'P&amp;L monthly'!AB28/FX_EUR</f>
        <v>75215.006410193</v>
      </c>
      <c r="AC28" s="33" t="n">
        <f aca="false">'P&amp;L monthly'!AC28/FX_EUR</f>
        <v>83810.9078335519</v>
      </c>
      <c r="AD28" s="33" t="n">
        <f aca="false">'P&amp;L monthly'!AD28/FX_EUR</f>
        <v>92584.1774792187</v>
      </c>
      <c r="AE28" s="33" t="n">
        <f aca="false">'P&amp;L monthly'!AE28/FX_EUR</f>
        <v>101963.41472024</v>
      </c>
      <c r="AF28" s="33" t="n">
        <f aca="false">'P&amp;L monthly'!AF28/FX_EUR</f>
        <v>111537.915960889</v>
      </c>
      <c r="AG28" s="33" t="n">
        <f aca="false">'P&amp;L monthly'!AG28/FX_EUR</f>
        <v>121315.655751079</v>
      </c>
      <c r="AH28" s="33" t="n">
        <f aca="false">'P&amp;L monthly'!AH28/FX_EUR</f>
        <v>130030.408199959</v>
      </c>
      <c r="AI28" s="33" t="n">
        <f aca="false">'P&amp;L monthly'!AI28/FX_EUR</f>
        <v>139225.028016419</v>
      </c>
      <c r="AJ28" s="33" t="n">
        <f aca="false">'P&amp;L monthly'!AJ28/FX_EUR</f>
        <v>148472.811999811</v>
      </c>
      <c r="AK28" s="33" t="n">
        <f aca="false">'P&amp;L monthly'!AK28/FX_EUR</f>
        <v>157782.690170059</v>
      </c>
      <c r="AL28" s="33" t="n">
        <f aca="false">'P&amp;L monthly'!AL28/FX_EUR</f>
        <v>167164.051663348</v>
      </c>
      <c r="AM28" s="33" t="n">
        <f aca="false">'P&amp;L monthly'!AM28/FX_EUR</f>
        <v>177056.966279768</v>
      </c>
      <c r="AN28" s="33" t="n">
        <f aca="false">'P&amp;L monthly'!AN28/FX_EUR</f>
        <v>187036.694905484</v>
      </c>
      <c r="AO28" s="33" t="n">
        <f aca="false">'P&amp;L monthly'!AO28/FX_EUR</f>
        <v>198440.676995206</v>
      </c>
      <c r="AP28" s="33" t="n">
        <f aca="false">'P&amp;L monthly'!AP28/FX_EUR</f>
        <v>210369.0363603</v>
      </c>
      <c r="AQ28" s="33" t="n">
        <f aca="false">'P&amp;L monthly'!AQ28/FX_EUR</f>
        <v>222399.056710043</v>
      </c>
      <c r="AR28" s="33" t="n">
        <f aca="false">'P&amp;L monthly'!AR28/FX_EUR</f>
        <v>234543.876992695</v>
      </c>
      <c r="AS28" s="33" t="n">
        <f aca="false">'P&amp;L monthly'!AS28/FX_EUR</f>
        <v>247247.523702052</v>
      </c>
      <c r="AT28" s="33" t="n">
        <f aca="false">'P&amp;L monthly'!AT28/FX_EUR</f>
        <v>260089.433984879</v>
      </c>
      <c r="AU28" s="33" t="n">
        <f aca="false">'P&amp;L monthly'!AU28/FX_EUR</f>
        <v>273085.0286642</v>
      </c>
      <c r="AV28" s="33" t="n">
        <f aca="false">'P&amp;L monthly'!AV28/FX_EUR</f>
        <v>287067.925808377</v>
      </c>
      <c r="AW28" s="33" t="n">
        <f aca="false">'P&amp;L monthly'!AW28/FX_EUR</f>
        <v>301105.590209196</v>
      </c>
      <c r="AX28" s="33" t="n">
        <f aca="false">'P&amp;L monthly'!AX28/FX_EUR</f>
        <v>315505.245298477</v>
      </c>
      <c r="AY28" s="33" t="n">
        <f aca="false">'P&amp;L monthly'!AY28/FX_EUR</f>
        <v>329838.045691123</v>
      </c>
      <c r="AZ28" s="33" t="n">
        <f aca="false">'P&amp;L monthly'!AZ28/FX_EUR</f>
        <v>344110.586217818</v>
      </c>
      <c r="BA28" s="33" t="n">
        <f aca="false">'P&amp;L monthly'!BA28/FX_EUR</f>
        <v>360093.50781915</v>
      </c>
      <c r="BB28" s="33" t="n">
        <f aca="false">'P&amp;L monthly'!BB28/FX_EUR</f>
        <v>376009.883008165</v>
      </c>
      <c r="BC28" s="33" t="n">
        <f aca="false">'P&amp;L monthly'!BC28/FX_EUR</f>
        <v>392297.589326257</v>
      </c>
      <c r="BD28" s="33" t="n">
        <f aca="false">'P&amp;L monthly'!BD28/FX_EUR</f>
        <v>408529.48397567</v>
      </c>
      <c r="BE28" s="33" t="n">
        <f aca="false">'P&amp;L monthly'!BE28/FX_EUR</f>
        <v>425101.125463319</v>
      </c>
      <c r="BF28" s="33" t="n">
        <f aca="false">'P&amp;L monthly'!BF28/FX_EUR</f>
        <v>442059.819183883</v>
      </c>
      <c r="BG28" s="33" t="n">
        <f aca="false">'P&amp;L monthly'!BG28/FX_EUR</f>
        <v>458979.595283007</v>
      </c>
      <c r="BH28" s="33" t="n">
        <f aca="false">'P&amp;L monthly'!BH28/FX_EUR</f>
        <v>476300.272364472</v>
      </c>
      <c r="BI28" s="33" t="n">
        <f aca="false">'P&amp;L monthly'!BI28/FX_EUR</f>
        <v>493983.935893713</v>
      </c>
      <c r="BJ28" s="33" t="n">
        <f aca="false">'P&amp;L monthly'!BJ28/FX_EUR</f>
        <v>512079.7179782</v>
      </c>
      <c r="BK28" s="33" t="n">
        <f aca="false">'P&amp;L monthly'!BK28/FX_EUR</f>
        <v>530071.394643588</v>
      </c>
      <c r="BL28" s="33" t="n">
        <f aca="false">'P&amp;L monthly'!BL28/FX_EUR</f>
        <v>548294.952960359</v>
      </c>
    </row>
    <row r="29" customFormat="false" ht="15" hidden="false" customHeight="true" outlineLevel="0" collapsed="false">
      <c r="A29" s="13" t="s">
        <v>1333</v>
      </c>
      <c r="B29" s="15" t="s">
        <v>79</v>
      </c>
      <c r="D29" s="56" t="n">
        <f aca="false">'P&amp;L monthly'!D29/FX_EUR</f>
        <v>372235.504944803</v>
      </c>
      <c r="E29" s="33" t="n">
        <f aca="false">'P&amp;L monthly'!E29/FX_EUR</f>
        <v>0</v>
      </c>
      <c r="F29" s="33" t="n">
        <f aca="false">'P&amp;L monthly'!F29/FX_EUR</f>
        <v>0</v>
      </c>
      <c r="G29" s="33" t="n">
        <f aca="false">'P&amp;L monthly'!G29/FX_EUR</f>
        <v>0</v>
      </c>
      <c r="H29" s="33" t="n">
        <f aca="false">'P&amp;L monthly'!H29/FX_EUR</f>
        <v>0</v>
      </c>
      <c r="I29" s="33" t="n">
        <f aca="false">'P&amp;L monthly'!I29/FX_EUR</f>
        <v>26.3940065177036</v>
      </c>
      <c r="J29" s="33" t="n">
        <f aca="false">'P&amp;L monthly'!J29/FX_EUR</f>
        <v>52.6086262768241</v>
      </c>
      <c r="K29" s="33" t="n">
        <f aca="false">'P&amp;L monthly'!K29/FX_EUR</f>
        <v>78.6627204984473</v>
      </c>
      <c r="L29" s="33" t="n">
        <f aca="false">'P&amp;L monthly'!L29/FX_EUR</f>
        <v>104.575750505591</v>
      </c>
      <c r="M29" s="33" t="n">
        <f aca="false">'P&amp;L monthly'!M29/FX_EUR</f>
        <v>130.367823670788</v>
      </c>
      <c r="N29" s="33" t="n">
        <f aca="false">'P&amp;L monthly'!N29/FX_EUR</f>
        <v>156.059741929785</v>
      </c>
      <c r="O29" s="33" t="n">
        <f aca="false">'P&amp;L monthly'!O29/FX_EUR</f>
        <v>187.610626957401</v>
      </c>
      <c r="P29" s="33" t="n">
        <f aca="false">'P&amp;L monthly'!P29/FX_EUR</f>
        <v>220.812189364437</v>
      </c>
      <c r="Q29" s="33" t="n">
        <f aca="false">'P&amp;L monthly'!Q29/FX_EUR</f>
        <v>265.91574159398</v>
      </c>
      <c r="R29" s="33" t="n">
        <f aca="false">'P&amp;L monthly'!R29/FX_EUR</f>
        <v>313.171960777528</v>
      </c>
      <c r="S29" s="33" t="n">
        <f aca="false">'P&amp;L monthly'!S29/FX_EUR</f>
        <v>362.61480273791</v>
      </c>
      <c r="T29" s="33" t="n">
        <f aca="false">'P&amp;L monthly'!T29/FX_EUR</f>
        <v>414.28264612217</v>
      </c>
      <c r="U29" s="33" t="n">
        <f aca="false">'P&amp;L monthly'!U29/FX_EUR</f>
        <v>468.218573404743</v>
      </c>
      <c r="V29" s="33" t="n">
        <f aca="false">'P&amp;L monthly'!V29/FX_EUR</f>
        <v>524.470671778099</v>
      </c>
      <c r="W29" s="33" t="n">
        <f aca="false">'P&amp;L monthly'!W29/FX_EUR</f>
        <v>609.141827006892</v>
      </c>
      <c r="X29" s="33" t="n">
        <f aca="false">'P&amp;L monthly'!X29/FX_EUR</f>
        <v>697.390615486994</v>
      </c>
      <c r="Y29" s="33" t="n">
        <f aca="false">'P&amp;L monthly'!Y29/FX_EUR</f>
        <v>795.075969287634</v>
      </c>
      <c r="Z29" s="33" t="n">
        <f aca="false">'P&amp;L monthly'!Z29/FX_EUR</f>
        <v>896.695987850549</v>
      </c>
      <c r="AA29" s="33" t="n">
        <f aca="false">'P&amp;L monthly'!AA29/FX_EUR</f>
        <v>979.002300734493</v>
      </c>
      <c r="AB29" s="33" t="n">
        <f aca="false">'P&amp;L monthly'!AB29/FX_EUR</f>
        <v>1061.45074896448</v>
      </c>
      <c r="AC29" s="33" t="n">
        <f aca="false">'P&amp;L monthly'!AC29/FX_EUR</f>
        <v>1170.04952476468</v>
      </c>
      <c r="AD29" s="33" t="n">
        <f aca="false">'P&amp;L monthly'!AD29/FX_EUR</f>
        <v>1278.5685184933</v>
      </c>
      <c r="AE29" s="33" t="n">
        <f aca="false">'P&amp;L monthly'!AE29/FX_EUR</f>
        <v>1393.01738381265</v>
      </c>
      <c r="AF29" s="33" t="n">
        <f aca="false">'P&amp;L monthly'!AF29/FX_EUR</f>
        <v>1507.49147146467</v>
      </c>
      <c r="AG29" s="33" t="n">
        <f aca="false">'P&amp;L monthly'!AG29/FX_EUR</f>
        <v>4422.58454771926</v>
      </c>
      <c r="AH29" s="33" t="n">
        <f aca="false">'P&amp;L monthly'!AH29/FX_EUR</f>
        <v>4739.14019264884</v>
      </c>
      <c r="AI29" s="33" t="n">
        <f aca="false">'P&amp;L monthly'!AI29/FX_EUR</f>
        <v>5073.08869130221</v>
      </c>
      <c r="AJ29" s="33" t="n">
        <f aca="false">'P&amp;L monthly'!AJ29/FX_EUR</f>
        <v>5408.75269439474</v>
      </c>
      <c r="AK29" s="33" t="n">
        <f aca="false">'P&amp;L monthly'!AK29/FX_EUR</f>
        <v>5746.46225585324</v>
      </c>
      <c r="AL29" s="33" t="n">
        <f aca="false">'P&amp;L monthly'!AL29/FX_EUR</f>
        <v>6086.56395847911</v>
      </c>
      <c r="AM29" s="33" t="n">
        <f aca="false">'P&amp;L monthly'!AM29/FX_EUR</f>
        <v>6445.21567705131</v>
      </c>
      <c r="AN29" s="33" t="n">
        <f aca="false">'P&amp;L monthly'!AN29/FX_EUR</f>
        <v>6806.81124325368</v>
      </c>
      <c r="AO29" s="33" t="n">
        <f aca="false">'P&amp;L monthly'!AO29/FX_EUR</f>
        <v>7220.45345376537</v>
      </c>
      <c r="AP29" s="33" t="n">
        <f aca="false">'P&amp;L monthly'!AP29/FX_EUR</f>
        <v>7653.06314111507</v>
      </c>
      <c r="AQ29" s="33" t="n">
        <f aca="false">'P&amp;L monthly'!AQ29/FX_EUR</f>
        <v>8089.10887402555</v>
      </c>
      <c r="AR29" s="33" t="n">
        <f aca="false">'P&amp;L monthly'!AR29/FX_EUR</f>
        <v>8529.07465404011</v>
      </c>
      <c r="AS29" s="33" t="n">
        <f aca="false">'P&amp;L monthly'!AS29/FX_EUR</f>
        <v>8989.26325273795</v>
      </c>
      <c r="AT29" s="33" t="n">
        <f aca="false">'P&amp;L monthly'!AT29/FX_EUR</f>
        <v>9454.22133766942</v>
      </c>
      <c r="AU29" s="33" t="n">
        <f aca="false">'P&amp;L monthly'!AU29/FX_EUR</f>
        <v>9924.51567116002</v>
      </c>
      <c r="AV29" s="33" t="n">
        <f aca="false">'P&amp;L monthly'!AV29/FX_EUR</f>
        <v>10430.751073805</v>
      </c>
      <c r="AW29" s="33" t="n">
        <f aca="false">'P&amp;L monthly'!AW29/FX_EUR</f>
        <v>10938.6645009573</v>
      </c>
      <c r="AX29" s="33" t="n">
        <f aca="false">'P&amp;L monthly'!AX29/FX_EUR</f>
        <v>11459.5388175642</v>
      </c>
      <c r="AY29" s="33" t="n">
        <f aca="false">'P&amp;L monthly'!AY29/FX_EUR</f>
        <v>11977.6235408253</v>
      </c>
      <c r="AZ29" s="33" t="n">
        <f aca="false">'P&amp;L monthly'!AZ29/FX_EUR</f>
        <v>12493.1684815998</v>
      </c>
      <c r="BA29" s="33" t="n">
        <f aca="false">'P&amp;L monthly'!BA29/FX_EUR</f>
        <v>13071.1867315697</v>
      </c>
      <c r="BB29" s="33" t="n">
        <f aca="false">'P&amp;L monthly'!BB29/FX_EUR</f>
        <v>13646.3918901857</v>
      </c>
      <c r="BC29" s="33" t="n">
        <f aca="false">'P&amp;L monthly'!BC29/FX_EUR</f>
        <v>14234.8680641681</v>
      </c>
      <c r="BD29" s="33" t="n">
        <f aca="false">'P&amp;L monthly'!BD29/FX_EUR</f>
        <v>14820.927512527</v>
      </c>
      <c r="BE29" s="33" t="n">
        <f aca="false">'P&amp;L monthly'!BE29/FX_EUR</f>
        <v>15419.1002891574</v>
      </c>
      <c r="BF29" s="33" t="n">
        <f aca="false">'P&amp;L monthly'!BF29/FX_EUR</f>
        <v>16031.1181049283</v>
      </c>
      <c r="BG29" s="33" t="n">
        <f aca="false">'P&amp;L monthly'!BG29/FX_EUR</f>
        <v>16641.3358190656</v>
      </c>
      <c r="BH29" s="33" t="n">
        <f aca="false">'P&amp;L monthly'!BH29/FX_EUR</f>
        <v>17265.9079191985</v>
      </c>
      <c r="BI29" s="33" t="n">
        <f aca="false">'P&amp;L monthly'!BI29/FX_EUR</f>
        <v>17903.4355164094</v>
      </c>
      <c r="BJ29" s="33" t="n">
        <f aca="false">'P&amp;L monthly'!BJ29/FX_EUR</f>
        <v>18555.7168106684</v>
      </c>
      <c r="BK29" s="33" t="n">
        <f aca="false">'P&amp;L monthly'!BK29/FX_EUR</f>
        <v>19203.7925269986</v>
      </c>
      <c r="BL29" s="33" t="n">
        <f aca="false">'P&amp;L monthly'!BL29/FX_EUR</f>
        <v>19860.0074699574</v>
      </c>
    </row>
    <row r="30" customFormat="false" ht="15" hidden="false" customHeight="true" outlineLevel="0" collapsed="false">
      <c r="A30" s="9" t="s">
        <v>1334</v>
      </c>
      <c r="B30" s="15" t="s">
        <v>79</v>
      </c>
      <c r="D30" s="56" t="n">
        <f aca="false">'P&amp;L monthly'!D30/FX_EUR</f>
        <v>19340334.112294</v>
      </c>
      <c r="E30" s="17" t="n">
        <f aca="false">'P&amp;L monthly'!E30/FX_EUR</f>
        <v>0</v>
      </c>
      <c r="F30" s="17" t="n">
        <f aca="false">'P&amp;L monthly'!F30/FX_EUR</f>
        <v>0</v>
      </c>
      <c r="G30" s="17" t="n">
        <f aca="false">'P&amp;L monthly'!G30/FX_EUR</f>
        <v>0</v>
      </c>
      <c r="H30" s="17" t="n">
        <f aca="false">'P&amp;L monthly'!H30/FX_EUR</f>
        <v>0</v>
      </c>
      <c r="I30" s="17" t="n">
        <f aca="false">'P&amp;L monthly'!I30/FX_EUR</f>
        <v>4389.13475527613</v>
      </c>
      <c r="J30" s="17" t="n">
        <f aca="false">'P&amp;L monthly'!J30/FX_EUR</f>
        <v>8120.55533492795</v>
      </c>
      <c r="K30" s="17" t="n">
        <f aca="false">'P&amp;L monthly'!K30/FX_EUR</f>
        <v>11846.7053030058</v>
      </c>
      <c r="L30" s="17" t="n">
        <f aca="false">'P&amp;L monthly'!L30/FX_EUR</f>
        <v>15570.057041604</v>
      </c>
      <c r="M30" s="17" t="n">
        <f aca="false">'P&amp;L monthly'!M30/FX_EUR</f>
        <v>19293.1922015191</v>
      </c>
      <c r="N30" s="17" t="n">
        <f aca="false">'P&amp;L monthly'!N30/FX_EUR</f>
        <v>23018.8088741272</v>
      </c>
      <c r="O30" s="17" t="n">
        <f aca="false">'P&amp;L monthly'!O30/FX_EUR</f>
        <v>26755.6667569471</v>
      </c>
      <c r="P30" s="17" t="n">
        <f aca="false">'P&amp;L monthly'!P30/FX_EUR</f>
        <v>30502.4894054564</v>
      </c>
      <c r="Q30" s="17" t="n">
        <f aca="false">'P&amp;L monthly'!Q30/FX_EUR</f>
        <v>36268.118559053</v>
      </c>
      <c r="R30" s="17" t="n">
        <f aca="false">'P&amp;L monthly'!R30/FX_EUR</f>
        <v>41935.2817789401</v>
      </c>
      <c r="S30" s="17" t="n">
        <f aca="false">'P&amp;L monthly'!S30/FX_EUR</f>
        <v>47739.237064098</v>
      </c>
      <c r="T30" s="17" t="n">
        <f aca="false">'P&amp;L monthly'!T30/FX_EUR</f>
        <v>53683.949060038</v>
      </c>
      <c r="U30" s="17" t="n">
        <f aca="false">'P&amp;L monthly'!U30/FX_EUR</f>
        <v>59773.7727604683</v>
      </c>
      <c r="V30" s="17" t="n">
        <f aca="false">'P&amp;L monthly'!V30/FX_EUR</f>
        <v>66435.2991153048</v>
      </c>
      <c r="W30" s="17" t="n">
        <f aca="false">'P&amp;L monthly'!W30/FX_EUR</f>
        <v>76991.1198573217</v>
      </c>
      <c r="X30" s="17" t="n">
        <f aca="false">'P&amp;L monthly'!X30/FX_EUR</f>
        <v>87390.7467557456</v>
      </c>
      <c r="Y30" s="17" t="n">
        <f aca="false">'P&amp;L monthly'!Y30/FX_EUR</f>
        <v>98939.6531836089</v>
      </c>
      <c r="Z30" s="17" t="n">
        <f aca="false">'P&amp;L monthly'!Z30/FX_EUR</f>
        <v>110757.725578586</v>
      </c>
      <c r="AA30" s="17" t="n">
        <f aca="false">'P&amp;L monthly'!AA30/FX_EUR</f>
        <v>122937.600782561</v>
      </c>
      <c r="AB30" s="17" t="n">
        <f aca="false">'P&amp;L monthly'!AB30/FX_EUR</f>
        <v>135509.529839482</v>
      </c>
      <c r="AC30" s="17" t="n">
        <f aca="false">'P&amp;L monthly'!AC30/FX_EUR</f>
        <v>150611.282623669</v>
      </c>
      <c r="AD30" s="17" t="n">
        <f aca="false">'P&amp;L monthly'!AD30/FX_EUR</f>
        <v>165434.982662087</v>
      </c>
      <c r="AE30" s="17" t="n">
        <f aca="false">'P&amp;L monthly'!AE30/FX_EUR</f>
        <v>181306.280463946</v>
      </c>
      <c r="AF30" s="17" t="n">
        <f aca="false">'P&amp;L monthly'!AF30/FX_EUR</f>
        <v>197282.715009111</v>
      </c>
      <c r="AG30" s="17" t="n">
        <f aca="false">'P&amp;L monthly'!AG30/FX_EUR</f>
        <v>230286.891857688</v>
      </c>
      <c r="AH30" s="17" t="n">
        <f aca="false">'P&amp;L monthly'!AH30/FX_EUR</f>
        <v>232660.405014093</v>
      </c>
      <c r="AI30" s="17" t="n">
        <f aca="false">'P&amp;L monthly'!AI30/FX_EUR</f>
        <v>249034.90779903</v>
      </c>
      <c r="AJ30" s="17" t="n">
        <f aca="false">'P&amp;L monthly'!AJ30/FX_EUR</f>
        <v>265344.843419151</v>
      </c>
      <c r="AK30" s="17" t="n">
        <f aca="false">'P&amp;L monthly'!AK30/FX_EUR</f>
        <v>281762.265723202</v>
      </c>
      <c r="AL30" s="17" t="n">
        <f aca="false">'P&amp;L monthly'!AL30/FX_EUR</f>
        <v>298304.004419789</v>
      </c>
      <c r="AM30" s="17" t="n">
        <f aca="false">'P&amp;L monthly'!AM30/FX_EUR</f>
        <v>315904.139400135</v>
      </c>
      <c r="AN30" s="17" t="n">
        <f aca="false">'P&amp;L monthly'!AN30/FX_EUR</f>
        <v>333499.809515008</v>
      </c>
      <c r="AO30" s="17" t="n">
        <f aca="false">'P&amp;L monthly'!AO30/FX_EUR</f>
        <v>354092.290670042</v>
      </c>
      <c r="AP30" s="17" t="n">
        <f aca="false">'P&amp;L monthly'!AP30/FX_EUR</f>
        <v>375284.164507555</v>
      </c>
      <c r="AQ30" s="17" t="n">
        <f aca="false">'P&amp;L monthly'!AQ30/FX_EUR</f>
        <v>396497.319775283</v>
      </c>
      <c r="AR30" s="17" t="n">
        <f aca="false">'P&amp;L monthly'!AR30/FX_EUR</f>
        <v>417911.330141436</v>
      </c>
      <c r="AS30" s="17" t="n">
        <f aca="false">'P&amp;L monthly'!AS30/FX_EUR</f>
        <v>440467.347656992</v>
      </c>
      <c r="AT30" s="17" t="n">
        <f aca="false">'P&amp;L monthly'!AT30/FX_EUR</f>
        <v>463109.974023302</v>
      </c>
      <c r="AU30" s="17" t="n">
        <f aca="false">'P&amp;L monthly'!AU30/FX_EUR</f>
        <v>486022.847660523</v>
      </c>
      <c r="AV30" s="17" t="n">
        <f aca="false">'P&amp;L monthly'!AV30/FX_EUR</f>
        <v>510976.172863566</v>
      </c>
      <c r="AW30" s="17" t="n">
        <f aca="false">'P&amp;L monthly'!AW30/FX_EUR</f>
        <v>535683.957592356</v>
      </c>
      <c r="AX30" s="17" t="n">
        <f aca="false">'P&amp;L monthly'!AX30/FX_EUR</f>
        <v>561135.066939287</v>
      </c>
      <c r="AY30" s="17" t="n">
        <f aca="false">'P&amp;L monthly'!AY30/FX_EUR</f>
        <v>586305.670775082</v>
      </c>
      <c r="AZ30" s="17" t="n">
        <f aca="false">'P&amp;L monthly'!AZ30/FX_EUR</f>
        <v>611363.741461842</v>
      </c>
      <c r="BA30" s="17" t="n">
        <f aca="false">'P&amp;L monthly'!BA30/FX_EUR</f>
        <v>640078.833968891</v>
      </c>
      <c r="BB30" s="17" t="n">
        <f aca="false">'P&amp;L monthly'!BB30/FX_EUR</f>
        <v>668029.750523906</v>
      </c>
      <c r="BC30" s="17" t="n">
        <f aca="false">'P&amp;L monthly'!BC30/FX_EUR</f>
        <v>696786.53000056</v>
      </c>
      <c r="BD30" s="17" t="n">
        <f aca="false">'P&amp;L monthly'!BD30/FX_EUR</f>
        <v>725282.127807091</v>
      </c>
      <c r="BE30" s="17" t="n">
        <f aca="false">'P&amp;L monthly'!BE30/FX_EUR</f>
        <v>754512.466996798</v>
      </c>
      <c r="BF30" s="17" t="n">
        <f aca="false">'P&amp;L monthly'!BF30/FX_EUR</f>
        <v>784436.354521099</v>
      </c>
      <c r="BG30" s="17" t="n">
        <f aca="false">'P&amp;L monthly'!BG30/FX_EUR</f>
        <v>814129.272225867</v>
      </c>
      <c r="BH30" s="17" t="n">
        <f aca="false">'P&amp;L monthly'!BH30/FX_EUR</f>
        <v>844680.99292198</v>
      </c>
      <c r="BI30" s="17" t="n">
        <f aca="false">'P&amp;L monthly'!BI30/FX_EUR</f>
        <v>875852.876971635</v>
      </c>
      <c r="BJ30" s="17" t="n">
        <f aca="false">'P&amp;L monthly'!BJ30/FX_EUR</f>
        <v>907763.029384075</v>
      </c>
      <c r="BK30" s="17" t="n">
        <f aca="false">'P&amp;L monthly'!BK30/FX_EUR</f>
        <v>939294.005962866</v>
      </c>
      <c r="BL30" s="17" t="n">
        <f aca="false">'P&amp;L monthly'!BL30/FX_EUR</f>
        <v>971346.815027015</v>
      </c>
    </row>
    <row r="31" customFormat="false" ht="15" hidden="false" customHeight="true" outlineLevel="0" collapsed="false">
      <c r="A31" s="9" t="s">
        <v>94</v>
      </c>
      <c r="B31" s="15" t="s">
        <v>79</v>
      </c>
      <c r="D31" s="56" t="n">
        <f aca="false">'P&amp;L monthly'!D31/FX_EUR</f>
        <v>17397644.3436017</v>
      </c>
      <c r="E31" s="17" t="n">
        <f aca="false">'P&amp;L monthly'!E31/FX_EUR</f>
        <v>0</v>
      </c>
      <c r="F31" s="17" t="n">
        <f aca="false">'P&amp;L monthly'!F31/FX_EUR</f>
        <v>0</v>
      </c>
      <c r="G31" s="17" t="n">
        <f aca="false">'P&amp;L monthly'!G31/FX_EUR</f>
        <v>0</v>
      </c>
      <c r="H31" s="17" t="n">
        <f aca="false">'P&amp;L monthly'!H31/FX_EUR</f>
        <v>0</v>
      </c>
      <c r="I31" s="17" t="n">
        <f aca="false">'P&amp;L monthly'!I31/FX_EUR</f>
        <v>1227.69836030919</v>
      </c>
      <c r="J31" s="17" t="n">
        <f aca="false">'P&amp;L monthly'!J31/FX_EUR</f>
        <v>4330.94053675267</v>
      </c>
      <c r="K31" s="17" t="n">
        <f aca="false">'P&amp;L monthly'!K31/FX_EUR</f>
        <v>7428.43605811814</v>
      </c>
      <c r="L31" s="17" t="n">
        <f aca="false">'P&amp;L monthly'!L31/FX_EUR</f>
        <v>10522.171704381</v>
      </c>
      <c r="M31" s="17" t="n">
        <f aca="false">'P&amp;L monthly'!M31/FX_EUR</f>
        <v>13614.2207121283</v>
      </c>
      <c r="N31" s="17" t="n">
        <f aca="false">'P&amp;L monthly'!N31/FX_EUR</f>
        <v>16706.7484806349</v>
      </c>
      <c r="O31" s="17" t="n">
        <f aca="false">'P&amp;L monthly'!O31/FX_EUR</f>
        <v>20152.33547372</v>
      </c>
      <c r="P31" s="17" t="n">
        <f aca="false">'P&amp;L monthly'!P31/FX_EUR</f>
        <v>23703.7423018679</v>
      </c>
      <c r="Q31" s="17" t="n">
        <f aca="false">'P&amp;L monthly'!Q31/FX_EUR</f>
        <v>28061.2085020405</v>
      </c>
      <c r="R31" s="17" t="n">
        <f aca="false">'P&amp;L monthly'!R31/FX_EUR</f>
        <v>33284.5818872043</v>
      </c>
      <c r="S31" s="17" t="n">
        <f aca="false">'P&amp;L monthly'!S31/FX_EUR</f>
        <v>38706.0149570194</v>
      </c>
      <c r="T31" s="17" t="n">
        <f aca="false">'P&amp;L monthly'!T31/FX_EUR</f>
        <v>44329.1851491876</v>
      </c>
      <c r="U31" s="17" t="n">
        <f aca="false">'P&amp;L monthly'!U31/FX_EUR</f>
        <v>50158.2214139364</v>
      </c>
      <c r="V31" s="17" t="n">
        <f aca="false">'P&amp;L monthly'!V31/FX_EUR</f>
        <v>56397.0086378599</v>
      </c>
      <c r="W31" s="17" t="n">
        <f aca="false">'P&amp;L monthly'!W31/FX_EUR</f>
        <v>64424.733805098</v>
      </c>
      <c r="X31" s="17" t="n">
        <f aca="false">'P&amp;L monthly'!X31/FX_EUR</f>
        <v>74302.3555452912</v>
      </c>
      <c r="Y31" s="17" t="n">
        <f aca="false">'P&amp;L monthly'!Y31/FX_EUR</f>
        <v>84953.7811936321</v>
      </c>
      <c r="Z31" s="17" t="n">
        <f aca="false">'P&amp;L monthly'!Z31/FX_EUR</f>
        <v>96396.9785529859</v>
      </c>
      <c r="AA31" s="17" t="n">
        <f aca="false">'P&amp;L monthly'!AA31/FX_EUR</f>
        <v>106930.566248348</v>
      </c>
      <c r="AB31" s="17" t="n">
        <f aca="false">'P&amp;L monthly'!AB31/FX_EUR</f>
        <v>117706.54767683</v>
      </c>
      <c r="AC31" s="17" t="n">
        <f aca="false">'P&amp;L monthly'!AC31/FX_EUR</f>
        <v>132608.473034714</v>
      </c>
      <c r="AD31" s="17" t="n">
        <f aca="false">'P&amp;L monthly'!AD31/FX_EUR</f>
        <v>146702.664361659</v>
      </c>
      <c r="AE31" s="17" t="n">
        <f aca="false">'P&amp;L monthly'!AE31/FX_EUR</f>
        <v>161542.36755418</v>
      </c>
      <c r="AF31" s="17" t="n">
        <f aca="false">'P&amp;L monthly'!AF31/FX_EUR</f>
        <v>177112.979043186</v>
      </c>
      <c r="AG31" s="17" t="n">
        <f aca="false">'P&amp;L monthly'!AG31/FX_EUR</f>
        <v>176177.501733621</v>
      </c>
      <c r="AH31" s="17" t="n">
        <f aca="false">'P&amp;L monthly'!AH31/FX_EUR</f>
        <v>204315.91190505</v>
      </c>
      <c r="AI31" s="17" t="n">
        <f aca="false">'P&amp;L monthly'!AI31/FX_EUR</f>
        <v>219428.8094449</v>
      </c>
      <c r="AJ31" s="17" t="n">
        <f aca="false">'P&amp;L monthly'!AJ31/FX_EUR</f>
        <v>235084.756891001</v>
      </c>
      <c r="AK31" s="17" t="n">
        <f aca="false">'P&amp;L monthly'!AK31/FX_EUR</f>
        <v>250778.182098763</v>
      </c>
      <c r="AL31" s="17" t="n">
        <f aca="false">'P&amp;L monthly'!AL31/FX_EUR</f>
        <v>266510.404895228</v>
      </c>
      <c r="AM31" s="17" t="n">
        <f aca="false">'P&amp;L monthly'!AM31/FX_EUR</f>
        <v>282750.845770527</v>
      </c>
      <c r="AN31" s="17" t="n">
        <f aca="false">'P&amp;L monthly'!AN31/FX_EUR</f>
        <v>299567.130037334</v>
      </c>
      <c r="AO31" s="17" t="n">
        <f aca="false">'P&amp;L monthly'!AO31/FX_EUR</f>
        <v>317545.661394306</v>
      </c>
      <c r="AP31" s="17" t="n">
        <f aca="false">'P&amp;L monthly'!AP31/FX_EUR</f>
        <v>337276.621387258</v>
      </c>
      <c r="AQ31" s="17" t="n">
        <f aca="false">'P&amp;L monthly'!AQ31/FX_EUR</f>
        <v>357331.725927995</v>
      </c>
      <c r="AR31" s="17" t="n">
        <f aca="false">'P&amp;L monthly'!AR31/FX_EUR</f>
        <v>377310.396495197</v>
      </c>
      <c r="AS31" s="17" t="n">
        <f aca="false">'P&amp;L monthly'!AS31/FX_EUR</f>
        <v>397831.326471345</v>
      </c>
      <c r="AT31" s="17" t="n">
        <f aca="false">'P&amp;L monthly'!AT31/FX_EUR</f>
        <v>418908.055051826</v>
      </c>
      <c r="AU31" s="17" t="n">
        <f aca="false">'P&amp;L monthly'!AU31/FX_EUR</f>
        <v>440165.401486822</v>
      </c>
      <c r="AV31" s="17" t="n">
        <f aca="false">'P&amp;L monthly'!AV31/FX_EUR</f>
        <v>462288.37154753</v>
      </c>
      <c r="AW31" s="17" t="n">
        <f aca="false">'P&amp;L monthly'!AW31/FX_EUR</f>
        <v>485334.903712711</v>
      </c>
      <c r="AX31" s="17" t="n">
        <f aca="false">'P&amp;L monthly'!AX31/FX_EUR</f>
        <v>508700.828848965</v>
      </c>
      <c r="AY31" s="17" t="n">
        <f aca="false">'P&amp;L monthly'!AY31/FX_EUR</f>
        <v>532325.771516647</v>
      </c>
      <c r="AZ31" s="17" t="n">
        <f aca="false">'P&amp;L monthly'!AZ31/FX_EUR</f>
        <v>555825.627494524</v>
      </c>
      <c r="BA31" s="17" t="n">
        <f aca="false">'P&amp;L monthly'!BA31/FX_EUR</f>
        <v>580519.009654845</v>
      </c>
      <c r="BB31" s="17" t="n">
        <f aca="false">'P&amp;L monthly'!BB31/FX_EUR</f>
        <v>606692.854857355</v>
      </c>
      <c r="BC31" s="17" t="n">
        <f aca="false">'P&amp;L monthly'!BC31/FX_EUR</f>
        <v>633080.829153239</v>
      </c>
      <c r="BD31" s="17" t="n">
        <f aca="false">'P&amp;L monthly'!BD31/FX_EUR</f>
        <v>659741.838357301</v>
      </c>
      <c r="BE31" s="17" t="n">
        <f aca="false">'P&amp;L monthly'!BE31/FX_EUR</f>
        <v>686562.403473562</v>
      </c>
      <c r="BF31" s="17" t="n">
        <f aca="false">'P&amp;L monthly'!BF31/FX_EUR</f>
        <v>713976.441237205</v>
      </c>
      <c r="BG31" s="17" t="n">
        <f aca="false">'P&amp;L monthly'!BG31/FX_EUR</f>
        <v>741689.206707961</v>
      </c>
      <c r="BH31" s="17" t="n">
        <f aca="false">'P&amp;L monthly'!BH31/FX_EUR</f>
        <v>769661.700428317</v>
      </c>
      <c r="BI31" s="17" t="n">
        <f aca="false">'P&amp;L monthly'!BI31/FX_EUR</f>
        <v>798223.125984532</v>
      </c>
      <c r="BJ31" s="17" t="n">
        <f aca="false">'P&amp;L monthly'!BJ31/FX_EUR</f>
        <v>827415.764285083</v>
      </c>
      <c r="BK31" s="17" t="n">
        <f aca="false">'P&amp;L monthly'!BK31/FX_EUR</f>
        <v>856883.791475234</v>
      </c>
      <c r="BL31" s="17" t="n">
        <f aca="false">'P&amp;L monthly'!BL31/FX_EUR</f>
        <v>886435.182684398</v>
      </c>
    </row>
    <row r="33" customFormat="false" ht="15" hidden="false" customHeight="true" outlineLevel="0" collapsed="false">
      <c r="A33" s="11" t="s">
        <v>1335</v>
      </c>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customFormat="false" ht="15" hidden="false" customHeight="true" outlineLevel="0" collapsed="false">
      <c r="A34" s="13" t="s">
        <v>22</v>
      </c>
      <c r="B34" s="15" t="s">
        <v>79</v>
      </c>
      <c r="D34" s="56" t="n">
        <f aca="false">'P&amp;L monthly'!D35/FX_EUR</f>
        <v>3143122.78147615</v>
      </c>
      <c r="E34" s="33" t="n">
        <f aca="false">'P&amp;L monthly'!E35/FX_EUR</f>
        <v>15061.9629030561</v>
      </c>
      <c r="F34" s="33" t="n">
        <f aca="false">'P&amp;L monthly'!F35/FX_EUR</f>
        <v>15061.9629030561</v>
      </c>
      <c r="G34" s="33" t="n">
        <f aca="false">'P&amp;L monthly'!G35/FX_EUR</f>
        <v>15061.9629030561</v>
      </c>
      <c r="H34" s="33" t="n">
        <f aca="false">'P&amp;L monthly'!H35/FX_EUR</f>
        <v>19540.9150294913</v>
      </c>
      <c r="I34" s="33" t="n">
        <f aca="false">'P&amp;L monthly'!I35/FX_EUR</f>
        <v>20333.6499191258</v>
      </c>
      <c r="J34" s="33" t="n">
        <f aca="false">'P&amp;L monthly'!J35/FX_EUR</f>
        <v>20333.6499191258</v>
      </c>
      <c r="K34" s="33" t="n">
        <f aca="false">'P&amp;L monthly'!K35/FX_EUR</f>
        <v>20333.6499191258</v>
      </c>
      <c r="L34" s="33" t="n">
        <f aca="false">'P&amp;L monthly'!L35/FX_EUR</f>
        <v>20333.6499191258</v>
      </c>
      <c r="M34" s="33" t="n">
        <f aca="false">'P&amp;L monthly'!M35/FX_EUR</f>
        <v>20333.6499191258</v>
      </c>
      <c r="N34" s="33" t="n">
        <f aca="false">'P&amp;L monthly'!N35/FX_EUR</f>
        <v>20333.6499191258</v>
      </c>
      <c r="O34" s="33" t="n">
        <f aca="false">'P&amp;L monthly'!O35/FX_EUR</f>
        <v>20333.6499191258</v>
      </c>
      <c r="P34" s="33" t="n">
        <f aca="false">'P&amp;L monthly'!P35/FX_EUR</f>
        <v>20333.6499191258</v>
      </c>
      <c r="Q34" s="33" t="n">
        <f aca="false">'P&amp;L monthly'!Q35/FX_EUR</f>
        <v>26552.6551283087</v>
      </c>
      <c r="R34" s="33" t="n">
        <f aca="false">'P&amp;L monthly'!R35/FX_EUR</f>
        <v>26552.6551283087</v>
      </c>
      <c r="S34" s="33" t="n">
        <f aca="false">'P&amp;L monthly'!S35/FX_EUR</f>
        <v>26552.6551283087</v>
      </c>
      <c r="T34" s="33" t="n">
        <f aca="false">'P&amp;L monthly'!T35/FX_EUR</f>
        <v>27801.2125794831</v>
      </c>
      <c r="U34" s="33" t="n">
        <f aca="false">'P&amp;L monthly'!U35/FX_EUR</f>
        <v>27801.2125794831</v>
      </c>
      <c r="V34" s="33" t="n">
        <f aca="false">'P&amp;L monthly'!V35/FX_EUR</f>
        <v>35500.6501950585</v>
      </c>
      <c r="W34" s="33" t="n">
        <f aca="false">'P&amp;L monthly'!W35/FX_EUR</f>
        <v>35500.6501950585</v>
      </c>
      <c r="X34" s="33" t="n">
        <f aca="false">'P&amp;L monthly'!X35/FX_EUR</f>
        <v>36333.0218291748</v>
      </c>
      <c r="Y34" s="33" t="n">
        <f aca="false">'P&amp;L monthly'!Y35/FX_EUR</f>
        <v>36915.6819730562</v>
      </c>
      <c r="Z34" s="33" t="n">
        <f aca="false">'P&amp;L monthly'!Z35/FX_EUR</f>
        <v>36915.6819730562</v>
      </c>
      <c r="AA34" s="33" t="n">
        <f aca="false">'P&amp;L monthly'!AA35/FX_EUR</f>
        <v>36915.6819730562</v>
      </c>
      <c r="AB34" s="33" t="n">
        <f aca="false">'P&amp;L monthly'!AB35/FX_EUR</f>
        <v>40037.0756009921</v>
      </c>
      <c r="AC34" s="33" t="n">
        <f aca="false">'P&amp;L monthly'!AC35/FX_EUR</f>
        <v>42650.7225321172</v>
      </c>
      <c r="AD34" s="33" t="n">
        <f aca="false">'P&amp;L monthly'!AD35/FX_EUR</f>
        <v>43524.7127479393</v>
      </c>
      <c r="AE34" s="33" t="n">
        <f aca="false">'P&amp;L monthly'!AE35/FX_EUR</f>
        <v>43524.7127479393</v>
      </c>
      <c r="AF34" s="33" t="n">
        <f aca="false">'P&amp;L monthly'!AF35/FX_EUR</f>
        <v>46758.4765464809</v>
      </c>
      <c r="AG34" s="33" t="n">
        <f aca="false">'P&amp;L monthly'!AG35/FX_EUR</f>
        <v>49293.048172365</v>
      </c>
      <c r="AH34" s="33" t="n">
        <f aca="false">'P&amp;L monthly'!AH35/FX_EUR</f>
        <v>50167.038388187</v>
      </c>
      <c r="AI34" s="33" t="n">
        <f aca="false">'P&amp;L monthly'!AI35/FX_EUR</f>
        <v>50778.8315392625</v>
      </c>
      <c r="AJ34" s="33" t="n">
        <f aca="false">'P&amp;L monthly'!AJ35/FX_EUR</f>
        <v>50778.8315392625</v>
      </c>
      <c r="AK34" s="33" t="n">
        <f aca="false">'P&amp;L monthly'!AK35/FX_EUR</f>
        <v>51390.6246903379</v>
      </c>
      <c r="AL34" s="33" t="n">
        <f aca="false">'P&amp;L monthly'!AL35/FX_EUR</f>
        <v>53575.6002298931</v>
      </c>
      <c r="AM34" s="33" t="n">
        <f aca="false">'P&amp;L monthly'!AM35/FX_EUR</f>
        <v>54187.3933809686</v>
      </c>
      <c r="AN34" s="33" t="n">
        <f aca="false">'P&amp;L monthly'!AN35/FX_EUR</f>
        <v>55170.6323737684</v>
      </c>
      <c r="AO34" s="33" t="n">
        <f aca="false">'P&amp;L monthly'!AO35/FX_EUR</f>
        <v>59489.2365276992</v>
      </c>
      <c r="AP34" s="33" t="n">
        <f aca="false">'P&amp;L monthly'!AP35/FX_EUR</f>
        <v>59489.2365276992</v>
      </c>
      <c r="AQ34" s="33" t="n">
        <f aca="false">'P&amp;L monthly'!AQ35/FX_EUR</f>
        <v>61508.1539262482</v>
      </c>
      <c r="AR34" s="33" t="n">
        <f aca="false">'P&amp;L monthly'!AR35/FX_EUR</f>
        <v>65821.2956413302</v>
      </c>
      <c r="AS34" s="33" t="n">
        <f aca="false">'P&amp;L monthly'!AS35/FX_EUR</f>
        <v>65821.2956413302</v>
      </c>
      <c r="AT34" s="33" t="n">
        <f aca="false">'P&amp;L monthly'!AT35/FX_EUR</f>
        <v>66463.6784499594</v>
      </c>
      <c r="AU34" s="33" t="n">
        <f aca="false">'P&amp;L monthly'!AU35/FX_EUR</f>
        <v>69056.1519276416</v>
      </c>
      <c r="AV34" s="33" t="n">
        <f aca="false">'P&amp;L monthly'!AV35/FX_EUR</f>
        <v>69056.1519276416</v>
      </c>
      <c r="AW34" s="33" t="n">
        <f aca="false">'P&amp;L monthly'!AW35/FX_EUR</f>
        <v>71992.7590528038</v>
      </c>
      <c r="AX34" s="33" t="n">
        <f aca="false">'P&amp;L monthly'!AX35/FX_EUR</f>
        <v>72635.141861433</v>
      </c>
      <c r="AY34" s="33" t="n">
        <f aca="false">'P&amp;L monthly'!AY35/FX_EUR</f>
        <v>73277.5246700622</v>
      </c>
      <c r="AZ34" s="33" t="n">
        <f aca="false">'P&amp;L monthly'!AZ35/FX_EUR</f>
        <v>75227.6153391152</v>
      </c>
      <c r="BA34" s="33" t="n">
        <f aca="false">'P&amp;L monthly'!BA35/FX_EUR</f>
        <v>82554.2206939632</v>
      </c>
      <c r="BB34" s="33" t="n">
        <f aca="false">'P&amp;L monthly'!BB35/FX_EUR</f>
        <v>85637.6581753835</v>
      </c>
      <c r="BC34" s="33" t="n">
        <f aca="false">'P&amp;L monthly'!BC35/FX_EUR</f>
        <v>86312.1601244442</v>
      </c>
      <c r="BD34" s="33" t="n">
        <f aca="false">'P&amp;L monthly'!BD35/FX_EUR</f>
        <v>88070.6830630667</v>
      </c>
      <c r="BE34" s="33" t="n">
        <f aca="false">'P&amp;L monthly'!BE35/FX_EUR</f>
        <v>89034.2572760105</v>
      </c>
      <c r="BF34" s="33" t="n">
        <f aca="false">'P&amp;L monthly'!BF35/FX_EUR</f>
        <v>91154.1205444869</v>
      </c>
      <c r="BG34" s="33" t="n">
        <f aca="false">'P&amp;L monthly'!BG35/FX_EUR</f>
        <v>92792.1967064915</v>
      </c>
      <c r="BH34" s="33" t="n">
        <f aca="false">'P&amp;L monthly'!BH35/FX_EUR</f>
        <v>97441.4422839455</v>
      </c>
      <c r="BI34" s="33" t="n">
        <f aca="false">'P&amp;L monthly'!BI35/FX_EUR</f>
        <v>99079.51844595</v>
      </c>
      <c r="BJ34" s="33" t="n">
        <f aca="false">'P&amp;L monthly'!BJ35/FX_EUR</f>
        <v>101199.381714426</v>
      </c>
      <c r="BK34" s="33" t="n">
        <f aca="false">'P&amp;L monthly'!BK35/FX_EUR</f>
        <v>102837.457876431</v>
      </c>
      <c r="BL34" s="33" t="n">
        <f aca="false">'P&amp;L monthly'!BL35/FX_EUR</f>
        <v>104595.980815053</v>
      </c>
    </row>
    <row r="35" customFormat="false" ht="15" hidden="false" customHeight="true" outlineLevel="0" collapsed="false">
      <c r="A35" s="13" t="s">
        <v>1292</v>
      </c>
      <c r="B35" s="15" t="s">
        <v>79</v>
      </c>
      <c r="D35" s="56" t="n">
        <f aca="false">'P&amp;L monthly'!D36/FX_EUR</f>
        <v>628708.159681199</v>
      </c>
      <c r="E35" s="33" t="n">
        <f aca="false">'P&amp;L monthly'!E36/FX_EUR</f>
        <v>7843.33805417123</v>
      </c>
      <c r="F35" s="33" t="n">
        <f aca="false">'P&amp;L monthly'!F36/FX_EUR</f>
        <v>1538.11225430935</v>
      </c>
      <c r="G35" s="33" t="n">
        <f aca="false">'P&amp;L monthly'!G36/FX_EUR</f>
        <v>1538.11225430935</v>
      </c>
      <c r="H35" s="33" t="n">
        <f aca="false">'P&amp;L monthly'!H36/FX_EUR</f>
        <v>5576.22450861871</v>
      </c>
      <c r="I35" s="33" t="n">
        <f aca="false">'P&amp;L monthly'!I36/FX_EUR</f>
        <v>3883.84695948058</v>
      </c>
      <c r="J35" s="33" t="n">
        <f aca="false">'P&amp;L monthly'!J36/FX_EUR</f>
        <v>3383.84695948058</v>
      </c>
      <c r="K35" s="33" t="n">
        <f aca="false">'P&amp;L monthly'!K36/FX_EUR</f>
        <v>3383.84695948058</v>
      </c>
      <c r="L35" s="33" t="n">
        <f aca="false">'P&amp;L monthly'!L36/FX_EUR</f>
        <v>3383.84695948058</v>
      </c>
      <c r="M35" s="33" t="n">
        <f aca="false">'P&amp;L monthly'!M36/FX_EUR</f>
        <v>3383.84695948058</v>
      </c>
      <c r="N35" s="33" t="n">
        <f aca="false">'P&amp;L monthly'!N36/FX_EUR</f>
        <v>3383.84695948058</v>
      </c>
      <c r="O35" s="33" t="n">
        <f aca="false">'P&amp;L monthly'!O36/FX_EUR</f>
        <v>3383.84695948058</v>
      </c>
      <c r="P35" s="33" t="n">
        <f aca="false">'P&amp;L monthly'!P36/FX_EUR</f>
        <v>3383.84695948058</v>
      </c>
      <c r="Q35" s="33" t="n">
        <f aca="false">'P&amp;L monthly'!Q36/FX_EUR</f>
        <v>4191.46941034245</v>
      </c>
      <c r="R35" s="33" t="n">
        <f aca="false">'P&amp;L monthly'!R36/FX_EUR</f>
        <v>3691.46941034245</v>
      </c>
      <c r="S35" s="33" t="n">
        <f aca="false">'P&amp;L monthly'!S36/FX_EUR</f>
        <v>3691.46941034245</v>
      </c>
      <c r="T35" s="33" t="n">
        <f aca="false">'P&amp;L monthly'!T36/FX_EUR</f>
        <v>4499.09186120432</v>
      </c>
      <c r="U35" s="33" t="n">
        <f aca="false">'P&amp;L monthly'!U36/FX_EUR</f>
        <v>3999.09186120432</v>
      </c>
      <c r="V35" s="33" t="n">
        <f aca="false">'P&amp;L monthly'!V36/FX_EUR</f>
        <v>6421.95921378993</v>
      </c>
      <c r="W35" s="33" t="n">
        <f aca="false">'P&amp;L monthly'!W36/FX_EUR</f>
        <v>4921.95921378993</v>
      </c>
      <c r="X35" s="33" t="n">
        <f aca="false">'P&amp;L monthly'!X36/FX_EUR</f>
        <v>5729.5816646518</v>
      </c>
      <c r="Y35" s="33" t="n">
        <f aca="false">'P&amp;L monthly'!Y36/FX_EUR</f>
        <v>6037.20411551367</v>
      </c>
      <c r="Z35" s="33" t="n">
        <f aca="false">'P&amp;L monthly'!Z36/FX_EUR</f>
        <v>5537.20411551367</v>
      </c>
      <c r="AA35" s="33" t="n">
        <f aca="false">'P&amp;L monthly'!AA36/FX_EUR</f>
        <v>5537.20411551367</v>
      </c>
      <c r="AB35" s="33" t="n">
        <f aca="false">'P&amp;L monthly'!AB36/FX_EUR</f>
        <v>6344.82656637554</v>
      </c>
      <c r="AC35" s="33" t="n">
        <f aca="false">'P&amp;L monthly'!AC36/FX_EUR</f>
        <v>6652.44901723741</v>
      </c>
      <c r="AD35" s="33" t="n">
        <f aca="false">'P&amp;L monthly'!AD36/FX_EUR</f>
        <v>6960.07146809928</v>
      </c>
      <c r="AE35" s="33" t="n">
        <f aca="false">'P&amp;L monthly'!AE36/FX_EUR</f>
        <v>6460.07146809928</v>
      </c>
      <c r="AF35" s="33" t="n">
        <f aca="false">'P&amp;L monthly'!AF36/FX_EUR</f>
        <v>9343.72496977698</v>
      </c>
      <c r="AG35" s="33" t="n">
        <f aca="false">'P&amp;L monthly'!AG36/FX_EUR</f>
        <v>9498.18372240863</v>
      </c>
      <c r="AH35" s="33" t="n">
        <f aca="false">'P&amp;L monthly'!AH36/FX_EUR</f>
        <v>8805.80617327051</v>
      </c>
      <c r="AI35" s="33" t="n">
        <f aca="false">'P&amp;L monthly'!AI36/FX_EUR</f>
        <v>9113.42862413237</v>
      </c>
      <c r="AJ35" s="33" t="n">
        <f aca="false">'P&amp;L monthly'!AJ36/FX_EUR</f>
        <v>8613.42862413237</v>
      </c>
      <c r="AK35" s="33" t="n">
        <f aca="false">'P&amp;L monthly'!AK36/FX_EUR</f>
        <v>9421.05107499424</v>
      </c>
      <c r="AL35" s="33" t="n">
        <f aca="false">'P&amp;L monthly'!AL36/FX_EUR</f>
        <v>10536.295976718</v>
      </c>
      <c r="AM35" s="33" t="n">
        <f aca="false">'P&amp;L monthly'!AM36/FX_EUR</f>
        <v>10343.9184275799</v>
      </c>
      <c r="AN35" s="33" t="n">
        <f aca="false">'P&amp;L monthly'!AN36/FX_EUR</f>
        <v>10651.5408784417</v>
      </c>
      <c r="AO35" s="33" t="n">
        <f aca="false">'P&amp;L monthly'!AO36/FX_EUR</f>
        <v>11766.7857801655</v>
      </c>
      <c r="AP35" s="33" t="n">
        <f aca="false">'P&amp;L monthly'!AP36/FX_EUR</f>
        <v>10766.7857801655</v>
      </c>
      <c r="AQ35" s="33" t="n">
        <f aca="false">'P&amp;L monthly'!AQ36/FX_EUR</f>
        <v>12382.0306818892</v>
      </c>
      <c r="AR35" s="33" t="n">
        <f aca="false">'P&amp;L monthly'!AR36/FX_EUR</f>
        <v>15073.3066344288</v>
      </c>
      <c r="AS35" s="33" t="n">
        <f aca="false">'P&amp;L monthly'!AS36/FX_EUR</f>
        <v>12304.8980344748</v>
      </c>
      <c r="AT35" s="33" t="n">
        <f aca="false">'P&amp;L monthly'!AT36/FX_EUR</f>
        <v>13112.5204853367</v>
      </c>
      <c r="AU35" s="33" t="n">
        <f aca="false">'P&amp;L monthly'!AU36/FX_EUR</f>
        <v>15035.3878379223</v>
      </c>
      <c r="AV35" s="33" t="n">
        <f aca="false">'P&amp;L monthly'!AV36/FX_EUR</f>
        <v>13535.3878379223</v>
      </c>
      <c r="AW35" s="33" t="n">
        <f aca="false">'P&amp;L monthly'!AW36/FX_EUR</f>
        <v>15958.2551905079</v>
      </c>
      <c r="AX35" s="33" t="n">
        <f aca="false">'P&amp;L monthly'!AX36/FX_EUR</f>
        <v>15265.8776413698</v>
      </c>
      <c r="AY35" s="33" t="n">
        <f aca="false">'P&amp;L monthly'!AY36/FX_EUR</f>
        <v>15573.5000922317</v>
      </c>
      <c r="AZ35" s="33" t="n">
        <f aca="false">'P&amp;L monthly'!AZ36/FX_EUR</f>
        <v>16688.7449939554</v>
      </c>
      <c r="BA35" s="33" t="n">
        <f aca="false">'P&amp;L monthly'!BA36/FX_EUR</f>
        <v>18572.3984956331</v>
      </c>
      <c r="BB35" s="33" t="n">
        <f aca="false">'P&amp;L monthly'!BB36/FX_EUR</f>
        <v>18726.8572482647</v>
      </c>
      <c r="BC35" s="33" t="n">
        <f aca="false">'P&amp;L monthly'!BC36/FX_EUR</f>
        <v>18034.4796991266</v>
      </c>
      <c r="BD35" s="33" t="n">
        <f aca="false">'P&amp;L monthly'!BD36/FX_EUR</f>
        <v>19149.7246008504</v>
      </c>
      <c r="BE35" s="33" t="n">
        <f aca="false">'P&amp;L monthly'!BE36/FX_EUR</f>
        <v>18957.3470517122</v>
      </c>
      <c r="BF35" s="33" t="n">
        <f aca="false">'P&amp;L monthly'!BF36/FX_EUR</f>
        <v>20072.591953436</v>
      </c>
      <c r="BG35" s="33" t="n">
        <f aca="false">'P&amp;L monthly'!BG36/FX_EUR</f>
        <v>20687.8368551597</v>
      </c>
      <c r="BH35" s="33" t="n">
        <f aca="false">'P&amp;L monthly'!BH36/FX_EUR</f>
        <v>23379.1128076993</v>
      </c>
      <c r="BI35" s="33" t="n">
        <f aca="false">'P&amp;L monthly'!BI36/FX_EUR</f>
        <v>22225.9491094691</v>
      </c>
      <c r="BJ35" s="33" t="n">
        <f aca="false">'P&amp;L monthly'!BJ36/FX_EUR</f>
        <v>22841.1940111928</v>
      </c>
      <c r="BK35" s="33" t="n">
        <f aca="false">'P&amp;L monthly'!BK36/FX_EUR</f>
        <v>23456.4389129166</v>
      </c>
      <c r="BL35" s="33" t="n">
        <f aca="false">'P&amp;L monthly'!BL36/FX_EUR</f>
        <v>24071.6838146403</v>
      </c>
    </row>
    <row r="36" customFormat="false" ht="15" hidden="false" customHeight="true" outlineLevel="0" collapsed="false">
      <c r="A36" s="13" t="s">
        <v>833</v>
      </c>
      <c r="B36" s="15" t="s">
        <v>79</v>
      </c>
      <c r="D36" s="56" t="n">
        <f aca="false">'P&amp;L monthly'!D37/FX_EUR</f>
        <v>1040296.29128881</v>
      </c>
      <c r="E36" s="33" t="n">
        <f aca="false">'P&amp;L monthly'!E37/FX_EUR</f>
        <v>7713.79196095679</v>
      </c>
      <c r="F36" s="33" t="n">
        <f aca="false">'P&amp;L monthly'!F37/FX_EUR</f>
        <v>10366.4048608877</v>
      </c>
      <c r="G36" s="33" t="n">
        <f aca="false">'P&amp;L monthly'!G37/FX_EUR</f>
        <v>54576.6198597368</v>
      </c>
      <c r="H36" s="33" t="n">
        <f aca="false">'P&amp;L monthly'!H37/FX_EUR</f>
        <v>19420.656892652</v>
      </c>
      <c r="I36" s="33" t="n">
        <f aca="false">'P&amp;L monthly'!I37/FX_EUR</f>
        <v>14701.9329519059</v>
      </c>
      <c r="J36" s="33" t="n">
        <f aca="false">'P&amp;L monthly'!J37/FX_EUR</f>
        <v>14521.6325968521</v>
      </c>
      <c r="K36" s="33" t="n">
        <f aca="false">'P&amp;L monthly'!K37/FX_EUR</f>
        <v>14341.9007068045</v>
      </c>
      <c r="L36" s="33" t="n">
        <f aca="false">'P&amp;L monthly'!L37/FX_EUR</f>
        <v>14162.6139823286</v>
      </c>
      <c r="M36" s="33" t="n">
        <f aca="false">'P&amp;L monthly'!M37/FX_EUR</f>
        <v>13983.6441573597</v>
      </c>
      <c r="N36" s="33" t="n">
        <f aca="false">'P&amp;L monthly'!N37/FX_EUR</f>
        <v>13804.8576603209</v>
      </c>
      <c r="O36" s="33" t="n">
        <f aca="false">'P&amp;L monthly'!O37/FX_EUR</f>
        <v>13626.11525564</v>
      </c>
      <c r="P36" s="33" t="n">
        <f aca="false">'P&amp;L monthly'!P37/FX_EUR</f>
        <v>13447.2716644724</v>
      </c>
      <c r="Q36" s="33" t="n">
        <f aca="false">'P&amp;L monthly'!Q37/FX_EUR</f>
        <v>16040.4910316373</v>
      </c>
      <c r="R36" s="33" t="n">
        <f aca="false">'P&amp;L monthly'!R37/FX_EUR</f>
        <v>15797.9391392869</v>
      </c>
      <c r="S36" s="33" t="n">
        <f aca="false">'P&amp;L monthly'!S37/FX_EUR</f>
        <v>15555.6595111794</v>
      </c>
      <c r="T36" s="33" t="n">
        <f aca="false">'P&amp;L monthly'!T37/FX_EUR</f>
        <v>24171.4242735548</v>
      </c>
      <c r="U36" s="33" t="n">
        <f aca="false">'P&amp;L monthly'!U37/FX_EUR</f>
        <v>15087.0784354282</v>
      </c>
      <c r="V36" s="33" t="n">
        <f aca="false">'P&amp;L monthly'!V37/FX_EUR</f>
        <v>14892.2104458212</v>
      </c>
      <c r="W36" s="33" t="n">
        <f aca="false">'P&amp;L monthly'!W37/FX_EUR</f>
        <v>14510.5251224403</v>
      </c>
      <c r="X36" s="33" t="n">
        <f aca="false">'P&amp;L monthly'!X37/FX_EUR</f>
        <v>14144.5618045466</v>
      </c>
      <c r="Y36" s="33" t="n">
        <f aca="false">'P&amp;L monthly'!Y37/FX_EUR</f>
        <v>13748.8123663447</v>
      </c>
      <c r="Z36" s="33" t="n">
        <f aca="false">'P&amp;L monthly'!Z37/FX_EUR</f>
        <v>13393.6154859744</v>
      </c>
      <c r="AA36" s="33" t="n">
        <f aca="false">'P&amp;L monthly'!AA37/FX_EUR</f>
        <v>13393.6154859744</v>
      </c>
      <c r="AB36" s="33" t="n">
        <f aca="false">'P&amp;L monthly'!AB37/FX_EUR</f>
        <v>13409.531163374</v>
      </c>
      <c r="AC36" s="33" t="n">
        <f aca="false">'P&amp;L monthly'!AC37/FX_EUR</f>
        <v>17101.9410498246</v>
      </c>
      <c r="AD36" s="33" t="n">
        <f aca="false">'P&amp;L monthly'!AD37/FX_EUR</f>
        <v>16573.5815260566</v>
      </c>
      <c r="AE36" s="33" t="n">
        <f aca="false">'P&amp;L monthly'!AE37/FX_EUR</f>
        <v>16335.35302873</v>
      </c>
      <c r="AF36" s="33" t="n">
        <f aca="false">'P&amp;L monthly'!AF37/FX_EUR</f>
        <v>25231.3324907984</v>
      </c>
      <c r="AG36" s="33" t="n">
        <f aca="false">'P&amp;L monthly'!AG37/FX_EUR</f>
        <v>16437.0365232274</v>
      </c>
      <c r="AH36" s="33" t="n">
        <f aca="false">'P&amp;L monthly'!AH37/FX_EUR</f>
        <v>16452.952200627</v>
      </c>
      <c r="AI36" s="33" t="n">
        <f aca="false">'P&amp;L monthly'!AI37/FX_EUR</f>
        <v>16468.8678780266</v>
      </c>
      <c r="AJ36" s="33" t="n">
        <f aca="false">'P&amp;L monthly'!AJ37/FX_EUR</f>
        <v>16468.8678780266</v>
      </c>
      <c r="AK36" s="33" t="n">
        <f aca="false">'P&amp;L monthly'!AK37/FX_EUR</f>
        <v>16484.7835554261</v>
      </c>
      <c r="AL36" s="33" t="n">
        <f aca="false">'P&amp;L monthly'!AL37/FX_EUR</f>
        <v>16516.6149102253</v>
      </c>
      <c r="AM36" s="33" t="n">
        <f aca="false">'P&amp;L monthly'!AM37/FX_EUR</f>
        <v>16532.5305876249</v>
      </c>
      <c r="AN36" s="33" t="n">
        <f aca="false">'P&amp;L monthly'!AN37/FX_EUR</f>
        <v>16548.4462650245</v>
      </c>
      <c r="AO36" s="33" t="n">
        <f aca="false">'P&amp;L monthly'!AO37/FX_EUR</f>
        <v>16199.5374696817</v>
      </c>
      <c r="AP36" s="33" t="n">
        <f aca="false">'P&amp;L monthly'!AP37/FX_EUR</f>
        <v>16199.5374696817</v>
      </c>
      <c r="AQ36" s="33" t="n">
        <f aca="false">'P&amp;L monthly'!AQ37/FX_EUR</f>
        <v>16231.3688244809</v>
      </c>
      <c r="AR36" s="33" t="n">
        <f aca="false">'P&amp;L monthly'!AR37/FX_EUR</f>
        <v>25143.2639639489</v>
      </c>
      <c r="AS36" s="33" t="n">
        <f aca="false">'P&amp;L monthly'!AS37/FX_EUR</f>
        <v>16301.2209641791</v>
      </c>
      <c r="AT36" s="33" t="n">
        <f aca="false">'P&amp;L monthly'!AT37/FX_EUR</f>
        <v>16317.1366415786</v>
      </c>
      <c r="AU36" s="33" t="n">
        <f aca="false">'P&amp;L monthly'!AU37/FX_EUR</f>
        <v>16364.8836737774</v>
      </c>
      <c r="AV36" s="33" t="n">
        <f aca="false">'P&amp;L monthly'!AV37/FX_EUR</f>
        <v>16364.8836737774</v>
      </c>
      <c r="AW36" s="33" t="n">
        <f aca="false">'P&amp;L monthly'!AW37/FX_EUR</f>
        <v>16412.6307059762</v>
      </c>
      <c r="AX36" s="33" t="n">
        <f aca="false">'P&amp;L monthly'!AX37/FX_EUR</f>
        <v>16428.5463833757</v>
      </c>
      <c r="AY36" s="33" t="n">
        <f aca="false">'P&amp;L monthly'!AY37/FX_EUR</f>
        <v>16444.4620607753</v>
      </c>
      <c r="AZ36" s="33" t="n">
        <f aca="false">'P&amp;L monthly'!AZ37/FX_EUR</f>
        <v>16476.2934155745</v>
      </c>
      <c r="BA36" s="33" t="n">
        <f aca="false">'P&amp;L monthly'!BA37/FX_EUR</f>
        <v>19035.4753944745</v>
      </c>
      <c r="BB36" s="33" t="n">
        <f aca="false">'P&amp;L monthly'!BB37/FX_EUR</f>
        <v>19083.2224266733</v>
      </c>
      <c r="BC36" s="33" t="n">
        <f aca="false">'P&amp;L monthly'!BC37/FX_EUR</f>
        <v>19099.1381040729</v>
      </c>
      <c r="BD36" s="33" t="n">
        <f aca="false">'P&amp;L monthly'!BD37/FX_EUR</f>
        <v>27973.0124586419</v>
      </c>
      <c r="BE36" s="33" t="n">
        <f aca="false">'P&amp;L monthly'!BE37/FX_EUR</f>
        <v>19146.8851362716</v>
      </c>
      <c r="BF36" s="33" t="n">
        <f aca="false">'P&amp;L monthly'!BF37/FX_EUR</f>
        <v>19178.7164910708</v>
      </c>
      <c r="BG36" s="33" t="n">
        <f aca="false">'P&amp;L monthly'!BG37/FX_EUR</f>
        <v>19210.54784587</v>
      </c>
      <c r="BH36" s="33" t="n">
        <f aca="false">'P&amp;L monthly'!BH37/FX_EUR</f>
        <v>19280.3999855682</v>
      </c>
      <c r="BI36" s="33" t="n">
        <f aca="false">'P&amp;L monthly'!BI37/FX_EUR</f>
        <v>19312.2313403673</v>
      </c>
      <c r="BJ36" s="33" t="n">
        <f aca="false">'P&amp;L monthly'!BJ37/FX_EUR</f>
        <v>19344.0626951665</v>
      </c>
      <c r="BK36" s="33" t="n">
        <f aca="false">'P&amp;L monthly'!BK37/FX_EUR</f>
        <v>19375.8940499657</v>
      </c>
      <c r="BL36" s="33" t="n">
        <f aca="false">'P&amp;L monthly'!BL37/FX_EUR</f>
        <v>19407.7254047648</v>
      </c>
    </row>
    <row r="37" customFormat="false" ht="15" hidden="false" customHeight="true" outlineLevel="0" collapsed="false">
      <c r="A37" s="13" t="s">
        <v>849</v>
      </c>
      <c r="B37" s="15" t="s">
        <v>79</v>
      </c>
      <c r="D37" s="56" t="n">
        <f aca="false">'P&amp;L monthly'!D38/FX_EUR</f>
        <v>350632.739646044</v>
      </c>
      <c r="E37" s="33" t="n">
        <f aca="false">'P&amp;L monthly'!E38/FX_EUR</f>
        <v>0</v>
      </c>
      <c r="F37" s="33" t="n">
        <f aca="false">'P&amp;L monthly'!F38/FX_EUR</f>
        <v>22867.3525856116</v>
      </c>
      <c r="G37" s="33" t="n">
        <f aca="false">'P&amp;L monthly'!G38/FX_EUR</f>
        <v>0</v>
      </c>
      <c r="H37" s="33" t="n">
        <f aca="false">'P&amp;L monthly'!H38/FX_EUR</f>
        <v>0</v>
      </c>
      <c r="I37" s="33" t="n">
        <f aca="false">'P&amp;L monthly'!I38/FX_EUR</f>
        <v>2286.73525856116</v>
      </c>
      <c r="J37" s="33" t="n">
        <f aca="false">'P&amp;L monthly'!J38/FX_EUR</f>
        <v>2286.73525856116</v>
      </c>
      <c r="K37" s="33" t="n">
        <f aca="false">'P&amp;L monthly'!K38/FX_EUR</f>
        <v>2286.73525856116</v>
      </c>
      <c r="L37" s="33" t="n">
        <f aca="false">'P&amp;L monthly'!L38/FX_EUR</f>
        <v>2286.73525856116</v>
      </c>
      <c r="M37" s="33" t="n">
        <f aca="false">'P&amp;L monthly'!M38/FX_EUR</f>
        <v>2286.73525856116</v>
      </c>
      <c r="N37" s="33" t="n">
        <f aca="false">'P&amp;L monthly'!N38/FX_EUR</f>
        <v>2286.73525856116</v>
      </c>
      <c r="O37" s="33" t="n">
        <f aca="false">'P&amp;L monthly'!O38/FX_EUR</f>
        <v>2286.73525856116</v>
      </c>
      <c r="P37" s="33" t="n">
        <f aca="false">'P&amp;L monthly'!P38/FX_EUR</f>
        <v>2286.73525856116</v>
      </c>
      <c r="Q37" s="33" t="n">
        <f aca="false">'P&amp;L monthly'!Q38/FX_EUR</f>
        <v>2667.85780165468</v>
      </c>
      <c r="R37" s="33" t="n">
        <f aca="false">'P&amp;L monthly'!R38/FX_EUR</f>
        <v>2667.85780165468</v>
      </c>
      <c r="S37" s="33" t="n">
        <f aca="false">'P&amp;L monthly'!S38/FX_EUR</f>
        <v>10290.3086635252</v>
      </c>
      <c r="T37" s="33" t="n">
        <f aca="false">'P&amp;L monthly'!T38/FX_EUR</f>
        <v>25535.2103872662</v>
      </c>
      <c r="U37" s="33" t="n">
        <f aca="false">'P&amp;L monthly'!U38/FX_EUR</f>
        <v>2667.85780165468</v>
      </c>
      <c r="V37" s="33" t="n">
        <f aca="false">'P&amp;L monthly'!V38/FX_EUR</f>
        <v>2667.85780165468</v>
      </c>
      <c r="W37" s="33" t="n">
        <f aca="false">'P&amp;L monthly'!W38/FX_EUR</f>
        <v>4954.59306021584</v>
      </c>
      <c r="X37" s="33" t="n">
        <f aca="false">'P&amp;L monthly'!X38/FX_EUR</f>
        <v>4954.59306021584</v>
      </c>
      <c r="Y37" s="33" t="n">
        <f aca="false">'P&amp;L monthly'!Y38/FX_EUR</f>
        <v>4954.59306021584</v>
      </c>
      <c r="Z37" s="33" t="n">
        <f aca="false">'P&amp;L monthly'!Z38/FX_EUR</f>
        <v>4954.59306021584</v>
      </c>
      <c r="AA37" s="33" t="n">
        <f aca="false">'P&amp;L monthly'!AA38/FX_EUR</f>
        <v>4954.59306021584</v>
      </c>
      <c r="AB37" s="33" t="n">
        <f aca="false">'P&amp;L monthly'!AB38/FX_EUR</f>
        <v>4954.59306021584</v>
      </c>
      <c r="AC37" s="33" t="n">
        <f aca="false">'P&amp;L monthly'!AC38/FX_EUR</f>
        <v>6479.08323258994</v>
      </c>
      <c r="AD37" s="33" t="n">
        <f aca="false">'P&amp;L monthly'!AD38/FX_EUR</f>
        <v>6479.08323258994</v>
      </c>
      <c r="AE37" s="33" t="n">
        <f aca="false">'P&amp;L monthly'!AE38/FX_EUR</f>
        <v>6479.08323258994</v>
      </c>
      <c r="AF37" s="33" t="n">
        <f aca="false">'P&amp;L monthly'!AF38/FX_EUR</f>
        <v>6479.08323258994</v>
      </c>
      <c r="AG37" s="33" t="n">
        <f aca="false">'P&amp;L monthly'!AG38/FX_EUR</f>
        <v>6479.08323258994</v>
      </c>
      <c r="AH37" s="33" t="n">
        <f aca="false">'P&amp;L monthly'!AH38/FX_EUR</f>
        <v>6479.08323258994</v>
      </c>
      <c r="AI37" s="33" t="n">
        <f aca="false">'P&amp;L monthly'!AI38/FX_EUR</f>
        <v>6479.08323258994</v>
      </c>
      <c r="AJ37" s="33" t="n">
        <f aca="false">'P&amp;L monthly'!AJ38/FX_EUR</f>
        <v>6479.08323258994</v>
      </c>
      <c r="AK37" s="33" t="n">
        <f aca="false">'P&amp;L monthly'!AK38/FX_EUR</f>
        <v>6479.08323258994</v>
      </c>
      <c r="AL37" s="33" t="n">
        <f aca="false">'P&amp;L monthly'!AL38/FX_EUR</f>
        <v>6479.08323258994</v>
      </c>
      <c r="AM37" s="33" t="n">
        <f aca="false">'P&amp;L monthly'!AM38/FX_EUR</f>
        <v>6479.08323258994</v>
      </c>
      <c r="AN37" s="33" t="n">
        <f aca="false">'P&amp;L monthly'!AN38/FX_EUR</f>
        <v>6479.08323258994</v>
      </c>
      <c r="AO37" s="33" t="n">
        <f aca="false">'P&amp;L monthly'!AO38/FX_EUR</f>
        <v>6479.08323258994</v>
      </c>
      <c r="AP37" s="33" t="n">
        <f aca="false">'P&amp;L monthly'!AP38/FX_EUR</f>
        <v>6479.08323258994</v>
      </c>
      <c r="AQ37" s="33" t="n">
        <f aca="false">'P&amp;L monthly'!AQ38/FX_EUR</f>
        <v>6479.08323258994</v>
      </c>
      <c r="AR37" s="33" t="n">
        <f aca="false">'P&amp;L monthly'!AR38/FX_EUR</f>
        <v>6479.08323258994</v>
      </c>
      <c r="AS37" s="33" t="n">
        <f aca="false">'P&amp;L monthly'!AS38/FX_EUR</f>
        <v>6479.08323258994</v>
      </c>
      <c r="AT37" s="33" t="n">
        <f aca="false">'P&amp;L monthly'!AT38/FX_EUR</f>
        <v>6479.08323258994</v>
      </c>
      <c r="AU37" s="33" t="n">
        <f aca="false">'P&amp;L monthly'!AU38/FX_EUR</f>
        <v>6479.08323258994</v>
      </c>
      <c r="AV37" s="33" t="n">
        <f aca="false">'P&amp;L monthly'!AV38/FX_EUR</f>
        <v>6479.08323258994</v>
      </c>
      <c r="AW37" s="33" t="n">
        <f aca="false">'P&amp;L monthly'!AW38/FX_EUR</f>
        <v>6479.08323258994</v>
      </c>
      <c r="AX37" s="33" t="n">
        <f aca="false">'P&amp;L monthly'!AX38/FX_EUR</f>
        <v>6479.08323258994</v>
      </c>
      <c r="AY37" s="33" t="n">
        <f aca="false">'P&amp;L monthly'!AY38/FX_EUR</f>
        <v>6479.08323258994</v>
      </c>
      <c r="AZ37" s="33" t="n">
        <f aca="false">'P&amp;L monthly'!AZ38/FX_EUR</f>
        <v>6479.08323258994</v>
      </c>
      <c r="BA37" s="33" t="n">
        <f aca="false">'P&amp;L monthly'!BA38/FX_EUR</f>
        <v>6479.08323258994</v>
      </c>
      <c r="BB37" s="33" t="n">
        <f aca="false">'P&amp;L monthly'!BB38/FX_EUR</f>
        <v>6479.08323258994</v>
      </c>
      <c r="BC37" s="33" t="n">
        <f aca="false">'P&amp;L monthly'!BC38/FX_EUR</f>
        <v>6479.08323258994</v>
      </c>
      <c r="BD37" s="33" t="n">
        <f aca="false">'P&amp;L monthly'!BD38/FX_EUR</f>
        <v>6479.08323258994</v>
      </c>
      <c r="BE37" s="33" t="n">
        <f aca="false">'P&amp;L monthly'!BE38/FX_EUR</f>
        <v>6479.08323258994</v>
      </c>
      <c r="BF37" s="33" t="n">
        <f aca="false">'P&amp;L monthly'!BF38/FX_EUR</f>
        <v>6479.08323258994</v>
      </c>
      <c r="BG37" s="33" t="n">
        <f aca="false">'P&amp;L monthly'!BG38/FX_EUR</f>
        <v>6479.08323258994</v>
      </c>
      <c r="BH37" s="33" t="n">
        <f aca="false">'P&amp;L monthly'!BH38/FX_EUR</f>
        <v>6479.08323258994</v>
      </c>
      <c r="BI37" s="33" t="n">
        <f aca="false">'P&amp;L monthly'!BI38/FX_EUR</f>
        <v>6479.08323258994</v>
      </c>
      <c r="BJ37" s="33" t="n">
        <f aca="false">'P&amp;L monthly'!BJ38/FX_EUR</f>
        <v>6479.08323258994</v>
      </c>
      <c r="BK37" s="33" t="n">
        <f aca="false">'P&amp;L monthly'!BK38/FX_EUR</f>
        <v>6479.08323258994</v>
      </c>
      <c r="BL37" s="33" t="n">
        <f aca="false">'P&amp;L monthly'!BL38/FX_EUR</f>
        <v>6479.08323258994</v>
      </c>
    </row>
    <row r="38" customFormat="false" ht="15" hidden="false" customHeight="true" outlineLevel="0" collapsed="false">
      <c r="A38" s="13" t="s">
        <v>860</v>
      </c>
      <c r="B38" s="15" t="s">
        <v>79</v>
      </c>
      <c r="D38" s="56" t="n">
        <f aca="false">'P&amp;L monthly'!D39/FX_EUR</f>
        <v>1000980.24718084</v>
      </c>
      <c r="E38" s="33" t="n">
        <f aca="false">'P&amp;L monthly'!E39/FX_EUR</f>
        <v>8346.58369374822</v>
      </c>
      <c r="F38" s="33" t="n">
        <f aca="false">'P&amp;L monthly'!F39/FX_EUR</f>
        <v>4535.35826281296</v>
      </c>
      <c r="G38" s="33" t="n">
        <f aca="false">'P&amp;L monthly'!G39/FX_EUR</f>
        <v>4535.35826281296</v>
      </c>
      <c r="H38" s="33" t="n">
        <f aca="false">'P&amp;L monthly'!H39/FX_EUR</f>
        <v>4535.35826281296</v>
      </c>
      <c r="I38" s="33" t="n">
        <f aca="false">'P&amp;L monthly'!I39/FX_EUR</f>
        <v>4535.35826281296</v>
      </c>
      <c r="J38" s="33" t="n">
        <f aca="false">'P&amp;L monthly'!J39/FX_EUR</f>
        <v>4535.35826281296</v>
      </c>
      <c r="K38" s="33" t="n">
        <f aca="false">'P&amp;L monthly'!K39/FX_EUR</f>
        <v>4535.35826281296</v>
      </c>
      <c r="L38" s="33" t="n">
        <f aca="false">'P&amp;L monthly'!L39/FX_EUR</f>
        <v>4535.35826281296</v>
      </c>
      <c r="M38" s="33" t="n">
        <f aca="false">'P&amp;L monthly'!M39/FX_EUR</f>
        <v>4535.35826281296</v>
      </c>
      <c r="N38" s="33" t="n">
        <f aca="false">'P&amp;L monthly'!N39/FX_EUR</f>
        <v>4535.35826281296</v>
      </c>
      <c r="O38" s="33" t="n">
        <f aca="false">'P&amp;L monthly'!O39/FX_EUR</f>
        <v>4535.35826281296</v>
      </c>
      <c r="P38" s="33" t="n">
        <f aca="false">'P&amp;L monthly'!P39/FX_EUR</f>
        <v>4535.35826281296</v>
      </c>
      <c r="Q38" s="33" t="n">
        <f aca="false">'P&amp;L monthly'!Q39/FX_EUR</f>
        <v>12348.3703962302</v>
      </c>
      <c r="R38" s="33" t="n">
        <f aca="false">'P&amp;L monthly'!R39/FX_EUR</f>
        <v>12348.3703962302</v>
      </c>
      <c r="S38" s="33" t="n">
        <f aca="false">'P&amp;L monthly'!S39/FX_EUR</f>
        <v>12348.3703962302</v>
      </c>
      <c r="T38" s="33" t="n">
        <f aca="false">'P&amp;L monthly'!T39/FX_EUR</f>
        <v>16921.8409133526</v>
      </c>
      <c r="U38" s="33" t="n">
        <f aca="false">'P&amp;L monthly'!U39/FX_EUR</f>
        <v>12348.3703962302</v>
      </c>
      <c r="V38" s="33" t="n">
        <f aca="false">'P&amp;L monthly'!V39/FX_EUR</f>
        <v>12348.3703962302</v>
      </c>
      <c r="W38" s="33" t="n">
        <f aca="false">'P&amp;L monthly'!W39/FX_EUR</f>
        <v>12348.3703962302</v>
      </c>
      <c r="X38" s="33" t="n">
        <f aca="false">'P&amp;L monthly'!X39/FX_EUR</f>
        <v>12348.3703962302</v>
      </c>
      <c r="Y38" s="33" t="n">
        <f aca="false">'P&amp;L monthly'!Y39/FX_EUR</f>
        <v>12348.3703962302</v>
      </c>
      <c r="Z38" s="33" t="n">
        <f aca="false">'P&amp;L monthly'!Z39/FX_EUR</f>
        <v>12348.3703962302</v>
      </c>
      <c r="AA38" s="33" t="n">
        <f aca="false">'P&amp;L monthly'!AA39/FX_EUR</f>
        <v>12348.3703962302</v>
      </c>
      <c r="AB38" s="33" t="n">
        <f aca="false">'P&amp;L monthly'!AB39/FX_EUR</f>
        <v>16921.8409133526</v>
      </c>
      <c r="AC38" s="33" t="n">
        <f aca="false">'P&amp;L monthly'!AC39/FX_EUR</f>
        <v>19106.9434937554</v>
      </c>
      <c r="AD38" s="33" t="n">
        <f aca="false">'P&amp;L monthly'!AD39/FX_EUR</f>
        <v>19106.9434937554</v>
      </c>
      <c r="AE38" s="33" t="n">
        <f aca="false">'P&amp;L monthly'!AE39/FX_EUR</f>
        <v>19106.9434937554</v>
      </c>
      <c r="AF38" s="33" t="n">
        <f aca="false">'P&amp;L monthly'!AF39/FX_EUR</f>
        <v>19106.9434937554</v>
      </c>
      <c r="AG38" s="33" t="n">
        <f aca="false">'P&amp;L monthly'!AG39/FX_EUR</f>
        <v>19106.9434937554</v>
      </c>
      <c r="AH38" s="33" t="n">
        <f aca="false">'P&amp;L monthly'!AH39/FX_EUR</f>
        <v>19106.9434937554</v>
      </c>
      <c r="AI38" s="33" t="n">
        <f aca="false">'P&amp;L monthly'!AI39/FX_EUR</f>
        <v>19106.9434937554</v>
      </c>
      <c r="AJ38" s="33" t="n">
        <f aca="false">'P&amp;L monthly'!AJ39/FX_EUR</f>
        <v>19106.9434937554</v>
      </c>
      <c r="AK38" s="33" t="n">
        <f aca="false">'P&amp;L monthly'!AK39/FX_EUR</f>
        <v>19106.9434937554</v>
      </c>
      <c r="AL38" s="33" t="n">
        <f aca="false">'P&amp;L monthly'!AL39/FX_EUR</f>
        <v>19106.9434937554</v>
      </c>
      <c r="AM38" s="33" t="n">
        <f aca="false">'P&amp;L monthly'!AM39/FX_EUR</f>
        <v>19106.9434937554</v>
      </c>
      <c r="AN38" s="33" t="n">
        <f aca="false">'P&amp;L monthly'!AN39/FX_EUR</f>
        <v>19106.9434937554</v>
      </c>
      <c r="AO38" s="33" t="n">
        <f aca="false">'P&amp;L monthly'!AO39/FX_EUR</f>
        <v>21393.6787523166</v>
      </c>
      <c r="AP38" s="33" t="n">
        <f aca="false">'P&amp;L monthly'!AP39/FX_EUR</f>
        <v>21393.6787523166</v>
      </c>
      <c r="AQ38" s="33" t="n">
        <f aca="false">'P&amp;L monthly'!AQ39/FX_EUR</f>
        <v>21393.6787523166</v>
      </c>
      <c r="AR38" s="33" t="n">
        <f aca="false">'P&amp;L monthly'!AR39/FX_EUR</f>
        <v>21393.6787523166</v>
      </c>
      <c r="AS38" s="33" t="n">
        <f aca="false">'P&amp;L monthly'!AS39/FX_EUR</f>
        <v>21393.6787523166</v>
      </c>
      <c r="AT38" s="33" t="n">
        <f aca="false">'P&amp;L monthly'!AT39/FX_EUR</f>
        <v>21393.6787523166</v>
      </c>
      <c r="AU38" s="33" t="n">
        <f aca="false">'P&amp;L monthly'!AU39/FX_EUR</f>
        <v>21393.6787523166</v>
      </c>
      <c r="AV38" s="33" t="n">
        <f aca="false">'P&amp;L monthly'!AV39/FX_EUR</f>
        <v>21393.6787523166</v>
      </c>
      <c r="AW38" s="33" t="n">
        <f aca="false">'P&amp;L monthly'!AW39/FX_EUR</f>
        <v>21393.6787523166</v>
      </c>
      <c r="AX38" s="33" t="n">
        <f aca="false">'P&amp;L monthly'!AX39/FX_EUR</f>
        <v>21393.6787523166</v>
      </c>
      <c r="AY38" s="33" t="n">
        <f aca="false">'P&amp;L monthly'!AY39/FX_EUR</f>
        <v>21393.6787523166</v>
      </c>
      <c r="AZ38" s="33" t="n">
        <f aca="false">'P&amp;L monthly'!AZ39/FX_EUR</f>
        <v>21393.6787523166</v>
      </c>
      <c r="BA38" s="33" t="n">
        <f aca="false">'P&amp;L monthly'!BA39/FX_EUR</f>
        <v>24950.8224878562</v>
      </c>
      <c r="BB38" s="33" t="n">
        <f aca="false">'P&amp;L monthly'!BB39/FX_EUR</f>
        <v>24950.8224878562</v>
      </c>
      <c r="BC38" s="33" t="n">
        <f aca="false">'P&amp;L monthly'!BC39/FX_EUR</f>
        <v>24950.8224878562</v>
      </c>
      <c r="BD38" s="33" t="n">
        <f aca="false">'P&amp;L monthly'!BD39/FX_EUR</f>
        <v>24950.8224878562</v>
      </c>
      <c r="BE38" s="33" t="n">
        <f aca="false">'P&amp;L monthly'!BE39/FX_EUR</f>
        <v>24950.8224878562</v>
      </c>
      <c r="BF38" s="33" t="n">
        <f aca="false">'P&amp;L monthly'!BF39/FX_EUR</f>
        <v>24950.8224878562</v>
      </c>
      <c r="BG38" s="33" t="n">
        <f aca="false">'P&amp;L monthly'!BG39/FX_EUR</f>
        <v>24950.8224878562</v>
      </c>
      <c r="BH38" s="33" t="n">
        <f aca="false">'P&amp;L monthly'!BH39/FX_EUR</f>
        <v>24950.8224878562</v>
      </c>
      <c r="BI38" s="33" t="n">
        <f aca="false">'P&amp;L monthly'!BI39/FX_EUR</f>
        <v>24950.8224878562</v>
      </c>
      <c r="BJ38" s="33" t="n">
        <f aca="false">'P&amp;L monthly'!BJ39/FX_EUR</f>
        <v>24950.8224878562</v>
      </c>
      <c r="BK38" s="33" t="n">
        <f aca="false">'P&amp;L monthly'!BK39/FX_EUR</f>
        <v>24950.8224878562</v>
      </c>
      <c r="BL38" s="33" t="n">
        <f aca="false">'P&amp;L monthly'!BL39/FX_EUR</f>
        <v>24950.8224878562</v>
      </c>
    </row>
    <row r="39" customFormat="false" ht="15" hidden="false" customHeight="true" outlineLevel="0" collapsed="false">
      <c r="A39" s="13" t="s">
        <v>876</v>
      </c>
      <c r="B39" s="15" t="s">
        <v>79</v>
      </c>
      <c r="D39" s="56" t="n">
        <f aca="false">'P&amp;L monthly'!D40/FX_EUR</f>
        <v>984144.826515409</v>
      </c>
      <c r="E39" s="33" t="n">
        <f aca="false">'P&amp;L monthly'!E40/FX_EUR</f>
        <v>3447.88860651943</v>
      </c>
      <c r="F39" s="33" t="n">
        <f aca="false">'P&amp;L monthly'!F40/FX_EUR</f>
        <v>3447.88860651943</v>
      </c>
      <c r="G39" s="33" t="n">
        <f aca="false">'P&amp;L monthly'!G40/FX_EUR</f>
        <v>3447.88860651943</v>
      </c>
      <c r="H39" s="33" t="n">
        <f aca="false">'P&amp;L monthly'!H40/FX_EUR</f>
        <v>3676.56213237555</v>
      </c>
      <c r="I39" s="33" t="n">
        <f aca="false">'P&amp;L monthly'!I40/FX_EUR</f>
        <v>5978.54229266044</v>
      </c>
      <c r="J39" s="33" t="n">
        <f aca="false">'P&amp;L monthly'!J40/FX_EUR</f>
        <v>5996.83617472893</v>
      </c>
      <c r="K39" s="33" t="n">
        <f aca="false">'P&amp;L monthly'!K40/FX_EUR</f>
        <v>6016.22768972153</v>
      </c>
      <c r="L39" s="33" t="n">
        <f aca="false">'P&amp;L monthly'!L40/FX_EUR</f>
        <v>6036.78269561369</v>
      </c>
      <c r="M39" s="33" t="n">
        <f aca="false">'P&amp;L monthly'!M40/FX_EUR</f>
        <v>6058.57100185937</v>
      </c>
      <c r="N39" s="33" t="n">
        <f aca="false">'P&amp;L monthly'!N40/FX_EUR</f>
        <v>6081.6666064798</v>
      </c>
      <c r="O39" s="33" t="n">
        <f aca="false">'P&amp;L monthly'!O40/FX_EUR</f>
        <v>6106.14794737745</v>
      </c>
      <c r="P39" s="33" t="n">
        <f aca="false">'P&amp;L monthly'!P40/FX_EUR</f>
        <v>6132.09816872896</v>
      </c>
      <c r="Q39" s="33" t="n">
        <f aca="false">'P&amp;L monthly'!Q40/FX_EUR</f>
        <v>7992.80483564142</v>
      </c>
      <c r="R39" s="33" t="n">
        <f aca="false">'P&amp;L monthly'!R40/FX_EUR</f>
        <v>8021.96250435197</v>
      </c>
      <c r="S39" s="33" t="n">
        <f aca="false">'P&amp;L monthly'!S40/FX_EUR</f>
        <v>8052.86963318516</v>
      </c>
      <c r="T39" s="33" t="n">
        <f aca="false">'P&amp;L monthly'!T40/FX_EUR</f>
        <v>8085.63118974834</v>
      </c>
      <c r="U39" s="33" t="n">
        <f aca="false">'P&amp;L monthly'!U40/FX_EUR</f>
        <v>8120.35843970531</v>
      </c>
      <c r="V39" s="33" t="n">
        <f aca="false">'P&amp;L monthly'!V40/FX_EUR</f>
        <v>8385.84285051582</v>
      </c>
      <c r="W39" s="33" t="n">
        <f aca="false">'P&amp;L monthly'!W40/FX_EUR</f>
        <v>10650.6180402337</v>
      </c>
      <c r="X39" s="33" t="n">
        <f aca="false">'P&amp;L monthly'!X40/FX_EUR</f>
        <v>10820.0359250478</v>
      </c>
      <c r="Y39" s="33" t="n">
        <f aca="false">'P&amp;L monthly'!Y40/FX_EUR</f>
        <v>10878.4219142471</v>
      </c>
      <c r="Z39" s="33" t="n">
        <f aca="false">'P&amp;L monthly'!Z40/FX_EUR</f>
        <v>10940.3110627984</v>
      </c>
      <c r="AA39" s="33" t="n">
        <f aca="false">'P&amp;L monthly'!AA40/FX_EUR</f>
        <v>11005.9135602627</v>
      </c>
      <c r="AB39" s="33" t="n">
        <f aca="false">'P&amp;L monthly'!AB40/FX_EUR</f>
        <v>11075.4522075749</v>
      </c>
      <c r="AC39" s="33" t="n">
        <f aca="false">'P&amp;L monthly'!AC40/FX_EUR</f>
        <v>16569.9961449927</v>
      </c>
      <c r="AD39" s="33" t="n">
        <f aca="false">'P&amp;L monthly'!AD40/FX_EUR</f>
        <v>16762.4665320407</v>
      </c>
      <c r="AE39" s="33" t="n">
        <f aca="false">'P&amp;L monthly'!AE40/FX_EUR</f>
        <v>16845.2881736079</v>
      </c>
      <c r="AF39" s="33" t="n">
        <f aca="false">'P&amp;L monthly'!AF40/FX_EUR</f>
        <v>16933.0791136691</v>
      </c>
      <c r="AG39" s="33" t="n">
        <f aca="false">'P&amp;L monthly'!AG40/FX_EUR</f>
        <v>17026.1375101339</v>
      </c>
      <c r="AH39" s="33" t="n">
        <f aca="false">'P&amp;L monthly'!AH40/FX_EUR</f>
        <v>17239.1161733147</v>
      </c>
      <c r="AI39" s="33" t="n">
        <f aca="false">'P&amp;L monthly'!AI40/FX_EUR</f>
        <v>17343.6765875827</v>
      </c>
      <c r="AJ39" s="33" t="n">
        <f aca="false">'P&amp;L monthly'!AJ40/FX_EUR</f>
        <v>17454.5106267066</v>
      </c>
      <c r="AK39" s="33" t="n">
        <f aca="false">'P&amp;L monthly'!AK40/FX_EUR</f>
        <v>17571.9947081781</v>
      </c>
      <c r="AL39" s="33" t="n">
        <f aca="false">'P&amp;L monthly'!AL40/FX_EUR</f>
        <v>17810.8645974659</v>
      </c>
      <c r="AM39" s="33" t="n">
        <f aca="false">'P&amp;L monthly'!AM40/FX_EUR</f>
        <v>17942.8697114072</v>
      </c>
      <c r="AN39" s="33" t="n">
        <f aca="false">'P&amp;L monthly'!AN40/FX_EUR</f>
        <v>18197.131895113</v>
      </c>
      <c r="AO39" s="33" t="n">
        <f aca="false">'P&amp;L monthly'!AO40/FX_EUR</f>
        <v>21295.3413246813</v>
      </c>
      <c r="AP39" s="33" t="n">
        <f aca="false">'P&amp;L monthly'!AP40/FX_EUR</f>
        <v>21452.5615274672</v>
      </c>
      <c r="AQ39" s="33" t="n">
        <f aca="false">'P&amp;L monthly'!AQ40/FX_EUR</f>
        <v>21619.2149424203</v>
      </c>
      <c r="AR39" s="33" t="n">
        <f aca="false">'P&amp;L monthly'!AR40/FX_EUR</f>
        <v>21910.2043251986</v>
      </c>
      <c r="AS39" s="33" t="n">
        <f aca="false">'P&amp;L monthly'!AS40/FX_EUR</f>
        <v>22097.4561022399</v>
      </c>
      <c r="AT39" s="33" t="n">
        <f aca="false">'P&amp;L monthly'!AT40/FX_EUR</f>
        <v>22295.9429859036</v>
      </c>
      <c r="AU39" s="33" t="n">
        <f aca="false">'P&amp;L monthly'!AU40/FX_EUR</f>
        <v>22735.0126084433</v>
      </c>
      <c r="AV39" s="33" t="n">
        <f aca="false">'P&amp;L monthly'!AV40/FX_EUR</f>
        <v>22958.0324709279</v>
      </c>
      <c r="AW39" s="33" t="n">
        <f aca="false">'P&amp;L monthly'!AW40/FX_EUR</f>
        <v>23221.6554506457</v>
      </c>
      <c r="AX39" s="33" t="n">
        <f aca="false">'P&amp;L monthly'!AX40/FX_EUR</f>
        <v>23284.0748572019</v>
      </c>
      <c r="AY39" s="33" t="n">
        <f aca="false">'P&amp;L monthly'!AY40/FX_EUR</f>
        <v>23350.2394281514</v>
      </c>
      <c r="AZ39" s="33" t="n">
        <f aca="false">'P&amp;L monthly'!AZ40/FX_EUR</f>
        <v>23649.047399214</v>
      </c>
      <c r="BA39" s="33" t="n">
        <f aca="false">'P&amp;L monthly'!BA40/FX_EUR</f>
        <v>26561.4824487027</v>
      </c>
      <c r="BB39" s="33" t="n">
        <f aca="false">'P&amp;L monthly'!BB40/FX_EUR</f>
        <v>26754.6222742647</v>
      </c>
      <c r="BC39" s="33" t="n">
        <f aca="false">'P&amp;L monthly'!BC40/FX_EUR</f>
        <v>26838.1535206568</v>
      </c>
      <c r="BD39" s="33" t="n">
        <f aca="false">'P&amp;L monthly'!BD40/FX_EUR</f>
        <v>27041.0334047604</v>
      </c>
      <c r="BE39" s="33" t="n">
        <f aca="false">'P&amp;L monthly'!BE40/FX_EUR</f>
        <v>27249.2258761346</v>
      </c>
      <c r="BF39" s="33" t="n">
        <f aca="false">'P&amp;L monthly'!BF40/FX_EUR</f>
        <v>27348.7129270875</v>
      </c>
      <c r="BG39" s="33" t="n">
        <f aca="false">'P&amp;L monthly'!BG40/FX_EUR</f>
        <v>27568.5059640256</v>
      </c>
      <c r="BH39" s="33" t="n">
        <f aca="false">'P&amp;L monthly'!BH40/FX_EUR</f>
        <v>27794.6263774043</v>
      </c>
      <c r="BI39" s="33" t="n">
        <f aca="false">'P&amp;L monthly'!BI40/FX_EUR</f>
        <v>28027.4538098101</v>
      </c>
      <c r="BJ39" s="33" t="n">
        <f aca="false">'P&amp;L monthly'!BJ40/FX_EUR</f>
        <v>28153.0539194564</v>
      </c>
      <c r="BK39" s="33" t="n">
        <f aca="false">'P&amp;L monthly'!BK40/FX_EUR</f>
        <v>28335.1906705267</v>
      </c>
      <c r="BL39" s="33" t="n">
        <f aca="false">'P&amp;L monthly'!BL40/FX_EUR</f>
        <v>28449.5274334547</v>
      </c>
    </row>
    <row r="40" customFormat="false" ht="15" hidden="false" customHeight="true" outlineLevel="0" collapsed="false">
      <c r="A40" s="13" t="s">
        <v>883</v>
      </c>
      <c r="B40" s="15" t="s">
        <v>79</v>
      </c>
      <c r="D40" s="56" t="n">
        <f aca="false">'P&amp;L monthly'!D41/FX_EUR</f>
        <v>185409.327745569</v>
      </c>
      <c r="E40" s="33" t="n">
        <f aca="false">'P&amp;L monthly'!E41/FX_EUR</f>
        <v>4324.3115021259</v>
      </c>
      <c r="F40" s="33" t="n">
        <f aca="false">'P&amp;L monthly'!F41/FX_EUR</f>
        <v>1124.3115021259</v>
      </c>
      <c r="G40" s="33" t="n">
        <f aca="false">'P&amp;L monthly'!G41/FX_EUR</f>
        <v>1124.3115021259</v>
      </c>
      <c r="H40" s="33" t="n">
        <f aca="false">'P&amp;L monthly'!H41/FX_EUR</f>
        <v>1124.3115021259</v>
      </c>
      <c r="I40" s="33" t="n">
        <f aca="false">'P&amp;L monthly'!I41/FX_EUR</f>
        <v>1124.3115021259</v>
      </c>
      <c r="J40" s="33" t="n">
        <f aca="false">'P&amp;L monthly'!J41/FX_EUR</f>
        <v>1124.3115021259</v>
      </c>
      <c r="K40" s="33" t="n">
        <f aca="false">'P&amp;L monthly'!K41/FX_EUR</f>
        <v>1124.3115021259</v>
      </c>
      <c r="L40" s="33" t="n">
        <f aca="false">'P&amp;L monthly'!L41/FX_EUR</f>
        <v>1124.3115021259</v>
      </c>
      <c r="M40" s="33" t="n">
        <f aca="false">'P&amp;L monthly'!M41/FX_EUR</f>
        <v>1124.3115021259</v>
      </c>
      <c r="N40" s="33" t="n">
        <f aca="false">'P&amp;L monthly'!N41/FX_EUR</f>
        <v>1124.3115021259</v>
      </c>
      <c r="O40" s="33" t="n">
        <f aca="false">'P&amp;L monthly'!O41/FX_EUR</f>
        <v>1124.3115021259</v>
      </c>
      <c r="P40" s="33" t="n">
        <f aca="false">'P&amp;L monthly'!P41/FX_EUR</f>
        <v>1124.3115021259</v>
      </c>
      <c r="Q40" s="33" t="n">
        <f aca="false">'P&amp;L monthly'!Q41/FX_EUR</f>
        <v>3150.25568241008</v>
      </c>
      <c r="R40" s="33" t="n">
        <f aca="false">'P&amp;L monthly'!R41/FX_EUR</f>
        <v>2350.25568241008</v>
      </c>
      <c r="S40" s="33" t="n">
        <f aca="false">'P&amp;L monthly'!S41/FX_EUR</f>
        <v>2350.25568241008</v>
      </c>
      <c r="T40" s="33" t="n">
        <f aca="false">'P&amp;L monthly'!T41/FX_EUR</f>
        <v>3150.25568241008</v>
      </c>
      <c r="U40" s="33" t="n">
        <f aca="false">'P&amp;L monthly'!U41/FX_EUR</f>
        <v>2350.25568241008</v>
      </c>
      <c r="V40" s="33" t="n">
        <f aca="false">'P&amp;L monthly'!V41/FX_EUR</f>
        <v>3150.25568241008</v>
      </c>
      <c r="W40" s="33" t="n">
        <f aca="false">'P&amp;L monthly'!W41/FX_EUR</f>
        <v>2350.25568241008</v>
      </c>
      <c r="X40" s="33" t="n">
        <f aca="false">'P&amp;L monthly'!X41/FX_EUR</f>
        <v>2350.25568241008</v>
      </c>
      <c r="Y40" s="33" t="n">
        <f aca="false">'P&amp;L monthly'!Y41/FX_EUR</f>
        <v>2350.25568241008</v>
      </c>
      <c r="Z40" s="33" t="n">
        <f aca="false">'P&amp;L monthly'!Z41/FX_EUR</f>
        <v>2350.25568241008</v>
      </c>
      <c r="AA40" s="33" t="n">
        <f aca="false">'P&amp;L monthly'!AA41/FX_EUR</f>
        <v>2350.25568241008</v>
      </c>
      <c r="AB40" s="33" t="n">
        <f aca="false">'P&amp;L monthly'!AB41/FX_EUR</f>
        <v>3150.25568241008</v>
      </c>
      <c r="AC40" s="33" t="n">
        <f aca="false">'P&amp;L monthly'!AC41/FX_EUR</f>
        <v>2998.16400566907</v>
      </c>
      <c r="AD40" s="33" t="n">
        <f aca="false">'P&amp;L monthly'!AD41/FX_EUR</f>
        <v>2998.16400566907</v>
      </c>
      <c r="AE40" s="33" t="n">
        <f aca="false">'P&amp;L monthly'!AE41/FX_EUR</f>
        <v>2998.16400566907</v>
      </c>
      <c r="AF40" s="33" t="n">
        <f aca="false">'P&amp;L monthly'!AF41/FX_EUR</f>
        <v>3798.16400566907</v>
      </c>
      <c r="AG40" s="33" t="n">
        <f aca="false">'P&amp;L monthly'!AG41/FX_EUR</f>
        <v>3798.16400566907</v>
      </c>
      <c r="AH40" s="33" t="n">
        <f aca="false">'P&amp;L monthly'!AH41/FX_EUR</f>
        <v>2998.16400566907</v>
      </c>
      <c r="AI40" s="33" t="n">
        <f aca="false">'P&amp;L monthly'!AI41/FX_EUR</f>
        <v>2998.16400566907</v>
      </c>
      <c r="AJ40" s="33" t="n">
        <f aca="false">'P&amp;L monthly'!AJ41/FX_EUR</f>
        <v>2998.16400566907</v>
      </c>
      <c r="AK40" s="33" t="n">
        <f aca="false">'P&amp;L monthly'!AK41/FX_EUR</f>
        <v>2998.16400566907</v>
      </c>
      <c r="AL40" s="33" t="n">
        <f aca="false">'P&amp;L monthly'!AL41/FX_EUR</f>
        <v>3798.16400566907</v>
      </c>
      <c r="AM40" s="33" t="n">
        <f aca="false">'P&amp;L monthly'!AM41/FX_EUR</f>
        <v>2998.16400566907</v>
      </c>
      <c r="AN40" s="33" t="n">
        <f aca="false">'P&amp;L monthly'!AN41/FX_EUR</f>
        <v>2998.16400566907</v>
      </c>
      <c r="AO40" s="33" t="n">
        <f aca="false">'P&amp;L monthly'!AO41/FX_EUR</f>
        <v>3569.84782030936</v>
      </c>
      <c r="AP40" s="33" t="n">
        <f aca="false">'P&amp;L monthly'!AP41/FX_EUR</f>
        <v>3569.84782030936</v>
      </c>
      <c r="AQ40" s="33" t="n">
        <f aca="false">'P&amp;L monthly'!AQ41/FX_EUR</f>
        <v>4369.84782030936</v>
      </c>
      <c r="AR40" s="33" t="n">
        <f aca="false">'P&amp;L monthly'!AR41/FX_EUR</f>
        <v>4369.84782030936</v>
      </c>
      <c r="AS40" s="33" t="n">
        <f aca="false">'P&amp;L monthly'!AS41/FX_EUR</f>
        <v>3569.84782030936</v>
      </c>
      <c r="AT40" s="33" t="n">
        <f aca="false">'P&amp;L monthly'!AT41/FX_EUR</f>
        <v>3569.84782030936</v>
      </c>
      <c r="AU40" s="33" t="n">
        <f aca="false">'P&amp;L monthly'!AU41/FX_EUR</f>
        <v>3569.84782030936</v>
      </c>
      <c r="AV40" s="33" t="n">
        <f aca="false">'P&amp;L monthly'!AV41/FX_EUR</f>
        <v>3569.84782030936</v>
      </c>
      <c r="AW40" s="33" t="n">
        <f aca="false">'P&amp;L monthly'!AW41/FX_EUR</f>
        <v>4369.84782030936</v>
      </c>
      <c r="AX40" s="33" t="n">
        <f aca="false">'P&amp;L monthly'!AX41/FX_EUR</f>
        <v>3569.84782030936</v>
      </c>
      <c r="AY40" s="33" t="n">
        <f aca="false">'P&amp;L monthly'!AY41/FX_EUR</f>
        <v>3569.84782030936</v>
      </c>
      <c r="AZ40" s="33" t="n">
        <f aca="false">'P&amp;L monthly'!AZ41/FX_EUR</f>
        <v>3569.84782030936</v>
      </c>
      <c r="BA40" s="33" t="n">
        <f aca="false">'P&amp;L monthly'!BA41/FX_EUR</f>
        <v>4941.53163494965</v>
      </c>
      <c r="BB40" s="33" t="n">
        <f aca="false">'P&amp;L monthly'!BB41/FX_EUR</f>
        <v>4941.53163494965</v>
      </c>
      <c r="BC40" s="33" t="n">
        <f aca="false">'P&amp;L monthly'!BC41/FX_EUR</f>
        <v>4141.53163494965</v>
      </c>
      <c r="BD40" s="33" t="n">
        <f aca="false">'P&amp;L monthly'!BD41/FX_EUR</f>
        <v>4141.53163494965</v>
      </c>
      <c r="BE40" s="33" t="n">
        <f aca="false">'P&amp;L monthly'!BE41/FX_EUR</f>
        <v>4141.53163494965</v>
      </c>
      <c r="BF40" s="33" t="n">
        <f aca="false">'P&amp;L monthly'!BF41/FX_EUR</f>
        <v>4941.53163494965</v>
      </c>
      <c r="BG40" s="33" t="n">
        <f aca="false">'P&amp;L monthly'!BG41/FX_EUR</f>
        <v>4141.53163494965</v>
      </c>
      <c r="BH40" s="33" t="n">
        <f aca="false">'P&amp;L monthly'!BH41/FX_EUR</f>
        <v>4941.53163494965</v>
      </c>
      <c r="BI40" s="33" t="n">
        <f aca="false">'P&amp;L monthly'!BI41/FX_EUR</f>
        <v>4141.53163494965</v>
      </c>
      <c r="BJ40" s="33" t="n">
        <f aca="false">'P&amp;L monthly'!BJ41/FX_EUR</f>
        <v>4941.53163494965</v>
      </c>
      <c r="BK40" s="33" t="n">
        <f aca="false">'P&amp;L monthly'!BK41/FX_EUR</f>
        <v>4141.53163494965</v>
      </c>
      <c r="BL40" s="33" t="n">
        <f aca="false">'P&amp;L monthly'!BL41/FX_EUR</f>
        <v>4141.53163494965</v>
      </c>
    </row>
    <row r="41" customFormat="false" ht="15" hidden="false" customHeight="true" outlineLevel="0" collapsed="false">
      <c r="A41" s="13" t="s">
        <v>1336</v>
      </c>
      <c r="B41" s="15" t="s">
        <v>79</v>
      </c>
      <c r="D41" s="56" t="n">
        <f aca="false">'P&amp;L monthly'!D42/FX_EUR</f>
        <v>366664.718676701</v>
      </c>
      <c r="E41" s="33" t="n">
        <f aca="false">'P&amp;L monthly'!E42/FX_EUR</f>
        <v>2336.89383602889</v>
      </c>
      <c r="F41" s="33" t="n">
        <f aca="false">'P&amp;L monthly'!F42/FX_EUR</f>
        <v>2947.06954876615</v>
      </c>
      <c r="G41" s="33" t="n">
        <f aca="false">'P&amp;L monthly'!G42/FX_EUR</f>
        <v>4014.21266942803</v>
      </c>
      <c r="H41" s="33" t="n">
        <f aca="false">'P&amp;L monthly'!H42/FX_EUR</f>
        <v>2693.70141640382</v>
      </c>
      <c r="I41" s="33" t="n">
        <f aca="false">'P&amp;L monthly'!I42/FX_EUR</f>
        <v>2642.21885733364</v>
      </c>
      <c r="J41" s="33" t="n">
        <f aca="false">'P&amp;L monthly'!J42/FX_EUR</f>
        <v>2609.11853368437</v>
      </c>
      <c r="K41" s="33" t="n">
        <f aca="false">'P&amp;L monthly'!K42/FX_EUR</f>
        <v>2601.10151493162</v>
      </c>
      <c r="L41" s="33" t="n">
        <f aca="false">'P&amp;L monthly'!L42/FX_EUR</f>
        <v>2593.16492900243</v>
      </c>
      <c r="M41" s="33" t="n">
        <f aca="false">'P&amp;L monthly'!M42/FX_EUR</f>
        <v>2585.30585306627</v>
      </c>
      <c r="N41" s="33" t="n">
        <f aca="false">'P&amp;L monthly'!N42/FX_EUR</f>
        <v>2577.52130844535</v>
      </c>
      <c r="O41" s="33" t="n">
        <f aca="false">'P&amp;L monthly'!O42/FX_EUR</f>
        <v>2569.80825525619</v>
      </c>
      <c r="P41" s="33" t="n">
        <f aca="false">'P&amp;L monthly'!P42/FX_EUR</f>
        <v>2562.16358676539</v>
      </c>
      <c r="Q41" s="33" t="n">
        <f aca="false">'P&amp;L monthly'!Q42/FX_EUR</f>
        <v>3647.19521431124</v>
      </c>
      <c r="R41" s="33" t="n">
        <f aca="false">'P&amp;L monthly'!R42/FX_EUR</f>
        <v>3571.52550312925</v>
      </c>
      <c r="S41" s="33" t="n">
        <f aca="false">'P&amp;L monthly'!S42/FX_EUR</f>
        <v>3942.07942125906</v>
      </c>
      <c r="T41" s="33" t="n">
        <f aca="false">'P&amp;L monthly'!T42/FX_EUR</f>
        <v>5508.23334435097</v>
      </c>
      <c r="U41" s="33" t="n">
        <f aca="false">'P&amp;L monthly'!U42/FX_EUR</f>
        <v>3618.7112598058</v>
      </c>
      <c r="V41" s="33" t="n">
        <f aca="false">'P&amp;L monthly'!V42/FX_EUR</f>
        <v>4168.35732927402</v>
      </c>
      <c r="W41" s="33" t="n">
        <f aca="false">'P&amp;L monthly'!W42/FX_EUR</f>
        <v>4261.84858551893</v>
      </c>
      <c r="X41" s="33" t="n">
        <f aca="false">'P&amp;L monthly'!X42/FX_EUR</f>
        <v>4334.02101811386</v>
      </c>
      <c r="Y41" s="33" t="n">
        <f aca="false">'P&amp;L monthly'!Y42/FX_EUR</f>
        <v>4361.66697540089</v>
      </c>
      <c r="Z41" s="33" t="n">
        <f aca="false">'P&amp;L monthly'!Z42/FX_EUR</f>
        <v>4322.00158880994</v>
      </c>
      <c r="AA41" s="33" t="n">
        <f aca="false">'P&amp;L monthly'!AA42/FX_EUR</f>
        <v>4325.28171368316</v>
      </c>
      <c r="AB41" s="33" t="n">
        <f aca="false">'P&amp;L monthly'!AB42/FX_EUR</f>
        <v>4794.67875971475</v>
      </c>
      <c r="AC41" s="33" t="n">
        <f aca="false">'P&amp;L monthly'!AC42/FX_EUR</f>
        <v>5577.96497380932</v>
      </c>
      <c r="AD41" s="33" t="n">
        <f aca="false">'P&amp;L monthly'!AD42/FX_EUR</f>
        <v>5620.25115030751</v>
      </c>
      <c r="AE41" s="33" t="n">
        <f aca="false">'P&amp;L monthly'!AE42/FX_EUR</f>
        <v>5587.48080751954</v>
      </c>
      <c r="AF41" s="33" t="n">
        <f aca="false">'P&amp;L monthly'!AF42/FX_EUR</f>
        <v>6382.54019263699</v>
      </c>
      <c r="AG41" s="33" t="n">
        <f aca="false">'P&amp;L monthly'!AG42/FX_EUR</f>
        <v>6081.92983300747</v>
      </c>
      <c r="AH41" s="33" t="n">
        <f aca="false">'P&amp;L monthly'!AH42/FX_EUR</f>
        <v>6062.45518337069</v>
      </c>
      <c r="AI41" s="33" t="n">
        <f aca="false">'P&amp;L monthly'!AI42/FX_EUR</f>
        <v>6114.44976805093</v>
      </c>
      <c r="AJ41" s="33" t="n">
        <f aca="false">'P&amp;L monthly'!AJ42/FX_EUR</f>
        <v>6094.99147000713</v>
      </c>
      <c r="AK41" s="33" t="n">
        <f aca="false">'P&amp;L monthly'!AK42/FX_EUR</f>
        <v>6172.63223804754</v>
      </c>
      <c r="AL41" s="33" t="n">
        <f aca="false">'P&amp;L monthly'!AL42/FX_EUR</f>
        <v>6391.17832231584</v>
      </c>
      <c r="AM41" s="33" t="n">
        <f aca="false">'P&amp;L monthly'!AM42/FX_EUR</f>
        <v>6379.54514197975</v>
      </c>
      <c r="AN41" s="33" t="n">
        <f aca="false">'P&amp;L monthly'!AN42/FX_EUR</f>
        <v>6457.5971072181</v>
      </c>
      <c r="AO41" s="33" t="n">
        <f aca="false">'P&amp;L monthly'!AO42/FX_EUR</f>
        <v>7009.67554537218</v>
      </c>
      <c r="AP41" s="33" t="n">
        <f aca="false">'P&amp;L monthly'!AP42/FX_EUR</f>
        <v>6967.53655551148</v>
      </c>
      <c r="AQ41" s="33" t="n">
        <f aca="false">'P&amp;L monthly'!AQ42/FX_EUR</f>
        <v>7199.16890901273</v>
      </c>
      <c r="AR41" s="33" t="n">
        <f aca="false">'P&amp;L monthly'!AR42/FX_EUR</f>
        <v>8009.53401850611</v>
      </c>
      <c r="AS41" s="33" t="n">
        <f aca="false">'P&amp;L monthly'!AS42/FX_EUR</f>
        <v>7398.37402737199</v>
      </c>
      <c r="AT41" s="33" t="n">
        <f aca="false">'P&amp;L monthly'!AT42/FX_EUR</f>
        <v>7481.59441839971</v>
      </c>
      <c r="AU41" s="33" t="n">
        <f aca="false">'P&amp;L monthly'!AU42/FX_EUR</f>
        <v>7731.70229265003</v>
      </c>
      <c r="AV41" s="33" t="n">
        <f aca="false">'P&amp;L monthly'!AV42/FX_EUR</f>
        <v>7667.85328577426</v>
      </c>
      <c r="AW41" s="33" t="n">
        <f aca="false">'P&amp;L monthly'!AW42/FX_EUR</f>
        <v>7991.39551025747</v>
      </c>
      <c r="AX41" s="33" t="n">
        <f aca="false">'P&amp;L monthly'!AX42/FX_EUR</f>
        <v>7952.81252742981</v>
      </c>
      <c r="AY41" s="33" t="n">
        <f aca="false">'P&amp;L monthly'!AY42/FX_EUR</f>
        <v>8004.41680282183</v>
      </c>
      <c r="AZ41" s="33" t="n">
        <f aca="false">'P&amp;L monthly'!AZ42/FX_EUR</f>
        <v>8174.21554765375</v>
      </c>
      <c r="BA41" s="33" t="n">
        <f aca="false">'P&amp;L monthly'!BA42/FX_EUR</f>
        <v>9154.75071940846</v>
      </c>
      <c r="BB41" s="33" t="n">
        <f aca="false">'P&amp;L monthly'!BB42/FX_EUR</f>
        <v>9328.6898739991</v>
      </c>
      <c r="BC41" s="33" t="n">
        <f aca="false">'P&amp;L monthly'!BC42/FX_EUR</f>
        <v>9292.76844018481</v>
      </c>
      <c r="BD41" s="33" t="n">
        <f aca="false">'P&amp;L monthly'!BD42/FX_EUR</f>
        <v>9890.29454413575</v>
      </c>
      <c r="BE41" s="33" t="n">
        <f aca="false">'P&amp;L monthly'!BE42/FX_EUR</f>
        <v>9497.95763477624</v>
      </c>
      <c r="BF41" s="33" t="n">
        <f aca="false">'P&amp;L monthly'!BF42/FX_EUR</f>
        <v>9706.27896357385</v>
      </c>
      <c r="BG41" s="33" t="n">
        <f aca="false">'P&amp;L monthly'!BG42/FX_EUR</f>
        <v>9791.52623634713</v>
      </c>
      <c r="BH41" s="33" t="n">
        <f aca="false">'P&amp;L monthly'!BH42/FX_EUR</f>
        <v>10213.3509405006</v>
      </c>
      <c r="BI41" s="33" t="n">
        <f aca="false">'P&amp;L monthly'!BI42/FX_EUR</f>
        <v>10210.8295030496</v>
      </c>
      <c r="BJ41" s="33" t="n">
        <f aca="false">'P&amp;L monthly'!BJ42/FX_EUR</f>
        <v>10395.4564847819</v>
      </c>
      <c r="BK41" s="33" t="n">
        <f aca="false">'P&amp;L monthly'!BK42/FX_EUR</f>
        <v>10478.8209432618</v>
      </c>
      <c r="BL41" s="33" t="n">
        <f aca="false">'P&amp;L monthly'!BL42/FX_EUR</f>
        <v>10604.8177411655</v>
      </c>
    </row>
    <row r="42" customFormat="false" ht="15" hidden="false" customHeight="true" outlineLevel="0" collapsed="false">
      <c r="A42" s="9" t="s">
        <v>97</v>
      </c>
      <c r="B42" s="15" t="s">
        <v>79</v>
      </c>
      <c r="D42" s="56" t="n">
        <f aca="false">'P&amp;L monthly'!D43/FX_EUR</f>
        <v>7699959.09221072</v>
      </c>
      <c r="E42" s="17" t="n">
        <f aca="false">'P&amp;L monthly'!E43/FX_EUR</f>
        <v>49074.7705566066</v>
      </c>
      <c r="F42" s="17" t="n">
        <f aca="false">'P&amp;L monthly'!F43/FX_EUR</f>
        <v>61888.4605240892</v>
      </c>
      <c r="G42" s="17" t="n">
        <f aca="false">'P&amp;L monthly'!G43/FX_EUR</f>
        <v>84298.4660579886</v>
      </c>
      <c r="H42" s="17" t="n">
        <f aca="false">'P&amp;L monthly'!H43/FX_EUR</f>
        <v>56567.7297444802</v>
      </c>
      <c r="I42" s="17" t="n">
        <f aca="false">'P&amp;L monthly'!I43/FX_EUR</f>
        <v>55486.5960040064</v>
      </c>
      <c r="J42" s="17" t="n">
        <f aca="false">'P&amp;L monthly'!J43/FX_EUR</f>
        <v>54791.4892073718</v>
      </c>
      <c r="K42" s="17" t="n">
        <f aca="false">'P&amp;L monthly'!K43/FX_EUR</f>
        <v>54623.131813564</v>
      </c>
      <c r="L42" s="17" t="n">
        <f aca="false">'P&amp;L monthly'!L43/FX_EUR</f>
        <v>54456.4635090511</v>
      </c>
      <c r="M42" s="17" t="n">
        <f aca="false">'P&amp;L monthly'!M43/FX_EUR</f>
        <v>54291.4229143917</v>
      </c>
      <c r="N42" s="17" t="n">
        <f aca="false">'P&amp;L monthly'!N43/FX_EUR</f>
        <v>54127.9474773524</v>
      </c>
      <c r="O42" s="17" t="n">
        <f aca="false">'P&amp;L monthly'!O43/FX_EUR</f>
        <v>53965.97336038</v>
      </c>
      <c r="P42" s="17" t="n">
        <f aca="false">'P&amp;L monthly'!P43/FX_EUR</f>
        <v>53805.4353220732</v>
      </c>
      <c r="Q42" s="17" t="n">
        <f aca="false">'P&amp;L monthly'!Q43/FX_EUR</f>
        <v>76591.0995005361</v>
      </c>
      <c r="R42" s="17" t="n">
        <f aca="false">'P&amp;L monthly'!R43/FX_EUR</f>
        <v>75002.0355657143</v>
      </c>
      <c r="S42" s="17" t="n">
        <f aca="false">'P&amp;L monthly'!S43/FX_EUR</f>
        <v>82783.6678464404</v>
      </c>
      <c r="T42" s="17" t="n">
        <f aca="false">'P&amp;L monthly'!T43/FX_EUR</f>
        <v>115672.90023137</v>
      </c>
      <c r="U42" s="17" t="n">
        <f aca="false">'P&amp;L monthly'!U43/FX_EUR</f>
        <v>75992.9364559217</v>
      </c>
      <c r="V42" s="17" t="n">
        <f aca="false">'P&amp;L monthly'!V43/FX_EUR</f>
        <v>87535.5039147545</v>
      </c>
      <c r="W42" s="17" t="n">
        <f aca="false">'P&amp;L monthly'!W43/FX_EUR</f>
        <v>89498.8202958975</v>
      </c>
      <c r="X42" s="17" t="n">
        <f aca="false">'P&amp;L monthly'!X43/FX_EUR</f>
        <v>91014.4413803911</v>
      </c>
      <c r="Y42" s="17" t="n">
        <f aca="false">'P&amp;L monthly'!Y43/FX_EUR</f>
        <v>91595.0064834187</v>
      </c>
      <c r="Z42" s="17" t="n">
        <f aca="false">'P&amp;L monthly'!Z43/FX_EUR</f>
        <v>90762.0333650087</v>
      </c>
      <c r="AA42" s="17" t="n">
        <f aca="false">'P&amp;L monthly'!AA43/FX_EUR</f>
        <v>90830.9159873463</v>
      </c>
      <c r="AB42" s="17" t="n">
        <f aca="false">'P&amp;L monthly'!AB43/FX_EUR</f>
        <v>100688.25395401</v>
      </c>
      <c r="AC42" s="17" t="n">
        <f aca="false">'P&amp;L monthly'!AC43/FX_EUR</f>
        <v>117137.264449996</v>
      </c>
      <c r="AD42" s="17" t="n">
        <f aca="false">'P&amp;L monthly'!AD43/FX_EUR</f>
        <v>118025.274156458</v>
      </c>
      <c r="AE42" s="17" t="n">
        <f aca="false">'P&amp;L monthly'!AE43/FX_EUR</f>
        <v>117337.09695791</v>
      </c>
      <c r="AF42" s="17" t="n">
        <f aca="false">'P&amp;L monthly'!AF43/FX_EUR</f>
        <v>134033.344045377</v>
      </c>
      <c r="AG42" s="17" t="n">
        <f aca="false">'P&amp;L monthly'!AG43/FX_EUR</f>
        <v>127720.526493157</v>
      </c>
      <c r="AH42" s="17" t="n">
        <f aca="false">'P&amp;L monthly'!AH43/FX_EUR</f>
        <v>127311.558850784</v>
      </c>
      <c r="AI42" s="17" t="n">
        <f aca="false">'P&amp;L monthly'!AI43/FX_EUR</f>
        <v>128403.445129069</v>
      </c>
      <c r="AJ42" s="17" t="n">
        <f aca="false">'P&amp;L monthly'!AJ43/FX_EUR</f>
        <v>127994.82087015</v>
      </c>
      <c r="AK42" s="17" t="n">
        <f aca="false">'P&amp;L monthly'!AK43/FX_EUR</f>
        <v>129625.276998998</v>
      </c>
      <c r="AL42" s="17" t="n">
        <f aca="false">'P&amp;L monthly'!AL43/FX_EUR</f>
        <v>134214.744768633</v>
      </c>
      <c r="AM42" s="17" t="n">
        <f aca="false">'P&amp;L monthly'!AM43/FX_EUR</f>
        <v>133970.447981575</v>
      </c>
      <c r="AN42" s="17" t="n">
        <f aca="false">'P&amp;L monthly'!AN43/FX_EUR</f>
        <v>135609.53925158</v>
      </c>
      <c r="AO42" s="17" t="n">
        <f aca="false">'P&amp;L monthly'!AO43/FX_EUR</f>
        <v>147203.186452816</v>
      </c>
      <c r="AP42" s="17" t="n">
        <f aca="false">'P&amp;L monthly'!AP43/FX_EUR</f>
        <v>146318.267665741</v>
      </c>
      <c r="AQ42" s="17" t="n">
        <f aca="false">'P&amp;L monthly'!AQ43/FX_EUR</f>
        <v>151182.547089267</v>
      </c>
      <c r="AR42" s="17" t="n">
        <f aca="false">'P&amp;L monthly'!AR43/FX_EUR</f>
        <v>168200.214388628</v>
      </c>
      <c r="AS42" s="17" t="n">
        <f aca="false">'P&amp;L monthly'!AS43/FX_EUR</f>
        <v>155365.854574812</v>
      </c>
      <c r="AT42" s="17" t="n">
        <f aca="false">'P&amp;L monthly'!AT43/FX_EUR</f>
        <v>157113.482786394</v>
      </c>
      <c r="AU42" s="17" t="n">
        <f aca="false">'P&amp;L monthly'!AU43/FX_EUR</f>
        <v>162365.748145651</v>
      </c>
      <c r="AV42" s="17" t="n">
        <f aca="false">'P&amp;L monthly'!AV43/FX_EUR</f>
        <v>161024.919001259</v>
      </c>
      <c r="AW42" s="17" t="n">
        <f aca="false">'P&amp;L monthly'!AW43/FX_EUR</f>
        <v>167819.305715407</v>
      </c>
      <c r="AX42" s="17" t="n">
        <f aca="false">'P&amp;L monthly'!AX43/FX_EUR</f>
        <v>167009.063076026</v>
      </c>
      <c r="AY42" s="17" t="n">
        <f aca="false">'P&amp;L monthly'!AY43/FX_EUR</f>
        <v>168092.752859258</v>
      </c>
      <c r="AZ42" s="17" t="n">
        <f aca="false">'P&amp;L monthly'!AZ43/FX_EUR</f>
        <v>171658.526500729</v>
      </c>
      <c r="BA42" s="17" t="n">
        <f aca="false">'P&amp;L monthly'!BA43/FX_EUR</f>
        <v>192249.765107578</v>
      </c>
      <c r="BB42" s="17" t="n">
        <f aca="false">'P&amp;L monthly'!BB43/FX_EUR</f>
        <v>195902.487353981</v>
      </c>
      <c r="BC42" s="17" t="n">
        <f aca="false">'P&amp;L monthly'!BC43/FX_EUR</f>
        <v>195148.137243881</v>
      </c>
      <c r="BD42" s="17" t="n">
        <f aca="false">'P&amp;L monthly'!BD43/FX_EUR</f>
        <v>207696.185426851</v>
      </c>
      <c r="BE42" s="17" t="n">
        <f aca="false">'P&amp;L monthly'!BE43/FX_EUR</f>
        <v>199457.110330301</v>
      </c>
      <c r="BF42" s="17" t="n">
        <f aca="false">'P&amp;L monthly'!BF43/FX_EUR</f>
        <v>203831.858235051</v>
      </c>
      <c r="BG42" s="17" t="n">
        <f aca="false">'P&amp;L monthly'!BG43/FX_EUR</f>
        <v>205622.05096329</v>
      </c>
      <c r="BH42" s="17" t="n">
        <f aca="false">'P&amp;L monthly'!BH43/FX_EUR</f>
        <v>214480.369750514</v>
      </c>
      <c r="BI42" s="17" t="n">
        <f aca="false">'P&amp;L monthly'!BI43/FX_EUR</f>
        <v>214427.419564042</v>
      </c>
      <c r="BJ42" s="17" t="n">
        <f aca="false">'P&amp;L monthly'!BJ43/FX_EUR</f>
        <v>218304.58618042</v>
      </c>
      <c r="BK42" s="17" t="n">
        <f aca="false">'P&amp;L monthly'!BK43/FX_EUR</f>
        <v>220055.239808497</v>
      </c>
      <c r="BL42" s="17" t="n">
        <f aca="false">'P&amp;L monthly'!BL43/FX_EUR</f>
        <v>222701.172564475</v>
      </c>
    </row>
    <row r="43" customFormat="false" ht="15" hidden="false" customHeight="true" outlineLevel="0" collapsed="false">
      <c r="A43" s="9" t="s">
        <v>98</v>
      </c>
      <c r="B43" s="15" t="s">
        <v>79</v>
      </c>
      <c r="D43" s="56" t="n">
        <f aca="false">'P&amp;L monthly'!D44/FX_EUR</f>
        <v>9697685.25139094</v>
      </c>
      <c r="E43" s="17" t="n">
        <f aca="false">'P&amp;L monthly'!E44/FX_EUR</f>
        <v>-49074.7705566066</v>
      </c>
      <c r="F43" s="17" t="n">
        <f aca="false">'P&amp;L monthly'!F44/FX_EUR</f>
        <v>-61888.4605240892</v>
      </c>
      <c r="G43" s="17" t="n">
        <f aca="false">'P&amp;L monthly'!G44/FX_EUR</f>
        <v>-84298.4660579886</v>
      </c>
      <c r="H43" s="17" t="n">
        <f aca="false">'P&amp;L monthly'!H44/FX_EUR</f>
        <v>-56567.7297444802</v>
      </c>
      <c r="I43" s="17" t="n">
        <f aca="false">'P&amp;L monthly'!I44/FX_EUR</f>
        <v>-54258.8976436972</v>
      </c>
      <c r="J43" s="17" t="n">
        <f aca="false">'P&amp;L monthly'!J44/FX_EUR</f>
        <v>-50460.5486706192</v>
      </c>
      <c r="K43" s="17" t="n">
        <f aca="false">'P&amp;L monthly'!K44/FX_EUR</f>
        <v>-47194.6957554459</v>
      </c>
      <c r="L43" s="17" t="n">
        <f aca="false">'P&amp;L monthly'!L44/FX_EUR</f>
        <v>-43934.2918046701</v>
      </c>
      <c r="M43" s="17" t="n">
        <f aca="false">'P&amp;L monthly'!M44/FX_EUR</f>
        <v>-40677.2022022634</v>
      </c>
      <c r="N43" s="17" t="n">
        <f aca="false">'P&amp;L monthly'!N44/FX_EUR</f>
        <v>-37421.1989967175</v>
      </c>
      <c r="O43" s="17" t="n">
        <f aca="false">'P&amp;L monthly'!O44/FX_EUR</f>
        <v>-33813.63788666</v>
      </c>
      <c r="P43" s="17" t="n">
        <f aca="false">'P&amp;L monthly'!P44/FX_EUR</f>
        <v>-30101.6930202053</v>
      </c>
      <c r="Q43" s="17" t="n">
        <f aca="false">'P&amp;L monthly'!Q44/FX_EUR</f>
        <v>-48529.8909984957</v>
      </c>
      <c r="R43" s="17" t="n">
        <f aca="false">'P&amp;L monthly'!R44/FX_EUR</f>
        <v>-41717.45367851</v>
      </c>
      <c r="S43" s="17" t="n">
        <f aca="false">'P&amp;L monthly'!S44/FX_EUR</f>
        <v>-44077.652889421</v>
      </c>
      <c r="T43" s="17" t="n">
        <f aca="false">'P&amp;L monthly'!T44/FX_EUR</f>
        <v>-71343.7150821828</v>
      </c>
      <c r="U43" s="17" t="n">
        <f aca="false">'P&amp;L monthly'!U44/FX_EUR</f>
        <v>-25834.7150419853</v>
      </c>
      <c r="V43" s="17" t="n">
        <f aca="false">'P&amp;L monthly'!V44/FX_EUR</f>
        <v>-31138.4952768946</v>
      </c>
      <c r="W43" s="17" t="n">
        <f aca="false">'P&amp;L monthly'!W44/FX_EUR</f>
        <v>-25074.0864907995</v>
      </c>
      <c r="X43" s="17" t="n">
        <f aca="false">'P&amp;L monthly'!X44/FX_EUR</f>
        <v>-16712.0858350998</v>
      </c>
      <c r="Y43" s="17" t="n">
        <f aca="false">'P&amp;L monthly'!Y44/FX_EUR</f>
        <v>-6641.22528978664</v>
      </c>
      <c r="Z43" s="17" t="n">
        <f aca="false">'P&amp;L monthly'!Z44/FX_EUR</f>
        <v>5634.94518797712</v>
      </c>
      <c r="AA43" s="17" t="n">
        <f aca="false">'P&amp;L monthly'!AA44/FX_EUR</f>
        <v>16099.6502610015</v>
      </c>
      <c r="AB43" s="17" t="n">
        <f aca="false">'P&amp;L monthly'!AB44/FX_EUR</f>
        <v>17018.2937228202</v>
      </c>
      <c r="AC43" s="17" t="n">
        <f aca="false">'P&amp;L monthly'!AC44/FX_EUR</f>
        <v>15471.208584718</v>
      </c>
      <c r="AD43" s="17" t="n">
        <f aca="false">'P&amp;L monthly'!AD44/FX_EUR</f>
        <v>28677.390205201</v>
      </c>
      <c r="AE43" s="17" t="n">
        <f aca="false">'P&amp;L monthly'!AE44/FX_EUR</f>
        <v>44205.2705962696</v>
      </c>
      <c r="AF43" s="17" t="n">
        <f aca="false">'P&amp;L monthly'!AF44/FX_EUR</f>
        <v>43079.6349978087</v>
      </c>
      <c r="AG43" s="17" t="n">
        <f aca="false">'P&amp;L monthly'!AG44/FX_EUR</f>
        <v>48456.9752404639</v>
      </c>
      <c r="AH43" s="17" t="n">
        <f aca="false">'P&amp;L monthly'!AH44/FX_EUR</f>
        <v>77004.3530542655</v>
      </c>
      <c r="AI43" s="17" t="n">
        <f aca="false">'P&amp;L monthly'!AI44/FX_EUR</f>
        <v>91025.3643158304</v>
      </c>
      <c r="AJ43" s="17" t="n">
        <f aca="false">'P&amp;L monthly'!AJ44/FX_EUR</f>
        <v>107089.936020851</v>
      </c>
      <c r="AK43" s="17" t="n">
        <f aca="false">'P&amp;L monthly'!AK44/FX_EUR</f>
        <v>121152.905099764</v>
      </c>
      <c r="AL43" s="17" t="n">
        <f aca="false">'P&amp;L monthly'!AL44/FX_EUR</f>
        <v>132295.660126595</v>
      </c>
      <c r="AM43" s="17" t="n">
        <f aca="false">'P&amp;L monthly'!AM44/FX_EUR</f>
        <v>148780.397788952</v>
      </c>
      <c r="AN43" s="17" t="n">
        <f aca="false">'P&amp;L monthly'!AN44/FX_EUR</f>
        <v>163957.590785754</v>
      </c>
      <c r="AO43" s="17" t="n">
        <f aca="false">'P&amp;L monthly'!AO44/FX_EUR</f>
        <v>170342.47494149</v>
      </c>
      <c r="AP43" s="17" t="n">
        <f aca="false">'P&amp;L monthly'!AP44/FX_EUR</f>
        <v>190958.353721517</v>
      </c>
      <c r="AQ43" s="17" t="n">
        <f aca="false">'P&amp;L monthly'!AQ44/FX_EUR</f>
        <v>206149.178838727</v>
      </c>
      <c r="AR43" s="17" t="n">
        <f aca="false">'P&amp;L monthly'!AR44/FX_EUR</f>
        <v>209110.182106568</v>
      </c>
      <c r="AS43" s="17" t="n">
        <f aca="false">'P&amp;L monthly'!AS44/FX_EUR</f>
        <v>242465.471896533</v>
      </c>
      <c r="AT43" s="17" t="n">
        <f aca="false">'P&amp;L monthly'!AT44/FX_EUR</f>
        <v>261794.572265432</v>
      </c>
      <c r="AU43" s="17" t="n">
        <f aca="false">'P&amp;L monthly'!AU44/FX_EUR</f>
        <v>277799.653341172</v>
      </c>
      <c r="AV43" s="17" t="n">
        <f aca="false">'P&amp;L monthly'!AV44/FX_EUR</f>
        <v>301263.45254627</v>
      </c>
      <c r="AW43" s="17" t="n">
        <f aca="false">'P&amp;L monthly'!AW44/FX_EUR</f>
        <v>317515.597997304</v>
      </c>
      <c r="AX43" s="17" t="n">
        <f aca="false">'P&amp;L monthly'!AX44/FX_EUR</f>
        <v>341691.765772939</v>
      </c>
      <c r="AY43" s="17" t="n">
        <f aca="false">'P&amp;L monthly'!AY44/FX_EUR</f>
        <v>364233.018657389</v>
      </c>
      <c r="AZ43" s="17" t="n">
        <f aca="false">'P&amp;L monthly'!AZ44/FX_EUR</f>
        <v>384167.100993795</v>
      </c>
      <c r="BA43" s="17" t="n">
        <f aca="false">'P&amp;L monthly'!BA44/FX_EUR</f>
        <v>388269.244547267</v>
      </c>
      <c r="BB43" s="17" t="n">
        <f aca="false">'P&amp;L monthly'!BB44/FX_EUR</f>
        <v>410790.367503374</v>
      </c>
      <c r="BC43" s="17" t="n">
        <f aca="false">'P&amp;L monthly'!BC44/FX_EUR</f>
        <v>437932.691909358</v>
      </c>
      <c r="BD43" s="17" t="n">
        <f aca="false">'P&amp;L monthly'!BD44/FX_EUR</f>
        <v>452045.65293045</v>
      </c>
      <c r="BE43" s="17" t="n">
        <f aca="false">'P&amp;L monthly'!BE44/FX_EUR</f>
        <v>487105.293143261</v>
      </c>
      <c r="BF43" s="17" t="n">
        <f aca="false">'P&amp;L monthly'!BF44/FX_EUR</f>
        <v>510144.583002154</v>
      </c>
      <c r="BG43" s="17" t="n">
        <f aca="false">'P&amp;L monthly'!BG44/FX_EUR</f>
        <v>536067.155744671</v>
      </c>
      <c r="BH43" s="17" t="n">
        <f aca="false">'P&amp;L monthly'!BH44/FX_EUR</f>
        <v>555181.330677803</v>
      </c>
      <c r="BI43" s="17" t="n">
        <f aca="false">'P&amp;L monthly'!BI44/FX_EUR</f>
        <v>583795.70642049</v>
      </c>
      <c r="BJ43" s="17" t="n">
        <f aca="false">'P&amp;L monthly'!BJ44/FX_EUR</f>
        <v>609111.178104663</v>
      </c>
      <c r="BK43" s="17" t="n">
        <f aca="false">'P&amp;L monthly'!BK44/FX_EUR</f>
        <v>636828.551666736</v>
      </c>
      <c r="BL43" s="17" t="n">
        <f aca="false">'P&amp;L monthly'!BL44/FX_EUR</f>
        <v>663734.010119923</v>
      </c>
    </row>
    <row r="44" customFormat="false" ht="15" hidden="false" customHeight="true" outlineLevel="0" collapsed="false">
      <c r="A44" s="13" t="s">
        <v>1337</v>
      </c>
      <c r="B44" s="15" t="s">
        <v>79</v>
      </c>
      <c r="D44" s="56" t="n">
        <f aca="false">'P&amp;L monthly'!D46/FX_EUR</f>
        <v>9697685.25139094</v>
      </c>
      <c r="E44" s="33" t="n">
        <f aca="false">'P&amp;L monthly'!E46/FX_EUR</f>
        <v>-49074.7705566066</v>
      </c>
      <c r="F44" s="33" t="n">
        <f aca="false">'P&amp;L monthly'!F46/FX_EUR</f>
        <v>-110963.231080696</v>
      </c>
      <c r="G44" s="33" t="n">
        <f aca="false">'P&amp;L monthly'!G46/FX_EUR</f>
        <v>-195261.697138684</v>
      </c>
      <c r="H44" s="33" t="n">
        <f aca="false">'P&amp;L monthly'!H46/FX_EUR</f>
        <v>-251829.426883165</v>
      </c>
      <c r="I44" s="33" t="n">
        <f aca="false">'P&amp;L monthly'!I46/FX_EUR</f>
        <v>-306088.324526862</v>
      </c>
      <c r="J44" s="33" t="n">
        <f aca="false">'P&amp;L monthly'!J46/FX_EUR</f>
        <v>-356548.873197481</v>
      </c>
      <c r="K44" s="33" t="n">
        <f aca="false">'P&amp;L monthly'!K46/FX_EUR</f>
        <v>-403743.568952927</v>
      </c>
      <c r="L44" s="33" t="n">
        <f aca="false">'P&amp;L monthly'!L46/FX_EUR</f>
        <v>-447677.860757597</v>
      </c>
      <c r="M44" s="33" t="n">
        <f aca="false">'P&amp;L monthly'!M46/FX_EUR</f>
        <v>-488355.06295986</v>
      </c>
      <c r="N44" s="33" t="n">
        <f aca="false">'P&amp;L monthly'!N46/FX_EUR</f>
        <v>-525776.261956578</v>
      </c>
      <c r="O44" s="33" t="n">
        <f aca="false">'P&amp;L monthly'!O46/FX_EUR</f>
        <v>-559589.899843238</v>
      </c>
      <c r="P44" s="33" t="n">
        <f aca="false">'P&amp;L monthly'!P46/FX_EUR</f>
        <v>-589691.592863443</v>
      </c>
      <c r="Q44" s="33" t="n">
        <f aca="false">'P&amp;L monthly'!Q46/FX_EUR</f>
        <v>-638221.483861939</v>
      </c>
      <c r="R44" s="33" t="n">
        <f aca="false">'P&amp;L monthly'!R46/FX_EUR</f>
        <v>-679938.937540449</v>
      </c>
      <c r="S44" s="33" t="n">
        <f aca="false">'P&amp;L monthly'!S46/FX_EUR</f>
        <v>-724016.59042987</v>
      </c>
      <c r="T44" s="33" t="n">
        <f aca="false">'P&amp;L monthly'!T46/FX_EUR</f>
        <v>-795360.305512052</v>
      </c>
      <c r="U44" s="33" t="n">
        <f aca="false">'P&amp;L monthly'!U46/FX_EUR</f>
        <v>-821195.020554038</v>
      </c>
      <c r="V44" s="33" t="n">
        <f aca="false">'P&amp;L monthly'!V46/FX_EUR</f>
        <v>-852333.515830932</v>
      </c>
      <c r="W44" s="33" t="n">
        <f aca="false">'P&amp;L monthly'!W46/FX_EUR</f>
        <v>-877407.602321732</v>
      </c>
      <c r="X44" s="33" t="n">
        <f aca="false">'P&amp;L monthly'!X46/FX_EUR</f>
        <v>-894119.688156832</v>
      </c>
      <c r="Y44" s="33" t="n">
        <f aca="false">'P&amp;L monthly'!Y46/FX_EUR</f>
        <v>-900760.913446618</v>
      </c>
      <c r="Z44" s="33" t="n">
        <f aca="false">'P&amp;L monthly'!Z46/FX_EUR</f>
        <v>-895125.968258641</v>
      </c>
      <c r="AA44" s="33" t="n">
        <f aca="false">'P&amp;L monthly'!AA46/FX_EUR</f>
        <v>-879026.31799764</v>
      </c>
      <c r="AB44" s="33" t="n">
        <f aca="false">'P&amp;L monthly'!AB46/FX_EUR</f>
        <v>-862008.02427482</v>
      </c>
      <c r="AC44" s="33" t="n">
        <f aca="false">'P&amp;L monthly'!AC46/FX_EUR</f>
        <v>-846536.815690102</v>
      </c>
      <c r="AD44" s="33" t="n">
        <f aca="false">'P&amp;L monthly'!AD46/FX_EUR</f>
        <v>-817859.425484901</v>
      </c>
      <c r="AE44" s="33" t="n">
        <f aca="false">'P&amp;L monthly'!AE46/FX_EUR</f>
        <v>-773654.154888631</v>
      </c>
      <c r="AF44" s="33" t="n">
        <f aca="false">'P&amp;L monthly'!AF46/FX_EUR</f>
        <v>-730574.519890822</v>
      </c>
      <c r="AG44" s="33" t="n">
        <f aca="false">'P&amp;L monthly'!AG46/FX_EUR</f>
        <v>-682117.544650359</v>
      </c>
      <c r="AH44" s="33" t="n">
        <f aca="false">'P&amp;L monthly'!AH46/FX_EUR</f>
        <v>-605113.191596093</v>
      </c>
      <c r="AI44" s="33" t="n">
        <f aca="false">'P&amp;L monthly'!AI46/FX_EUR</f>
        <v>-514087.827280263</v>
      </c>
      <c r="AJ44" s="33" t="n">
        <f aca="false">'P&amp;L monthly'!AJ46/FX_EUR</f>
        <v>-406997.891259412</v>
      </c>
      <c r="AK44" s="33" t="n">
        <f aca="false">'P&amp;L monthly'!AK46/FX_EUR</f>
        <v>-285844.986159648</v>
      </c>
      <c r="AL44" s="33" t="n">
        <f aca="false">'P&amp;L monthly'!AL46/FX_EUR</f>
        <v>-153549.326033052</v>
      </c>
      <c r="AM44" s="33" t="n">
        <f aca="false">'P&amp;L monthly'!AM46/FX_EUR</f>
        <v>-4768.92824410046</v>
      </c>
      <c r="AN44" s="33" t="n">
        <f aca="false">'P&amp;L monthly'!AN46/FX_EUR</f>
        <v>159188.662541653</v>
      </c>
      <c r="AO44" s="33" t="n">
        <f aca="false">'P&amp;L monthly'!AO46/FX_EUR</f>
        <v>329531.137483144</v>
      </c>
      <c r="AP44" s="33" t="n">
        <f aca="false">'P&amp;L monthly'!AP46/FX_EUR</f>
        <v>520489.49120466</v>
      </c>
      <c r="AQ44" s="33" t="n">
        <f aca="false">'P&amp;L monthly'!AQ46/FX_EUR</f>
        <v>726638.670043388</v>
      </c>
      <c r="AR44" s="33" t="n">
        <f aca="false">'P&amp;L monthly'!AR46/FX_EUR</f>
        <v>935748.852149956</v>
      </c>
      <c r="AS44" s="33" t="n">
        <f aca="false">'P&amp;L monthly'!AS46/FX_EUR</f>
        <v>1178214.32404649</v>
      </c>
      <c r="AT44" s="33" t="n">
        <f aca="false">'P&amp;L monthly'!AT46/FX_EUR</f>
        <v>1440008.89631192</v>
      </c>
      <c r="AU44" s="33" t="n">
        <f aca="false">'P&amp;L monthly'!AU46/FX_EUR</f>
        <v>1717808.54965309</v>
      </c>
      <c r="AV44" s="33" t="n">
        <f aca="false">'P&amp;L monthly'!AV46/FX_EUR</f>
        <v>2019072.00219936</v>
      </c>
      <c r="AW44" s="33" t="n">
        <f aca="false">'P&amp;L monthly'!AW46/FX_EUR</f>
        <v>2336587.60019667</v>
      </c>
      <c r="AX44" s="33" t="n">
        <f aca="false">'P&amp;L monthly'!AX46/FX_EUR</f>
        <v>2678279.36596961</v>
      </c>
      <c r="AY44" s="33" t="n">
        <f aca="false">'P&amp;L monthly'!AY46/FX_EUR</f>
        <v>3042512.38462699</v>
      </c>
      <c r="AZ44" s="33" t="n">
        <f aca="false">'P&amp;L monthly'!AZ46/FX_EUR</f>
        <v>3426679.48562079</v>
      </c>
      <c r="BA44" s="33" t="n">
        <f aca="false">'P&amp;L monthly'!BA46/FX_EUR</f>
        <v>3814948.73016806</v>
      </c>
      <c r="BB44" s="33" t="n">
        <f aca="false">'P&amp;L monthly'!BB46/FX_EUR</f>
        <v>4225739.09767143</v>
      </c>
      <c r="BC44" s="33" t="n">
        <f aca="false">'P&amp;L monthly'!BC46/FX_EUR</f>
        <v>4663671.78958079</v>
      </c>
      <c r="BD44" s="33" t="n">
        <f aca="false">'P&amp;L monthly'!BD46/FX_EUR</f>
        <v>5115717.44251124</v>
      </c>
      <c r="BE44" s="33" t="n">
        <f aca="false">'P&amp;L monthly'!BE46/FX_EUR</f>
        <v>5602822.7356545</v>
      </c>
      <c r="BF44" s="33" t="n">
        <f aca="false">'P&amp;L monthly'!BF46/FX_EUR</f>
        <v>6112967.31865665</v>
      </c>
      <c r="BG44" s="33" t="n">
        <f aca="false">'P&amp;L monthly'!BG46/FX_EUR</f>
        <v>6649034.47440132</v>
      </c>
      <c r="BH44" s="33" t="n">
        <f aca="false">'P&amp;L monthly'!BH46/FX_EUR</f>
        <v>7204215.80507913</v>
      </c>
      <c r="BI44" s="33" t="n">
        <f aca="false">'P&amp;L monthly'!BI46/FX_EUR</f>
        <v>7788011.51149962</v>
      </c>
      <c r="BJ44" s="33" t="n">
        <f aca="false">'P&amp;L monthly'!BJ46/FX_EUR</f>
        <v>8397122.68960428</v>
      </c>
      <c r="BK44" s="33" t="n">
        <f aca="false">'P&amp;L monthly'!BK46/FX_EUR</f>
        <v>9033951.24127102</v>
      </c>
      <c r="BL44" s="33" t="n">
        <f aca="false">'P&amp;L monthly'!BL46/FX_EUR</f>
        <v>9697685.25139094</v>
      </c>
    </row>
    <row r="45" customFormat="false" ht="15" hidden="false" customHeight="true" outlineLevel="0" collapsed="false">
      <c r="A45" s="13" t="s">
        <v>1338</v>
      </c>
      <c r="B45" s="15" t="s">
        <v>79</v>
      </c>
      <c r="D45" s="56" t="n">
        <f aca="false">'P&amp;L monthly'!D47/FX_EUR</f>
        <v>2909305.57541728</v>
      </c>
      <c r="E45" s="33" t="n">
        <f aca="false">'P&amp;L monthly'!E47/FX_EUR</f>
        <v>0</v>
      </c>
      <c r="F45" s="33" t="n">
        <f aca="false">'P&amp;L monthly'!F47/FX_EUR</f>
        <v>0</v>
      </c>
      <c r="G45" s="33" t="n">
        <f aca="false">'P&amp;L monthly'!G47/FX_EUR</f>
        <v>0</v>
      </c>
      <c r="H45" s="33" t="n">
        <f aca="false">'P&amp;L monthly'!H47/FX_EUR</f>
        <v>0</v>
      </c>
      <c r="I45" s="33" t="n">
        <f aca="false">'P&amp;L monthly'!I47/FX_EUR</f>
        <v>0</v>
      </c>
      <c r="J45" s="33" t="n">
        <f aca="false">'P&amp;L monthly'!J47/FX_EUR</f>
        <v>0</v>
      </c>
      <c r="K45" s="33" t="n">
        <f aca="false">'P&amp;L monthly'!K47/FX_EUR</f>
        <v>0</v>
      </c>
      <c r="L45" s="33" t="n">
        <f aca="false">'P&amp;L monthly'!L47/FX_EUR</f>
        <v>0</v>
      </c>
      <c r="M45" s="33" t="n">
        <f aca="false">'P&amp;L monthly'!M47/FX_EUR</f>
        <v>0</v>
      </c>
      <c r="N45" s="33" t="n">
        <f aca="false">'P&amp;L monthly'!N47/FX_EUR</f>
        <v>0</v>
      </c>
      <c r="O45" s="33" t="n">
        <f aca="false">'P&amp;L monthly'!O47/FX_EUR</f>
        <v>0</v>
      </c>
      <c r="P45" s="33" t="n">
        <f aca="false">'P&amp;L monthly'!P47/FX_EUR</f>
        <v>0</v>
      </c>
      <c r="Q45" s="33" t="n">
        <f aca="false">'P&amp;L monthly'!Q47/FX_EUR</f>
        <v>0</v>
      </c>
      <c r="R45" s="33" t="n">
        <f aca="false">'P&amp;L monthly'!R47/FX_EUR</f>
        <v>0</v>
      </c>
      <c r="S45" s="33" t="n">
        <f aca="false">'P&amp;L monthly'!S47/FX_EUR</f>
        <v>0</v>
      </c>
      <c r="T45" s="33" t="n">
        <f aca="false">'P&amp;L monthly'!T47/FX_EUR</f>
        <v>0</v>
      </c>
      <c r="U45" s="33" t="n">
        <f aca="false">'P&amp;L monthly'!U47/FX_EUR</f>
        <v>0</v>
      </c>
      <c r="V45" s="33" t="n">
        <f aca="false">'P&amp;L monthly'!V47/FX_EUR</f>
        <v>0</v>
      </c>
      <c r="W45" s="33" t="n">
        <f aca="false">'P&amp;L monthly'!W47/FX_EUR</f>
        <v>0</v>
      </c>
      <c r="X45" s="33" t="n">
        <f aca="false">'P&amp;L monthly'!X47/FX_EUR</f>
        <v>0</v>
      </c>
      <c r="Y45" s="33" t="n">
        <f aca="false">'P&amp;L monthly'!Y47/FX_EUR</f>
        <v>0</v>
      </c>
      <c r="Z45" s="33" t="n">
        <f aca="false">'P&amp;L monthly'!Z47/FX_EUR</f>
        <v>0</v>
      </c>
      <c r="AA45" s="33" t="n">
        <f aca="false">'P&amp;L monthly'!AA47/FX_EUR</f>
        <v>0</v>
      </c>
      <c r="AB45" s="33" t="n">
        <f aca="false">'P&amp;L monthly'!AB47/FX_EUR</f>
        <v>0</v>
      </c>
      <c r="AC45" s="33" t="n">
        <f aca="false">'P&amp;L monthly'!AC47/FX_EUR</f>
        <v>0</v>
      </c>
      <c r="AD45" s="33" t="n">
        <f aca="false">'P&amp;L monthly'!AD47/FX_EUR</f>
        <v>0</v>
      </c>
      <c r="AE45" s="33" t="n">
        <f aca="false">'P&amp;L monthly'!AE47/FX_EUR</f>
        <v>0</v>
      </c>
      <c r="AF45" s="33" t="n">
        <f aca="false">'P&amp;L monthly'!AF47/FX_EUR</f>
        <v>0</v>
      </c>
      <c r="AG45" s="33" t="n">
        <f aca="false">'P&amp;L monthly'!AG47/FX_EUR</f>
        <v>0</v>
      </c>
      <c r="AH45" s="33" t="n">
        <f aca="false">'P&amp;L monthly'!AH47/FX_EUR</f>
        <v>0</v>
      </c>
      <c r="AI45" s="33" t="n">
        <f aca="false">'P&amp;L monthly'!AI47/FX_EUR</f>
        <v>0</v>
      </c>
      <c r="AJ45" s="33" t="n">
        <f aca="false">'P&amp;L monthly'!AJ47/FX_EUR</f>
        <v>0</v>
      </c>
      <c r="AK45" s="33" t="n">
        <f aca="false">'P&amp;L monthly'!AK47/FX_EUR</f>
        <v>0</v>
      </c>
      <c r="AL45" s="33" t="n">
        <f aca="false">'P&amp;L monthly'!AL47/FX_EUR</f>
        <v>0</v>
      </c>
      <c r="AM45" s="33" t="n">
        <f aca="false">'P&amp;L monthly'!AM47/FX_EUR</f>
        <v>0</v>
      </c>
      <c r="AN45" s="33" t="n">
        <f aca="false">'P&amp;L monthly'!AN47/FX_EUR</f>
        <v>47756.5987624959</v>
      </c>
      <c r="AO45" s="33" t="n">
        <f aca="false">'P&amp;L monthly'!AO47/FX_EUR</f>
        <v>51102.7424824471</v>
      </c>
      <c r="AP45" s="33" t="n">
        <f aca="false">'P&amp;L monthly'!AP47/FX_EUR</f>
        <v>57287.506116455</v>
      </c>
      <c r="AQ45" s="33" t="n">
        <f aca="false">'P&amp;L monthly'!AQ47/FX_EUR</f>
        <v>61844.7536516182</v>
      </c>
      <c r="AR45" s="33" t="n">
        <f aca="false">'P&amp;L monthly'!AR47/FX_EUR</f>
        <v>62733.0546319705</v>
      </c>
      <c r="AS45" s="33" t="n">
        <f aca="false">'P&amp;L monthly'!AS47/FX_EUR</f>
        <v>72739.64156896</v>
      </c>
      <c r="AT45" s="33" t="n">
        <f aca="false">'P&amp;L monthly'!AT47/FX_EUR</f>
        <v>78538.3716796295</v>
      </c>
      <c r="AU45" s="33" t="n">
        <f aca="false">'P&amp;L monthly'!AU47/FX_EUR</f>
        <v>83339.8960023515</v>
      </c>
      <c r="AV45" s="33" t="n">
        <f aca="false">'P&amp;L monthly'!AV47/FX_EUR</f>
        <v>90379.0357638812</v>
      </c>
      <c r="AW45" s="33" t="n">
        <f aca="false">'P&amp;L monthly'!AW47/FX_EUR</f>
        <v>95254.6793991911</v>
      </c>
      <c r="AX45" s="33" t="n">
        <f aca="false">'P&amp;L monthly'!AX47/FX_EUR</f>
        <v>102507.529731882</v>
      </c>
      <c r="AY45" s="33" t="n">
        <f aca="false">'P&amp;L monthly'!AY47/FX_EUR</f>
        <v>109269.905597217</v>
      </c>
      <c r="AZ45" s="33" t="n">
        <f aca="false">'P&amp;L monthly'!AZ47/FX_EUR</f>
        <v>115250.130298138</v>
      </c>
      <c r="BA45" s="33" t="n">
        <f aca="false">'P&amp;L monthly'!BA47/FX_EUR</f>
        <v>116480.77336418</v>
      </c>
      <c r="BB45" s="33" t="n">
        <f aca="false">'P&amp;L monthly'!BB47/FX_EUR</f>
        <v>123237.110251012</v>
      </c>
      <c r="BC45" s="33" t="n">
        <f aca="false">'P&amp;L monthly'!BC47/FX_EUR</f>
        <v>131379.807572808</v>
      </c>
      <c r="BD45" s="33" t="n">
        <f aca="false">'P&amp;L monthly'!BD47/FX_EUR</f>
        <v>135613.695879135</v>
      </c>
      <c r="BE45" s="33" t="n">
        <f aca="false">'P&amp;L monthly'!BE47/FX_EUR</f>
        <v>146131.587942978</v>
      </c>
      <c r="BF45" s="33" t="n">
        <f aca="false">'P&amp;L monthly'!BF47/FX_EUR</f>
        <v>153043.374900646</v>
      </c>
      <c r="BG45" s="33" t="n">
        <f aca="false">'P&amp;L monthly'!BG47/FX_EUR</f>
        <v>160820.146723401</v>
      </c>
      <c r="BH45" s="33" t="n">
        <f aca="false">'P&amp;L monthly'!BH47/FX_EUR</f>
        <v>166554.399203341</v>
      </c>
      <c r="BI45" s="33" t="n">
        <f aca="false">'P&amp;L monthly'!BI47/FX_EUR</f>
        <v>175138.711926147</v>
      </c>
      <c r="BJ45" s="33" t="n">
        <f aca="false">'P&amp;L monthly'!BJ47/FX_EUR</f>
        <v>182733.353431399</v>
      </c>
      <c r="BK45" s="33" t="n">
        <f aca="false">'P&amp;L monthly'!BK47/FX_EUR</f>
        <v>191048.565500021</v>
      </c>
      <c r="BL45" s="33" t="n">
        <f aca="false">'P&amp;L monthly'!BL47/FX_EUR</f>
        <v>199120.203035977</v>
      </c>
    </row>
    <row r="46" customFormat="false" ht="15" hidden="false" customHeight="true" outlineLevel="0" collapsed="false">
      <c r="A46" s="9" t="s">
        <v>100</v>
      </c>
      <c r="B46" s="15" t="s">
        <v>79</v>
      </c>
      <c r="D46" s="56" t="n">
        <f aca="false">'P&amp;L monthly'!D48/FX_EUR</f>
        <v>6788379.67597366</v>
      </c>
      <c r="E46" s="17" t="n">
        <f aca="false">'P&amp;L monthly'!E48/FX_EUR</f>
        <v>-49074.7705566066</v>
      </c>
      <c r="F46" s="17" t="n">
        <f aca="false">'P&amp;L monthly'!F48/FX_EUR</f>
        <v>-61888.4605240892</v>
      </c>
      <c r="G46" s="17" t="n">
        <f aca="false">'P&amp;L monthly'!G48/FX_EUR</f>
        <v>-84298.4660579886</v>
      </c>
      <c r="H46" s="17" t="n">
        <f aca="false">'P&amp;L monthly'!H48/FX_EUR</f>
        <v>-56567.7297444802</v>
      </c>
      <c r="I46" s="17" t="n">
        <f aca="false">'P&amp;L monthly'!I48/FX_EUR</f>
        <v>-54258.8976436972</v>
      </c>
      <c r="J46" s="17" t="n">
        <f aca="false">'P&amp;L monthly'!J48/FX_EUR</f>
        <v>-50460.5486706192</v>
      </c>
      <c r="K46" s="17" t="n">
        <f aca="false">'P&amp;L monthly'!K48/FX_EUR</f>
        <v>-47194.6957554459</v>
      </c>
      <c r="L46" s="17" t="n">
        <f aca="false">'P&amp;L monthly'!L48/FX_EUR</f>
        <v>-43934.2918046701</v>
      </c>
      <c r="M46" s="17" t="n">
        <f aca="false">'P&amp;L monthly'!M48/FX_EUR</f>
        <v>-40677.2022022634</v>
      </c>
      <c r="N46" s="17" t="n">
        <f aca="false">'P&amp;L monthly'!N48/FX_EUR</f>
        <v>-37421.1989967175</v>
      </c>
      <c r="O46" s="17" t="n">
        <f aca="false">'P&amp;L monthly'!O48/FX_EUR</f>
        <v>-33813.63788666</v>
      </c>
      <c r="P46" s="17" t="n">
        <f aca="false">'P&amp;L monthly'!P48/FX_EUR</f>
        <v>-30101.6930202053</v>
      </c>
      <c r="Q46" s="17" t="n">
        <f aca="false">'P&amp;L monthly'!Q48/FX_EUR</f>
        <v>-48529.8909984957</v>
      </c>
      <c r="R46" s="17" t="n">
        <f aca="false">'P&amp;L monthly'!R48/FX_EUR</f>
        <v>-41717.45367851</v>
      </c>
      <c r="S46" s="17" t="n">
        <f aca="false">'P&amp;L monthly'!S48/FX_EUR</f>
        <v>-44077.652889421</v>
      </c>
      <c r="T46" s="17" t="n">
        <f aca="false">'P&amp;L monthly'!T48/FX_EUR</f>
        <v>-71343.7150821828</v>
      </c>
      <c r="U46" s="17" t="n">
        <f aca="false">'P&amp;L monthly'!U48/FX_EUR</f>
        <v>-25834.7150419853</v>
      </c>
      <c r="V46" s="17" t="n">
        <f aca="false">'P&amp;L monthly'!V48/FX_EUR</f>
        <v>-31138.4952768946</v>
      </c>
      <c r="W46" s="17" t="n">
        <f aca="false">'P&amp;L monthly'!W48/FX_EUR</f>
        <v>-25074.0864907995</v>
      </c>
      <c r="X46" s="17" t="n">
        <f aca="false">'P&amp;L monthly'!X48/FX_EUR</f>
        <v>-16712.0858350998</v>
      </c>
      <c r="Y46" s="17" t="n">
        <f aca="false">'P&amp;L monthly'!Y48/FX_EUR</f>
        <v>-6641.22528978664</v>
      </c>
      <c r="Z46" s="17" t="n">
        <f aca="false">'P&amp;L monthly'!Z48/FX_EUR</f>
        <v>5634.94518797712</v>
      </c>
      <c r="AA46" s="17" t="n">
        <f aca="false">'P&amp;L monthly'!AA48/FX_EUR</f>
        <v>16099.6502610015</v>
      </c>
      <c r="AB46" s="17" t="n">
        <f aca="false">'P&amp;L monthly'!AB48/FX_EUR</f>
        <v>17018.2937228202</v>
      </c>
      <c r="AC46" s="17" t="n">
        <f aca="false">'P&amp;L monthly'!AC48/FX_EUR</f>
        <v>15471.208584718</v>
      </c>
      <c r="AD46" s="17" t="n">
        <f aca="false">'P&amp;L monthly'!AD48/FX_EUR</f>
        <v>28677.390205201</v>
      </c>
      <c r="AE46" s="17" t="n">
        <f aca="false">'P&amp;L monthly'!AE48/FX_EUR</f>
        <v>44205.2705962696</v>
      </c>
      <c r="AF46" s="17" t="n">
        <f aca="false">'P&amp;L monthly'!AF48/FX_EUR</f>
        <v>43079.6349978087</v>
      </c>
      <c r="AG46" s="17" t="n">
        <f aca="false">'P&amp;L monthly'!AG48/FX_EUR</f>
        <v>48456.9752404639</v>
      </c>
      <c r="AH46" s="17" t="n">
        <f aca="false">'P&amp;L monthly'!AH48/FX_EUR</f>
        <v>77004.3530542655</v>
      </c>
      <c r="AI46" s="17" t="n">
        <f aca="false">'P&amp;L monthly'!AI48/FX_EUR</f>
        <v>91025.3643158304</v>
      </c>
      <c r="AJ46" s="17" t="n">
        <f aca="false">'P&amp;L monthly'!AJ48/FX_EUR</f>
        <v>107089.936020851</v>
      </c>
      <c r="AK46" s="17" t="n">
        <f aca="false">'P&amp;L monthly'!AK48/FX_EUR</f>
        <v>121152.905099764</v>
      </c>
      <c r="AL46" s="17" t="n">
        <f aca="false">'P&amp;L monthly'!AL48/FX_EUR</f>
        <v>132295.660126595</v>
      </c>
      <c r="AM46" s="17" t="n">
        <f aca="false">'P&amp;L monthly'!AM48/FX_EUR</f>
        <v>148780.397788952</v>
      </c>
      <c r="AN46" s="17" t="n">
        <f aca="false">'P&amp;L monthly'!AN48/FX_EUR</f>
        <v>116200.992023258</v>
      </c>
      <c r="AO46" s="17" t="n">
        <f aca="false">'P&amp;L monthly'!AO48/FX_EUR</f>
        <v>119239.732459043</v>
      </c>
      <c r="AP46" s="17" t="n">
        <f aca="false">'P&amp;L monthly'!AP48/FX_EUR</f>
        <v>133670.847605062</v>
      </c>
      <c r="AQ46" s="17" t="n">
        <f aca="false">'P&amp;L monthly'!AQ48/FX_EUR</f>
        <v>144304.425187109</v>
      </c>
      <c r="AR46" s="17" t="n">
        <f aca="false">'P&amp;L monthly'!AR48/FX_EUR</f>
        <v>146377.127474598</v>
      </c>
      <c r="AS46" s="17" t="n">
        <f aca="false">'P&amp;L monthly'!AS48/FX_EUR</f>
        <v>169725.830327573</v>
      </c>
      <c r="AT46" s="17" t="n">
        <f aca="false">'P&amp;L monthly'!AT48/FX_EUR</f>
        <v>183256.200585802</v>
      </c>
      <c r="AU46" s="17" t="n">
        <f aca="false">'P&amp;L monthly'!AU48/FX_EUR</f>
        <v>194459.75733882</v>
      </c>
      <c r="AV46" s="17" t="n">
        <f aca="false">'P&amp;L monthly'!AV48/FX_EUR</f>
        <v>210884.416782389</v>
      </c>
      <c r="AW46" s="17" t="n">
        <f aca="false">'P&amp;L monthly'!AW48/FX_EUR</f>
        <v>222260.918598113</v>
      </c>
      <c r="AX46" s="17" t="n">
        <f aca="false">'P&amp;L monthly'!AX48/FX_EUR</f>
        <v>239184.236041058</v>
      </c>
      <c r="AY46" s="17" t="n">
        <f aca="false">'P&amp;L monthly'!AY48/FX_EUR</f>
        <v>254963.113060172</v>
      </c>
      <c r="AZ46" s="17" t="n">
        <f aca="false">'P&amp;L monthly'!AZ48/FX_EUR</f>
        <v>268916.970695656</v>
      </c>
      <c r="BA46" s="17" t="n">
        <f aca="false">'P&amp;L monthly'!BA48/FX_EUR</f>
        <v>271788.471183087</v>
      </c>
      <c r="BB46" s="17" t="n">
        <f aca="false">'P&amp;L monthly'!BB48/FX_EUR</f>
        <v>287553.257252362</v>
      </c>
      <c r="BC46" s="17" t="n">
        <f aca="false">'P&amp;L monthly'!BC48/FX_EUR</f>
        <v>306552.884336551</v>
      </c>
      <c r="BD46" s="17" t="n">
        <f aca="false">'P&amp;L monthly'!BD48/FX_EUR</f>
        <v>316431.957051315</v>
      </c>
      <c r="BE46" s="17" t="n">
        <f aca="false">'P&amp;L monthly'!BE48/FX_EUR</f>
        <v>340973.705200283</v>
      </c>
      <c r="BF46" s="17" t="n">
        <f aca="false">'P&amp;L monthly'!BF48/FX_EUR</f>
        <v>357101.208101508</v>
      </c>
      <c r="BG46" s="17" t="n">
        <f aca="false">'P&amp;L monthly'!BG48/FX_EUR</f>
        <v>375247.00902127</v>
      </c>
      <c r="BH46" s="17" t="n">
        <f aca="false">'P&amp;L monthly'!BH48/FX_EUR</f>
        <v>388626.931474462</v>
      </c>
      <c r="BI46" s="17" t="n">
        <f aca="false">'P&amp;L monthly'!BI48/FX_EUR</f>
        <v>408656.994494343</v>
      </c>
      <c r="BJ46" s="17" t="n">
        <f aca="false">'P&amp;L monthly'!BJ48/FX_EUR</f>
        <v>426377.824673264</v>
      </c>
      <c r="BK46" s="17" t="n">
        <f aca="false">'P&amp;L monthly'!BK48/FX_EUR</f>
        <v>445779.986166715</v>
      </c>
      <c r="BL46" s="17" t="n">
        <f aca="false">'P&amp;L monthly'!BL48/FX_EUR</f>
        <v>464613.807083946</v>
      </c>
    </row>
    <row r="47" customFormat="false" ht="15" hidden="false" customHeight="true" outlineLevel="0" collapsed="false">
      <c r="A47" s="13" t="s">
        <v>1339</v>
      </c>
      <c r="B47" s="15" t="s">
        <v>79</v>
      </c>
      <c r="D47" s="56" t="n">
        <f aca="false">'P&amp;L monthly'!D49/FX_EUR</f>
        <v>6788379.67597366</v>
      </c>
      <c r="E47" s="33" t="n">
        <f aca="false">'P&amp;L monthly'!E49/FX_EUR</f>
        <v>-49074.7705566066</v>
      </c>
      <c r="F47" s="33" t="n">
        <f aca="false">'P&amp;L monthly'!F49/FX_EUR</f>
        <v>-110963.231080696</v>
      </c>
      <c r="G47" s="33" t="n">
        <f aca="false">'P&amp;L monthly'!G49/FX_EUR</f>
        <v>-195261.697138684</v>
      </c>
      <c r="H47" s="33" t="n">
        <f aca="false">'P&amp;L monthly'!H49/FX_EUR</f>
        <v>-251829.426883165</v>
      </c>
      <c r="I47" s="33" t="n">
        <f aca="false">'P&amp;L monthly'!I49/FX_EUR</f>
        <v>-306088.324526862</v>
      </c>
      <c r="J47" s="33" t="n">
        <f aca="false">'P&amp;L monthly'!J49/FX_EUR</f>
        <v>-356548.873197481</v>
      </c>
      <c r="K47" s="33" t="n">
        <f aca="false">'P&amp;L monthly'!K49/FX_EUR</f>
        <v>-403743.568952927</v>
      </c>
      <c r="L47" s="33" t="n">
        <f aca="false">'P&amp;L monthly'!L49/FX_EUR</f>
        <v>-447677.860757597</v>
      </c>
      <c r="M47" s="33" t="n">
        <f aca="false">'P&amp;L monthly'!M49/FX_EUR</f>
        <v>-488355.06295986</v>
      </c>
      <c r="N47" s="33" t="n">
        <f aca="false">'P&amp;L monthly'!N49/FX_EUR</f>
        <v>-525776.261956578</v>
      </c>
      <c r="O47" s="33" t="n">
        <f aca="false">'P&amp;L monthly'!O49/FX_EUR</f>
        <v>-559589.899843238</v>
      </c>
      <c r="P47" s="33" t="n">
        <f aca="false">'P&amp;L monthly'!P49/FX_EUR</f>
        <v>-589691.592863443</v>
      </c>
      <c r="Q47" s="33" t="n">
        <f aca="false">'P&amp;L monthly'!Q49/FX_EUR</f>
        <v>-638221.483861939</v>
      </c>
      <c r="R47" s="33" t="n">
        <f aca="false">'P&amp;L monthly'!R49/FX_EUR</f>
        <v>-679938.937540449</v>
      </c>
      <c r="S47" s="33" t="n">
        <f aca="false">'P&amp;L monthly'!S49/FX_EUR</f>
        <v>-724016.59042987</v>
      </c>
      <c r="T47" s="33" t="n">
        <f aca="false">'P&amp;L monthly'!T49/FX_EUR</f>
        <v>-795360.305512052</v>
      </c>
      <c r="U47" s="33" t="n">
        <f aca="false">'P&amp;L monthly'!U49/FX_EUR</f>
        <v>-821195.020554038</v>
      </c>
      <c r="V47" s="33" t="n">
        <f aca="false">'P&amp;L monthly'!V49/FX_EUR</f>
        <v>-852333.515830932</v>
      </c>
      <c r="W47" s="33" t="n">
        <f aca="false">'P&amp;L monthly'!W49/FX_EUR</f>
        <v>-877407.602321732</v>
      </c>
      <c r="X47" s="33" t="n">
        <f aca="false">'P&amp;L monthly'!X49/FX_EUR</f>
        <v>-894119.688156832</v>
      </c>
      <c r="Y47" s="33" t="n">
        <f aca="false">'P&amp;L monthly'!Y49/FX_EUR</f>
        <v>-900760.913446618</v>
      </c>
      <c r="Z47" s="33" t="n">
        <f aca="false">'P&amp;L monthly'!Z49/FX_EUR</f>
        <v>-895125.968258641</v>
      </c>
      <c r="AA47" s="33" t="n">
        <f aca="false">'P&amp;L monthly'!AA49/FX_EUR</f>
        <v>-879026.31799764</v>
      </c>
      <c r="AB47" s="33" t="n">
        <f aca="false">'P&amp;L monthly'!AB49/FX_EUR</f>
        <v>-862008.02427482</v>
      </c>
      <c r="AC47" s="33" t="n">
        <f aca="false">'P&amp;L monthly'!AC49/FX_EUR</f>
        <v>-846536.815690102</v>
      </c>
      <c r="AD47" s="33" t="n">
        <f aca="false">'P&amp;L monthly'!AD49/FX_EUR</f>
        <v>-817859.425484901</v>
      </c>
      <c r="AE47" s="33" t="n">
        <f aca="false">'P&amp;L monthly'!AE49/FX_EUR</f>
        <v>-773654.154888631</v>
      </c>
      <c r="AF47" s="33" t="n">
        <f aca="false">'P&amp;L monthly'!AF49/FX_EUR</f>
        <v>-730574.519890822</v>
      </c>
      <c r="AG47" s="33" t="n">
        <f aca="false">'P&amp;L monthly'!AG49/FX_EUR</f>
        <v>-682117.544650359</v>
      </c>
      <c r="AH47" s="33" t="n">
        <f aca="false">'P&amp;L monthly'!AH49/FX_EUR</f>
        <v>-605113.191596093</v>
      </c>
      <c r="AI47" s="33" t="n">
        <f aca="false">'P&amp;L monthly'!AI49/FX_EUR</f>
        <v>-514087.827280263</v>
      </c>
      <c r="AJ47" s="33" t="n">
        <f aca="false">'P&amp;L monthly'!AJ49/FX_EUR</f>
        <v>-406997.891259412</v>
      </c>
      <c r="AK47" s="33" t="n">
        <f aca="false">'P&amp;L monthly'!AK49/FX_EUR</f>
        <v>-285844.986159648</v>
      </c>
      <c r="AL47" s="33" t="n">
        <f aca="false">'P&amp;L monthly'!AL49/FX_EUR</f>
        <v>-153549.326033052</v>
      </c>
      <c r="AM47" s="33" t="n">
        <f aca="false">'P&amp;L monthly'!AM49/FX_EUR</f>
        <v>-4768.92824410046</v>
      </c>
      <c r="AN47" s="33" t="n">
        <f aca="false">'P&amp;L monthly'!AN49/FX_EUR</f>
        <v>111432.063779157</v>
      </c>
      <c r="AO47" s="33" t="n">
        <f aca="false">'P&amp;L monthly'!AO49/FX_EUR</f>
        <v>230671.7962382</v>
      </c>
      <c r="AP47" s="33" t="n">
        <f aca="false">'P&amp;L monthly'!AP49/FX_EUR</f>
        <v>364342.643843262</v>
      </c>
      <c r="AQ47" s="33" t="n">
        <f aca="false">'P&amp;L monthly'!AQ49/FX_EUR</f>
        <v>508647.069030371</v>
      </c>
      <c r="AR47" s="33" t="n">
        <f aca="false">'P&amp;L monthly'!AR49/FX_EUR</f>
        <v>655024.196504969</v>
      </c>
      <c r="AS47" s="33" t="n">
        <f aca="false">'P&amp;L monthly'!AS49/FX_EUR</f>
        <v>824750.026832542</v>
      </c>
      <c r="AT47" s="33" t="n">
        <f aca="false">'P&amp;L monthly'!AT49/FX_EUR</f>
        <v>1008006.22741834</v>
      </c>
      <c r="AU47" s="33" t="n">
        <f aca="false">'P&amp;L monthly'!AU49/FX_EUR</f>
        <v>1202465.98475716</v>
      </c>
      <c r="AV47" s="33" t="n">
        <f aca="false">'P&amp;L monthly'!AV49/FX_EUR</f>
        <v>1413350.40153955</v>
      </c>
      <c r="AW47" s="33" t="n">
        <f aca="false">'P&amp;L monthly'!AW49/FX_EUR</f>
        <v>1635611.32013767</v>
      </c>
      <c r="AX47" s="33" t="n">
        <f aca="false">'P&amp;L monthly'!AX49/FX_EUR</f>
        <v>1874795.55617872</v>
      </c>
      <c r="AY47" s="33" t="n">
        <f aca="false">'P&amp;L monthly'!AY49/FX_EUR</f>
        <v>2129758.6692389</v>
      </c>
      <c r="AZ47" s="33" t="n">
        <f aca="false">'P&amp;L monthly'!AZ49/FX_EUR</f>
        <v>2398675.63993455</v>
      </c>
      <c r="BA47" s="33" t="n">
        <f aca="false">'P&amp;L monthly'!BA49/FX_EUR</f>
        <v>2670464.11111764</v>
      </c>
      <c r="BB47" s="33" t="n">
        <f aca="false">'P&amp;L monthly'!BB49/FX_EUR</f>
        <v>2958017.36837</v>
      </c>
      <c r="BC47" s="33" t="n">
        <f aca="false">'P&amp;L monthly'!BC49/FX_EUR</f>
        <v>3264570.25270655</v>
      </c>
      <c r="BD47" s="33" t="n">
        <f aca="false">'P&amp;L monthly'!BD49/FX_EUR</f>
        <v>3581002.20975787</v>
      </c>
      <c r="BE47" s="33" t="n">
        <f aca="false">'P&amp;L monthly'!BE49/FX_EUR</f>
        <v>3921975.91495815</v>
      </c>
      <c r="BF47" s="33" t="n">
        <f aca="false">'P&amp;L monthly'!BF49/FX_EUR</f>
        <v>4279077.12305966</v>
      </c>
      <c r="BG47" s="33" t="n">
        <f aca="false">'P&amp;L monthly'!BG49/FX_EUR</f>
        <v>4654324.13208093</v>
      </c>
      <c r="BH47" s="33" t="n">
        <f aca="false">'P&amp;L monthly'!BH49/FX_EUR</f>
        <v>5042951.06355539</v>
      </c>
      <c r="BI47" s="33" t="n">
        <f aca="false">'P&amp;L monthly'!BI49/FX_EUR</f>
        <v>5451608.05804973</v>
      </c>
      <c r="BJ47" s="33" t="n">
        <f aca="false">'P&amp;L monthly'!BJ49/FX_EUR</f>
        <v>5877985.882723</v>
      </c>
      <c r="BK47" s="33" t="n">
        <f aca="false">'P&amp;L monthly'!BK49/FX_EUR</f>
        <v>6323765.86888971</v>
      </c>
      <c r="BL47" s="33" t="n">
        <f aca="false">'P&amp;L monthly'!BL49/FX_EUR</f>
        <v>6788379.67597366</v>
      </c>
    </row>
    <row r="49" customFormat="false" ht="15" hidden="false" customHeight="true" outlineLevel="0" collapsed="false">
      <c r="A49" s="11" t="s">
        <v>1340</v>
      </c>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P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4"/>
    <col collapsed="false" customWidth="true" hidden="false" outlineLevel="0" max="3" min="3" style="1" width="3"/>
    <col collapsed="false" customWidth="true" hidden="false" outlineLevel="0" max="9" min="4" style="1" width="16"/>
    <col collapsed="false" customWidth="true" hidden="false" outlineLevel="0" max="10" min="10" style="1" width="3"/>
    <col collapsed="false" customWidth="true" hidden="false" outlineLevel="0" max="16" min="11" style="1" width="16"/>
  </cols>
  <sheetData>
    <row r="1" customFormat="false" ht="17.25" hidden="false" customHeight="true" outlineLevel="0" collapsed="false">
      <c r="A1" s="8" t="s">
        <v>34</v>
      </c>
    </row>
    <row r="2" customFormat="false" ht="15" hidden="false" customHeight="true" outlineLevel="0" collapsed="false">
      <c r="A2" s="3" t="s">
        <v>1344</v>
      </c>
    </row>
    <row r="4" customFormat="false" ht="15" hidden="false" customHeight="true" outlineLevel="0" collapsed="false">
      <c r="A4" s="1" t="s">
        <v>87</v>
      </c>
      <c r="D4" s="55" t="n">
        <v>1</v>
      </c>
      <c r="E4" s="55" t="n">
        <v>2</v>
      </c>
      <c r="F4" s="55" t="n">
        <v>3</v>
      </c>
      <c r="G4" s="55" t="n">
        <v>4</v>
      </c>
      <c r="H4" s="55" t="n">
        <v>5</v>
      </c>
      <c r="I4" s="22" t="s">
        <v>1345</v>
      </c>
      <c r="K4" s="22" t="s">
        <v>1346</v>
      </c>
      <c r="L4" s="22" t="s">
        <v>1347</v>
      </c>
      <c r="M4" s="22" t="s">
        <v>1348</v>
      </c>
      <c r="N4" s="22" t="s">
        <v>1349</v>
      </c>
      <c r="O4" s="22" t="s">
        <v>1350</v>
      </c>
      <c r="P4" s="22" t="s">
        <v>1351</v>
      </c>
    </row>
    <row r="5" customFormat="false" ht="15" hidden="false" customHeight="true" outlineLevel="0" collapsed="false">
      <c r="A5" s="1" t="s">
        <v>1352</v>
      </c>
      <c r="D5" s="21" t="n">
        <f aca="false">YEAR(Start_Date)+D4-1</f>
        <v>2027</v>
      </c>
      <c r="E5" s="21" t="n">
        <f aca="false">YEAR(Start_Date)+E4-1</f>
        <v>2028</v>
      </c>
      <c r="F5" s="21" t="n">
        <f aca="false">YEAR(Start_Date)+F4-1</f>
        <v>2029</v>
      </c>
      <c r="G5" s="21" t="n">
        <f aca="false">YEAR(Start_Date)+G4-1</f>
        <v>2030</v>
      </c>
      <c r="H5" s="21" t="n">
        <f aca="false">YEAR(Start_Date)+H4-1</f>
        <v>2031</v>
      </c>
      <c r="K5" s="21" t="n">
        <f aca="false">D5</f>
        <v>2027</v>
      </c>
      <c r="L5" s="21" t="n">
        <f aca="false">E5</f>
        <v>2028</v>
      </c>
      <c r="M5" s="21" t="n">
        <f aca="false">F5</f>
        <v>2029</v>
      </c>
      <c r="N5" s="21" t="n">
        <f aca="false">G5</f>
        <v>2030</v>
      </c>
      <c r="O5" s="21" t="n">
        <f aca="false">H5</f>
        <v>2031</v>
      </c>
    </row>
    <row r="8" customFormat="false" ht="15" hidden="false" customHeight="true" outlineLevel="0" collapsed="false">
      <c r="A8" s="11" t="s">
        <v>985</v>
      </c>
      <c r="B8" s="12"/>
      <c r="C8" s="12"/>
      <c r="D8" s="12"/>
      <c r="E8" s="12"/>
      <c r="F8" s="12"/>
      <c r="G8" s="12"/>
      <c r="H8" s="12"/>
      <c r="I8" s="12"/>
    </row>
    <row r="9" customFormat="false" ht="15" hidden="false" customHeight="true" outlineLevel="0" collapsed="false">
      <c r="A9" s="13" t="s">
        <v>1253</v>
      </c>
      <c r="B9" s="15" t="s">
        <v>77</v>
      </c>
      <c r="D9" s="24" t="n">
        <f aca="false">SUMIF('P&amp;L monthly'!$E$5:$BL$5,D$4,'P&amp;L monthly'!$E$9:$BL$9)</f>
        <v>24217933.4933814</v>
      </c>
      <c r="E9" s="24" t="n">
        <f aca="false">SUMIF('P&amp;L monthly'!$E$5:$BL$5,E$4,'P&amp;L monthly'!$E$9:$BL$9)</f>
        <v>171012016.836322</v>
      </c>
      <c r="F9" s="24" t="n">
        <f aca="false">SUMIF('P&amp;L monthly'!$E$5:$BL$5,F$4,'P&amp;L monthly'!$E$9:$BL$9)</f>
        <v>490181882.58781</v>
      </c>
      <c r="G9" s="24" t="n">
        <f aca="false">SUMIF('P&amp;L monthly'!$E$5:$BL$5,G$4,'P&amp;L monthly'!$E$9:$BL$9)</f>
        <v>985010879.938804</v>
      </c>
      <c r="H9" s="24" t="n">
        <f aca="false">SUMIF('P&amp;L monthly'!$E$5:$BL$5,H$4,'P&amp;L monthly'!$E$9:$BL$9)</f>
        <v>1669744861.26122</v>
      </c>
      <c r="I9" s="56" t="n">
        <f aca="false">SUM(D9:H9)</f>
        <v>3340167574.11753</v>
      </c>
      <c r="K9" s="25" t="n">
        <f aca="false">D9/FX_EUR</f>
        <v>36920.0016058696</v>
      </c>
      <c r="L9" s="25" t="n">
        <f aca="false">E9/FX_EUR</f>
        <v>260706.139024847</v>
      </c>
      <c r="M9" s="25" t="n">
        <f aca="false">F9/FX_EUR</f>
        <v>747277.462680952</v>
      </c>
      <c r="N9" s="25" t="n">
        <f aca="false">G9/FX_EUR</f>
        <v>1501639.40614828</v>
      </c>
      <c r="O9" s="25" t="n">
        <f aca="false">H9/FX_EUR</f>
        <v>2545509.63136489</v>
      </c>
      <c r="P9" s="25" t="n">
        <f aca="false">I9/FX_EUR</f>
        <v>5092052.64082483</v>
      </c>
    </row>
    <row r="10" customFormat="false" ht="15" hidden="false" customHeight="true" outlineLevel="0" collapsed="false">
      <c r="A10" s="13" t="s">
        <v>988</v>
      </c>
      <c r="B10" s="15" t="s">
        <v>77</v>
      </c>
      <c r="D10" s="24" t="n">
        <f aca="false">SUMIF('P&amp;L monthly'!$E$5:$BL$5,D$4,'P&amp;L monthly'!$E$10:$BL$10)</f>
        <v>60035882.5446931</v>
      </c>
      <c r="E10" s="24" t="n">
        <f aca="false">SUMIF('P&amp;L monthly'!$E$5:$BL$5,E$4,'P&amp;L monthly'!$E$10:$BL$10)</f>
        <v>367080076.26552</v>
      </c>
      <c r="F10" s="24" t="n">
        <f aca="false">SUMIF('P&amp;L monthly'!$E$5:$BL$5,F$4,'P&amp;L monthly'!$E$10:$BL$10)</f>
        <v>1018322414.66181</v>
      </c>
      <c r="G10" s="24" t="n">
        <f aca="false">SUMIF('P&amp;L monthly'!$E$5:$BL$5,G$4,'P&amp;L monthly'!$E$10:$BL$10)</f>
        <v>2013761358.30045</v>
      </c>
      <c r="H10" s="24" t="n">
        <f aca="false">SUMIF('P&amp;L monthly'!$E$5:$BL$5,H$4,'P&amp;L monthly'!$E$10:$BL$10)</f>
        <v>3382396738.78612</v>
      </c>
      <c r="I10" s="56" t="n">
        <f aca="false">SUM(D10:H10)</f>
        <v>6841596470.5586</v>
      </c>
      <c r="K10" s="25" t="n">
        <f aca="false">D10/FX_EUR</f>
        <v>91524.1129291906</v>
      </c>
      <c r="L10" s="25" t="n">
        <f aca="false">E10/FX_EUR</f>
        <v>559609.968741122</v>
      </c>
      <c r="M10" s="25" t="n">
        <f aca="false">F10/FX_EUR</f>
        <v>1552422.51346019</v>
      </c>
      <c r="N10" s="25" t="n">
        <f aca="false">G10/FX_EUR</f>
        <v>3069959.40023577</v>
      </c>
      <c r="O10" s="25" t="n">
        <f aca="false">H10/FX_EUR</f>
        <v>5156430.58734966</v>
      </c>
      <c r="P10" s="25" t="n">
        <f aca="false">I10/FX_EUR</f>
        <v>10429946.5827159</v>
      </c>
    </row>
    <row r="11" customFormat="false" ht="15" hidden="false" customHeight="true" outlineLevel="0" collapsed="false">
      <c r="A11" s="13" t="s">
        <v>1324</v>
      </c>
      <c r="B11" s="15" t="s">
        <v>77</v>
      </c>
      <c r="D11" s="24" t="n">
        <f aca="false">SUMIF('P&amp;L monthly'!$E$5:$BL$5,D$4,'P&amp;L monthly'!$E$11:$BL$11)</f>
        <v>0</v>
      </c>
      <c r="E11" s="24" t="n">
        <f aca="false">SUMIF('P&amp;L monthly'!$E$5:$BL$5,E$4,'P&amp;L monthly'!$E$11:$BL$11)</f>
        <v>0</v>
      </c>
      <c r="F11" s="24" t="n">
        <f aca="false">SUMIF('P&amp;L monthly'!$E$5:$BL$5,F$4,'P&amp;L monthly'!$E$11:$BL$11)</f>
        <v>0</v>
      </c>
      <c r="G11" s="24" t="n">
        <f aca="false">SUMIF('P&amp;L monthly'!$E$5:$BL$5,G$4,'P&amp;L monthly'!$E$11:$BL$11)</f>
        <v>0</v>
      </c>
      <c r="H11" s="24" t="n">
        <f aca="false">SUMIF('P&amp;L monthly'!$E$5:$BL$5,H$4,'P&amp;L monthly'!$E$11:$BL$11)</f>
        <v>0</v>
      </c>
      <c r="I11" s="56" t="n">
        <f aca="false">SUM(D11:H11)</f>
        <v>0</v>
      </c>
      <c r="K11" s="25" t="n">
        <f aca="false">D11/FX_EUR</f>
        <v>0</v>
      </c>
      <c r="L11" s="25" t="n">
        <f aca="false">E11/FX_EUR</f>
        <v>0</v>
      </c>
      <c r="M11" s="25" t="n">
        <f aca="false">F11/FX_EUR</f>
        <v>0</v>
      </c>
      <c r="N11" s="25" t="n">
        <f aca="false">G11/FX_EUR</f>
        <v>0</v>
      </c>
      <c r="O11" s="25" t="n">
        <f aca="false">H11/FX_EUR</f>
        <v>0</v>
      </c>
      <c r="P11" s="25" t="n">
        <f aca="false">I11/FX_EUR</f>
        <v>0</v>
      </c>
    </row>
    <row r="12" customFormat="false" ht="15" hidden="false" customHeight="true" outlineLevel="0" collapsed="false">
      <c r="A12" s="13" t="s">
        <v>1325</v>
      </c>
      <c r="B12" s="15" t="s">
        <v>77</v>
      </c>
      <c r="D12" s="24" t="n">
        <f aca="false">SUMIF('P&amp;L monthly'!$E$5:$BL$5,D$4,'P&amp;L monthly'!$E$12:$BL$12)</f>
        <v>0</v>
      </c>
      <c r="E12" s="24" t="n">
        <f aca="false">SUMIF('P&amp;L monthly'!$E$5:$BL$5,E$4,'P&amp;L monthly'!$E$12:$BL$12)</f>
        <v>0</v>
      </c>
      <c r="F12" s="24" t="n">
        <f aca="false">SUMIF('P&amp;L monthly'!$E$5:$BL$5,F$4,'P&amp;L monthly'!$E$12:$BL$12)</f>
        <v>0</v>
      </c>
      <c r="G12" s="24" t="n">
        <f aca="false">SUMIF('P&amp;L monthly'!$E$5:$BL$5,G$4,'P&amp;L monthly'!$E$12:$BL$12)</f>
        <v>0</v>
      </c>
      <c r="H12" s="24" t="n">
        <f aca="false">SUMIF('P&amp;L monthly'!$E$5:$BL$5,H$4,'P&amp;L monthly'!$E$12:$BL$12)</f>
        <v>0</v>
      </c>
      <c r="I12" s="56" t="n">
        <f aca="false">SUM(D12:H12)</f>
        <v>0</v>
      </c>
      <c r="K12" s="25" t="n">
        <f aca="false">D12/FX_EUR</f>
        <v>0</v>
      </c>
      <c r="L12" s="25" t="n">
        <f aca="false">E12/FX_EUR</f>
        <v>0</v>
      </c>
      <c r="M12" s="25" t="n">
        <f aca="false">F12/FX_EUR</f>
        <v>0</v>
      </c>
      <c r="N12" s="25" t="n">
        <f aca="false">G12/FX_EUR</f>
        <v>0</v>
      </c>
      <c r="O12" s="25" t="n">
        <f aca="false">H12/FX_EUR</f>
        <v>0</v>
      </c>
      <c r="P12" s="25" t="n">
        <f aca="false">I12/FX_EUR</f>
        <v>0</v>
      </c>
    </row>
    <row r="13" customFormat="false" ht="15" hidden="false" customHeight="true" outlineLevel="0" collapsed="false">
      <c r="A13" s="13" t="s">
        <v>1326</v>
      </c>
      <c r="B13" s="15" t="s">
        <v>77</v>
      </c>
      <c r="D13" s="24" t="n">
        <f aca="false">SUMIF('P&amp;L monthly'!$E$5:$BL$5,D$4,'P&amp;L monthly'!$E$13:$BL$13)</f>
        <v>534186.999585346</v>
      </c>
      <c r="E13" s="24" t="n">
        <f aca="false">SUMIF('P&amp;L monthly'!$E$5:$BL$5,E$4,'P&amp;L monthly'!$E$13:$BL$13)</f>
        <v>1543563.96685816</v>
      </c>
      <c r="F13" s="24" t="n">
        <f aca="false">SUMIF('P&amp;L monthly'!$E$5:$BL$5,F$4,'P&amp;L monthly'!$E$13:$BL$13)</f>
        <v>3024860.14829528</v>
      </c>
      <c r="G13" s="24" t="n">
        <f aca="false">SUMIF('P&amp;L monthly'!$E$5:$BL$5,G$4,'P&amp;L monthly'!$E$13:$BL$13)</f>
        <v>4630980.51350843</v>
      </c>
      <c r="H13" s="24" t="n">
        <f aca="false">SUMIF('P&amp;L monthly'!$E$5:$BL$5,H$4,'P&amp;L monthly'!$E$13:$BL$13)</f>
        <v>6347929.47934765</v>
      </c>
      <c r="I13" s="56" t="n">
        <f aca="false">SUM(D13:H13)</f>
        <v>16081521.1075949</v>
      </c>
      <c r="K13" s="25" t="n">
        <f aca="false">D13/FX_EUR</f>
        <v>814.362831077869</v>
      </c>
      <c r="L13" s="25" t="n">
        <f aca="false">E13/FX_EUR</f>
        <v>2353.14809790605</v>
      </c>
      <c r="M13" s="25" t="n">
        <f aca="false">F13/FX_EUR</f>
        <v>4611.36956888224</v>
      </c>
      <c r="N13" s="25" t="n">
        <f aca="false">G13/FX_EUR</f>
        <v>7059.88428129957</v>
      </c>
      <c r="O13" s="25" t="n">
        <f aca="false">H13/FX_EUR</f>
        <v>9677.35610618935</v>
      </c>
      <c r="P13" s="25" t="n">
        <f aca="false">I13/FX_EUR</f>
        <v>24516.1208853551</v>
      </c>
    </row>
    <row r="14" customFormat="false" ht="15" hidden="false" customHeight="true" outlineLevel="0" collapsed="false">
      <c r="A14" s="13" t="s">
        <v>990</v>
      </c>
      <c r="B14" s="15" t="s">
        <v>77</v>
      </c>
      <c r="D14" s="24" t="n">
        <f aca="false">SUMIF('P&amp;L monthly'!$E$5:$BL$5,D$4,'P&amp;L monthly'!$E$14:$BL$14)</f>
        <v>1197557.32676535</v>
      </c>
      <c r="E14" s="24" t="n">
        <f aca="false">SUMIF('P&amp;L monthly'!$E$5:$BL$5,E$4,'P&amp;L monthly'!$E$14:$BL$14)</f>
        <v>7316027.12735315</v>
      </c>
      <c r="F14" s="24" t="n">
        <f aca="false">SUMIF('P&amp;L monthly'!$E$5:$BL$5,F$4,'P&amp;L monthly'!$E$14:$BL$14)</f>
        <v>20282038.6996737</v>
      </c>
      <c r="G14" s="24" t="n">
        <f aca="false">SUMIF('P&amp;L monthly'!$E$5:$BL$5,G$4,'P&amp;L monthly'!$E$14:$BL$14)</f>
        <v>40082270.2749831</v>
      </c>
      <c r="H14" s="24" t="n">
        <f aca="false">SUMIF('P&amp;L monthly'!$E$5:$BL$5,H$4,'P&amp;L monthly'!$E$14:$BL$14)</f>
        <v>67285089.9399626</v>
      </c>
      <c r="I14" s="56" t="n">
        <f aca="false">SUM(D14:H14)</f>
        <v>136162983.368738</v>
      </c>
      <c r="K14" s="25" t="n">
        <f aca="false">D14/FX_EUR</f>
        <v>1825.66437550838</v>
      </c>
      <c r="L14" s="25" t="n">
        <f aca="false">E14/FX_EUR</f>
        <v>11153.2114564722</v>
      </c>
      <c r="M14" s="25" t="n">
        <f aca="false">F14/FX_EUR</f>
        <v>30919.7686733637</v>
      </c>
      <c r="N14" s="25" t="n">
        <f aca="false">G14/FX_EUR</f>
        <v>61105.0271206543</v>
      </c>
      <c r="O14" s="25" t="n">
        <f aca="false">H14/FX_EUR</f>
        <v>102575.458360781</v>
      </c>
      <c r="P14" s="25" t="n">
        <f aca="false">I14/FX_EUR</f>
        <v>207579.129986779</v>
      </c>
    </row>
    <row r="15" customFormat="false" ht="15" hidden="false" customHeight="true" outlineLevel="0" collapsed="false">
      <c r="A15" s="13" t="s">
        <v>1258</v>
      </c>
      <c r="B15" s="15" t="s">
        <v>77</v>
      </c>
      <c r="D15" s="24" t="n">
        <f aca="false">SUMIF('P&amp;L monthly'!$E$5:$BL$5,D$4,'P&amp;L monthly'!$E$15:$BL$15)</f>
        <v>0</v>
      </c>
      <c r="E15" s="24" t="n">
        <f aca="false">SUMIF('P&amp;L monthly'!$E$5:$BL$5,E$4,'P&amp;L monthly'!$E$15:$BL$15)</f>
        <v>14441338.8203137</v>
      </c>
      <c r="F15" s="24" t="n">
        <f aca="false">SUMIF('P&amp;L monthly'!$E$5:$BL$5,F$4,'P&amp;L monthly'!$E$15:$BL$15)</f>
        <v>143302593.666252</v>
      </c>
      <c r="G15" s="24" t="n">
        <f aca="false">SUMIF('P&amp;L monthly'!$E$5:$BL$5,G$4,'P&amp;L monthly'!$E$15:$BL$15)</f>
        <v>298112652.128353</v>
      </c>
      <c r="H15" s="24" t="n">
        <f aca="false">SUMIF('P&amp;L monthly'!$E$5:$BL$5,H$4,'P&amp;L monthly'!$E$15:$BL$15)</f>
        <v>500939586.48007</v>
      </c>
      <c r="I15" s="56" t="n">
        <f aca="false">SUM(D15:H15)</f>
        <v>956796171.094988</v>
      </c>
      <c r="K15" s="25" t="n">
        <f aca="false">D15/FX_EUR</f>
        <v>0</v>
      </c>
      <c r="L15" s="25" t="n">
        <f aca="false">E15/FX_EUR</f>
        <v>22015.6791074929</v>
      </c>
      <c r="M15" s="25" t="n">
        <f aca="false">F15/FX_EUR</f>
        <v>218463.39571992</v>
      </c>
      <c r="N15" s="25" t="n">
        <f aca="false">G15/FX_EUR</f>
        <v>454469.808430055</v>
      </c>
      <c r="O15" s="25" t="n">
        <f aca="false">H15/FX_EUR</f>
        <v>763677.476542014</v>
      </c>
      <c r="P15" s="25" t="n">
        <f aca="false">I15/FX_EUR</f>
        <v>1458626.35979948</v>
      </c>
    </row>
    <row r="16" customFormat="false" ht="15" hidden="false" customHeight="true" outlineLevel="0" collapsed="false">
      <c r="A16" s="13" t="s">
        <v>994</v>
      </c>
      <c r="B16" s="15" t="s">
        <v>77</v>
      </c>
      <c r="D16" s="24" t="n">
        <f aca="false">SUMIF('P&amp;L monthly'!$E$5:$BL$5,D$4,'P&amp;L monthly'!$E$16:$BL$16)</f>
        <v>2226743.36911816</v>
      </c>
      <c r="E16" s="24" t="n">
        <f aca="false">SUMIF('P&amp;L monthly'!$E$5:$BL$5,E$4,'P&amp;L monthly'!$E$16:$BL$16)</f>
        <v>13687944.0873995</v>
      </c>
      <c r="F16" s="24" t="n">
        <f aca="false">SUMIF('P&amp;L monthly'!$E$5:$BL$5,F$4,'P&amp;L monthly'!$E$16:$BL$16)</f>
        <v>38130935.7230539</v>
      </c>
      <c r="G16" s="24" t="n">
        <f aca="false">SUMIF('P&amp;L monthly'!$E$5:$BL$5,G$4,'P&amp;L monthly'!$E$16:$BL$16)</f>
        <v>75715863.5271859</v>
      </c>
      <c r="H16" s="24" t="n">
        <f aca="false">SUMIF('P&amp;L monthly'!$E$5:$BL$5,H$4,'P&amp;L monthly'!$E$16:$BL$16)</f>
        <v>127644388.647178</v>
      </c>
      <c r="I16" s="56" t="n">
        <f aca="false">SUM(D16:H16)</f>
        <v>257405875.353935</v>
      </c>
      <c r="K16" s="25" t="n">
        <f aca="false">D16/FX_EUR</f>
        <v>3394.64838261984</v>
      </c>
      <c r="L16" s="25" t="n">
        <f aca="false">E16/FX_EUR</f>
        <v>20867.1362412468</v>
      </c>
      <c r="M16" s="25" t="n">
        <f aca="false">F16/FX_EUR</f>
        <v>58130.2367732243</v>
      </c>
      <c r="N16" s="25" t="n">
        <f aca="false">G16/FX_EUR</f>
        <v>115428.089840014</v>
      </c>
      <c r="O16" s="25" t="n">
        <f aca="false">H16/FX_EUR</f>
        <v>194592.616051323</v>
      </c>
      <c r="P16" s="25" t="n">
        <f aca="false">I16/FX_EUR</f>
        <v>392412.727288428</v>
      </c>
    </row>
    <row r="17" customFormat="false" ht="15" hidden="false" customHeight="true" outlineLevel="0" collapsed="false">
      <c r="A17" s="13" t="s">
        <v>1259</v>
      </c>
      <c r="B17" s="15" t="s">
        <v>77</v>
      </c>
      <c r="D17" s="24" t="n">
        <f aca="false">SUMIF('P&amp;L monthly'!$E$5:$BL$5,D$4,'P&amp;L monthly'!$E$17:$BL$17)</f>
        <v>0</v>
      </c>
      <c r="E17" s="24" t="n">
        <f aca="false">SUMIF('P&amp;L monthly'!$E$5:$BL$5,E$4,'P&amp;L monthly'!$E$17:$BL$17)</f>
        <v>0</v>
      </c>
      <c r="F17" s="24" t="n">
        <f aca="false">SUMIF('P&amp;L monthly'!$E$5:$BL$5,F$4,'P&amp;L monthly'!$E$17:$BL$17)</f>
        <v>0</v>
      </c>
      <c r="G17" s="24" t="n">
        <f aca="false">SUMIF('P&amp;L monthly'!$E$5:$BL$5,G$4,'P&amp;L monthly'!$E$17:$BL$17)</f>
        <v>0</v>
      </c>
      <c r="H17" s="24" t="n">
        <f aca="false">SUMIF('P&amp;L monthly'!$E$5:$BL$5,H$4,'P&amp;L monthly'!$E$17:$BL$17)</f>
        <v>0</v>
      </c>
      <c r="I17" s="56" t="n">
        <f aca="false">SUM(D17:H17)</f>
        <v>0</v>
      </c>
      <c r="K17" s="25" t="n">
        <f aca="false">D17/FX_EUR</f>
        <v>0</v>
      </c>
      <c r="L17" s="25" t="n">
        <f aca="false">E17/FX_EUR</f>
        <v>0</v>
      </c>
      <c r="M17" s="25" t="n">
        <f aca="false">F17/FX_EUR</f>
        <v>0</v>
      </c>
      <c r="N17" s="25" t="n">
        <f aca="false">G17/FX_EUR</f>
        <v>0</v>
      </c>
      <c r="O17" s="25" t="n">
        <f aca="false">H17/FX_EUR</f>
        <v>0</v>
      </c>
      <c r="P17" s="25" t="n">
        <f aca="false">I17/FX_EUR</f>
        <v>0</v>
      </c>
    </row>
    <row r="18" customFormat="false" ht="15" hidden="false" customHeight="true" outlineLevel="0" collapsed="false">
      <c r="A18" s="13" t="s">
        <v>192</v>
      </c>
      <c r="B18" s="15" t="s">
        <v>77</v>
      </c>
      <c r="D18" s="24" t="n">
        <f aca="false">SUMIF('P&amp;L monthly'!$E$5:$BL$5,D$4,'P&amp;L monthly'!$E$18:$BL$18)</f>
        <v>66601238.561262</v>
      </c>
      <c r="E18" s="24" t="n">
        <f aca="false">SUMIF('P&amp;L monthly'!$E$5:$BL$5,E$4,'P&amp;L monthly'!$E$18:$BL$18)</f>
        <v>408612088.254576</v>
      </c>
      <c r="F18" s="24" t="n">
        <f aca="false">SUMIF('P&amp;L monthly'!$E$5:$BL$5,F$4,'P&amp;L monthly'!$E$18:$BL$18)</f>
        <v>1136702234.08869</v>
      </c>
      <c r="G18" s="24" t="n">
        <f aca="false">SUMIF('P&amp;L monthly'!$E$5:$BL$5,G$4,'P&amp;L monthly'!$E$18:$BL$18)</f>
        <v>2254266370.7239</v>
      </c>
      <c r="H18" s="24" t="n">
        <f aca="false">SUMIF('P&amp;L monthly'!$E$5:$BL$5,H$4,'P&amp;L monthly'!$E$18:$BL$18)</f>
        <v>3796417349.02085</v>
      </c>
      <c r="I18" s="56" t="n">
        <f aca="false">SUM(D18:H18)</f>
        <v>7662599280.64928</v>
      </c>
      <c r="K18" s="25" t="n">
        <f aca="false">D18/FX_EUR</f>
        <v>101532.933654587</v>
      </c>
      <c r="L18" s="25" t="n">
        <f aca="false">E18/FX_EUR</f>
        <v>622925.112857362</v>
      </c>
      <c r="M18" s="25" t="n">
        <f aca="false">F18/FX_EUR</f>
        <v>1732891.38478389</v>
      </c>
      <c r="N18" s="25" t="n">
        <f aca="false">G18/FX_EUR</f>
        <v>3436606.92808202</v>
      </c>
      <c r="O18" s="25" t="n">
        <f aca="false">H18/FX_EUR</f>
        <v>5787600.93881283</v>
      </c>
      <c r="P18" s="25" t="n">
        <f aca="false">I18/FX_EUR</f>
        <v>11681557.2981907</v>
      </c>
    </row>
    <row r="19" customFormat="false" ht="15" hidden="false" customHeight="true" outlineLevel="0" collapsed="false">
      <c r="A19" s="13" t="s">
        <v>202</v>
      </c>
      <c r="B19" s="15" t="s">
        <v>77</v>
      </c>
      <c r="D19" s="24" t="n">
        <f aca="false">SUMIF('P&amp;L monthly'!$E$5:$BL$5,D$4,'P&amp;L monthly'!$E$19:$BL$19)</f>
        <v>768243.40566157</v>
      </c>
      <c r="E19" s="24" t="n">
        <f aca="false">SUMIF('P&amp;L monthly'!$E$5:$BL$5,E$4,'P&amp;L monthly'!$E$19:$BL$19)</f>
        <v>68727216.0028212</v>
      </c>
      <c r="F19" s="24" t="n">
        <f aca="false">SUMIF('P&amp;L monthly'!$E$5:$BL$5,F$4,'P&amp;L monthly'!$E$19:$BL$19)</f>
        <v>246525599.821748</v>
      </c>
      <c r="G19" s="24" t="n">
        <f aca="false">SUMIF('P&amp;L monthly'!$E$5:$BL$5,G$4,'P&amp;L monthly'!$E$19:$BL$19)</f>
        <v>489293093.880005</v>
      </c>
      <c r="H19" s="24" t="n">
        <f aca="false">SUMIF('P&amp;L monthly'!$E$5:$BL$5,H$4,'P&amp;L monthly'!$E$19:$BL$19)</f>
        <v>824632679.703022</v>
      </c>
      <c r="I19" s="56" t="n">
        <f aca="false">SUM(D19:H19)</f>
        <v>1629946832.81326</v>
      </c>
      <c r="K19" s="25" t="n">
        <f aca="false">D19/FX_EUR</f>
        <v>1171.17952192227</v>
      </c>
      <c r="L19" s="25" t="n">
        <f aca="false">E19/FX_EUR</f>
        <v>104773.965370933</v>
      </c>
      <c r="M19" s="25" t="n">
        <f aca="false">F19/FX_EUR</f>
        <v>375825.854166886</v>
      </c>
      <c r="N19" s="25" t="n">
        <f aca="false">G19/FX_EUR</f>
        <v>745922.513030587</v>
      </c>
      <c r="O19" s="25" t="n">
        <f aca="false">H19/FX_EUR</f>
        <v>1257144.41602578</v>
      </c>
      <c r="P19" s="25" t="n">
        <f aca="false">I19/FX_EUR</f>
        <v>2484837.92811611</v>
      </c>
    </row>
    <row r="20" customFormat="false" ht="15" hidden="false" customHeight="true" outlineLevel="0" collapsed="false">
      <c r="A20" s="13" t="s">
        <v>330</v>
      </c>
      <c r="B20" s="15" t="s">
        <v>77</v>
      </c>
      <c r="D20" s="24" t="n">
        <f aca="false">SUMIF('P&amp;L monthly'!$E$5:$BL$5,D$4,'P&amp;L monthly'!$E$20:$BL$20)</f>
        <v>0</v>
      </c>
      <c r="E20" s="24" t="n">
        <f aca="false">SUMIF('P&amp;L monthly'!$E$5:$BL$5,E$4,'P&amp;L monthly'!$E$20:$BL$20)</f>
        <v>79090301.7527079</v>
      </c>
      <c r="F20" s="24" t="n">
        <f aca="false">SUMIF('P&amp;L monthly'!$E$5:$BL$5,F$4,'P&amp;L monthly'!$E$20:$BL$20)</f>
        <v>341414078.944652</v>
      </c>
      <c r="G20" s="24" t="n">
        <f aca="false">SUMIF('P&amp;L monthly'!$E$5:$BL$5,G$4,'P&amp;L monthly'!$E$20:$BL$20)</f>
        <v>674483490.672282</v>
      </c>
      <c r="H20" s="24" t="n">
        <f aca="false">SUMIF('P&amp;L monthly'!$E$5:$BL$5,H$4,'P&amp;L monthly'!$E$20:$BL$20)</f>
        <v>1131904279.51816</v>
      </c>
      <c r="I20" s="56" t="n">
        <f aca="false">SUM(D20:H20)</f>
        <v>2226892150.88781</v>
      </c>
      <c r="K20" s="25" t="n">
        <f aca="false">D20/FX_EUR</f>
        <v>0</v>
      </c>
      <c r="L20" s="25" t="n">
        <f aca="false">E20/FX_EUR</f>
        <v>120572.387752106</v>
      </c>
      <c r="M20" s="25" t="n">
        <f aca="false">F20/FX_EUR</f>
        <v>520482.408061279</v>
      </c>
      <c r="N20" s="25" t="n">
        <f aca="false">G20/FX_EUR</f>
        <v>1028243.45295847</v>
      </c>
      <c r="O20" s="25" t="n">
        <f aca="false">H20/FX_EUR</f>
        <v>1725576.95019363</v>
      </c>
      <c r="P20" s="25" t="n">
        <f aca="false">I20/FX_EUR</f>
        <v>3394875.19896549</v>
      </c>
    </row>
    <row r="21" customFormat="false" ht="15" hidden="false" customHeight="true" outlineLevel="0" collapsed="false">
      <c r="A21" s="13" t="s">
        <v>1327</v>
      </c>
      <c r="B21" s="15" t="s">
        <v>77</v>
      </c>
      <c r="D21" s="24" t="n">
        <f aca="false">SUMIF('P&amp;L monthly'!$E$5:$BL$5,D$4,'P&amp;L monthly'!$E$21:$BL$21)</f>
        <v>0</v>
      </c>
      <c r="E21" s="24" t="n">
        <f aca="false">SUMIF('P&amp;L monthly'!$E$5:$BL$5,E$4,'P&amp;L monthly'!$E$21:$BL$21)</f>
        <v>0</v>
      </c>
      <c r="F21" s="24" t="n">
        <f aca="false">SUMIF('P&amp;L monthly'!$E$5:$BL$5,F$4,'P&amp;L monthly'!$E$21:$BL$21)</f>
        <v>0</v>
      </c>
      <c r="G21" s="24" t="n">
        <f aca="false">SUMIF('P&amp;L monthly'!$E$5:$BL$5,G$4,'P&amp;L monthly'!$E$21:$BL$21)</f>
        <v>0</v>
      </c>
      <c r="H21" s="24" t="n">
        <f aca="false">SUMIF('P&amp;L monthly'!$E$5:$BL$5,H$4,'P&amp;L monthly'!$E$21:$BL$21)</f>
        <v>0</v>
      </c>
      <c r="I21" s="56" t="n">
        <f aca="false">SUM(D21:H21)</f>
        <v>0</v>
      </c>
      <c r="K21" s="25" t="n">
        <f aca="false">D21/FX_EUR</f>
        <v>0</v>
      </c>
      <c r="L21" s="25" t="n">
        <f aca="false">E21/FX_EUR</f>
        <v>0</v>
      </c>
      <c r="M21" s="25" t="n">
        <f aca="false">F21/FX_EUR</f>
        <v>0</v>
      </c>
      <c r="N21" s="25" t="n">
        <f aca="false">G21/FX_EUR</f>
        <v>0</v>
      </c>
      <c r="O21" s="25" t="n">
        <f aca="false">H21/FX_EUR</f>
        <v>0</v>
      </c>
      <c r="P21" s="25" t="n">
        <f aca="false">I21/FX_EUR</f>
        <v>0</v>
      </c>
    </row>
    <row r="22" customFormat="false" ht="15" hidden="false" customHeight="true" outlineLevel="0" collapsed="false">
      <c r="A22" s="13" t="s">
        <v>1328</v>
      </c>
      <c r="B22" s="15" t="s">
        <v>77</v>
      </c>
      <c r="D22" s="24" t="n">
        <f aca="false">SUMIF('P&amp;L monthly'!$E$5:$BL$5,D$4,'P&amp;L monthly'!$E$22:$BL$22)</f>
        <v>0</v>
      </c>
      <c r="E22" s="24" t="n">
        <f aca="false">SUMIF('P&amp;L monthly'!$E$5:$BL$5,E$4,'P&amp;L monthly'!$E$22:$BL$22)</f>
        <v>5927535.26320186</v>
      </c>
      <c r="F22" s="24" t="n">
        <f aca="false">SUMIF('P&amp;L monthly'!$E$5:$BL$5,F$4,'P&amp;L monthly'!$E$22:$BL$22)</f>
        <v>139711074.986326</v>
      </c>
      <c r="G22" s="24" t="n">
        <f aca="false">SUMIF('P&amp;L monthly'!$E$5:$BL$5,G$4,'P&amp;L monthly'!$E$22:$BL$22)</f>
        <v>334052704.637749</v>
      </c>
      <c r="H22" s="24" t="n">
        <f aca="false">SUMIF('P&amp;L monthly'!$E$5:$BL$5,H$4,'P&amp;L monthly'!$E$22:$BL$22)</f>
        <v>551193959.154962</v>
      </c>
      <c r="I22" s="56" t="n">
        <f aca="false">SUM(D22:H22)</f>
        <v>1030885274.04224</v>
      </c>
      <c r="K22" s="25" t="n">
        <f aca="false">D22/FX_EUR</f>
        <v>0</v>
      </c>
      <c r="L22" s="25" t="n">
        <f aca="false">E22/FX_EUR</f>
        <v>9036.46925515218</v>
      </c>
      <c r="M22" s="25" t="n">
        <f aca="false">F22/FX_EUR</f>
        <v>212988.160788476</v>
      </c>
      <c r="N22" s="25" t="n">
        <f aca="false">G22/FX_EUR</f>
        <v>509260.065275237</v>
      </c>
      <c r="O22" s="25" t="n">
        <f aca="false">H22/FX_EUR</f>
        <v>840289.773803713</v>
      </c>
      <c r="P22" s="25" t="n">
        <f aca="false">I22/FX_EUR</f>
        <v>1571574.46912258</v>
      </c>
    </row>
    <row r="23" customFormat="false" ht="15" hidden="false" customHeight="true" outlineLevel="0" collapsed="false">
      <c r="A23" s="9" t="s">
        <v>93</v>
      </c>
      <c r="B23" s="15" t="s">
        <v>77</v>
      </c>
      <c r="D23" s="23" t="n">
        <f aca="false">SUMIF('P&amp;L monthly'!$E$5:$BL$5,D$4,'P&amp;L monthly'!$E$23:$BL$23)</f>
        <v>155581785.700467</v>
      </c>
      <c r="E23" s="23" t="n">
        <f aca="false">SUMIF('P&amp;L monthly'!$E$5:$BL$5,E$4,'P&amp;L monthly'!$E$23:$BL$23)</f>
        <v>1137438108.37707</v>
      </c>
      <c r="F23" s="23" t="n">
        <f aca="false">SUMIF('P&amp;L monthly'!$E$5:$BL$5,F$4,'P&amp;L monthly'!$E$23:$BL$23)</f>
        <v>3577597713.32831</v>
      </c>
      <c r="G23" s="23" t="n">
        <f aca="false">SUMIF('P&amp;L monthly'!$E$5:$BL$5,G$4,'P&amp;L monthly'!$E$23:$BL$23)</f>
        <v>7169409664.59723</v>
      </c>
      <c r="H23" s="23" t="n">
        <f aca="false">SUMIF('P&amp;L monthly'!$E$5:$BL$5,H$4,'P&amp;L monthly'!$E$23:$BL$23)</f>
        <v>12058506861.9909</v>
      </c>
      <c r="I23" s="56" t="n">
        <f aca="false">SUM(D23:H23)</f>
        <v>24098534133.994</v>
      </c>
      <c r="K23" s="18" t="n">
        <f aca="false">D23/FX_EUR</f>
        <v>237182.903300776</v>
      </c>
      <c r="L23" s="18" t="n">
        <f aca="false">E23/FX_EUR</f>
        <v>1734013.21790464</v>
      </c>
      <c r="M23" s="18" t="n">
        <f aca="false">F23/FX_EUR</f>
        <v>5454012.55467707</v>
      </c>
      <c r="N23" s="18" t="n">
        <f aca="false">G23/FX_EUR</f>
        <v>10929694.5754024</v>
      </c>
      <c r="O23" s="18" t="n">
        <f aca="false">H23/FX_EUR</f>
        <v>18383075.2046108</v>
      </c>
      <c r="P23" s="18" t="n">
        <f aca="false">I23/FX_EUR</f>
        <v>36737978.4558957</v>
      </c>
    </row>
    <row r="24" customFormat="false" ht="15" hidden="false" customHeight="true" outlineLevel="0" collapsed="false">
      <c r="A24" s="13" t="s">
        <v>1353</v>
      </c>
      <c r="B24" s="15" t="s">
        <v>96</v>
      </c>
      <c r="D24" s="35" t="n">
        <f aca="false">0</f>
        <v>0</v>
      </c>
      <c r="E24" s="35" t="n">
        <f aca="false">IFERROR(E23/D23-1,0)</f>
        <v>6.31086934923681</v>
      </c>
      <c r="F24" s="35" t="n">
        <f aca="false">IFERROR(F23/E23-1,0)</f>
        <v>2.14531198399262</v>
      </c>
      <c r="G24" s="35" t="n">
        <f aca="false">IFERROR(G23/F23-1,0)</f>
        <v>1.00397312360964</v>
      </c>
      <c r="H24" s="35" t="n">
        <f aca="false">IFERROR(H23/G23-1,0)</f>
        <v>0.681938601100756</v>
      </c>
    </row>
    <row r="26" customFormat="false" ht="15" hidden="false" customHeight="true" outlineLevel="0" collapsed="false">
      <c r="A26" s="11" t="s">
        <v>1354</v>
      </c>
      <c r="B26" s="12"/>
      <c r="C26" s="12"/>
      <c r="D26" s="12"/>
      <c r="E26" s="12"/>
      <c r="F26" s="12"/>
      <c r="G26" s="12"/>
      <c r="H26" s="12"/>
      <c r="I26" s="12"/>
    </row>
    <row r="27" customFormat="false" ht="15" hidden="false" customHeight="true" outlineLevel="0" collapsed="false">
      <c r="A27" s="13" t="s">
        <v>1330</v>
      </c>
      <c r="B27" s="15" t="s">
        <v>77</v>
      </c>
      <c r="D27" s="24" t="n">
        <f aca="false">SUMIF('P&amp;L monthly'!$E$5:$BL$5,D$4,'P&amp;L monthly'!$E$26:$BL$26)</f>
        <v>3991756.59395664</v>
      </c>
      <c r="E27" s="24" t="n">
        <f aca="false">SUMIF('P&amp;L monthly'!$E$5:$BL$5,E$4,'P&amp;L monthly'!$E$26:$BL$26)</f>
        <v>19777066.4671359</v>
      </c>
      <c r="F27" s="24" t="n">
        <f aca="false">SUMIF('P&amp;L monthly'!$E$5:$BL$5,F$4,'P&amp;L monthly'!$E$26:$BL$26)</f>
        <v>65276828.4799625</v>
      </c>
      <c r="G27" s="24" t="n">
        <f aca="false">SUMIF('P&amp;L monthly'!$E$5:$BL$5,G$4,'P&amp;L monthly'!$E$26:$BL$26)</f>
        <v>108427182.831716</v>
      </c>
      <c r="H27" s="24" t="n">
        <f aca="false">SUMIF('P&amp;L monthly'!$E$5:$BL$5,H$4,'P&amp;L monthly'!$E$26:$BL$26)</f>
        <v>172218643.65752</v>
      </c>
      <c r="I27" s="56" t="n">
        <f aca="false">SUM(D27:H27)</f>
        <v>369691478.030292</v>
      </c>
      <c r="K27" s="25" t="n">
        <f aca="false">D27/FX_EUR</f>
        <v>6085.39369799642</v>
      </c>
      <c r="L27" s="25" t="n">
        <f aca="false">E27/FX_EUR</f>
        <v>30149.9434675381</v>
      </c>
      <c r="M27" s="25" t="n">
        <f aca="false">F27/FX_EUR</f>
        <v>99513.8835014528</v>
      </c>
      <c r="N27" s="25" t="n">
        <f aca="false">G27/FX_EUR</f>
        <v>165296.174645162</v>
      </c>
      <c r="O27" s="25" t="n">
        <f aca="false">H27/FX_EUR</f>
        <v>262545.629755488</v>
      </c>
      <c r="P27" s="25" t="n">
        <f aca="false">I27/FX_EUR</f>
        <v>563591.025067637</v>
      </c>
    </row>
    <row r="28" customFormat="false" ht="15" hidden="false" customHeight="true" outlineLevel="0" collapsed="false">
      <c r="A28" s="13" t="s">
        <v>1331</v>
      </c>
      <c r="B28" s="15" t="s">
        <v>77</v>
      </c>
      <c r="D28" s="24" t="n">
        <f aca="false">SUMIF('P&amp;L monthly'!$E$5:$BL$5,D$4,'P&amp;L monthly'!$E$27:$BL$27)</f>
        <v>45374261.309154</v>
      </c>
      <c r="E28" s="24" t="n">
        <f aca="false">SUMIF('P&amp;L monthly'!$E$5:$BL$5,E$4,'P&amp;L monthly'!$E$27:$BL$27)</f>
        <v>270119717.186972</v>
      </c>
      <c r="F28" s="24" t="n">
        <f aca="false">SUMIF('P&amp;L monthly'!$E$5:$BL$5,F$4,'P&amp;L monthly'!$E$27:$BL$27)</f>
        <v>743763518.987218</v>
      </c>
      <c r="G28" s="24" t="n">
        <f aca="false">SUMIF('P&amp;L monthly'!$E$5:$BL$5,G$4,'P&amp;L monthly'!$E$27:$BL$27)</f>
        <v>1464484505.34229</v>
      </c>
      <c r="H28" s="24" t="n">
        <f aca="false">SUMIF('P&amp;L monthly'!$E$5:$BL$5,H$4,'P&amp;L monthly'!$E$27:$BL$27)</f>
        <v>2452749402.88962</v>
      </c>
      <c r="I28" s="56" t="n">
        <f aca="false">SUM(D28:H28)</f>
        <v>4976491405.71525</v>
      </c>
      <c r="K28" s="25" t="n">
        <f aca="false">D28/FX_EUR</f>
        <v>69172.6154445399</v>
      </c>
      <c r="L28" s="25" t="n">
        <f aca="false">E28/FX_EUR</f>
        <v>411794.854216011</v>
      </c>
      <c r="M28" s="25" t="n">
        <f aca="false">F28/FX_EUR</f>
        <v>1133860.17526639</v>
      </c>
      <c r="N28" s="25" t="n">
        <f aca="false">G28/FX_EUR</f>
        <v>2232592.23598847</v>
      </c>
      <c r="O28" s="25" t="n">
        <f aca="false">H28/FX_EUR</f>
        <v>3739192.36000168</v>
      </c>
      <c r="P28" s="25" t="n">
        <f aca="false">I28/FX_EUR</f>
        <v>7586612.24091709</v>
      </c>
    </row>
    <row r="29" customFormat="false" ht="15" hidden="false" customHeight="true" outlineLevel="0" collapsed="false">
      <c r="A29" s="13" t="s">
        <v>1332</v>
      </c>
      <c r="B29" s="15" t="s">
        <v>77</v>
      </c>
      <c r="D29" s="24" t="n">
        <f aca="false">SUMIF('P&amp;L monthly'!$E$5:$BL$5,D$4,'P&amp;L monthly'!$E$28:$BL$28)</f>
        <v>41509948.8283729</v>
      </c>
      <c r="E29" s="24" t="n">
        <f aca="false">SUMIF('P&amp;L monthly'!$E$5:$BL$5,E$4,'P&amp;L monthly'!$E$28:$BL$28)</f>
        <v>320782523.671073</v>
      </c>
      <c r="F29" s="24" t="n">
        <f aca="false">SUMIF('P&amp;L monthly'!$E$5:$BL$5,F$4,'P&amp;L monthly'!$E$28:$BL$28)</f>
        <v>1061325781.10368</v>
      </c>
      <c r="G29" s="24" t="n">
        <f aca="false">SUMIF('P&amp;L monthly'!$E$5:$BL$5,G$4,'P&amp;L monthly'!$E$28:$BL$28)</f>
        <v>2114675505.985</v>
      </c>
      <c r="H29" s="24" t="n">
        <f aca="false">SUMIF('P&amp;L monthly'!$E$5:$BL$5,H$4,'P&amp;L monthly'!$E$28:$BL$28)</f>
        <v>3557780414.84731</v>
      </c>
      <c r="I29" s="56" t="n">
        <f aca="false">SUM(D29:H29)</f>
        <v>7096074174.43543</v>
      </c>
      <c r="K29" s="25" t="n">
        <f aca="false">D29/FX_EUR</f>
        <v>63281.5090446064</v>
      </c>
      <c r="L29" s="25" t="n">
        <f aca="false">E29/FX_EUR</f>
        <v>489029.804805913</v>
      </c>
      <c r="M29" s="25" t="n">
        <f aca="false">F29/FX_EUR</f>
        <v>1617980.72297983</v>
      </c>
      <c r="N29" s="25" t="n">
        <f aca="false">G29/FX_EUR</f>
        <v>3223802.02663437</v>
      </c>
      <c r="O29" s="25" t="n">
        <f aca="false">H29/FX_EUR</f>
        <v>5423801.27789978</v>
      </c>
      <c r="P29" s="25" t="n">
        <f aca="false">I29/FX_EUR</f>
        <v>10817895.3413645</v>
      </c>
    </row>
    <row r="30" customFormat="false" ht="15" hidden="false" customHeight="true" outlineLevel="0" collapsed="false">
      <c r="A30" s="13" t="s">
        <v>1333</v>
      </c>
      <c r="B30" s="15" t="s">
        <v>77</v>
      </c>
      <c r="D30" s="24" t="n">
        <f aca="false">SUMIF('P&amp;L monthly'!$E$5:$BL$5,D$4,'P&amp;L monthly'!$E$29:$BL$29)</f>
        <v>627810.859699075</v>
      </c>
      <c r="E30" s="24" t="n">
        <f aca="false">SUMIF('P&amp;L monthly'!$E$5:$BL$5,E$4,'P&amp;L monthly'!$E$29:$BL$29)</f>
        <v>4845837.63123967</v>
      </c>
      <c r="F30" s="24" t="n">
        <f aca="false">SUMIF('P&amp;L monthly'!$E$5:$BL$5,F$4,'P&amp;L monthly'!$E$29:$BL$29)</f>
        <v>32848848.1373751</v>
      </c>
      <c r="G30" s="24" t="n">
        <f aca="false">SUMIF('P&amp;L monthly'!$E$5:$BL$5,G$4,'P&amp;L monthly'!$E$29:$BL$29)</f>
        <v>76851559.2441056</v>
      </c>
      <c r="H30" s="24" t="n">
        <f aca="false">SUMIF('P&amp;L monthly'!$E$5:$BL$5,H$4,'P&amp;L monthly'!$E$29:$BL$29)</f>
        <v>128996429.244659</v>
      </c>
      <c r="I30" s="56" t="n">
        <f aca="false">SUM(D30:H30)</f>
        <v>244170485.117078</v>
      </c>
      <c r="K30" s="25" t="n">
        <f aca="false">D30/FX_EUR</f>
        <v>957.091485720977</v>
      </c>
      <c r="L30" s="25" t="n">
        <f aca="false">E30/FX_EUR</f>
        <v>7387.43184574548</v>
      </c>
      <c r="M30" s="25" t="n">
        <f aca="false">F30/FX_EUR</f>
        <v>50077.7461592377</v>
      </c>
      <c r="N30" s="25" t="n">
        <f aca="false">G30/FX_EUR</f>
        <v>117159.446799265</v>
      </c>
      <c r="O30" s="25" t="n">
        <f aca="false">H30/FX_EUR</f>
        <v>196653.788654834</v>
      </c>
      <c r="P30" s="25" t="n">
        <f aca="false">I30/FX_EUR</f>
        <v>372235.504944803</v>
      </c>
    </row>
    <row r="31" customFormat="false" ht="15" hidden="false" customHeight="true" outlineLevel="0" collapsed="false">
      <c r="A31" s="9" t="s">
        <v>1334</v>
      </c>
      <c r="B31" s="15" t="s">
        <v>77</v>
      </c>
      <c r="D31" s="23" t="n">
        <f aca="false">SUMIF('P&amp;L monthly'!$E$5:$BL$5,D$4,'P&amp;L monthly'!$E$30:$BL$30)</f>
        <v>91503777.5911826</v>
      </c>
      <c r="E31" s="23" t="n">
        <f aca="false">SUMIF('P&amp;L monthly'!$E$5:$BL$5,E$4,'P&amp;L monthly'!$E$30:$BL$30)</f>
        <v>615525144.95642</v>
      </c>
      <c r="F31" s="23" t="n">
        <f aca="false">SUMIF('P&amp;L monthly'!$E$5:$BL$5,F$4,'P&amp;L monthly'!$E$30:$BL$30)</f>
        <v>1903214976.70823</v>
      </c>
      <c r="G31" s="23" t="n">
        <f aca="false">SUMIF('P&amp;L monthly'!$E$5:$BL$5,G$4,'P&amp;L monthly'!$E$30:$BL$30)</f>
        <v>3764438753.40311</v>
      </c>
      <c r="H31" s="23" t="n">
        <f aca="false">SUMIF('P&amp;L monthly'!$E$5:$BL$5,H$4,'P&amp;L monthly'!$E$30:$BL$30)</f>
        <v>6311744890.63911</v>
      </c>
      <c r="I31" s="56" t="n">
        <f aca="false">SUM(D31:H31)</f>
        <v>12686427543.2981</v>
      </c>
      <c r="K31" s="18" t="n">
        <f aca="false">D31/FX_EUR</f>
        <v>139496.609672864</v>
      </c>
      <c r="L31" s="18" t="n">
        <f aca="false">E31/FX_EUR</f>
        <v>938362.034335208</v>
      </c>
      <c r="M31" s="18" t="n">
        <f aca="false">F31/FX_EUR</f>
        <v>2901432.52790691</v>
      </c>
      <c r="N31" s="18" t="n">
        <f aca="false">G31/FX_EUR</f>
        <v>5738849.88406727</v>
      </c>
      <c r="O31" s="18" t="n">
        <f aca="false">H31/FX_EUR</f>
        <v>9622193.05631178</v>
      </c>
      <c r="P31" s="18" t="n">
        <f aca="false">I31/FX_EUR</f>
        <v>19340334.112294</v>
      </c>
    </row>
    <row r="32" customFormat="false" ht="15" hidden="false" customHeight="true" outlineLevel="0" collapsed="false">
      <c r="A32" s="9" t="s">
        <v>94</v>
      </c>
      <c r="B32" s="15" t="s">
        <v>77</v>
      </c>
      <c r="D32" s="56" t="n">
        <f aca="false">D23-D31</f>
        <v>64078008.1092844</v>
      </c>
      <c r="E32" s="56" t="n">
        <f aca="false">E23-E31</f>
        <v>521912963.420655</v>
      </c>
      <c r="F32" s="56" t="n">
        <f aca="false">F23-F31</f>
        <v>1674382736.62007</v>
      </c>
      <c r="G32" s="56" t="n">
        <f aca="false">G23-G31</f>
        <v>3404970911.19411</v>
      </c>
      <c r="H32" s="56" t="n">
        <f aca="false">H23-H31</f>
        <v>5746761971.35179</v>
      </c>
      <c r="I32" s="56" t="n">
        <f aca="false">SUM(D32:H32)</f>
        <v>11412106590.6959</v>
      </c>
      <c r="K32" s="18" t="n">
        <f aca="false">D32/FX_EUR</f>
        <v>97686.2936279121</v>
      </c>
      <c r="L32" s="18" t="n">
        <f aca="false">E32/FX_EUR</f>
        <v>795651.183569433</v>
      </c>
      <c r="M32" s="18" t="n">
        <f aca="false">F32/FX_EUR</f>
        <v>2552580.02677016</v>
      </c>
      <c r="N32" s="18" t="n">
        <f aca="false">G32/FX_EUR</f>
        <v>5190844.69133513</v>
      </c>
      <c r="O32" s="18" t="n">
        <f aca="false">H32/FX_EUR</f>
        <v>8760882.14829903</v>
      </c>
      <c r="P32" s="18" t="n">
        <f aca="false">I32/FX_EUR</f>
        <v>17397644.3436017</v>
      </c>
    </row>
    <row r="33" customFormat="false" ht="15" hidden="false" customHeight="true" outlineLevel="0" collapsed="false">
      <c r="A33" s="13" t="s">
        <v>95</v>
      </c>
      <c r="B33" s="15" t="s">
        <v>96</v>
      </c>
      <c r="D33" s="35" t="n">
        <f aca="false">IFERROR(D32/D23,0)</f>
        <v>0.411860603224147</v>
      </c>
      <c r="E33" s="35" t="n">
        <f aca="false">IFERROR(E32/E23,0)</f>
        <v>0.458849549330937</v>
      </c>
      <c r="F33" s="35" t="n">
        <f aca="false">IFERROR(F32/F23,0)</f>
        <v>0.468018729546415</v>
      </c>
      <c r="G33" s="35" t="n">
        <f aca="false">IFERROR(G32/G23,0)</f>
        <v>0.474930443437759</v>
      </c>
      <c r="H33" s="35" t="n">
        <f aca="false">IFERROR(H32/H23,0)</f>
        <v>0.476573263765012</v>
      </c>
      <c r="I33" s="61" t="n">
        <f aca="false">IFERROR(I32/I23,0)</f>
        <v>0.473560197779737</v>
      </c>
    </row>
    <row r="35" customFormat="false" ht="15" hidden="false" customHeight="true" outlineLevel="0" collapsed="false">
      <c r="A35" s="11" t="s">
        <v>1335</v>
      </c>
      <c r="B35" s="12"/>
      <c r="C35" s="12"/>
      <c r="D35" s="12"/>
      <c r="E35" s="12"/>
      <c r="F35" s="12"/>
      <c r="G35" s="12"/>
      <c r="H35" s="12"/>
      <c r="I35" s="12"/>
    </row>
    <row r="36" customFormat="false" ht="15" hidden="false" customHeight="true" outlineLevel="0" collapsed="false">
      <c r="A36" s="13" t="s">
        <v>22</v>
      </c>
      <c r="B36" s="15" t="s">
        <v>77</v>
      </c>
      <c r="D36" s="24" t="n">
        <f aca="false">SUMIF('P&amp;L monthly'!$E$5:$BL$5,D$4,'P&amp;L monthly'!$E$35:$BL$35)</f>
        <v>149162000</v>
      </c>
      <c r="E36" s="24" t="n">
        <f aca="false">SUMIF('P&amp;L monthly'!$E$5:$BL$5,E$4,'P&amp;L monthly'!$E$35:$BL$35)</f>
        <v>258039600</v>
      </c>
      <c r="F36" s="24" t="n">
        <f aca="false">SUMIF('P&amp;L monthly'!$E$5:$BL$5,F$4,'P&amp;L monthly'!$E$35:$BL$35)</f>
        <v>388195762.5</v>
      </c>
      <c r="G36" s="24" t="n">
        <f aca="false">SUMIF('P&amp;L monthly'!$E$5:$BL$5,G$4,'P&amp;L monthly'!$E$35:$BL$35)</f>
        <v>531219063.375</v>
      </c>
      <c r="H36" s="24" t="n">
        <f aca="false">SUMIF('P&amp;L monthly'!$E$5:$BL$5,H$4,'P&amp;L monthly'!$E$35:$BL$35)</f>
        <v>735136964.49375</v>
      </c>
      <c r="I36" s="56" t="n">
        <f aca="false">SUM(D36:H36)</f>
        <v>2061753390.36875</v>
      </c>
      <c r="K36" s="25" t="n">
        <f aca="false">D36/FX_EUR</f>
        <v>227396.003091666</v>
      </c>
      <c r="L36" s="25" t="n">
        <f aca="false">E36/FX_EUR</f>
        <v>393378.834283345</v>
      </c>
      <c r="M36" s="25" t="n">
        <f aca="false">F36/FX_EUR</f>
        <v>591800.624888522</v>
      </c>
      <c r="N36" s="25" t="n">
        <f aca="false">G36/FX_EUR</f>
        <v>809838.241492964</v>
      </c>
      <c r="O36" s="25" t="n">
        <f aca="false">H36/FX_EUR</f>
        <v>1120709.07771965</v>
      </c>
      <c r="P36" s="25" t="n">
        <f aca="false">I36/FX_EUR</f>
        <v>3143122.78147615</v>
      </c>
    </row>
    <row r="37" customFormat="false" ht="15" hidden="false" customHeight="true" outlineLevel="0" collapsed="false">
      <c r="A37" s="13" t="s">
        <v>1292</v>
      </c>
      <c r="B37" s="15" t="s">
        <v>77</v>
      </c>
      <c r="D37" s="24" t="n">
        <f aca="false">SUMIF('P&amp;L monthly'!$E$5:$BL$5,D$4,'P&amp;L monthly'!$E$36:$BL$36)</f>
        <v>28905770.3</v>
      </c>
      <c r="E37" s="24" t="n">
        <f aca="false">SUMIF('P&amp;L monthly'!$E$5:$BL$5,E$4,'P&amp;L monthly'!$E$36:$BL$36)</f>
        <v>39752654.4</v>
      </c>
      <c r="F37" s="24" t="n">
        <f aca="false">SUMIF('P&amp;L monthly'!$E$5:$BL$5,F$4,'P&amp;L monthly'!$E$36:$BL$36)</f>
        <v>69793805.4</v>
      </c>
      <c r="G37" s="24" t="n">
        <f aca="false">SUMIF('P&amp;L monthly'!$E$5:$BL$5,G$4,'P&amp;L monthly'!$E$36:$BL$36)</f>
        <v>109848842.6</v>
      </c>
      <c r="H37" s="24" t="n">
        <f aca="false">SUMIF('P&amp;L monthly'!$E$5:$BL$5,H$4,'P&amp;L monthly'!$E$36:$BL$36)</f>
        <v>164104445.6</v>
      </c>
      <c r="I37" s="56" t="n">
        <f aca="false">SUM(D37:H37)</f>
        <v>412405518.3</v>
      </c>
      <c r="K37" s="25" t="n">
        <f aca="false">D37/FX_EUR</f>
        <v>44066.5627472533</v>
      </c>
      <c r="L37" s="25" t="n">
        <f aca="false">E37/FX_EUR</f>
        <v>60602.5309585842</v>
      </c>
      <c r="M37" s="25" t="n">
        <f aca="false">F37/FX_EUR</f>
        <v>106399.970424891</v>
      </c>
      <c r="N37" s="25" t="n">
        <f aca="false">G37/FX_EUR</f>
        <v>167463.48099037</v>
      </c>
      <c r="O37" s="25" t="n">
        <f aca="false">H37/FX_EUR</f>
        <v>250175.614560101</v>
      </c>
      <c r="P37" s="25" t="n">
        <f aca="false">I37/FX_EUR</f>
        <v>628708.159681199</v>
      </c>
    </row>
    <row r="38" customFormat="false" ht="15" hidden="false" customHeight="true" outlineLevel="0" collapsed="false">
      <c r="A38" s="13" t="s">
        <v>833</v>
      </c>
      <c r="B38" s="15" t="s">
        <v>77</v>
      </c>
      <c r="D38" s="24" t="n">
        <f aca="false">SUMIF('P&amp;L monthly'!$E$5:$BL$5,D$4,'P&amp;L monthly'!$E$37:$BL$37)</f>
        <v>134253041.612716</v>
      </c>
      <c r="E38" s="24" t="n">
        <f aca="false">SUMIF('P&amp;L monthly'!$E$5:$BL$5,E$4,'P&amp;L monthly'!$E$37:$BL$37)</f>
        <v>120791506.303245</v>
      </c>
      <c r="F38" s="24" t="n">
        <f aca="false">SUMIF('P&amp;L monthly'!$E$5:$BL$5,F$4,'P&amp;L monthly'!$E$37:$BL$37)</f>
        <v>135883006.428974</v>
      </c>
      <c r="G38" s="24" t="n">
        <f aca="false">SUMIF('P&amp;L monthly'!$E$5:$BL$5,G$4,'P&amp;L monthly'!$E$37:$BL$37)</f>
        <v>134394940</v>
      </c>
      <c r="H38" s="24" t="n">
        <f aca="false">SUMIF('P&amp;L monthly'!$E$5:$BL$5,H$4,'P&amp;L monthly'!$E$37:$BL$37)</f>
        <v>157067140</v>
      </c>
      <c r="I38" s="56" t="n">
        <f aca="false">SUM(D38:H38)</f>
        <v>682389634.344936</v>
      </c>
      <c r="K38" s="25" t="n">
        <f aca="false">D38/FX_EUR</f>
        <v>204667.442549917</v>
      </c>
      <c r="L38" s="25" t="n">
        <f aca="false">E38/FX_EUR</f>
        <v>184145.464265562</v>
      </c>
      <c r="M38" s="25" t="n">
        <f aca="false">F38/FX_EUR</f>
        <v>207152.307893618</v>
      </c>
      <c r="N38" s="25" t="n">
        <f aca="false">G38/FX_EUR</f>
        <v>204883.765246807</v>
      </c>
      <c r="O38" s="25" t="n">
        <f aca="false">H38/FX_EUR</f>
        <v>239447.311332908</v>
      </c>
      <c r="P38" s="25" t="n">
        <f aca="false">I38/FX_EUR</f>
        <v>1040296.29128881</v>
      </c>
    </row>
    <row r="39" customFormat="false" ht="15" hidden="false" customHeight="true" outlineLevel="0" collapsed="false">
      <c r="A39" s="13" t="s">
        <v>849</v>
      </c>
      <c r="B39" s="15" t="s">
        <v>77</v>
      </c>
      <c r="D39" s="24" t="n">
        <f aca="false">SUMIF('P&amp;L monthly'!$E$5:$BL$5,D$4,'P&amp;L monthly'!$E$38:$BL$38)</f>
        <v>27000000</v>
      </c>
      <c r="E39" s="24" t="n">
        <f aca="false">SUMIF('P&amp;L monthly'!$E$5:$BL$5,E$4,'P&amp;L monthly'!$E$38:$BL$38)</f>
        <v>50000000</v>
      </c>
      <c r="F39" s="24" t="n">
        <f aca="false">SUMIF('P&amp;L monthly'!$E$5:$BL$5,F$4,'P&amp;L monthly'!$E$38:$BL$38)</f>
        <v>51000000</v>
      </c>
      <c r="G39" s="24" t="n">
        <f aca="false">SUMIF('P&amp;L monthly'!$E$5:$BL$5,G$4,'P&amp;L monthly'!$E$38:$BL$38)</f>
        <v>51000000</v>
      </c>
      <c r="H39" s="24" t="n">
        <f aca="false">SUMIF('P&amp;L monthly'!$E$5:$BL$5,H$4,'P&amp;L monthly'!$E$38:$BL$38)</f>
        <v>51000000</v>
      </c>
      <c r="I39" s="56" t="n">
        <f aca="false">SUM(D39:H39)</f>
        <v>230000000</v>
      </c>
      <c r="K39" s="25" t="n">
        <f aca="false">D39/FX_EUR</f>
        <v>41161.2346541008</v>
      </c>
      <c r="L39" s="25" t="n">
        <f aca="false">E39/FX_EUR</f>
        <v>76224.5086187052</v>
      </c>
      <c r="M39" s="25" t="n">
        <f aca="false">F39/FX_EUR</f>
        <v>77748.9987910793</v>
      </c>
      <c r="N39" s="25" t="n">
        <f aca="false">G39/FX_EUR</f>
        <v>77748.9987910793</v>
      </c>
      <c r="O39" s="25" t="n">
        <f aca="false">H39/FX_EUR</f>
        <v>77748.9987910793</v>
      </c>
      <c r="P39" s="25" t="n">
        <f aca="false">I39/FX_EUR</f>
        <v>350632.739646044</v>
      </c>
    </row>
    <row r="40" customFormat="false" ht="15" hidden="false" customHeight="true" outlineLevel="0" collapsed="false">
      <c r="A40" s="13" t="s">
        <v>860</v>
      </c>
      <c r="B40" s="15" t="s">
        <v>77</v>
      </c>
      <c r="D40" s="24" t="n">
        <f aca="false">SUMIF('P&amp;L monthly'!$E$5:$BL$5,D$4,'P&amp;L monthly'!$E$39:$BL$39)</f>
        <v>38200000</v>
      </c>
      <c r="E40" s="24" t="n">
        <f aca="false">SUMIF('P&amp;L monthly'!$E$5:$BL$5,E$4,'P&amp;L monthly'!$E$39:$BL$39)</f>
        <v>103200000</v>
      </c>
      <c r="F40" s="24" t="n">
        <f aca="false">SUMIF('P&amp;L monthly'!$E$5:$BL$5,F$4,'P&amp;L monthly'!$E$39:$BL$39)</f>
        <v>150400000</v>
      </c>
      <c r="G40" s="24" t="n">
        <f aca="false">SUMIF('P&amp;L monthly'!$E$5:$BL$5,G$4,'P&amp;L monthly'!$E$39:$BL$39)</f>
        <v>168400000</v>
      </c>
      <c r="H40" s="24" t="n">
        <f aca="false">SUMIF('P&amp;L monthly'!$E$5:$BL$5,H$4,'P&amp;L monthly'!$E$39:$BL$39)</f>
        <v>196400000</v>
      </c>
      <c r="I40" s="56" t="n">
        <f aca="false">SUM(D40:H40)</f>
        <v>656600000</v>
      </c>
      <c r="K40" s="25" t="n">
        <f aca="false">D40/FX_EUR</f>
        <v>58235.5245846908</v>
      </c>
      <c r="L40" s="25" t="n">
        <f aca="false">E40/FX_EUR</f>
        <v>157327.385789008</v>
      </c>
      <c r="M40" s="25" t="n">
        <f aca="false">F40/FX_EUR</f>
        <v>229283.321925065</v>
      </c>
      <c r="N40" s="25" t="n">
        <f aca="false">G40/FX_EUR</f>
        <v>256724.145027799</v>
      </c>
      <c r="O40" s="25" t="n">
        <f aca="false">H40/FX_EUR</f>
        <v>299409.869854274</v>
      </c>
      <c r="P40" s="25" t="n">
        <f aca="false">I40/FX_EUR</f>
        <v>1000980.24718084</v>
      </c>
    </row>
    <row r="41" customFormat="false" ht="15" hidden="false" customHeight="true" outlineLevel="0" collapsed="false">
      <c r="A41" s="13" t="s">
        <v>876</v>
      </c>
      <c r="B41" s="15" t="s">
        <v>77</v>
      </c>
      <c r="D41" s="24" t="n">
        <f aca="false">SUMIF('P&amp;L monthly'!$E$5:$BL$5,D$4,'P&amp;L monthly'!$E$40:$BL$40)</f>
        <v>40949493.5817695</v>
      </c>
      <c r="E41" s="24" t="n">
        <f aca="false">SUMIF('P&amp;L monthly'!$E$5:$BL$5,E$4,'P&amp;L monthly'!$E$40:$BL$40)</f>
        <v>74798922.43958</v>
      </c>
      <c r="F41" s="24" t="n">
        <f aca="false">SUMIF('P&amp;L monthly'!$E$5:$BL$5,F$4,'P&amp;L monthly'!$E$40:$BL$40)</f>
        <v>136240387.467217</v>
      </c>
      <c r="G41" s="24" t="n">
        <f aca="false">SUMIF('P&amp;L monthly'!$E$5:$BL$5,G$4,'P&amp;L monthly'!$E$40:$BL$40)</f>
        <v>177022317.56747</v>
      </c>
      <c r="H41" s="24" t="n">
        <f aca="false">SUMIF('P&amp;L monthly'!$E$5:$BL$5,H$4,'P&amp;L monthly'!$E$40:$BL$40)</f>
        <v>216545566.910532</v>
      </c>
      <c r="I41" s="56" t="n">
        <f aca="false">SUM(D41:H41)</f>
        <v>645556687.966568</v>
      </c>
      <c r="K41" s="25" t="n">
        <f aca="false">D41/FX_EUR</f>
        <v>62427.100529104</v>
      </c>
      <c r="L41" s="25" t="n">
        <f aca="false">E41/FX_EUR</f>
        <v>114030.222163313</v>
      </c>
      <c r="M41" s="25" t="n">
        <f aca="false">F41/FX_EUR</f>
        <v>207697.131774212</v>
      </c>
      <c r="N41" s="25" t="n">
        <f aca="false">G41/FX_EUR</f>
        <v>269868.783422495</v>
      </c>
      <c r="O41" s="25" t="n">
        <f aca="false">H41/FX_EUR</f>
        <v>330121.588626284</v>
      </c>
      <c r="P41" s="25" t="n">
        <f aca="false">I41/FX_EUR</f>
        <v>984144.826515409</v>
      </c>
    </row>
    <row r="42" customFormat="false" ht="15" hidden="false" customHeight="true" outlineLevel="0" collapsed="false">
      <c r="A42" s="13" t="s">
        <v>883</v>
      </c>
      <c r="B42" s="15" t="s">
        <v>77</v>
      </c>
      <c r="D42" s="24" t="n">
        <f aca="false">SUMIF('P&amp;L monthly'!$E$5:$BL$5,D$4,'P&amp;L monthly'!$E$41:$BL$41)</f>
        <v>10949062.4</v>
      </c>
      <c r="E42" s="24" t="n">
        <f aca="false">SUMIF('P&amp;L monthly'!$E$5:$BL$5,E$4,'P&amp;L monthly'!$E$41:$BL$41)</f>
        <v>20599062.4</v>
      </c>
      <c r="F42" s="24" t="n">
        <f aca="false">SUMIF('P&amp;L monthly'!$E$5:$BL$5,F$4,'P&amp;L monthly'!$E$41:$BL$41)</f>
        <v>25174296.8</v>
      </c>
      <c r="G42" s="24" t="n">
        <f aca="false">SUMIF('P&amp;L monthly'!$E$5:$BL$5,G$4,'P&amp;L monthly'!$E$41:$BL$41)</f>
        <v>29674296.8</v>
      </c>
      <c r="H42" s="24" t="n">
        <f aca="false">SUMIF('P&amp;L monthly'!$E$5:$BL$5,H$4,'P&amp;L monthly'!$E$41:$BL$41)</f>
        <v>35223828</v>
      </c>
      <c r="I42" s="56" t="n">
        <f aca="false">SUM(D42:H42)</f>
        <v>121620546.4</v>
      </c>
      <c r="K42" s="25" t="n">
        <f aca="false">D42/FX_EUR</f>
        <v>16691.7380255108</v>
      </c>
      <c r="L42" s="25" t="n">
        <f aca="false">E42/FX_EUR</f>
        <v>31403.0681889209</v>
      </c>
      <c r="M42" s="25" t="n">
        <f aca="false">F42/FX_EUR</f>
        <v>38377.9680680289</v>
      </c>
      <c r="N42" s="25" t="n">
        <f aca="false">G42/FX_EUR</f>
        <v>45238.1738437123</v>
      </c>
      <c r="O42" s="25" t="n">
        <f aca="false">H42/FX_EUR</f>
        <v>53698.3796193958</v>
      </c>
      <c r="P42" s="25" t="n">
        <f aca="false">I42/FX_EUR</f>
        <v>185409.327745569</v>
      </c>
    </row>
    <row r="43" customFormat="false" ht="15" hidden="false" customHeight="true" outlineLevel="0" collapsed="false">
      <c r="A43" s="13" t="s">
        <v>1336</v>
      </c>
      <c r="B43" s="15" t="s">
        <v>77</v>
      </c>
      <c r="D43" s="24" t="n">
        <f aca="false">SUMIF('P&amp;L monthly'!$E$5:$BL$5,D$4,'P&amp;L monthly'!$E$42:$BL$42)</f>
        <v>21470968.3947243</v>
      </c>
      <c r="E43" s="24" t="n">
        <f aca="false">SUMIF('P&amp;L monthly'!$E$5:$BL$5,E$4,'P&amp;L monthly'!$E$42:$BL$42)</f>
        <v>33359087.2771413</v>
      </c>
      <c r="F43" s="24" t="n">
        <f aca="false">SUMIF('P&amp;L monthly'!$E$5:$BL$5,F$4,'P&amp;L monthly'!$E$42:$BL$42)</f>
        <v>47834362.9298096</v>
      </c>
      <c r="G43" s="24" t="n">
        <f aca="false">SUMIF('P&amp;L monthly'!$E$5:$BL$5,G$4,'P&amp;L monthly'!$E$42:$BL$42)</f>
        <v>60077973.0171235</v>
      </c>
      <c r="H43" s="24" t="n">
        <f aca="false">SUMIF('P&amp;L monthly'!$E$5:$BL$5,H$4,'P&amp;L monthly'!$E$42:$BL$42)</f>
        <v>77773897.2502141</v>
      </c>
      <c r="I43" s="56" t="n">
        <f aca="false">SUM(D43:H43)</f>
        <v>240516288.869013</v>
      </c>
      <c r="K43" s="25" t="n">
        <f aca="false">D43/FX_EUR</f>
        <v>32732.2803091122</v>
      </c>
      <c r="L43" s="25" t="n">
        <f aca="false">E43/FX_EUR</f>
        <v>50855.6007133719</v>
      </c>
      <c r="M43" s="25" t="n">
        <f aca="false">F43/FX_EUR</f>
        <v>72923.0161882708</v>
      </c>
      <c r="N43" s="25" t="n">
        <f aca="false">G43/FX_EUR</f>
        <v>91588.2794407614</v>
      </c>
      <c r="O43" s="25" t="n">
        <f aca="false">H43/FX_EUR</f>
        <v>118565.542025185</v>
      </c>
      <c r="P43" s="25" t="n">
        <f aca="false">I43/FX_EUR</f>
        <v>366664.718676701</v>
      </c>
    </row>
    <row r="44" customFormat="false" ht="15" hidden="false" customHeight="true" outlineLevel="0" collapsed="false">
      <c r="A44" s="9" t="s">
        <v>97</v>
      </c>
      <c r="B44" s="15" t="s">
        <v>77</v>
      </c>
      <c r="D44" s="23" t="n">
        <f aca="false">SUMIF('P&amp;L monthly'!$E$5:$BL$5,D$4,'P&amp;L monthly'!$E$43:$BL$43)</f>
        <v>450890336.28921</v>
      </c>
      <c r="E44" s="23" t="n">
        <f aca="false">SUMIF('P&amp;L monthly'!$E$5:$BL$5,E$4,'P&amp;L monthly'!$E$43:$BL$43)</f>
        <v>700540832.819967</v>
      </c>
      <c r="F44" s="23" t="n">
        <f aca="false">SUMIF('P&amp;L monthly'!$E$5:$BL$5,F$4,'P&amp;L monthly'!$E$43:$BL$43)</f>
        <v>1004521621.526</v>
      </c>
      <c r="G44" s="23" t="n">
        <f aca="false">SUMIF('P&amp;L monthly'!$E$5:$BL$5,G$4,'P&amp;L monthly'!$E$43:$BL$43)</f>
        <v>1261637433.35959</v>
      </c>
      <c r="H44" s="23" t="n">
        <f aca="false">SUMIF('P&amp;L monthly'!$E$5:$BL$5,H$4,'P&amp;L monthly'!$E$43:$BL$43)</f>
        <v>1633251842.2545</v>
      </c>
      <c r="I44" s="56" t="n">
        <f aca="false">SUM(D44:H44)</f>
        <v>5050842066.24927</v>
      </c>
      <c r="K44" s="18" t="n">
        <f aca="false">D44/FX_EUR</f>
        <v>687377.886491355</v>
      </c>
      <c r="L44" s="18" t="n">
        <f aca="false">E44/FX_EUR</f>
        <v>1067967.61498081</v>
      </c>
      <c r="M44" s="18" t="n">
        <f aca="false">F44/FX_EUR</f>
        <v>1531383.33995369</v>
      </c>
      <c r="N44" s="18" t="n">
        <f aca="false">G44/FX_EUR</f>
        <v>1923353.86825599</v>
      </c>
      <c r="O44" s="18" t="n">
        <f aca="false">H44/FX_EUR</f>
        <v>2489876.38252888</v>
      </c>
      <c r="P44" s="18" t="n">
        <f aca="false">I44/FX_EUR</f>
        <v>7699959.09221072</v>
      </c>
    </row>
    <row r="45" customFormat="false" ht="15" hidden="false" customHeight="true" outlineLevel="0" collapsed="false">
      <c r="A45" s="9" t="s">
        <v>98</v>
      </c>
      <c r="B45" s="15" t="s">
        <v>77</v>
      </c>
      <c r="D45" s="56" t="n">
        <f aca="false">D32-D44</f>
        <v>-386812328.179926</v>
      </c>
      <c r="E45" s="56" t="n">
        <f aca="false">E32-E44</f>
        <v>-178627869.399312</v>
      </c>
      <c r="F45" s="56" t="n">
        <f aca="false">F32-F44</f>
        <v>669861115.094073</v>
      </c>
      <c r="G45" s="56" t="n">
        <f aca="false">G32-G44</f>
        <v>2143333477.83452</v>
      </c>
      <c r="H45" s="56" t="n">
        <f aca="false">H32-H44</f>
        <v>4113510129.09729</v>
      </c>
      <c r="I45" s="56" t="n">
        <f aca="false">SUM(D45:H45)</f>
        <v>6361264524.44665</v>
      </c>
      <c r="K45" s="18" t="n">
        <f aca="false">D45/FX_EUR</f>
        <v>-589691.592863443</v>
      </c>
      <c r="L45" s="18" t="n">
        <f aca="false">E45/FX_EUR</f>
        <v>-272316.431411376</v>
      </c>
      <c r="M45" s="18" t="n">
        <f aca="false">F45/FX_EUR</f>
        <v>1021196.68681647</v>
      </c>
      <c r="N45" s="18" t="n">
        <f aca="false">G45/FX_EUR</f>
        <v>3267490.82307914</v>
      </c>
      <c r="O45" s="18" t="n">
        <f aca="false">H45/FX_EUR</f>
        <v>6271005.76577015</v>
      </c>
      <c r="P45" s="18" t="n">
        <f aca="false">I45/FX_EUR</f>
        <v>9697685.25139094</v>
      </c>
    </row>
    <row r="46" customFormat="false" ht="15" hidden="false" customHeight="true" outlineLevel="0" collapsed="false">
      <c r="A46" s="13" t="s">
        <v>99</v>
      </c>
      <c r="B46" s="15" t="s">
        <v>96</v>
      </c>
      <c r="D46" s="35" t="n">
        <f aca="false">IFERROR(D45/D23,0)</f>
        <v>-2.48623144694221</v>
      </c>
      <c r="E46" s="35" t="n">
        <f aca="false">IFERROR(E45/E23,0)</f>
        <v>-0.157044034381953</v>
      </c>
      <c r="F46" s="35" t="n">
        <f aca="false">IFERROR(F45/F23,0)</f>
        <v>0.187237685388302</v>
      </c>
      <c r="G46" s="35" t="n">
        <f aca="false">IFERROR(G45/G23,0)</f>
        <v>0.298955364263584</v>
      </c>
      <c r="H46" s="35" t="n">
        <f aca="false">IFERROR(H45/H23,0)</f>
        <v>0.341129310301536</v>
      </c>
      <c r="I46" s="61" t="n">
        <f aca="false">IFERROR(I45/I23,0)</f>
        <v>0.263968940561961</v>
      </c>
    </row>
    <row r="47" customFormat="false" ht="15" hidden="false" customHeight="true" outlineLevel="0" collapsed="false">
      <c r="A47" s="13" t="s">
        <v>1338</v>
      </c>
      <c r="B47" s="15" t="s">
        <v>77</v>
      </c>
      <c r="D47" s="24" t="n">
        <f aca="false">SUMIF('P&amp;L monthly'!$E$5:$BL$5,D$4,'P&amp;L monthly'!$E$47:$BL$47)</f>
        <v>0</v>
      </c>
      <c r="E47" s="24" t="n">
        <f aca="false">SUMIF('P&amp;L monthly'!$E$5:$BL$5,E$4,'P&amp;L monthly'!$E$47:$BL$47)</f>
        <v>0</v>
      </c>
      <c r="F47" s="24" t="n">
        <f aca="false">SUMIF('P&amp;L monthly'!$E$5:$BL$5,F$4,'P&amp;L monthly'!$E$47:$BL$47)</f>
        <v>31326275.2544505</v>
      </c>
      <c r="G47" s="24" t="n">
        <f aca="false">SUMIF('P&amp;L monthly'!$E$5:$BL$5,G$4,'P&amp;L monthly'!$E$47:$BL$47)</f>
        <v>643000043.350356</v>
      </c>
      <c r="H47" s="24" t="n">
        <f aca="false">SUMIF('P&amp;L monthly'!$E$5:$BL$5,H$4,'P&amp;L monthly'!$E$47:$BL$47)</f>
        <v>1234053038.72919</v>
      </c>
      <c r="I47" s="56" t="n">
        <f aca="false">SUM(D47:H47)</f>
        <v>1908379357.33399</v>
      </c>
      <c r="K47" s="25" t="n">
        <f aca="false">D47/FX_EUR</f>
        <v>0</v>
      </c>
      <c r="L47" s="25" t="n">
        <f aca="false">E47/FX_EUR</f>
        <v>0</v>
      </c>
      <c r="M47" s="25" t="n">
        <f aca="false">F47/FX_EUR</f>
        <v>47756.5987624959</v>
      </c>
      <c r="N47" s="25" t="n">
        <f aca="false">G47/FX_EUR</f>
        <v>980247.246923741</v>
      </c>
      <c r="O47" s="25" t="n">
        <f aca="false">H47/FX_EUR</f>
        <v>1881301.72973105</v>
      </c>
      <c r="P47" s="25" t="n">
        <f aca="false">I47/FX_EUR</f>
        <v>2909305.57541728</v>
      </c>
    </row>
    <row r="48" customFormat="false" ht="15" hidden="false" customHeight="true" outlineLevel="0" collapsed="false">
      <c r="A48" s="9" t="s">
        <v>100</v>
      </c>
      <c r="B48" s="15" t="s">
        <v>77</v>
      </c>
      <c r="D48" s="56" t="n">
        <f aca="false">D45-D47</f>
        <v>-386812328.179926</v>
      </c>
      <c r="E48" s="56" t="n">
        <f aca="false">E45-E47</f>
        <v>-178627869.399312</v>
      </c>
      <c r="F48" s="56" t="n">
        <f aca="false">F45-F47</f>
        <v>638534839.839622</v>
      </c>
      <c r="G48" s="56" t="n">
        <f aca="false">G45-G47</f>
        <v>1500333434.48416</v>
      </c>
      <c r="H48" s="56" t="n">
        <f aca="false">H45-H47</f>
        <v>2879457090.36811</v>
      </c>
      <c r="I48" s="56" t="n">
        <f aca="false">SUM(D48:H48)</f>
        <v>4452885167.11265</v>
      </c>
      <c r="K48" s="18" t="n">
        <f aca="false">D48/FX_EUR</f>
        <v>-589691.592863443</v>
      </c>
      <c r="L48" s="18" t="n">
        <f aca="false">E48/FX_EUR</f>
        <v>-272316.431411376</v>
      </c>
      <c r="M48" s="18" t="n">
        <f aca="false">F48/FX_EUR</f>
        <v>973440.088053977</v>
      </c>
      <c r="N48" s="18" t="n">
        <f aca="false">G48/FX_EUR</f>
        <v>2287243.5761554</v>
      </c>
      <c r="O48" s="18" t="n">
        <f aca="false">H48/FX_EUR</f>
        <v>4389704.03603911</v>
      </c>
      <c r="P48" s="18" t="n">
        <f aca="false">I48/FX_EUR</f>
        <v>6788379.67597366</v>
      </c>
    </row>
    <row r="50" customFormat="false" ht="15" hidden="false" customHeight="true" outlineLevel="0" collapsed="false">
      <c r="A50" s="11" t="s">
        <v>1355</v>
      </c>
      <c r="B50" s="12"/>
      <c r="C50" s="12"/>
      <c r="D50" s="12"/>
      <c r="E50" s="12"/>
      <c r="F50" s="12"/>
      <c r="G50" s="12"/>
      <c r="H50" s="12"/>
      <c r="I50" s="12"/>
    </row>
    <row r="51" customFormat="false" ht="15" hidden="false" customHeight="true" outlineLevel="0" collapsed="false">
      <c r="A51" s="13" t="s">
        <v>1356</v>
      </c>
      <c r="B51" s="15" t="s">
        <v>77</v>
      </c>
      <c r="D51" s="24" t="n">
        <f aca="false">SUMIF('Cash flow'!$E$5:$BL$5,D$4,'Cash flow'!$E$15:$BL$15)</f>
        <v>-416812328.179926</v>
      </c>
      <c r="E51" s="24" t="n">
        <f aca="false">SUMIF('Cash flow'!$E$5:$BL$5,E$4,'Cash flow'!$E$15:$BL$15)</f>
        <v>-874876633.304798</v>
      </c>
      <c r="F51" s="24" t="n">
        <f aca="false">SUMIF('Cash flow'!$E$5:$BL$5,F$4,'Cash flow'!$E$15:$BL$15)</f>
        <v>326856763.536598</v>
      </c>
      <c r="G51" s="24" t="n">
        <f aca="false">SUMIF('Cash flow'!$E$5:$BL$5,G$4,'Cash flow'!$E$15:$BL$15)</f>
        <v>1180409738.39652</v>
      </c>
      <c r="H51" s="24" t="n">
        <f aca="false">SUMIF('Cash flow'!$E$5:$BL$5,H$4,'Cash flow'!$E$15:$BL$15)</f>
        <v>2504330231.0716</v>
      </c>
      <c r="I51" s="56" t="n">
        <f aca="false">SUM(D51:H51)</f>
        <v>2719907771.51999</v>
      </c>
      <c r="K51" s="25" t="n">
        <f aca="false">D51/FX_EUR</f>
        <v>-635426.298034666</v>
      </c>
      <c r="L51" s="25" t="n">
        <f aca="false">E51/FX_EUR</f>
        <v>-1333740.82951291</v>
      </c>
      <c r="M51" s="25" t="n">
        <f aca="false">F51/FX_EUR</f>
        <v>498289.92378555</v>
      </c>
      <c r="N51" s="25" t="n">
        <f aca="false">G51/FX_EUR</f>
        <v>1799523.04556017</v>
      </c>
      <c r="O51" s="25" t="n">
        <f aca="false">H51/FX_EUR</f>
        <v>3817826.82564803</v>
      </c>
      <c r="P51" s="25" t="n">
        <f aca="false">I51/FX_EUR</f>
        <v>4146472.66744618</v>
      </c>
    </row>
    <row r="52" customFormat="false" ht="15" hidden="false" customHeight="true" outlineLevel="0" collapsed="false">
      <c r="A52" s="13" t="s">
        <v>1357</v>
      </c>
      <c r="B52" s="15" t="s">
        <v>77</v>
      </c>
      <c r="D52" s="24" t="n">
        <f aca="false">SUMIF('Cash flow'!$E$5:$BL$5,D$4,'Cash flow'!$E$19:$BL$19)</f>
        <v>900000000</v>
      </c>
      <c r="E52" s="24" t="n">
        <f aca="false">SUMIF('Cash flow'!$E$5:$BL$5,E$4,'Cash flow'!$E$19:$BL$19)</f>
        <v>2400000000</v>
      </c>
      <c r="F52" s="24" t="n">
        <f aca="false">SUMIF('Cash flow'!$E$5:$BL$5,F$4,'Cash flow'!$E$19:$BL$19)</f>
        <v>0</v>
      </c>
      <c r="G52" s="24" t="n">
        <f aca="false">SUMIF('Cash flow'!$E$5:$BL$5,G$4,'Cash flow'!$E$19:$BL$19)</f>
        <v>0</v>
      </c>
      <c r="H52" s="24" t="n">
        <f aca="false">SUMIF('Cash flow'!$E$5:$BL$5,H$4,'Cash flow'!$E$19:$BL$19)</f>
        <v>0</v>
      </c>
      <c r="I52" s="56" t="n">
        <f aca="false">SUM(D52:H52)</f>
        <v>3300000000</v>
      </c>
      <c r="K52" s="25" t="n">
        <f aca="false">D52/FX_EUR</f>
        <v>1372041.15513669</v>
      </c>
      <c r="L52" s="25" t="n">
        <f aca="false">E52/FX_EUR</f>
        <v>3658776.41369785</v>
      </c>
      <c r="M52" s="25" t="n">
        <f aca="false">F52/FX_EUR</f>
        <v>0</v>
      </c>
      <c r="N52" s="25" t="n">
        <f aca="false">G52/FX_EUR</f>
        <v>0</v>
      </c>
      <c r="O52" s="25" t="n">
        <f aca="false">H52/FX_EUR</f>
        <v>0</v>
      </c>
      <c r="P52" s="25" t="n">
        <f aca="false">I52/FX_EUR</f>
        <v>5030817.56883454</v>
      </c>
    </row>
    <row r="53" customFormat="false" ht="15" hidden="false" customHeight="true" outlineLevel="0" collapsed="false">
      <c r="A53" s="9" t="s">
        <v>1358</v>
      </c>
      <c r="B53" s="15" t="s">
        <v>77</v>
      </c>
      <c r="D53" s="23" t="n">
        <f aca="false">INDEX('Cash flow'!$E$24:$BL$24,1,D$4*12)</f>
        <v>483187671.820075</v>
      </c>
      <c r="E53" s="23" t="n">
        <f aca="false">INDEX('Cash flow'!$E$24:$BL$24,1,E$4*12)</f>
        <v>2008311038.51528</v>
      </c>
      <c r="F53" s="23" t="n">
        <f aca="false">INDEX('Cash flow'!$E$24:$BL$24,1,F$4*12)</f>
        <v>2335167802.05188</v>
      </c>
      <c r="G53" s="23" t="n">
        <f aca="false">INDEX('Cash flow'!$E$24:$BL$24,1,G$4*12)</f>
        <v>3515577540.44839</v>
      </c>
      <c r="H53" s="23" t="n">
        <f aca="false">INDEX('Cash flow'!$E$24:$BL$24,1,H$4*12)</f>
        <v>6019907771.51999</v>
      </c>
      <c r="K53" s="18" t="n">
        <f aca="false">D53/FX_EUR</f>
        <v>736614.857102027</v>
      </c>
      <c r="L53" s="18" t="n">
        <f aca="false">E53/FX_EUR</f>
        <v>3061650.44128697</v>
      </c>
      <c r="M53" s="18" t="n">
        <f aca="false">F53/FX_EUR</f>
        <v>3559940.36507252</v>
      </c>
      <c r="N53" s="18" t="n">
        <f aca="false">G53/FX_EUR</f>
        <v>5359463.4106327</v>
      </c>
      <c r="O53" s="18" t="n">
        <f aca="false">H53/FX_EUR</f>
        <v>9177290.23628072</v>
      </c>
    </row>
    <row r="55" customFormat="false" ht="15" hidden="false" customHeight="true" outlineLevel="0" collapsed="false">
      <c r="A55" s="11" t="s">
        <v>1359</v>
      </c>
      <c r="B55" s="12"/>
      <c r="C55" s="12"/>
      <c r="D55" s="12"/>
      <c r="E55" s="12"/>
      <c r="F55" s="12"/>
      <c r="G55" s="12"/>
      <c r="H55" s="12"/>
      <c r="I55" s="12"/>
    </row>
    <row r="56" customFormat="false" ht="15" hidden="false" customHeight="true" outlineLevel="0" collapsed="false">
      <c r="A56" s="9" t="s">
        <v>1265</v>
      </c>
      <c r="B56" s="15" t="s">
        <v>89</v>
      </c>
      <c r="D56" s="23" t="n">
        <f aca="false">INDEX('Clients &amp; revenue'!$E$17:$BL$17,1,D$4*12)</f>
        <v>388.382964930819</v>
      </c>
      <c r="E56" s="23" t="n">
        <f aca="false">INDEX('Clients &amp; revenue'!$E$17:$BL$17,1,E$4*12)</f>
        <v>1419.39940374893</v>
      </c>
      <c r="F56" s="23" t="n">
        <f aca="false">INDEX('Clients &amp; revenue'!$E$17:$BL$17,1,F$4*12)</f>
        <v>3304.46645441948</v>
      </c>
      <c r="G56" s="23" t="n">
        <f aca="false">INDEX('Clients &amp; revenue'!$E$17:$BL$17,1,G$4*12)</f>
        <v>5992.06696901879</v>
      </c>
      <c r="H56" s="23" t="n">
        <f aca="false">INDEX('Clients &amp; revenue'!$E$17:$BL$17,1,H$4*12)</f>
        <v>9412.61027096753</v>
      </c>
    </row>
    <row r="57" customFormat="false" ht="15" hidden="false" customHeight="true" outlineLevel="0" collapsed="false">
      <c r="A57" s="13" t="s">
        <v>1360</v>
      </c>
      <c r="B57" s="15" t="s">
        <v>89</v>
      </c>
      <c r="D57" s="24" t="n">
        <f aca="false">INDEX('Clients &amp; revenue'!$E$19:$BL$19,1,D$4*12)</f>
        <v>388.329341569838</v>
      </c>
      <c r="E57" s="24" t="n">
        <f aca="false">INDEX('Clients &amp; revenue'!$E$19:$BL$19,1,E$4*12)</f>
        <v>1194.56402486491</v>
      </c>
      <c r="F57" s="24" t="n">
        <f aca="false">INDEX('Clients &amp; revenue'!$E$19:$BL$19,1,F$4*12)</f>
        <v>2442.01211400313</v>
      </c>
      <c r="G57" s="24" t="n">
        <f aca="false">INDEX('Clients &amp; revenue'!$E$19:$BL$19,1,G$4*12)</f>
        <v>4255.2202064322</v>
      </c>
      <c r="H57" s="24" t="n">
        <f aca="false">INDEX('Clients &amp; revenue'!$E$19:$BL$19,1,H$4*12)</f>
        <v>6381.32536714945</v>
      </c>
    </row>
    <row r="58" customFormat="false" ht="15" hidden="false" customHeight="true" outlineLevel="0" collapsed="false">
      <c r="A58" s="13" t="s">
        <v>1361</v>
      </c>
      <c r="B58" s="15" t="s">
        <v>89</v>
      </c>
      <c r="D58" s="24" t="n">
        <f aca="false">INDEX('Clients &amp; revenue'!$E$20:$BL$20,1,D$4*12)</f>
        <v>0</v>
      </c>
      <c r="E58" s="24" t="n">
        <f aca="false">INDEX('Clients &amp; revenue'!$E$20:$BL$20,1,E$4*12)</f>
        <v>223.760780918427</v>
      </c>
      <c r="F58" s="24" t="n">
        <f aca="false">INDEX('Clients &amp; revenue'!$E$20:$BL$20,1,F$4*12)</f>
        <v>857.136584914707</v>
      </c>
      <c r="G58" s="24" t="n">
        <f aca="false">INDEX('Clients &amp; revenue'!$E$20:$BL$20,1,G$4*12)</f>
        <v>1720.58062628607</v>
      </c>
      <c r="H58" s="24" t="n">
        <f aca="false">INDEX('Clients &amp; revenue'!$E$20:$BL$20,1,H$4*12)</f>
        <v>2993.14600653526</v>
      </c>
    </row>
    <row r="59" customFormat="false" ht="15" hidden="false" customHeight="true" outlineLevel="0" collapsed="false">
      <c r="A59" s="13" t="s">
        <v>90</v>
      </c>
      <c r="B59" s="15" t="s">
        <v>89</v>
      </c>
      <c r="D59" s="24" t="n">
        <f aca="false">SUMIF('Sales &amp; marketing'!$E$5:$BL$5,D$4,'Sales &amp; marketing'!$E$33:$BL$33)</f>
        <v>410.913076604112</v>
      </c>
      <c r="E59" s="24" t="n">
        <f aca="false">SUMIF('Sales &amp; marketing'!$E$5:$BL$5,E$4,'Sales &amp; marketing'!$E$33:$BL$33)</f>
        <v>1187.3568975832</v>
      </c>
      <c r="F59" s="24" t="n">
        <f aca="false">SUMIF('Sales &amp; marketing'!$E$5:$BL$5,F$4,'Sales &amp; marketing'!$E$33:$BL$33)</f>
        <v>2326.81549868868</v>
      </c>
      <c r="G59" s="24" t="n">
        <f aca="false">SUMIF('Sales &amp; marketing'!$E$5:$BL$5,G$4,'Sales &amp; marketing'!$E$33:$BL$33)</f>
        <v>3562.29270269879</v>
      </c>
      <c r="H59" s="24" t="n">
        <f aca="false">SUMIF('Sales &amp; marketing'!$E$5:$BL$5,H$4,'Sales &amp; marketing'!$E$33:$BL$33)</f>
        <v>4883.02267642127</v>
      </c>
      <c r="I59" s="56" t="n">
        <f aca="false">SUM(D59:H59)</f>
        <v>12370.400851996</v>
      </c>
    </row>
    <row r="60" customFormat="false" ht="15" hidden="false" customHeight="true" outlineLevel="0" collapsed="false">
      <c r="A60" s="13" t="s">
        <v>1096</v>
      </c>
      <c r="B60" s="15" t="s">
        <v>92</v>
      </c>
      <c r="D60" s="24" t="n">
        <f aca="false">INDEX(Staff!$E$82:$BL$82,1,D$4*12)</f>
        <v>11</v>
      </c>
      <c r="E60" s="24" t="n">
        <f aca="false">INDEX(Staff!$E$82:$BL$82,1,E$4*12)</f>
        <v>19</v>
      </c>
      <c r="F60" s="24" t="n">
        <f aca="false">INDEX(Staff!$E$82:$BL$82,1,F$4*12)</f>
        <v>33</v>
      </c>
      <c r="G60" s="24" t="n">
        <f aca="false">INDEX(Staff!$E$82:$BL$82,1,G$4*12)</f>
        <v>51</v>
      </c>
      <c r="H60" s="24" t="n">
        <f aca="false">INDEX(Staff!$E$82:$BL$82,1,H$4*12)</f>
        <v>75</v>
      </c>
    </row>
    <row r="61" customFormat="false" ht="15" hidden="false" customHeight="true" outlineLevel="0" collapsed="false">
      <c r="A61" s="13" t="s">
        <v>1362</v>
      </c>
      <c r="B61" s="15" t="s">
        <v>77</v>
      </c>
      <c r="D61" s="24" t="n">
        <f aca="false">INDEX(Credit!$E$25:$BL$25,1,D$4*12)</f>
        <v>0</v>
      </c>
      <c r="E61" s="24" t="n">
        <f aca="false">INDEX(Credit!$E$25:$BL$25,1,E$4*12)</f>
        <v>462487639.054858</v>
      </c>
      <c r="F61" s="24" t="n">
        <f aca="false">INDEX(Credit!$E$25:$BL$25,1,F$4*12)</f>
        <v>2612419116.03863</v>
      </c>
      <c r="G61" s="24" t="n">
        <f aca="false">INDEX(Credit!$E$25:$BL$25,1,G$4*12)</f>
        <v>4998758956.29875</v>
      </c>
      <c r="H61" s="24" t="n">
        <f aca="false">INDEX(Credit!$E$25:$BL$25,1,H$4*12)</f>
        <v>7855949970.08209</v>
      </c>
      <c r="K61" s="25" t="n">
        <f aca="false">D61/FX_EUR</f>
        <v>0</v>
      </c>
      <c r="L61" s="25" t="n">
        <f aca="false">E61/FX_EUR</f>
        <v>705057.860583633</v>
      </c>
      <c r="M61" s="25" t="n">
        <f aca="false">F61/FX_EUR</f>
        <v>3982607.26852314</v>
      </c>
      <c r="N61" s="25" t="n">
        <f aca="false">G61/FX_EUR</f>
        <v>7620558.90294447</v>
      </c>
      <c r="O61" s="25" t="n">
        <f aca="false">H61/FX_EUR</f>
        <v>11976318.5240528</v>
      </c>
    </row>
    <row r="62" customFormat="false" ht="15" hidden="false" customHeight="true" outlineLevel="0" collapsed="false">
      <c r="A62" s="13" t="s">
        <v>1363</v>
      </c>
      <c r="B62" s="15" t="s">
        <v>745</v>
      </c>
      <c r="D62" s="24" t="n">
        <f aca="false">INDEX('Clients &amp; revenue'!$E$32:$BL$32,1,D$4*12)</f>
        <v>0</v>
      </c>
      <c r="E62" s="24" t="n">
        <f aca="false">INDEX('Clients &amp; revenue'!$E$32:$BL$32,1,E$4*12)</f>
        <v>0</v>
      </c>
      <c r="F62" s="24" t="n">
        <f aca="false">INDEX('Clients &amp; revenue'!$E$32:$BL$32,1,F$4*12)</f>
        <v>15754.3439221149</v>
      </c>
      <c r="G62" s="24" t="n">
        <f aca="false">INDEX('Clients &amp; revenue'!$E$32:$BL$32,1,G$4*12)</f>
        <v>29036.9422787057</v>
      </c>
      <c r="H62" s="24" t="n">
        <f aca="false">INDEX('Clients &amp; revenue'!$E$32:$BL$32,1,H$4*12)</f>
        <v>46347.1301196772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52"/>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7" min="6" style="1" width="18"/>
    <col collapsed="false" customWidth="true" hidden="false" outlineLevel="0" max="8" min="8" style="1" width="14"/>
  </cols>
  <sheetData>
    <row r="1" customFormat="false" ht="17.25" hidden="false" customHeight="true" outlineLevel="0" collapsed="false">
      <c r="A1" s="8" t="s">
        <v>38</v>
      </c>
    </row>
    <row r="2" customFormat="false" ht="15" hidden="false" customHeight="true" outlineLevel="0" collapsed="false">
      <c r="A2" s="3" t="s">
        <v>1364</v>
      </c>
    </row>
    <row r="5" customFormat="false" ht="15" hidden="false" customHeight="true" outlineLevel="0" collapsed="false">
      <c r="A5" s="28" t="s">
        <v>1365</v>
      </c>
    </row>
    <row r="6" customFormat="false" ht="15" hidden="false" customHeight="true" outlineLevel="0" collapsed="false">
      <c r="A6" s="3" t="s">
        <v>1366</v>
      </c>
    </row>
    <row r="7" customFormat="false" ht="30" hidden="false" customHeight="true" outlineLevel="0" collapsed="false">
      <c r="A7" s="29" t="s">
        <v>217</v>
      </c>
      <c r="B7" s="29" t="s">
        <v>182</v>
      </c>
      <c r="C7" s="29" t="s">
        <v>827</v>
      </c>
    </row>
    <row r="8" customFormat="false" ht="15" hidden="false" customHeight="true" outlineLevel="0" collapsed="false">
      <c r="A8" s="13" t="s">
        <v>93</v>
      </c>
      <c r="B8" s="31" t="s">
        <v>77</v>
      </c>
      <c r="C8" s="33" t="n">
        <f aca="false">'P&amp;L annual'!$H$23</f>
        <v>12058506861.9909</v>
      </c>
    </row>
    <row r="9" customFormat="false" ht="15" hidden="false" customHeight="true" outlineLevel="0" collapsed="false">
      <c r="A9" s="3" t="s">
        <v>127</v>
      </c>
      <c r="C9" s="32" t="n">
        <f aca="false">IF(ISNUMBER(C8),C8/FX_EUR,"")</f>
        <v>18383075.2046108</v>
      </c>
    </row>
    <row r="10" customFormat="false" ht="15" hidden="false" customHeight="true" outlineLevel="0" collapsed="false">
      <c r="A10" s="13" t="s">
        <v>98</v>
      </c>
      <c r="B10" s="31" t="s">
        <v>77</v>
      </c>
      <c r="C10" s="33" t="n">
        <f aca="false">'P&amp;L annual'!$H$45</f>
        <v>4113510129.09729</v>
      </c>
    </row>
    <row r="11" customFormat="false" ht="15" hidden="false" customHeight="true" outlineLevel="0" collapsed="false">
      <c r="A11" s="3" t="s">
        <v>127</v>
      </c>
      <c r="C11" s="32" t="n">
        <f aca="false">IF(ISNUMBER(C10),C10/FX_EUR,"")</f>
        <v>6271005.76577015</v>
      </c>
    </row>
    <row r="12" customFormat="false" ht="15" hidden="false" customHeight="true" outlineLevel="0" collapsed="false">
      <c r="A12" s="13" t="s">
        <v>99</v>
      </c>
      <c r="B12" s="31" t="s">
        <v>96</v>
      </c>
      <c r="C12" s="35" t="n">
        <f aca="false">IFERROR('P&amp;L annual'!$H$45/'P&amp;L annual'!$H$23,0)</f>
        <v>0.341129310301536</v>
      </c>
    </row>
    <row r="13" customFormat="false" ht="15" hidden="false" customHeight="true" outlineLevel="0" collapsed="false">
      <c r="A13" s="13" t="s">
        <v>1367</v>
      </c>
      <c r="B13" s="31" t="s">
        <v>1368</v>
      </c>
      <c r="C13" s="57" t="n">
        <f aca="false">Pricing_Option</f>
        <v>2</v>
      </c>
    </row>
    <row r="15" customFormat="false" ht="15" hidden="false" customHeight="true" outlineLevel="0" collapsed="false">
      <c r="A15" s="28" t="s">
        <v>14</v>
      </c>
    </row>
    <row r="16" customFormat="false" ht="15" hidden="false" customHeight="true" outlineLevel="0" collapsed="false">
      <c r="A16" s="3" t="s">
        <v>1369</v>
      </c>
    </row>
    <row r="17" customFormat="false" ht="30" hidden="false" customHeight="true" outlineLevel="0" collapsed="false">
      <c r="A17" s="29" t="s">
        <v>1370</v>
      </c>
      <c r="B17" s="29" t="s">
        <v>1371</v>
      </c>
      <c r="C17" s="29" t="s">
        <v>1372</v>
      </c>
      <c r="D17" s="29" t="s">
        <v>1373</v>
      </c>
      <c r="E17" s="29" t="s">
        <v>1374</v>
      </c>
      <c r="F17" s="29" t="s">
        <v>1375</v>
      </c>
      <c r="G17" s="29" t="s">
        <v>1376</v>
      </c>
      <c r="H17" s="29" t="s">
        <v>1377</v>
      </c>
    </row>
    <row r="18" customFormat="false" ht="15" hidden="false" customHeight="true" outlineLevel="0" collapsed="false">
      <c r="A18" s="13" t="s">
        <v>1378</v>
      </c>
      <c r="B18" s="31" t="s">
        <v>1379</v>
      </c>
      <c r="C18" s="33" t="n">
        <f aca="false">Price_Petite</f>
        <v>9900</v>
      </c>
      <c r="D18" s="40" t="n">
        <v>-2000</v>
      </c>
      <c r="E18" s="33" t="n">
        <f aca="false">C18+D18</f>
        <v>7900</v>
      </c>
      <c r="F18" s="33" t="n">
        <f aca="false">D18*SUMIF('Clients &amp; revenue'!$E$5:$BL$5,5,'Clients &amp; revenue'!$E$26:$BL$26)*((1+Price_Increase)^4*(1-Annual_Share*Annual_Free/12))</f>
        <v>-95716431.7165617</v>
      </c>
      <c r="G18" s="33" t="n">
        <f aca="false">D18*SUMIF('Clients &amp; revenue'!$E$5:$BL$5,5,'Clients &amp; revenue'!$E$26:$BL$26)*((1+Price_Increase)^4*(1-Annual_Share*Annual_Free/12))</f>
        <v>-95716431.7165617</v>
      </c>
      <c r="H18" s="35" t="n">
        <f aca="false">IFERROR(('P&amp;L annual'!$H$45+G18)/('P&amp;L annual'!$H$23+F18),0)</f>
        <v>0.335857567747143</v>
      </c>
    </row>
    <row r="19" customFormat="false" ht="15" hidden="false" customHeight="true" outlineLevel="0" collapsed="false">
      <c r="A19" s="3" t="s">
        <v>127</v>
      </c>
      <c r="F19" s="32" t="n">
        <f aca="false">IF(ISNUMBER(F18),F18/FX_EUR,"")</f>
        <v>-145918.759486615</v>
      </c>
      <c r="G19" s="32" t="n">
        <f aca="false">IF(ISNUMBER(G18),G18/FX_EUR,"")</f>
        <v>-145918.759486615</v>
      </c>
    </row>
    <row r="20" customFormat="false" ht="15" hidden="false" customHeight="true" outlineLevel="0" collapsed="false">
      <c r="A20" s="13" t="s">
        <v>1380</v>
      </c>
      <c r="B20" s="31" t="s">
        <v>1379</v>
      </c>
      <c r="C20" s="33" t="n">
        <f aca="false">Price_Moyenne</f>
        <v>19500</v>
      </c>
      <c r="D20" s="40" t="n">
        <v>-5000</v>
      </c>
      <c r="E20" s="33" t="n">
        <f aca="false">C20+D20</f>
        <v>14500</v>
      </c>
      <c r="F20" s="33" t="n">
        <f aca="false">D20*SUMIF('Clients &amp; revenue'!$E$5:$BL$5,5,'Clients &amp; revenue'!$E$27:$BL$27)*((1+Price_Increase)^4*(1-Annual_Share*Annual_Free/12))</f>
        <v>-134096798.28494</v>
      </c>
      <c r="G20" s="33" t="n">
        <f aca="false">D20*SUMIF('Clients &amp; revenue'!$E$5:$BL$5,5,'Clients &amp; revenue'!$E$27:$BL$27)*((1+Price_Increase)^4*(1-Annual_Share*Annual_Free/12))</f>
        <v>-134096798.28494</v>
      </c>
      <c r="H20" s="35" t="n">
        <f aca="false">IFERROR(('P&amp;L annual'!$H$45+G20)/('P&amp;L annual'!$H$23+F20),0)</f>
        <v>0.333719933275726</v>
      </c>
    </row>
    <row r="21" customFormat="false" ht="15" hidden="false" customHeight="true" outlineLevel="0" collapsed="false">
      <c r="A21" s="3" t="s">
        <v>127</v>
      </c>
      <c r="F21" s="32" t="n">
        <f aca="false">IF(ISNUMBER(F20),F20/FX_EUR,"")</f>
        <v>-204429.251132224</v>
      </c>
      <c r="G21" s="32" t="n">
        <f aca="false">IF(ISNUMBER(G20),G20/FX_EUR,"")</f>
        <v>-204429.251132224</v>
      </c>
    </row>
    <row r="22" customFormat="false" ht="15" hidden="false" customHeight="true" outlineLevel="0" collapsed="false">
      <c r="A22" s="13" t="s">
        <v>1381</v>
      </c>
      <c r="B22" s="31" t="s">
        <v>1379</v>
      </c>
      <c r="C22" s="33" t="n">
        <f aca="false">Price_Grande</f>
        <v>69500</v>
      </c>
      <c r="D22" s="40" t="n">
        <v>-10000</v>
      </c>
      <c r="E22" s="33" t="n">
        <f aca="false">C22+D22</f>
        <v>59500</v>
      </c>
      <c r="F22" s="33" t="n">
        <f aca="false">D22*SUMIF('Clients &amp; revenue'!$E$5:$BL$5,5,'Clients &amp; revenue'!$E$28:$BL$28)*((1+Price_Increase)^4*(1-Annual_Share*Annual_Free/12))</f>
        <v>-96830361.2881972</v>
      </c>
      <c r="G22" s="33" t="n">
        <f aca="false">D22*SUMIF('Clients &amp; revenue'!$E$5:$BL$5,5,'Clients &amp; revenue'!$E$28:$BL$28)*((1+Price_Increase)^4*(1-Annual_Share*Annual_Free/12))</f>
        <v>-96830361.2881972</v>
      </c>
      <c r="H22" s="35" t="n">
        <f aca="false">IFERROR(('P&amp;L annual'!$H$45+G22)/('P&amp;L annual'!$H$23+F22),0)</f>
        <v>0.335795719569337</v>
      </c>
    </row>
    <row r="23" customFormat="false" ht="15" hidden="false" customHeight="true" outlineLevel="0" collapsed="false">
      <c r="A23" s="3" t="s">
        <v>127</v>
      </c>
      <c r="F23" s="32" t="n">
        <f aca="false">IF(ISNUMBER(F22),F22/FX_EUR,"")</f>
        <v>-147616.93417129</v>
      </c>
      <c r="G23" s="32" t="n">
        <f aca="false">IF(ISNUMBER(G22),G22/FX_EUR,"")</f>
        <v>-147616.93417129</v>
      </c>
    </row>
    <row r="24" customFormat="false" ht="15" hidden="false" customHeight="true" outlineLevel="0" collapsed="false">
      <c r="A24" s="13" t="s">
        <v>1382</v>
      </c>
      <c r="B24" s="31" t="s">
        <v>1383</v>
      </c>
      <c r="C24" s="34" t="n">
        <f aca="false">0</f>
        <v>0</v>
      </c>
      <c r="D24" s="47" t="n">
        <v>-0.1</v>
      </c>
      <c r="E24" s="34" t="n">
        <f aca="false">C24+D24</f>
        <v>-0.1</v>
      </c>
      <c r="F24" s="33" t="n">
        <f aca="false">D24*SUMIF('Clients &amp; revenue'!$E$5:$BL$5,5,'Clients &amp; revenue'!$E$57:$BL$57)</f>
        <v>-166974486.126122</v>
      </c>
      <c r="G24" s="33" t="n">
        <f aca="false">D24*SUMIF('Clients &amp; revenue'!$E$5:$BL$5,5,'Clients &amp; revenue'!$E$57:$BL$57)</f>
        <v>-166974486.126122</v>
      </c>
      <c r="H24" s="35" t="n">
        <f aca="false">IFERROR(('P&amp;L annual'!$H$45+G24)/('P&amp;L annual'!$H$23+F24),0)</f>
        <v>0.331877803316679</v>
      </c>
    </row>
    <row r="25" customFormat="false" ht="15" hidden="false" customHeight="true" outlineLevel="0" collapsed="false">
      <c r="A25" s="3" t="s">
        <v>127</v>
      </c>
      <c r="F25" s="32" t="n">
        <f aca="false">IF(ISNUMBER(F24),F24/FX_EUR,"")</f>
        <v>-254550.963136489</v>
      </c>
      <c r="G25" s="32" t="n">
        <f aca="false">IF(ISNUMBER(G24),G24/FX_EUR,"")</f>
        <v>-254550.963136489</v>
      </c>
    </row>
    <row r="26" customFormat="false" ht="23.25" hidden="false" customHeight="true" outlineLevel="0" collapsed="false">
      <c r="A26" s="13" t="s">
        <v>1384</v>
      </c>
      <c r="B26" s="31" t="s">
        <v>1385</v>
      </c>
      <c r="C26" s="33" t="n">
        <f aca="false">Free_Months</f>
        <v>1</v>
      </c>
      <c r="D26" s="40" t="n">
        <v>1</v>
      </c>
      <c r="E26" s="33" t="n">
        <f aca="false">C26+D26</f>
        <v>2</v>
      </c>
      <c r="F26" s="33" t="n">
        <f aca="false">-D26*(SUMIF('Clients &amp; revenue'!$E$5:$BL$5,5,'Clients &amp; revenue'!$E$9:$BL$9)*Price_Petite+SUMIF('Clients &amp; revenue'!$E$5:$BL$5,5,'Clients &amp; revenue'!$E$10:$BL$10)*Price_Moyenne+SUMIF('Clients &amp; revenue'!$E$5:$BL$5,5,'Clients &amp; revenue'!$E$11:$BL$11)*Price_Grande)*((1+Price_Increase)^4*(1-Annual_Share*Annual_Free/12))</f>
        <v>-86932452.7083278</v>
      </c>
      <c r="G26" s="33" t="n">
        <f aca="false">-D26*(SUMIF('Clients &amp; revenue'!$E$5:$BL$5,5,'Clients &amp; revenue'!$E$9:$BL$9)*Price_Petite+SUMIF('Clients &amp; revenue'!$E$5:$BL$5,5,'Clients &amp; revenue'!$E$10:$BL$10)*Price_Moyenne+SUMIF('Clients &amp; revenue'!$E$5:$BL$5,5,'Clients &amp; revenue'!$E$11:$BL$11)*Price_Grande)*((1+Price_Increase)^4*(1-Annual_Share*Annual_Free/12))</f>
        <v>-86932452.7083278</v>
      </c>
      <c r="H26" s="35" t="n">
        <f aca="false">IFERROR(('P&amp;L annual'!$H$45+G26)/('P&amp;L annual'!$H$23+F26),0)</f>
        <v>0.336344873174477</v>
      </c>
    </row>
    <row r="27" customFormat="false" ht="15" hidden="false" customHeight="true" outlineLevel="0" collapsed="false">
      <c r="A27" s="3" t="s">
        <v>127</v>
      </c>
      <c r="F27" s="32" t="n">
        <f aca="false">IF(ISNUMBER(F26),F26/FX_EUR,"")</f>
        <v>-132527.669814222</v>
      </c>
      <c r="G27" s="32" t="n">
        <f aca="false">IF(ISNUMBER(G26),G26/FX_EUR,"")</f>
        <v>-132527.669814222</v>
      </c>
    </row>
    <row r="28" customFormat="false" ht="23.25" hidden="false" customHeight="true" outlineLevel="0" collapsed="false">
      <c r="A28" s="13" t="s">
        <v>1386</v>
      </c>
      <c r="B28" s="31" t="s">
        <v>1387</v>
      </c>
      <c r="C28" s="43" t="n">
        <f aca="false">0</f>
        <v>0</v>
      </c>
      <c r="D28" s="44" t="n">
        <v>1</v>
      </c>
      <c r="E28" s="43" t="n">
        <f aca="false">C28+D28</f>
        <v>1</v>
      </c>
      <c r="F28" s="33" t="n">
        <f aca="false">D28*SUMIF('Clients &amp; revenue'!$E$5:$BL$5,5,'Clients &amp; revenue'!$E$17:$BL$17)*Overage_Fee</f>
        <v>42157649.9305368</v>
      </c>
      <c r="G28" s="33" t="n">
        <f aca="false">D28*SUMIF('Clients &amp; revenue'!$E$5:$BL$5,5,'Clients &amp; revenue'!$E$17:$BL$17)*(Overage_Fee-Supplier_Payout_Cost)</f>
        <v>28105099.9536912</v>
      </c>
      <c r="H28" s="35" t="n">
        <f aca="false">IFERROR(('P&amp;L annual'!$H$45+G28)/('P&amp;L annual'!$H$23+F28),0)</f>
        <v>0.342263453793857</v>
      </c>
    </row>
    <row r="29" customFormat="false" ht="15" hidden="false" customHeight="true" outlineLevel="0" collapsed="false">
      <c r="A29" s="3" t="s">
        <v>127</v>
      </c>
      <c r="F29" s="32" t="n">
        <f aca="false">IF(ISNUMBER(F28),F28/FX_EUR,"")</f>
        <v>64268.9230094911</v>
      </c>
      <c r="G29" s="32" t="n">
        <f aca="false">IF(ISNUMBER(G28),G28/FX_EUR,"")</f>
        <v>42845.9486729941</v>
      </c>
    </row>
    <row r="30" customFormat="false" ht="15" hidden="false" customHeight="true" outlineLevel="0" collapsed="false">
      <c r="A30" s="13" t="s">
        <v>1388</v>
      </c>
      <c r="B30" s="31" t="s">
        <v>1389</v>
      </c>
      <c r="C30" s="33" t="n">
        <f aca="false">Overage_Fee</f>
        <v>450</v>
      </c>
      <c r="D30" s="40" t="n">
        <v>100</v>
      </c>
      <c r="E30" s="33" t="n">
        <f aca="false">C30+D30</f>
        <v>550</v>
      </c>
      <c r="F30" s="33" t="n">
        <f aca="false">D30*SUMIF('Clients &amp; revenue'!$E$5:$BL$5,5,'Clients &amp; revenue'!$E$43:$BL$43)</f>
        <v>14952242.2088806</v>
      </c>
      <c r="G30" s="33" t="n">
        <f aca="false">D30*SUMIF('Clients &amp; revenue'!$E$5:$BL$5,5,'Clients &amp; revenue'!$E$43:$BL$43)</f>
        <v>14952242.2088806</v>
      </c>
      <c r="H30" s="35" t="n">
        <f aca="false">IFERROR(('P&amp;L annual'!$H$45+G30)/('P&amp;L annual'!$H$23+F30),0)</f>
        <v>0.341945281437205</v>
      </c>
    </row>
    <row r="31" customFormat="false" ht="15" hidden="false" customHeight="true" outlineLevel="0" collapsed="false">
      <c r="A31" s="3" t="s">
        <v>127</v>
      </c>
      <c r="F31" s="32" t="n">
        <f aca="false">IF(ISNUMBER(F30),F30/FX_EUR,"")</f>
        <v>22794.5463023957</v>
      </c>
      <c r="G31" s="32" t="n">
        <f aca="false">IF(ISNUMBER(G30),G30/FX_EUR,"")</f>
        <v>22794.5463023957</v>
      </c>
    </row>
    <row r="32" customFormat="false" ht="23.25" hidden="false" customHeight="true" outlineLevel="0" collapsed="false">
      <c r="A32" s="13" t="s">
        <v>1390</v>
      </c>
      <c r="B32" s="31" t="s">
        <v>1391</v>
      </c>
      <c r="C32" s="43" t="n">
        <f aca="false">0</f>
        <v>0</v>
      </c>
      <c r="D32" s="44" t="n">
        <v>0.5</v>
      </c>
      <c r="E32" s="43" t="n">
        <f aca="false">C32+D32</f>
        <v>0.5</v>
      </c>
      <c r="F32" s="33" t="n">
        <f aca="false">D32*SUMIF('Clients &amp; revenue'!$E$5:$BL$5,5,'Clients &amp; revenue'!$E$17:$BL$17)*Extra_User_Fee</f>
        <v>117104583.14038</v>
      </c>
      <c r="G32" s="33" t="n">
        <f aca="false">D32*SUMIF('Clients &amp; revenue'!$E$5:$BL$5,5,'Clients &amp; revenue'!$E$17:$BL$17)*Extra_User_Fee</f>
        <v>117104583.14038</v>
      </c>
      <c r="H32" s="35" t="n">
        <f aca="false">IFERROR(('P&amp;L annual'!$H$45+G32)/('P&amp;L annual'!$H$23+F32),0)</f>
        <v>0.347466304366126</v>
      </c>
    </row>
    <row r="33" customFormat="false" ht="15" hidden="false" customHeight="true" outlineLevel="0" collapsed="false">
      <c r="A33" s="3" t="s">
        <v>127</v>
      </c>
      <c r="F33" s="32" t="n">
        <f aca="false">IF(ISNUMBER(F32),F32/FX_EUR,"")</f>
        <v>178524.786137475</v>
      </c>
      <c r="G33" s="32" t="n">
        <f aca="false">IF(ISNUMBER(G32),G32/FX_EUR,"")</f>
        <v>178524.786137475</v>
      </c>
    </row>
    <row r="34" customFormat="false" ht="15" hidden="false" customHeight="true" outlineLevel="0" collapsed="false">
      <c r="A34" s="13" t="s">
        <v>1392</v>
      </c>
      <c r="B34" s="31" t="s">
        <v>1393</v>
      </c>
      <c r="C34" s="33" t="n">
        <f aca="false">Extra_User_Fee</f>
        <v>2500</v>
      </c>
      <c r="D34" s="40" t="n">
        <v>500</v>
      </c>
      <c r="E34" s="33" t="n">
        <f aca="false">C34+D34</f>
        <v>3000</v>
      </c>
      <c r="F34" s="33" t="n">
        <f aca="false">D34*SUMIF('Clients &amp; revenue'!$E$5:$BL$5,5,'Clients &amp; revenue'!$E$44:$BL$44)</f>
        <v>25528877.7294355</v>
      </c>
      <c r="G34" s="33" t="n">
        <f aca="false">D34*SUMIF('Clients &amp; revenue'!$E$5:$BL$5,5,'Clients &amp; revenue'!$E$44:$BL$44)</f>
        <v>25528877.7294355</v>
      </c>
      <c r="H34" s="35" t="n">
        <f aca="false">IFERROR(('P&amp;L annual'!$H$45+G34)/('P&amp;L annual'!$H$23+F34),0)</f>
        <v>0.342521248362554</v>
      </c>
    </row>
    <row r="35" customFormat="false" ht="15" hidden="false" customHeight="true" outlineLevel="0" collapsed="false">
      <c r="A35" s="3" t="s">
        <v>127</v>
      </c>
      <c r="F35" s="32" t="n">
        <f aca="false">IF(ISNUMBER(F34),F34/FX_EUR,"")</f>
        <v>38918.5232102646</v>
      </c>
      <c r="G35" s="32" t="n">
        <f aca="false">IF(ISNUMBER(G34),G34/FX_EUR,"")</f>
        <v>38918.5232102646</v>
      </c>
    </row>
    <row r="36" customFormat="false" ht="23.25" hidden="false" customHeight="true" outlineLevel="0" collapsed="false">
      <c r="A36" s="13" t="s">
        <v>1394</v>
      </c>
      <c r="B36" s="31" t="s">
        <v>1395</v>
      </c>
      <c r="C36" s="43" t="n">
        <f aca="false">0</f>
        <v>0</v>
      </c>
      <c r="D36" s="44" t="n">
        <v>0.5</v>
      </c>
      <c r="E36" s="43" t="n">
        <f aca="false">C36+D36</f>
        <v>0.5</v>
      </c>
      <c r="F36" s="33" t="n">
        <f aca="false">D36*SUMIF('Clients &amp; revenue'!$E$5:$BL$5,5,'Clients &amp; revenue'!$E$17:$BL$17)*Extra_Card_Fee</f>
        <v>0</v>
      </c>
      <c r="G36" s="33" t="n">
        <f aca="false">D36*SUMIF('Clients &amp; revenue'!$E$5:$BL$5,5,'Clients &amp; revenue'!$E$17:$BL$17)*(Extra_Card_Fee-Card_Proc_Fee)</f>
        <v>-28105099.9536912</v>
      </c>
      <c r="H36" s="35" t="n">
        <f aca="false">IFERROR(('P&amp;L annual'!$H$45+G36)/('P&amp;L annual'!$H$23+F36),0)</f>
        <v>0.338798582270665</v>
      </c>
    </row>
    <row r="37" customFormat="false" ht="15" hidden="false" customHeight="true" outlineLevel="0" collapsed="false">
      <c r="A37" s="3" t="s">
        <v>127</v>
      </c>
      <c r="F37" s="32" t="n">
        <f aca="false">IF(ISNUMBER(F36),F36/FX_EUR,"")</f>
        <v>0</v>
      </c>
      <c r="G37" s="32" t="n">
        <f aca="false">IF(ISNUMBER(G36),G36/FX_EUR,"")</f>
        <v>-42845.9486729941</v>
      </c>
    </row>
    <row r="38" customFormat="false" ht="15" hidden="false" customHeight="true" outlineLevel="0" collapsed="false">
      <c r="A38" s="13" t="s">
        <v>1396</v>
      </c>
      <c r="B38" s="31" t="s">
        <v>1397</v>
      </c>
      <c r="C38" s="33" t="n">
        <f aca="false">Extra_Card_Fee</f>
        <v>0</v>
      </c>
      <c r="D38" s="40" t="n">
        <v>500</v>
      </c>
      <c r="E38" s="33" t="n">
        <f aca="false">C38+D38</f>
        <v>500</v>
      </c>
      <c r="F38" s="33" t="n">
        <f aca="false">D38*SUMIF('Clients &amp; revenue'!$E$5:$BL$5,5,'Clients &amp; revenue'!$E$45:$BL$45)</f>
        <v>10680971.876926</v>
      </c>
      <c r="G38" s="33" t="n">
        <f aca="false">D38*SUMIF('Clients &amp; revenue'!$E$5:$BL$5,5,'Clients &amp; revenue'!$E$45:$BL$45)</f>
        <v>10680971.876926</v>
      </c>
      <c r="H38" s="35" t="n">
        <f aca="false">IFERROR(('P&amp;L annual'!$H$45+G38)/('P&amp;L annual'!$H$23+F38),0)</f>
        <v>0.341712396703378</v>
      </c>
    </row>
    <row r="39" customFormat="false" ht="15" hidden="false" customHeight="true" outlineLevel="0" collapsed="false">
      <c r="A39" s="3" t="s">
        <v>127</v>
      </c>
      <c r="F39" s="32" t="n">
        <f aca="false">IF(ISNUMBER(F38),F38/FX_EUR,"")</f>
        <v>16283.0366577779</v>
      </c>
      <c r="G39" s="32" t="n">
        <f aca="false">IF(ISNUMBER(G38),G38/FX_EUR,"")</f>
        <v>16283.0366577779</v>
      </c>
    </row>
    <row r="40" customFormat="false" ht="15" hidden="false" customHeight="true" outlineLevel="0" collapsed="false">
      <c r="A40" s="13" t="s">
        <v>538</v>
      </c>
      <c r="B40" s="31" t="s">
        <v>1398</v>
      </c>
      <c r="C40" s="34" t="n">
        <f aca="false">MM_Fee</f>
        <v>0.0125</v>
      </c>
      <c r="D40" s="47" t="n">
        <v>0.0015</v>
      </c>
      <c r="E40" s="34" t="n">
        <f aca="false">C40+D40</f>
        <v>0.014</v>
      </c>
      <c r="F40" s="33" t="n">
        <f aca="false">D40*SUMIF('Clients &amp; revenue'!$E$5:$BL$5,5,'Clients &amp; revenue'!$E$46:$BL$46)</f>
        <v>455570081.882502</v>
      </c>
      <c r="G40" s="33" t="n">
        <f aca="false">D40*SUMIF('Clients &amp; revenue'!$E$5:$BL$5,5,'Clients &amp; revenue'!$E$46:$BL$46)</f>
        <v>455570081.882502</v>
      </c>
      <c r="H40" s="35" t="n">
        <f aca="false">IFERROR(('P&amp;L annual'!$H$45+G40)/('P&amp;L annual'!$H$23+F40),0)</f>
        <v>0.365115240338738</v>
      </c>
    </row>
    <row r="41" customFormat="false" ht="15" hidden="false" customHeight="true" outlineLevel="0" collapsed="false">
      <c r="A41" s="3" t="s">
        <v>127</v>
      </c>
      <c r="F41" s="32" t="n">
        <f aca="false">IF(ISNUMBER(F40),F40/FX_EUR,"")</f>
        <v>694512.11265754</v>
      </c>
      <c r="G41" s="32" t="n">
        <f aca="false">IF(ISNUMBER(G40),G40/FX_EUR,"")</f>
        <v>694512.11265754</v>
      </c>
    </row>
    <row r="43" customFormat="false" ht="15" hidden="false" customHeight="true" outlineLevel="0" collapsed="false">
      <c r="A43" s="28" t="s">
        <v>1399</v>
      </c>
    </row>
    <row r="44" customFormat="false" ht="15" hidden="false" customHeight="true" outlineLevel="0" collapsed="false">
      <c r="A44" s="3" t="s">
        <v>1400</v>
      </c>
    </row>
    <row r="45" customFormat="false" ht="30" hidden="false" customHeight="true" outlineLevel="0" collapsed="false">
      <c r="A45" s="29" t="s">
        <v>1370</v>
      </c>
      <c r="B45" s="29" t="s">
        <v>1371</v>
      </c>
      <c r="C45" s="29" t="s">
        <v>1372</v>
      </c>
      <c r="D45" s="29" t="s">
        <v>1373</v>
      </c>
      <c r="E45" s="29" t="s">
        <v>1374</v>
      </c>
      <c r="F45" s="29" t="s">
        <v>1375</v>
      </c>
      <c r="G45" s="29" t="s">
        <v>1376</v>
      </c>
      <c r="H45" s="29" t="s">
        <v>1377</v>
      </c>
    </row>
    <row r="46" customFormat="false" ht="15" hidden="false" customHeight="true" outlineLevel="0" collapsed="false">
      <c r="A46" s="13" t="s">
        <v>570</v>
      </c>
      <c r="B46" s="31" t="s">
        <v>1401</v>
      </c>
      <c r="C46" s="33" t="n">
        <f aca="false">Payslip_Fee</f>
        <v>900</v>
      </c>
      <c r="D46" s="40" t="n">
        <v>250</v>
      </c>
      <c r="E46" s="33" t="n">
        <f aca="false">C46+D46</f>
        <v>1150</v>
      </c>
      <c r="F46" s="33" t="n">
        <f aca="false">D46*SUMIF('Clients &amp; revenue'!$E$5:$BL$5,5,'Clients &amp; revenue'!$E$47:$BL$47)</f>
        <v>229064633.250839</v>
      </c>
      <c r="G46" s="33" t="n">
        <f aca="false">D46*SUMIF('Clients &amp; revenue'!$E$5:$BL$5,5,'Clients &amp; revenue'!$E$47:$BL$47)</f>
        <v>229064633.250839</v>
      </c>
      <c r="H46" s="35" t="n">
        <f aca="false">IFERROR(('P&amp;L annual'!$H$45+G46)/('P&amp;L annual'!$H$23+F46),0)</f>
        <v>0.353411962976554</v>
      </c>
    </row>
    <row r="47" customFormat="false" ht="15" hidden="false" customHeight="true" outlineLevel="0" collapsed="false">
      <c r="A47" s="3" t="s">
        <v>127</v>
      </c>
      <c r="F47" s="32" t="n">
        <f aca="false">IF(ISNUMBER(F46),F46/FX_EUR,"")</f>
        <v>349206.782229383</v>
      </c>
      <c r="G47" s="32" t="n">
        <f aca="false">IF(ISNUMBER(G46),G46/FX_EUR,"")</f>
        <v>349206.782229383</v>
      </c>
    </row>
    <row r="48" customFormat="false" ht="15" hidden="false" customHeight="true" outlineLevel="0" collapsed="false">
      <c r="A48" s="13" t="s">
        <v>1402</v>
      </c>
      <c r="B48" s="31" t="s">
        <v>1403</v>
      </c>
      <c r="C48" s="34" t="n">
        <f aca="false">Payroll_Mod_Uptake</f>
        <v>0.4</v>
      </c>
      <c r="D48" s="47" t="n">
        <v>0.1</v>
      </c>
      <c r="E48" s="34" t="n">
        <f aca="false">C48+D48</f>
        <v>0.5</v>
      </c>
      <c r="F48" s="33" t="n">
        <f aca="false">D48/Payroll_Mod_Uptake*SUMIF('Clients &amp; revenue'!$E$5:$BL$5,5,'Clients &amp; revenue'!$E$47:$BL$47)*Payslip_Fee</f>
        <v>206158169.925756</v>
      </c>
      <c r="G48" s="33" t="n">
        <f aca="false">D48/Payroll_Mod_Uptake*SUMIF('Clients &amp; revenue'!$E$5:$BL$5,5,'Clients &amp; revenue'!$E$47:$BL$47)*(Payslip_Fee-Payslip_Cost)</f>
        <v>202722200.426993</v>
      </c>
      <c r="H48" s="35" t="n">
        <f aca="false">IFERROR(('P&amp;L annual'!$H$45+G48)/('P&amp;L annual'!$H$23+F48),0)</f>
        <v>0.351924191838264</v>
      </c>
    </row>
    <row r="49" customFormat="false" ht="15" hidden="false" customHeight="true" outlineLevel="0" collapsed="false">
      <c r="A49" s="3" t="s">
        <v>127</v>
      </c>
      <c r="F49" s="32" t="n">
        <f aca="false">IF(ISNUMBER(F48),F48/FX_EUR,"")</f>
        <v>314286.104006445</v>
      </c>
      <c r="G49" s="32" t="n">
        <f aca="false">IF(ISNUMBER(G48),G48/FX_EUR,"")</f>
        <v>309048.002273004</v>
      </c>
    </row>
    <row r="50" customFormat="false" ht="15" hidden="false" customHeight="true" outlineLevel="0" collapsed="false">
      <c r="A50" s="13" t="s">
        <v>1404</v>
      </c>
      <c r="B50" s="31" t="s">
        <v>1405</v>
      </c>
      <c r="C50" s="33" t="n">
        <f aca="false">Intl_Fixed_Fee</f>
        <v>1500</v>
      </c>
      <c r="D50" s="40" t="n">
        <v>250</v>
      </c>
      <c r="E50" s="33" t="n">
        <f aca="false">C50+D50</f>
        <v>1750</v>
      </c>
      <c r="F50" s="33" t="n">
        <f aca="false">D50*SUMIF('Clients &amp; revenue'!$E$5:$BL$5,5,'Clients &amp; revenue'!$E$48:$BL$48)/Intl_Avg_Payment</f>
        <v>7163951.1361909</v>
      </c>
      <c r="G50" s="33" t="n">
        <f aca="false">D50*SUMIF('Clients &amp; revenue'!$E$5:$BL$5,5,'Clients &amp; revenue'!$E$48:$BL$48)/Intl_Avg_Payment</f>
        <v>7163951.1361909</v>
      </c>
      <c r="H50" s="35" t="n">
        <f aca="false">IFERROR(('P&amp;L annual'!$H$45+G50)/('P&amp;L annual'!$H$23+F50),0)</f>
        <v>0.341520512539619</v>
      </c>
    </row>
    <row r="51" customFormat="false" ht="15" hidden="false" customHeight="true" outlineLevel="0" collapsed="false">
      <c r="A51" s="3" t="s">
        <v>127</v>
      </c>
      <c r="F51" s="32" t="n">
        <f aca="false">IF(ISNUMBER(F50),F50/FX_EUR,"")</f>
        <v>10921.3731024913</v>
      </c>
      <c r="G51" s="32" t="n">
        <f aca="false">IF(ISNUMBER(G50),G50/FX_EUR,"")</f>
        <v>10921.3731024913</v>
      </c>
    </row>
    <row r="52" customFormat="false" ht="15" hidden="false" customHeight="true" outlineLevel="0" collapsed="false">
      <c r="A52" s="13" t="s">
        <v>1406</v>
      </c>
      <c r="B52" s="31" t="s">
        <v>1407</v>
      </c>
      <c r="C52" s="34" t="n">
        <f aca="false">Intl_Fee</f>
        <v>0.038</v>
      </c>
      <c r="D52" s="47" t="n">
        <v>0.005</v>
      </c>
      <c r="E52" s="34" t="n">
        <f aca="false">C52+D52</f>
        <v>0.043</v>
      </c>
      <c r="F52" s="33" t="n">
        <f aca="false">D52*SUMIF('Clients &amp; revenue'!$E$5:$BL$5,5,'Clients &amp; revenue'!$E$48:$BL$48)</f>
        <v>143279022.723818</v>
      </c>
      <c r="G52" s="33" t="n">
        <f aca="false">D52*SUMIF('Clients &amp; revenue'!$E$5:$BL$5,5,'Clients &amp; revenue'!$E$48:$BL$48)</f>
        <v>143279022.723818</v>
      </c>
      <c r="H52" s="35" t="n">
        <f aca="false">IFERROR(('P&amp;L annual'!$H$45+G52)/('P&amp;L annual'!$H$23+F52),0)</f>
        <v>0.348866075182784</v>
      </c>
    </row>
    <row r="53" customFormat="false" ht="15" hidden="false" customHeight="true" outlineLevel="0" collapsed="false">
      <c r="A53" s="3" t="s">
        <v>127</v>
      </c>
      <c r="F53" s="32" t="n">
        <f aca="false">IF(ISNUMBER(F52),F52/FX_EUR,"")</f>
        <v>218427.462049827</v>
      </c>
      <c r="G53" s="32" t="n">
        <f aca="false">IF(ISNUMBER(G52),G52/FX_EUR,"")</f>
        <v>218427.462049827</v>
      </c>
    </row>
    <row r="54" customFormat="false" ht="15" hidden="false" customHeight="true" outlineLevel="0" collapsed="false">
      <c r="A54" s="13" t="s">
        <v>1408</v>
      </c>
      <c r="B54" s="31" t="s">
        <v>1409</v>
      </c>
      <c r="C54" s="34" t="n">
        <f aca="false">Intl_Uptake</f>
        <v>0.2</v>
      </c>
      <c r="D54" s="47" t="n">
        <v>0.1</v>
      </c>
      <c r="E54" s="34" t="n">
        <f aca="false">C54+D54</f>
        <v>0.3</v>
      </c>
      <c r="F54" s="33" t="n">
        <f aca="false">D54/Intl_Uptake*SUMIF('Clients &amp; revenue'!$E$5:$BL$5,5,'Clients &amp; revenue'!$E$48:$BL$48)*(Intl_Fee+Intl_Fixed_Fee/Intl_Avg_Payment)</f>
        <v>565952139.759081</v>
      </c>
      <c r="G54" s="33" t="n">
        <f aca="false">D54/Intl_Uptake*SUMIF('Clients &amp; revenue'!$E$5:$BL$5,5,'Clients &amp; revenue'!$E$48:$BL$48)*(Intl_Fee+Intl_Fixed_Fee/Intl_Avg_Payment-Intl_Cost)</f>
        <v>179098778.404773</v>
      </c>
      <c r="H54" s="35" t="n">
        <f aca="false">IFERROR(('P&amp;L annual'!$H$45+G54)/('P&amp;L annual'!$H$23+F54),0)</f>
        <v>0.340023196788633</v>
      </c>
    </row>
    <row r="55" customFormat="false" ht="15" hidden="false" customHeight="true" outlineLevel="0" collapsed="false">
      <c r="A55" s="3" t="s">
        <v>127</v>
      </c>
      <c r="F55" s="32" t="n">
        <f aca="false">IF(ISNUMBER(F54),F54/FX_EUR,"")</f>
        <v>862788.475096815</v>
      </c>
      <c r="G55" s="32" t="n">
        <f aca="false">IF(ISNUMBER(G54),G54/FX_EUR,"")</f>
        <v>273034.327562283</v>
      </c>
    </row>
    <row r="56" customFormat="false" ht="23.25" hidden="false" customHeight="true" outlineLevel="0" collapsed="false">
      <c r="A56" s="13" t="s">
        <v>1410</v>
      </c>
      <c r="B56" s="31" t="s">
        <v>1411</v>
      </c>
      <c r="C56" s="34" t="n">
        <f aca="false">FX_Fee</f>
        <v>0.03</v>
      </c>
      <c r="D56" s="47" t="n">
        <v>0.005</v>
      </c>
      <c r="E56" s="34" t="n">
        <f aca="false">C56+D56</f>
        <v>0.035</v>
      </c>
      <c r="F56" s="33" t="n">
        <f aca="false">D56*SUMIF('Clients &amp; revenue'!$E$5:$BL$5,5,'Clients &amp; revenue'!$E$37:$BL$37)</f>
        <v>445052202.471858</v>
      </c>
      <c r="G56" s="33" t="n">
        <f aca="false">D56*SUMIF('Clients &amp; revenue'!$E$5:$BL$5,5,'Clients &amp; revenue'!$E$37:$BL$37)</f>
        <v>445052202.471858</v>
      </c>
      <c r="H56" s="35" t="n">
        <f aca="false">IFERROR(('P&amp;L annual'!$H$45+G56)/('P&amp;L annual'!$H$23+F56),0)</f>
        <v>0.364581181091499</v>
      </c>
    </row>
    <row r="57" customFormat="false" ht="15" hidden="false" customHeight="true" outlineLevel="0" collapsed="false">
      <c r="A57" s="3" t="s">
        <v>127</v>
      </c>
      <c r="F57" s="32" t="n">
        <f aca="false">IF(ISNUMBER(F56),F56/FX_EUR,"")</f>
        <v>678477.708861798</v>
      </c>
      <c r="G57" s="32" t="n">
        <f aca="false">IF(ISNUMBER(G56),G56/FX_EUR,"")</f>
        <v>678477.708861798</v>
      </c>
    </row>
    <row r="58" customFormat="false" ht="23.25" hidden="false" customHeight="true" outlineLevel="0" collapsed="false">
      <c r="A58" s="13" t="s">
        <v>1412</v>
      </c>
      <c r="B58" s="31" t="s">
        <v>1413</v>
      </c>
      <c r="C58" s="43" t="n">
        <f aca="false">Foreign_Spend_Factor</f>
        <v>1</v>
      </c>
      <c r="D58" s="44" t="n">
        <v>-0.4</v>
      </c>
      <c r="E58" s="43" t="n">
        <f aca="false">C58+D58</f>
        <v>0.6</v>
      </c>
      <c r="F58" s="33" t="n">
        <f aca="false">D58/Foreign_Spend_Factor*SUMIF('Clients &amp; revenue'!$E$5:$BL$5,5,'Clients &amp; revenue'!$E$37:$BL$37)*(FX_Fee+FX_Fixed_Fee/FX_Avg_Txn+FX_Interchange)</f>
        <v>-1352958695.51445</v>
      </c>
      <c r="G58" s="33" t="n">
        <f aca="false">D58/Foreign_Spend_Factor*SUMIF('Clients &amp; revenue'!$E$5:$BL$5,5,'Clients &amp; revenue'!$E$37:$BL$37)*(FX_Fee+FX_Fixed_Fee/FX_Avg_Txn+FX_Interchange-Scheme_Rate-Scheme_Fixed/FX_Avg_Txn-Fraud_Rate)</f>
        <v>-516260554.867355</v>
      </c>
      <c r="H58" s="35" t="n">
        <f aca="false">IFERROR(('P&amp;L annual'!$H$45+G58)/('P&amp;L annual'!$H$23+F58),0)</f>
        <v>0.33601731721636</v>
      </c>
    </row>
    <row r="59" customFormat="false" ht="15" hidden="false" customHeight="true" outlineLevel="0" collapsed="false">
      <c r="A59" s="3" t="s">
        <v>127</v>
      </c>
      <c r="F59" s="32" t="n">
        <f aca="false">IF(ISNUMBER(F58),F58/FX_EUR,"")</f>
        <v>-2062572.23493986</v>
      </c>
      <c r="G59" s="32" t="n">
        <f aca="false">IF(ISNUMBER(G58),G58/FX_EUR,"")</f>
        <v>-787034.142279685</v>
      </c>
    </row>
    <row r="60" customFormat="false" ht="15" hidden="false" customHeight="true" outlineLevel="0" collapsed="false">
      <c r="A60" s="13" t="s">
        <v>1414</v>
      </c>
      <c r="B60" s="31" t="s">
        <v>1415</v>
      </c>
      <c r="C60" s="34" t="n">
        <f aca="false">PL_Fee</f>
        <v>0.012</v>
      </c>
      <c r="D60" s="47" t="n">
        <v>0.005</v>
      </c>
      <c r="E60" s="34" t="n">
        <f aca="false">C60+D60</f>
        <v>0.017</v>
      </c>
      <c r="F60" s="33" t="n">
        <f aca="false">D60*SUMIF('Clients &amp; revenue'!$E$5:$BL$5,5,'Clients &amp; revenue'!$E$50:$BL$50)*PL_Momo_Share</f>
        <v>208724827.700029</v>
      </c>
      <c r="G60" s="33" t="n">
        <f aca="false">D60*SUMIF('Clients &amp; revenue'!$E$5:$BL$5,5,'Clients &amp; revenue'!$E$50:$BL$50)*PL_Momo_Share</f>
        <v>208724827.700029</v>
      </c>
      <c r="H60" s="35" t="n">
        <f aca="false">IFERROR(('P&amp;L annual'!$H$45+G60)/('P&amp;L annual'!$H$23+F60),0)</f>
        <v>0.352339881248809</v>
      </c>
    </row>
    <row r="61" customFormat="false" ht="15" hidden="false" customHeight="true" outlineLevel="0" collapsed="false">
      <c r="A61" s="3" t="s">
        <v>127</v>
      </c>
      <c r="F61" s="32" t="n">
        <f aca="false">IF(ISNUMBER(F60),F60/FX_EUR,"")</f>
        <v>318198.948559172</v>
      </c>
      <c r="G61" s="32" t="n">
        <f aca="false">IF(ISNUMBER(G60),G60/FX_EUR,"")</f>
        <v>318198.948559172</v>
      </c>
    </row>
    <row r="63" customFormat="false" ht="15" hidden="false" customHeight="true" outlineLevel="0" collapsed="false">
      <c r="A63" s="28" t="s">
        <v>229</v>
      </c>
    </row>
    <row r="64" customFormat="false" ht="15" hidden="false" customHeight="true" outlineLevel="0" collapsed="false">
      <c r="A64" s="3" t="s">
        <v>1416</v>
      </c>
    </row>
    <row r="65" customFormat="false" ht="30" hidden="false" customHeight="true" outlineLevel="0" collapsed="false">
      <c r="A65" s="29" t="s">
        <v>1370</v>
      </c>
      <c r="B65" s="29" t="s">
        <v>1371</v>
      </c>
      <c r="C65" s="29" t="s">
        <v>1372</v>
      </c>
      <c r="D65" s="29" t="s">
        <v>1373</v>
      </c>
      <c r="E65" s="29" t="s">
        <v>1374</v>
      </c>
      <c r="F65" s="29" t="s">
        <v>1375</v>
      </c>
      <c r="G65" s="29" t="s">
        <v>1376</v>
      </c>
      <c r="H65" s="29" t="s">
        <v>1377</v>
      </c>
    </row>
    <row r="66" customFormat="false" ht="23.25" hidden="false" customHeight="true" outlineLevel="0" collapsed="false">
      <c r="A66" s="13" t="s">
        <v>1417</v>
      </c>
      <c r="B66" s="31" t="s">
        <v>1418</v>
      </c>
      <c r="C66" s="34" t="n">
        <f aca="false">Interchange_Share</f>
        <v>0</v>
      </c>
      <c r="D66" s="47" t="n">
        <v>0.003</v>
      </c>
      <c r="E66" s="34" t="n">
        <f aca="false">C66+D66</f>
        <v>0.003</v>
      </c>
      <c r="F66" s="33" t="n">
        <f aca="false">D66*SUMIF('Clients &amp; revenue'!$E$5:$BL$5,5,'Clients &amp; revenue'!$E$36:$BL$36)</f>
        <v>199353431.806314</v>
      </c>
      <c r="G66" s="33" t="n">
        <f aca="false">D66*SUMIF('Clients &amp; revenue'!$E$5:$BL$5,5,'Clients &amp; revenue'!$E$36:$BL$36)</f>
        <v>199353431.806314</v>
      </c>
      <c r="H66" s="35" t="n">
        <f aca="false">IFERROR(('P&amp;L annual'!$H$45+G66)/('P&amp;L annual'!$H$23+F66),0)</f>
        <v>0.351844731260808</v>
      </c>
    </row>
    <row r="67" customFormat="false" ht="15" hidden="false" customHeight="true" outlineLevel="0" collapsed="false">
      <c r="A67" s="3" t="s">
        <v>127</v>
      </c>
      <c r="F67" s="32" t="n">
        <f aca="false">IF(ISNUMBER(F66),F66/FX_EUR,"")</f>
        <v>303912.347617777</v>
      </c>
      <c r="G67" s="32" t="n">
        <f aca="false">IF(ISNUMBER(G66),G66/FX_EUR,"")</f>
        <v>303912.347617777</v>
      </c>
    </row>
    <row r="68" customFormat="false" ht="15" hidden="false" customHeight="true" outlineLevel="0" collapsed="false">
      <c r="A68" s="13" t="s">
        <v>241</v>
      </c>
      <c r="B68" s="31" t="s">
        <v>1419</v>
      </c>
      <c r="C68" s="34" t="n">
        <f aca="false">FX_Interchange</f>
        <v>0</v>
      </c>
      <c r="D68" s="47" t="n">
        <v>0.008</v>
      </c>
      <c r="E68" s="34" t="n">
        <f aca="false">C68+D68</f>
        <v>0.008</v>
      </c>
      <c r="F68" s="33" t="n">
        <f aca="false">D68*SUMIF('Clients &amp; revenue'!$E$5:$BL$5,5,'Clients &amp; revenue'!$E$37:$BL$37)</f>
        <v>712083523.954973</v>
      </c>
      <c r="G68" s="33" t="n">
        <f aca="false">D68*SUMIF('Clients &amp; revenue'!$E$5:$BL$5,5,'Clients &amp; revenue'!$E$37:$BL$37)</f>
        <v>712083523.954973</v>
      </c>
      <c r="H68" s="35" t="n">
        <f aca="false">IFERROR(('P&amp;L annual'!$H$45+G68)/('P&amp;L annual'!$H$23+F68),0)</f>
        <v>0.377867702840338</v>
      </c>
    </row>
    <row r="69" customFormat="false" ht="15" hidden="false" customHeight="true" outlineLevel="0" collapsed="false">
      <c r="A69" s="3" t="s">
        <v>127</v>
      </c>
      <c r="F69" s="32" t="n">
        <f aca="false">IF(ISNUMBER(F68),F68/FX_EUR,"")</f>
        <v>1085564.33417888</v>
      </c>
      <c r="G69" s="32" t="n">
        <f aca="false">IF(ISNUMBER(G68),G68/FX_EUR,"")</f>
        <v>1085564.33417888</v>
      </c>
    </row>
    <row r="70" customFormat="false" ht="23.25" hidden="false" customHeight="true" outlineLevel="0" collapsed="false">
      <c r="A70" s="13" t="s">
        <v>1420</v>
      </c>
      <c r="B70" s="31" t="s">
        <v>1421</v>
      </c>
      <c r="C70" s="34" t="n">
        <f aca="false">Deposit_Share</f>
        <v>0</v>
      </c>
      <c r="D70" s="47" t="n">
        <v>0.0125</v>
      </c>
      <c r="E70" s="34" t="n">
        <f aca="false">C70+D70</f>
        <v>0.0125</v>
      </c>
      <c r="F70" s="33" t="n">
        <f aca="false">D70*SUMIF('Clients &amp; revenue'!$E$5:$BL$5,5,'Clients &amp; revenue'!$E$38:$BL$38)/12</f>
        <v>920955875.956572</v>
      </c>
      <c r="G70" s="33" t="n">
        <f aca="false">D70*SUMIF('Clients &amp; revenue'!$E$5:$BL$5,5,'Clients &amp; revenue'!$E$38:$BL$38)/12</f>
        <v>920955875.956572</v>
      </c>
      <c r="H70" s="35" t="n">
        <f aca="false">IFERROR(('P&amp;L annual'!$H$45+G70)/('P&amp;L annual'!$H$23+F70),0)</f>
        <v>0.387879383507518</v>
      </c>
    </row>
    <row r="71" customFormat="false" ht="15" hidden="false" customHeight="true" outlineLevel="0" collapsed="false">
      <c r="A71" s="3" t="s">
        <v>127</v>
      </c>
      <c r="F71" s="32" t="n">
        <f aca="false">IF(ISNUMBER(F70),F70/FX_EUR,"")</f>
        <v>1403988.18208598</v>
      </c>
      <c r="G71" s="32" t="n">
        <f aca="false">IF(ISNUMBER(G70),G70/FX_EUR,"")</f>
        <v>1403988.18208598</v>
      </c>
    </row>
    <row r="73" customFormat="false" ht="15" hidden="false" customHeight="true" outlineLevel="0" collapsed="false">
      <c r="A73" s="28" t="s">
        <v>1422</v>
      </c>
    </row>
    <row r="74" customFormat="false" ht="15" hidden="false" customHeight="true" outlineLevel="0" collapsed="false">
      <c r="A74" s="3" t="s">
        <v>1423</v>
      </c>
    </row>
    <row r="75" customFormat="false" ht="30" hidden="false" customHeight="true" outlineLevel="0" collapsed="false">
      <c r="A75" s="29" t="s">
        <v>1370</v>
      </c>
      <c r="B75" s="29" t="s">
        <v>1371</v>
      </c>
      <c r="C75" s="29" t="s">
        <v>1372</v>
      </c>
      <c r="D75" s="29" t="s">
        <v>1373</v>
      </c>
      <c r="E75" s="29" t="s">
        <v>1374</v>
      </c>
      <c r="F75" s="29" t="s">
        <v>1375</v>
      </c>
      <c r="G75" s="29" t="s">
        <v>1376</v>
      </c>
      <c r="H75" s="29" t="s">
        <v>1377</v>
      </c>
    </row>
    <row r="76" customFormat="false" ht="23.25" hidden="false" customHeight="true" outlineLevel="0" collapsed="false">
      <c r="A76" s="13" t="s">
        <v>1424</v>
      </c>
      <c r="B76" s="31" t="s">
        <v>1425</v>
      </c>
      <c r="C76" s="33" t="n">
        <f aca="false">IFERROR(SUMIF(Costs!$E$5:$BL$5,5,Costs!$E$15:$BL$15)/SUMIF('Clients &amp; revenue'!$E$5:$BL$5,5,'Clients &amp; revenue'!$E$41:$BL$41),0)</f>
        <v>705.209081182901</v>
      </c>
      <c r="D76" s="40" t="n">
        <v>-200</v>
      </c>
      <c r="E76" s="33" t="n">
        <f aca="false">C76+D76</f>
        <v>505.209081182901</v>
      </c>
      <c r="F76" s="33" t="n">
        <f aca="false">0</f>
        <v>0</v>
      </c>
      <c r="G76" s="33" t="n">
        <f aca="false">-D76*SUMIF('Clients &amp; revenue'!$E$5:$BL$5,5,'Clients &amp; revenue'!$E$41:$BL$41)</f>
        <v>563627789.549552</v>
      </c>
      <c r="H76" s="35" t="n">
        <f aca="false">IFERROR(('P&amp;L annual'!$H$45+G76)/('P&amp;L annual'!$H$23+F76),0)</f>
        <v>0.387870403208</v>
      </c>
    </row>
    <row r="77" customFormat="false" ht="15" hidden="false" customHeight="true" outlineLevel="0" collapsed="false">
      <c r="A77" s="3" t="s">
        <v>127</v>
      </c>
      <c r="F77" s="32" t="n">
        <f aca="false">IF(ISNUMBER(F76),F76/FX_EUR,"")</f>
        <v>0</v>
      </c>
      <c r="G77" s="32" t="n">
        <f aca="false">IF(ISNUMBER(G76),G76/FX_EUR,"")</f>
        <v>859245.026045231</v>
      </c>
    </row>
    <row r="78" customFormat="false" ht="15" hidden="false" customHeight="true" outlineLevel="0" collapsed="false">
      <c r="A78" s="13" t="s">
        <v>1013</v>
      </c>
      <c r="B78" s="31" t="s">
        <v>1426</v>
      </c>
      <c r="C78" s="33" t="n">
        <f aca="false">Supplier_Payout_Cost</f>
        <v>150</v>
      </c>
      <c r="D78" s="40" t="n">
        <v>-150</v>
      </c>
      <c r="E78" s="33" t="n">
        <f aca="false">C78+D78</f>
        <v>0</v>
      </c>
      <c r="F78" s="33" t="n">
        <f aca="false">0</f>
        <v>0</v>
      </c>
      <c r="G78" s="33" t="n">
        <f aca="false">-D78*SUMIF('Clients &amp; revenue'!$E$5:$BL$5,5,'Clients &amp; revenue'!$E$40:$BL$40)*(1-Sup_Wallet_Share)</f>
        <v>299074237.113893</v>
      </c>
      <c r="H78" s="35" t="n">
        <f aca="false">IFERROR(('P&amp;L annual'!$H$45+G78)/('P&amp;L annual'!$H$23+F78),0)</f>
        <v>0.365931239805477</v>
      </c>
    </row>
    <row r="79" customFormat="false" ht="15" hidden="false" customHeight="true" outlineLevel="0" collapsed="false">
      <c r="A79" s="3" t="s">
        <v>127</v>
      </c>
      <c r="F79" s="32" t="n">
        <f aca="false">IF(ISNUMBER(F78),F78/FX_EUR,"")</f>
        <v>0</v>
      </c>
      <c r="G79" s="32" t="n">
        <f aca="false">IF(ISNUMBER(G78),G78/FX_EUR,"")</f>
        <v>455935.735290412</v>
      </c>
    </row>
    <row r="80" customFormat="false" ht="15" hidden="false" customHeight="true" outlineLevel="0" collapsed="false">
      <c r="A80" s="13" t="s">
        <v>1427</v>
      </c>
      <c r="B80" s="31" t="s">
        <v>1428</v>
      </c>
      <c r="C80" s="34" t="n">
        <f aca="false">Intl_Cost</f>
        <v>0.027</v>
      </c>
      <c r="D80" s="47" t="n">
        <v>0.003</v>
      </c>
      <c r="E80" s="34" t="n">
        <f aca="false">C80+D80</f>
        <v>0.03</v>
      </c>
      <c r="F80" s="33" t="n">
        <f aca="false">0</f>
        <v>0</v>
      </c>
      <c r="G80" s="33" t="n">
        <f aca="false">-D80*SUMIF('Clients &amp; revenue'!$E$5:$BL$5,5,'Clients &amp; revenue'!$E$48:$BL$48)</f>
        <v>-85967413.6342908</v>
      </c>
      <c r="H80" s="35" t="n">
        <f aca="false">IFERROR(('P&amp;L annual'!$H$45+G80)/('P&amp;L annual'!$H$23+F80),0)</f>
        <v>0.334000118054255</v>
      </c>
    </row>
    <row r="81" customFormat="false" ht="15" hidden="false" customHeight="true" outlineLevel="0" collapsed="false">
      <c r="A81" s="3" t="s">
        <v>127</v>
      </c>
      <c r="F81" s="32" t="n">
        <f aca="false">IF(ISNUMBER(F80),F80/FX_EUR,"")</f>
        <v>0</v>
      </c>
      <c r="G81" s="32" t="n">
        <f aca="false">IF(ISNUMBER(G80),G80/FX_EUR,"")</f>
        <v>-131056.477229896</v>
      </c>
    </row>
    <row r="82" customFormat="false" ht="15" hidden="false" customHeight="true" outlineLevel="0" collapsed="false">
      <c r="A82" s="13" t="s">
        <v>1429</v>
      </c>
      <c r="B82" s="31" t="s">
        <v>1430</v>
      </c>
      <c r="C82" s="34" t="n">
        <f aca="false">Scheme_Rate</f>
        <v>0.012</v>
      </c>
      <c r="D82" s="47" t="n">
        <v>0.003</v>
      </c>
      <c r="E82" s="34" t="n">
        <f aca="false">C82+D82</f>
        <v>0.015</v>
      </c>
      <c r="F82" s="33" t="n">
        <f aca="false">0</f>
        <v>0</v>
      </c>
      <c r="G82" s="33" t="n">
        <f aca="false">-D82*SUMIF('Clients &amp; revenue'!$E$5:$BL$5,5,'Clients &amp; revenue'!$E$37:$BL$37)</f>
        <v>-267031321.483115</v>
      </c>
      <c r="H82" s="35" t="n">
        <f aca="false">IFERROR(('P&amp;L annual'!$H$45+G82)/('P&amp;L annual'!$H$23+F82),0)</f>
        <v>0.318984667972326</v>
      </c>
    </row>
    <row r="83" customFormat="false" ht="15" hidden="false" customHeight="true" outlineLevel="0" collapsed="false">
      <c r="A83" s="3" t="s">
        <v>127</v>
      </c>
      <c r="F83" s="32" t="n">
        <f aca="false">IF(ISNUMBER(F82),F82/FX_EUR,"")</f>
        <v>0</v>
      </c>
      <c r="G83" s="32" t="n">
        <f aca="false">IF(ISNUMBER(G82),G82/FX_EUR,"")</f>
        <v>-407086.625317079</v>
      </c>
    </row>
    <row r="84" customFormat="false" ht="15" hidden="false" customHeight="true" outlineLevel="0" collapsed="false">
      <c r="A84" s="13" t="s">
        <v>1005</v>
      </c>
      <c r="B84" s="31" t="s">
        <v>1431</v>
      </c>
      <c r="C84" s="33" t="n">
        <f aca="false">Card_Proc_Fee</f>
        <v>600</v>
      </c>
      <c r="D84" s="40" t="n">
        <v>-500</v>
      </c>
      <c r="E84" s="33" t="n">
        <f aca="false">C84+D84</f>
        <v>100</v>
      </c>
      <c r="F84" s="33" t="n">
        <f aca="false">0</f>
        <v>0</v>
      </c>
      <c r="G84" s="33" t="n">
        <f aca="false">-D84*SUMIF('Clients &amp; revenue'!$E$5:$BL$5,5,'Clients &amp; revenue'!$E$35:$BL$35)</f>
        <v>195799177.430046</v>
      </c>
      <c r="H84" s="35" t="n">
        <f aca="false">IFERROR(('P&amp;L annual'!$H$45+G84)/('P&amp;L annual'!$H$23+F84),0)</f>
        <v>0.357366741657753</v>
      </c>
    </row>
    <row r="85" customFormat="false" ht="15" hidden="false" customHeight="true" outlineLevel="0" collapsed="false">
      <c r="A85" s="3" t="s">
        <v>127</v>
      </c>
      <c r="F85" s="32" t="n">
        <f aca="false">IF(ISNUMBER(F84),F84/FX_EUR,"")</f>
        <v>0</v>
      </c>
      <c r="G85" s="32" t="n">
        <f aca="false">IF(ISNUMBER(G84),G84/FX_EUR,"")</f>
        <v>298493.921751039</v>
      </c>
    </row>
    <row r="86" customFormat="false" ht="15" hidden="false" customHeight="true" outlineLevel="0" collapsed="false">
      <c r="A86" s="13" t="s">
        <v>1432</v>
      </c>
      <c r="B86" s="31" t="s">
        <v>1433</v>
      </c>
      <c r="C86" s="33" t="n">
        <f aca="false">Bank_Fee</f>
        <v>1500</v>
      </c>
      <c r="D86" s="40" t="n">
        <v>-1500</v>
      </c>
      <c r="E86" s="33" t="n">
        <f aca="false">C86+D86</f>
        <v>0</v>
      </c>
      <c r="F86" s="33" t="n">
        <f aca="false">0</f>
        <v>0</v>
      </c>
      <c r="G86" s="33" t="n">
        <f aca="false">-D86*SUMIF('Clients &amp; revenue'!$E$5:$BL$5,5,'Clients &amp; revenue'!$E$17:$BL$17)</f>
        <v>140525499.768456</v>
      </c>
      <c r="H86" s="35" t="n">
        <f aca="false">IFERROR(('P&amp;L annual'!$H$45+G86)/('P&amp;L annual'!$H$23+F86),0)</f>
        <v>0.35278295045589</v>
      </c>
    </row>
    <row r="87" customFormat="false" ht="15" hidden="false" customHeight="true" outlineLevel="0" collapsed="false">
      <c r="A87" s="3" t="s">
        <v>127</v>
      </c>
      <c r="F87" s="32" t="n">
        <f aca="false">IF(ISNUMBER(F86),F86/FX_EUR,"")</f>
        <v>0</v>
      </c>
      <c r="G87" s="32" t="n">
        <f aca="false">IF(ISNUMBER(G86),G86/FX_EUR,"")</f>
        <v>214229.74336497</v>
      </c>
    </row>
    <row r="89" customFormat="false" ht="15" hidden="false" customHeight="true" outlineLevel="0" collapsed="false">
      <c r="A89" s="28" t="s">
        <v>1434</v>
      </c>
    </row>
    <row r="90" customFormat="false" ht="15" hidden="false" customHeight="true" outlineLevel="0" collapsed="false">
      <c r="A90" s="3" t="s">
        <v>1435</v>
      </c>
    </row>
    <row r="91" customFormat="false" ht="30" hidden="false" customHeight="true" outlineLevel="0" collapsed="false">
      <c r="A91" s="29" t="s">
        <v>1436</v>
      </c>
      <c r="B91" s="29" t="s">
        <v>1437</v>
      </c>
      <c r="C91" s="29" t="s">
        <v>1438</v>
      </c>
      <c r="D91" s="29" t="s">
        <v>1439</v>
      </c>
      <c r="E91" s="29" t="s">
        <v>1440</v>
      </c>
      <c r="F91" s="29" t="s">
        <v>1441</v>
      </c>
    </row>
    <row r="92" customFormat="false" ht="15" hidden="false" customHeight="true" outlineLevel="0" collapsed="false">
      <c r="A92" s="13" t="s">
        <v>1442</v>
      </c>
      <c r="B92" s="62" t="n">
        <f aca="false">1000000*(0.035-0.025)</f>
        <v>10000</v>
      </c>
      <c r="C92" s="33" t="n">
        <f aca="false">(0.03-0.025)*SUMIF('Clients &amp; revenue'!$E$5:$BL$5,5,'Clients &amp; revenue'!$E$48:$BL$48)</f>
        <v>143279022.723818</v>
      </c>
      <c r="D92" s="33" t="n">
        <f aca="false">(0.035-0.025)*SUMIF('Clients &amp; revenue'!$E$5:$BL$5,5,'Clients &amp; revenue'!$E$48:$BL$48)</f>
        <v>286558045.447636</v>
      </c>
      <c r="E92" s="33" t="n">
        <f aca="false">(0.04-0.025)*SUMIF('Clients &amp; revenue'!$E$5:$BL$5,5,'Clients &amp; revenue'!$E$48:$BL$48)</f>
        <v>429837068.171454</v>
      </c>
      <c r="F92" s="33" t="n">
        <f aca="false">(0.045-0.025)*SUMIF('Clients &amp; revenue'!$E$5:$BL$5,5,'Clients &amp; revenue'!$E$48:$BL$48)</f>
        <v>573116090.895272</v>
      </c>
    </row>
    <row r="93" customFormat="false" ht="15" hidden="false" customHeight="true" outlineLevel="0" collapsed="false">
      <c r="A93" s="13" t="s">
        <v>1443</v>
      </c>
      <c r="B93" s="62" t="n">
        <f aca="false">1000000*(0.035-0.03)</f>
        <v>5000.00000000001</v>
      </c>
      <c r="C93" s="33" t="n">
        <f aca="false">(0.03-0.03)*SUMIF('Clients &amp; revenue'!$E$5:$BL$5,5,'Clients &amp; revenue'!$E$48:$BL$48)</f>
        <v>0</v>
      </c>
      <c r="D93" s="33" t="n">
        <f aca="false">(0.035-0.03)*SUMIF('Clients &amp; revenue'!$E$5:$BL$5,5,'Clients &amp; revenue'!$E$48:$BL$48)</f>
        <v>143279022.723818</v>
      </c>
      <c r="E93" s="33" t="n">
        <f aca="false">(0.04-0.03)*SUMIF('Clients &amp; revenue'!$E$5:$BL$5,5,'Clients &amp; revenue'!$E$48:$BL$48)</f>
        <v>286558045.447636</v>
      </c>
      <c r="F93" s="33" t="n">
        <f aca="false">(0.045-0.03)*SUMIF('Clients &amp; revenue'!$E$5:$BL$5,5,'Clients &amp; revenue'!$E$48:$BL$48)</f>
        <v>429837068.171454</v>
      </c>
    </row>
    <row r="94" customFormat="false" ht="15" hidden="false" customHeight="true" outlineLevel="0" collapsed="false">
      <c r="A94" s="13" t="s">
        <v>1444</v>
      </c>
      <c r="B94" s="62" t="n">
        <f aca="false">1000000*(0.035-0.035)</f>
        <v>0</v>
      </c>
      <c r="C94" s="33" t="n">
        <f aca="false">(0.03-0.035)*SUMIF('Clients &amp; revenue'!$E$5:$BL$5,5,'Clients &amp; revenue'!$E$48:$BL$48)</f>
        <v>-143279022.723818</v>
      </c>
      <c r="D94" s="33" t="n">
        <f aca="false">(0.035-0.035)*SUMIF('Clients &amp; revenue'!$E$5:$BL$5,5,'Clients &amp; revenue'!$E$48:$BL$48)</f>
        <v>0</v>
      </c>
      <c r="E94" s="33" t="n">
        <f aca="false">(0.04-0.035)*SUMIF('Clients &amp; revenue'!$E$5:$BL$5,5,'Clients &amp; revenue'!$E$48:$BL$48)</f>
        <v>143279022.723818</v>
      </c>
      <c r="F94" s="33" t="n">
        <f aca="false">(0.045-0.035)*SUMIF('Clients &amp; revenue'!$E$5:$BL$5,5,'Clients &amp; revenue'!$E$48:$BL$48)</f>
        <v>286558045.447636</v>
      </c>
    </row>
    <row r="95" customFormat="false" ht="15" hidden="false" customHeight="true" outlineLevel="0" collapsed="false">
      <c r="A95" s="13" t="s">
        <v>1445</v>
      </c>
      <c r="B95" s="62" t="n">
        <f aca="false">1000000*(0.035-0.04)</f>
        <v>-5000</v>
      </c>
      <c r="C95" s="33" t="n">
        <f aca="false">(0.03-0.04)*SUMIF('Clients &amp; revenue'!$E$5:$BL$5,5,'Clients &amp; revenue'!$E$48:$BL$48)</f>
        <v>-286558045.447636</v>
      </c>
      <c r="D95" s="33" t="n">
        <f aca="false">(0.035-0.04)*SUMIF('Clients &amp; revenue'!$E$5:$BL$5,5,'Clients &amp; revenue'!$E$48:$BL$48)</f>
        <v>-143279022.723818</v>
      </c>
      <c r="E95" s="33" t="n">
        <f aca="false">(0.04-0.04)*SUMIF('Clients &amp; revenue'!$E$5:$BL$5,5,'Clients &amp; revenue'!$E$48:$BL$48)</f>
        <v>0</v>
      </c>
      <c r="F95" s="33" t="n">
        <f aca="false">(0.045-0.04)*SUMIF('Clients &amp; revenue'!$E$5:$BL$5,5,'Clients &amp; revenue'!$E$48:$BL$48)</f>
        <v>143279022.723818</v>
      </c>
    </row>
    <row r="97" customFormat="false" ht="15" hidden="false" customHeight="true" outlineLevel="0" collapsed="false">
      <c r="A97" s="28" t="s">
        <v>1446</v>
      </c>
    </row>
    <row r="98" customFormat="false" ht="15" hidden="false" customHeight="true" outlineLevel="0" collapsed="false">
      <c r="A98" s="3" t="s">
        <v>1447</v>
      </c>
    </row>
    <row r="99" customFormat="false" ht="30" hidden="false" customHeight="true" outlineLevel="0" collapsed="false">
      <c r="A99" s="29" t="s">
        <v>1436</v>
      </c>
      <c r="B99" s="29" t="s">
        <v>1437</v>
      </c>
      <c r="C99" s="29" t="s">
        <v>1448</v>
      </c>
      <c r="D99" s="29" t="s">
        <v>1449</v>
      </c>
      <c r="E99" s="29" t="s">
        <v>1438</v>
      </c>
      <c r="F99" s="29" t="s">
        <v>1439</v>
      </c>
    </row>
    <row r="100" customFormat="false" ht="15" hidden="false" customHeight="true" outlineLevel="0" collapsed="false">
      <c r="A100" s="13" t="s">
        <v>1450</v>
      </c>
      <c r="B100" s="62" t="n">
        <f aca="false">1000000*(0.025-0.01)</f>
        <v>15000</v>
      </c>
      <c r="C100" s="33" t="n">
        <f aca="false">(0.02-0.01)*SUMIF('Clients &amp; revenue'!$E$5:$BL$5,5,'Clients &amp; revenue'!$E$37:$BL$37)</f>
        <v>890104404.943716</v>
      </c>
      <c r="D100" s="33" t="n">
        <f aca="false">(0.025-0.01)*SUMIF('Clients &amp; revenue'!$E$5:$BL$5,5,'Clients &amp; revenue'!$E$37:$BL$37)</f>
        <v>1335156607.41557</v>
      </c>
      <c r="E100" s="33" t="n">
        <f aca="false">(0.03-0.01)*SUMIF('Clients &amp; revenue'!$E$5:$BL$5,5,'Clients &amp; revenue'!$E$37:$BL$37)</f>
        <v>1780208809.88743</v>
      </c>
      <c r="F100" s="33" t="n">
        <f aca="false">(0.035-0.01)*SUMIF('Clients &amp; revenue'!$E$5:$BL$5,5,'Clients &amp; revenue'!$E$37:$BL$37)</f>
        <v>2225261012.35929</v>
      </c>
    </row>
    <row r="101" customFormat="false" ht="15" hidden="false" customHeight="true" outlineLevel="0" collapsed="false">
      <c r="A101" s="13" t="s">
        <v>1451</v>
      </c>
      <c r="B101" s="62" t="n">
        <f aca="false">1000000*(0.025-0.012)</f>
        <v>13000</v>
      </c>
      <c r="C101" s="33" t="n">
        <f aca="false">(0.02-0.012)*SUMIF('Clients &amp; revenue'!$E$5:$BL$5,5,'Clients &amp; revenue'!$E$37:$BL$37)</f>
        <v>712083523.954973</v>
      </c>
      <c r="D101" s="33" t="n">
        <f aca="false">(0.025-0.012)*SUMIF('Clients &amp; revenue'!$E$5:$BL$5,5,'Clients &amp; revenue'!$E$37:$BL$37)</f>
        <v>1157135726.42683</v>
      </c>
      <c r="E101" s="33" t="n">
        <f aca="false">(0.03-0.012)*SUMIF('Clients &amp; revenue'!$E$5:$BL$5,5,'Clients &amp; revenue'!$E$37:$BL$37)</f>
        <v>1602187928.89869</v>
      </c>
      <c r="F101" s="33" t="n">
        <f aca="false">(0.035-0.012)*SUMIF('Clients &amp; revenue'!$E$5:$BL$5,5,'Clients &amp; revenue'!$E$37:$BL$37)</f>
        <v>2047240131.37055</v>
      </c>
    </row>
    <row r="102" customFormat="false" ht="15" hidden="false" customHeight="true" outlineLevel="0" collapsed="false">
      <c r="A102" s="13" t="s">
        <v>1452</v>
      </c>
      <c r="B102" s="62" t="n">
        <f aca="false">1000000*(0.025-0.015)</f>
        <v>10000</v>
      </c>
      <c r="C102" s="33" t="n">
        <f aca="false">(0.02-0.015)*SUMIF('Clients &amp; revenue'!$E$5:$BL$5,5,'Clients &amp; revenue'!$E$37:$BL$37)</f>
        <v>445052202.471858</v>
      </c>
      <c r="D102" s="33" t="n">
        <f aca="false">(0.025-0.015)*SUMIF('Clients &amp; revenue'!$E$5:$BL$5,5,'Clients &amp; revenue'!$E$37:$BL$37)</f>
        <v>890104404.943716</v>
      </c>
      <c r="E102" s="33" t="n">
        <f aca="false">(0.03-0.015)*SUMIF('Clients &amp; revenue'!$E$5:$BL$5,5,'Clients &amp; revenue'!$E$37:$BL$37)</f>
        <v>1335156607.41557</v>
      </c>
      <c r="F102" s="33" t="n">
        <f aca="false">(0.035-0.015)*SUMIF('Clients &amp; revenue'!$E$5:$BL$5,5,'Clients &amp; revenue'!$E$37:$BL$37)</f>
        <v>1780208809.88743</v>
      </c>
    </row>
    <row r="103" customFormat="false" ht="15" hidden="false" customHeight="true" outlineLevel="0" collapsed="false">
      <c r="A103" s="13" t="s">
        <v>1453</v>
      </c>
      <c r="B103" s="62" t="n">
        <f aca="false">1000000*(0.025-0.02)</f>
        <v>5000</v>
      </c>
      <c r="C103" s="33" t="n">
        <f aca="false">(0.02-0.02)*SUMIF('Clients &amp; revenue'!$E$5:$BL$5,5,'Clients &amp; revenue'!$E$37:$BL$37)</f>
        <v>0</v>
      </c>
      <c r="D103" s="33" t="n">
        <f aca="false">(0.025-0.02)*SUMIF('Clients &amp; revenue'!$E$5:$BL$5,5,'Clients &amp; revenue'!$E$37:$BL$37)</f>
        <v>445052202.471858</v>
      </c>
      <c r="E103" s="33" t="n">
        <f aca="false">(0.03-0.02)*SUMIF('Clients &amp; revenue'!$E$5:$BL$5,5,'Clients &amp; revenue'!$E$37:$BL$37)</f>
        <v>890104404.943716</v>
      </c>
      <c r="F103" s="33" t="n">
        <f aca="false">(0.035-0.02)*SUMIF('Clients &amp; revenue'!$E$5:$BL$5,5,'Clients &amp; revenue'!$E$37:$BL$37)</f>
        <v>1335156607.41557</v>
      </c>
    </row>
    <row r="105" customFormat="false" ht="15" hidden="false" customHeight="true" outlineLevel="0" collapsed="false">
      <c r="A105" s="28" t="s">
        <v>1454</v>
      </c>
    </row>
    <row r="106" customFormat="false" ht="15" hidden="false" customHeight="true" outlineLevel="0" collapsed="false">
      <c r="A106" s="3" t="s">
        <v>1455</v>
      </c>
    </row>
    <row r="107" customFormat="false" ht="30" hidden="false" customHeight="true" outlineLevel="0" collapsed="false">
      <c r="A107" s="29" t="s">
        <v>217</v>
      </c>
      <c r="B107" s="29" t="s">
        <v>1371</v>
      </c>
      <c r="C107" s="29" t="s">
        <v>1456</v>
      </c>
    </row>
    <row r="108" customFormat="false" ht="15" hidden="false" customHeight="true" outlineLevel="0" collapsed="false">
      <c r="A108" s="13" t="s">
        <v>1457</v>
      </c>
      <c r="B108" s="31" t="s">
        <v>1458</v>
      </c>
      <c r="C108" s="41" t="n">
        <v>0.1</v>
      </c>
    </row>
    <row r="109" customFormat="false" ht="15" hidden="false" customHeight="true" outlineLevel="0" collapsed="false">
      <c r="A109" s="13" t="s">
        <v>1459</v>
      </c>
      <c r="B109" s="31" t="s">
        <v>1460</v>
      </c>
      <c r="C109" s="40" t="n">
        <v>150000</v>
      </c>
    </row>
    <row r="110" customFormat="false" ht="15" hidden="false" customHeight="true" outlineLevel="0" collapsed="false">
      <c r="A110" s="13" t="s">
        <v>207</v>
      </c>
      <c r="B110" s="31" t="s">
        <v>1461</v>
      </c>
      <c r="C110" s="41" t="n">
        <v>0.1</v>
      </c>
    </row>
    <row r="111" customFormat="false" ht="15" hidden="false" customHeight="true" outlineLevel="0" collapsed="false">
      <c r="A111" s="13" t="s">
        <v>1462</v>
      </c>
      <c r="B111" s="31" t="s">
        <v>1463</v>
      </c>
      <c r="C111" s="41" t="n">
        <v>0.2</v>
      </c>
    </row>
    <row r="112" customFormat="false" ht="15" hidden="false" customHeight="true" outlineLevel="0" collapsed="false">
      <c r="A112" s="9" t="s">
        <v>1464</v>
      </c>
      <c r="B112" s="31" t="s">
        <v>1465</v>
      </c>
      <c r="C112" s="17" t="n">
        <f aca="false">SUMIF('Clients &amp; revenue'!$E$5:$BL$5,5,'Clients &amp; revenue'!$E$17:$BL$17)*C108*C109*C110</f>
        <v>140525499.768456</v>
      </c>
    </row>
    <row r="113" customFormat="false" ht="15" hidden="false" customHeight="true" outlineLevel="0" collapsed="false">
      <c r="A113" s="3" t="s">
        <v>127</v>
      </c>
      <c r="C113" s="32" t="n">
        <f aca="false">IF(ISNUMBER(C112),C112/FX_EUR,"")</f>
        <v>214229.743364971</v>
      </c>
    </row>
    <row r="114" customFormat="false" ht="15" hidden="false" customHeight="true" outlineLevel="0" collapsed="false">
      <c r="A114" s="9" t="s">
        <v>1466</v>
      </c>
      <c r="B114" s="31" t="s">
        <v>1467</v>
      </c>
      <c r="C114" s="17" t="n">
        <f aca="false">C112*(1-C111)</f>
        <v>112420399.814765</v>
      </c>
    </row>
    <row r="115" customFormat="false" ht="15" hidden="false" customHeight="true" outlineLevel="0" collapsed="false">
      <c r="A115" s="3" t="s">
        <v>127</v>
      </c>
      <c r="C115" s="32" t="n">
        <f aca="false">IF(ISNUMBER(C114),C114/FX_EUR,"")</f>
        <v>171383.794691976</v>
      </c>
    </row>
    <row r="117" customFormat="false" ht="15" hidden="false" customHeight="true" outlineLevel="0" collapsed="false">
      <c r="A117" s="28" t="s">
        <v>1468</v>
      </c>
    </row>
    <row r="118" customFormat="false" ht="15" hidden="false" customHeight="true" outlineLevel="0" collapsed="false">
      <c r="A118" s="3" t="s">
        <v>1469</v>
      </c>
    </row>
    <row r="119" customFormat="false" ht="30" hidden="false" customHeight="true" outlineLevel="0" collapsed="false">
      <c r="A119" s="29" t="s">
        <v>217</v>
      </c>
      <c r="B119" s="29" t="s">
        <v>1371</v>
      </c>
      <c r="C119" s="29" t="s">
        <v>1456</v>
      </c>
    </row>
    <row r="120" customFormat="false" ht="15" hidden="false" customHeight="true" outlineLevel="0" collapsed="false">
      <c r="A120" s="13" t="s">
        <v>1470</v>
      </c>
      <c r="B120" s="31" t="s">
        <v>1471</v>
      </c>
      <c r="C120" s="41" t="n">
        <v>-0.1</v>
      </c>
    </row>
    <row r="121" customFormat="false" ht="15" hidden="false" customHeight="true" outlineLevel="0" collapsed="false">
      <c r="A121" s="13" t="s">
        <v>1472</v>
      </c>
      <c r="B121" s="31" t="s">
        <v>1473</v>
      </c>
      <c r="C121" s="41" t="n">
        <v>0.05</v>
      </c>
    </row>
    <row r="122" customFormat="false" ht="15" hidden="false" customHeight="true" outlineLevel="0" collapsed="false">
      <c r="A122" s="13" t="s">
        <v>1474</v>
      </c>
      <c r="B122" s="31" t="s">
        <v>1475</v>
      </c>
      <c r="C122" s="33" t="n">
        <f aca="false">C120*SUMIF('Clients &amp; revenue'!$E$5:$BL$5,5,'Clients &amp; revenue'!$E$57:$BL$57)</f>
        <v>-166974486.126122</v>
      </c>
    </row>
    <row r="123" customFormat="false" ht="15" hidden="false" customHeight="true" outlineLevel="0" collapsed="false">
      <c r="A123" s="3" t="s">
        <v>127</v>
      </c>
      <c r="C123" s="32" t="n">
        <f aca="false">IF(ISNUMBER(C122),C122/FX_EUR,"")</f>
        <v>-254550.963136489</v>
      </c>
    </row>
    <row r="124" customFormat="false" ht="23.25" hidden="false" customHeight="true" outlineLevel="0" collapsed="false">
      <c r="A124" s="13" t="s">
        <v>1476</v>
      </c>
      <c r="B124" s="31" t="s">
        <v>1477</v>
      </c>
      <c r="C124" s="33" t="n">
        <f aca="false">C121*(('P&amp;L annual'!$H$23-'P&amp;L annual'!$H$22-'P&amp;L annual'!$H$31)+C122)</f>
        <v>251429676.303535</v>
      </c>
    </row>
    <row r="125" customFormat="false" ht="15" hidden="false" customHeight="true" outlineLevel="0" collapsed="false">
      <c r="A125" s="3" t="s">
        <v>127</v>
      </c>
      <c r="C125" s="32" t="n">
        <f aca="false">IF(ISNUMBER(C124),C124/FX_EUR,"")</f>
        <v>383302.070567941</v>
      </c>
    </row>
    <row r="126" customFormat="false" ht="15" hidden="false" customHeight="true" outlineLevel="0" collapsed="false">
      <c r="A126" s="9" t="s">
        <v>1478</v>
      </c>
      <c r="B126" s="31" t="s">
        <v>1479</v>
      </c>
      <c r="C126" s="17" t="n">
        <f aca="false">C122+C124</f>
        <v>84455190.1774135</v>
      </c>
    </row>
    <row r="127" customFormat="false" ht="15" hidden="false" customHeight="true" outlineLevel="0" collapsed="false">
      <c r="A127" s="3" t="s">
        <v>127</v>
      </c>
      <c r="C127" s="32" t="n">
        <f aca="false">IF(ISNUMBER(C126),C126/FX_EUR,"")</f>
        <v>128751.107431453</v>
      </c>
    </row>
    <row r="128" customFormat="false" ht="15" hidden="false" customHeight="true" outlineLevel="0" collapsed="false">
      <c r="A128" s="9" t="s">
        <v>1480</v>
      </c>
      <c r="B128" s="31" t="s">
        <v>1481</v>
      </c>
      <c r="C128" s="20" t="n">
        <f aca="false">IFERROR(-C122/(('P&amp;L annual'!$H$23-'P&amp;L annual'!$H$22-'P&amp;L annual'!$H$31)+C122),0)</f>
        <v>0.0332050075752681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3"/>
    <col collapsed="false" customWidth="true" hidden="false" outlineLevel="0" max="4" min="4" style="1" width="16"/>
    <col collapsed="false" customWidth="true" hidden="false" outlineLevel="0" max="64" min="5" style="1" width="12"/>
  </cols>
  <sheetData>
    <row r="1" customFormat="false" ht="17.25" hidden="false" customHeight="true" outlineLevel="0" collapsed="false">
      <c r="A1" s="8" t="s">
        <v>36</v>
      </c>
    </row>
    <row r="2" customFormat="false" ht="15" hidden="false" customHeight="true" outlineLevel="0" collapsed="false">
      <c r="A2" s="3" t="s">
        <v>1482</v>
      </c>
    </row>
    <row r="3" customFormat="false" ht="15" hidden="false" customHeight="true" outlineLevel="0" collapsed="false">
      <c r="A3" s="9" t="s">
        <v>1131</v>
      </c>
      <c r="D3" s="9" t="s">
        <v>1132</v>
      </c>
      <c r="E3" s="21" t="n">
        <v>1</v>
      </c>
      <c r="F3" s="21" t="n">
        <f aca="false">E3+1</f>
        <v>2</v>
      </c>
      <c r="G3" s="21" t="n">
        <f aca="false">F3+1</f>
        <v>3</v>
      </c>
      <c r="H3" s="21" t="n">
        <f aca="false">G3+1</f>
        <v>4</v>
      </c>
      <c r="I3" s="21" t="n">
        <f aca="false">H3+1</f>
        <v>5</v>
      </c>
      <c r="J3" s="21" t="n">
        <f aca="false">I3+1</f>
        <v>6</v>
      </c>
      <c r="K3" s="21" t="n">
        <f aca="false">J3+1</f>
        <v>7</v>
      </c>
      <c r="L3" s="21" t="n">
        <f aca="false">K3+1</f>
        <v>8</v>
      </c>
      <c r="M3" s="21" t="n">
        <f aca="false">L3+1</f>
        <v>9</v>
      </c>
      <c r="N3" s="21" t="n">
        <f aca="false">M3+1</f>
        <v>10</v>
      </c>
      <c r="O3" s="21" t="n">
        <f aca="false">N3+1</f>
        <v>11</v>
      </c>
      <c r="P3" s="21" t="n">
        <f aca="false">O3+1</f>
        <v>12</v>
      </c>
      <c r="Q3" s="21" t="n">
        <f aca="false">P3+1</f>
        <v>13</v>
      </c>
      <c r="R3" s="21" t="n">
        <f aca="false">Q3+1</f>
        <v>14</v>
      </c>
      <c r="S3" s="21" t="n">
        <f aca="false">R3+1</f>
        <v>15</v>
      </c>
      <c r="T3" s="21" t="n">
        <f aca="false">S3+1</f>
        <v>16</v>
      </c>
      <c r="U3" s="21" t="n">
        <f aca="false">T3+1</f>
        <v>17</v>
      </c>
      <c r="V3" s="21" t="n">
        <f aca="false">U3+1</f>
        <v>18</v>
      </c>
      <c r="W3" s="21" t="n">
        <f aca="false">V3+1</f>
        <v>19</v>
      </c>
      <c r="X3" s="21" t="n">
        <f aca="false">W3+1</f>
        <v>20</v>
      </c>
      <c r="Y3" s="21" t="n">
        <f aca="false">X3+1</f>
        <v>21</v>
      </c>
      <c r="Z3" s="21" t="n">
        <f aca="false">Y3+1</f>
        <v>22</v>
      </c>
      <c r="AA3" s="21" t="n">
        <f aca="false">Z3+1</f>
        <v>23</v>
      </c>
      <c r="AB3" s="21" t="n">
        <f aca="false">AA3+1</f>
        <v>24</v>
      </c>
      <c r="AC3" s="21" t="n">
        <f aca="false">AB3+1</f>
        <v>25</v>
      </c>
      <c r="AD3" s="21" t="n">
        <f aca="false">AC3+1</f>
        <v>26</v>
      </c>
      <c r="AE3" s="21" t="n">
        <f aca="false">AD3+1</f>
        <v>27</v>
      </c>
      <c r="AF3" s="21" t="n">
        <f aca="false">AE3+1</f>
        <v>28</v>
      </c>
      <c r="AG3" s="21" t="n">
        <f aca="false">AF3+1</f>
        <v>29</v>
      </c>
      <c r="AH3" s="21" t="n">
        <f aca="false">AG3+1</f>
        <v>30</v>
      </c>
      <c r="AI3" s="21" t="n">
        <f aca="false">AH3+1</f>
        <v>31</v>
      </c>
      <c r="AJ3" s="21" t="n">
        <f aca="false">AI3+1</f>
        <v>32</v>
      </c>
      <c r="AK3" s="21" t="n">
        <f aca="false">AJ3+1</f>
        <v>33</v>
      </c>
      <c r="AL3" s="21" t="n">
        <f aca="false">AK3+1</f>
        <v>34</v>
      </c>
      <c r="AM3" s="21" t="n">
        <f aca="false">AL3+1</f>
        <v>35</v>
      </c>
      <c r="AN3" s="21" t="n">
        <f aca="false">AM3+1</f>
        <v>36</v>
      </c>
      <c r="AO3" s="21" t="n">
        <f aca="false">AN3+1</f>
        <v>37</v>
      </c>
      <c r="AP3" s="21" t="n">
        <f aca="false">AO3+1</f>
        <v>38</v>
      </c>
      <c r="AQ3" s="21" t="n">
        <f aca="false">AP3+1</f>
        <v>39</v>
      </c>
      <c r="AR3" s="21" t="n">
        <f aca="false">AQ3+1</f>
        <v>40</v>
      </c>
      <c r="AS3" s="21" t="n">
        <f aca="false">AR3+1</f>
        <v>41</v>
      </c>
      <c r="AT3" s="21" t="n">
        <f aca="false">AS3+1</f>
        <v>42</v>
      </c>
      <c r="AU3" s="21" t="n">
        <f aca="false">AT3+1</f>
        <v>43</v>
      </c>
      <c r="AV3" s="21" t="n">
        <f aca="false">AU3+1</f>
        <v>44</v>
      </c>
      <c r="AW3" s="21" t="n">
        <f aca="false">AV3+1</f>
        <v>45</v>
      </c>
      <c r="AX3" s="21" t="n">
        <f aca="false">AW3+1</f>
        <v>46</v>
      </c>
      <c r="AY3" s="21" t="n">
        <f aca="false">AX3+1</f>
        <v>47</v>
      </c>
      <c r="AZ3" s="21" t="n">
        <f aca="false">AY3+1</f>
        <v>48</v>
      </c>
      <c r="BA3" s="21" t="n">
        <f aca="false">AZ3+1</f>
        <v>49</v>
      </c>
      <c r="BB3" s="21" t="n">
        <f aca="false">BA3+1</f>
        <v>50</v>
      </c>
      <c r="BC3" s="21" t="n">
        <f aca="false">BB3+1</f>
        <v>51</v>
      </c>
      <c r="BD3" s="21" t="n">
        <f aca="false">BC3+1</f>
        <v>52</v>
      </c>
      <c r="BE3" s="21" t="n">
        <f aca="false">BD3+1</f>
        <v>53</v>
      </c>
      <c r="BF3" s="21" t="n">
        <f aca="false">BE3+1</f>
        <v>54</v>
      </c>
      <c r="BG3" s="21" t="n">
        <f aca="false">BF3+1</f>
        <v>55</v>
      </c>
      <c r="BH3" s="21" t="n">
        <f aca="false">BG3+1</f>
        <v>56</v>
      </c>
      <c r="BI3" s="21" t="n">
        <f aca="false">BH3+1</f>
        <v>57</v>
      </c>
      <c r="BJ3" s="21" t="n">
        <f aca="false">BI3+1</f>
        <v>58</v>
      </c>
      <c r="BK3" s="21" t="n">
        <f aca="false">BJ3+1</f>
        <v>59</v>
      </c>
      <c r="BL3" s="21" t="n">
        <f aca="false">BK3+1</f>
        <v>60</v>
      </c>
    </row>
    <row r="4" customFormat="false" ht="15" hidden="false" customHeight="true" outlineLevel="0" collapsed="false">
      <c r="A4" s="9" t="s">
        <v>1133</v>
      </c>
      <c r="E4" s="54" t="n">
        <f aca="false">DATE(YEAR(Start_Date),MONTH(Start_Date)+E3-1,1)</f>
        <v>46388</v>
      </c>
      <c r="F4" s="54" t="n">
        <f aca="false">DATE(YEAR(Start_Date),MONTH(Start_Date)+F3-1,1)</f>
        <v>46419</v>
      </c>
      <c r="G4" s="54" t="n">
        <f aca="false">DATE(YEAR(Start_Date),MONTH(Start_Date)+G3-1,1)</f>
        <v>46447</v>
      </c>
      <c r="H4" s="54" t="n">
        <f aca="false">DATE(YEAR(Start_Date),MONTH(Start_Date)+H3-1,1)</f>
        <v>46478</v>
      </c>
      <c r="I4" s="54" t="n">
        <f aca="false">DATE(YEAR(Start_Date),MONTH(Start_Date)+I3-1,1)</f>
        <v>46508</v>
      </c>
      <c r="J4" s="54" t="n">
        <f aca="false">DATE(YEAR(Start_Date),MONTH(Start_Date)+J3-1,1)</f>
        <v>46539</v>
      </c>
      <c r="K4" s="54" t="n">
        <f aca="false">DATE(YEAR(Start_Date),MONTH(Start_Date)+K3-1,1)</f>
        <v>46569</v>
      </c>
      <c r="L4" s="54" t="n">
        <f aca="false">DATE(YEAR(Start_Date),MONTH(Start_Date)+L3-1,1)</f>
        <v>46600</v>
      </c>
      <c r="M4" s="54" t="n">
        <f aca="false">DATE(YEAR(Start_Date),MONTH(Start_Date)+M3-1,1)</f>
        <v>46631</v>
      </c>
      <c r="N4" s="54" t="n">
        <f aca="false">DATE(YEAR(Start_Date),MONTH(Start_Date)+N3-1,1)</f>
        <v>46661</v>
      </c>
      <c r="O4" s="54" t="n">
        <f aca="false">DATE(YEAR(Start_Date),MONTH(Start_Date)+O3-1,1)</f>
        <v>46692</v>
      </c>
      <c r="P4" s="54" t="n">
        <f aca="false">DATE(YEAR(Start_Date),MONTH(Start_Date)+P3-1,1)</f>
        <v>46722</v>
      </c>
      <c r="Q4" s="54" t="n">
        <f aca="false">DATE(YEAR(Start_Date),MONTH(Start_Date)+Q3-1,1)</f>
        <v>46753</v>
      </c>
      <c r="R4" s="54" t="n">
        <f aca="false">DATE(YEAR(Start_Date),MONTH(Start_Date)+R3-1,1)</f>
        <v>46784</v>
      </c>
      <c r="S4" s="54" t="n">
        <f aca="false">DATE(YEAR(Start_Date),MONTH(Start_Date)+S3-1,1)</f>
        <v>46813</v>
      </c>
      <c r="T4" s="54" t="n">
        <f aca="false">DATE(YEAR(Start_Date),MONTH(Start_Date)+T3-1,1)</f>
        <v>46844</v>
      </c>
      <c r="U4" s="54" t="n">
        <f aca="false">DATE(YEAR(Start_Date),MONTH(Start_Date)+U3-1,1)</f>
        <v>46874</v>
      </c>
      <c r="V4" s="54" t="n">
        <f aca="false">DATE(YEAR(Start_Date),MONTH(Start_Date)+V3-1,1)</f>
        <v>46905</v>
      </c>
      <c r="W4" s="54" t="n">
        <f aca="false">DATE(YEAR(Start_Date),MONTH(Start_Date)+W3-1,1)</f>
        <v>46935</v>
      </c>
      <c r="X4" s="54" t="n">
        <f aca="false">DATE(YEAR(Start_Date),MONTH(Start_Date)+X3-1,1)</f>
        <v>46966</v>
      </c>
      <c r="Y4" s="54" t="n">
        <f aca="false">DATE(YEAR(Start_Date),MONTH(Start_Date)+Y3-1,1)</f>
        <v>46997</v>
      </c>
      <c r="Z4" s="54" t="n">
        <f aca="false">DATE(YEAR(Start_Date),MONTH(Start_Date)+Z3-1,1)</f>
        <v>47027</v>
      </c>
      <c r="AA4" s="54" t="n">
        <f aca="false">DATE(YEAR(Start_Date),MONTH(Start_Date)+AA3-1,1)</f>
        <v>47058</v>
      </c>
      <c r="AB4" s="54" t="n">
        <f aca="false">DATE(YEAR(Start_Date),MONTH(Start_Date)+AB3-1,1)</f>
        <v>47088</v>
      </c>
      <c r="AC4" s="54" t="n">
        <f aca="false">DATE(YEAR(Start_Date),MONTH(Start_Date)+AC3-1,1)</f>
        <v>47119</v>
      </c>
      <c r="AD4" s="54" t="n">
        <f aca="false">DATE(YEAR(Start_Date),MONTH(Start_Date)+AD3-1,1)</f>
        <v>47150</v>
      </c>
      <c r="AE4" s="54" t="n">
        <f aca="false">DATE(YEAR(Start_Date),MONTH(Start_Date)+AE3-1,1)</f>
        <v>47178</v>
      </c>
      <c r="AF4" s="54" t="n">
        <f aca="false">DATE(YEAR(Start_Date),MONTH(Start_Date)+AF3-1,1)</f>
        <v>47209</v>
      </c>
      <c r="AG4" s="54" t="n">
        <f aca="false">DATE(YEAR(Start_Date),MONTH(Start_Date)+AG3-1,1)</f>
        <v>47239</v>
      </c>
      <c r="AH4" s="54" t="n">
        <f aca="false">DATE(YEAR(Start_Date),MONTH(Start_Date)+AH3-1,1)</f>
        <v>47270</v>
      </c>
      <c r="AI4" s="54" t="n">
        <f aca="false">DATE(YEAR(Start_Date),MONTH(Start_Date)+AI3-1,1)</f>
        <v>47300</v>
      </c>
      <c r="AJ4" s="54" t="n">
        <f aca="false">DATE(YEAR(Start_Date),MONTH(Start_Date)+AJ3-1,1)</f>
        <v>47331</v>
      </c>
      <c r="AK4" s="54" t="n">
        <f aca="false">DATE(YEAR(Start_Date),MONTH(Start_Date)+AK3-1,1)</f>
        <v>47362</v>
      </c>
      <c r="AL4" s="54" t="n">
        <f aca="false">DATE(YEAR(Start_Date),MONTH(Start_Date)+AL3-1,1)</f>
        <v>47392</v>
      </c>
      <c r="AM4" s="54" t="n">
        <f aca="false">DATE(YEAR(Start_Date),MONTH(Start_Date)+AM3-1,1)</f>
        <v>47423</v>
      </c>
      <c r="AN4" s="54" t="n">
        <f aca="false">DATE(YEAR(Start_Date),MONTH(Start_Date)+AN3-1,1)</f>
        <v>47453</v>
      </c>
      <c r="AO4" s="54" t="n">
        <f aca="false">DATE(YEAR(Start_Date),MONTH(Start_Date)+AO3-1,1)</f>
        <v>47484</v>
      </c>
      <c r="AP4" s="54" t="n">
        <f aca="false">DATE(YEAR(Start_Date),MONTH(Start_Date)+AP3-1,1)</f>
        <v>47515</v>
      </c>
      <c r="AQ4" s="54" t="n">
        <f aca="false">DATE(YEAR(Start_Date),MONTH(Start_Date)+AQ3-1,1)</f>
        <v>47543</v>
      </c>
      <c r="AR4" s="54" t="n">
        <f aca="false">DATE(YEAR(Start_Date),MONTH(Start_Date)+AR3-1,1)</f>
        <v>47574</v>
      </c>
      <c r="AS4" s="54" t="n">
        <f aca="false">DATE(YEAR(Start_Date),MONTH(Start_Date)+AS3-1,1)</f>
        <v>47604</v>
      </c>
      <c r="AT4" s="54" t="n">
        <f aca="false">DATE(YEAR(Start_Date),MONTH(Start_Date)+AT3-1,1)</f>
        <v>47635</v>
      </c>
      <c r="AU4" s="54" t="n">
        <f aca="false">DATE(YEAR(Start_Date),MONTH(Start_Date)+AU3-1,1)</f>
        <v>47665</v>
      </c>
      <c r="AV4" s="54" t="n">
        <f aca="false">DATE(YEAR(Start_Date),MONTH(Start_Date)+AV3-1,1)</f>
        <v>47696</v>
      </c>
      <c r="AW4" s="54" t="n">
        <f aca="false">DATE(YEAR(Start_Date),MONTH(Start_Date)+AW3-1,1)</f>
        <v>47727</v>
      </c>
      <c r="AX4" s="54" t="n">
        <f aca="false">DATE(YEAR(Start_Date),MONTH(Start_Date)+AX3-1,1)</f>
        <v>47757</v>
      </c>
      <c r="AY4" s="54" t="n">
        <f aca="false">DATE(YEAR(Start_Date),MONTH(Start_Date)+AY3-1,1)</f>
        <v>47788</v>
      </c>
      <c r="AZ4" s="54" t="n">
        <f aca="false">DATE(YEAR(Start_Date),MONTH(Start_Date)+AZ3-1,1)</f>
        <v>47818</v>
      </c>
      <c r="BA4" s="54" t="n">
        <f aca="false">DATE(YEAR(Start_Date),MONTH(Start_Date)+BA3-1,1)</f>
        <v>47849</v>
      </c>
      <c r="BB4" s="54" t="n">
        <f aca="false">DATE(YEAR(Start_Date),MONTH(Start_Date)+BB3-1,1)</f>
        <v>47880</v>
      </c>
      <c r="BC4" s="54" t="n">
        <f aca="false">DATE(YEAR(Start_Date),MONTH(Start_Date)+BC3-1,1)</f>
        <v>47908</v>
      </c>
      <c r="BD4" s="54" t="n">
        <f aca="false">DATE(YEAR(Start_Date),MONTH(Start_Date)+BD3-1,1)</f>
        <v>47939</v>
      </c>
      <c r="BE4" s="54" t="n">
        <f aca="false">DATE(YEAR(Start_Date),MONTH(Start_Date)+BE3-1,1)</f>
        <v>47969</v>
      </c>
      <c r="BF4" s="54" t="n">
        <f aca="false">DATE(YEAR(Start_Date),MONTH(Start_Date)+BF3-1,1)</f>
        <v>48000</v>
      </c>
      <c r="BG4" s="54" t="n">
        <f aca="false">DATE(YEAR(Start_Date),MONTH(Start_Date)+BG3-1,1)</f>
        <v>48030</v>
      </c>
      <c r="BH4" s="54" t="n">
        <f aca="false">DATE(YEAR(Start_Date),MONTH(Start_Date)+BH3-1,1)</f>
        <v>48061</v>
      </c>
      <c r="BI4" s="54" t="n">
        <f aca="false">DATE(YEAR(Start_Date),MONTH(Start_Date)+BI3-1,1)</f>
        <v>48092</v>
      </c>
      <c r="BJ4" s="54" t="n">
        <f aca="false">DATE(YEAR(Start_Date),MONTH(Start_Date)+BJ3-1,1)</f>
        <v>48122</v>
      </c>
      <c r="BK4" s="54" t="n">
        <f aca="false">DATE(YEAR(Start_Date),MONTH(Start_Date)+BK3-1,1)</f>
        <v>48153</v>
      </c>
      <c r="BL4" s="54" t="n">
        <f aca="false">DATE(YEAR(Start_Date),MONTH(Start_Date)+BL3-1,1)</f>
        <v>48183</v>
      </c>
    </row>
    <row r="5" customFormat="false" ht="15" hidden="false" customHeight="true" outlineLevel="0" collapsed="false">
      <c r="A5" s="9" t="s">
        <v>87</v>
      </c>
      <c r="E5" s="55" t="n">
        <f aca="false">INT((E3-1)/12)+1</f>
        <v>1</v>
      </c>
      <c r="F5" s="55" t="n">
        <f aca="false">INT((F3-1)/12)+1</f>
        <v>1</v>
      </c>
      <c r="G5" s="55" t="n">
        <f aca="false">INT((G3-1)/12)+1</f>
        <v>1</v>
      </c>
      <c r="H5" s="55" t="n">
        <f aca="false">INT((H3-1)/12)+1</f>
        <v>1</v>
      </c>
      <c r="I5" s="55" t="n">
        <f aca="false">INT((I3-1)/12)+1</f>
        <v>1</v>
      </c>
      <c r="J5" s="55" t="n">
        <f aca="false">INT((J3-1)/12)+1</f>
        <v>1</v>
      </c>
      <c r="K5" s="55" t="n">
        <f aca="false">INT((K3-1)/12)+1</f>
        <v>1</v>
      </c>
      <c r="L5" s="55" t="n">
        <f aca="false">INT((L3-1)/12)+1</f>
        <v>1</v>
      </c>
      <c r="M5" s="55" t="n">
        <f aca="false">INT((M3-1)/12)+1</f>
        <v>1</v>
      </c>
      <c r="N5" s="55" t="n">
        <f aca="false">INT((N3-1)/12)+1</f>
        <v>1</v>
      </c>
      <c r="O5" s="55" t="n">
        <f aca="false">INT((O3-1)/12)+1</f>
        <v>1</v>
      </c>
      <c r="P5" s="55" t="n">
        <f aca="false">INT((P3-1)/12)+1</f>
        <v>1</v>
      </c>
      <c r="Q5" s="55" t="n">
        <f aca="false">INT((Q3-1)/12)+1</f>
        <v>2</v>
      </c>
      <c r="R5" s="55" t="n">
        <f aca="false">INT((R3-1)/12)+1</f>
        <v>2</v>
      </c>
      <c r="S5" s="55" t="n">
        <f aca="false">INT((S3-1)/12)+1</f>
        <v>2</v>
      </c>
      <c r="T5" s="55" t="n">
        <f aca="false">INT((T3-1)/12)+1</f>
        <v>2</v>
      </c>
      <c r="U5" s="55" t="n">
        <f aca="false">INT((U3-1)/12)+1</f>
        <v>2</v>
      </c>
      <c r="V5" s="55" t="n">
        <f aca="false">INT((V3-1)/12)+1</f>
        <v>2</v>
      </c>
      <c r="W5" s="55" t="n">
        <f aca="false">INT((W3-1)/12)+1</f>
        <v>2</v>
      </c>
      <c r="X5" s="55" t="n">
        <f aca="false">INT((X3-1)/12)+1</f>
        <v>2</v>
      </c>
      <c r="Y5" s="55" t="n">
        <f aca="false">INT((Y3-1)/12)+1</f>
        <v>2</v>
      </c>
      <c r="Z5" s="55" t="n">
        <f aca="false">INT((Z3-1)/12)+1</f>
        <v>2</v>
      </c>
      <c r="AA5" s="55" t="n">
        <f aca="false">INT((AA3-1)/12)+1</f>
        <v>2</v>
      </c>
      <c r="AB5" s="55" t="n">
        <f aca="false">INT((AB3-1)/12)+1</f>
        <v>2</v>
      </c>
      <c r="AC5" s="55" t="n">
        <f aca="false">INT((AC3-1)/12)+1</f>
        <v>3</v>
      </c>
      <c r="AD5" s="55" t="n">
        <f aca="false">INT((AD3-1)/12)+1</f>
        <v>3</v>
      </c>
      <c r="AE5" s="55" t="n">
        <f aca="false">INT((AE3-1)/12)+1</f>
        <v>3</v>
      </c>
      <c r="AF5" s="55" t="n">
        <f aca="false">INT((AF3-1)/12)+1</f>
        <v>3</v>
      </c>
      <c r="AG5" s="55" t="n">
        <f aca="false">INT((AG3-1)/12)+1</f>
        <v>3</v>
      </c>
      <c r="AH5" s="55" t="n">
        <f aca="false">INT((AH3-1)/12)+1</f>
        <v>3</v>
      </c>
      <c r="AI5" s="55" t="n">
        <f aca="false">INT((AI3-1)/12)+1</f>
        <v>3</v>
      </c>
      <c r="AJ5" s="55" t="n">
        <f aca="false">INT((AJ3-1)/12)+1</f>
        <v>3</v>
      </c>
      <c r="AK5" s="55" t="n">
        <f aca="false">INT((AK3-1)/12)+1</f>
        <v>3</v>
      </c>
      <c r="AL5" s="55" t="n">
        <f aca="false">INT((AL3-1)/12)+1</f>
        <v>3</v>
      </c>
      <c r="AM5" s="55" t="n">
        <f aca="false">INT((AM3-1)/12)+1</f>
        <v>3</v>
      </c>
      <c r="AN5" s="55" t="n">
        <f aca="false">INT((AN3-1)/12)+1</f>
        <v>3</v>
      </c>
      <c r="AO5" s="55" t="n">
        <f aca="false">INT((AO3-1)/12)+1</f>
        <v>4</v>
      </c>
      <c r="AP5" s="55" t="n">
        <f aca="false">INT((AP3-1)/12)+1</f>
        <v>4</v>
      </c>
      <c r="AQ5" s="55" t="n">
        <f aca="false">INT((AQ3-1)/12)+1</f>
        <v>4</v>
      </c>
      <c r="AR5" s="55" t="n">
        <f aca="false">INT((AR3-1)/12)+1</f>
        <v>4</v>
      </c>
      <c r="AS5" s="55" t="n">
        <f aca="false">INT((AS3-1)/12)+1</f>
        <v>4</v>
      </c>
      <c r="AT5" s="55" t="n">
        <f aca="false">INT((AT3-1)/12)+1</f>
        <v>4</v>
      </c>
      <c r="AU5" s="55" t="n">
        <f aca="false">INT((AU3-1)/12)+1</f>
        <v>4</v>
      </c>
      <c r="AV5" s="55" t="n">
        <f aca="false">INT((AV3-1)/12)+1</f>
        <v>4</v>
      </c>
      <c r="AW5" s="55" t="n">
        <f aca="false">INT((AW3-1)/12)+1</f>
        <v>4</v>
      </c>
      <c r="AX5" s="55" t="n">
        <f aca="false">INT((AX3-1)/12)+1</f>
        <v>4</v>
      </c>
      <c r="AY5" s="55" t="n">
        <f aca="false">INT((AY3-1)/12)+1</f>
        <v>4</v>
      </c>
      <c r="AZ5" s="55" t="n">
        <f aca="false">INT((AZ3-1)/12)+1</f>
        <v>4</v>
      </c>
      <c r="BA5" s="55" t="n">
        <f aca="false">INT((BA3-1)/12)+1</f>
        <v>5</v>
      </c>
      <c r="BB5" s="55" t="n">
        <f aca="false">INT((BB3-1)/12)+1</f>
        <v>5</v>
      </c>
      <c r="BC5" s="55" t="n">
        <f aca="false">INT((BC3-1)/12)+1</f>
        <v>5</v>
      </c>
      <c r="BD5" s="55" t="n">
        <f aca="false">INT((BD3-1)/12)+1</f>
        <v>5</v>
      </c>
      <c r="BE5" s="55" t="n">
        <f aca="false">INT((BE3-1)/12)+1</f>
        <v>5</v>
      </c>
      <c r="BF5" s="55" t="n">
        <f aca="false">INT((BF3-1)/12)+1</f>
        <v>5</v>
      </c>
      <c r="BG5" s="55" t="n">
        <f aca="false">INT((BG3-1)/12)+1</f>
        <v>5</v>
      </c>
      <c r="BH5" s="55" t="n">
        <f aca="false">INT((BH3-1)/12)+1</f>
        <v>5</v>
      </c>
      <c r="BI5" s="55" t="n">
        <f aca="false">INT((BI3-1)/12)+1</f>
        <v>5</v>
      </c>
      <c r="BJ5" s="55" t="n">
        <f aca="false">INT((BJ3-1)/12)+1</f>
        <v>5</v>
      </c>
      <c r="BK5" s="55" t="n">
        <f aca="false">INT((BK3-1)/12)+1</f>
        <v>5</v>
      </c>
      <c r="BL5" s="55" t="n">
        <f aca="false">INT((BL3-1)/12)+1</f>
        <v>5</v>
      </c>
    </row>
    <row r="8" customFormat="false" ht="15" hidden="false" customHeight="true" outlineLevel="0" collapsed="false">
      <c r="A8" s="11" t="s">
        <v>1483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100</v>
      </c>
      <c r="B9" s="15" t="s">
        <v>77</v>
      </c>
      <c r="D9" s="56" t="n">
        <f aca="false">SUM(E9:BL9)</f>
        <v>4452885167.11265</v>
      </c>
      <c r="E9" s="24" t="n">
        <f aca="false">'P&amp;L monthly'!E48</f>
        <v>-32190939.27</v>
      </c>
      <c r="F9" s="24" t="n">
        <f aca="false">'P&amp;L monthly'!F48</f>
        <v>-40596168.9</v>
      </c>
      <c r="G9" s="24" t="n">
        <f aca="false">'P&amp;L monthly'!G48</f>
        <v>-55296168.9</v>
      </c>
      <c r="H9" s="24" t="n">
        <f aca="false">'P&amp;L monthly'!H48</f>
        <v>-37105998.3</v>
      </c>
      <c r="I9" s="24" t="n">
        <f aca="false">'P&amp;L monthly'!I48</f>
        <v>-35591503.7216667</v>
      </c>
      <c r="J9" s="24" t="n">
        <f aca="false">'P&amp;L monthly'!J48</f>
        <v>-33099950.1243333</v>
      </c>
      <c r="K9" s="24" t="n">
        <f aca="false">'P&amp;L monthly'!K48</f>
        <v>-30957691.043655</v>
      </c>
      <c r="L9" s="24" t="n">
        <f aca="false">'P&amp;L monthly'!L48</f>
        <v>-28819006.249316</v>
      </c>
      <c r="M9" s="24" t="n">
        <f aca="false">'P&amp;L monthly'!M48</f>
        <v>-26682495.5249901</v>
      </c>
      <c r="N9" s="24" t="n">
        <f aca="false">'P&amp;L monthly'!N48</f>
        <v>-24546697.4302898</v>
      </c>
      <c r="O9" s="24" t="n">
        <f aca="false">'P&amp;L monthly'!O48</f>
        <v>-22180292.4672198</v>
      </c>
      <c r="P9" s="24" t="n">
        <f aca="false">'P&amp;L monthly'!P48</f>
        <v>-19745416.2484548</v>
      </c>
      <c r="Q9" s="24" t="n">
        <f aca="false">'P&amp;L monthly'!Q48</f>
        <v>-31833521.7097002</v>
      </c>
      <c r="R9" s="24" t="n">
        <f aca="false">'P&amp;L monthly'!R48</f>
        <v>-27364855.7625944</v>
      </c>
      <c r="S9" s="24" t="n">
        <f aca="false">'P&amp;L monthly'!S48</f>
        <v>-28913044.9563859</v>
      </c>
      <c r="T9" s="24" t="n">
        <f aca="false">'P&amp;L monthly'!T48</f>
        <v>-46798409.3141634</v>
      </c>
      <c r="U9" s="24" t="n">
        <f aca="false">'P&amp;L monthly'!U48</f>
        <v>-16946462.1747956</v>
      </c>
      <c r="V9" s="24" t="n">
        <f aca="false">'P&amp;L monthly'!V48</f>
        <v>-20425513.946346</v>
      </c>
      <c r="W9" s="24" t="n">
        <f aca="false">'P&amp;L monthly'!W48</f>
        <v>-16447522.5522454</v>
      </c>
      <c r="X9" s="24" t="n">
        <f aca="false">'P&amp;L monthly'!X48</f>
        <v>-10962409.6881346</v>
      </c>
      <c r="Y9" s="24" t="n">
        <f aca="false">'P&amp;L monthly'!Y48</f>
        <v>-4356358.21741258</v>
      </c>
      <c r="Z9" s="24" t="n">
        <f aca="false">'P&amp;L monthly'!Z48</f>
        <v>3696281.74066991</v>
      </c>
      <c r="AA9" s="24" t="n">
        <f aca="false">'P&amp;L monthly'!AA48</f>
        <v>10560678.2862557</v>
      </c>
      <c r="AB9" s="24" t="n">
        <f aca="false">'P&amp;L monthly'!AB48</f>
        <v>11163268.89554</v>
      </c>
      <c r="AC9" s="24" t="n">
        <f aca="false">'P&amp;L monthly'!AC48</f>
        <v>10148447.5696059</v>
      </c>
      <c r="AD9" s="24" t="n">
        <f aca="false">'P&amp;L monthly'!AD48</f>
        <v>18811134.846833</v>
      </c>
      <c r="AE9" s="24" t="n">
        <f aca="false">'P&amp;L monthly'!AE48</f>
        <v>28996756.6845172</v>
      </c>
      <c r="AF9" s="24" t="n">
        <f aca="false">'P&amp;L monthly'!AF48</f>
        <v>28258388.1342576</v>
      </c>
      <c r="AG9" s="24" t="n">
        <f aca="false">'P&amp;L monthly'!AG48</f>
        <v>31785692.107809</v>
      </c>
      <c r="AH9" s="24" t="n">
        <f aca="false">'P&amp;L monthly'!AH48</f>
        <v>50511544.4164168</v>
      </c>
      <c r="AI9" s="24" t="n">
        <f aca="false">'P&amp;L monthly'!AI48</f>
        <v>59708724.9005192</v>
      </c>
      <c r="AJ9" s="24" t="n">
        <f aca="false">'P&amp;L monthly'!AJ48</f>
        <v>70246393.1624293</v>
      </c>
      <c r="AK9" s="24" t="n">
        <f aca="false">'P&amp;L monthly'!AK48</f>
        <v>79471096.170526</v>
      </c>
      <c r="AL9" s="24" t="n">
        <f aca="false">'P&amp;L monthly'!AL48</f>
        <v>86780264.329661</v>
      </c>
      <c r="AM9" s="24" t="n">
        <f aca="false">'P&amp;L monthly'!AM48</f>
        <v>97593543.3924476</v>
      </c>
      <c r="AN9" s="24" t="n">
        <f aca="false">'P&amp;L monthly'!AN48</f>
        <v>76222854.1246</v>
      </c>
      <c r="AO9" s="24" t="n">
        <f aca="false">'P&amp;L monthly'!AO48</f>
        <v>78216137.1846367</v>
      </c>
      <c r="AP9" s="24" t="n">
        <f aca="false">'P&amp;L monthly'!AP48</f>
        <v>87682328.1824734</v>
      </c>
      <c r="AQ9" s="24" t="n">
        <f aca="false">'P&amp;L monthly'!AQ48</f>
        <v>94657497.8324606</v>
      </c>
      <c r="AR9" s="24" t="n">
        <f aca="false">'P&amp;L monthly'!AR48</f>
        <v>96017101.4068547</v>
      </c>
      <c r="AS9" s="24" t="n">
        <f aca="false">'P&amp;L monthly'!AS48</f>
        <v>111332846.484184</v>
      </c>
      <c r="AT9" s="24" t="n">
        <f aca="false">'P&amp;L monthly'!AT48</f>
        <v>120208187.567661</v>
      </c>
      <c r="AU9" s="24" t="n">
        <f aca="false">'P&amp;L monthly'!AU48</f>
        <v>127557239.0447</v>
      </c>
      <c r="AV9" s="24" t="n">
        <f aca="false">'P&amp;L monthly'!AV48</f>
        <v>138331109.379326</v>
      </c>
      <c r="AW9" s="24" t="n">
        <f aca="false">'P&amp;L monthly'!AW48</f>
        <v>145793605.380862</v>
      </c>
      <c r="AX9" s="24" t="n">
        <f aca="false">'P&amp;L monthly'!AX48</f>
        <v>156894573.920784</v>
      </c>
      <c r="AY9" s="24" t="n">
        <f aca="false">'P&amp;L monthly'!AY48</f>
        <v>167244838.753611</v>
      </c>
      <c r="AZ9" s="24" t="n">
        <f aca="false">'P&amp;L monthly'!AZ48</f>
        <v>176397969.346611</v>
      </c>
      <c r="BA9" s="24" t="n">
        <f aca="false">'P&amp;L monthly'!BA48</f>
        <v>178281550.191844</v>
      </c>
      <c r="BB9" s="24" t="n">
        <f aca="false">'P&amp;L monthly'!BB48</f>
        <v>188622571.967487</v>
      </c>
      <c r="BC9" s="24" t="n">
        <f aca="false">'P&amp;L monthly'!BC48</f>
        <v>201085510.350751</v>
      </c>
      <c r="BD9" s="24" t="n">
        <f aca="false">'P&amp;L monthly'!BD48</f>
        <v>207565757.25151</v>
      </c>
      <c r="BE9" s="24" t="n">
        <f aca="false">'P&amp;L monthly'!BE48</f>
        <v>223664088.742062</v>
      </c>
      <c r="BF9" s="24" t="n">
        <f aca="false">'P&amp;L monthly'!BF48</f>
        <v>234243037.162641</v>
      </c>
      <c r="BG9" s="24" t="n">
        <f aca="false">'P&amp;L monthly'!BG48</f>
        <v>246145902.296565</v>
      </c>
      <c r="BH9" s="24" t="n">
        <f aca="false">'P&amp;L monthly'!BH48</f>
        <v>254922556.089194</v>
      </c>
      <c r="BI9" s="24" t="n">
        <f aca="false">'P&amp;L monthly'!BI48</f>
        <v>268061416.137526</v>
      </c>
      <c r="BJ9" s="24" t="n">
        <f aca="false">'P&amp;L monthly'!BJ48</f>
        <v>279685518.739201</v>
      </c>
      <c r="BK9" s="24" t="n">
        <f aca="false">'P&amp;L monthly'!BK48</f>
        <v>292412502.38596</v>
      </c>
      <c r="BL9" s="24" t="n">
        <f aca="false">'P&amp;L monthly'!BL48</f>
        <v>304766679.053364</v>
      </c>
    </row>
    <row r="11" customFormat="false" ht="15" hidden="false" customHeight="true" outlineLevel="0" collapsed="false">
      <c r="A11" s="11" t="s">
        <v>1484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row>
    <row r="12" customFormat="false" ht="15" hidden="false" customHeight="true" outlineLevel="0" collapsed="false">
      <c r="A12" s="13" t="s">
        <v>1485</v>
      </c>
      <c r="B12" s="15" t="s">
        <v>77</v>
      </c>
      <c r="D12" s="56" t="n">
        <f aca="false">SUM(E12:BL12)</f>
        <v>-30000000</v>
      </c>
      <c r="E12" s="33" t="n">
        <f aca="false">-IF(E$3=Collateral_Month,Card_Collateral,0)</f>
        <v>-0</v>
      </c>
      <c r="F12" s="33" t="n">
        <f aca="false">-IF(F$3=Collateral_Month,Card_Collateral,0)</f>
        <v>-0</v>
      </c>
      <c r="G12" s="33" t="n">
        <f aca="false">-IF(G$3=Collateral_Month,Card_Collateral,0)</f>
        <v>-0</v>
      </c>
      <c r="H12" s="33" t="n">
        <f aca="false">-IF(H$3=Collateral_Month,Card_Collateral,0)</f>
        <v>-30000000</v>
      </c>
      <c r="I12" s="33" t="n">
        <f aca="false">-IF(I$3=Collateral_Month,Card_Collateral,0)</f>
        <v>-0</v>
      </c>
      <c r="J12" s="33" t="n">
        <f aca="false">-IF(J$3=Collateral_Month,Card_Collateral,0)</f>
        <v>-0</v>
      </c>
      <c r="K12" s="33" t="n">
        <f aca="false">-IF(K$3=Collateral_Month,Card_Collateral,0)</f>
        <v>-0</v>
      </c>
      <c r="L12" s="33" t="n">
        <f aca="false">-IF(L$3=Collateral_Month,Card_Collateral,0)</f>
        <v>-0</v>
      </c>
      <c r="M12" s="33" t="n">
        <f aca="false">-IF(M$3=Collateral_Month,Card_Collateral,0)</f>
        <v>-0</v>
      </c>
      <c r="N12" s="33" t="n">
        <f aca="false">-IF(N$3=Collateral_Month,Card_Collateral,0)</f>
        <v>-0</v>
      </c>
      <c r="O12" s="33" t="n">
        <f aca="false">-IF(O$3=Collateral_Month,Card_Collateral,0)</f>
        <v>-0</v>
      </c>
      <c r="P12" s="33" t="n">
        <f aca="false">-IF(P$3=Collateral_Month,Card_Collateral,0)</f>
        <v>-0</v>
      </c>
      <c r="Q12" s="33" t="n">
        <f aca="false">-IF(Q$3=Collateral_Month,Card_Collateral,0)</f>
        <v>-0</v>
      </c>
      <c r="R12" s="33" t="n">
        <f aca="false">-IF(R$3=Collateral_Month,Card_Collateral,0)</f>
        <v>-0</v>
      </c>
      <c r="S12" s="33" t="n">
        <f aca="false">-IF(S$3=Collateral_Month,Card_Collateral,0)</f>
        <v>-0</v>
      </c>
      <c r="T12" s="33" t="n">
        <f aca="false">-IF(T$3=Collateral_Month,Card_Collateral,0)</f>
        <v>-0</v>
      </c>
      <c r="U12" s="33" t="n">
        <f aca="false">-IF(U$3=Collateral_Month,Card_Collateral,0)</f>
        <v>-0</v>
      </c>
      <c r="V12" s="33" t="n">
        <f aca="false">-IF(V$3=Collateral_Month,Card_Collateral,0)</f>
        <v>-0</v>
      </c>
      <c r="W12" s="33" t="n">
        <f aca="false">-IF(W$3=Collateral_Month,Card_Collateral,0)</f>
        <v>-0</v>
      </c>
      <c r="X12" s="33" t="n">
        <f aca="false">-IF(X$3=Collateral_Month,Card_Collateral,0)</f>
        <v>-0</v>
      </c>
      <c r="Y12" s="33" t="n">
        <f aca="false">-IF(Y$3=Collateral_Month,Card_Collateral,0)</f>
        <v>-0</v>
      </c>
      <c r="Z12" s="33" t="n">
        <f aca="false">-IF(Z$3=Collateral_Month,Card_Collateral,0)</f>
        <v>-0</v>
      </c>
      <c r="AA12" s="33" t="n">
        <f aca="false">-IF(AA$3=Collateral_Month,Card_Collateral,0)</f>
        <v>-0</v>
      </c>
      <c r="AB12" s="33" t="n">
        <f aca="false">-IF(AB$3=Collateral_Month,Card_Collateral,0)</f>
        <v>-0</v>
      </c>
      <c r="AC12" s="33" t="n">
        <f aca="false">-IF(AC$3=Collateral_Month,Card_Collateral,0)</f>
        <v>-0</v>
      </c>
      <c r="AD12" s="33" t="n">
        <f aca="false">-IF(AD$3=Collateral_Month,Card_Collateral,0)</f>
        <v>-0</v>
      </c>
      <c r="AE12" s="33" t="n">
        <f aca="false">-IF(AE$3=Collateral_Month,Card_Collateral,0)</f>
        <v>-0</v>
      </c>
      <c r="AF12" s="33" t="n">
        <f aca="false">-IF(AF$3=Collateral_Month,Card_Collateral,0)</f>
        <v>-0</v>
      </c>
      <c r="AG12" s="33" t="n">
        <f aca="false">-IF(AG$3=Collateral_Month,Card_Collateral,0)</f>
        <v>-0</v>
      </c>
      <c r="AH12" s="33" t="n">
        <f aca="false">-IF(AH$3=Collateral_Month,Card_Collateral,0)</f>
        <v>-0</v>
      </c>
      <c r="AI12" s="33" t="n">
        <f aca="false">-IF(AI$3=Collateral_Month,Card_Collateral,0)</f>
        <v>-0</v>
      </c>
      <c r="AJ12" s="33" t="n">
        <f aca="false">-IF(AJ$3=Collateral_Month,Card_Collateral,0)</f>
        <v>-0</v>
      </c>
      <c r="AK12" s="33" t="n">
        <f aca="false">-IF(AK$3=Collateral_Month,Card_Collateral,0)</f>
        <v>-0</v>
      </c>
      <c r="AL12" s="33" t="n">
        <f aca="false">-IF(AL$3=Collateral_Month,Card_Collateral,0)</f>
        <v>-0</v>
      </c>
      <c r="AM12" s="33" t="n">
        <f aca="false">-IF(AM$3=Collateral_Month,Card_Collateral,0)</f>
        <v>-0</v>
      </c>
      <c r="AN12" s="33" t="n">
        <f aca="false">-IF(AN$3=Collateral_Month,Card_Collateral,0)</f>
        <v>-0</v>
      </c>
      <c r="AO12" s="33" t="n">
        <f aca="false">-IF(AO$3=Collateral_Month,Card_Collateral,0)</f>
        <v>-0</v>
      </c>
      <c r="AP12" s="33" t="n">
        <f aca="false">-IF(AP$3=Collateral_Month,Card_Collateral,0)</f>
        <v>-0</v>
      </c>
      <c r="AQ12" s="33" t="n">
        <f aca="false">-IF(AQ$3=Collateral_Month,Card_Collateral,0)</f>
        <v>-0</v>
      </c>
      <c r="AR12" s="33" t="n">
        <f aca="false">-IF(AR$3=Collateral_Month,Card_Collateral,0)</f>
        <v>-0</v>
      </c>
      <c r="AS12" s="33" t="n">
        <f aca="false">-IF(AS$3=Collateral_Month,Card_Collateral,0)</f>
        <v>-0</v>
      </c>
      <c r="AT12" s="33" t="n">
        <f aca="false">-IF(AT$3=Collateral_Month,Card_Collateral,0)</f>
        <v>-0</v>
      </c>
      <c r="AU12" s="33" t="n">
        <f aca="false">-IF(AU$3=Collateral_Month,Card_Collateral,0)</f>
        <v>-0</v>
      </c>
      <c r="AV12" s="33" t="n">
        <f aca="false">-IF(AV$3=Collateral_Month,Card_Collateral,0)</f>
        <v>-0</v>
      </c>
      <c r="AW12" s="33" t="n">
        <f aca="false">-IF(AW$3=Collateral_Month,Card_Collateral,0)</f>
        <v>-0</v>
      </c>
      <c r="AX12" s="33" t="n">
        <f aca="false">-IF(AX$3=Collateral_Month,Card_Collateral,0)</f>
        <v>-0</v>
      </c>
      <c r="AY12" s="33" t="n">
        <f aca="false">-IF(AY$3=Collateral_Month,Card_Collateral,0)</f>
        <v>-0</v>
      </c>
      <c r="AZ12" s="33" t="n">
        <f aca="false">-IF(AZ$3=Collateral_Month,Card_Collateral,0)</f>
        <v>-0</v>
      </c>
      <c r="BA12" s="33" t="n">
        <f aca="false">-IF(BA$3=Collateral_Month,Card_Collateral,0)</f>
        <v>-0</v>
      </c>
      <c r="BB12" s="33" t="n">
        <f aca="false">-IF(BB$3=Collateral_Month,Card_Collateral,0)</f>
        <v>-0</v>
      </c>
      <c r="BC12" s="33" t="n">
        <f aca="false">-IF(BC$3=Collateral_Month,Card_Collateral,0)</f>
        <v>-0</v>
      </c>
      <c r="BD12" s="33" t="n">
        <f aca="false">-IF(BD$3=Collateral_Month,Card_Collateral,0)</f>
        <v>-0</v>
      </c>
      <c r="BE12" s="33" t="n">
        <f aca="false">-IF(BE$3=Collateral_Month,Card_Collateral,0)</f>
        <v>-0</v>
      </c>
      <c r="BF12" s="33" t="n">
        <f aca="false">-IF(BF$3=Collateral_Month,Card_Collateral,0)</f>
        <v>-0</v>
      </c>
      <c r="BG12" s="33" t="n">
        <f aca="false">-IF(BG$3=Collateral_Month,Card_Collateral,0)</f>
        <v>-0</v>
      </c>
      <c r="BH12" s="33" t="n">
        <f aca="false">-IF(BH$3=Collateral_Month,Card_Collateral,0)</f>
        <v>-0</v>
      </c>
      <c r="BI12" s="33" t="n">
        <f aca="false">-IF(BI$3=Collateral_Month,Card_Collateral,0)</f>
        <v>-0</v>
      </c>
      <c r="BJ12" s="33" t="n">
        <f aca="false">-IF(BJ$3=Collateral_Month,Card_Collateral,0)</f>
        <v>-0</v>
      </c>
      <c r="BK12" s="33" t="n">
        <f aca="false">-IF(BK$3=Collateral_Month,Card_Collateral,0)</f>
        <v>-0</v>
      </c>
      <c r="BL12" s="33" t="n">
        <f aca="false">-IF(BL$3=Collateral_Month,Card_Collateral,0)</f>
        <v>-0</v>
      </c>
    </row>
    <row r="13" customFormat="false" ht="15" hidden="false" customHeight="true" outlineLevel="0" collapsed="false">
      <c r="A13" s="13" t="s">
        <v>890</v>
      </c>
      <c r="B13" s="15" t="s">
        <v>77</v>
      </c>
      <c r="D13" s="56" t="n">
        <f aca="false">SUM(E13:BL13)</f>
        <v>-650000000</v>
      </c>
      <c r="E13" s="33" t="n">
        <f aca="false">-IF(E$3=SFD_Acq_Month,SFD_Acquisition,0)</f>
        <v>-0</v>
      </c>
      <c r="F13" s="33" t="n">
        <f aca="false">-IF(F$3=SFD_Acq_Month,SFD_Acquisition,0)</f>
        <v>-0</v>
      </c>
      <c r="G13" s="33" t="n">
        <f aca="false">-IF(G$3=SFD_Acq_Month,SFD_Acquisition,0)</f>
        <v>-0</v>
      </c>
      <c r="H13" s="33" t="n">
        <f aca="false">-IF(H$3=SFD_Acq_Month,SFD_Acquisition,0)</f>
        <v>-0</v>
      </c>
      <c r="I13" s="33" t="n">
        <f aca="false">-IF(I$3=SFD_Acq_Month,SFD_Acquisition,0)</f>
        <v>-0</v>
      </c>
      <c r="J13" s="33" t="n">
        <f aca="false">-IF(J$3=SFD_Acq_Month,SFD_Acquisition,0)</f>
        <v>-0</v>
      </c>
      <c r="K13" s="33" t="n">
        <f aca="false">-IF(K$3=SFD_Acq_Month,SFD_Acquisition,0)</f>
        <v>-0</v>
      </c>
      <c r="L13" s="33" t="n">
        <f aca="false">-IF(L$3=SFD_Acq_Month,SFD_Acquisition,0)</f>
        <v>-0</v>
      </c>
      <c r="M13" s="33" t="n">
        <f aca="false">-IF(M$3=SFD_Acq_Month,SFD_Acquisition,0)</f>
        <v>-0</v>
      </c>
      <c r="N13" s="33" t="n">
        <f aca="false">-IF(N$3=SFD_Acq_Month,SFD_Acquisition,0)</f>
        <v>-0</v>
      </c>
      <c r="O13" s="33" t="n">
        <f aca="false">-IF(O$3=SFD_Acq_Month,SFD_Acquisition,0)</f>
        <v>-0</v>
      </c>
      <c r="P13" s="33" t="n">
        <f aca="false">-IF(P$3=SFD_Acq_Month,SFD_Acquisition,0)</f>
        <v>-0</v>
      </c>
      <c r="Q13" s="33" t="n">
        <f aca="false">-IF(Q$3=SFD_Acq_Month,SFD_Acquisition,0)</f>
        <v>-0</v>
      </c>
      <c r="R13" s="33" t="n">
        <f aca="false">-IF(R$3=SFD_Acq_Month,SFD_Acquisition,0)</f>
        <v>-0</v>
      </c>
      <c r="S13" s="33" t="n">
        <f aca="false">-IF(S$3=SFD_Acq_Month,SFD_Acquisition,0)</f>
        <v>-0</v>
      </c>
      <c r="T13" s="33" t="n">
        <f aca="false">-IF(T$3=SFD_Acq_Month,SFD_Acquisition,0)</f>
        <v>-0</v>
      </c>
      <c r="U13" s="33" t="n">
        <f aca="false">-IF(U$3=SFD_Acq_Month,SFD_Acquisition,0)</f>
        <v>-0</v>
      </c>
      <c r="V13" s="33" t="n">
        <f aca="false">-IF(V$3=SFD_Acq_Month,SFD_Acquisition,0)</f>
        <v>-0</v>
      </c>
      <c r="W13" s="33" t="n">
        <f aca="false">-IF(W$3=SFD_Acq_Month,SFD_Acquisition,0)</f>
        <v>-0</v>
      </c>
      <c r="X13" s="33" t="n">
        <f aca="false">-IF(X$3=SFD_Acq_Month,SFD_Acquisition,0)</f>
        <v>-0</v>
      </c>
      <c r="Y13" s="33" t="n">
        <f aca="false">-IF(Y$3=SFD_Acq_Month,SFD_Acquisition,0)</f>
        <v>-0</v>
      </c>
      <c r="Z13" s="33" t="n">
        <f aca="false">-IF(Z$3=SFD_Acq_Month,SFD_Acquisition,0)</f>
        <v>-0</v>
      </c>
      <c r="AA13" s="33" t="n">
        <f aca="false">-IF(AA$3=SFD_Acq_Month,SFD_Acquisition,0)</f>
        <v>-0</v>
      </c>
      <c r="AB13" s="33" t="n">
        <f aca="false">-IF(AB$3=SFD_Acq_Month,SFD_Acquisition,0)</f>
        <v>-650000000</v>
      </c>
      <c r="AC13" s="33" t="n">
        <f aca="false">-IF(AC$3=SFD_Acq_Month,SFD_Acquisition,0)</f>
        <v>-0</v>
      </c>
      <c r="AD13" s="33" t="n">
        <f aca="false">-IF(AD$3=SFD_Acq_Month,SFD_Acquisition,0)</f>
        <v>-0</v>
      </c>
      <c r="AE13" s="33" t="n">
        <f aca="false">-IF(AE$3=SFD_Acq_Month,SFD_Acquisition,0)</f>
        <v>-0</v>
      </c>
      <c r="AF13" s="33" t="n">
        <f aca="false">-IF(AF$3=SFD_Acq_Month,SFD_Acquisition,0)</f>
        <v>-0</v>
      </c>
      <c r="AG13" s="33" t="n">
        <f aca="false">-IF(AG$3=SFD_Acq_Month,SFD_Acquisition,0)</f>
        <v>-0</v>
      </c>
      <c r="AH13" s="33" t="n">
        <f aca="false">-IF(AH$3=SFD_Acq_Month,SFD_Acquisition,0)</f>
        <v>-0</v>
      </c>
      <c r="AI13" s="33" t="n">
        <f aca="false">-IF(AI$3=SFD_Acq_Month,SFD_Acquisition,0)</f>
        <v>-0</v>
      </c>
      <c r="AJ13" s="33" t="n">
        <f aca="false">-IF(AJ$3=SFD_Acq_Month,SFD_Acquisition,0)</f>
        <v>-0</v>
      </c>
      <c r="AK13" s="33" t="n">
        <f aca="false">-IF(AK$3=SFD_Acq_Month,SFD_Acquisition,0)</f>
        <v>-0</v>
      </c>
      <c r="AL13" s="33" t="n">
        <f aca="false">-IF(AL$3=SFD_Acq_Month,SFD_Acquisition,0)</f>
        <v>-0</v>
      </c>
      <c r="AM13" s="33" t="n">
        <f aca="false">-IF(AM$3=SFD_Acq_Month,SFD_Acquisition,0)</f>
        <v>-0</v>
      </c>
      <c r="AN13" s="33" t="n">
        <f aca="false">-IF(AN$3=SFD_Acq_Month,SFD_Acquisition,0)</f>
        <v>-0</v>
      </c>
      <c r="AO13" s="33" t="n">
        <f aca="false">-IF(AO$3=SFD_Acq_Month,SFD_Acquisition,0)</f>
        <v>-0</v>
      </c>
      <c r="AP13" s="33" t="n">
        <f aca="false">-IF(AP$3=SFD_Acq_Month,SFD_Acquisition,0)</f>
        <v>-0</v>
      </c>
      <c r="AQ13" s="33" t="n">
        <f aca="false">-IF(AQ$3=SFD_Acq_Month,SFD_Acquisition,0)</f>
        <v>-0</v>
      </c>
      <c r="AR13" s="33" t="n">
        <f aca="false">-IF(AR$3=SFD_Acq_Month,SFD_Acquisition,0)</f>
        <v>-0</v>
      </c>
      <c r="AS13" s="33" t="n">
        <f aca="false">-IF(AS$3=SFD_Acq_Month,SFD_Acquisition,0)</f>
        <v>-0</v>
      </c>
      <c r="AT13" s="33" t="n">
        <f aca="false">-IF(AT$3=SFD_Acq_Month,SFD_Acquisition,0)</f>
        <v>-0</v>
      </c>
      <c r="AU13" s="33" t="n">
        <f aca="false">-IF(AU$3=SFD_Acq_Month,SFD_Acquisition,0)</f>
        <v>-0</v>
      </c>
      <c r="AV13" s="33" t="n">
        <f aca="false">-IF(AV$3=SFD_Acq_Month,SFD_Acquisition,0)</f>
        <v>-0</v>
      </c>
      <c r="AW13" s="33" t="n">
        <f aca="false">-IF(AW$3=SFD_Acq_Month,SFD_Acquisition,0)</f>
        <v>-0</v>
      </c>
      <c r="AX13" s="33" t="n">
        <f aca="false">-IF(AX$3=SFD_Acq_Month,SFD_Acquisition,0)</f>
        <v>-0</v>
      </c>
      <c r="AY13" s="33" t="n">
        <f aca="false">-IF(AY$3=SFD_Acq_Month,SFD_Acquisition,0)</f>
        <v>-0</v>
      </c>
      <c r="AZ13" s="33" t="n">
        <f aca="false">-IF(AZ$3=SFD_Acq_Month,SFD_Acquisition,0)</f>
        <v>-0</v>
      </c>
      <c r="BA13" s="33" t="n">
        <f aca="false">-IF(BA$3=SFD_Acq_Month,SFD_Acquisition,0)</f>
        <v>-0</v>
      </c>
      <c r="BB13" s="33" t="n">
        <f aca="false">-IF(BB$3=SFD_Acq_Month,SFD_Acquisition,0)</f>
        <v>-0</v>
      </c>
      <c r="BC13" s="33" t="n">
        <f aca="false">-IF(BC$3=SFD_Acq_Month,SFD_Acquisition,0)</f>
        <v>-0</v>
      </c>
      <c r="BD13" s="33" t="n">
        <f aca="false">-IF(BD$3=SFD_Acq_Month,SFD_Acquisition,0)</f>
        <v>-0</v>
      </c>
      <c r="BE13" s="33" t="n">
        <f aca="false">-IF(BE$3=SFD_Acq_Month,SFD_Acquisition,0)</f>
        <v>-0</v>
      </c>
      <c r="BF13" s="33" t="n">
        <f aca="false">-IF(BF$3=SFD_Acq_Month,SFD_Acquisition,0)</f>
        <v>-0</v>
      </c>
      <c r="BG13" s="33" t="n">
        <f aca="false">-IF(BG$3=SFD_Acq_Month,SFD_Acquisition,0)</f>
        <v>-0</v>
      </c>
      <c r="BH13" s="33" t="n">
        <f aca="false">-IF(BH$3=SFD_Acq_Month,SFD_Acquisition,0)</f>
        <v>-0</v>
      </c>
      <c r="BI13" s="33" t="n">
        <f aca="false">-IF(BI$3=SFD_Acq_Month,SFD_Acquisition,0)</f>
        <v>-0</v>
      </c>
      <c r="BJ13" s="33" t="n">
        <f aca="false">-IF(BJ$3=SFD_Acq_Month,SFD_Acquisition,0)</f>
        <v>-0</v>
      </c>
      <c r="BK13" s="33" t="n">
        <f aca="false">-IF(BK$3=SFD_Acq_Month,SFD_Acquisition,0)</f>
        <v>-0</v>
      </c>
      <c r="BL13" s="33" t="n">
        <f aca="false">-IF(BL$3=SFD_Acq_Month,SFD_Acquisition,0)</f>
        <v>-0</v>
      </c>
    </row>
    <row r="14" customFormat="false" ht="15" hidden="false" customHeight="true" outlineLevel="0" collapsed="false">
      <c r="A14" s="13" t="s">
        <v>1486</v>
      </c>
      <c r="B14" s="15" t="s">
        <v>77</v>
      </c>
      <c r="D14" s="56" t="n">
        <f aca="false">SUM(E14:BL14)</f>
        <v>-1052977395.59266</v>
      </c>
      <c r="E14" s="33" t="n">
        <f aca="false">-Credit!E46</f>
        <v>-0</v>
      </c>
      <c r="F14" s="33" t="n">
        <f aca="false">-(Credit!F46-Credit!E46)</f>
        <v>-0</v>
      </c>
      <c r="G14" s="33" t="n">
        <f aca="false">-(Credit!G46-Credit!F46)</f>
        <v>-0</v>
      </c>
      <c r="H14" s="33" t="n">
        <f aca="false">-(Credit!H46-Credit!G46)</f>
        <v>-0</v>
      </c>
      <c r="I14" s="33" t="n">
        <f aca="false">-(Credit!I46-Credit!H46)</f>
        <v>-0</v>
      </c>
      <c r="J14" s="33" t="n">
        <f aca="false">-(Credit!J46-Credit!I46)</f>
        <v>-0</v>
      </c>
      <c r="K14" s="33" t="n">
        <f aca="false">-(Credit!K46-Credit!J46)</f>
        <v>-0</v>
      </c>
      <c r="L14" s="33" t="n">
        <f aca="false">-(Credit!L46-Credit!K46)</f>
        <v>-0</v>
      </c>
      <c r="M14" s="33" t="n">
        <f aca="false">-(Credit!M46-Credit!L46)</f>
        <v>-0</v>
      </c>
      <c r="N14" s="33" t="n">
        <f aca="false">-(Credit!N46-Credit!M46)</f>
        <v>-0</v>
      </c>
      <c r="O14" s="33" t="n">
        <f aca="false">-(Credit!O46-Credit!N46)</f>
        <v>-0</v>
      </c>
      <c r="P14" s="33" t="n">
        <f aca="false">-(Credit!P46-Credit!O46)</f>
        <v>-0</v>
      </c>
      <c r="Q14" s="33" t="n">
        <f aca="false">-(Credit!Q46-Credit!P46)</f>
        <v>-0</v>
      </c>
      <c r="R14" s="33" t="n">
        <f aca="false">-(Credit!R46-Credit!Q46)</f>
        <v>-0</v>
      </c>
      <c r="S14" s="33" t="n">
        <f aca="false">-(Credit!S46-Credit!R46)</f>
        <v>-0</v>
      </c>
      <c r="T14" s="33" t="n">
        <f aca="false">-(Credit!T46-Credit!S46)</f>
        <v>-0</v>
      </c>
      <c r="U14" s="33" t="n">
        <f aca="false">-(Credit!U46-Credit!T46)</f>
        <v>-0</v>
      </c>
      <c r="V14" s="33" t="n">
        <f aca="false">-(Credit!V46-Credit!U46)</f>
        <v>-3171515.45238977</v>
      </c>
      <c r="W14" s="33" t="n">
        <f aca="false">-(Credit!W46-Credit!V46)</f>
        <v>-4005835.92237243</v>
      </c>
      <c r="X14" s="33" t="n">
        <f aca="false">-(Credit!X46-Credit!W46)</f>
        <v>-4837389.21351925</v>
      </c>
      <c r="Y14" s="33" t="n">
        <f aca="false">-(Credit!Y46-Credit!X46)</f>
        <v>-6888947.23730223</v>
      </c>
      <c r="Z14" s="33" t="n">
        <f aca="false">-(Credit!Z46-Credit!Y46)</f>
        <v>-8001467.88190555</v>
      </c>
      <c r="AA14" s="33" t="n">
        <f aca="false">-(Credit!AA46-Credit!Z46)</f>
        <v>-9114212.92512624</v>
      </c>
      <c r="AB14" s="33" t="n">
        <f aca="false">-(Credit!AB46-Credit!AA46)</f>
        <v>-10229395.2728704</v>
      </c>
      <c r="AC14" s="33" t="n">
        <f aca="false">-(Credit!AC46-Credit!AB46)</f>
        <v>-36891404.0814806</v>
      </c>
      <c r="AD14" s="33" t="n">
        <f aca="false">-(Credit!AD46-Credit!AC46)</f>
        <v>-19336119.8333019</v>
      </c>
      <c r="AE14" s="33" t="n">
        <f aca="false">-(Credit!AE46-Credit!AD46)</f>
        <v>-26166646.0167984</v>
      </c>
      <c r="AF14" s="33" t="n">
        <f aca="false">-(Credit!AF46-Credit!AE46)</f>
        <v>-28883501.7858987</v>
      </c>
      <c r="AG14" s="33" t="n">
        <f aca="false">-(Credit!AG46-Credit!AF46)</f>
        <v>-31610288.4602562</v>
      </c>
      <c r="AH14" s="33" t="n">
        <f aca="false">-(Credit!AH46-Credit!AG46)</f>
        <v>-21899493.8127412</v>
      </c>
      <c r="AI14" s="33" t="n">
        <f aca="false">-(Credit!AI46-Credit!AH46)</f>
        <v>-23916977.096733</v>
      </c>
      <c r="AJ14" s="33" t="n">
        <f aca="false">-(Credit!AJ46-Credit!AI46)</f>
        <v>-25184917.9644558</v>
      </c>
      <c r="AK14" s="33" t="n">
        <f aca="false">-(Credit!AK46-Credit!AJ46)</f>
        <v>-22626002.7796066</v>
      </c>
      <c r="AL14" s="33" t="n">
        <f aca="false">-(Credit!AL46-Credit!AK46)</f>
        <v>-23508966.4831609</v>
      </c>
      <c r="AM14" s="33" t="n">
        <f aca="false">-(Credit!AM46-Credit!AL46)</f>
        <v>-25343548.8152801</v>
      </c>
      <c r="AN14" s="33" t="n">
        <f aca="false">-(Credit!AN46-Credit!AM46)</f>
        <v>-26310209.173311</v>
      </c>
      <c r="AO14" s="33" t="n">
        <f aca="false">-(Credit!AO46-Credit!AN46)</f>
        <v>-29650955.5432352</v>
      </c>
      <c r="AP14" s="33" t="n">
        <f aca="false">-(Credit!AP46-Credit!AO46)</f>
        <v>-31743478.2935032</v>
      </c>
      <c r="AQ14" s="33" t="n">
        <f aca="false">-(Credit!AQ46-Credit!AP46)</f>
        <v>-24004476.3941959</v>
      </c>
      <c r="AR14" s="33" t="n">
        <f aca="false">-(Credit!AR46-Credit!AQ46)</f>
        <v>-24277585.9711434</v>
      </c>
      <c r="AS14" s="33" t="n">
        <f aca="false">-(Credit!AS46-Credit!AR46)</f>
        <v>-25581466.115944</v>
      </c>
      <c r="AT14" s="33" t="n">
        <f aca="false">-(Credit!AT46-Credit!AS46)</f>
        <v>-24663954.3022855</v>
      </c>
      <c r="AU14" s="33" t="n">
        <f aca="false">-(Credit!AU46-Credit!AT46)</f>
        <v>-24901693.4896165</v>
      </c>
      <c r="AV14" s="33" t="n">
        <f aca="false">-(Credit!AV46-Credit!AU46)</f>
        <v>-26771767.1504132</v>
      </c>
      <c r="AW14" s="33" t="n">
        <f aca="false">-(Credit!AW46-Credit!AV46)</f>
        <v>-26768443.5863893</v>
      </c>
      <c r="AX14" s="33" t="n">
        <f aca="false">-(Credit!AX46-Credit!AW46)</f>
        <v>-27476418.3443595</v>
      </c>
      <c r="AY14" s="33" t="n">
        <f aca="false">-(Credit!AY46-Credit!AX46)</f>
        <v>-27181993.4775406</v>
      </c>
      <c r="AZ14" s="33" t="n">
        <f aca="false">-(Credit!AZ46-Credit!AY46)</f>
        <v>-26901463.4190226</v>
      </c>
      <c r="BA14" s="33" t="n">
        <f aca="false">-(Credit!BA46-Credit!AZ46)</f>
        <v>-30063670.341797</v>
      </c>
      <c r="BB14" s="33" t="n">
        <f aca="false">-(Credit!BB46-Credit!BA46)</f>
        <v>-29755735.7305107</v>
      </c>
      <c r="BC14" s="33" t="n">
        <f aca="false">-(Credit!BC46-Credit!BB46)</f>
        <v>-30463118.0612509</v>
      </c>
      <c r="BD14" s="33" t="n">
        <f aca="false">-(Credit!BD46-Credit!BC46)</f>
        <v>-30170819.0369041</v>
      </c>
      <c r="BE14" s="33" t="n">
        <f aca="false">-(Credit!BE46-Credit!BD46)</f>
        <v>-30493577.3465161</v>
      </c>
      <c r="BF14" s="33" t="n">
        <f aca="false">-(Credit!BF46-Credit!BE46)</f>
        <v>-31225081.3497361</v>
      </c>
      <c r="BG14" s="33" t="n">
        <f aca="false">-(Credit!BG46-Credit!BF46)</f>
        <v>-30958534.171712</v>
      </c>
      <c r="BH14" s="33" t="n">
        <f aca="false">-(Credit!BH46-Credit!BG46)</f>
        <v>-31710199.9073458</v>
      </c>
      <c r="BI14" s="33" t="n">
        <f aca="false">-(Credit!BI46-Credit!BH46)</f>
        <v>-32063178.6090094</v>
      </c>
      <c r="BJ14" s="33" t="n">
        <f aca="false">-(Credit!BJ46-Credit!BI46)</f>
        <v>-32827826.7228193</v>
      </c>
      <c r="BK14" s="33" t="n">
        <f aca="false">-(Credit!BK46-Credit!BJ46)</f>
        <v>-32454813.6243149</v>
      </c>
      <c r="BL14" s="33" t="n">
        <f aca="false">-(Credit!BL46-Credit!BK46)</f>
        <v>-32940304.3945839</v>
      </c>
    </row>
    <row r="15" customFormat="false" ht="15" hidden="false" customHeight="true" outlineLevel="0" collapsed="false">
      <c r="A15" s="9" t="s">
        <v>1356</v>
      </c>
      <c r="B15" s="15" t="s">
        <v>77</v>
      </c>
      <c r="D15" s="56" t="n">
        <f aca="false">SUM(E15:BL15)</f>
        <v>2719907771.51999</v>
      </c>
      <c r="E15" s="17" t="n">
        <f aca="false">SUM(E9:E14)</f>
        <v>-32190939.27</v>
      </c>
      <c r="F15" s="17" t="n">
        <f aca="false">SUM(F9:F14)</f>
        <v>-40596168.9</v>
      </c>
      <c r="G15" s="17" t="n">
        <f aca="false">SUM(G9:G14)</f>
        <v>-55296168.9</v>
      </c>
      <c r="H15" s="17" t="n">
        <f aca="false">SUM(H9:H14)</f>
        <v>-67105998.3</v>
      </c>
      <c r="I15" s="17" t="n">
        <f aca="false">SUM(I9:I14)</f>
        <v>-35591503.7216667</v>
      </c>
      <c r="J15" s="17" t="n">
        <f aca="false">SUM(J9:J14)</f>
        <v>-33099950.1243333</v>
      </c>
      <c r="K15" s="17" t="n">
        <f aca="false">SUM(K9:K14)</f>
        <v>-30957691.043655</v>
      </c>
      <c r="L15" s="17" t="n">
        <f aca="false">SUM(L9:L14)</f>
        <v>-28819006.249316</v>
      </c>
      <c r="M15" s="17" t="n">
        <f aca="false">SUM(M9:M14)</f>
        <v>-26682495.5249901</v>
      </c>
      <c r="N15" s="17" t="n">
        <f aca="false">SUM(N9:N14)</f>
        <v>-24546697.4302898</v>
      </c>
      <c r="O15" s="17" t="n">
        <f aca="false">SUM(O9:O14)</f>
        <v>-22180292.4672198</v>
      </c>
      <c r="P15" s="17" t="n">
        <f aca="false">SUM(P9:P14)</f>
        <v>-19745416.2484548</v>
      </c>
      <c r="Q15" s="17" t="n">
        <f aca="false">SUM(Q9:Q14)</f>
        <v>-31833521.7097002</v>
      </c>
      <c r="R15" s="17" t="n">
        <f aca="false">SUM(R9:R14)</f>
        <v>-27364855.7625944</v>
      </c>
      <c r="S15" s="17" t="n">
        <f aca="false">SUM(S9:S14)</f>
        <v>-28913044.9563859</v>
      </c>
      <c r="T15" s="17" t="n">
        <f aca="false">SUM(T9:T14)</f>
        <v>-46798409.3141634</v>
      </c>
      <c r="U15" s="17" t="n">
        <f aca="false">SUM(U9:U14)</f>
        <v>-16946462.1747956</v>
      </c>
      <c r="V15" s="17" t="n">
        <f aca="false">SUM(V9:V14)</f>
        <v>-23597029.3987357</v>
      </c>
      <c r="W15" s="17" t="n">
        <f aca="false">SUM(W9:W14)</f>
        <v>-20453358.4746178</v>
      </c>
      <c r="X15" s="17" t="n">
        <f aca="false">SUM(X9:X14)</f>
        <v>-15799798.9016538</v>
      </c>
      <c r="Y15" s="17" t="n">
        <f aca="false">SUM(Y9:Y14)</f>
        <v>-11245305.4547148</v>
      </c>
      <c r="Z15" s="17" t="n">
        <f aca="false">SUM(Z9:Z14)</f>
        <v>-4305186.14123564</v>
      </c>
      <c r="AA15" s="17" t="n">
        <f aca="false">SUM(AA9:AA14)</f>
        <v>1446465.36112949</v>
      </c>
      <c r="AB15" s="17" t="n">
        <f aca="false">SUM(AB9:AB14)</f>
        <v>-649066126.37733</v>
      </c>
      <c r="AC15" s="17" t="n">
        <f aca="false">SUM(AC9:AC14)</f>
        <v>-26742956.5118748</v>
      </c>
      <c r="AD15" s="17" t="n">
        <f aca="false">SUM(AD9:AD14)</f>
        <v>-524984.986468896</v>
      </c>
      <c r="AE15" s="17" t="n">
        <f aca="false">SUM(AE9:AE14)</f>
        <v>2830110.6677188</v>
      </c>
      <c r="AF15" s="17" t="n">
        <f aca="false">SUM(AF9:AF14)</f>
        <v>-625113.651641116</v>
      </c>
      <c r="AG15" s="17" t="n">
        <f aca="false">SUM(AG9:AG14)</f>
        <v>175403.647552773</v>
      </c>
      <c r="AH15" s="17" t="n">
        <f aca="false">SUM(AH9:AH14)</f>
        <v>28612050.6036757</v>
      </c>
      <c r="AI15" s="17" t="n">
        <f aca="false">SUM(AI9:AI14)</f>
        <v>35791747.8037862</v>
      </c>
      <c r="AJ15" s="17" t="n">
        <f aca="false">SUM(AJ9:AJ14)</f>
        <v>45061475.1979736</v>
      </c>
      <c r="AK15" s="17" t="n">
        <f aca="false">SUM(AK9:AK14)</f>
        <v>56845093.3909193</v>
      </c>
      <c r="AL15" s="17" t="n">
        <f aca="false">SUM(AL9:AL14)</f>
        <v>63271297.8465001</v>
      </c>
      <c r="AM15" s="17" t="n">
        <f aca="false">SUM(AM9:AM14)</f>
        <v>72249994.5771675</v>
      </c>
      <c r="AN15" s="17" t="n">
        <f aca="false">SUM(AN9:AN14)</f>
        <v>49912644.951289</v>
      </c>
      <c r="AO15" s="17" t="n">
        <f aca="false">SUM(AO9:AO14)</f>
        <v>48565181.6414014</v>
      </c>
      <c r="AP15" s="17" t="n">
        <f aca="false">SUM(AP9:AP14)</f>
        <v>55938849.8889701</v>
      </c>
      <c r="AQ15" s="17" t="n">
        <f aca="false">SUM(AQ9:AQ14)</f>
        <v>70653021.4382648</v>
      </c>
      <c r="AR15" s="17" t="n">
        <f aca="false">SUM(AR9:AR14)</f>
        <v>71739515.4357113</v>
      </c>
      <c r="AS15" s="17" t="n">
        <f aca="false">SUM(AS9:AS14)</f>
        <v>85751380.3682399</v>
      </c>
      <c r="AT15" s="17" t="n">
        <f aca="false">SUM(AT9:AT14)</f>
        <v>95544233.2653756</v>
      </c>
      <c r="AU15" s="17" t="n">
        <f aca="false">SUM(AU9:AU14)</f>
        <v>102655545.555084</v>
      </c>
      <c r="AV15" s="17" t="n">
        <f aca="false">SUM(AV9:AV14)</f>
        <v>111559342.228912</v>
      </c>
      <c r="AW15" s="17" t="n">
        <f aca="false">SUM(AW9:AW14)</f>
        <v>119025161.794473</v>
      </c>
      <c r="AX15" s="17" t="n">
        <f aca="false">SUM(AX9:AX14)</f>
        <v>129418155.576424</v>
      </c>
      <c r="AY15" s="17" t="n">
        <f aca="false">SUM(AY9:AY14)</f>
        <v>140062845.276071</v>
      </c>
      <c r="AZ15" s="17" t="n">
        <f aca="false">SUM(AZ9:AZ14)</f>
        <v>149496505.927588</v>
      </c>
      <c r="BA15" s="17" t="n">
        <f aca="false">SUM(BA9:BA14)</f>
        <v>148217879.850047</v>
      </c>
      <c r="BB15" s="17" t="n">
        <f aca="false">SUM(BB9:BB14)</f>
        <v>158866836.236977</v>
      </c>
      <c r="BC15" s="17" t="n">
        <f aca="false">SUM(BC9:BC14)</f>
        <v>170622392.2895</v>
      </c>
      <c r="BD15" s="17" t="n">
        <f aca="false">SUM(BD9:BD14)</f>
        <v>177394938.214605</v>
      </c>
      <c r="BE15" s="17" t="n">
        <f aca="false">SUM(BE9:BE14)</f>
        <v>193170511.395546</v>
      </c>
      <c r="BF15" s="17" t="n">
        <f aca="false">SUM(BF9:BF14)</f>
        <v>203017955.812905</v>
      </c>
      <c r="BG15" s="17" t="n">
        <f aca="false">SUM(BG9:BG14)</f>
        <v>215187368.124853</v>
      </c>
      <c r="BH15" s="17" t="n">
        <f aca="false">SUM(BH9:BH14)</f>
        <v>223212356.181848</v>
      </c>
      <c r="BI15" s="17" t="n">
        <f aca="false">SUM(BI9:BI14)</f>
        <v>235998237.528516</v>
      </c>
      <c r="BJ15" s="17" t="n">
        <f aca="false">SUM(BJ9:BJ14)</f>
        <v>246857692.016381</v>
      </c>
      <c r="BK15" s="17" t="n">
        <f aca="false">SUM(BK9:BK14)</f>
        <v>259957688.761645</v>
      </c>
      <c r="BL15" s="17" t="n">
        <f aca="false">SUM(BL9:BL14)</f>
        <v>271826374.65878</v>
      </c>
    </row>
    <row r="16" customFormat="false" ht="15" hidden="false" customHeight="true" outlineLevel="0" collapsed="false">
      <c r="A16" s="13" t="s">
        <v>1487</v>
      </c>
      <c r="B16" s="15" t="s">
        <v>77</v>
      </c>
      <c r="D16" s="56" t="n">
        <f aca="false">BL16</f>
        <v>2719907771.51999</v>
      </c>
      <c r="E16" s="33" t="n">
        <f aca="false">E15</f>
        <v>-32190939.27</v>
      </c>
      <c r="F16" s="33" t="n">
        <f aca="false">E16+F15</f>
        <v>-72787108.17</v>
      </c>
      <c r="G16" s="33" t="n">
        <f aca="false">F16+G15</f>
        <v>-128083277.07</v>
      </c>
      <c r="H16" s="33" t="n">
        <f aca="false">G16+H15</f>
        <v>-195189275.37</v>
      </c>
      <c r="I16" s="33" t="n">
        <f aca="false">H16+I15</f>
        <v>-230780779.091667</v>
      </c>
      <c r="J16" s="33" t="n">
        <f aca="false">I16+J15</f>
        <v>-263880729.216</v>
      </c>
      <c r="K16" s="33" t="n">
        <f aca="false">J16+K15</f>
        <v>-294838420.259655</v>
      </c>
      <c r="L16" s="33" t="n">
        <f aca="false">K16+L15</f>
        <v>-323657426.508971</v>
      </c>
      <c r="M16" s="33" t="n">
        <f aca="false">L16+M15</f>
        <v>-350339922.033961</v>
      </c>
      <c r="N16" s="33" t="n">
        <f aca="false">M16+N15</f>
        <v>-374886619.464251</v>
      </c>
      <c r="O16" s="33" t="n">
        <f aca="false">N16+O15</f>
        <v>-397066911.931471</v>
      </c>
      <c r="P16" s="33" t="n">
        <f aca="false">O16+P15</f>
        <v>-416812328.179926</v>
      </c>
      <c r="Q16" s="33" t="n">
        <f aca="false">P16+Q15</f>
        <v>-448645849.889626</v>
      </c>
      <c r="R16" s="33" t="n">
        <f aca="false">Q16+R15</f>
        <v>-476010705.65222</v>
      </c>
      <c r="S16" s="33" t="n">
        <f aca="false">R16+S15</f>
        <v>-504923750.608606</v>
      </c>
      <c r="T16" s="33" t="n">
        <f aca="false">S16+T15</f>
        <v>-551722159.922769</v>
      </c>
      <c r="U16" s="33" t="n">
        <f aca="false">T16+U15</f>
        <v>-568668622.097565</v>
      </c>
      <c r="V16" s="33" t="n">
        <f aca="false">U16+V15</f>
        <v>-592265651.496301</v>
      </c>
      <c r="W16" s="33" t="n">
        <f aca="false">V16+W15</f>
        <v>-612719009.970919</v>
      </c>
      <c r="X16" s="33" t="n">
        <f aca="false">W16+X15</f>
        <v>-628518808.872572</v>
      </c>
      <c r="Y16" s="33" t="n">
        <f aca="false">X16+Y15</f>
        <v>-639764114.327287</v>
      </c>
      <c r="Z16" s="33" t="n">
        <f aca="false">Y16+Z15</f>
        <v>-644069300.468523</v>
      </c>
      <c r="AA16" s="33" t="n">
        <f aca="false">Z16+AA15</f>
        <v>-642622835.107393</v>
      </c>
      <c r="AB16" s="33" t="n">
        <f aca="false">AA16+AB15</f>
        <v>-1291688961.48472</v>
      </c>
      <c r="AC16" s="33" t="n">
        <f aca="false">AB16+AC15</f>
        <v>-1318431917.9966</v>
      </c>
      <c r="AD16" s="33" t="n">
        <f aca="false">AC16+AD15</f>
        <v>-1318956902.98307</v>
      </c>
      <c r="AE16" s="33" t="n">
        <f aca="false">AD16+AE15</f>
        <v>-1316126792.31535</v>
      </c>
      <c r="AF16" s="33" t="n">
        <f aca="false">AE16+AF15</f>
        <v>-1316751905.96699</v>
      </c>
      <c r="AG16" s="33" t="n">
        <f aca="false">AF16+AG15</f>
        <v>-1316576502.31944</v>
      </c>
      <c r="AH16" s="33" t="n">
        <f aca="false">AG16+AH15</f>
        <v>-1287964451.71576</v>
      </c>
      <c r="AI16" s="33" t="n">
        <f aca="false">AH16+AI15</f>
        <v>-1252172703.91197</v>
      </c>
      <c r="AJ16" s="33" t="n">
        <f aca="false">AI16+AJ15</f>
        <v>-1207111228.714</v>
      </c>
      <c r="AK16" s="33" t="n">
        <f aca="false">AJ16+AK15</f>
        <v>-1150266135.32308</v>
      </c>
      <c r="AL16" s="33" t="n">
        <f aca="false">AK16+AL15</f>
        <v>-1086994837.47658</v>
      </c>
      <c r="AM16" s="33" t="n">
        <f aca="false">AL16+AM15</f>
        <v>-1014744842.89941</v>
      </c>
      <c r="AN16" s="33" t="n">
        <f aca="false">AM16+AN15</f>
        <v>-964832197.948125</v>
      </c>
      <c r="AO16" s="33" t="n">
        <f aca="false">AN16+AO15</f>
        <v>-916267016.306724</v>
      </c>
      <c r="AP16" s="33" t="n">
        <f aca="false">AO16+AP15</f>
        <v>-860328166.417754</v>
      </c>
      <c r="AQ16" s="33" t="n">
        <f aca="false">AP16+AQ15</f>
        <v>-789675144.979489</v>
      </c>
      <c r="AR16" s="33" t="n">
        <f aca="false">AQ16+AR15</f>
        <v>-717935629.543778</v>
      </c>
      <c r="AS16" s="33" t="n">
        <f aca="false">AR16+AS15</f>
        <v>-632184249.175538</v>
      </c>
      <c r="AT16" s="33" t="n">
        <f aca="false">AS16+AT15</f>
        <v>-536640015.910162</v>
      </c>
      <c r="AU16" s="33" t="n">
        <f aca="false">AT16+AU15</f>
        <v>-433984470.355078</v>
      </c>
      <c r="AV16" s="33" t="n">
        <f aca="false">AU16+AV15</f>
        <v>-322425128.126166</v>
      </c>
      <c r="AW16" s="33" t="n">
        <f aca="false">AV16+AW15</f>
        <v>-203399966.331693</v>
      </c>
      <c r="AX16" s="33" t="n">
        <f aca="false">AW16+AX15</f>
        <v>-73981810.7552685</v>
      </c>
      <c r="AY16" s="33" t="n">
        <f aca="false">AX16+AY15</f>
        <v>66081034.5208021</v>
      </c>
      <c r="AZ16" s="33" t="n">
        <f aca="false">AY16+AZ15</f>
        <v>215577540.44839</v>
      </c>
      <c r="BA16" s="33" t="n">
        <f aca="false">AZ16+BA15</f>
        <v>363795420.298438</v>
      </c>
      <c r="BB16" s="33" t="n">
        <f aca="false">BA16+BB15</f>
        <v>522662256.535414</v>
      </c>
      <c r="BC16" s="33" t="n">
        <f aca="false">BB16+BC15</f>
        <v>693284648.824914</v>
      </c>
      <c r="BD16" s="33" t="n">
        <f aca="false">BC16+BD15</f>
        <v>870679587.039519</v>
      </c>
      <c r="BE16" s="33" t="n">
        <f aca="false">BD16+BE15</f>
        <v>1063850098.43507</v>
      </c>
      <c r="BF16" s="33" t="n">
        <f aca="false">BE16+BF15</f>
        <v>1266868054.24797</v>
      </c>
      <c r="BG16" s="33" t="n">
        <f aca="false">BF16+BG15</f>
        <v>1482055422.37282</v>
      </c>
      <c r="BH16" s="33" t="n">
        <f aca="false">BG16+BH15</f>
        <v>1705267778.55467</v>
      </c>
      <c r="BI16" s="33" t="n">
        <f aca="false">BH16+BI15</f>
        <v>1941266016.08319</v>
      </c>
      <c r="BJ16" s="33" t="n">
        <f aca="false">BI16+BJ15</f>
        <v>2188123708.09957</v>
      </c>
      <c r="BK16" s="33" t="n">
        <f aca="false">BJ16+BK15</f>
        <v>2448081396.86121</v>
      </c>
      <c r="BL16" s="33" t="n">
        <f aca="false">BK16+BL15</f>
        <v>2719907771.51999</v>
      </c>
    </row>
    <row r="18" customFormat="false" ht="15" hidden="false" customHeight="true" outlineLevel="0" collapsed="false">
      <c r="A18" s="11" t="s">
        <v>1488</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row>
    <row r="19" customFormat="false" ht="15" hidden="false" customHeight="true" outlineLevel="0" collapsed="false">
      <c r="A19" s="13" t="s">
        <v>1357</v>
      </c>
      <c r="B19" s="15" t="s">
        <v>77</v>
      </c>
      <c r="D19" s="56" t="n">
        <f aca="false">SUM(E19:BL19)</f>
        <v>3300000000</v>
      </c>
      <c r="E19" s="33" t="n">
        <f aca="false">IF(E$3=Seed_Month,Seed_Amount,0)+IF(E$3=SeriesA_Month,SeriesA_Amount,0)+IF(E$3=SeriesB_Month,SeriesB_Amount,0)</f>
        <v>900000000</v>
      </c>
      <c r="F19" s="33" t="n">
        <f aca="false">IF(F$3=Seed_Month,Seed_Amount,0)+IF(F$3=SeriesA_Month,SeriesA_Amount,0)+IF(F$3=SeriesB_Month,SeriesB_Amount,0)</f>
        <v>0</v>
      </c>
      <c r="G19" s="33" t="n">
        <f aca="false">IF(G$3=Seed_Month,Seed_Amount,0)+IF(G$3=SeriesA_Month,SeriesA_Amount,0)+IF(G$3=SeriesB_Month,SeriesB_Amount,0)</f>
        <v>0</v>
      </c>
      <c r="H19" s="33" t="n">
        <f aca="false">IF(H$3=Seed_Month,Seed_Amount,0)+IF(H$3=SeriesA_Month,SeriesA_Amount,0)+IF(H$3=SeriesB_Month,SeriesB_Amount,0)</f>
        <v>0</v>
      </c>
      <c r="I19" s="33" t="n">
        <f aca="false">IF(I$3=Seed_Month,Seed_Amount,0)+IF(I$3=SeriesA_Month,SeriesA_Amount,0)+IF(I$3=SeriesB_Month,SeriesB_Amount,0)</f>
        <v>0</v>
      </c>
      <c r="J19" s="33" t="n">
        <f aca="false">IF(J$3=Seed_Month,Seed_Amount,0)+IF(J$3=SeriesA_Month,SeriesA_Amount,0)+IF(J$3=SeriesB_Month,SeriesB_Amount,0)</f>
        <v>0</v>
      </c>
      <c r="K19" s="33" t="n">
        <f aca="false">IF(K$3=Seed_Month,Seed_Amount,0)+IF(K$3=SeriesA_Month,SeriesA_Amount,0)+IF(K$3=SeriesB_Month,SeriesB_Amount,0)</f>
        <v>0</v>
      </c>
      <c r="L19" s="33" t="n">
        <f aca="false">IF(L$3=Seed_Month,Seed_Amount,0)+IF(L$3=SeriesA_Month,SeriesA_Amount,0)+IF(L$3=SeriesB_Month,SeriesB_Amount,0)</f>
        <v>0</v>
      </c>
      <c r="M19" s="33" t="n">
        <f aca="false">IF(M$3=Seed_Month,Seed_Amount,0)+IF(M$3=SeriesA_Month,SeriesA_Amount,0)+IF(M$3=SeriesB_Month,SeriesB_Amount,0)</f>
        <v>0</v>
      </c>
      <c r="N19" s="33" t="n">
        <f aca="false">IF(N$3=Seed_Month,Seed_Amount,0)+IF(N$3=SeriesA_Month,SeriesA_Amount,0)+IF(N$3=SeriesB_Month,SeriesB_Amount,0)</f>
        <v>0</v>
      </c>
      <c r="O19" s="33" t="n">
        <f aca="false">IF(O$3=Seed_Month,Seed_Amount,0)+IF(O$3=SeriesA_Month,SeriesA_Amount,0)+IF(O$3=SeriesB_Month,SeriesB_Amount,0)</f>
        <v>0</v>
      </c>
      <c r="P19" s="33" t="n">
        <f aca="false">IF(P$3=Seed_Month,Seed_Amount,0)+IF(P$3=SeriesA_Month,SeriesA_Amount,0)+IF(P$3=SeriesB_Month,SeriesB_Amount,0)</f>
        <v>0</v>
      </c>
      <c r="Q19" s="33" t="n">
        <f aca="false">IF(Q$3=Seed_Month,Seed_Amount,0)+IF(Q$3=SeriesA_Month,SeriesA_Amount,0)+IF(Q$3=SeriesB_Month,SeriesB_Amount,0)</f>
        <v>0</v>
      </c>
      <c r="R19" s="33" t="n">
        <f aca="false">IF(R$3=Seed_Month,Seed_Amount,0)+IF(R$3=SeriesA_Month,SeriesA_Amount,0)+IF(R$3=SeriesB_Month,SeriesB_Amount,0)</f>
        <v>0</v>
      </c>
      <c r="S19" s="33" t="n">
        <f aca="false">IF(S$3=Seed_Month,Seed_Amount,0)+IF(S$3=SeriesA_Month,SeriesA_Amount,0)+IF(S$3=SeriesB_Month,SeriesB_Amount,0)</f>
        <v>1200000000</v>
      </c>
      <c r="T19" s="33" t="n">
        <f aca="false">IF(T$3=Seed_Month,Seed_Amount,0)+IF(T$3=SeriesA_Month,SeriesA_Amount,0)+IF(T$3=SeriesB_Month,SeriesB_Amount,0)</f>
        <v>0</v>
      </c>
      <c r="U19" s="33" t="n">
        <f aca="false">IF(U$3=Seed_Month,Seed_Amount,0)+IF(U$3=SeriesA_Month,SeriesA_Amount,0)+IF(U$3=SeriesB_Month,SeriesB_Amount,0)</f>
        <v>0</v>
      </c>
      <c r="V19" s="33" t="n">
        <f aca="false">IF(V$3=Seed_Month,Seed_Amount,0)+IF(V$3=SeriesA_Month,SeriesA_Amount,0)+IF(V$3=SeriesB_Month,SeriesB_Amount,0)</f>
        <v>0</v>
      </c>
      <c r="W19" s="33" t="n">
        <f aca="false">IF(W$3=Seed_Month,Seed_Amount,0)+IF(W$3=SeriesA_Month,SeriesA_Amount,0)+IF(W$3=SeriesB_Month,SeriesB_Amount,0)</f>
        <v>0</v>
      </c>
      <c r="X19" s="33" t="n">
        <f aca="false">IF(X$3=Seed_Month,Seed_Amount,0)+IF(X$3=SeriesA_Month,SeriesA_Amount,0)+IF(X$3=SeriesB_Month,SeriesB_Amount,0)</f>
        <v>0</v>
      </c>
      <c r="Y19" s="33" t="n">
        <f aca="false">IF(Y$3=Seed_Month,Seed_Amount,0)+IF(Y$3=SeriesA_Month,SeriesA_Amount,0)+IF(Y$3=SeriesB_Month,SeriesB_Amount,0)</f>
        <v>0</v>
      </c>
      <c r="Z19" s="33" t="n">
        <f aca="false">IF(Z$3=Seed_Month,Seed_Amount,0)+IF(Z$3=SeriesA_Month,SeriesA_Amount,0)+IF(Z$3=SeriesB_Month,SeriesB_Amount,0)</f>
        <v>0</v>
      </c>
      <c r="AA19" s="33" t="n">
        <f aca="false">IF(AA$3=Seed_Month,Seed_Amount,0)+IF(AA$3=SeriesA_Month,SeriesA_Amount,0)+IF(AA$3=SeriesB_Month,SeriesB_Amount,0)</f>
        <v>0</v>
      </c>
      <c r="AB19" s="33" t="n">
        <f aca="false">IF(AB$3=Seed_Month,Seed_Amount,0)+IF(AB$3=SeriesA_Month,SeriesA_Amount,0)+IF(AB$3=SeriesB_Month,SeriesB_Amount,0)</f>
        <v>1200000000</v>
      </c>
      <c r="AC19" s="33" t="n">
        <f aca="false">IF(AC$3=Seed_Month,Seed_Amount,0)+IF(AC$3=SeriesA_Month,SeriesA_Amount,0)+IF(AC$3=SeriesB_Month,SeriesB_Amount,0)</f>
        <v>0</v>
      </c>
      <c r="AD19" s="33" t="n">
        <f aca="false">IF(AD$3=Seed_Month,Seed_Amount,0)+IF(AD$3=SeriesA_Month,SeriesA_Amount,0)+IF(AD$3=SeriesB_Month,SeriesB_Amount,0)</f>
        <v>0</v>
      </c>
      <c r="AE19" s="33" t="n">
        <f aca="false">IF(AE$3=Seed_Month,Seed_Amount,0)+IF(AE$3=SeriesA_Month,SeriesA_Amount,0)+IF(AE$3=SeriesB_Month,SeriesB_Amount,0)</f>
        <v>0</v>
      </c>
      <c r="AF19" s="33" t="n">
        <f aca="false">IF(AF$3=Seed_Month,Seed_Amount,0)+IF(AF$3=SeriesA_Month,SeriesA_Amount,0)+IF(AF$3=SeriesB_Month,SeriesB_Amount,0)</f>
        <v>0</v>
      </c>
      <c r="AG19" s="33" t="n">
        <f aca="false">IF(AG$3=Seed_Month,Seed_Amount,0)+IF(AG$3=SeriesA_Month,SeriesA_Amount,0)+IF(AG$3=SeriesB_Month,SeriesB_Amount,0)</f>
        <v>0</v>
      </c>
      <c r="AH19" s="33" t="n">
        <f aca="false">IF(AH$3=Seed_Month,Seed_Amount,0)+IF(AH$3=SeriesA_Month,SeriesA_Amount,0)+IF(AH$3=SeriesB_Month,SeriesB_Amount,0)</f>
        <v>0</v>
      </c>
      <c r="AI19" s="33" t="n">
        <f aca="false">IF(AI$3=Seed_Month,Seed_Amount,0)+IF(AI$3=SeriesA_Month,SeriesA_Amount,0)+IF(AI$3=SeriesB_Month,SeriesB_Amount,0)</f>
        <v>0</v>
      </c>
      <c r="AJ19" s="33" t="n">
        <f aca="false">IF(AJ$3=Seed_Month,Seed_Amount,0)+IF(AJ$3=SeriesA_Month,SeriesA_Amount,0)+IF(AJ$3=SeriesB_Month,SeriesB_Amount,0)</f>
        <v>0</v>
      </c>
      <c r="AK19" s="33" t="n">
        <f aca="false">IF(AK$3=Seed_Month,Seed_Amount,0)+IF(AK$3=SeriesA_Month,SeriesA_Amount,0)+IF(AK$3=SeriesB_Month,SeriesB_Amount,0)</f>
        <v>0</v>
      </c>
      <c r="AL19" s="33" t="n">
        <f aca="false">IF(AL$3=Seed_Month,Seed_Amount,0)+IF(AL$3=SeriesA_Month,SeriesA_Amount,0)+IF(AL$3=SeriesB_Month,SeriesB_Amount,0)</f>
        <v>0</v>
      </c>
      <c r="AM19" s="33" t="n">
        <f aca="false">IF(AM$3=Seed_Month,Seed_Amount,0)+IF(AM$3=SeriesA_Month,SeriesA_Amount,0)+IF(AM$3=SeriesB_Month,SeriesB_Amount,0)</f>
        <v>0</v>
      </c>
      <c r="AN19" s="33" t="n">
        <f aca="false">IF(AN$3=Seed_Month,Seed_Amount,0)+IF(AN$3=SeriesA_Month,SeriesA_Amount,0)+IF(AN$3=SeriesB_Month,SeriesB_Amount,0)</f>
        <v>0</v>
      </c>
      <c r="AO19" s="33" t="n">
        <f aca="false">IF(AO$3=Seed_Month,Seed_Amount,0)+IF(AO$3=SeriesA_Month,SeriesA_Amount,0)+IF(AO$3=SeriesB_Month,SeriesB_Amount,0)</f>
        <v>0</v>
      </c>
      <c r="AP19" s="33" t="n">
        <f aca="false">IF(AP$3=Seed_Month,Seed_Amount,0)+IF(AP$3=SeriesA_Month,SeriesA_Amount,0)+IF(AP$3=SeriesB_Month,SeriesB_Amount,0)</f>
        <v>0</v>
      </c>
      <c r="AQ19" s="33" t="n">
        <f aca="false">IF(AQ$3=Seed_Month,Seed_Amount,0)+IF(AQ$3=SeriesA_Month,SeriesA_Amount,0)+IF(AQ$3=SeriesB_Month,SeriesB_Amount,0)</f>
        <v>0</v>
      </c>
      <c r="AR19" s="33" t="n">
        <f aca="false">IF(AR$3=Seed_Month,Seed_Amount,0)+IF(AR$3=SeriesA_Month,SeriesA_Amount,0)+IF(AR$3=SeriesB_Month,SeriesB_Amount,0)</f>
        <v>0</v>
      </c>
      <c r="AS19" s="33" t="n">
        <f aca="false">IF(AS$3=Seed_Month,Seed_Amount,0)+IF(AS$3=SeriesA_Month,SeriesA_Amount,0)+IF(AS$3=SeriesB_Month,SeriesB_Amount,0)</f>
        <v>0</v>
      </c>
      <c r="AT19" s="33" t="n">
        <f aca="false">IF(AT$3=Seed_Month,Seed_Amount,0)+IF(AT$3=SeriesA_Month,SeriesA_Amount,0)+IF(AT$3=SeriesB_Month,SeriesB_Amount,0)</f>
        <v>0</v>
      </c>
      <c r="AU19" s="33" t="n">
        <f aca="false">IF(AU$3=Seed_Month,Seed_Amount,0)+IF(AU$3=SeriesA_Month,SeriesA_Amount,0)+IF(AU$3=SeriesB_Month,SeriesB_Amount,0)</f>
        <v>0</v>
      </c>
      <c r="AV19" s="33" t="n">
        <f aca="false">IF(AV$3=Seed_Month,Seed_Amount,0)+IF(AV$3=SeriesA_Month,SeriesA_Amount,0)+IF(AV$3=SeriesB_Month,SeriesB_Amount,0)</f>
        <v>0</v>
      </c>
      <c r="AW19" s="33" t="n">
        <f aca="false">IF(AW$3=Seed_Month,Seed_Amount,0)+IF(AW$3=SeriesA_Month,SeriesA_Amount,0)+IF(AW$3=SeriesB_Month,SeriesB_Amount,0)</f>
        <v>0</v>
      </c>
      <c r="AX19" s="33" t="n">
        <f aca="false">IF(AX$3=Seed_Month,Seed_Amount,0)+IF(AX$3=SeriesA_Month,SeriesA_Amount,0)+IF(AX$3=SeriesB_Month,SeriesB_Amount,0)</f>
        <v>0</v>
      </c>
      <c r="AY19" s="33" t="n">
        <f aca="false">IF(AY$3=Seed_Month,Seed_Amount,0)+IF(AY$3=SeriesA_Month,SeriesA_Amount,0)+IF(AY$3=SeriesB_Month,SeriesB_Amount,0)</f>
        <v>0</v>
      </c>
      <c r="AZ19" s="33" t="n">
        <f aca="false">IF(AZ$3=Seed_Month,Seed_Amount,0)+IF(AZ$3=SeriesA_Month,SeriesA_Amount,0)+IF(AZ$3=SeriesB_Month,SeriesB_Amount,0)</f>
        <v>0</v>
      </c>
      <c r="BA19" s="33" t="n">
        <f aca="false">IF(BA$3=Seed_Month,Seed_Amount,0)+IF(BA$3=SeriesA_Month,SeriesA_Amount,0)+IF(BA$3=SeriesB_Month,SeriesB_Amount,0)</f>
        <v>0</v>
      </c>
      <c r="BB19" s="33" t="n">
        <f aca="false">IF(BB$3=Seed_Month,Seed_Amount,0)+IF(BB$3=SeriesA_Month,SeriesA_Amount,0)+IF(BB$3=SeriesB_Month,SeriesB_Amount,0)</f>
        <v>0</v>
      </c>
      <c r="BC19" s="33" t="n">
        <f aca="false">IF(BC$3=Seed_Month,Seed_Amount,0)+IF(BC$3=SeriesA_Month,SeriesA_Amount,0)+IF(BC$3=SeriesB_Month,SeriesB_Amount,0)</f>
        <v>0</v>
      </c>
      <c r="BD19" s="33" t="n">
        <f aca="false">IF(BD$3=Seed_Month,Seed_Amount,0)+IF(BD$3=SeriesA_Month,SeriesA_Amount,0)+IF(BD$3=SeriesB_Month,SeriesB_Amount,0)</f>
        <v>0</v>
      </c>
      <c r="BE19" s="33" t="n">
        <f aca="false">IF(BE$3=Seed_Month,Seed_Amount,0)+IF(BE$3=SeriesA_Month,SeriesA_Amount,0)+IF(BE$3=SeriesB_Month,SeriesB_Amount,0)</f>
        <v>0</v>
      </c>
      <c r="BF19" s="33" t="n">
        <f aca="false">IF(BF$3=Seed_Month,Seed_Amount,0)+IF(BF$3=SeriesA_Month,SeriesA_Amount,0)+IF(BF$3=SeriesB_Month,SeriesB_Amount,0)</f>
        <v>0</v>
      </c>
      <c r="BG19" s="33" t="n">
        <f aca="false">IF(BG$3=Seed_Month,Seed_Amount,0)+IF(BG$3=SeriesA_Month,SeriesA_Amount,0)+IF(BG$3=SeriesB_Month,SeriesB_Amount,0)</f>
        <v>0</v>
      </c>
      <c r="BH19" s="33" t="n">
        <f aca="false">IF(BH$3=Seed_Month,Seed_Amount,0)+IF(BH$3=SeriesA_Month,SeriesA_Amount,0)+IF(BH$3=SeriesB_Month,SeriesB_Amount,0)</f>
        <v>0</v>
      </c>
      <c r="BI19" s="33" t="n">
        <f aca="false">IF(BI$3=Seed_Month,Seed_Amount,0)+IF(BI$3=SeriesA_Month,SeriesA_Amount,0)+IF(BI$3=SeriesB_Month,SeriesB_Amount,0)</f>
        <v>0</v>
      </c>
      <c r="BJ19" s="33" t="n">
        <f aca="false">IF(BJ$3=Seed_Month,Seed_Amount,0)+IF(BJ$3=SeriesA_Month,SeriesA_Amount,0)+IF(BJ$3=SeriesB_Month,SeriesB_Amount,0)</f>
        <v>0</v>
      </c>
      <c r="BK19" s="33" t="n">
        <f aca="false">IF(BK$3=Seed_Month,Seed_Amount,0)+IF(BK$3=SeriesA_Month,SeriesA_Amount,0)+IF(BK$3=SeriesB_Month,SeriesB_Amount,0)</f>
        <v>0</v>
      </c>
      <c r="BL19" s="33" t="n">
        <f aca="false">IF(BL$3=Seed_Month,Seed_Amount,0)+IF(BL$3=SeriesA_Month,SeriesA_Amount,0)+IF(BL$3=SeriesB_Month,SeriesB_Amount,0)</f>
        <v>0</v>
      </c>
    </row>
    <row r="20" customFormat="false" ht="15" hidden="false" customHeight="true" outlineLevel="0" collapsed="false">
      <c r="A20" s="9" t="s">
        <v>1489</v>
      </c>
      <c r="B20" s="15" t="s">
        <v>77</v>
      </c>
      <c r="D20" s="56" t="n">
        <f aca="false">SUM(E20:BL20)</f>
        <v>6019907771.51999</v>
      </c>
      <c r="E20" s="17" t="n">
        <f aca="false">E15+E19</f>
        <v>867809060.73</v>
      </c>
      <c r="F20" s="17" t="n">
        <f aca="false">F15+F19</f>
        <v>-40596168.9</v>
      </c>
      <c r="G20" s="17" t="n">
        <f aca="false">G15+G19</f>
        <v>-55296168.9</v>
      </c>
      <c r="H20" s="17" t="n">
        <f aca="false">H15+H19</f>
        <v>-67105998.3</v>
      </c>
      <c r="I20" s="17" t="n">
        <f aca="false">I15+I19</f>
        <v>-35591503.7216667</v>
      </c>
      <c r="J20" s="17" t="n">
        <f aca="false">J15+J19</f>
        <v>-33099950.1243333</v>
      </c>
      <c r="K20" s="17" t="n">
        <f aca="false">K15+K19</f>
        <v>-30957691.043655</v>
      </c>
      <c r="L20" s="17" t="n">
        <f aca="false">L15+L19</f>
        <v>-28819006.249316</v>
      </c>
      <c r="M20" s="17" t="n">
        <f aca="false">M15+M19</f>
        <v>-26682495.5249901</v>
      </c>
      <c r="N20" s="17" t="n">
        <f aca="false">N15+N19</f>
        <v>-24546697.4302898</v>
      </c>
      <c r="O20" s="17" t="n">
        <f aca="false">O15+O19</f>
        <v>-22180292.4672198</v>
      </c>
      <c r="P20" s="17" t="n">
        <f aca="false">P15+P19</f>
        <v>-19745416.2484548</v>
      </c>
      <c r="Q20" s="17" t="n">
        <f aca="false">Q15+Q19</f>
        <v>-31833521.7097002</v>
      </c>
      <c r="R20" s="17" t="n">
        <f aca="false">R15+R19</f>
        <v>-27364855.7625944</v>
      </c>
      <c r="S20" s="17" t="n">
        <f aca="false">S15+S19</f>
        <v>1171086955.04361</v>
      </c>
      <c r="T20" s="17" t="n">
        <f aca="false">T15+T19</f>
        <v>-46798409.3141634</v>
      </c>
      <c r="U20" s="17" t="n">
        <f aca="false">U15+U19</f>
        <v>-16946462.1747956</v>
      </c>
      <c r="V20" s="17" t="n">
        <f aca="false">V15+V19</f>
        <v>-23597029.3987357</v>
      </c>
      <c r="W20" s="17" t="n">
        <f aca="false">W15+W19</f>
        <v>-20453358.4746178</v>
      </c>
      <c r="X20" s="17" t="n">
        <f aca="false">X15+X19</f>
        <v>-15799798.9016538</v>
      </c>
      <c r="Y20" s="17" t="n">
        <f aca="false">Y15+Y19</f>
        <v>-11245305.4547148</v>
      </c>
      <c r="Z20" s="17" t="n">
        <f aca="false">Z15+Z19</f>
        <v>-4305186.14123564</v>
      </c>
      <c r="AA20" s="17" t="n">
        <f aca="false">AA15+AA19</f>
        <v>1446465.36112949</v>
      </c>
      <c r="AB20" s="17" t="n">
        <f aca="false">AB15+AB19</f>
        <v>550933873.62267</v>
      </c>
      <c r="AC20" s="17" t="n">
        <f aca="false">AC15+AC19</f>
        <v>-26742956.5118748</v>
      </c>
      <c r="AD20" s="17" t="n">
        <f aca="false">AD15+AD19</f>
        <v>-524984.986468896</v>
      </c>
      <c r="AE20" s="17" t="n">
        <f aca="false">AE15+AE19</f>
        <v>2830110.6677188</v>
      </c>
      <c r="AF20" s="17" t="n">
        <f aca="false">AF15+AF19</f>
        <v>-625113.651641116</v>
      </c>
      <c r="AG20" s="17" t="n">
        <f aca="false">AG15+AG19</f>
        <v>175403.647552773</v>
      </c>
      <c r="AH20" s="17" t="n">
        <f aca="false">AH15+AH19</f>
        <v>28612050.6036757</v>
      </c>
      <c r="AI20" s="17" t="n">
        <f aca="false">AI15+AI19</f>
        <v>35791747.8037862</v>
      </c>
      <c r="AJ20" s="17" t="n">
        <f aca="false">AJ15+AJ19</f>
        <v>45061475.1979736</v>
      </c>
      <c r="AK20" s="17" t="n">
        <f aca="false">AK15+AK19</f>
        <v>56845093.3909193</v>
      </c>
      <c r="AL20" s="17" t="n">
        <f aca="false">AL15+AL19</f>
        <v>63271297.8465001</v>
      </c>
      <c r="AM20" s="17" t="n">
        <f aca="false">AM15+AM19</f>
        <v>72249994.5771675</v>
      </c>
      <c r="AN20" s="17" t="n">
        <f aca="false">AN15+AN19</f>
        <v>49912644.951289</v>
      </c>
      <c r="AO20" s="17" t="n">
        <f aca="false">AO15+AO19</f>
        <v>48565181.6414014</v>
      </c>
      <c r="AP20" s="17" t="n">
        <f aca="false">AP15+AP19</f>
        <v>55938849.8889701</v>
      </c>
      <c r="AQ20" s="17" t="n">
        <f aca="false">AQ15+AQ19</f>
        <v>70653021.4382648</v>
      </c>
      <c r="AR20" s="17" t="n">
        <f aca="false">AR15+AR19</f>
        <v>71739515.4357113</v>
      </c>
      <c r="AS20" s="17" t="n">
        <f aca="false">AS15+AS19</f>
        <v>85751380.3682399</v>
      </c>
      <c r="AT20" s="17" t="n">
        <f aca="false">AT15+AT19</f>
        <v>95544233.2653756</v>
      </c>
      <c r="AU20" s="17" t="n">
        <f aca="false">AU15+AU19</f>
        <v>102655545.555084</v>
      </c>
      <c r="AV20" s="17" t="n">
        <f aca="false">AV15+AV19</f>
        <v>111559342.228912</v>
      </c>
      <c r="AW20" s="17" t="n">
        <f aca="false">AW15+AW19</f>
        <v>119025161.794473</v>
      </c>
      <c r="AX20" s="17" t="n">
        <f aca="false">AX15+AX19</f>
        <v>129418155.576424</v>
      </c>
      <c r="AY20" s="17" t="n">
        <f aca="false">AY15+AY19</f>
        <v>140062845.276071</v>
      </c>
      <c r="AZ20" s="17" t="n">
        <f aca="false">AZ15+AZ19</f>
        <v>149496505.927588</v>
      </c>
      <c r="BA20" s="17" t="n">
        <f aca="false">BA15+BA19</f>
        <v>148217879.850047</v>
      </c>
      <c r="BB20" s="17" t="n">
        <f aca="false">BB15+BB19</f>
        <v>158866836.236977</v>
      </c>
      <c r="BC20" s="17" t="n">
        <f aca="false">BC15+BC19</f>
        <v>170622392.2895</v>
      </c>
      <c r="BD20" s="17" t="n">
        <f aca="false">BD15+BD19</f>
        <v>177394938.214605</v>
      </c>
      <c r="BE20" s="17" t="n">
        <f aca="false">BE15+BE19</f>
        <v>193170511.395546</v>
      </c>
      <c r="BF20" s="17" t="n">
        <f aca="false">BF15+BF19</f>
        <v>203017955.812905</v>
      </c>
      <c r="BG20" s="17" t="n">
        <f aca="false">BG15+BG19</f>
        <v>215187368.124853</v>
      </c>
      <c r="BH20" s="17" t="n">
        <f aca="false">BH15+BH19</f>
        <v>223212356.181848</v>
      </c>
      <c r="BI20" s="17" t="n">
        <f aca="false">BI15+BI19</f>
        <v>235998237.528516</v>
      </c>
      <c r="BJ20" s="17" t="n">
        <f aca="false">BJ15+BJ19</f>
        <v>246857692.016381</v>
      </c>
      <c r="BK20" s="17" t="n">
        <f aca="false">BK15+BK19</f>
        <v>259957688.761645</v>
      </c>
      <c r="BL20" s="17" t="n">
        <f aca="false">BL15+BL19</f>
        <v>271826374.65878</v>
      </c>
    </row>
    <row r="22" customFormat="false" ht="15" hidden="false" customHeight="true" outlineLevel="0" collapsed="false">
      <c r="A22" s="11" t="s">
        <v>1490</v>
      </c>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row>
    <row r="23" customFormat="false" ht="15" hidden="false" customHeight="true" outlineLevel="0" collapsed="false">
      <c r="A23" s="13" t="s">
        <v>1491</v>
      </c>
      <c r="B23" s="15" t="s">
        <v>77</v>
      </c>
      <c r="E23" s="33" t="n">
        <f aca="false">Opening_Cash</f>
        <v>0</v>
      </c>
      <c r="F23" s="33" t="n">
        <f aca="false">E24</f>
        <v>867809060.73</v>
      </c>
      <c r="G23" s="33" t="n">
        <f aca="false">F24</f>
        <v>827212891.83</v>
      </c>
      <c r="H23" s="33" t="n">
        <f aca="false">G24</f>
        <v>771916722.93</v>
      </c>
      <c r="I23" s="33" t="n">
        <f aca="false">H24</f>
        <v>704810724.63</v>
      </c>
      <c r="J23" s="33" t="n">
        <f aca="false">I24</f>
        <v>669219220.908333</v>
      </c>
      <c r="K23" s="33" t="n">
        <f aca="false">J24</f>
        <v>636119270.784</v>
      </c>
      <c r="L23" s="33" t="n">
        <f aca="false">K24</f>
        <v>605161579.740345</v>
      </c>
      <c r="M23" s="33" t="n">
        <f aca="false">L24</f>
        <v>576342573.491029</v>
      </c>
      <c r="N23" s="33" t="n">
        <f aca="false">M24</f>
        <v>549660077.966039</v>
      </c>
      <c r="O23" s="33" t="n">
        <f aca="false">N24</f>
        <v>525113380.535749</v>
      </c>
      <c r="P23" s="33" t="n">
        <f aca="false">O24</f>
        <v>502933088.068529</v>
      </c>
      <c r="Q23" s="33" t="n">
        <f aca="false">P24</f>
        <v>483187671.820075</v>
      </c>
      <c r="R23" s="33" t="n">
        <f aca="false">Q24</f>
        <v>451354150.110374</v>
      </c>
      <c r="S23" s="33" t="n">
        <f aca="false">R24</f>
        <v>423989294.34778</v>
      </c>
      <c r="T23" s="33" t="n">
        <f aca="false">S24</f>
        <v>1595076249.39139</v>
      </c>
      <c r="U23" s="33" t="n">
        <f aca="false">T24</f>
        <v>1548277840.07723</v>
      </c>
      <c r="V23" s="33" t="n">
        <f aca="false">U24</f>
        <v>1531331377.90244</v>
      </c>
      <c r="W23" s="33" t="n">
        <f aca="false">V24</f>
        <v>1507734348.5037</v>
      </c>
      <c r="X23" s="33" t="n">
        <f aca="false">W24</f>
        <v>1487280990.02908</v>
      </c>
      <c r="Y23" s="33" t="n">
        <f aca="false">X24</f>
        <v>1471481191.12743</v>
      </c>
      <c r="Z23" s="33" t="n">
        <f aca="false">Y24</f>
        <v>1460235885.67271</v>
      </c>
      <c r="AA23" s="33" t="n">
        <f aca="false">Z24</f>
        <v>1455930699.53148</v>
      </c>
      <c r="AB23" s="33" t="n">
        <f aca="false">AA24</f>
        <v>1457377164.89261</v>
      </c>
      <c r="AC23" s="33" t="n">
        <f aca="false">AB24</f>
        <v>2008311038.51528</v>
      </c>
      <c r="AD23" s="33" t="n">
        <f aca="false">AC24</f>
        <v>1981568082.0034</v>
      </c>
      <c r="AE23" s="33" t="n">
        <f aca="false">AD24</f>
        <v>1981043097.01693</v>
      </c>
      <c r="AF23" s="33" t="n">
        <f aca="false">AE24</f>
        <v>1983873207.68465</v>
      </c>
      <c r="AG23" s="33" t="n">
        <f aca="false">AF24</f>
        <v>1983248094.03301</v>
      </c>
      <c r="AH23" s="33" t="n">
        <f aca="false">AG24</f>
        <v>1983423497.68056</v>
      </c>
      <c r="AI23" s="33" t="n">
        <f aca="false">AH24</f>
        <v>2012035548.28424</v>
      </c>
      <c r="AJ23" s="33" t="n">
        <f aca="false">AI24</f>
        <v>2047827296.08803</v>
      </c>
      <c r="AK23" s="33" t="n">
        <f aca="false">AJ24</f>
        <v>2092888771.286</v>
      </c>
      <c r="AL23" s="33" t="n">
        <f aca="false">AK24</f>
        <v>2149733864.67692</v>
      </c>
      <c r="AM23" s="33" t="n">
        <f aca="false">AL24</f>
        <v>2213005162.52342</v>
      </c>
      <c r="AN23" s="33" t="n">
        <f aca="false">AM24</f>
        <v>2285255157.10059</v>
      </c>
      <c r="AO23" s="33" t="n">
        <f aca="false">AN24</f>
        <v>2335167802.05188</v>
      </c>
      <c r="AP23" s="33" t="n">
        <f aca="false">AO24</f>
        <v>2383732983.69328</v>
      </c>
      <c r="AQ23" s="33" t="n">
        <f aca="false">AP24</f>
        <v>2439671833.58225</v>
      </c>
      <c r="AR23" s="33" t="n">
        <f aca="false">AQ24</f>
        <v>2510324855.02051</v>
      </c>
      <c r="AS23" s="33" t="n">
        <f aca="false">AR24</f>
        <v>2582064370.45622</v>
      </c>
      <c r="AT23" s="33" t="n">
        <f aca="false">AS24</f>
        <v>2667815750.82446</v>
      </c>
      <c r="AU23" s="33" t="n">
        <f aca="false">AT24</f>
        <v>2763359984.08984</v>
      </c>
      <c r="AV23" s="33" t="n">
        <f aca="false">AU24</f>
        <v>2866015529.64492</v>
      </c>
      <c r="AW23" s="33" t="n">
        <f aca="false">AV24</f>
        <v>2977574871.87383</v>
      </c>
      <c r="AX23" s="33" t="n">
        <f aca="false">AW24</f>
        <v>3096600033.66831</v>
      </c>
      <c r="AY23" s="33" t="n">
        <f aca="false">AX24</f>
        <v>3226018189.24473</v>
      </c>
      <c r="AZ23" s="33" t="n">
        <f aca="false">AY24</f>
        <v>3366081034.5208</v>
      </c>
      <c r="BA23" s="33" t="n">
        <f aca="false">AZ24</f>
        <v>3515577540.44839</v>
      </c>
      <c r="BB23" s="33" t="n">
        <f aca="false">BA24</f>
        <v>3663795420.29844</v>
      </c>
      <c r="BC23" s="33" t="n">
        <f aca="false">BB24</f>
        <v>3822662256.53541</v>
      </c>
      <c r="BD23" s="33" t="n">
        <f aca="false">BC24</f>
        <v>3993284648.82491</v>
      </c>
      <c r="BE23" s="33" t="n">
        <f aca="false">BD24</f>
        <v>4170679587.03952</v>
      </c>
      <c r="BF23" s="33" t="n">
        <f aca="false">BE24</f>
        <v>4363850098.43507</v>
      </c>
      <c r="BG23" s="33" t="n">
        <f aca="false">BF24</f>
        <v>4566868054.24797</v>
      </c>
      <c r="BH23" s="33" t="n">
        <f aca="false">BG24</f>
        <v>4782055422.37282</v>
      </c>
      <c r="BI23" s="33" t="n">
        <f aca="false">BH24</f>
        <v>5005267778.55467</v>
      </c>
      <c r="BJ23" s="33" t="n">
        <f aca="false">BI24</f>
        <v>5241266016.08319</v>
      </c>
      <c r="BK23" s="33" t="n">
        <f aca="false">BJ24</f>
        <v>5488123708.09957</v>
      </c>
      <c r="BL23" s="33" t="n">
        <f aca="false">BK24</f>
        <v>5748081396.86121</v>
      </c>
    </row>
    <row r="24" customFormat="false" ht="15" hidden="false" customHeight="true" outlineLevel="0" collapsed="false">
      <c r="A24" s="9" t="s">
        <v>101</v>
      </c>
      <c r="B24" s="15" t="s">
        <v>77</v>
      </c>
      <c r="D24" s="56" t="n">
        <f aca="false">BL24</f>
        <v>6019907771.51999</v>
      </c>
      <c r="E24" s="56" t="n">
        <f aca="false">E23+E20</f>
        <v>867809060.73</v>
      </c>
      <c r="F24" s="56" t="n">
        <f aca="false">F23+F20</f>
        <v>827212891.83</v>
      </c>
      <c r="G24" s="56" t="n">
        <f aca="false">G23+G20</f>
        <v>771916722.93</v>
      </c>
      <c r="H24" s="56" t="n">
        <f aca="false">H23+H20</f>
        <v>704810724.63</v>
      </c>
      <c r="I24" s="56" t="n">
        <f aca="false">I23+I20</f>
        <v>669219220.908333</v>
      </c>
      <c r="J24" s="56" t="n">
        <f aca="false">J23+J20</f>
        <v>636119270.784</v>
      </c>
      <c r="K24" s="56" t="n">
        <f aca="false">K23+K20</f>
        <v>605161579.740345</v>
      </c>
      <c r="L24" s="56" t="n">
        <f aca="false">L23+L20</f>
        <v>576342573.491029</v>
      </c>
      <c r="M24" s="56" t="n">
        <f aca="false">M23+M20</f>
        <v>549660077.966039</v>
      </c>
      <c r="N24" s="56" t="n">
        <f aca="false">N23+N20</f>
        <v>525113380.535749</v>
      </c>
      <c r="O24" s="56" t="n">
        <f aca="false">O23+O20</f>
        <v>502933088.068529</v>
      </c>
      <c r="P24" s="56" t="n">
        <f aca="false">P23+P20</f>
        <v>483187671.820075</v>
      </c>
      <c r="Q24" s="56" t="n">
        <f aca="false">Q23+Q20</f>
        <v>451354150.110374</v>
      </c>
      <c r="R24" s="56" t="n">
        <f aca="false">R23+R20</f>
        <v>423989294.34778</v>
      </c>
      <c r="S24" s="56" t="n">
        <f aca="false">S23+S20</f>
        <v>1595076249.39139</v>
      </c>
      <c r="T24" s="56" t="n">
        <f aca="false">T23+T20</f>
        <v>1548277840.07723</v>
      </c>
      <c r="U24" s="56" t="n">
        <f aca="false">U23+U20</f>
        <v>1531331377.90244</v>
      </c>
      <c r="V24" s="56" t="n">
        <f aca="false">V23+V20</f>
        <v>1507734348.5037</v>
      </c>
      <c r="W24" s="56" t="n">
        <f aca="false">W23+W20</f>
        <v>1487280990.02908</v>
      </c>
      <c r="X24" s="56" t="n">
        <f aca="false">X23+X20</f>
        <v>1471481191.12743</v>
      </c>
      <c r="Y24" s="56" t="n">
        <f aca="false">Y23+Y20</f>
        <v>1460235885.67271</v>
      </c>
      <c r="Z24" s="56" t="n">
        <f aca="false">Z23+Z20</f>
        <v>1455930699.53148</v>
      </c>
      <c r="AA24" s="56" t="n">
        <f aca="false">AA23+AA20</f>
        <v>1457377164.89261</v>
      </c>
      <c r="AB24" s="56" t="n">
        <f aca="false">AB23+AB20</f>
        <v>2008311038.51528</v>
      </c>
      <c r="AC24" s="56" t="n">
        <f aca="false">AC23+AC20</f>
        <v>1981568082.0034</v>
      </c>
      <c r="AD24" s="56" t="n">
        <f aca="false">AD23+AD20</f>
        <v>1981043097.01693</v>
      </c>
      <c r="AE24" s="56" t="n">
        <f aca="false">AE23+AE20</f>
        <v>1983873207.68465</v>
      </c>
      <c r="AF24" s="56" t="n">
        <f aca="false">AF23+AF20</f>
        <v>1983248094.03301</v>
      </c>
      <c r="AG24" s="56" t="n">
        <f aca="false">AG23+AG20</f>
        <v>1983423497.68056</v>
      </c>
      <c r="AH24" s="56" t="n">
        <f aca="false">AH23+AH20</f>
        <v>2012035548.28424</v>
      </c>
      <c r="AI24" s="56" t="n">
        <f aca="false">AI23+AI20</f>
        <v>2047827296.08803</v>
      </c>
      <c r="AJ24" s="56" t="n">
        <f aca="false">AJ23+AJ20</f>
        <v>2092888771.286</v>
      </c>
      <c r="AK24" s="56" t="n">
        <f aca="false">AK23+AK20</f>
        <v>2149733864.67692</v>
      </c>
      <c r="AL24" s="56" t="n">
        <f aca="false">AL23+AL20</f>
        <v>2213005162.52342</v>
      </c>
      <c r="AM24" s="56" t="n">
        <f aca="false">AM23+AM20</f>
        <v>2285255157.10059</v>
      </c>
      <c r="AN24" s="56" t="n">
        <f aca="false">AN23+AN20</f>
        <v>2335167802.05188</v>
      </c>
      <c r="AO24" s="56" t="n">
        <f aca="false">AO23+AO20</f>
        <v>2383732983.69328</v>
      </c>
      <c r="AP24" s="56" t="n">
        <f aca="false">AP23+AP20</f>
        <v>2439671833.58225</v>
      </c>
      <c r="AQ24" s="56" t="n">
        <f aca="false">AQ23+AQ20</f>
        <v>2510324855.02051</v>
      </c>
      <c r="AR24" s="56" t="n">
        <f aca="false">AR23+AR20</f>
        <v>2582064370.45622</v>
      </c>
      <c r="AS24" s="56" t="n">
        <f aca="false">AS23+AS20</f>
        <v>2667815750.82446</v>
      </c>
      <c r="AT24" s="56" t="n">
        <f aca="false">AT23+AT20</f>
        <v>2763359984.08984</v>
      </c>
      <c r="AU24" s="56" t="n">
        <f aca="false">AU23+AU20</f>
        <v>2866015529.64492</v>
      </c>
      <c r="AV24" s="56" t="n">
        <f aca="false">AV23+AV20</f>
        <v>2977574871.87383</v>
      </c>
      <c r="AW24" s="56" t="n">
        <f aca="false">AW23+AW20</f>
        <v>3096600033.66831</v>
      </c>
      <c r="AX24" s="56" t="n">
        <f aca="false">AX23+AX20</f>
        <v>3226018189.24473</v>
      </c>
      <c r="AY24" s="56" t="n">
        <f aca="false">AY23+AY20</f>
        <v>3366081034.5208</v>
      </c>
      <c r="AZ24" s="56" t="n">
        <f aca="false">AZ23+AZ20</f>
        <v>3515577540.44839</v>
      </c>
      <c r="BA24" s="56" t="n">
        <f aca="false">BA23+BA20</f>
        <v>3663795420.29844</v>
      </c>
      <c r="BB24" s="56" t="n">
        <f aca="false">BB23+BB20</f>
        <v>3822662256.53541</v>
      </c>
      <c r="BC24" s="56" t="n">
        <f aca="false">BC23+BC20</f>
        <v>3993284648.82491</v>
      </c>
      <c r="BD24" s="56" t="n">
        <f aca="false">BD23+BD20</f>
        <v>4170679587.03952</v>
      </c>
      <c r="BE24" s="56" t="n">
        <f aca="false">BE23+BE20</f>
        <v>4363850098.43507</v>
      </c>
      <c r="BF24" s="56" t="n">
        <f aca="false">BF23+BF20</f>
        <v>4566868054.24797</v>
      </c>
      <c r="BG24" s="56" t="n">
        <f aca="false">BG23+BG20</f>
        <v>4782055422.37282</v>
      </c>
      <c r="BH24" s="56" t="n">
        <f aca="false">BH23+BH20</f>
        <v>5005267778.55467</v>
      </c>
      <c r="BI24" s="56" t="n">
        <f aca="false">BI23+BI20</f>
        <v>5241266016.08319</v>
      </c>
      <c r="BJ24" s="56" t="n">
        <f aca="false">BJ23+BJ20</f>
        <v>5488123708.09957</v>
      </c>
      <c r="BK24" s="56" t="n">
        <f aca="false">BK23+BK20</f>
        <v>5748081396.86121</v>
      </c>
      <c r="BL24" s="56" t="n">
        <f aca="false">BL23+BL20</f>
        <v>6019907771.51999</v>
      </c>
    </row>
    <row r="25" customFormat="false" ht="15" hidden="false" customHeight="true" outlineLevel="0" collapsed="false">
      <c r="A25" s="13" t="s">
        <v>1492</v>
      </c>
      <c r="B25" s="15" t="s">
        <v>77</v>
      </c>
      <c r="D25" s="56" t="n">
        <f aca="false">BL25</f>
        <v>1082977395.59266</v>
      </c>
      <c r="E25" s="33" t="n">
        <f aca="false">-SUM(E12:E12)+Credit!E46</f>
        <v>0</v>
      </c>
      <c r="F25" s="33" t="n">
        <f aca="false">-SUM(E12:F12)+Credit!F46</f>
        <v>0</v>
      </c>
      <c r="G25" s="33" t="n">
        <f aca="false">-SUM(E12:G12)+Credit!G46</f>
        <v>0</v>
      </c>
      <c r="H25" s="33" t="n">
        <f aca="false">-SUM(E12:H12)+Credit!H46</f>
        <v>30000000</v>
      </c>
      <c r="I25" s="33" t="n">
        <f aca="false">-SUM(E12:I12)+Credit!I46</f>
        <v>30000000</v>
      </c>
      <c r="J25" s="33" t="n">
        <f aca="false">-SUM(E12:J12)+Credit!J46</f>
        <v>30000000</v>
      </c>
      <c r="K25" s="33" t="n">
        <f aca="false">-SUM(E12:K12)+Credit!K46</f>
        <v>30000000</v>
      </c>
      <c r="L25" s="33" t="n">
        <f aca="false">-SUM(E12:L12)+Credit!L46</f>
        <v>30000000</v>
      </c>
      <c r="M25" s="33" t="n">
        <f aca="false">-SUM(E12:M12)+Credit!M46</f>
        <v>30000000</v>
      </c>
      <c r="N25" s="33" t="n">
        <f aca="false">-SUM(E12:N12)+Credit!N46</f>
        <v>30000000</v>
      </c>
      <c r="O25" s="33" t="n">
        <f aca="false">-SUM(E12:O12)+Credit!O46</f>
        <v>30000000</v>
      </c>
      <c r="P25" s="33" t="n">
        <f aca="false">-SUM(E12:P12)+Credit!P46</f>
        <v>30000000</v>
      </c>
      <c r="Q25" s="33" t="n">
        <f aca="false">-SUM(E12:Q12)+Credit!Q46</f>
        <v>30000000</v>
      </c>
      <c r="R25" s="33" t="n">
        <f aca="false">-SUM(E12:R12)+Credit!R46</f>
        <v>30000000</v>
      </c>
      <c r="S25" s="33" t="n">
        <f aca="false">-SUM(E12:S12)+Credit!S46</f>
        <v>30000000</v>
      </c>
      <c r="T25" s="33" t="n">
        <f aca="false">-SUM(E12:T12)+Credit!T46</f>
        <v>30000000</v>
      </c>
      <c r="U25" s="33" t="n">
        <f aca="false">-SUM(E12:U12)+Credit!U46</f>
        <v>30000000</v>
      </c>
      <c r="V25" s="33" t="n">
        <f aca="false">-SUM(E12:V12)+Credit!V46</f>
        <v>33171515.4523898</v>
      </c>
      <c r="W25" s="33" t="n">
        <f aca="false">-SUM(E12:W12)+Credit!W46</f>
        <v>37177351.3747622</v>
      </c>
      <c r="X25" s="33" t="n">
        <f aca="false">-SUM(E12:X12)+Credit!X46</f>
        <v>42014740.5882815</v>
      </c>
      <c r="Y25" s="33" t="n">
        <f aca="false">-SUM(E12:Y12)+Credit!Y46</f>
        <v>48903687.8255837</v>
      </c>
      <c r="Z25" s="33" t="n">
        <f aca="false">-SUM(E12:Z12)+Credit!Z46</f>
        <v>56905155.7074892</v>
      </c>
      <c r="AA25" s="33" t="n">
        <f aca="false">-SUM(E12:AA12)+Credit!AA46</f>
        <v>66019368.6326155</v>
      </c>
      <c r="AB25" s="33" t="n">
        <f aca="false">-SUM(E12:AB12)+Credit!AB46</f>
        <v>76248763.9054858</v>
      </c>
      <c r="AC25" s="33" t="n">
        <f aca="false">-SUM(E12:AC12)+Credit!AC46</f>
        <v>113140167.986966</v>
      </c>
      <c r="AD25" s="33" t="n">
        <f aca="false">-SUM(E12:AD12)+Credit!AD46</f>
        <v>132476287.820268</v>
      </c>
      <c r="AE25" s="33" t="n">
        <f aca="false">-SUM(E12:AE12)+Credit!AE46</f>
        <v>158642933.837067</v>
      </c>
      <c r="AF25" s="33" t="n">
        <f aca="false">-SUM(E12:AF12)+Credit!AF46</f>
        <v>187526435.622965</v>
      </c>
      <c r="AG25" s="33" t="n">
        <f aca="false">-SUM(E12:AG12)+Credit!AG46</f>
        <v>219136724.083222</v>
      </c>
      <c r="AH25" s="33" t="n">
        <f aca="false">-SUM(E12:AH12)+Credit!AH46</f>
        <v>241036217.895963</v>
      </c>
      <c r="AI25" s="33" t="n">
        <f aca="false">-SUM(E12:AI12)+Credit!AI46</f>
        <v>264953194.992696</v>
      </c>
      <c r="AJ25" s="33" t="n">
        <f aca="false">-SUM(E12:AJ12)+Credit!AJ46</f>
        <v>290138112.957152</v>
      </c>
      <c r="AK25" s="33" t="n">
        <f aca="false">-SUM(E12:AK12)+Credit!AK46</f>
        <v>312764115.736758</v>
      </c>
      <c r="AL25" s="33" t="n">
        <f aca="false">-SUM(E12:AL12)+Credit!AL46</f>
        <v>336273082.219919</v>
      </c>
      <c r="AM25" s="33" t="n">
        <f aca="false">-SUM(E12:AM12)+Credit!AM46</f>
        <v>361616631.035199</v>
      </c>
      <c r="AN25" s="33" t="n">
        <f aca="false">-SUM(E12:AN12)+Credit!AN46</f>
        <v>387926840.20851</v>
      </c>
      <c r="AO25" s="33" t="n">
        <f aca="false">-SUM(E12:AO12)+Credit!AO46</f>
        <v>417577795.751745</v>
      </c>
      <c r="AP25" s="33" t="n">
        <f aca="false">-SUM(E12:AP12)+Credit!AP46</f>
        <v>449321274.045249</v>
      </c>
      <c r="AQ25" s="33" t="n">
        <f aca="false">-SUM(E12:AQ12)+Credit!AQ46</f>
        <v>473325750.439445</v>
      </c>
      <c r="AR25" s="33" t="n">
        <f aca="false">-SUM(E12:AR12)+Credit!AR46</f>
        <v>497603336.410588</v>
      </c>
      <c r="AS25" s="33" t="n">
        <f aca="false">-SUM(E12:AS12)+Credit!AS46</f>
        <v>523184802.526532</v>
      </c>
      <c r="AT25" s="33" t="n">
        <f aca="false">-SUM(E12:AT12)+Credit!AT46</f>
        <v>547848756.828817</v>
      </c>
      <c r="AU25" s="33" t="n">
        <f aca="false">-SUM(E12:AU12)+Credit!AU46</f>
        <v>572750450.318434</v>
      </c>
      <c r="AV25" s="33" t="n">
        <f aca="false">-SUM(E12:AV12)+Credit!AV46</f>
        <v>599522217.468847</v>
      </c>
      <c r="AW25" s="33" t="n">
        <f aca="false">-SUM(E12:AW12)+Credit!AW46</f>
        <v>626290661.055236</v>
      </c>
      <c r="AX25" s="33" t="n">
        <f aca="false">-SUM(E12:AX12)+Credit!AX46</f>
        <v>653767079.399596</v>
      </c>
      <c r="AY25" s="33" t="n">
        <f aca="false">-SUM(E12:AY12)+Credit!AY46</f>
        <v>680949072.877137</v>
      </c>
      <c r="AZ25" s="33" t="n">
        <f aca="false">-SUM(E12:AZ12)+Credit!AZ46</f>
        <v>707850536.296159</v>
      </c>
      <c r="BA25" s="33" t="n">
        <f aca="false">-SUM(E12:BA12)+Credit!BA46</f>
        <v>737914206.637956</v>
      </c>
      <c r="BB25" s="33" t="n">
        <f aca="false">-SUM(E12:BB12)+Credit!BB46</f>
        <v>767669942.368467</v>
      </c>
      <c r="BC25" s="33" t="n">
        <f aca="false">-SUM(E12:BC12)+Credit!BC46</f>
        <v>798133060.429718</v>
      </c>
      <c r="BD25" s="33" t="n">
        <f aca="false">-SUM(E12:BD12)+Credit!BD46</f>
        <v>828303879.466622</v>
      </c>
      <c r="BE25" s="33" t="n">
        <f aca="false">-SUM(E12:BE12)+Credit!BE46</f>
        <v>858797456.813138</v>
      </c>
      <c r="BF25" s="33" t="n">
        <f aca="false">-SUM(E12:BF12)+Credit!BF46</f>
        <v>890022538.162874</v>
      </c>
      <c r="BG25" s="33" t="n">
        <f aca="false">-SUM(E12:BG12)+Credit!BG46</f>
        <v>920981072.334586</v>
      </c>
      <c r="BH25" s="33" t="n">
        <f aca="false">-SUM(E12:BH12)+Credit!BH46</f>
        <v>952691272.241932</v>
      </c>
      <c r="BI25" s="33" t="n">
        <f aca="false">-SUM(E12:BI12)+Credit!BI46</f>
        <v>984754450.850941</v>
      </c>
      <c r="BJ25" s="33" t="n">
        <f aca="false">-SUM(E12:BJ12)+Credit!BJ46</f>
        <v>1017582277.57376</v>
      </c>
      <c r="BK25" s="33" t="n">
        <f aca="false">-SUM(E12:BK12)+Credit!BK46</f>
        <v>1050037091.19808</v>
      </c>
      <c r="BL25" s="33" t="n">
        <f aca="false">-SUM(E12:BL12)+Credit!BL46</f>
        <v>1082977395.59266</v>
      </c>
    </row>
    <row r="26" customFormat="false" ht="15" hidden="false" customHeight="true" outlineLevel="0" collapsed="false">
      <c r="A26" s="13" t="s">
        <v>1493</v>
      </c>
      <c r="B26" s="15" t="s">
        <v>77</v>
      </c>
      <c r="E26" s="33" t="n">
        <f aca="false">MAX(0,-AVERAGE(E15))</f>
        <v>32190939.27</v>
      </c>
      <c r="F26" s="33" t="n">
        <f aca="false">MAX(0,-AVERAGE(F15))</f>
        <v>40596168.9</v>
      </c>
      <c r="G26" s="33" t="n">
        <f aca="false">MAX(0,-AVERAGE(E15:G15))</f>
        <v>42694425.69</v>
      </c>
      <c r="H26" s="33" t="n">
        <f aca="false">MAX(0,-AVERAGE(F15:H15))</f>
        <v>54332778.7</v>
      </c>
      <c r="I26" s="33" t="n">
        <f aca="false">MAX(0,-AVERAGE(G15:I15))</f>
        <v>52664556.9738889</v>
      </c>
      <c r="J26" s="33" t="n">
        <f aca="false">MAX(0,-AVERAGE(H15:J15))</f>
        <v>45265817.382</v>
      </c>
      <c r="K26" s="33" t="n">
        <f aca="false">MAX(0,-AVERAGE(I15:K15))</f>
        <v>33216381.629885</v>
      </c>
      <c r="L26" s="33" t="n">
        <f aca="false">MAX(0,-AVERAGE(J15:L15))</f>
        <v>30958882.4724348</v>
      </c>
      <c r="M26" s="33" t="n">
        <f aca="false">MAX(0,-AVERAGE(K15:M15))</f>
        <v>28819730.9393204</v>
      </c>
      <c r="N26" s="33" t="n">
        <f aca="false">MAX(0,-AVERAGE(L15:N15))</f>
        <v>26682733.0681986</v>
      </c>
      <c r="O26" s="33" t="n">
        <f aca="false">MAX(0,-AVERAGE(M15:O15))</f>
        <v>24469828.4741666</v>
      </c>
      <c r="P26" s="33" t="n">
        <f aca="false">MAX(0,-AVERAGE(N15:P15))</f>
        <v>22157468.7153215</v>
      </c>
      <c r="Q26" s="33" t="n">
        <f aca="false">MAX(0,-AVERAGE(O15:Q15))</f>
        <v>24586410.1417916</v>
      </c>
      <c r="R26" s="33" t="n">
        <f aca="false">MAX(0,-AVERAGE(P15:R15))</f>
        <v>26314597.9069165</v>
      </c>
      <c r="S26" s="33" t="n">
        <f aca="false">MAX(0,-AVERAGE(Q15:S15))</f>
        <v>29370474.1428935</v>
      </c>
      <c r="T26" s="33" t="n">
        <f aca="false">MAX(0,-AVERAGE(R15:T15))</f>
        <v>34358770.0110479</v>
      </c>
      <c r="U26" s="33" t="n">
        <f aca="false">MAX(0,-AVERAGE(S15:U15))</f>
        <v>30885972.1484483</v>
      </c>
      <c r="V26" s="33" t="n">
        <f aca="false">MAX(0,-AVERAGE(T15:V15))</f>
        <v>29113966.9625649</v>
      </c>
      <c r="W26" s="33" t="n">
        <f aca="false">MAX(0,-AVERAGE(U15:W15))</f>
        <v>20332283.349383</v>
      </c>
      <c r="X26" s="33" t="n">
        <f aca="false">MAX(0,-AVERAGE(V15:X15))</f>
        <v>19950062.2583358</v>
      </c>
      <c r="Y26" s="33" t="n">
        <f aca="false">MAX(0,-AVERAGE(W15:Y15))</f>
        <v>15832820.9436621</v>
      </c>
      <c r="Z26" s="33" t="n">
        <f aca="false">MAX(0,-AVERAGE(X15:Z15))</f>
        <v>10450096.8325348</v>
      </c>
      <c r="AA26" s="33" t="n">
        <f aca="false">MAX(0,-AVERAGE(Y15:AA15))</f>
        <v>4701342.07827365</v>
      </c>
      <c r="AB26" s="33" t="n">
        <f aca="false">MAX(0,-AVERAGE(Z15:AB15))</f>
        <v>217308282.385812</v>
      </c>
      <c r="AC26" s="33" t="n">
        <f aca="false">MAX(0,-AVERAGE(AA15:AC15))</f>
        <v>224787539.176025</v>
      </c>
      <c r="AD26" s="33" t="n">
        <f aca="false">MAX(0,-AVERAGE(AB15:AD15))</f>
        <v>225444689.291891</v>
      </c>
      <c r="AE26" s="33" t="n">
        <f aca="false">MAX(0,-AVERAGE(AC15:AE15))</f>
        <v>8145943.61020829</v>
      </c>
      <c r="AF26" s="33" t="n">
        <f aca="false">MAX(0,-AVERAGE(AD15:AF15))</f>
        <v>0</v>
      </c>
      <c r="AG26" s="33" t="n">
        <f aca="false">MAX(0,-AVERAGE(AE15:AG15))</f>
        <v>0</v>
      </c>
      <c r="AH26" s="33" t="n">
        <f aca="false">MAX(0,-AVERAGE(AF15:AH15))</f>
        <v>0</v>
      </c>
      <c r="AI26" s="33" t="n">
        <f aca="false">MAX(0,-AVERAGE(AG15:AI15))</f>
        <v>0</v>
      </c>
      <c r="AJ26" s="33" t="n">
        <f aca="false">MAX(0,-AVERAGE(AH15:AJ15))</f>
        <v>0</v>
      </c>
      <c r="AK26" s="33" t="n">
        <f aca="false">MAX(0,-AVERAGE(AI15:AK15))</f>
        <v>0</v>
      </c>
      <c r="AL26" s="33" t="n">
        <f aca="false">MAX(0,-AVERAGE(AJ15:AL15))</f>
        <v>0</v>
      </c>
      <c r="AM26" s="33" t="n">
        <f aca="false">MAX(0,-AVERAGE(AK15:AM15))</f>
        <v>0</v>
      </c>
      <c r="AN26" s="33" t="n">
        <f aca="false">MAX(0,-AVERAGE(AL15:AN15))</f>
        <v>0</v>
      </c>
      <c r="AO26" s="33" t="n">
        <f aca="false">MAX(0,-AVERAGE(AM15:AO15))</f>
        <v>0</v>
      </c>
      <c r="AP26" s="33" t="n">
        <f aca="false">MAX(0,-AVERAGE(AN15:AP15))</f>
        <v>0</v>
      </c>
      <c r="AQ26" s="33" t="n">
        <f aca="false">MAX(0,-AVERAGE(AO15:AQ15))</f>
        <v>0</v>
      </c>
      <c r="AR26" s="33" t="n">
        <f aca="false">MAX(0,-AVERAGE(AP15:AR15))</f>
        <v>0</v>
      </c>
      <c r="AS26" s="33" t="n">
        <f aca="false">MAX(0,-AVERAGE(AQ15:AS15))</f>
        <v>0</v>
      </c>
      <c r="AT26" s="33" t="n">
        <f aca="false">MAX(0,-AVERAGE(AR15:AT15))</f>
        <v>0</v>
      </c>
      <c r="AU26" s="33" t="n">
        <f aca="false">MAX(0,-AVERAGE(AS15:AU15))</f>
        <v>0</v>
      </c>
      <c r="AV26" s="33" t="n">
        <f aca="false">MAX(0,-AVERAGE(AT15:AV15))</f>
        <v>0</v>
      </c>
      <c r="AW26" s="33" t="n">
        <f aca="false">MAX(0,-AVERAGE(AU15:AW15))</f>
        <v>0</v>
      </c>
      <c r="AX26" s="33" t="n">
        <f aca="false">MAX(0,-AVERAGE(AV15:AX15))</f>
        <v>0</v>
      </c>
      <c r="AY26" s="33" t="n">
        <f aca="false">MAX(0,-AVERAGE(AW15:AY15))</f>
        <v>0</v>
      </c>
      <c r="AZ26" s="33" t="n">
        <f aca="false">MAX(0,-AVERAGE(AX15:AZ15))</f>
        <v>0</v>
      </c>
      <c r="BA26" s="33" t="n">
        <f aca="false">MAX(0,-AVERAGE(AY15:BA15))</f>
        <v>0</v>
      </c>
      <c r="BB26" s="33" t="n">
        <f aca="false">MAX(0,-AVERAGE(AZ15:BB15))</f>
        <v>0</v>
      </c>
      <c r="BC26" s="33" t="n">
        <f aca="false">MAX(0,-AVERAGE(BA15:BC15))</f>
        <v>0</v>
      </c>
      <c r="BD26" s="33" t="n">
        <f aca="false">MAX(0,-AVERAGE(BB15:BD15))</f>
        <v>0</v>
      </c>
      <c r="BE26" s="33" t="n">
        <f aca="false">MAX(0,-AVERAGE(BC15:BE15))</f>
        <v>0</v>
      </c>
      <c r="BF26" s="33" t="n">
        <f aca="false">MAX(0,-AVERAGE(BD15:BF15))</f>
        <v>0</v>
      </c>
      <c r="BG26" s="33" t="n">
        <f aca="false">MAX(0,-AVERAGE(BE15:BG15))</f>
        <v>0</v>
      </c>
      <c r="BH26" s="33" t="n">
        <f aca="false">MAX(0,-AVERAGE(BF15:BH15))</f>
        <v>0</v>
      </c>
      <c r="BI26" s="33" t="n">
        <f aca="false">MAX(0,-AVERAGE(BG15:BI15))</f>
        <v>0</v>
      </c>
      <c r="BJ26" s="33" t="n">
        <f aca="false">MAX(0,-AVERAGE(BH15:BJ15))</f>
        <v>0</v>
      </c>
      <c r="BK26" s="33" t="n">
        <f aca="false">MAX(0,-AVERAGE(BI15:BK15))</f>
        <v>0</v>
      </c>
      <c r="BL26" s="33" t="n">
        <f aca="false">MAX(0,-AVERAGE(BJ15:BL15))</f>
        <v>0</v>
      </c>
    </row>
    <row r="27" customFormat="false" ht="15" hidden="false" customHeight="true" outlineLevel="0" collapsed="false">
      <c r="A27" s="13" t="s">
        <v>1494</v>
      </c>
      <c r="B27" s="15" t="s">
        <v>108</v>
      </c>
      <c r="E27" s="43" t="n">
        <f aca="false">IF(E26=0,"cash positive",E24/E26)</f>
        <v>26.9581776863139</v>
      </c>
      <c r="F27" s="43" t="n">
        <f aca="false">IF(F26=0,"cash positive",F24/F26)</f>
        <v>20.3766245496629</v>
      </c>
      <c r="G27" s="43" t="n">
        <f aca="false">IF(G26=0,"cash positive",G24/G26)</f>
        <v>18.0800352845782</v>
      </c>
      <c r="H27" s="43" t="n">
        <f aca="false">IF(H26=0,"cash positive",H24/H26)</f>
        <v>12.9721089459023</v>
      </c>
      <c r="I27" s="43" t="n">
        <f aca="false">IF(I26=0,"cash positive",I24/I26)</f>
        <v>12.7072030861312</v>
      </c>
      <c r="J27" s="43" t="n">
        <f aca="false">IF(J26=0,"cash positive",J24/J26)</f>
        <v>14.0529721448696</v>
      </c>
      <c r="K27" s="43" t="n">
        <f aca="false">IF(K26=0,"cash positive",K24/K26)</f>
        <v>18.2187688738462</v>
      </c>
      <c r="L27" s="43" t="n">
        <f aca="false">IF(L26=0,"cash positive",L24/L26)</f>
        <v>18.6163881724153</v>
      </c>
      <c r="M27" s="43" t="n">
        <f aca="false">IF(M26=0,"cash positive",M24/M26)</f>
        <v>19.0723528655886</v>
      </c>
      <c r="N27" s="43" t="n">
        <f aca="false">IF(N26=0,"cash positive",N24/N26)</f>
        <v>19.6798948291244</v>
      </c>
      <c r="O27" s="43" t="n">
        <f aca="false">IF(O26=0,"cash positive",O24/O26)</f>
        <v>20.5531922138109</v>
      </c>
      <c r="P27" s="43" t="n">
        <f aca="false">IF(P26=0,"cash positive",P24/P26)</f>
        <v>21.8069887868536</v>
      </c>
      <c r="Q27" s="43" t="n">
        <f aca="false">IF(Q26=0,"cash positive",Q24/Q26)</f>
        <v>18.3578711779142</v>
      </c>
      <c r="R27" s="43" t="n">
        <f aca="false">IF(R26=0,"cash positive",R24/R26)</f>
        <v>16.1123227437323</v>
      </c>
      <c r="S27" s="43" t="n">
        <f aca="false">IF(S26=0,"cash positive",S24/S26)</f>
        <v>54.3088355207007</v>
      </c>
      <c r="T27" s="43" t="n">
        <f aca="false">IF(T26=0,"cash positive",T24/T26)</f>
        <v>45.0620857376265</v>
      </c>
      <c r="U27" s="43" t="n">
        <f aca="false">IF(U26=0,"cash positive",U24/U26)</f>
        <v>49.5801579611076</v>
      </c>
      <c r="V27" s="43" t="n">
        <f aca="false">IF(V26=0,"cash positive",V24/V26)</f>
        <v>51.7873208567683</v>
      </c>
      <c r="W27" s="43" t="n">
        <f aca="false">IF(W26=0,"cash positive",W24/W26)</f>
        <v>73.148744018178</v>
      </c>
      <c r="X27" s="43" t="n">
        <f aca="false">IF(X26=0,"cash positive",X24/X26)</f>
        <v>73.7582255169452</v>
      </c>
      <c r="Y27" s="43" t="n">
        <f aca="false">IF(Y26=0,"cash positive",Y24/Y26)</f>
        <v>92.2284090035923</v>
      </c>
      <c r="Z27" s="43" t="n">
        <f aca="false">IF(Z26=0,"cash positive",Z24/Z26)</f>
        <v>139.322220919395</v>
      </c>
      <c r="AA27" s="43" t="n">
        <f aca="false">IF(AA26=0,"cash positive",AA24/AA26)</f>
        <v>309.991730154586</v>
      </c>
      <c r="AB27" s="43" t="n">
        <f aca="false">IF(AB26=0,"cash positive",AB24/AB26)</f>
        <v>9.24176021487158</v>
      </c>
      <c r="AC27" s="43" t="n">
        <f aca="false">IF(AC26=0,"cash positive",AC24/AC26)</f>
        <v>8.81529327322583</v>
      </c>
      <c r="AD27" s="43" t="n">
        <f aca="false">IF(AD26=0,"cash positive",AD24/AD26)</f>
        <v>8.78726885622932</v>
      </c>
      <c r="AE27" s="43" t="n">
        <f aca="false">IF(AE26=0,"cash positive",AE24/AE26)</f>
        <v>243.541239985815</v>
      </c>
      <c r="AF27" s="43" t="str">
        <f aca="false">IF(AF26=0,"cash positive",AF24/AF26)</f>
        <v>cash positive</v>
      </c>
      <c r="AG27" s="43" t="str">
        <f aca="false">IF(AG26=0,"cash positive",AG24/AG26)</f>
        <v>cash positive</v>
      </c>
      <c r="AH27" s="43" t="str">
        <f aca="false">IF(AH26=0,"cash positive",AH24/AH26)</f>
        <v>cash positive</v>
      </c>
      <c r="AI27" s="43" t="str">
        <f aca="false">IF(AI26=0,"cash positive",AI24/AI26)</f>
        <v>cash positive</v>
      </c>
      <c r="AJ27" s="43" t="str">
        <f aca="false">IF(AJ26=0,"cash positive",AJ24/AJ26)</f>
        <v>cash positive</v>
      </c>
      <c r="AK27" s="43" t="str">
        <f aca="false">IF(AK26=0,"cash positive",AK24/AK26)</f>
        <v>cash positive</v>
      </c>
      <c r="AL27" s="43" t="str">
        <f aca="false">IF(AL26=0,"cash positive",AL24/AL26)</f>
        <v>cash positive</v>
      </c>
      <c r="AM27" s="43" t="str">
        <f aca="false">IF(AM26=0,"cash positive",AM24/AM26)</f>
        <v>cash positive</v>
      </c>
      <c r="AN27" s="43" t="str">
        <f aca="false">IF(AN26=0,"cash positive",AN24/AN26)</f>
        <v>cash positive</v>
      </c>
      <c r="AO27" s="43" t="str">
        <f aca="false">IF(AO26=0,"cash positive",AO24/AO26)</f>
        <v>cash positive</v>
      </c>
      <c r="AP27" s="43" t="str">
        <f aca="false">IF(AP26=0,"cash positive",AP24/AP26)</f>
        <v>cash positive</v>
      </c>
      <c r="AQ27" s="43" t="str">
        <f aca="false">IF(AQ26=0,"cash positive",AQ24/AQ26)</f>
        <v>cash positive</v>
      </c>
      <c r="AR27" s="43" t="str">
        <f aca="false">IF(AR26=0,"cash positive",AR24/AR26)</f>
        <v>cash positive</v>
      </c>
      <c r="AS27" s="43" t="str">
        <f aca="false">IF(AS26=0,"cash positive",AS24/AS26)</f>
        <v>cash positive</v>
      </c>
      <c r="AT27" s="43" t="str">
        <f aca="false">IF(AT26=0,"cash positive",AT24/AT26)</f>
        <v>cash positive</v>
      </c>
      <c r="AU27" s="43" t="str">
        <f aca="false">IF(AU26=0,"cash positive",AU24/AU26)</f>
        <v>cash positive</v>
      </c>
      <c r="AV27" s="43" t="str">
        <f aca="false">IF(AV26=0,"cash positive",AV24/AV26)</f>
        <v>cash positive</v>
      </c>
      <c r="AW27" s="43" t="str">
        <f aca="false">IF(AW26=0,"cash positive",AW24/AW26)</f>
        <v>cash positive</v>
      </c>
      <c r="AX27" s="43" t="str">
        <f aca="false">IF(AX26=0,"cash positive",AX24/AX26)</f>
        <v>cash positive</v>
      </c>
      <c r="AY27" s="43" t="str">
        <f aca="false">IF(AY26=0,"cash positive",AY24/AY26)</f>
        <v>cash positive</v>
      </c>
      <c r="AZ27" s="43" t="str">
        <f aca="false">IF(AZ26=0,"cash positive",AZ24/AZ26)</f>
        <v>cash positive</v>
      </c>
      <c r="BA27" s="43" t="str">
        <f aca="false">IF(BA26=0,"cash positive",BA24/BA26)</f>
        <v>cash positive</v>
      </c>
      <c r="BB27" s="43" t="str">
        <f aca="false">IF(BB26=0,"cash positive",BB24/BB26)</f>
        <v>cash positive</v>
      </c>
      <c r="BC27" s="43" t="str">
        <f aca="false">IF(BC26=0,"cash positive",BC24/BC26)</f>
        <v>cash positive</v>
      </c>
      <c r="BD27" s="43" t="str">
        <f aca="false">IF(BD26=0,"cash positive",BD24/BD26)</f>
        <v>cash positive</v>
      </c>
      <c r="BE27" s="43" t="str">
        <f aca="false">IF(BE26=0,"cash positive",BE24/BE26)</f>
        <v>cash positive</v>
      </c>
      <c r="BF27" s="43" t="str">
        <f aca="false">IF(BF26=0,"cash positive",BF24/BF26)</f>
        <v>cash positive</v>
      </c>
      <c r="BG27" s="43" t="str">
        <f aca="false">IF(BG26=0,"cash positive",BG24/BG26)</f>
        <v>cash positive</v>
      </c>
      <c r="BH27" s="43" t="str">
        <f aca="false">IF(BH26=0,"cash positive",BH24/BH26)</f>
        <v>cash positive</v>
      </c>
      <c r="BI27" s="43" t="str">
        <f aca="false">IF(BI26=0,"cash positive",BI24/BI26)</f>
        <v>cash positive</v>
      </c>
      <c r="BJ27" s="43" t="str">
        <f aca="false">IF(BJ26=0,"cash positive",BJ24/BJ26)</f>
        <v>cash positive</v>
      </c>
      <c r="BK27" s="43" t="str">
        <f aca="false">IF(BK26=0,"cash positive",BK24/BK26)</f>
        <v>cash positive</v>
      </c>
      <c r="BL27" s="43" t="str">
        <f aca="false">IF(BL26=0,"cash positive",BL24/BL26)</f>
        <v>cash positive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B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3"/>
    <col collapsed="false" customWidth="true" hidden="false" outlineLevel="0" max="4" min="4" style="1" width="14"/>
    <col collapsed="false" customWidth="true" hidden="false" outlineLevel="0" max="64" min="5" style="1" width="11"/>
  </cols>
  <sheetData>
    <row r="1" customFormat="false" ht="17.25" hidden="false" customHeight="true" outlineLevel="0" collapsed="false">
      <c r="A1" s="8" t="s">
        <v>1495</v>
      </c>
    </row>
    <row r="2" customFormat="false" ht="15" hidden="false" customHeight="true" outlineLevel="0" collapsed="false">
      <c r="A2" s="3" t="s">
        <v>1496</v>
      </c>
    </row>
    <row r="3" customFormat="false" ht="15" hidden="false" customHeight="true" outlineLevel="0" collapsed="false">
      <c r="A3" s="9" t="s">
        <v>1131</v>
      </c>
      <c r="D3" s="9" t="s">
        <v>1132</v>
      </c>
      <c r="E3" s="21" t="n">
        <f aca="false">'Cash flow'!E3</f>
        <v>1</v>
      </c>
      <c r="F3" s="21" t="n">
        <f aca="false">'Cash flow'!F3</f>
        <v>2</v>
      </c>
      <c r="G3" s="21" t="n">
        <f aca="false">'Cash flow'!G3</f>
        <v>3</v>
      </c>
      <c r="H3" s="21" t="n">
        <f aca="false">'Cash flow'!H3</f>
        <v>4</v>
      </c>
      <c r="I3" s="21" t="n">
        <f aca="false">'Cash flow'!I3</f>
        <v>5</v>
      </c>
      <c r="J3" s="21" t="n">
        <f aca="false">'Cash flow'!J3</f>
        <v>6</v>
      </c>
      <c r="K3" s="21" t="n">
        <f aca="false">'Cash flow'!K3</f>
        <v>7</v>
      </c>
      <c r="L3" s="21" t="n">
        <f aca="false">'Cash flow'!L3</f>
        <v>8</v>
      </c>
      <c r="M3" s="21" t="n">
        <f aca="false">'Cash flow'!M3</f>
        <v>9</v>
      </c>
      <c r="N3" s="21" t="n">
        <f aca="false">'Cash flow'!N3</f>
        <v>10</v>
      </c>
      <c r="O3" s="21" t="n">
        <f aca="false">'Cash flow'!O3</f>
        <v>11</v>
      </c>
      <c r="P3" s="21" t="n">
        <f aca="false">'Cash flow'!P3</f>
        <v>12</v>
      </c>
      <c r="Q3" s="21" t="n">
        <f aca="false">'Cash flow'!Q3</f>
        <v>13</v>
      </c>
      <c r="R3" s="21" t="n">
        <f aca="false">'Cash flow'!R3</f>
        <v>14</v>
      </c>
      <c r="S3" s="21" t="n">
        <f aca="false">'Cash flow'!S3</f>
        <v>15</v>
      </c>
      <c r="T3" s="21" t="n">
        <f aca="false">'Cash flow'!T3</f>
        <v>16</v>
      </c>
      <c r="U3" s="21" t="n">
        <f aca="false">'Cash flow'!U3</f>
        <v>17</v>
      </c>
      <c r="V3" s="21" t="n">
        <f aca="false">'Cash flow'!V3</f>
        <v>18</v>
      </c>
      <c r="W3" s="21" t="n">
        <f aca="false">'Cash flow'!W3</f>
        <v>19</v>
      </c>
      <c r="X3" s="21" t="n">
        <f aca="false">'Cash flow'!X3</f>
        <v>20</v>
      </c>
      <c r="Y3" s="21" t="n">
        <f aca="false">'Cash flow'!Y3</f>
        <v>21</v>
      </c>
      <c r="Z3" s="21" t="n">
        <f aca="false">'Cash flow'!Z3</f>
        <v>22</v>
      </c>
      <c r="AA3" s="21" t="n">
        <f aca="false">'Cash flow'!AA3</f>
        <v>23</v>
      </c>
      <c r="AB3" s="21" t="n">
        <f aca="false">'Cash flow'!AB3</f>
        <v>24</v>
      </c>
      <c r="AC3" s="21" t="n">
        <f aca="false">'Cash flow'!AC3</f>
        <v>25</v>
      </c>
      <c r="AD3" s="21" t="n">
        <f aca="false">'Cash flow'!AD3</f>
        <v>26</v>
      </c>
      <c r="AE3" s="21" t="n">
        <f aca="false">'Cash flow'!AE3</f>
        <v>27</v>
      </c>
      <c r="AF3" s="21" t="n">
        <f aca="false">'Cash flow'!AF3</f>
        <v>28</v>
      </c>
      <c r="AG3" s="21" t="n">
        <f aca="false">'Cash flow'!AG3</f>
        <v>29</v>
      </c>
      <c r="AH3" s="21" t="n">
        <f aca="false">'Cash flow'!AH3</f>
        <v>30</v>
      </c>
      <c r="AI3" s="21" t="n">
        <f aca="false">'Cash flow'!AI3</f>
        <v>31</v>
      </c>
      <c r="AJ3" s="21" t="n">
        <f aca="false">'Cash flow'!AJ3</f>
        <v>32</v>
      </c>
      <c r="AK3" s="21" t="n">
        <f aca="false">'Cash flow'!AK3</f>
        <v>33</v>
      </c>
      <c r="AL3" s="21" t="n">
        <f aca="false">'Cash flow'!AL3</f>
        <v>34</v>
      </c>
      <c r="AM3" s="21" t="n">
        <f aca="false">'Cash flow'!AM3</f>
        <v>35</v>
      </c>
      <c r="AN3" s="21" t="n">
        <f aca="false">'Cash flow'!AN3</f>
        <v>36</v>
      </c>
      <c r="AO3" s="21" t="n">
        <f aca="false">'Cash flow'!AO3</f>
        <v>37</v>
      </c>
      <c r="AP3" s="21" t="n">
        <f aca="false">'Cash flow'!AP3</f>
        <v>38</v>
      </c>
      <c r="AQ3" s="21" t="n">
        <f aca="false">'Cash flow'!AQ3</f>
        <v>39</v>
      </c>
      <c r="AR3" s="21" t="n">
        <f aca="false">'Cash flow'!AR3</f>
        <v>40</v>
      </c>
      <c r="AS3" s="21" t="n">
        <f aca="false">'Cash flow'!AS3</f>
        <v>41</v>
      </c>
      <c r="AT3" s="21" t="n">
        <f aca="false">'Cash flow'!AT3</f>
        <v>42</v>
      </c>
      <c r="AU3" s="21" t="n">
        <f aca="false">'Cash flow'!AU3</f>
        <v>43</v>
      </c>
      <c r="AV3" s="21" t="n">
        <f aca="false">'Cash flow'!AV3</f>
        <v>44</v>
      </c>
      <c r="AW3" s="21" t="n">
        <f aca="false">'Cash flow'!AW3</f>
        <v>45</v>
      </c>
      <c r="AX3" s="21" t="n">
        <f aca="false">'Cash flow'!AX3</f>
        <v>46</v>
      </c>
      <c r="AY3" s="21" t="n">
        <f aca="false">'Cash flow'!AY3</f>
        <v>47</v>
      </c>
      <c r="AZ3" s="21" t="n">
        <f aca="false">'Cash flow'!AZ3</f>
        <v>48</v>
      </c>
      <c r="BA3" s="21" t="n">
        <f aca="false">'Cash flow'!BA3</f>
        <v>49</v>
      </c>
      <c r="BB3" s="21" t="n">
        <f aca="false">'Cash flow'!BB3</f>
        <v>50</v>
      </c>
      <c r="BC3" s="21" t="n">
        <f aca="false">'Cash flow'!BC3</f>
        <v>51</v>
      </c>
      <c r="BD3" s="21" t="n">
        <f aca="false">'Cash flow'!BD3</f>
        <v>52</v>
      </c>
      <c r="BE3" s="21" t="n">
        <f aca="false">'Cash flow'!BE3</f>
        <v>53</v>
      </c>
      <c r="BF3" s="21" t="n">
        <f aca="false">'Cash flow'!BF3</f>
        <v>54</v>
      </c>
      <c r="BG3" s="21" t="n">
        <f aca="false">'Cash flow'!BG3</f>
        <v>55</v>
      </c>
      <c r="BH3" s="21" t="n">
        <f aca="false">'Cash flow'!BH3</f>
        <v>56</v>
      </c>
      <c r="BI3" s="21" t="n">
        <f aca="false">'Cash flow'!BI3</f>
        <v>57</v>
      </c>
      <c r="BJ3" s="21" t="n">
        <f aca="false">'Cash flow'!BJ3</f>
        <v>58</v>
      </c>
      <c r="BK3" s="21" t="n">
        <f aca="false">'Cash flow'!BK3</f>
        <v>59</v>
      </c>
      <c r="BL3" s="21" t="n">
        <f aca="false">'Cash flow'!BL3</f>
        <v>60</v>
      </c>
    </row>
    <row r="4" customFormat="false" ht="15" hidden="false" customHeight="true" outlineLevel="0" collapsed="false">
      <c r="A4" s="9" t="s">
        <v>1133</v>
      </c>
      <c r="E4" s="54" t="n">
        <f aca="false">'Cash flow'!E4</f>
        <v>46388</v>
      </c>
      <c r="F4" s="54" t="n">
        <f aca="false">'Cash flow'!F4</f>
        <v>46419</v>
      </c>
      <c r="G4" s="54" t="n">
        <f aca="false">'Cash flow'!G4</f>
        <v>46447</v>
      </c>
      <c r="H4" s="54" t="n">
        <f aca="false">'Cash flow'!H4</f>
        <v>46478</v>
      </c>
      <c r="I4" s="54" t="n">
        <f aca="false">'Cash flow'!I4</f>
        <v>46508</v>
      </c>
      <c r="J4" s="54" t="n">
        <f aca="false">'Cash flow'!J4</f>
        <v>46539</v>
      </c>
      <c r="K4" s="54" t="n">
        <f aca="false">'Cash flow'!K4</f>
        <v>46569</v>
      </c>
      <c r="L4" s="54" t="n">
        <f aca="false">'Cash flow'!L4</f>
        <v>46600</v>
      </c>
      <c r="M4" s="54" t="n">
        <f aca="false">'Cash flow'!M4</f>
        <v>46631</v>
      </c>
      <c r="N4" s="54" t="n">
        <f aca="false">'Cash flow'!N4</f>
        <v>46661</v>
      </c>
      <c r="O4" s="54" t="n">
        <f aca="false">'Cash flow'!O4</f>
        <v>46692</v>
      </c>
      <c r="P4" s="54" t="n">
        <f aca="false">'Cash flow'!P4</f>
        <v>46722</v>
      </c>
      <c r="Q4" s="54" t="n">
        <f aca="false">'Cash flow'!Q4</f>
        <v>46753</v>
      </c>
      <c r="R4" s="54" t="n">
        <f aca="false">'Cash flow'!R4</f>
        <v>46784</v>
      </c>
      <c r="S4" s="54" t="n">
        <f aca="false">'Cash flow'!S4</f>
        <v>46813</v>
      </c>
      <c r="T4" s="54" t="n">
        <f aca="false">'Cash flow'!T4</f>
        <v>46844</v>
      </c>
      <c r="U4" s="54" t="n">
        <f aca="false">'Cash flow'!U4</f>
        <v>46874</v>
      </c>
      <c r="V4" s="54" t="n">
        <f aca="false">'Cash flow'!V4</f>
        <v>46905</v>
      </c>
      <c r="W4" s="54" t="n">
        <f aca="false">'Cash flow'!W4</f>
        <v>46935</v>
      </c>
      <c r="X4" s="54" t="n">
        <f aca="false">'Cash flow'!X4</f>
        <v>46966</v>
      </c>
      <c r="Y4" s="54" t="n">
        <f aca="false">'Cash flow'!Y4</f>
        <v>46997</v>
      </c>
      <c r="Z4" s="54" t="n">
        <f aca="false">'Cash flow'!Z4</f>
        <v>47027</v>
      </c>
      <c r="AA4" s="54" t="n">
        <f aca="false">'Cash flow'!AA4</f>
        <v>47058</v>
      </c>
      <c r="AB4" s="54" t="n">
        <f aca="false">'Cash flow'!AB4</f>
        <v>47088</v>
      </c>
      <c r="AC4" s="54" t="n">
        <f aca="false">'Cash flow'!AC4</f>
        <v>47119</v>
      </c>
      <c r="AD4" s="54" t="n">
        <f aca="false">'Cash flow'!AD4</f>
        <v>47150</v>
      </c>
      <c r="AE4" s="54" t="n">
        <f aca="false">'Cash flow'!AE4</f>
        <v>47178</v>
      </c>
      <c r="AF4" s="54" t="n">
        <f aca="false">'Cash flow'!AF4</f>
        <v>47209</v>
      </c>
      <c r="AG4" s="54" t="n">
        <f aca="false">'Cash flow'!AG4</f>
        <v>47239</v>
      </c>
      <c r="AH4" s="54" t="n">
        <f aca="false">'Cash flow'!AH4</f>
        <v>47270</v>
      </c>
      <c r="AI4" s="54" t="n">
        <f aca="false">'Cash flow'!AI4</f>
        <v>47300</v>
      </c>
      <c r="AJ4" s="54" t="n">
        <f aca="false">'Cash flow'!AJ4</f>
        <v>47331</v>
      </c>
      <c r="AK4" s="54" t="n">
        <f aca="false">'Cash flow'!AK4</f>
        <v>47362</v>
      </c>
      <c r="AL4" s="54" t="n">
        <f aca="false">'Cash flow'!AL4</f>
        <v>47392</v>
      </c>
      <c r="AM4" s="54" t="n">
        <f aca="false">'Cash flow'!AM4</f>
        <v>47423</v>
      </c>
      <c r="AN4" s="54" t="n">
        <f aca="false">'Cash flow'!AN4</f>
        <v>47453</v>
      </c>
      <c r="AO4" s="54" t="n">
        <f aca="false">'Cash flow'!AO4</f>
        <v>47484</v>
      </c>
      <c r="AP4" s="54" t="n">
        <f aca="false">'Cash flow'!AP4</f>
        <v>47515</v>
      </c>
      <c r="AQ4" s="54" t="n">
        <f aca="false">'Cash flow'!AQ4</f>
        <v>47543</v>
      </c>
      <c r="AR4" s="54" t="n">
        <f aca="false">'Cash flow'!AR4</f>
        <v>47574</v>
      </c>
      <c r="AS4" s="54" t="n">
        <f aca="false">'Cash flow'!AS4</f>
        <v>47604</v>
      </c>
      <c r="AT4" s="54" t="n">
        <f aca="false">'Cash flow'!AT4</f>
        <v>47635</v>
      </c>
      <c r="AU4" s="54" t="n">
        <f aca="false">'Cash flow'!AU4</f>
        <v>47665</v>
      </c>
      <c r="AV4" s="54" t="n">
        <f aca="false">'Cash flow'!AV4</f>
        <v>47696</v>
      </c>
      <c r="AW4" s="54" t="n">
        <f aca="false">'Cash flow'!AW4</f>
        <v>47727</v>
      </c>
      <c r="AX4" s="54" t="n">
        <f aca="false">'Cash flow'!AX4</f>
        <v>47757</v>
      </c>
      <c r="AY4" s="54" t="n">
        <f aca="false">'Cash flow'!AY4</f>
        <v>47788</v>
      </c>
      <c r="AZ4" s="54" t="n">
        <f aca="false">'Cash flow'!AZ4</f>
        <v>47818</v>
      </c>
      <c r="BA4" s="54" t="n">
        <f aca="false">'Cash flow'!BA4</f>
        <v>47849</v>
      </c>
      <c r="BB4" s="54" t="n">
        <f aca="false">'Cash flow'!BB4</f>
        <v>47880</v>
      </c>
      <c r="BC4" s="54" t="n">
        <f aca="false">'Cash flow'!BC4</f>
        <v>47908</v>
      </c>
      <c r="BD4" s="54" t="n">
        <f aca="false">'Cash flow'!BD4</f>
        <v>47939</v>
      </c>
      <c r="BE4" s="54" t="n">
        <f aca="false">'Cash flow'!BE4</f>
        <v>47969</v>
      </c>
      <c r="BF4" s="54" t="n">
        <f aca="false">'Cash flow'!BF4</f>
        <v>48000</v>
      </c>
      <c r="BG4" s="54" t="n">
        <f aca="false">'Cash flow'!BG4</f>
        <v>48030</v>
      </c>
      <c r="BH4" s="54" t="n">
        <f aca="false">'Cash flow'!BH4</f>
        <v>48061</v>
      </c>
      <c r="BI4" s="54" t="n">
        <f aca="false">'Cash flow'!BI4</f>
        <v>48092</v>
      </c>
      <c r="BJ4" s="54" t="n">
        <f aca="false">'Cash flow'!BJ4</f>
        <v>48122</v>
      </c>
      <c r="BK4" s="54" t="n">
        <f aca="false">'Cash flow'!BK4</f>
        <v>48153</v>
      </c>
      <c r="BL4" s="54" t="n">
        <f aca="false">'Cash flow'!BL4</f>
        <v>48183</v>
      </c>
    </row>
    <row r="5" customFormat="false" ht="15" hidden="false" customHeight="true" outlineLevel="0" collapsed="false">
      <c r="A5" s="9" t="s">
        <v>87</v>
      </c>
      <c r="E5" s="55" t="n">
        <f aca="false">'Cash flow'!E5</f>
        <v>1</v>
      </c>
      <c r="F5" s="55" t="n">
        <f aca="false">'Cash flow'!F5</f>
        <v>1</v>
      </c>
      <c r="G5" s="55" t="n">
        <f aca="false">'Cash flow'!G5</f>
        <v>1</v>
      </c>
      <c r="H5" s="55" t="n">
        <f aca="false">'Cash flow'!H5</f>
        <v>1</v>
      </c>
      <c r="I5" s="55" t="n">
        <f aca="false">'Cash flow'!I5</f>
        <v>1</v>
      </c>
      <c r="J5" s="55" t="n">
        <f aca="false">'Cash flow'!J5</f>
        <v>1</v>
      </c>
      <c r="K5" s="55" t="n">
        <f aca="false">'Cash flow'!K5</f>
        <v>1</v>
      </c>
      <c r="L5" s="55" t="n">
        <f aca="false">'Cash flow'!L5</f>
        <v>1</v>
      </c>
      <c r="M5" s="55" t="n">
        <f aca="false">'Cash flow'!M5</f>
        <v>1</v>
      </c>
      <c r="N5" s="55" t="n">
        <f aca="false">'Cash flow'!N5</f>
        <v>1</v>
      </c>
      <c r="O5" s="55" t="n">
        <f aca="false">'Cash flow'!O5</f>
        <v>1</v>
      </c>
      <c r="P5" s="55" t="n">
        <f aca="false">'Cash flow'!P5</f>
        <v>1</v>
      </c>
      <c r="Q5" s="55" t="n">
        <f aca="false">'Cash flow'!Q5</f>
        <v>2</v>
      </c>
      <c r="R5" s="55" t="n">
        <f aca="false">'Cash flow'!R5</f>
        <v>2</v>
      </c>
      <c r="S5" s="55" t="n">
        <f aca="false">'Cash flow'!S5</f>
        <v>2</v>
      </c>
      <c r="T5" s="55" t="n">
        <f aca="false">'Cash flow'!T5</f>
        <v>2</v>
      </c>
      <c r="U5" s="55" t="n">
        <f aca="false">'Cash flow'!U5</f>
        <v>2</v>
      </c>
      <c r="V5" s="55" t="n">
        <f aca="false">'Cash flow'!V5</f>
        <v>2</v>
      </c>
      <c r="W5" s="55" t="n">
        <f aca="false">'Cash flow'!W5</f>
        <v>2</v>
      </c>
      <c r="X5" s="55" t="n">
        <f aca="false">'Cash flow'!X5</f>
        <v>2</v>
      </c>
      <c r="Y5" s="55" t="n">
        <f aca="false">'Cash flow'!Y5</f>
        <v>2</v>
      </c>
      <c r="Z5" s="55" t="n">
        <f aca="false">'Cash flow'!Z5</f>
        <v>2</v>
      </c>
      <c r="AA5" s="55" t="n">
        <f aca="false">'Cash flow'!AA5</f>
        <v>2</v>
      </c>
      <c r="AB5" s="55" t="n">
        <f aca="false">'Cash flow'!AB5</f>
        <v>2</v>
      </c>
      <c r="AC5" s="55" t="n">
        <f aca="false">'Cash flow'!AC5</f>
        <v>3</v>
      </c>
      <c r="AD5" s="55" t="n">
        <f aca="false">'Cash flow'!AD5</f>
        <v>3</v>
      </c>
      <c r="AE5" s="55" t="n">
        <f aca="false">'Cash flow'!AE5</f>
        <v>3</v>
      </c>
      <c r="AF5" s="55" t="n">
        <f aca="false">'Cash flow'!AF5</f>
        <v>3</v>
      </c>
      <c r="AG5" s="55" t="n">
        <f aca="false">'Cash flow'!AG5</f>
        <v>3</v>
      </c>
      <c r="AH5" s="55" t="n">
        <f aca="false">'Cash flow'!AH5</f>
        <v>3</v>
      </c>
      <c r="AI5" s="55" t="n">
        <f aca="false">'Cash flow'!AI5</f>
        <v>3</v>
      </c>
      <c r="AJ5" s="55" t="n">
        <f aca="false">'Cash flow'!AJ5</f>
        <v>3</v>
      </c>
      <c r="AK5" s="55" t="n">
        <f aca="false">'Cash flow'!AK5</f>
        <v>3</v>
      </c>
      <c r="AL5" s="55" t="n">
        <f aca="false">'Cash flow'!AL5</f>
        <v>3</v>
      </c>
      <c r="AM5" s="55" t="n">
        <f aca="false">'Cash flow'!AM5</f>
        <v>3</v>
      </c>
      <c r="AN5" s="55" t="n">
        <f aca="false">'Cash flow'!AN5</f>
        <v>3</v>
      </c>
      <c r="AO5" s="55" t="n">
        <f aca="false">'Cash flow'!AO5</f>
        <v>4</v>
      </c>
      <c r="AP5" s="55" t="n">
        <f aca="false">'Cash flow'!AP5</f>
        <v>4</v>
      </c>
      <c r="AQ5" s="55" t="n">
        <f aca="false">'Cash flow'!AQ5</f>
        <v>4</v>
      </c>
      <c r="AR5" s="55" t="n">
        <f aca="false">'Cash flow'!AR5</f>
        <v>4</v>
      </c>
      <c r="AS5" s="55" t="n">
        <f aca="false">'Cash flow'!AS5</f>
        <v>4</v>
      </c>
      <c r="AT5" s="55" t="n">
        <f aca="false">'Cash flow'!AT5</f>
        <v>4</v>
      </c>
      <c r="AU5" s="55" t="n">
        <f aca="false">'Cash flow'!AU5</f>
        <v>4</v>
      </c>
      <c r="AV5" s="55" t="n">
        <f aca="false">'Cash flow'!AV5</f>
        <v>4</v>
      </c>
      <c r="AW5" s="55" t="n">
        <f aca="false">'Cash flow'!AW5</f>
        <v>4</v>
      </c>
      <c r="AX5" s="55" t="n">
        <f aca="false">'Cash flow'!AX5</f>
        <v>4</v>
      </c>
      <c r="AY5" s="55" t="n">
        <f aca="false">'Cash flow'!AY5</f>
        <v>4</v>
      </c>
      <c r="AZ5" s="55" t="n">
        <f aca="false">'Cash flow'!AZ5</f>
        <v>4</v>
      </c>
      <c r="BA5" s="55" t="n">
        <f aca="false">'Cash flow'!BA5</f>
        <v>5</v>
      </c>
      <c r="BB5" s="55" t="n">
        <f aca="false">'Cash flow'!BB5</f>
        <v>5</v>
      </c>
      <c r="BC5" s="55" t="n">
        <f aca="false">'Cash flow'!BC5</f>
        <v>5</v>
      </c>
      <c r="BD5" s="55" t="n">
        <f aca="false">'Cash flow'!BD5</f>
        <v>5</v>
      </c>
      <c r="BE5" s="55" t="n">
        <f aca="false">'Cash flow'!BE5</f>
        <v>5</v>
      </c>
      <c r="BF5" s="55" t="n">
        <f aca="false">'Cash flow'!BF5</f>
        <v>5</v>
      </c>
      <c r="BG5" s="55" t="n">
        <f aca="false">'Cash flow'!BG5</f>
        <v>5</v>
      </c>
      <c r="BH5" s="55" t="n">
        <f aca="false">'Cash flow'!BH5</f>
        <v>5</v>
      </c>
      <c r="BI5" s="55" t="n">
        <f aca="false">'Cash flow'!BI5</f>
        <v>5</v>
      </c>
      <c r="BJ5" s="55" t="n">
        <f aca="false">'Cash flow'!BJ5</f>
        <v>5</v>
      </c>
      <c r="BK5" s="55" t="n">
        <f aca="false">'Cash flow'!BK5</f>
        <v>5</v>
      </c>
      <c r="BL5" s="55" t="n">
        <f aca="false">'Cash flow'!BL5</f>
        <v>5</v>
      </c>
    </row>
    <row r="8" customFormat="false" ht="15" hidden="false" customHeight="true" outlineLevel="0" collapsed="false">
      <c r="A8" s="11" t="s">
        <v>1483</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row>
    <row r="9" customFormat="false" ht="15" hidden="false" customHeight="true" outlineLevel="0" collapsed="false">
      <c r="A9" s="13" t="s">
        <v>100</v>
      </c>
      <c r="B9" s="15" t="s">
        <v>79</v>
      </c>
      <c r="D9" s="56" t="n">
        <f aca="false">'Cash flow'!D9/FX_EUR</f>
        <v>6788379.67597366</v>
      </c>
      <c r="E9" s="33" t="n">
        <f aca="false">'Cash flow'!E9/FX_EUR</f>
        <v>-49074.7705566066</v>
      </c>
      <c r="F9" s="33" t="n">
        <f aca="false">'Cash flow'!F9/FX_EUR</f>
        <v>-61888.4605240892</v>
      </c>
      <c r="G9" s="33" t="n">
        <f aca="false">'Cash flow'!G9/FX_EUR</f>
        <v>-84298.4660579886</v>
      </c>
      <c r="H9" s="33" t="n">
        <f aca="false">'Cash flow'!H9/FX_EUR</f>
        <v>-56567.7297444802</v>
      </c>
      <c r="I9" s="33" t="n">
        <f aca="false">'Cash flow'!I9/FX_EUR</f>
        <v>-54258.8976436972</v>
      </c>
      <c r="J9" s="33" t="n">
        <f aca="false">'Cash flow'!J9/FX_EUR</f>
        <v>-50460.5486706192</v>
      </c>
      <c r="K9" s="33" t="n">
        <f aca="false">'Cash flow'!K9/FX_EUR</f>
        <v>-47194.6957554459</v>
      </c>
      <c r="L9" s="33" t="n">
        <f aca="false">'Cash flow'!L9/FX_EUR</f>
        <v>-43934.2918046701</v>
      </c>
      <c r="M9" s="33" t="n">
        <f aca="false">'Cash flow'!M9/FX_EUR</f>
        <v>-40677.2022022634</v>
      </c>
      <c r="N9" s="33" t="n">
        <f aca="false">'Cash flow'!N9/FX_EUR</f>
        <v>-37421.1989967175</v>
      </c>
      <c r="O9" s="33" t="n">
        <f aca="false">'Cash flow'!O9/FX_EUR</f>
        <v>-33813.63788666</v>
      </c>
      <c r="P9" s="33" t="n">
        <f aca="false">'Cash flow'!P9/FX_EUR</f>
        <v>-30101.6930202053</v>
      </c>
      <c r="Q9" s="33" t="n">
        <f aca="false">'Cash flow'!Q9/FX_EUR</f>
        <v>-48529.8909984957</v>
      </c>
      <c r="R9" s="33" t="n">
        <f aca="false">'Cash flow'!R9/FX_EUR</f>
        <v>-41717.45367851</v>
      </c>
      <c r="S9" s="33" t="n">
        <f aca="false">'Cash flow'!S9/FX_EUR</f>
        <v>-44077.652889421</v>
      </c>
      <c r="T9" s="33" t="n">
        <f aca="false">'Cash flow'!T9/FX_EUR</f>
        <v>-71343.7150821828</v>
      </c>
      <c r="U9" s="33" t="n">
        <f aca="false">'Cash flow'!U9/FX_EUR</f>
        <v>-25834.7150419853</v>
      </c>
      <c r="V9" s="33" t="n">
        <f aca="false">'Cash flow'!V9/FX_EUR</f>
        <v>-31138.4952768946</v>
      </c>
      <c r="W9" s="33" t="n">
        <f aca="false">'Cash flow'!W9/FX_EUR</f>
        <v>-25074.0864907995</v>
      </c>
      <c r="X9" s="33" t="n">
        <f aca="false">'Cash flow'!X9/FX_EUR</f>
        <v>-16712.0858350998</v>
      </c>
      <c r="Y9" s="33" t="n">
        <f aca="false">'Cash flow'!Y9/FX_EUR</f>
        <v>-6641.22528978664</v>
      </c>
      <c r="Z9" s="33" t="n">
        <f aca="false">'Cash flow'!Z9/FX_EUR</f>
        <v>5634.94518797712</v>
      </c>
      <c r="AA9" s="33" t="n">
        <f aca="false">'Cash flow'!AA9/FX_EUR</f>
        <v>16099.6502610015</v>
      </c>
      <c r="AB9" s="33" t="n">
        <f aca="false">'Cash flow'!AB9/FX_EUR</f>
        <v>17018.2937228202</v>
      </c>
      <c r="AC9" s="33" t="n">
        <f aca="false">'Cash flow'!AC9/FX_EUR</f>
        <v>15471.208584718</v>
      </c>
      <c r="AD9" s="33" t="n">
        <f aca="false">'Cash flow'!AD9/FX_EUR</f>
        <v>28677.390205201</v>
      </c>
      <c r="AE9" s="33" t="n">
        <f aca="false">'Cash flow'!AE9/FX_EUR</f>
        <v>44205.2705962696</v>
      </c>
      <c r="AF9" s="33" t="n">
        <f aca="false">'Cash flow'!AF9/FX_EUR</f>
        <v>43079.6349978087</v>
      </c>
      <c r="AG9" s="33" t="n">
        <f aca="false">'Cash flow'!AG9/FX_EUR</f>
        <v>48456.9752404639</v>
      </c>
      <c r="AH9" s="33" t="n">
        <f aca="false">'Cash flow'!AH9/FX_EUR</f>
        <v>77004.3530542655</v>
      </c>
      <c r="AI9" s="33" t="n">
        <f aca="false">'Cash flow'!AI9/FX_EUR</f>
        <v>91025.3643158304</v>
      </c>
      <c r="AJ9" s="33" t="n">
        <f aca="false">'Cash flow'!AJ9/FX_EUR</f>
        <v>107089.936020851</v>
      </c>
      <c r="AK9" s="33" t="n">
        <f aca="false">'Cash flow'!AK9/FX_EUR</f>
        <v>121152.905099764</v>
      </c>
      <c r="AL9" s="33" t="n">
        <f aca="false">'Cash flow'!AL9/FX_EUR</f>
        <v>132295.660126595</v>
      </c>
      <c r="AM9" s="33" t="n">
        <f aca="false">'Cash flow'!AM9/FX_EUR</f>
        <v>148780.397788952</v>
      </c>
      <c r="AN9" s="33" t="n">
        <f aca="false">'Cash flow'!AN9/FX_EUR</f>
        <v>116200.992023258</v>
      </c>
      <c r="AO9" s="33" t="n">
        <f aca="false">'Cash flow'!AO9/FX_EUR</f>
        <v>119239.732459043</v>
      </c>
      <c r="AP9" s="33" t="n">
        <f aca="false">'Cash flow'!AP9/FX_EUR</f>
        <v>133670.847605062</v>
      </c>
      <c r="AQ9" s="33" t="n">
        <f aca="false">'Cash flow'!AQ9/FX_EUR</f>
        <v>144304.425187109</v>
      </c>
      <c r="AR9" s="33" t="n">
        <f aca="false">'Cash flow'!AR9/FX_EUR</f>
        <v>146377.127474598</v>
      </c>
      <c r="AS9" s="33" t="n">
        <f aca="false">'Cash flow'!AS9/FX_EUR</f>
        <v>169725.830327573</v>
      </c>
      <c r="AT9" s="33" t="n">
        <f aca="false">'Cash flow'!AT9/FX_EUR</f>
        <v>183256.200585802</v>
      </c>
      <c r="AU9" s="33" t="n">
        <f aca="false">'Cash flow'!AU9/FX_EUR</f>
        <v>194459.75733882</v>
      </c>
      <c r="AV9" s="33" t="n">
        <f aca="false">'Cash flow'!AV9/FX_EUR</f>
        <v>210884.416782389</v>
      </c>
      <c r="AW9" s="33" t="n">
        <f aca="false">'Cash flow'!AW9/FX_EUR</f>
        <v>222260.918598113</v>
      </c>
      <c r="AX9" s="33" t="n">
        <f aca="false">'Cash flow'!AX9/FX_EUR</f>
        <v>239184.236041058</v>
      </c>
      <c r="AY9" s="33" t="n">
        <f aca="false">'Cash flow'!AY9/FX_EUR</f>
        <v>254963.113060172</v>
      </c>
      <c r="AZ9" s="33" t="n">
        <f aca="false">'Cash flow'!AZ9/FX_EUR</f>
        <v>268916.970695656</v>
      </c>
      <c r="BA9" s="33" t="n">
        <f aca="false">'Cash flow'!BA9/FX_EUR</f>
        <v>271788.471183087</v>
      </c>
      <c r="BB9" s="33" t="n">
        <f aca="false">'Cash flow'!BB9/FX_EUR</f>
        <v>287553.257252362</v>
      </c>
      <c r="BC9" s="33" t="n">
        <f aca="false">'Cash flow'!BC9/FX_EUR</f>
        <v>306552.884336551</v>
      </c>
      <c r="BD9" s="33" t="n">
        <f aca="false">'Cash flow'!BD9/FX_EUR</f>
        <v>316431.957051315</v>
      </c>
      <c r="BE9" s="33" t="n">
        <f aca="false">'Cash flow'!BE9/FX_EUR</f>
        <v>340973.705200283</v>
      </c>
      <c r="BF9" s="33" t="n">
        <f aca="false">'Cash flow'!BF9/FX_EUR</f>
        <v>357101.208101508</v>
      </c>
      <c r="BG9" s="33" t="n">
        <f aca="false">'Cash flow'!BG9/FX_EUR</f>
        <v>375247.00902127</v>
      </c>
      <c r="BH9" s="33" t="n">
        <f aca="false">'Cash flow'!BH9/FX_EUR</f>
        <v>388626.931474462</v>
      </c>
      <c r="BI9" s="33" t="n">
        <f aca="false">'Cash flow'!BI9/FX_EUR</f>
        <v>408656.994494343</v>
      </c>
      <c r="BJ9" s="33" t="n">
        <f aca="false">'Cash flow'!BJ9/FX_EUR</f>
        <v>426377.824673264</v>
      </c>
      <c r="BK9" s="33" t="n">
        <f aca="false">'Cash flow'!BK9/FX_EUR</f>
        <v>445779.986166715</v>
      </c>
      <c r="BL9" s="33" t="n">
        <f aca="false">'Cash flow'!BL9/FX_EUR</f>
        <v>464613.807083946</v>
      </c>
    </row>
    <row r="11" customFormat="false" ht="15" hidden="false" customHeight="true" outlineLevel="0" collapsed="false">
      <c r="A11" s="11" t="s">
        <v>1484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row>
    <row r="12" customFormat="false" ht="15" hidden="false" customHeight="true" outlineLevel="0" collapsed="false">
      <c r="A12" s="13" t="s">
        <v>1485</v>
      </c>
      <c r="B12" s="15" t="s">
        <v>79</v>
      </c>
      <c r="D12" s="56" t="n">
        <f aca="false">'Cash flow'!D12/FX_EUR</f>
        <v>-45734.7051712231</v>
      </c>
      <c r="E12" s="33" t="n">
        <f aca="false">'Cash flow'!E12/FX_EUR</f>
        <v>-0</v>
      </c>
      <c r="F12" s="33" t="n">
        <f aca="false">'Cash flow'!F12/FX_EUR</f>
        <v>-0</v>
      </c>
      <c r="G12" s="33" t="n">
        <f aca="false">'Cash flow'!G12/FX_EUR</f>
        <v>-0</v>
      </c>
      <c r="H12" s="33" t="n">
        <f aca="false">'Cash flow'!H12/FX_EUR</f>
        <v>-45734.7051712231</v>
      </c>
      <c r="I12" s="33" t="n">
        <f aca="false">'Cash flow'!I12/FX_EUR</f>
        <v>-0</v>
      </c>
      <c r="J12" s="33" t="n">
        <f aca="false">'Cash flow'!J12/FX_EUR</f>
        <v>-0</v>
      </c>
      <c r="K12" s="33" t="n">
        <f aca="false">'Cash flow'!K12/FX_EUR</f>
        <v>-0</v>
      </c>
      <c r="L12" s="33" t="n">
        <f aca="false">'Cash flow'!L12/FX_EUR</f>
        <v>-0</v>
      </c>
      <c r="M12" s="33" t="n">
        <f aca="false">'Cash flow'!M12/FX_EUR</f>
        <v>-0</v>
      </c>
      <c r="N12" s="33" t="n">
        <f aca="false">'Cash flow'!N12/FX_EUR</f>
        <v>-0</v>
      </c>
      <c r="O12" s="33" t="n">
        <f aca="false">'Cash flow'!O12/FX_EUR</f>
        <v>-0</v>
      </c>
      <c r="P12" s="33" t="n">
        <f aca="false">'Cash flow'!P12/FX_EUR</f>
        <v>-0</v>
      </c>
      <c r="Q12" s="33" t="n">
        <f aca="false">'Cash flow'!Q12/FX_EUR</f>
        <v>-0</v>
      </c>
      <c r="R12" s="33" t="n">
        <f aca="false">'Cash flow'!R12/FX_EUR</f>
        <v>-0</v>
      </c>
      <c r="S12" s="33" t="n">
        <f aca="false">'Cash flow'!S12/FX_EUR</f>
        <v>-0</v>
      </c>
      <c r="T12" s="33" t="n">
        <f aca="false">'Cash flow'!T12/FX_EUR</f>
        <v>-0</v>
      </c>
      <c r="U12" s="33" t="n">
        <f aca="false">'Cash flow'!U12/FX_EUR</f>
        <v>-0</v>
      </c>
      <c r="V12" s="33" t="n">
        <f aca="false">'Cash flow'!V12/FX_EUR</f>
        <v>-0</v>
      </c>
      <c r="W12" s="33" t="n">
        <f aca="false">'Cash flow'!W12/FX_EUR</f>
        <v>-0</v>
      </c>
      <c r="X12" s="33" t="n">
        <f aca="false">'Cash flow'!X12/FX_EUR</f>
        <v>-0</v>
      </c>
      <c r="Y12" s="33" t="n">
        <f aca="false">'Cash flow'!Y12/FX_EUR</f>
        <v>-0</v>
      </c>
      <c r="Z12" s="33" t="n">
        <f aca="false">'Cash flow'!Z12/FX_EUR</f>
        <v>-0</v>
      </c>
      <c r="AA12" s="33" t="n">
        <f aca="false">'Cash flow'!AA12/FX_EUR</f>
        <v>-0</v>
      </c>
      <c r="AB12" s="33" t="n">
        <f aca="false">'Cash flow'!AB12/FX_EUR</f>
        <v>-0</v>
      </c>
      <c r="AC12" s="33" t="n">
        <f aca="false">'Cash flow'!AC12/FX_EUR</f>
        <v>-0</v>
      </c>
      <c r="AD12" s="33" t="n">
        <f aca="false">'Cash flow'!AD12/FX_EUR</f>
        <v>-0</v>
      </c>
      <c r="AE12" s="33" t="n">
        <f aca="false">'Cash flow'!AE12/FX_EUR</f>
        <v>-0</v>
      </c>
      <c r="AF12" s="33" t="n">
        <f aca="false">'Cash flow'!AF12/FX_EUR</f>
        <v>-0</v>
      </c>
      <c r="AG12" s="33" t="n">
        <f aca="false">'Cash flow'!AG12/FX_EUR</f>
        <v>-0</v>
      </c>
      <c r="AH12" s="33" t="n">
        <f aca="false">'Cash flow'!AH12/FX_EUR</f>
        <v>-0</v>
      </c>
      <c r="AI12" s="33" t="n">
        <f aca="false">'Cash flow'!AI12/FX_EUR</f>
        <v>-0</v>
      </c>
      <c r="AJ12" s="33" t="n">
        <f aca="false">'Cash flow'!AJ12/FX_EUR</f>
        <v>-0</v>
      </c>
      <c r="AK12" s="33" t="n">
        <f aca="false">'Cash flow'!AK12/FX_EUR</f>
        <v>-0</v>
      </c>
      <c r="AL12" s="33" t="n">
        <f aca="false">'Cash flow'!AL12/FX_EUR</f>
        <v>-0</v>
      </c>
      <c r="AM12" s="33" t="n">
        <f aca="false">'Cash flow'!AM12/FX_EUR</f>
        <v>-0</v>
      </c>
      <c r="AN12" s="33" t="n">
        <f aca="false">'Cash flow'!AN12/FX_EUR</f>
        <v>-0</v>
      </c>
      <c r="AO12" s="33" t="n">
        <f aca="false">'Cash flow'!AO12/FX_EUR</f>
        <v>-0</v>
      </c>
      <c r="AP12" s="33" t="n">
        <f aca="false">'Cash flow'!AP12/FX_EUR</f>
        <v>-0</v>
      </c>
      <c r="AQ12" s="33" t="n">
        <f aca="false">'Cash flow'!AQ12/FX_EUR</f>
        <v>-0</v>
      </c>
      <c r="AR12" s="33" t="n">
        <f aca="false">'Cash flow'!AR12/FX_EUR</f>
        <v>-0</v>
      </c>
      <c r="AS12" s="33" t="n">
        <f aca="false">'Cash flow'!AS12/FX_EUR</f>
        <v>-0</v>
      </c>
      <c r="AT12" s="33" t="n">
        <f aca="false">'Cash flow'!AT12/FX_EUR</f>
        <v>-0</v>
      </c>
      <c r="AU12" s="33" t="n">
        <f aca="false">'Cash flow'!AU12/FX_EUR</f>
        <v>-0</v>
      </c>
      <c r="AV12" s="33" t="n">
        <f aca="false">'Cash flow'!AV12/FX_EUR</f>
        <v>-0</v>
      </c>
      <c r="AW12" s="33" t="n">
        <f aca="false">'Cash flow'!AW12/FX_EUR</f>
        <v>-0</v>
      </c>
      <c r="AX12" s="33" t="n">
        <f aca="false">'Cash flow'!AX12/FX_EUR</f>
        <v>-0</v>
      </c>
      <c r="AY12" s="33" t="n">
        <f aca="false">'Cash flow'!AY12/FX_EUR</f>
        <v>-0</v>
      </c>
      <c r="AZ12" s="33" t="n">
        <f aca="false">'Cash flow'!AZ12/FX_EUR</f>
        <v>-0</v>
      </c>
      <c r="BA12" s="33" t="n">
        <f aca="false">'Cash flow'!BA12/FX_EUR</f>
        <v>-0</v>
      </c>
      <c r="BB12" s="33" t="n">
        <f aca="false">'Cash flow'!BB12/FX_EUR</f>
        <v>-0</v>
      </c>
      <c r="BC12" s="33" t="n">
        <f aca="false">'Cash flow'!BC12/FX_EUR</f>
        <v>-0</v>
      </c>
      <c r="BD12" s="33" t="n">
        <f aca="false">'Cash flow'!BD12/FX_EUR</f>
        <v>-0</v>
      </c>
      <c r="BE12" s="33" t="n">
        <f aca="false">'Cash flow'!BE12/FX_EUR</f>
        <v>-0</v>
      </c>
      <c r="BF12" s="33" t="n">
        <f aca="false">'Cash flow'!BF12/FX_EUR</f>
        <v>-0</v>
      </c>
      <c r="BG12" s="33" t="n">
        <f aca="false">'Cash flow'!BG12/FX_EUR</f>
        <v>-0</v>
      </c>
      <c r="BH12" s="33" t="n">
        <f aca="false">'Cash flow'!BH12/FX_EUR</f>
        <v>-0</v>
      </c>
      <c r="BI12" s="33" t="n">
        <f aca="false">'Cash flow'!BI12/FX_EUR</f>
        <v>-0</v>
      </c>
      <c r="BJ12" s="33" t="n">
        <f aca="false">'Cash flow'!BJ12/FX_EUR</f>
        <v>-0</v>
      </c>
      <c r="BK12" s="33" t="n">
        <f aca="false">'Cash flow'!BK12/FX_EUR</f>
        <v>-0</v>
      </c>
      <c r="BL12" s="33" t="n">
        <f aca="false">'Cash flow'!BL12/FX_EUR</f>
        <v>-0</v>
      </c>
    </row>
    <row r="13" customFormat="false" ht="15" hidden="false" customHeight="true" outlineLevel="0" collapsed="false">
      <c r="A13" s="13" t="s">
        <v>890</v>
      </c>
      <c r="B13" s="15" t="s">
        <v>79</v>
      </c>
      <c r="D13" s="56" t="n">
        <f aca="false">'Cash flow'!D13/FX_EUR</f>
        <v>-990918.612043168</v>
      </c>
      <c r="E13" s="33" t="n">
        <f aca="false">'Cash flow'!E13/FX_EUR</f>
        <v>-0</v>
      </c>
      <c r="F13" s="33" t="n">
        <f aca="false">'Cash flow'!F13/FX_EUR</f>
        <v>-0</v>
      </c>
      <c r="G13" s="33" t="n">
        <f aca="false">'Cash flow'!G13/FX_EUR</f>
        <v>-0</v>
      </c>
      <c r="H13" s="33" t="n">
        <f aca="false">'Cash flow'!H13/FX_EUR</f>
        <v>-0</v>
      </c>
      <c r="I13" s="33" t="n">
        <f aca="false">'Cash flow'!I13/FX_EUR</f>
        <v>-0</v>
      </c>
      <c r="J13" s="33" t="n">
        <f aca="false">'Cash flow'!J13/FX_EUR</f>
        <v>-0</v>
      </c>
      <c r="K13" s="33" t="n">
        <f aca="false">'Cash flow'!K13/FX_EUR</f>
        <v>-0</v>
      </c>
      <c r="L13" s="33" t="n">
        <f aca="false">'Cash flow'!L13/FX_EUR</f>
        <v>-0</v>
      </c>
      <c r="M13" s="33" t="n">
        <f aca="false">'Cash flow'!M13/FX_EUR</f>
        <v>-0</v>
      </c>
      <c r="N13" s="33" t="n">
        <f aca="false">'Cash flow'!N13/FX_EUR</f>
        <v>-0</v>
      </c>
      <c r="O13" s="33" t="n">
        <f aca="false">'Cash flow'!O13/FX_EUR</f>
        <v>-0</v>
      </c>
      <c r="P13" s="33" t="n">
        <f aca="false">'Cash flow'!P13/FX_EUR</f>
        <v>-0</v>
      </c>
      <c r="Q13" s="33" t="n">
        <f aca="false">'Cash flow'!Q13/FX_EUR</f>
        <v>-0</v>
      </c>
      <c r="R13" s="33" t="n">
        <f aca="false">'Cash flow'!R13/FX_EUR</f>
        <v>-0</v>
      </c>
      <c r="S13" s="33" t="n">
        <f aca="false">'Cash flow'!S13/FX_EUR</f>
        <v>-0</v>
      </c>
      <c r="T13" s="33" t="n">
        <f aca="false">'Cash flow'!T13/FX_EUR</f>
        <v>-0</v>
      </c>
      <c r="U13" s="33" t="n">
        <f aca="false">'Cash flow'!U13/FX_EUR</f>
        <v>-0</v>
      </c>
      <c r="V13" s="33" t="n">
        <f aca="false">'Cash flow'!V13/FX_EUR</f>
        <v>-0</v>
      </c>
      <c r="W13" s="33" t="n">
        <f aca="false">'Cash flow'!W13/FX_EUR</f>
        <v>-0</v>
      </c>
      <c r="X13" s="33" t="n">
        <f aca="false">'Cash flow'!X13/FX_EUR</f>
        <v>-0</v>
      </c>
      <c r="Y13" s="33" t="n">
        <f aca="false">'Cash flow'!Y13/FX_EUR</f>
        <v>-0</v>
      </c>
      <c r="Z13" s="33" t="n">
        <f aca="false">'Cash flow'!Z13/FX_EUR</f>
        <v>-0</v>
      </c>
      <c r="AA13" s="33" t="n">
        <f aca="false">'Cash flow'!AA13/FX_EUR</f>
        <v>-0</v>
      </c>
      <c r="AB13" s="33" t="n">
        <f aca="false">'Cash flow'!AB13/FX_EUR</f>
        <v>-990918.612043168</v>
      </c>
      <c r="AC13" s="33" t="n">
        <f aca="false">'Cash flow'!AC13/FX_EUR</f>
        <v>-0</v>
      </c>
      <c r="AD13" s="33" t="n">
        <f aca="false">'Cash flow'!AD13/FX_EUR</f>
        <v>-0</v>
      </c>
      <c r="AE13" s="33" t="n">
        <f aca="false">'Cash flow'!AE13/FX_EUR</f>
        <v>-0</v>
      </c>
      <c r="AF13" s="33" t="n">
        <f aca="false">'Cash flow'!AF13/FX_EUR</f>
        <v>-0</v>
      </c>
      <c r="AG13" s="33" t="n">
        <f aca="false">'Cash flow'!AG13/FX_EUR</f>
        <v>-0</v>
      </c>
      <c r="AH13" s="33" t="n">
        <f aca="false">'Cash flow'!AH13/FX_EUR</f>
        <v>-0</v>
      </c>
      <c r="AI13" s="33" t="n">
        <f aca="false">'Cash flow'!AI13/FX_EUR</f>
        <v>-0</v>
      </c>
      <c r="AJ13" s="33" t="n">
        <f aca="false">'Cash flow'!AJ13/FX_EUR</f>
        <v>-0</v>
      </c>
      <c r="AK13" s="33" t="n">
        <f aca="false">'Cash flow'!AK13/FX_EUR</f>
        <v>-0</v>
      </c>
      <c r="AL13" s="33" t="n">
        <f aca="false">'Cash flow'!AL13/FX_EUR</f>
        <v>-0</v>
      </c>
      <c r="AM13" s="33" t="n">
        <f aca="false">'Cash flow'!AM13/FX_EUR</f>
        <v>-0</v>
      </c>
      <c r="AN13" s="33" t="n">
        <f aca="false">'Cash flow'!AN13/FX_EUR</f>
        <v>-0</v>
      </c>
      <c r="AO13" s="33" t="n">
        <f aca="false">'Cash flow'!AO13/FX_EUR</f>
        <v>-0</v>
      </c>
      <c r="AP13" s="33" t="n">
        <f aca="false">'Cash flow'!AP13/FX_EUR</f>
        <v>-0</v>
      </c>
      <c r="AQ13" s="33" t="n">
        <f aca="false">'Cash flow'!AQ13/FX_EUR</f>
        <v>-0</v>
      </c>
      <c r="AR13" s="33" t="n">
        <f aca="false">'Cash flow'!AR13/FX_EUR</f>
        <v>-0</v>
      </c>
      <c r="AS13" s="33" t="n">
        <f aca="false">'Cash flow'!AS13/FX_EUR</f>
        <v>-0</v>
      </c>
      <c r="AT13" s="33" t="n">
        <f aca="false">'Cash flow'!AT13/FX_EUR</f>
        <v>-0</v>
      </c>
      <c r="AU13" s="33" t="n">
        <f aca="false">'Cash flow'!AU13/FX_EUR</f>
        <v>-0</v>
      </c>
      <c r="AV13" s="33" t="n">
        <f aca="false">'Cash flow'!AV13/FX_EUR</f>
        <v>-0</v>
      </c>
      <c r="AW13" s="33" t="n">
        <f aca="false">'Cash flow'!AW13/FX_EUR</f>
        <v>-0</v>
      </c>
      <c r="AX13" s="33" t="n">
        <f aca="false">'Cash flow'!AX13/FX_EUR</f>
        <v>-0</v>
      </c>
      <c r="AY13" s="33" t="n">
        <f aca="false">'Cash flow'!AY13/FX_EUR</f>
        <v>-0</v>
      </c>
      <c r="AZ13" s="33" t="n">
        <f aca="false">'Cash flow'!AZ13/FX_EUR</f>
        <v>-0</v>
      </c>
      <c r="BA13" s="33" t="n">
        <f aca="false">'Cash flow'!BA13/FX_EUR</f>
        <v>-0</v>
      </c>
      <c r="BB13" s="33" t="n">
        <f aca="false">'Cash flow'!BB13/FX_EUR</f>
        <v>-0</v>
      </c>
      <c r="BC13" s="33" t="n">
        <f aca="false">'Cash flow'!BC13/FX_EUR</f>
        <v>-0</v>
      </c>
      <c r="BD13" s="33" t="n">
        <f aca="false">'Cash flow'!BD13/FX_EUR</f>
        <v>-0</v>
      </c>
      <c r="BE13" s="33" t="n">
        <f aca="false">'Cash flow'!BE13/FX_EUR</f>
        <v>-0</v>
      </c>
      <c r="BF13" s="33" t="n">
        <f aca="false">'Cash flow'!BF13/FX_EUR</f>
        <v>-0</v>
      </c>
      <c r="BG13" s="33" t="n">
        <f aca="false">'Cash flow'!BG13/FX_EUR</f>
        <v>-0</v>
      </c>
      <c r="BH13" s="33" t="n">
        <f aca="false">'Cash flow'!BH13/FX_EUR</f>
        <v>-0</v>
      </c>
      <c r="BI13" s="33" t="n">
        <f aca="false">'Cash flow'!BI13/FX_EUR</f>
        <v>-0</v>
      </c>
      <c r="BJ13" s="33" t="n">
        <f aca="false">'Cash flow'!BJ13/FX_EUR</f>
        <v>-0</v>
      </c>
      <c r="BK13" s="33" t="n">
        <f aca="false">'Cash flow'!BK13/FX_EUR</f>
        <v>-0</v>
      </c>
      <c r="BL13" s="33" t="n">
        <f aca="false">'Cash flow'!BL13/FX_EUR</f>
        <v>-0</v>
      </c>
    </row>
    <row r="14" customFormat="false" ht="15" hidden="false" customHeight="true" outlineLevel="0" collapsed="false">
      <c r="A14" s="13" t="s">
        <v>1486</v>
      </c>
      <c r="B14" s="15" t="s">
        <v>79</v>
      </c>
      <c r="D14" s="56" t="n">
        <f aca="false">'Cash flow'!D14/FX_EUR</f>
        <v>-1605253.69131309</v>
      </c>
      <c r="E14" s="33" t="n">
        <f aca="false">'Cash flow'!E14/FX_EUR</f>
        <v>-0</v>
      </c>
      <c r="F14" s="33" t="n">
        <f aca="false">'Cash flow'!F14/FX_EUR</f>
        <v>-0</v>
      </c>
      <c r="G14" s="33" t="n">
        <f aca="false">'Cash flow'!G14/FX_EUR</f>
        <v>-0</v>
      </c>
      <c r="H14" s="33" t="n">
        <f aca="false">'Cash flow'!H14/FX_EUR</f>
        <v>-0</v>
      </c>
      <c r="I14" s="33" t="n">
        <f aca="false">'Cash flow'!I14/FX_EUR</f>
        <v>-0</v>
      </c>
      <c r="J14" s="33" t="n">
        <f aca="false">'Cash flow'!J14/FX_EUR</f>
        <v>-0</v>
      </c>
      <c r="K14" s="33" t="n">
        <f aca="false">'Cash flow'!K14/FX_EUR</f>
        <v>-0</v>
      </c>
      <c r="L14" s="33" t="n">
        <f aca="false">'Cash flow'!L14/FX_EUR</f>
        <v>-0</v>
      </c>
      <c r="M14" s="33" t="n">
        <f aca="false">'Cash flow'!M14/FX_EUR</f>
        <v>-0</v>
      </c>
      <c r="N14" s="33" t="n">
        <f aca="false">'Cash flow'!N14/FX_EUR</f>
        <v>-0</v>
      </c>
      <c r="O14" s="33" t="n">
        <f aca="false">'Cash flow'!O14/FX_EUR</f>
        <v>-0</v>
      </c>
      <c r="P14" s="33" t="n">
        <f aca="false">'Cash flow'!P14/FX_EUR</f>
        <v>-0</v>
      </c>
      <c r="Q14" s="33" t="n">
        <f aca="false">'Cash flow'!Q14/FX_EUR</f>
        <v>-0</v>
      </c>
      <c r="R14" s="33" t="n">
        <f aca="false">'Cash flow'!R14/FX_EUR</f>
        <v>-0</v>
      </c>
      <c r="S14" s="33" t="n">
        <f aca="false">'Cash flow'!S14/FX_EUR</f>
        <v>-0</v>
      </c>
      <c r="T14" s="33" t="n">
        <f aca="false">'Cash flow'!T14/FX_EUR</f>
        <v>-0</v>
      </c>
      <c r="U14" s="33" t="n">
        <f aca="false">'Cash flow'!U14/FX_EUR</f>
        <v>-0</v>
      </c>
      <c r="V14" s="33" t="n">
        <f aca="false">'Cash flow'!V14/FX_EUR</f>
        <v>-4834.94413870081</v>
      </c>
      <c r="W14" s="33" t="n">
        <f aca="false">'Cash flow'!W14/FX_EUR</f>
        <v>-6106.85749579993</v>
      </c>
      <c r="X14" s="33" t="n">
        <f aca="false">'Cash flow'!X14/FX_EUR</f>
        <v>-7374.5523159586</v>
      </c>
      <c r="Y14" s="33" t="n">
        <f aca="false">'Cash flow'!Y14/FX_EUR</f>
        <v>-10502.132361271</v>
      </c>
      <c r="Z14" s="33" t="n">
        <f aca="false">'Cash flow'!Z14/FX_EUR</f>
        <v>-12198.159150532</v>
      </c>
      <c r="AA14" s="33" t="n">
        <f aca="false">'Cash flow'!AA14/FX_EUR</f>
        <v>-13894.52803328</v>
      </c>
      <c r="AB14" s="33" t="n">
        <f aca="false">'Cash flow'!AB14/FX_EUR</f>
        <v>-15594.612562821</v>
      </c>
      <c r="AC14" s="33" t="n">
        <f aca="false">'Cash flow'!AC14/FX_EUR</f>
        <v>-56240.5829672991</v>
      </c>
      <c r="AD14" s="33" t="n">
        <f aca="false">'Cash flow'!AD14/FX_EUR</f>
        <v>-29477.7246577168</v>
      </c>
      <c r="AE14" s="33" t="n">
        <f aca="false">'Cash flow'!AE14/FX_EUR</f>
        <v>-39890.7946966011</v>
      </c>
      <c r="AF14" s="33" t="n">
        <f aca="false">'Cash flow'!AF14/FX_EUR</f>
        <v>-44032.6146163524</v>
      </c>
      <c r="AG14" s="33" t="n">
        <f aca="false">'Cash flow'!AG14/FX_EUR</f>
        <v>-48189.5741035711</v>
      </c>
      <c r="AH14" s="33" t="n">
        <f aca="false">'Cash flow'!AH14/FX_EUR</f>
        <v>-33385.5630974914</v>
      </c>
      <c r="AI14" s="33" t="n">
        <f aca="false">'Cash flow'!AI14/FX_EUR</f>
        <v>-36461.1965368659</v>
      </c>
      <c r="AJ14" s="33" t="n">
        <f aca="false">'Cash flow'!AJ14/FX_EUR</f>
        <v>-38394.1599288609</v>
      </c>
      <c r="AK14" s="33" t="n">
        <f aca="false">'Cash flow'!AK14/FX_EUR</f>
        <v>-34493.1188776195</v>
      </c>
      <c r="AL14" s="33" t="n">
        <f aca="false">'Cash flow'!AL14/FX_EUR</f>
        <v>-35839.1883662509</v>
      </c>
      <c r="AM14" s="33" t="n">
        <f aca="false">'Cash flow'!AM14/FX_EUR</f>
        <v>-38635.9911019779</v>
      </c>
      <c r="AN14" s="33" t="n">
        <f aca="false">'Cash flow'!AN14/FX_EUR</f>
        <v>-40109.6553178196</v>
      </c>
      <c r="AO14" s="33" t="n">
        <f aca="false">'Cash flow'!AO14/FX_EUR</f>
        <v>-45202.5903271636</v>
      </c>
      <c r="AP14" s="33" t="n">
        <f aca="false">'Cash flow'!AP14/FX_EUR</f>
        <v>-48392.6206954164</v>
      </c>
      <c r="AQ14" s="33" t="n">
        <f aca="false">'Cash flow'!AQ14/FX_EUR</f>
        <v>-36594.5883559378</v>
      </c>
      <c r="AR14" s="33" t="n">
        <f aca="false">'Cash flow'!AR14/FX_EUR</f>
        <v>-37010.9412219755</v>
      </c>
      <c r="AS14" s="33" t="n">
        <f aca="false">'Cash flow'!AS14/FX_EUR</f>
        <v>-38998.6936886778</v>
      </c>
      <c r="AT14" s="33" t="n">
        <f aca="false">'Cash flow'!AT14/FX_EUR</f>
        <v>-37599.9559457182</v>
      </c>
      <c r="AU14" s="33" t="n">
        <f aca="false">'Cash flow'!AU14/FX_EUR</f>
        <v>-37962.3870003925</v>
      </c>
      <c r="AV14" s="33" t="n">
        <f aca="false">'Cash flow'!AV14/FX_EUR</f>
        <v>-40813.2959178927</v>
      </c>
      <c r="AW14" s="33" t="n">
        <f aca="false">'Cash flow'!AW14/FX_EUR</f>
        <v>-40808.2291772011</v>
      </c>
      <c r="AX14" s="33" t="n">
        <f aca="false">'Cash flow'!AX14/FX_EUR</f>
        <v>-41887.5297380156</v>
      </c>
      <c r="AY14" s="33" t="n">
        <f aca="false">'Cash flow'!AY14/FX_EUR</f>
        <v>-41438.6819220477</v>
      </c>
      <c r="AZ14" s="33" t="n">
        <f aca="false">'Cash flow'!AZ14/FX_EUR</f>
        <v>-41011.0166047814</v>
      </c>
      <c r="BA14" s="33" t="n">
        <f aca="false">'Cash flow'!BA14/FX_EUR</f>
        <v>-45831.7699815643</v>
      </c>
      <c r="BB14" s="33" t="n">
        <f aca="false">'Cash flow'!BB14/FX_EUR</f>
        <v>-45362.3266929246</v>
      </c>
      <c r="BC14" s="33" t="n">
        <f aca="false">'Cash flow'!BC14/FX_EUR</f>
        <v>-46440.7241042491</v>
      </c>
      <c r="BD14" s="33" t="n">
        <f aca="false">'Cash flow'!BD14/FX_EUR</f>
        <v>-45995.1171142378</v>
      </c>
      <c r="BE14" s="33" t="n">
        <f aca="false">'Cash flow'!BE14/FX_EUR</f>
        <v>-46487.1589852935</v>
      </c>
      <c r="BF14" s="33" t="n">
        <f aca="false">'Cash flow'!BF14/FX_EUR</f>
        <v>-47602.3296492546</v>
      </c>
      <c r="BG14" s="33" t="n">
        <f aca="false">'Cash flow'!BG14/FX_EUR</f>
        <v>-47195.9810958829</v>
      </c>
      <c r="BH14" s="33" t="n">
        <f aca="false">'Cash flow'!BH14/FX_EUR</f>
        <v>-48341.8881227668</v>
      </c>
      <c r="BI14" s="33" t="n">
        <f aca="false">'Cash flow'!BI14/FX_EUR</f>
        <v>-48880.0006845104</v>
      </c>
      <c r="BJ14" s="33" t="n">
        <f aca="false">'Cash flow'!BJ14/FX_EUR</f>
        <v>-50045.6992193381</v>
      </c>
      <c r="BK14" s="33" t="n">
        <f aca="false">'Cash flow'!BK14/FX_EUR</f>
        <v>-49477.0444165012</v>
      </c>
      <c r="BL14" s="33" t="n">
        <f aca="false">'Cash flow'!BL14/FX_EUR</f>
        <v>-50217.1703245547</v>
      </c>
    </row>
    <row r="15" customFormat="false" ht="15" hidden="false" customHeight="true" outlineLevel="0" collapsed="false">
      <c r="A15" s="9" t="s">
        <v>1356</v>
      </c>
      <c r="B15" s="15" t="s">
        <v>79</v>
      </c>
      <c r="D15" s="56" t="n">
        <f aca="false">'Cash flow'!D15/FX_EUR</f>
        <v>4146472.66744618</v>
      </c>
      <c r="E15" s="17" t="n">
        <f aca="false">'Cash flow'!E15/FX_EUR</f>
        <v>-49074.7705566066</v>
      </c>
      <c r="F15" s="17" t="n">
        <f aca="false">'Cash flow'!F15/FX_EUR</f>
        <v>-61888.4605240892</v>
      </c>
      <c r="G15" s="17" t="n">
        <f aca="false">'Cash flow'!G15/FX_EUR</f>
        <v>-84298.4660579886</v>
      </c>
      <c r="H15" s="17" t="n">
        <f aca="false">'Cash flow'!H15/FX_EUR</f>
        <v>-102302.434915703</v>
      </c>
      <c r="I15" s="17" t="n">
        <f aca="false">'Cash flow'!I15/FX_EUR</f>
        <v>-54258.8976436972</v>
      </c>
      <c r="J15" s="17" t="n">
        <f aca="false">'Cash flow'!J15/FX_EUR</f>
        <v>-50460.5486706192</v>
      </c>
      <c r="K15" s="17" t="n">
        <f aca="false">'Cash flow'!K15/FX_EUR</f>
        <v>-47194.6957554459</v>
      </c>
      <c r="L15" s="17" t="n">
        <f aca="false">'Cash flow'!L15/FX_EUR</f>
        <v>-43934.2918046701</v>
      </c>
      <c r="M15" s="17" t="n">
        <f aca="false">'Cash flow'!M15/FX_EUR</f>
        <v>-40677.2022022634</v>
      </c>
      <c r="N15" s="17" t="n">
        <f aca="false">'Cash flow'!N15/FX_EUR</f>
        <v>-37421.1989967175</v>
      </c>
      <c r="O15" s="17" t="n">
        <f aca="false">'Cash flow'!O15/FX_EUR</f>
        <v>-33813.63788666</v>
      </c>
      <c r="P15" s="17" t="n">
        <f aca="false">'Cash flow'!P15/FX_EUR</f>
        <v>-30101.6930202053</v>
      </c>
      <c r="Q15" s="17" t="n">
        <f aca="false">'Cash flow'!Q15/FX_EUR</f>
        <v>-48529.8909984957</v>
      </c>
      <c r="R15" s="17" t="n">
        <f aca="false">'Cash flow'!R15/FX_EUR</f>
        <v>-41717.45367851</v>
      </c>
      <c r="S15" s="17" t="n">
        <f aca="false">'Cash flow'!S15/FX_EUR</f>
        <v>-44077.652889421</v>
      </c>
      <c r="T15" s="17" t="n">
        <f aca="false">'Cash flow'!T15/FX_EUR</f>
        <v>-71343.7150821828</v>
      </c>
      <c r="U15" s="17" t="n">
        <f aca="false">'Cash flow'!U15/FX_EUR</f>
        <v>-25834.7150419853</v>
      </c>
      <c r="V15" s="17" t="n">
        <f aca="false">'Cash flow'!V15/FX_EUR</f>
        <v>-35973.4394155954</v>
      </c>
      <c r="W15" s="17" t="n">
        <f aca="false">'Cash flow'!W15/FX_EUR</f>
        <v>-31180.9439865994</v>
      </c>
      <c r="X15" s="17" t="n">
        <f aca="false">'Cash flow'!X15/FX_EUR</f>
        <v>-24086.6381510584</v>
      </c>
      <c r="Y15" s="17" t="n">
        <f aca="false">'Cash flow'!Y15/FX_EUR</f>
        <v>-17143.3576510576</v>
      </c>
      <c r="Z15" s="17" t="n">
        <f aca="false">'Cash flow'!Z15/FX_EUR</f>
        <v>-6563.21396255493</v>
      </c>
      <c r="AA15" s="17" t="n">
        <f aca="false">'Cash flow'!AA15/FX_EUR</f>
        <v>2205.12222772147</v>
      </c>
      <c r="AB15" s="17" t="n">
        <f aca="false">'Cash flow'!AB15/FX_EUR</f>
        <v>-989494.930883168</v>
      </c>
      <c r="AC15" s="17" t="n">
        <f aca="false">'Cash flow'!AC15/FX_EUR</f>
        <v>-40769.3743825811</v>
      </c>
      <c r="AD15" s="17" t="n">
        <f aca="false">'Cash flow'!AD15/FX_EUR</f>
        <v>-800.334452515784</v>
      </c>
      <c r="AE15" s="17" t="n">
        <f aca="false">'Cash flow'!AE15/FX_EUR</f>
        <v>4314.47589966842</v>
      </c>
      <c r="AF15" s="17" t="n">
        <f aca="false">'Cash flow'!AF15/FX_EUR</f>
        <v>-952.97961854377</v>
      </c>
      <c r="AG15" s="17" t="n">
        <f aca="false">'Cash flow'!AG15/FX_EUR</f>
        <v>267.401136892774</v>
      </c>
      <c r="AH15" s="17" t="n">
        <f aca="false">'Cash flow'!AH15/FX_EUR</f>
        <v>43618.7899567741</v>
      </c>
      <c r="AI15" s="17" t="n">
        <f aca="false">'Cash flow'!AI15/FX_EUR</f>
        <v>54564.1677789644</v>
      </c>
      <c r="AJ15" s="17" t="n">
        <f aca="false">'Cash flow'!AJ15/FX_EUR</f>
        <v>68695.7760919901</v>
      </c>
      <c r="AK15" s="17" t="n">
        <f aca="false">'Cash flow'!AK15/FX_EUR</f>
        <v>86659.7862221446</v>
      </c>
      <c r="AL15" s="17" t="n">
        <f aca="false">'Cash flow'!AL15/FX_EUR</f>
        <v>96456.4717603442</v>
      </c>
      <c r="AM15" s="17" t="n">
        <f aca="false">'Cash flow'!AM15/FX_EUR</f>
        <v>110144.406686974</v>
      </c>
      <c r="AN15" s="17" t="n">
        <f aca="false">'Cash flow'!AN15/FX_EUR</f>
        <v>76091.336705438</v>
      </c>
      <c r="AO15" s="17" t="n">
        <f aca="false">'Cash flow'!AO15/FX_EUR</f>
        <v>74037.1421318797</v>
      </c>
      <c r="AP15" s="17" t="n">
        <f aca="false">'Cash flow'!AP15/FX_EUR</f>
        <v>85278.2269096452</v>
      </c>
      <c r="AQ15" s="17" t="n">
        <f aca="false">'Cash flow'!AQ15/FX_EUR</f>
        <v>107709.836831172</v>
      </c>
      <c r="AR15" s="17" t="n">
        <f aca="false">'Cash flow'!AR15/FX_EUR</f>
        <v>109366.186252622</v>
      </c>
      <c r="AS15" s="17" t="n">
        <f aca="false">'Cash flow'!AS15/FX_EUR</f>
        <v>130727.136638895</v>
      </c>
      <c r="AT15" s="17" t="n">
        <f aca="false">'Cash flow'!AT15/FX_EUR</f>
        <v>145656.244640084</v>
      </c>
      <c r="AU15" s="17" t="n">
        <f aca="false">'Cash flow'!AU15/FX_EUR</f>
        <v>156497.370338428</v>
      </c>
      <c r="AV15" s="17" t="n">
        <f aca="false">'Cash flow'!AV15/FX_EUR</f>
        <v>170071.120864496</v>
      </c>
      <c r="AW15" s="17" t="n">
        <f aca="false">'Cash flow'!AW15/FX_EUR</f>
        <v>181452.689420912</v>
      </c>
      <c r="AX15" s="17" t="n">
        <f aca="false">'Cash flow'!AX15/FX_EUR</f>
        <v>197296.706303042</v>
      </c>
      <c r="AY15" s="17" t="n">
        <f aca="false">'Cash flow'!AY15/FX_EUR</f>
        <v>213524.431138124</v>
      </c>
      <c r="AZ15" s="17" t="n">
        <f aca="false">'Cash flow'!AZ15/FX_EUR</f>
        <v>227905.954090875</v>
      </c>
      <c r="BA15" s="17" t="n">
        <f aca="false">'Cash flow'!BA15/FX_EUR</f>
        <v>225956.701201523</v>
      </c>
      <c r="BB15" s="17" t="n">
        <f aca="false">'Cash flow'!BB15/FX_EUR</f>
        <v>242190.930559437</v>
      </c>
      <c r="BC15" s="17" t="n">
        <f aca="false">'Cash flow'!BC15/FX_EUR</f>
        <v>260112.160232302</v>
      </c>
      <c r="BD15" s="17" t="n">
        <f aca="false">'Cash flow'!BD15/FX_EUR</f>
        <v>270436.839937077</v>
      </c>
      <c r="BE15" s="17" t="n">
        <f aca="false">'Cash flow'!BE15/FX_EUR</f>
        <v>294486.546214989</v>
      </c>
      <c r="BF15" s="17" t="n">
        <f aca="false">'Cash flow'!BF15/FX_EUR</f>
        <v>309498.878452253</v>
      </c>
      <c r="BG15" s="17" t="n">
        <f aca="false">'Cash flow'!BG15/FX_EUR</f>
        <v>328051.027925387</v>
      </c>
      <c r="BH15" s="17" t="n">
        <f aca="false">'Cash flow'!BH15/FX_EUR</f>
        <v>340285.043351695</v>
      </c>
      <c r="BI15" s="17" t="n">
        <f aca="false">'Cash flow'!BI15/FX_EUR</f>
        <v>359776.993809832</v>
      </c>
      <c r="BJ15" s="17" t="n">
        <f aca="false">'Cash flow'!BJ15/FX_EUR</f>
        <v>376332.125453926</v>
      </c>
      <c r="BK15" s="17" t="n">
        <f aca="false">'Cash flow'!BK15/FX_EUR</f>
        <v>396302.941750214</v>
      </c>
      <c r="BL15" s="17" t="n">
        <f aca="false">'Cash flow'!BL15/FX_EUR</f>
        <v>414396.636759392</v>
      </c>
    </row>
    <row r="16" customFormat="false" ht="15" hidden="false" customHeight="true" outlineLevel="0" collapsed="false">
      <c r="A16" s="13" t="s">
        <v>1487</v>
      </c>
      <c r="B16" s="15" t="s">
        <v>79</v>
      </c>
      <c r="D16" s="56" t="n">
        <f aca="false">'Cash flow'!D16/FX_EUR</f>
        <v>4146472.66744618</v>
      </c>
      <c r="E16" s="33" t="n">
        <f aca="false">'Cash flow'!E16/FX_EUR</f>
        <v>-49074.7705566066</v>
      </c>
      <c r="F16" s="33" t="n">
        <f aca="false">'Cash flow'!F16/FX_EUR</f>
        <v>-110963.231080696</v>
      </c>
      <c r="G16" s="33" t="n">
        <f aca="false">'Cash flow'!G16/FX_EUR</f>
        <v>-195261.697138684</v>
      </c>
      <c r="H16" s="33" t="n">
        <f aca="false">'Cash flow'!H16/FX_EUR</f>
        <v>-297564.132054388</v>
      </c>
      <c r="I16" s="33" t="n">
        <f aca="false">'Cash flow'!I16/FX_EUR</f>
        <v>-351823.029698085</v>
      </c>
      <c r="J16" s="33" t="n">
        <f aca="false">'Cash flow'!J16/FX_EUR</f>
        <v>-402283.578368704</v>
      </c>
      <c r="K16" s="33" t="n">
        <f aca="false">'Cash flow'!K16/FX_EUR</f>
        <v>-449478.27412415</v>
      </c>
      <c r="L16" s="33" t="n">
        <f aca="false">'Cash flow'!L16/FX_EUR</f>
        <v>-493412.56592882</v>
      </c>
      <c r="M16" s="33" t="n">
        <f aca="false">'Cash flow'!M16/FX_EUR</f>
        <v>-534089.768131083</v>
      </c>
      <c r="N16" s="33" t="n">
        <f aca="false">'Cash flow'!N16/FX_EUR</f>
        <v>-571510.967127801</v>
      </c>
      <c r="O16" s="33" t="n">
        <f aca="false">'Cash flow'!O16/FX_EUR</f>
        <v>-605324.605014461</v>
      </c>
      <c r="P16" s="33" t="n">
        <f aca="false">'Cash flow'!P16/FX_EUR</f>
        <v>-635426.298034666</v>
      </c>
      <c r="Q16" s="33" t="n">
        <f aca="false">'Cash flow'!Q16/FX_EUR</f>
        <v>-683956.189033162</v>
      </c>
      <c r="R16" s="33" t="n">
        <f aca="false">'Cash flow'!R16/FX_EUR</f>
        <v>-725673.642711672</v>
      </c>
      <c r="S16" s="33" t="n">
        <f aca="false">'Cash flow'!S16/FX_EUR</f>
        <v>-769751.295601093</v>
      </c>
      <c r="T16" s="33" t="n">
        <f aca="false">'Cash flow'!T16/FX_EUR</f>
        <v>-841095.010683275</v>
      </c>
      <c r="U16" s="33" t="n">
        <f aca="false">'Cash flow'!U16/FX_EUR</f>
        <v>-866929.725725261</v>
      </c>
      <c r="V16" s="33" t="n">
        <f aca="false">'Cash flow'!V16/FX_EUR</f>
        <v>-902903.165140856</v>
      </c>
      <c r="W16" s="33" t="n">
        <f aca="false">'Cash flow'!W16/FX_EUR</f>
        <v>-934084.109127456</v>
      </c>
      <c r="X16" s="33" t="n">
        <f aca="false">'Cash flow'!X16/FX_EUR</f>
        <v>-958170.747278514</v>
      </c>
      <c r="Y16" s="33" t="n">
        <f aca="false">'Cash flow'!Y16/FX_EUR</f>
        <v>-975314.104929572</v>
      </c>
      <c r="Z16" s="33" t="n">
        <f aca="false">'Cash flow'!Z16/FX_EUR</f>
        <v>-981877.318892127</v>
      </c>
      <c r="AA16" s="33" t="n">
        <f aca="false">'Cash flow'!AA16/FX_EUR</f>
        <v>-979672.196664405</v>
      </c>
      <c r="AB16" s="33" t="n">
        <f aca="false">'Cash flow'!AB16/FX_EUR</f>
        <v>-1969167.12754757</v>
      </c>
      <c r="AC16" s="33" t="n">
        <f aca="false">'Cash flow'!AC16/FX_EUR</f>
        <v>-2009936.50193015</v>
      </c>
      <c r="AD16" s="33" t="n">
        <f aca="false">'Cash flow'!AD16/FX_EUR</f>
        <v>-2010736.83638267</v>
      </c>
      <c r="AE16" s="33" t="n">
        <f aca="false">'Cash flow'!AE16/FX_EUR</f>
        <v>-2006422.360483</v>
      </c>
      <c r="AF16" s="33" t="n">
        <f aca="false">'Cash flow'!AF16/FX_EUR</f>
        <v>-2007375.34010155</v>
      </c>
      <c r="AG16" s="33" t="n">
        <f aca="false">'Cash flow'!AG16/FX_EUR</f>
        <v>-2007107.93896465</v>
      </c>
      <c r="AH16" s="33" t="n">
        <f aca="false">'Cash flow'!AH16/FX_EUR</f>
        <v>-1963489.14900788</v>
      </c>
      <c r="AI16" s="33" t="n">
        <f aca="false">'Cash flow'!AI16/FX_EUR</f>
        <v>-1908924.98122891</v>
      </c>
      <c r="AJ16" s="33" t="n">
        <f aca="false">'Cash flow'!AJ16/FX_EUR</f>
        <v>-1840229.20513692</v>
      </c>
      <c r="AK16" s="33" t="n">
        <f aca="false">'Cash flow'!AK16/FX_EUR</f>
        <v>-1753569.41891478</v>
      </c>
      <c r="AL16" s="33" t="n">
        <f aca="false">'Cash flow'!AL16/FX_EUR</f>
        <v>-1657112.94715444</v>
      </c>
      <c r="AM16" s="33" t="n">
        <f aca="false">'Cash flow'!AM16/FX_EUR</f>
        <v>-1546968.54046746</v>
      </c>
      <c r="AN16" s="33" t="n">
        <f aca="false">'Cash flow'!AN16/FX_EUR</f>
        <v>-1470877.20376202</v>
      </c>
      <c r="AO16" s="33" t="n">
        <f aca="false">'Cash flow'!AO16/FX_EUR</f>
        <v>-1396840.06163014</v>
      </c>
      <c r="AP16" s="33" t="n">
        <f aca="false">'Cash flow'!AP16/FX_EUR</f>
        <v>-1311561.8347205</v>
      </c>
      <c r="AQ16" s="33" t="n">
        <f aca="false">'Cash flow'!AQ16/FX_EUR</f>
        <v>-1203851.99788933</v>
      </c>
      <c r="AR16" s="33" t="n">
        <f aca="false">'Cash flow'!AR16/FX_EUR</f>
        <v>-1094485.8116367</v>
      </c>
      <c r="AS16" s="33" t="n">
        <f aca="false">'Cash flow'!AS16/FX_EUR</f>
        <v>-963758.674997809</v>
      </c>
      <c r="AT16" s="33" t="n">
        <f aca="false">'Cash flow'!AT16/FX_EUR</f>
        <v>-818102.430357725</v>
      </c>
      <c r="AU16" s="33" t="n">
        <f aca="false">'Cash flow'!AU16/FX_EUR</f>
        <v>-661605.060019297</v>
      </c>
      <c r="AV16" s="33" t="n">
        <f aca="false">'Cash flow'!AV16/FX_EUR</f>
        <v>-491533.939154801</v>
      </c>
      <c r="AW16" s="33" t="n">
        <f aca="false">'Cash flow'!AW16/FX_EUR</f>
        <v>-310081.24973389</v>
      </c>
      <c r="AX16" s="33" t="n">
        <f aca="false">'Cash flow'!AX16/FX_EUR</f>
        <v>-112784.543430848</v>
      </c>
      <c r="AY16" s="33" t="n">
        <f aca="false">'Cash flow'!AY16/FX_EUR</f>
        <v>100739.887707277</v>
      </c>
      <c r="AZ16" s="33" t="n">
        <f aca="false">'Cash flow'!AZ16/FX_EUR</f>
        <v>328645.841798152</v>
      </c>
      <c r="BA16" s="33" t="n">
        <f aca="false">'Cash flow'!BA16/FX_EUR</f>
        <v>554602.542999675</v>
      </c>
      <c r="BB16" s="33" t="n">
        <f aca="false">'Cash flow'!BB16/FX_EUR</f>
        <v>796793.473559112</v>
      </c>
      <c r="BC16" s="33" t="n">
        <f aca="false">'Cash flow'!BC16/FX_EUR</f>
        <v>1056905.63379141</v>
      </c>
      <c r="BD16" s="33" t="n">
        <f aca="false">'Cash flow'!BD16/FX_EUR</f>
        <v>1327342.47372849</v>
      </c>
      <c r="BE16" s="33" t="n">
        <f aca="false">'Cash flow'!BE16/FX_EUR</f>
        <v>1621829.01994348</v>
      </c>
      <c r="BF16" s="33" t="n">
        <f aca="false">'Cash flow'!BF16/FX_EUR</f>
        <v>1931327.89839573</v>
      </c>
      <c r="BG16" s="33" t="n">
        <f aca="false">'Cash flow'!BG16/FX_EUR</f>
        <v>2259378.92632112</v>
      </c>
      <c r="BH16" s="33" t="n">
        <f aca="false">'Cash flow'!BH16/FX_EUR</f>
        <v>2599663.96967282</v>
      </c>
      <c r="BI16" s="33" t="n">
        <f aca="false">'Cash flow'!BI16/FX_EUR</f>
        <v>2959440.96348265</v>
      </c>
      <c r="BJ16" s="33" t="n">
        <f aca="false">'Cash flow'!BJ16/FX_EUR</f>
        <v>3335773.08893657</v>
      </c>
      <c r="BK16" s="33" t="n">
        <f aca="false">'Cash flow'!BK16/FX_EUR</f>
        <v>3732076.03068679</v>
      </c>
      <c r="BL16" s="33" t="n">
        <f aca="false">'Cash flow'!BL16/FX_EUR</f>
        <v>4146472.66744618</v>
      </c>
    </row>
    <row r="18" customFormat="false" ht="15" hidden="false" customHeight="true" outlineLevel="0" collapsed="false">
      <c r="A18" s="11" t="s">
        <v>1488</v>
      </c>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row>
    <row r="19" customFormat="false" ht="15" hidden="false" customHeight="true" outlineLevel="0" collapsed="false">
      <c r="A19" s="13" t="s">
        <v>1357</v>
      </c>
      <c r="B19" s="15" t="s">
        <v>79</v>
      </c>
      <c r="D19" s="56" t="n">
        <f aca="false">'Cash flow'!D19/FX_EUR</f>
        <v>5030817.56883454</v>
      </c>
      <c r="E19" s="33" t="n">
        <f aca="false">'Cash flow'!E19/FX_EUR</f>
        <v>1372041.15513669</v>
      </c>
      <c r="F19" s="33" t="n">
        <f aca="false">'Cash flow'!F19/FX_EUR</f>
        <v>0</v>
      </c>
      <c r="G19" s="33" t="n">
        <f aca="false">'Cash flow'!G19/FX_EUR</f>
        <v>0</v>
      </c>
      <c r="H19" s="33" t="n">
        <f aca="false">'Cash flow'!H19/FX_EUR</f>
        <v>0</v>
      </c>
      <c r="I19" s="33" t="n">
        <f aca="false">'Cash flow'!I19/FX_EUR</f>
        <v>0</v>
      </c>
      <c r="J19" s="33" t="n">
        <f aca="false">'Cash flow'!J19/FX_EUR</f>
        <v>0</v>
      </c>
      <c r="K19" s="33" t="n">
        <f aca="false">'Cash flow'!K19/FX_EUR</f>
        <v>0</v>
      </c>
      <c r="L19" s="33" t="n">
        <f aca="false">'Cash flow'!L19/FX_EUR</f>
        <v>0</v>
      </c>
      <c r="M19" s="33" t="n">
        <f aca="false">'Cash flow'!M19/FX_EUR</f>
        <v>0</v>
      </c>
      <c r="N19" s="33" t="n">
        <f aca="false">'Cash flow'!N19/FX_EUR</f>
        <v>0</v>
      </c>
      <c r="O19" s="33" t="n">
        <f aca="false">'Cash flow'!O19/FX_EUR</f>
        <v>0</v>
      </c>
      <c r="P19" s="33" t="n">
        <f aca="false">'Cash flow'!P19/FX_EUR</f>
        <v>0</v>
      </c>
      <c r="Q19" s="33" t="n">
        <f aca="false">'Cash flow'!Q19/FX_EUR</f>
        <v>0</v>
      </c>
      <c r="R19" s="33" t="n">
        <f aca="false">'Cash flow'!R19/FX_EUR</f>
        <v>0</v>
      </c>
      <c r="S19" s="33" t="n">
        <f aca="false">'Cash flow'!S19/FX_EUR</f>
        <v>1829388.20684892</v>
      </c>
      <c r="T19" s="33" t="n">
        <f aca="false">'Cash flow'!T19/FX_EUR</f>
        <v>0</v>
      </c>
      <c r="U19" s="33" t="n">
        <f aca="false">'Cash flow'!U19/FX_EUR</f>
        <v>0</v>
      </c>
      <c r="V19" s="33" t="n">
        <f aca="false">'Cash flow'!V19/FX_EUR</f>
        <v>0</v>
      </c>
      <c r="W19" s="33" t="n">
        <f aca="false">'Cash flow'!W19/FX_EUR</f>
        <v>0</v>
      </c>
      <c r="X19" s="33" t="n">
        <f aca="false">'Cash flow'!X19/FX_EUR</f>
        <v>0</v>
      </c>
      <c r="Y19" s="33" t="n">
        <f aca="false">'Cash flow'!Y19/FX_EUR</f>
        <v>0</v>
      </c>
      <c r="Z19" s="33" t="n">
        <f aca="false">'Cash flow'!Z19/FX_EUR</f>
        <v>0</v>
      </c>
      <c r="AA19" s="33" t="n">
        <f aca="false">'Cash flow'!AA19/FX_EUR</f>
        <v>0</v>
      </c>
      <c r="AB19" s="33" t="n">
        <f aca="false">'Cash flow'!AB19/FX_EUR</f>
        <v>1829388.20684892</v>
      </c>
      <c r="AC19" s="33" t="n">
        <f aca="false">'Cash flow'!AC19/FX_EUR</f>
        <v>0</v>
      </c>
      <c r="AD19" s="33" t="n">
        <f aca="false">'Cash flow'!AD19/FX_EUR</f>
        <v>0</v>
      </c>
      <c r="AE19" s="33" t="n">
        <f aca="false">'Cash flow'!AE19/FX_EUR</f>
        <v>0</v>
      </c>
      <c r="AF19" s="33" t="n">
        <f aca="false">'Cash flow'!AF19/FX_EUR</f>
        <v>0</v>
      </c>
      <c r="AG19" s="33" t="n">
        <f aca="false">'Cash flow'!AG19/FX_EUR</f>
        <v>0</v>
      </c>
      <c r="AH19" s="33" t="n">
        <f aca="false">'Cash flow'!AH19/FX_EUR</f>
        <v>0</v>
      </c>
      <c r="AI19" s="33" t="n">
        <f aca="false">'Cash flow'!AI19/FX_EUR</f>
        <v>0</v>
      </c>
      <c r="AJ19" s="33" t="n">
        <f aca="false">'Cash flow'!AJ19/FX_EUR</f>
        <v>0</v>
      </c>
      <c r="AK19" s="33" t="n">
        <f aca="false">'Cash flow'!AK19/FX_EUR</f>
        <v>0</v>
      </c>
      <c r="AL19" s="33" t="n">
        <f aca="false">'Cash flow'!AL19/FX_EUR</f>
        <v>0</v>
      </c>
      <c r="AM19" s="33" t="n">
        <f aca="false">'Cash flow'!AM19/FX_EUR</f>
        <v>0</v>
      </c>
      <c r="AN19" s="33" t="n">
        <f aca="false">'Cash flow'!AN19/FX_EUR</f>
        <v>0</v>
      </c>
      <c r="AO19" s="33" t="n">
        <f aca="false">'Cash flow'!AO19/FX_EUR</f>
        <v>0</v>
      </c>
      <c r="AP19" s="33" t="n">
        <f aca="false">'Cash flow'!AP19/FX_EUR</f>
        <v>0</v>
      </c>
      <c r="AQ19" s="33" t="n">
        <f aca="false">'Cash flow'!AQ19/FX_EUR</f>
        <v>0</v>
      </c>
      <c r="AR19" s="33" t="n">
        <f aca="false">'Cash flow'!AR19/FX_EUR</f>
        <v>0</v>
      </c>
      <c r="AS19" s="33" t="n">
        <f aca="false">'Cash flow'!AS19/FX_EUR</f>
        <v>0</v>
      </c>
      <c r="AT19" s="33" t="n">
        <f aca="false">'Cash flow'!AT19/FX_EUR</f>
        <v>0</v>
      </c>
      <c r="AU19" s="33" t="n">
        <f aca="false">'Cash flow'!AU19/FX_EUR</f>
        <v>0</v>
      </c>
      <c r="AV19" s="33" t="n">
        <f aca="false">'Cash flow'!AV19/FX_EUR</f>
        <v>0</v>
      </c>
      <c r="AW19" s="33" t="n">
        <f aca="false">'Cash flow'!AW19/FX_EUR</f>
        <v>0</v>
      </c>
      <c r="AX19" s="33" t="n">
        <f aca="false">'Cash flow'!AX19/FX_EUR</f>
        <v>0</v>
      </c>
      <c r="AY19" s="33" t="n">
        <f aca="false">'Cash flow'!AY19/FX_EUR</f>
        <v>0</v>
      </c>
      <c r="AZ19" s="33" t="n">
        <f aca="false">'Cash flow'!AZ19/FX_EUR</f>
        <v>0</v>
      </c>
      <c r="BA19" s="33" t="n">
        <f aca="false">'Cash flow'!BA19/FX_EUR</f>
        <v>0</v>
      </c>
      <c r="BB19" s="33" t="n">
        <f aca="false">'Cash flow'!BB19/FX_EUR</f>
        <v>0</v>
      </c>
      <c r="BC19" s="33" t="n">
        <f aca="false">'Cash flow'!BC19/FX_EUR</f>
        <v>0</v>
      </c>
      <c r="BD19" s="33" t="n">
        <f aca="false">'Cash flow'!BD19/FX_EUR</f>
        <v>0</v>
      </c>
      <c r="BE19" s="33" t="n">
        <f aca="false">'Cash flow'!BE19/FX_EUR</f>
        <v>0</v>
      </c>
      <c r="BF19" s="33" t="n">
        <f aca="false">'Cash flow'!BF19/FX_EUR</f>
        <v>0</v>
      </c>
      <c r="BG19" s="33" t="n">
        <f aca="false">'Cash flow'!BG19/FX_EUR</f>
        <v>0</v>
      </c>
      <c r="BH19" s="33" t="n">
        <f aca="false">'Cash flow'!BH19/FX_EUR</f>
        <v>0</v>
      </c>
      <c r="BI19" s="33" t="n">
        <f aca="false">'Cash flow'!BI19/FX_EUR</f>
        <v>0</v>
      </c>
      <c r="BJ19" s="33" t="n">
        <f aca="false">'Cash flow'!BJ19/FX_EUR</f>
        <v>0</v>
      </c>
      <c r="BK19" s="33" t="n">
        <f aca="false">'Cash flow'!BK19/FX_EUR</f>
        <v>0</v>
      </c>
      <c r="BL19" s="33" t="n">
        <f aca="false">'Cash flow'!BL19/FX_EUR</f>
        <v>0</v>
      </c>
    </row>
    <row r="20" customFormat="false" ht="15" hidden="false" customHeight="true" outlineLevel="0" collapsed="false">
      <c r="A20" s="9" t="s">
        <v>1489</v>
      </c>
      <c r="B20" s="15" t="s">
        <v>79</v>
      </c>
      <c r="D20" s="56" t="n">
        <f aca="false">'Cash flow'!D20/FX_EUR</f>
        <v>9177290.23628072</v>
      </c>
      <c r="E20" s="17" t="n">
        <f aca="false">'Cash flow'!E20/FX_EUR</f>
        <v>1322966.38458009</v>
      </c>
      <c r="F20" s="17" t="n">
        <f aca="false">'Cash flow'!F20/FX_EUR</f>
        <v>-61888.4605240892</v>
      </c>
      <c r="G20" s="17" t="n">
        <f aca="false">'Cash flow'!G20/FX_EUR</f>
        <v>-84298.4660579886</v>
      </c>
      <c r="H20" s="17" t="n">
        <f aca="false">'Cash flow'!H20/FX_EUR</f>
        <v>-102302.434915703</v>
      </c>
      <c r="I20" s="17" t="n">
        <f aca="false">'Cash flow'!I20/FX_EUR</f>
        <v>-54258.8976436972</v>
      </c>
      <c r="J20" s="17" t="n">
        <f aca="false">'Cash flow'!J20/FX_EUR</f>
        <v>-50460.5486706192</v>
      </c>
      <c r="K20" s="17" t="n">
        <f aca="false">'Cash flow'!K20/FX_EUR</f>
        <v>-47194.6957554459</v>
      </c>
      <c r="L20" s="17" t="n">
        <f aca="false">'Cash flow'!L20/FX_EUR</f>
        <v>-43934.2918046701</v>
      </c>
      <c r="M20" s="17" t="n">
        <f aca="false">'Cash flow'!M20/FX_EUR</f>
        <v>-40677.2022022634</v>
      </c>
      <c r="N20" s="17" t="n">
        <f aca="false">'Cash flow'!N20/FX_EUR</f>
        <v>-37421.1989967175</v>
      </c>
      <c r="O20" s="17" t="n">
        <f aca="false">'Cash flow'!O20/FX_EUR</f>
        <v>-33813.63788666</v>
      </c>
      <c r="P20" s="17" t="n">
        <f aca="false">'Cash flow'!P20/FX_EUR</f>
        <v>-30101.6930202053</v>
      </c>
      <c r="Q20" s="17" t="n">
        <f aca="false">'Cash flow'!Q20/FX_EUR</f>
        <v>-48529.8909984957</v>
      </c>
      <c r="R20" s="17" t="n">
        <f aca="false">'Cash flow'!R20/FX_EUR</f>
        <v>-41717.45367851</v>
      </c>
      <c r="S20" s="17" t="n">
        <f aca="false">'Cash flow'!S20/FX_EUR</f>
        <v>1785310.5539595</v>
      </c>
      <c r="T20" s="17" t="n">
        <f aca="false">'Cash flow'!T20/FX_EUR</f>
        <v>-71343.7150821828</v>
      </c>
      <c r="U20" s="17" t="n">
        <f aca="false">'Cash flow'!U20/FX_EUR</f>
        <v>-25834.7150419853</v>
      </c>
      <c r="V20" s="17" t="n">
        <f aca="false">'Cash flow'!V20/FX_EUR</f>
        <v>-35973.4394155954</v>
      </c>
      <c r="W20" s="17" t="n">
        <f aca="false">'Cash flow'!W20/FX_EUR</f>
        <v>-31180.9439865994</v>
      </c>
      <c r="X20" s="17" t="n">
        <f aca="false">'Cash flow'!X20/FX_EUR</f>
        <v>-24086.6381510584</v>
      </c>
      <c r="Y20" s="17" t="n">
        <f aca="false">'Cash flow'!Y20/FX_EUR</f>
        <v>-17143.3576510576</v>
      </c>
      <c r="Z20" s="17" t="n">
        <f aca="false">'Cash flow'!Z20/FX_EUR</f>
        <v>-6563.21396255493</v>
      </c>
      <c r="AA20" s="17" t="n">
        <f aca="false">'Cash flow'!AA20/FX_EUR</f>
        <v>2205.12222772147</v>
      </c>
      <c r="AB20" s="17" t="n">
        <f aca="false">'Cash flow'!AB20/FX_EUR</f>
        <v>839893.275965757</v>
      </c>
      <c r="AC20" s="17" t="n">
        <f aca="false">'Cash flow'!AC20/FX_EUR</f>
        <v>-40769.3743825811</v>
      </c>
      <c r="AD20" s="17" t="n">
        <f aca="false">'Cash flow'!AD20/FX_EUR</f>
        <v>-800.334452515784</v>
      </c>
      <c r="AE20" s="17" t="n">
        <f aca="false">'Cash flow'!AE20/FX_EUR</f>
        <v>4314.47589966842</v>
      </c>
      <c r="AF20" s="17" t="n">
        <f aca="false">'Cash flow'!AF20/FX_EUR</f>
        <v>-952.97961854377</v>
      </c>
      <c r="AG20" s="17" t="n">
        <f aca="false">'Cash flow'!AG20/FX_EUR</f>
        <v>267.401136892774</v>
      </c>
      <c r="AH20" s="17" t="n">
        <f aca="false">'Cash flow'!AH20/FX_EUR</f>
        <v>43618.7899567741</v>
      </c>
      <c r="AI20" s="17" t="n">
        <f aca="false">'Cash flow'!AI20/FX_EUR</f>
        <v>54564.1677789644</v>
      </c>
      <c r="AJ20" s="17" t="n">
        <f aca="false">'Cash flow'!AJ20/FX_EUR</f>
        <v>68695.7760919901</v>
      </c>
      <c r="AK20" s="17" t="n">
        <f aca="false">'Cash flow'!AK20/FX_EUR</f>
        <v>86659.7862221446</v>
      </c>
      <c r="AL20" s="17" t="n">
        <f aca="false">'Cash flow'!AL20/FX_EUR</f>
        <v>96456.4717603442</v>
      </c>
      <c r="AM20" s="17" t="n">
        <f aca="false">'Cash flow'!AM20/FX_EUR</f>
        <v>110144.406686974</v>
      </c>
      <c r="AN20" s="17" t="n">
        <f aca="false">'Cash flow'!AN20/FX_EUR</f>
        <v>76091.336705438</v>
      </c>
      <c r="AO20" s="17" t="n">
        <f aca="false">'Cash flow'!AO20/FX_EUR</f>
        <v>74037.1421318797</v>
      </c>
      <c r="AP20" s="17" t="n">
        <f aca="false">'Cash flow'!AP20/FX_EUR</f>
        <v>85278.2269096452</v>
      </c>
      <c r="AQ20" s="17" t="n">
        <f aca="false">'Cash flow'!AQ20/FX_EUR</f>
        <v>107709.836831172</v>
      </c>
      <c r="AR20" s="17" t="n">
        <f aca="false">'Cash flow'!AR20/FX_EUR</f>
        <v>109366.186252622</v>
      </c>
      <c r="AS20" s="17" t="n">
        <f aca="false">'Cash flow'!AS20/FX_EUR</f>
        <v>130727.136638895</v>
      </c>
      <c r="AT20" s="17" t="n">
        <f aca="false">'Cash flow'!AT20/FX_EUR</f>
        <v>145656.244640084</v>
      </c>
      <c r="AU20" s="17" t="n">
        <f aca="false">'Cash flow'!AU20/FX_EUR</f>
        <v>156497.370338428</v>
      </c>
      <c r="AV20" s="17" t="n">
        <f aca="false">'Cash flow'!AV20/FX_EUR</f>
        <v>170071.120864496</v>
      </c>
      <c r="AW20" s="17" t="n">
        <f aca="false">'Cash flow'!AW20/FX_EUR</f>
        <v>181452.689420912</v>
      </c>
      <c r="AX20" s="17" t="n">
        <f aca="false">'Cash flow'!AX20/FX_EUR</f>
        <v>197296.706303042</v>
      </c>
      <c r="AY20" s="17" t="n">
        <f aca="false">'Cash flow'!AY20/FX_EUR</f>
        <v>213524.431138124</v>
      </c>
      <c r="AZ20" s="17" t="n">
        <f aca="false">'Cash flow'!AZ20/FX_EUR</f>
        <v>227905.954090875</v>
      </c>
      <c r="BA20" s="17" t="n">
        <f aca="false">'Cash flow'!BA20/FX_EUR</f>
        <v>225956.701201523</v>
      </c>
      <c r="BB20" s="17" t="n">
        <f aca="false">'Cash flow'!BB20/FX_EUR</f>
        <v>242190.930559437</v>
      </c>
      <c r="BC20" s="17" t="n">
        <f aca="false">'Cash flow'!BC20/FX_EUR</f>
        <v>260112.160232302</v>
      </c>
      <c r="BD20" s="17" t="n">
        <f aca="false">'Cash flow'!BD20/FX_EUR</f>
        <v>270436.839937077</v>
      </c>
      <c r="BE20" s="17" t="n">
        <f aca="false">'Cash flow'!BE20/FX_EUR</f>
        <v>294486.546214989</v>
      </c>
      <c r="BF20" s="17" t="n">
        <f aca="false">'Cash flow'!BF20/FX_EUR</f>
        <v>309498.878452253</v>
      </c>
      <c r="BG20" s="17" t="n">
        <f aca="false">'Cash flow'!BG20/FX_EUR</f>
        <v>328051.027925387</v>
      </c>
      <c r="BH20" s="17" t="n">
        <f aca="false">'Cash flow'!BH20/FX_EUR</f>
        <v>340285.043351695</v>
      </c>
      <c r="BI20" s="17" t="n">
        <f aca="false">'Cash flow'!BI20/FX_EUR</f>
        <v>359776.993809832</v>
      </c>
      <c r="BJ20" s="17" t="n">
        <f aca="false">'Cash flow'!BJ20/FX_EUR</f>
        <v>376332.125453926</v>
      </c>
      <c r="BK20" s="17" t="n">
        <f aca="false">'Cash flow'!BK20/FX_EUR</f>
        <v>396302.941750214</v>
      </c>
      <c r="BL20" s="17" t="n">
        <f aca="false">'Cash flow'!BL20/FX_EUR</f>
        <v>414396.636759392</v>
      </c>
    </row>
    <row r="22" customFormat="false" ht="15" hidden="false" customHeight="true" outlineLevel="0" collapsed="false">
      <c r="A22" s="11" t="s">
        <v>1490</v>
      </c>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row>
    <row r="23" customFormat="false" ht="15" hidden="false" customHeight="true" outlineLevel="0" collapsed="false">
      <c r="A23" s="13" t="s">
        <v>1491</v>
      </c>
      <c r="B23" s="15" t="s">
        <v>79</v>
      </c>
      <c r="E23" s="33" t="n">
        <f aca="false">'Cash flow'!E23/FX_EUR</f>
        <v>0</v>
      </c>
      <c r="F23" s="33" t="n">
        <f aca="false">'Cash flow'!F23/FX_EUR</f>
        <v>1322966.38458009</v>
      </c>
      <c r="G23" s="33" t="n">
        <f aca="false">'Cash flow'!G23/FX_EUR</f>
        <v>1261077.924056</v>
      </c>
      <c r="H23" s="33" t="n">
        <f aca="false">'Cash flow'!H23/FX_EUR</f>
        <v>1176779.45799801</v>
      </c>
      <c r="I23" s="33" t="n">
        <f aca="false">'Cash flow'!I23/FX_EUR</f>
        <v>1074477.02308231</v>
      </c>
      <c r="J23" s="33" t="n">
        <f aca="false">'Cash flow'!J23/FX_EUR</f>
        <v>1020218.12543861</v>
      </c>
      <c r="K23" s="33" t="n">
        <f aca="false">'Cash flow'!K23/FX_EUR</f>
        <v>969757.576767989</v>
      </c>
      <c r="L23" s="33" t="n">
        <f aca="false">'Cash flow'!L23/FX_EUR</f>
        <v>922562.881012544</v>
      </c>
      <c r="M23" s="33" t="n">
        <f aca="false">'Cash flow'!M23/FX_EUR</f>
        <v>878628.589207873</v>
      </c>
      <c r="N23" s="33" t="n">
        <f aca="false">'Cash flow'!N23/FX_EUR</f>
        <v>837951.38700561</v>
      </c>
      <c r="O23" s="33" t="n">
        <f aca="false">'Cash flow'!O23/FX_EUR</f>
        <v>800530.188008893</v>
      </c>
      <c r="P23" s="33" t="n">
        <f aca="false">'Cash flow'!P23/FX_EUR</f>
        <v>766716.550122233</v>
      </c>
      <c r="Q23" s="33" t="n">
        <f aca="false">'Cash flow'!Q23/FX_EUR</f>
        <v>736614.857102027</v>
      </c>
      <c r="R23" s="33" t="n">
        <f aca="false">'Cash flow'!R23/FX_EUR</f>
        <v>688084.966103532</v>
      </c>
      <c r="S23" s="33" t="n">
        <f aca="false">'Cash flow'!S23/FX_EUR</f>
        <v>646367.512425022</v>
      </c>
      <c r="T23" s="33" t="n">
        <f aca="false">'Cash flow'!T23/FX_EUR</f>
        <v>2431678.06638453</v>
      </c>
      <c r="U23" s="33" t="n">
        <f aca="false">'Cash flow'!U23/FX_EUR</f>
        <v>2360334.35130234</v>
      </c>
      <c r="V23" s="33" t="n">
        <f aca="false">'Cash flow'!V23/FX_EUR</f>
        <v>2334499.63626036</v>
      </c>
      <c r="W23" s="33" t="n">
        <f aca="false">'Cash flow'!W23/FX_EUR</f>
        <v>2298526.19684476</v>
      </c>
      <c r="X23" s="33" t="n">
        <f aca="false">'Cash flow'!X23/FX_EUR</f>
        <v>2267345.25285816</v>
      </c>
      <c r="Y23" s="33" t="n">
        <f aca="false">'Cash flow'!Y23/FX_EUR</f>
        <v>2243258.6147071</v>
      </c>
      <c r="Z23" s="33" t="n">
        <f aca="false">'Cash flow'!Z23/FX_EUR</f>
        <v>2226115.25705605</v>
      </c>
      <c r="AA23" s="33" t="n">
        <f aca="false">'Cash flow'!AA23/FX_EUR</f>
        <v>2219552.04309349</v>
      </c>
      <c r="AB23" s="33" t="n">
        <f aca="false">'Cash flow'!AB23/FX_EUR</f>
        <v>2221757.16532121</v>
      </c>
      <c r="AC23" s="33" t="n">
        <f aca="false">'Cash flow'!AC23/FX_EUR</f>
        <v>3061650.44128697</v>
      </c>
      <c r="AD23" s="33" t="n">
        <f aca="false">'Cash flow'!AD23/FX_EUR</f>
        <v>3020881.06690439</v>
      </c>
      <c r="AE23" s="33" t="n">
        <f aca="false">'Cash flow'!AE23/FX_EUR</f>
        <v>3020080.73245187</v>
      </c>
      <c r="AF23" s="33" t="n">
        <f aca="false">'Cash flow'!AF23/FX_EUR</f>
        <v>3024395.20835154</v>
      </c>
      <c r="AG23" s="33" t="n">
        <f aca="false">'Cash flow'!AG23/FX_EUR</f>
        <v>3023442.228733</v>
      </c>
      <c r="AH23" s="33" t="n">
        <f aca="false">'Cash flow'!AH23/FX_EUR</f>
        <v>3023709.62986989</v>
      </c>
      <c r="AI23" s="33" t="n">
        <f aca="false">'Cash flow'!AI23/FX_EUR</f>
        <v>3067328.41982666</v>
      </c>
      <c r="AJ23" s="33" t="n">
        <f aca="false">'Cash flow'!AJ23/FX_EUR</f>
        <v>3121892.58760563</v>
      </c>
      <c r="AK23" s="33" t="n">
        <f aca="false">'Cash flow'!AK23/FX_EUR</f>
        <v>3190588.36369762</v>
      </c>
      <c r="AL23" s="33" t="n">
        <f aca="false">'Cash flow'!AL23/FX_EUR</f>
        <v>3277248.14991976</v>
      </c>
      <c r="AM23" s="33" t="n">
        <f aca="false">'Cash flow'!AM23/FX_EUR</f>
        <v>3373704.62168011</v>
      </c>
      <c r="AN23" s="33" t="n">
        <f aca="false">'Cash flow'!AN23/FX_EUR</f>
        <v>3483849.02836708</v>
      </c>
      <c r="AO23" s="33" t="n">
        <f aca="false">'Cash flow'!AO23/FX_EUR</f>
        <v>3559940.36507252</v>
      </c>
      <c r="AP23" s="33" t="n">
        <f aca="false">'Cash flow'!AP23/FX_EUR</f>
        <v>3633977.5072044</v>
      </c>
      <c r="AQ23" s="33" t="n">
        <f aca="false">'Cash flow'!AQ23/FX_EUR</f>
        <v>3719255.73411405</v>
      </c>
      <c r="AR23" s="33" t="n">
        <f aca="false">'Cash flow'!AR23/FX_EUR</f>
        <v>3826965.57094522</v>
      </c>
      <c r="AS23" s="33" t="n">
        <f aca="false">'Cash flow'!AS23/FX_EUR</f>
        <v>3936331.75719784</v>
      </c>
      <c r="AT23" s="33" t="n">
        <f aca="false">'Cash flow'!AT23/FX_EUR</f>
        <v>4067058.89383674</v>
      </c>
      <c r="AU23" s="33" t="n">
        <f aca="false">'Cash flow'!AU23/FX_EUR</f>
        <v>4212715.13847682</v>
      </c>
      <c r="AV23" s="33" t="n">
        <f aca="false">'Cash flow'!AV23/FX_EUR</f>
        <v>4369212.50881525</v>
      </c>
      <c r="AW23" s="33" t="n">
        <f aca="false">'Cash flow'!AW23/FX_EUR</f>
        <v>4539283.62967974</v>
      </c>
      <c r="AX23" s="33" t="n">
        <f aca="false">'Cash flow'!AX23/FX_EUR</f>
        <v>4720736.31910065</v>
      </c>
      <c r="AY23" s="33" t="n">
        <f aca="false">'Cash flow'!AY23/FX_EUR</f>
        <v>4918033.0254037</v>
      </c>
      <c r="AZ23" s="33" t="n">
        <f aca="false">'Cash flow'!AZ23/FX_EUR</f>
        <v>5131557.45654182</v>
      </c>
      <c r="BA23" s="33" t="n">
        <f aca="false">'Cash flow'!BA23/FX_EUR</f>
        <v>5359463.4106327</v>
      </c>
      <c r="BB23" s="33" t="n">
        <f aca="false">'Cash flow'!BB23/FX_EUR</f>
        <v>5585420.11183422</v>
      </c>
      <c r="BC23" s="33" t="n">
        <f aca="false">'Cash flow'!BC23/FX_EUR</f>
        <v>5827611.04239366</v>
      </c>
      <c r="BD23" s="33" t="n">
        <f aca="false">'Cash flow'!BD23/FX_EUR</f>
        <v>6087723.20262596</v>
      </c>
      <c r="BE23" s="33" t="n">
        <f aca="false">'Cash flow'!BE23/FX_EUR</f>
        <v>6358160.04256303</v>
      </c>
      <c r="BF23" s="33" t="n">
        <f aca="false">'Cash flow'!BF23/FX_EUR</f>
        <v>6652646.58877802</v>
      </c>
      <c r="BG23" s="33" t="n">
        <f aca="false">'Cash flow'!BG23/FX_EUR</f>
        <v>6962145.46723028</v>
      </c>
      <c r="BH23" s="33" t="n">
        <f aca="false">'Cash flow'!BH23/FX_EUR</f>
        <v>7290196.49515566</v>
      </c>
      <c r="BI23" s="33" t="n">
        <f aca="false">'Cash flow'!BI23/FX_EUR</f>
        <v>7630481.53850736</v>
      </c>
      <c r="BJ23" s="33" t="n">
        <f aca="false">'Cash flow'!BJ23/FX_EUR</f>
        <v>7990258.53231719</v>
      </c>
      <c r="BK23" s="33" t="n">
        <f aca="false">'Cash flow'!BK23/FX_EUR</f>
        <v>8366590.65777112</v>
      </c>
      <c r="BL23" s="33" t="n">
        <f aca="false">'Cash flow'!BL23/FX_EUR</f>
        <v>8762893.59952133</v>
      </c>
    </row>
    <row r="24" customFormat="false" ht="15" hidden="false" customHeight="true" outlineLevel="0" collapsed="false">
      <c r="A24" s="9" t="s">
        <v>101</v>
      </c>
      <c r="B24" s="15" t="s">
        <v>79</v>
      </c>
      <c r="D24" s="56" t="n">
        <f aca="false">'Cash flow'!D24/FX_EUR</f>
        <v>9177290.23628072</v>
      </c>
      <c r="E24" s="17" t="n">
        <f aca="false">'Cash flow'!E24/FX_EUR</f>
        <v>1322966.38458009</v>
      </c>
      <c r="F24" s="17" t="n">
        <f aca="false">'Cash flow'!F24/FX_EUR</f>
        <v>1261077.924056</v>
      </c>
      <c r="G24" s="17" t="n">
        <f aca="false">'Cash flow'!G24/FX_EUR</f>
        <v>1176779.45799801</v>
      </c>
      <c r="H24" s="17" t="n">
        <f aca="false">'Cash flow'!H24/FX_EUR</f>
        <v>1074477.02308231</v>
      </c>
      <c r="I24" s="17" t="n">
        <f aca="false">'Cash flow'!I24/FX_EUR</f>
        <v>1020218.12543861</v>
      </c>
      <c r="J24" s="17" t="n">
        <f aca="false">'Cash flow'!J24/FX_EUR</f>
        <v>969757.576767989</v>
      </c>
      <c r="K24" s="17" t="n">
        <f aca="false">'Cash flow'!K24/FX_EUR</f>
        <v>922562.881012544</v>
      </c>
      <c r="L24" s="17" t="n">
        <f aca="false">'Cash flow'!L24/FX_EUR</f>
        <v>878628.589207873</v>
      </c>
      <c r="M24" s="17" t="n">
        <f aca="false">'Cash flow'!M24/FX_EUR</f>
        <v>837951.38700561</v>
      </c>
      <c r="N24" s="17" t="n">
        <f aca="false">'Cash flow'!N24/FX_EUR</f>
        <v>800530.188008893</v>
      </c>
      <c r="O24" s="17" t="n">
        <f aca="false">'Cash flow'!O24/FX_EUR</f>
        <v>766716.550122233</v>
      </c>
      <c r="P24" s="17" t="n">
        <f aca="false">'Cash flow'!P24/FX_EUR</f>
        <v>736614.857102027</v>
      </c>
      <c r="Q24" s="17" t="n">
        <f aca="false">'Cash flow'!Q24/FX_EUR</f>
        <v>688084.966103532</v>
      </c>
      <c r="R24" s="17" t="n">
        <f aca="false">'Cash flow'!R24/FX_EUR</f>
        <v>646367.512425022</v>
      </c>
      <c r="S24" s="17" t="n">
        <f aca="false">'Cash flow'!S24/FX_EUR</f>
        <v>2431678.06638453</v>
      </c>
      <c r="T24" s="17" t="n">
        <f aca="false">'Cash flow'!T24/FX_EUR</f>
        <v>2360334.35130234</v>
      </c>
      <c r="U24" s="17" t="n">
        <f aca="false">'Cash flow'!U24/FX_EUR</f>
        <v>2334499.63626036</v>
      </c>
      <c r="V24" s="17" t="n">
        <f aca="false">'Cash flow'!V24/FX_EUR</f>
        <v>2298526.19684476</v>
      </c>
      <c r="W24" s="17" t="n">
        <f aca="false">'Cash flow'!W24/FX_EUR</f>
        <v>2267345.25285816</v>
      </c>
      <c r="X24" s="17" t="n">
        <f aca="false">'Cash flow'!X24/FX_EUR</f>
        <v>2243258.6147071</v>
      </c>
      <c r="Y24" s="17" t="n">
        <f aca="false">'Cash flow'!Y24/FX_EUR</f>
        <v>2226115.25705605</v>
      </c>
      <c r="Z24" s="17" t="n">
        <f aca="false">'Cash flow'!Z24/FX_EUR</f>
        <v>2219552.04309349</v>
      </c>
      <c r="AA24" s="17" t="n">
        <f aca="false">'Cash flow'!AA24/FX_EUR</f>
        <v>2221757.16532121</v>
      </c>
      <c r="AB24" s="17" t="n">
        <f aca="false">'Cash flow'!AB24/FX_EUR</f>
        <v>3061650.44128697</v>
      </c>
      <c r="AC24" s="17" t="n">
        <f aca="false">'Cash flow'!AC24/FX_EUR</f>
        <v>3020881.06690439</v>
      </c>
      <c r="AD24" s="17" t="n">
        <f aca="false">'Cash flow'!AD24/FX_EUR</f>
        <v>3020080.73245187</v>
      </c>
      <c r="AE24" s="17" t="n">
        <f aca="false">'Cash flow'!AE24/FX_EUR</f>
        <v>3024395.20835154</v>
      </c>
      <c r="AF24" s="17" t="n">
        <f aca="false">'Cash flow'!AF24/FX_EUR</f>
        <v>3023442.228733</v>
      </c>
      <c r="AG24" s="17" t="n">
        <f aca="false">'Cash flow'!AG24/FX_EUR</f>
        <v>3023709.62986989</v>
      </c>
      <c r="AH24" s="17" t="n">
        <f aca="false">'Cash flow'!AH24/FX_EUR</f>
        <v>3067328.41982666</v>
      </c>
      <c r="AI24" s="17" t="n">
        <f aca="false">'Cash flow'!AI24/FX_EUR</f>
        <v>3121892.58760563</v>
      </c>
      <c r="AJ24" s="17" t="n">
        <f aca="false">'Cash flow'!AJ24/FX_EUR</f>
        <v>3190588.36369762</v>
      </c>
      <c r="AK24" s="17" t="n">
        <f aca="false">'Cash flow'!AK24/FX_EUR</f>
        <v>3277248.14991976</v>
      </c>
      <c r="AL24" s="17" t="n">
        <f aca="false">'Cash flow'!AL24/FX_EUR</f>
        <v>3373704.62168011</v>
      </c>
      <c r="AM24" s="17" t="n">
        <f aca="false">'Cash flow'!AM24/FX_EUR</f>
        <v>3483849.02836708</v>
      </c>
      <c r="AN24" s="17" t="n">
        <f aca="false">'Cash flow'!AN24/FX_EUR</f>
        <v>3559940.36507252</v>
      </c>
      <c r="AO24" s="17" t="n">
        <f aca="false">'Cash flow'!AO24/FX_EUR</f>
        <v>3633977.5072044</v>
      </c>
      <c r="AP24" s="17" t="n">
        <f aca="false">'Cash flow'!AP24/FX_EUR</f>
        <v>3719255.73411405</v>
      </c>
      <c r="AQ24" s="17" t="n">
        <f aca="false">'Cash flow'!AQ24/FX_EUR</f>
        <v>3826965.57094522</v>
      </c>
      <c r="AR24" s="17" t="n">
        <f aca="false">'Cash flow'!AR24/FX_EUR</f>
        <v>3936331.75719784</v>
      </c>
      <c r="AS24" s="17" t="n">
        <f aca="false">'Cash flow'!AS24/FX_EUR</f>
        <v>4067058.89383674</v>
      </c>
      <c r="AT24" s="17" t="n">
        <f aca="false">'Cash flow'!AT24/FX_EUR</f>
        <v>4212715.13847682</v>
      </c>
      <c r="AU24" s="17" t="n">
        <f aca="false">'Cash flow'!AU24/FX_EUR</f>
        <v>4369212.50881525</v>
      </c>
      <c r="AV24" s="17" t="n">
        <f aca="false">'Cash flow'!AV24/FX_EUR</f>
        <v>4539283.62967974</v>
      </c>
      <c r="AW24" s="17" t="n">
        <f aca="false">'Cash flow'!AW24/FX_EUR</f>
        <v>4720736.31910065</v>
      </c>
      <c r="AX24" s="17" t="n">
        <f aca="false">'Cash flow'!AX24/FX_EUR</f>
        <v>4918033.0254037</v>
      </c>
      <c r="AY24" s="17" t="n">
        <f aca="false">'Cash flow'!AY24/FX_EUR</f>
        <v>5131557.45654182</v>
      </c>
      <c r="AZ24" s="17" t="n">
        <f aca="false">'Cash flow'!AZ24/FX_EUR</f>
        <v>5359463.4106327</v>
      </c>
      <c r="BA24" s="17" t="n">
        <f aca="false">'Cash flow'!BA24/FX_EUR</f>
        <v>5585420.11183422</v>
      </c>
      <c r="BB24" s="17" t="n">
        <f aca="false">'Cash flow'!BB24/FX_EUR</f>
        <v>5827611.04239366</v>
      </c>
      <c r="BC24" s="17" t="n">
        <f aca="false">'Cash flow'!BC24/FX_EUR</f>
        <v>6087723.20262596</v>
      </c>
      <c r="BD24" s="17" t="n">
        <f aca="false">'Cash flow'!BD24/FX_EUR</f>
        <v>6358160.04256303</v>
      </c>
      <c r="BE24" s="17" t="n">
        <f aca="false">'Cash flow'!BE24/FX_EUR</f>
        <v>6652646.58877802</v>
      </c>
      <c r="BF24" s="17" t="n">
        <f aca="false">'Cash flow'!BF24/FX_EUR</f>
        <v>6962145.46723028</v>
      </c>
      <c r="BG24" s="17" t="n">
        <f aca="false">'Cash flow'!BG24/FX_EUR</f>
        <v>7290196.49515566</v>
      </c>
      <c r="BH24" s="17" t="n">
        <f aca="false">'Cash flow'!BH24/FX_EUR</f>
        <v>7630481.53850736</v>
      </c>
      <c r="BI24" s="17" t="n">
        <f aca="false">'Cash flow'!BI24/FX_EUR</f>
        <v>7990258.53231719</v>
      </c>
      <c r="BJ24" s="17" t="n">
        <f aca="false">'Cash flow'!BJ24/FX_EUR</f>
        <v>8366590.65777112</v>
      </c>
      <c r="BK24" s="17" t="n">
        <f aca="false">'Cash flow'!BK24/FX_EUR</f>
        <v>8762893.59952133</v>
      </c>
      <c r="BL24" s="17" t="n">
        <f aca="false">'Cash flow'!BL24/FX_EUR</f>
        <v>9177290.23628072</v>
      </c>
    </row>
    <row r="25" customFormat="false" ht="15" hidden="false" customHeight="true" outlineLevel="0" collapsed="false">
      <c r="A25" s="13" t="s">
        <v>1492</v>
      </c>
      <c r="B25" s="15" t="s">
        <v>79</v>
      </c>
      <c r="D25" s="56" t="n">
        <f aca="false">'Cash flow'!D25/FX_EUR</f>
        <v>1650988.39648431</v>
      </c>
      <c r="E25" s="33" t="n">
        <f aca="false">'Cash flow'!E25/FX_EUR</f>
        <v>0</v>
      </c>
      <c r="F25" s="33" t="n">
        <f aca="false">'Cash flow'!F25/FX_EUR</f>
        <v>0</v>
      </c>
      <c r="G25" s="33" t="n">
        <f aca="false">'Cash flow'!G25/FX_EUR</f>
        <v>0</v>
      </c>
      <c r="H25" s="33" t="n">
        <f aca="false">'Cash flow'!H25/FX_EUR</f>
        <v>45734.7051712231</v>
      </c>
      <c r="I25" s="33" t="n">
        <f aca="false">'Cash flow'!I25/FX_EUR</f>
        <v>45734.7051712231</v>
      </c>
      <c r="J25" s="33" t="n">
        <f aca="false">'Cash flow'!J25/FX_EUR</f>
        <v>45734.7051712231</v>
      </c>
      <c r="K25" s="33" t="n">
        <f aca="false">'Cash flow'!K25/FX_EUR</f>
        <v>45734.7051712231</v>
      </c>
      <c r="L25" s="33" t="n">
        <f aca="false">'Cash flow'!L25/FX_EUR</f>
        <v>45734.7051712231</v>
      </c>
      <c r="M25" s="33" t="n">
        <f aca="false">'Cash flow'!M25/FX_EUR</f>
        <v>45734.7051712231</v>
      </c>
      <c r="N25" s="33" t="n">
        <f aca="false">'Cash flow'!N25/FX_EUR</f>
        <v>45734.7051712231</v>
      </c>
      <c r="O25" s="33" t="n">
        <f aca="false">'Cash flow'!O25/FX_EUR</f>
        <v>45734.7051712231</v>
      </c>
      <c r="P25" s="33" t="n">
        <f aca="false">'Cash flow'!P25/FX_EUR</f>
        <v>45734.7051712231</v>
      </c>
      <c r="Q25" s="33" t="n">
        <f aca="false">'Cash flow'!Q25/FX_EUR</f>
        <v>45734.7051712231</v>
      </c>
      <c r="R25" s="33" t="n">
        <f aca="false">'Cash flow'!R25/FX_EUR</f>
        <v>45734.7051712231</v>
      </c>
      <c r="S25" s="33" t="n">
        <f aca="false">'Cash flow'!S25/FX_EUR</f>
        <v>45734.7051712231</v>
      </c>
      <c r="T25" s="33" t="n">
        <f aca="false">'Cash flow'!T25/FX_EUR</f>
        <v>45734.7051712231</v>
      </c>
      <c r="U25" s="33" t="n">
        <f aca="false">'Cash flow'!U25/FX_EUR</f>
        <v>45734.7051712231</v>
      </c>
      <c r="V25" s="33" t="n">
        <f aca="false">'Cash flow'!V25/FX_EUR</f>
        <v>50569.6493099239</v>
      </c>
      <c r="W25" s="33" t="n">
        <f aca="false">'Cash flow'!W25/FX_EUR</f>
        <v>56676.5068057239</v>
      </c>
      <c r="X25" s="33" t="n">
        <f aca="false">'Cash flow'!X25/FX_EUR</f>
        <v>64051.0591216825</v>
      </c>
      <c r="Y25" s="33" t="n">
        <f aca="false">'Cash flow'!Y25/FX_EUR</f>
        <v>74553.1914829534</v>
      </c>
      <c r="Z25" s="33" t="n">
        <f aca="false">'Cash flow'!Z25/FX_EUR</f>
        <v>86751.3506334855</v>
      </c>
      <c r="AA25" s="33" t="n">
        <f aca="false">'Cash flow'!AA25/FX_EUR</f>
        <v>100645.878666765</v>
      </c>
      <c r="AB25" s="33" t="n">
        <f aca="false">'Cash flow'!AB25/FX_EUR</f>
        <v>116240.491229586</v>
      </c>
      <c r="AC25" s="33" t="n">
        <f aca="false">'Cash flow'!AC25/FX_EUR</f>
        <v>172481.074196886</v>
      </c>
      <c r="AD25" s="33" t="n">
        <f aca="false">'Cash flow'!AD25/FX_EUR</f>
        <v>201958.798854602</v>
      </c>
      <c r="AE25" s="33" t="n">
        <f aca="false">'Cash flow'!AE25/FX_EUR</f>
        <v>241849.593551203</v>
      </c>
      <c r="AF25" s="33" t="n">
        <f aca="false">'Cash flow'!AF25/FX_EUR</f>
        <v>285882.208167556</v>
      </c>
      <c r="AG25" s="33" t="n">
        <f aca="false">'Cash flow'!AG25/FX_EUR</f>
        <v>334071.782271127</v>
      </c>
      <c r="AH25" s="33" t="n">
        <f aca="false">'Cash flow'!AH25/FX_EUR</f>
        <v>367457.345368618</v>
      </c>
      <c r="AI25" s="33" t="n">
        <f aca="false">'Cash flow'!AI25/FX_EUR</f>
        <v>403918.541905484</v>
      </c>
      <c r="AJ25" s="33" t="n">
        <f aca="false">'Cash flow'!AJ25/FX_EUR</f>
        <v>442312.701834345</v>
      </c>
      <c r="AK25" s="33" t="n">
        <f aca="false">'Cash flow'!AK25/FX_EUR</f>
        <v>476805.820711965</v>
      </c>
      <c r="AL25" s="33" t="n">
        <f aca="false">'Cash flow'!AL25/FX_EUR</f>
        <v>512645.009078216</v>
      </c>
      <c r="AM25" s="33" t="n">
        <f aca="false">'Cash flow'!AM25/FX_EUR</f>
        <v>551281.000180194</v>
      </c>
      <c r="AN25" s="33" t="n">
        <f aca="false">'Cash flow'!AN25/FX_EUR</f>
        <v>591390.655498013</v>
      </c>
      <c r="AO25" s="33" t="n">
        <f aca="false">'Cash flow'!AO25/FX_EUR</f>
        <v>636593.245825177</v>
      </c>
      <c r="AP25" s="33" t="n">
        <f aca="false">'Cash flow'!AP25/FX_EUR</f>
        <v>684985.866520593</v>
      </c>
      <c r="AQ25" s="33" t="n">
        <f aca="false">'Cash flow'!AQ25/FX_EUR</f>
        <v>721580.454876531</v>
      </c>
      <c r="AR25" s="33" t="n">
        <f aca="false">'Cash flow'!AR25/FX_EUR</f>
        <v>758591.396098506</v>
      </c>
      <c r="AS25" s="33" t="n">
        <f aca="false">'Cash flow'!AS25/FX_EUR</f>
        <v>797590.089787184</v>
      </c>
      <c r="AT25" s="33" t="n">
        <f aca="false">'Cash flow'!AT25/FX_EUR</f>
        <v>835190.045732902</v>
      </c>
      <c r="AU25" s="33" t="n">
        <f aca="false">'Cash flow'!AU25/FX_EUR</f>
        <v>873152.432733295</v>
      </c>
      <c r="AV25" s="33" t="n">
        <f aca="false">'Cash flow'!AV25/FX_EUR</f>
        <v>913965.728651188</v>
      </c>
      <c r="AW25" s="33" t="n">
        <f aca="false">'Cash flow'!AW25/FX_EUR</f>
        <v>954773.957828389</v>
      </c>
      <c r="AX25" s="33" t="n">
        <f aca="false">'Cash flow'!AX25/FX_EUR</f>
        <v>996661.487566404</v>
      </c>
      <c r="AY25" s="33" t="n">
        <f aca="false">'Cash flow'!AY25/FX_EUR</f>
        <v>1038100.16948845</v>
      </c>
      <c r="AZ25" s="33" t="n">
        <f aca="false">'Cash flow'!AZ25/FX_EUR</f>
        <v>1079111.18609323</v>
      </c>
      <c r="BA25" s="33" t="n">
        <f aca="false">'Cash flow'!BA25/FX_EUR</f>
        <v>1124942.9560748</v>
      </c>
      <c r="BB25" s="33" t="n">
        <f aca="false">'Cash flow'!BB25/FX_EUR</f>
        <v>1170305.28276772</v>
      </c>
      <c r="BC25" s="33" t="n">
        <f aca="false">'Cash flow'!BC25/FX_EUR</f>
        <v>1216746.00687197</v>
      </c>
      <c r="BD25" s="33" t="n">
        <f aca="false">'Cash flow'!BD25/FX_EUR</f>
        <v>1262741.12398621</v>
      </c>
      <c r="BE25" s="33" t="n">
        <f aca="false">'Cash flow'!BE25/FX_EUR</f>
        <v>1309228.2829715</v>
      </c>
      <c r="BF25" s="33" t="n">
        <f aca="false">'Cash flow'!BF25/FX_EUR</f>
        <v>1356830.61262076</v>
      </c>
      <c r="BG25" s="33" t="n">
        <f aca="false">'Cash flow'!BG25/FX_EUR</f>
        <v>1404026.59371664</v>
      </c>
      <c r="BH25" s="33" t="n">
        <f aca="false">'Cash flow'!BH25/FX_EUR</f>
        <v>1452368.48183941</v>
      </c>
      <c r="BI25" s="33" t="n">
        <f aca="false">'Cash flow'!BI25/FX_EUR</f>
        <v>1501248.48252392</v>
      </c>
      <c r="BJ25" s="33" t="n">
        <f aca="false">'Cash flow'!BJ25/FX_EUR</f>
        <v>1551294.18174326</v>
      </c>
      <c r="BK25" s="33" t="n">
        <f aca="false">'Cash flow'!BK25/FX_EUR</f>
        <v>1600771.22615976</v>
      </c>
      <c r="BL25" s="33" t="n">
        <f aca="false">'Cash flow'!BL25/FX_EUR</f>
        <v>1650988.39648431</v>
      </c>
    </row>
    <row r="26" customFormat="false" ht="15" hidden="false" customHeight="true" outlineLevel="0" collapsed="false">
      <c r="A26" s="13" t="s">
        <v>1493</v>
      </c>
      <c r="B26" s="15" t="s">
        <v>79</v>
      </c>
      <c r="E26" s="33" t="n">
        <f aca="false">'Cash flow'!E26/FX_EUR</f>
        <v>49074.7705566066</v>
      </c>
      <c r="F26" s="33" t="n">
        <f aca="false">'Cash flow'!F26/FX_EUR</f>
        <v>61888.4605240892</v>
      </c>
      <c r="G26" s="33" t="n">
        <f aca="false">'Cash flow'!G26/FX_EUR</f>
        <v>65087.2323795615</v>
      </c>
      <c r="H26" s="33" t="n">
        <f aca="false">'Cash flow'!H26/FX_EUR</f>
        <v>82829.787165927</v>
      </c>
      <c r="I26" s="33" t="n">
        <f aca="false">'Cash flow'!I26/FX_EUR</f>
        <v>80286.5995391297</v>
      </c>
      <c r="J26" s="33" t="n">
        <f aca="false">'Cash flow'!J26/FX_EUR</f>
        <v>69007.2937433399</v>
      </c>
      <c r="K26" s="33" t="n">
        <f aca="false">'Cash flow'!K26/FX_EUR</f>
        <v>50638.0473565874</v>
      </c>
      <c r="L26" s="33" t="n">
        <f aca="false">'Cash flow'!L26/FX_EUR</f>
        <v>47196.5120769117</v>
      </c>
      <c r="M26" s="33" t="n">
        <f aca="false">'Cash flow'!M26/FX_EUR</f>
        <v>43935.3965874598</v>
      </c>
      <c r="N26" s="33" t="n">
        <f aca="false">'Cash flow'!N26/FX_EUR</f>
        <v>40677.5643345503</v>
      </c>
      <c r="O26" s="33" t="n">
        <f aca="false">'Cash flow'!O26/FX_EUR</f>
        <v>37304.013028547</v>
      </c>
      <c r="P26" s="33" t="n">
        <f aca="false">'Cash flow'!P26/FX_EUR</f>
        <v>33778.8433011943</v>
      </c>
      <c r="Q26" s="33" t="n">
        <f aca="false">'Cash flow'!Q26/FX_EUR</f>
        <v>37481.7406351203</v>
      </c>
      <c r="R26" s="33" t="n">
        <f aca="false">'Cash flow'!R26/FX_EUR</f>
        <v>40116.3458990703</v>
      </c>
      <c r="S26" s="33" t="n">
        <f aca="false">'Cash flow'!S26/FX_EUR</f>
        <v>44774.9991888089</v>
      </c>
      <c r="T26" s="33" t="n">
        <f aca="false">'Cash flow'!T26/FX_EUR</f>
        <v>52379.6072167046</v>
      </c>
      <c r="U26" s="33" t="n">
        <f aca="false">'Cash flow'!U26/FX_EUR</f>
        <v>47085.3610045297</v>
      </c>
      <c r="V26" s="33" t="n">
        <f aca="false">'Cash flow'!V26/FX_EUR</f>
        <v>44383.9565132545</v>
      </c>
      <c r="W26" s="33" t="n">
        <f aca="false">'Cash flow'!W26/FX_EUR</f>
        <v>30996.3661480601</v>
      </c>
      <c r="X26" s="33" t="n">
        <f aca="false">'Cash flow'!X26/FX_EUR</f>
        <v>30413.6738510844</v>
      </c>
      <c r="Y26" s="33" t="n">
        <f aca="false">'Cash flow'!Y26/FX_EUR</f>
        <v>24136.9799295718</v>
      </c>
      <c r="Z26" s="33" t="n">
        <f aca="false">'Cash flow'!Z26/FX_EUR</f>
        <v>15931.069921557</v>
      </c>
      <c r="AA26" s="33" t="n">
        <f aca="false">'Cash flow'!AA26/FX_EUR</f>
        <v>7167.14979529703</v>
      </c>
      <c r="AB26" s="33" t="n">
        <f aca="false">'Cash flow'!AB26/FX_EUR</f>
        <v>331284.340872667</v>
      </c>
      <c r="AC26" s="33" t="n">
        <f aca="false">'Cash flow'!AC26/FX_EUR</f>
        <v>342686.394346009</v>
      </c>
      <c r="AD26" s="33" t="n">
        <f aca="false">'Cash flow'!AD26/FX_EUR</f>
        <v>343688.213239422</v>
      </c>
      <c r="AE26" s="33" t="n">
        <f aca="false">'Cash flow'!AE26/FX_EUR</f>
        <v>12418.4109784762</v>
      </c>
      <c r="AF26" s="33" t="n">
        <f aca="false">'Cash flow'!AF26/FX_EUR</f>
        <v>0</v>
      </c>
      <c r="AG26" s="33" t="n">
        <f aca="false">'Cash flow'!AG26/FX_EUR</f>
        <v>0</v>
      </c>
      <c r="AH26" s="33" t="n">
        <f aca="false">'Cash flow'!AH26/FX_EUR</f>
        <v>0</v>
      </c>
      <c r="AI26" s="33" t="n">
        <f aca="false">'Cash flow'!AI26/FX_EUR</f>
        <v>0</v>
      </c>
      <c r="AJ26" s="33" t="n">
        <f aca="false">'Cash flow'!AJ26/FX_EUR</f>
        <v>0</v>
      </c>
      <c r="AK26" s="33" t="n">
        <f aca="false">'Cash flow'!AK26/FX_EUR</f>
        <v>0</v>
      </c>
      <c r="AL26" s="33" t="n">
        <f aca="false">'Cash flow'!AL26/FX_EUR</f>
        <v>0</v>
      </c>
      <c r="AM26" s="33" t="n">
        <f aca="false">'Cash flow'!AM26/FX_EUR</f>
        <v>0</v>
      </c>
      <c r="AN26" s="33" t="n">
        <f aca="false">'Cash flow'!AN26/FX_EUR</f>
        <v>0</v>
      </c>
      <c r="AO26" s="33" t="n">
        <f aca="false">'Cash flow'!AO26/FX_EUR</f>
        <v>0</v>
      </c>
      <c r="AP26" s="33" t="n">
        <f aca="false">'Cash flow'!AP26/FX_EUR</f>
        <v>0</v>
      </c>
      <c r="AQ26" s="33" t="n">
        <f aca="false">'Cash flow'!AQ26/FX_EUR</f>
        <v>0</v>
      </c>
      <c r="AR26" s="33" t="n">
        <f aca="false">'Cash flow'!AR26/FX_EUR</f>
        <v>0</v>
      </c>
      <c r="AS26" s="33" t="n">
        <f aca="false">'Cash flow'!AS26/FX_EUR</f>
        <v>0</v>
      </c>
      <c r="AT26" s="33" t="n">
        <f aca="false">'Cash flow'!AT26/FX_EUR</f>
        <v>0</v>
      </c>
      <c r="AU26" s="33" t="n">
        <f aca="false">'Cash flow'!AU26/FX_EUR</f>
        <v>0</v>
      </c>
      <c r="AV26" s="33" t="n">
        <f aca="false">'Cash flow'!AV26/FX_EUR</f>
        <v>0</v>
      </c>
      <c r="AW26" s="33" t="n">
        <f aca="false">'Cash flow'!AW26/FX_EUR</f>
        <v>0</v>
      </c>
      <c r="AX26" s="33" t="n">
        <f aca="false">'Cash flow'!AX26/FX_EUR</f>
        <v>0</v>
      </c>
      <c r="AY26" s="33" t="n">
        <f aca="false">'Cash flow'!AY26/FX_EUR</f>
        <v>0</v>
      </c>
      <c r="AZ26" s="33" t="n">
        <f aca="false">'Cash flow'!AZ26/FX_EUR</f>
        <v>0</v>
      </c>
      <c r="BA26" s="33" t="n">
        <f aca="false">'Cash flow'!BA26/FX_EUR</f>
        <v>0</v>
      </c>
      <c r="BB26" s="33" t="n">
        <f aca="false">'Cash flow'!BB26/FX_EUR</f>
        <v>0</v>
      </c>
      <c r="BC26" s="33" t="n">
        <f aca="false">'Cash flow'!BC26/FX_EUR</f>
        <v>0</v>
      </c>
      <c r="BD26" s="33" t="n">
        <f aca="false">'Cash flow'!BD26/FX_EUR</f>
        <v>0</v>
      </c>
      <c r="BE26" s="33" t="n">
        <f aca="false">'Cash flow'!BE26/FX_EUR</f>
        <v>0</v>
      </c>
      <c r="BF26" s="33" t="n">
        <f aca="false">'Cash flow'!BF26/FX_EUR</f>
        <v>0</v>
      </c>
      <c r="BG26" s="33" t="n">
        <f aca="false">'Cash flow'!BG26/FX_EUR</f>
        <v>0</v>
      </c>
      <c r="BH26" s="33" t="n">
        <f aca="false">'Cash flow'!BH26/FX_EUR</f>
        <v>0</v>
      </c>
      <c r="BI26" s="33" t="n">
        <f aca="false">'Cash flow'!BI26/FX_EUR</f>
        <v>0</v>
      </c>
      <c r="BJ26" s="33" t="n">
        <f aca="false">'Cash flow'!BJ26/FX_EUR</f>
        <v>0</v>
      </c>
      <c r="BK26" s="33" t="n">
        <f aca="false">'Cash flow'!BK26/FX_EUR</f>
        <v>0</v>
      </c>
      <c r="BL26" s="33" t="n">
        <f aca="false">'Cash flow'!BL26/FX_EUR</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3"/>
    <col collapsed="false" customWidth="true" hidden="false" outlineLevel="0" max="8" min="4" style="1" width="16"/>
    <col collapsed="false" customWidth="true" hidden="false" outlineLevel="0" max="9" min="9" style="1" width="3"/>
    <col collapsed="false" customWidth="true" hidden="false" outlineLevel="0" max="14" min="10" style="1" width="16"/>
  </cols>
  <sheetData>
    <row r="1" customFormat="false" ht="17.25" hidden="false" customHeight="true" outlineLevel="0" collapsed="false">
      <c r="A1" s="8" t="s">
        <v>1497</v>
      </c>
    </row>
    <row r="2" customFormat="false" ht="15" hidden="false" customHeight="true" outlineLevel="0" collapsed="false">
      <c r="A2" s="3" t="s">
        <v>1498</v>
      </c>
    </row>
    <row r="4" customFormat="false" ht="15" hidden="false" customHeight="true" outlineLevel="0" collapsed="false">
      <c r="A4" s="1" t="s">
        <v>87</v>
      </c>
      <c r="D4" s="55" t="n">
        <v>1</v>
      </c>
      <c r="E4" s="55" t="n">
        <v>2</v>
      </c>
      <c r="F4" s="55" t="n">
        <v>3</v>
      </c>
      <c r="G4" s="55" t="n">
        <v>4</v>
      </c>
      <c r="H4" s="55" t="n">
        <v>5</v>
      </c>
      <c r="J4" s="22" t="s">
        <v>1346</v>
      </c>
      <c r="K4" s="22" t="s">
        <v>1347</v>
      </c>
      <c r="L4" s="22" t="s">
        <v>1348</v>
      </c>
      <c r="M4" s="22" t="s">
        <v>1349</v>
      </c>
      <c r="N4" s="22" t="s">
        <v>1350</v>
      </c>
    </row>
    <row r="7" customFormat="false" ht="15" hidden="false" customHeight="true" outlineLevel="0" collapsed="false">
      <c r="A7" s="11" t="s">
        <v>1499</v>
      </c>
      <c r="B7" s="12"/>
      <c r="C7" s="12"/>
      <c r="D7" s="12"/>
      <c r="E7" s="12"/>
      <c r="F7" s="12"/>
      <c r="G7" s="12"/>
      <c r="H7" s="12"/>
    </row>
    <row r="8" customFormat="false" ht="15" hidden="false" customHeight="true" outlineLevel="0" collapsed="false">
      <c r="A8" s="13" t="s">
        <v>1500</v>
      </c>
      <c r="B8" s="15" t="s">
        <v>89</v>
      </c>
      <c r="D8" s="33" t="n">
        <f aca="false">AVERAGEIF('Clients &amp; revenue'!$E$5:$BL$5,D$4,'Clients &amp; revenue'!$E$17:$BL$17)</f>
        <v>146.430191175726</v>
      </c>
      <c r="E8" s="33" t="n">
        <f aca="false">AVERAGEIF('Clients &amp; revenue'!$E$5:$BL$5,E$4,'Clients &amp; revenue'!$E$17:$BL$17)</f>
        <v>881.04381695063</v>
      </c>
      <c r="F8" s="33" t="n">
        <f aca="false">AVERAGEIF('Clients &amp; revenue'!$E$5:$BL$5,F$4,'Clients &amp; revenue'!$E$17:$BL$17)</f>
        <v>2412.19043357702</v>
      </c>
      <c r="G8" s="33" t="n">
        <f aca="false">AVERAGEIF('Clients &amp; revenue'!$E$5:$BL$5,G$4,'Clients &amp; revenue'!$E$17:$BL$17)</f>
        <v>4706.51546621548</v>
      </c>
      <c r="H8" s="33" t="n">
        <f aca="false">AVERAGEIF('Clients &amp; revenue'!$E$5:$BL$5,H$4,'Clients &amp; revenue'!$E$17:$BL$17)</f>
        <v>7806.97220935866</v>
      </c>
    </row>
    <row r="9" customFormat="false" ht="15" hidden="false" customHeight="true" outlineLevel="0" collapsed="false">
      <c r="A9" s="13" t="s">
        <v>1191</v>
      </c>
      <c r="B9" s="15" t="s">
        <v>89</v>
      </c>
      <c r="D9" s="33" t="n">
        <f aca="false">SUMIF('Sales &amp; marketing'!$E$5:$BL$5,D$4,'Sales &amp; marketing'!$E$33:$BL$33)</f>
        <v>410.913076604112</v>
      </c>
      <c r="E9" s="33" t="n">
        <f aca="false">SUMIF('Sales &amp; marketing'!$E$5:$BL$5,E$4,'Sales &amp; marketing'!$E$33:$BL$33)</f>
        <v>1187.3568975832</v>
      </c>
      <c r="F9" s="33" t="n">
        <f aca="false">SUMIF('Sales &amp; marketing'!$E$5:$BL$5,F$4,'Sales &amp; marketing'!$E$33:$BL$33)</f>
        <v>2326.81549868868</v>
      </c>
      <c r="G9" s="33" t="n">
        <f aca="false">SUMIF('Sales &amp; marketing'!$E$5:$BL$5,G$4,'Sales &amp; marketing'!$E$33:$BL$33)</f>
        <v>3562.29270269879</v>
      </c>
      <c r="H9" s="33" t="n">
        <f aca="false">SUMIF('Sales &amp; marketing'!$E$5:$BL$5,H$4,'Sales &amp; marketing'!$E$33:$BL$33)</f>
        <v>4883.02267642127</v>
      </c>
    </row>
    <row r="10" customFormat="false" ht="15" hidden="false" customHeight="true" outlineLevel="0" collapsed="false">
      <c r="A10" s="13" t="s">
        <v>1501</v>
      </c>
      <c r="B10" s="15" t="s">
        <v>89</v>
      </c>
      <c r="D10" s="33" t="n">
        <f aca="false">MAX(0,SUMIF('Sales &amp; marketing'!$E$5:$BL$5,D$4,'Sales &amp; marketing'!$E$33:$BL$33)-('P&amp;L annual'!D56-IF(D$4=1,0,INDEX('P&amp;L annual'!$D$56:$H$56,1,D$4-1))))</f>
        <v>22.5301116732933</v>
      </c>
      <c r="E10" s="33" t="n">
        <f aca="false">MAX(0,SUMIF('Sales &amp; marketing'!$E$5:$BL$5,E$4,'Sales &amp; marketing'!$E$33:$BL$33)-('P&amp;L annual'!E56-IF(E$4=1,0,INDEX('P&amp;L annual'!$D$56:$H$56,1,E$4-1))))</f>
        <v>156.340458765094</v>
      </c>
      <c r="F10" s="33" t="n">
        <f aca="false">MAX(0,SUMIF('Sales &amp; marketing'!$E$5:$BL$5,F$4,'Sales &amp; marketing'!$E$33:$BL$33)-('P&amp;L annual'!F56-IF(F$4=1,0,INDEX('P&amp;L annual'!$D$56:$H$56,1,F$4-1))))</f>
        <v>441.748448018123</v>
      </c>
      <c r="G10" s="33" t="n">
        <f aca="false">MAX(0,SUMIF('Sales &amp; marketing'!$E$5:$BL$5,G$4,'Sales &amp; marketing'!$E$33:$BL$33)-('P&amp;L annual'!G56-IF(G$4=1,0,INDEX('P&amp;L annual'!$D$56:$H$56,1,G$4-1))))</f>
        <v>874.692188099485</v>
      </c>
      <c r="H10" s="33" t="n">
        <f aca="false">MAX(0,SUMIF('Sales &amp; marketing'!$E$5:$BL$5,H$4,'Sales &amp; marketing'!$E$33:$BL$33)-('P&amp;L annual'!H56-IF(H$4=1,0,INDEX('P&amp;L annual'!$D$56:$H$56,1,H$4-1))))</f>
        <v>1462.47937447252</v>
      </c>
    </row>
    <row r="12" customFormat="false" ht="15" hidden="false" customHeight="true" outlineLevel="0" collapsed="false">
      <c r="A12" s="11" t="s">
        <v>1502</v>
      </c>
      <c r="B12" s="12"/>
      <c r="C12" s="12"/>
      <c r="D12" s="12"/>
      <c r="E12" s="12"/>
      <c r="F12" s="12"/>
      <c r="G12" s="12"/>
      <c r="H12" s="12"/>
    </row>
    <row r="13" customFormat="false" ht="15" hidden="false" customHeight="true" outlineLevel="0" collapsed="false">
      <c r="A13" s="9" t="s">
        <v>1503</v>
      </c>
      <c r="B13" s="15" t="s">
        <v>104</v>
      </c>
      <c r="D13" s="17" t="n">
        <f aca="false">IFERROR('P&amp;L annual'!D23/D8/12,0)</f>
        <v>88541.5002484919</v>
      </c>
      <c r="E13" s="17" t="n">
        <f aca="false">IFERROR('P&amp;L annual'!E23/E8/12,0)</f>
        <v>107584.330322511</v>
      </c>
      <c r="F13" s="17" t="n">
        <f aca="false">IFERROR('P&amp;L annual'!F23/F8/12,0)</f>
        <v>123594.364121268</v>
      </c>
      <c r="G13" s="17" t="n">
        <f aca="false">IFERROR('P&amp;L annual'!G23/G8/12,0)</f>
        <v>126941.21790776</v>
      </c>
      <c r="H13" s="17" t="n">
        <f aca="false">IFERROR('P&amp;L annual'!H23/H8/12,0)</f>
        <v>128715.14652351</v>
      </c>
      <c r="J13" s="25" t="n">
        <f aca="false">D13/FX_EUR</f>
        <v>134.980646976085</v>
      </c>
      <c r="K13" s="25" t="n">
        <f aca="false">E13/FX_EUR</f>
        <v>164.011254278118</v>
      </c>
      <c r="L13" s="25" t="n">
        <f aca="false">F13/FX_EUR</f>
        <v>188.4183934637</v>
      </c>
      <c r="M13" s="25" t="n">
        <f aca="false">G13/FX_EUR</f>
        <v>193.52063916958</v>
      </c>
      <c r="N13" s="25" t="n">
        <f aca="false">H13/FX_EUR</f>
        <v>196.224975910784</v>
      </c>
    </row>
    <row r="14" customFormat="false" ht="15" hidden="false" customHeight="true" outlineLevel="0" collapsed="false">
      <c r="A14" s="13" t="s">
        <v>1504</v>
      </c>
      <c r="B14" s="15" t="s">
        <v>104</v>
      </c>
      <c r="D14" s="33" t="n">
        <f aca="false">IFERROR('P&amp;L annual'!D9/D8/12,0)</f>
        <v>13782.4113199888</v>
      </c>
      <c r="E14" s="33" t="n">
        <f aca="false">IFERROR('P&amp;L annual'!E9/E8/12,0)</f>
        <v>16175.1335505092</v>
      </c>
      <c r="F14" s="33" t="n">
        <f aca="false">IFERROR('P&amp;L annual'!F9/F8/12,0)</f>
        <v>16934.1896257655</v>
      </c>
      <c r="G14" s="33" t="n">
        <f aca="false">IFERROR('P&amp;L annual'!G9/G8/12,0)</f>
        <v>17440.5546065069</v>
      </c>
      <c r="H14" s="33" t="n">
        <f aca="false">IFERROR('P&amp;L annual'!H9/H8/12,0)</f>
        <v>17823.2228031118</v>
      </c>
      <c r="J14" s="25" t="n">
        <f aca="false">D14/FX_EUR</f>
        <v>21.0111506089406</v>
      </c>
      <c r="K14" s="25" t="n">
        <f aca="false">E14/FX_EUR</f>
        <v>24.6588321345899</v>
      </c>
      <c r="L14" s="25" t="n">
        <f aca="false">F14/FX_EUR</f>
        <v>25.816005661599</v>
      </c>
      <c r="M14" s="25" t="n">
        <f aca="false">G14/FX_EUR</f>
        <v>26.5879540983737</v>
      </c>
      <c r="N14" s="25" t="n">
        <f aca="false">H14/FX_EUR</f>
        <v>27.171328003378</v>
      </c>
    </row>
    <row r="15" customFormat="false" ht="15" hidden="false" customHeight="true" outlineLevel="0" collapsed="false">
      <c r="A15" s="13" t="s">
        <v>1021</v>
      </c>
      <c r="B15" s="15" t="s">
        <v>104</v>
      </c>
      <c r="D15" s="33" t="n">
        <f aca="false">IFERROR('P&amp;L annual'!D31/D8/12,0)</f>
        <v>52074.7445457771</v>
      </c>
      <c r="E15" s="33" t="n">
        <f aca="false">IFERROR('P&amp;L annual'!E31/E8/12,0)</f>
        <v>58219.3088389564</v>
      </c>
      <c r="F15" s="33" t="n">
        <f aca="false">IFERROR('P&amp;L annual'!F31/F8/12,0)</f>
        <v>65749.8868461354</v>
      </c>
      <c r="G15" s="33" t="n">
        <f aca="false">IFERROR('P&amp;L annual'!G31/G8/12,0)</f>
        <v>66652.9689962984</v>
      </c>
      <c r="H15" s="33" t="n">
        <f aca="false">IFERROR('P&amp;L annual'!H31/H8/12,0)</f>
        <v>67372.9490488094</v>
      </c>
      <c r="J15" s="25" t="n">
        <f aca="false">D15/FX_EUR</f>
        <v>79.3874362889291</v>
      </c>
      <c r="K15" s="25" t="n">
        <f aca="false">E15/FX_EUR</f>
        <v>88.7547641674018</v>
      </c>
      <c r="L15" s="25" t="n">
        <f aca="false">F15/FX_EUR</f>
        <v>100.235056331643</v>
      </c>
      <c r="M15" s="25" t="n">
        <f aca="false">G15/FX_EUR</f>
        <v>101.611796194413</v>
      </c>
      <c r="N15" s="25" t="n">
        <f aca="false">H15/FX_EUR</f>
        <v>102.709398708771</v>
      </c>
    </row>
    <row r="16" customFormat="false" ht="15" hidden="false" customHeight="true" outlineLevel="0" collapsed="false">
      <c r="A16" s="9" t="s">
        <v>1505</v>
      </c>
      <c r="B16" s="15" t="s">
        <v>104</v>
      </c>
      <c r="D16" s="17" t="n">
        <f aca="false">D13-D15</f>
        <v>36466.7557027149</v>
      </c>
      <c r="E16" s="17" t="n">
        <f aca="false">E13-E15</f>
        <v>49365.0214835551</v>
      </c>
      <c r="F16" s="17" t="n">
        <f aca="false">F13-F15</f>
        <v>57844.4772751331</v>
      </c>
      <c r="G16" s="17" t="n">
        <f aca="false">G13-G15</f>
        <v>60288.2489114617</v>
      </c>
      <c r="H16" s="17" t="n">
        <f aca="false">H13-H15</f>
        <v>61342.1974747011</v>
      </c>
      <c r="J16" s="25" t="n">
        <f aca="false">D16/FX_EUR</f>
        <v>55.5932106871561</v>
      </c>
      <c r="K16" s="25" t="n">
        <f aca="false">E16/FX_EUR</f>
        <v>75.2564901107162</v>
      </c>
      <c r="L16" s="25" t="n">
        <f aca="false">F16/FX_EUR</f>
        <v>88.1833371320576</v>
      </c>
      <c r="M16" s="25" t="n">
        <f aca="false">G16/FX_EUR</f>
        <v>91.9088429751671</v>
      </c>
      <c r="N16" s="25" t="n">
        <f aca="false">H16/FX_EUR</f>
        <v>93.5155772020133</v>
      </c>
    </row>
    <row r="18" customFormat="false" ht="15" hidden="false" customHeight="true" outlineLevel="0" collapsed="false">
      <c r="A18" s="11" t="s">
        <v>1506</v>
      </c>
      <c r="B18" s="12"/>
      <c r="C18" s="12"/>
      <c r="D18" s="12"/>
      <c r="E18" s="12"/>
      <c r="F18" s="12"/>
      <c r="G18" s="12"/>
      <c r="H18" s="12"/>
    </row>
    <row r="19" customFormat="false" ht="15" hidden="false" customHeight="true" outlineLevel="0" collapsed="false">
      <c r="A19" s="13" t="s">
        <v>1507</v>
      </c>
      <c r="B19" s="15" t="s">
        <v>77</v>
      </c>
      <c r="D19" s="33" t="n">
        <f aca="false">SUMIF('Sales &amp; marketing'!$E$5:$BL$5,D$4,'Sales &amp; marketing'!$E$45:$BL$45)+SUMIF('Sales &amp; marketing'!$E$5:$BL$5,D$4,'Sales &amp; marketing'!$E$48:$BL$48)</f>
        <v>83719493.5817695</v>
      </c>
      <c r="E19" s="33" t="n">
        <f aca="false">SUMIF('Sales &amp; marketing'!$E$5:$BL$5,E$4,'Sales &amp; marketing'!$E$45:$BL$45)+SUMIF('Sales &amp; marketing'!$E$5:$BL$5,E$4,'Sales &amp; marketing'!$E$48:$BL$48)</f>
        <v>140182422.43958</v>
      </c>
      <c r="F19" s="33" t="n">
        <f aca="false">SUMIF('Sales &amp; marketing'!$E$5:$BL$5,F$4,'Sales &amp; marketing'!$E$45:$BL$45)+SUMIF('Sales &amp; marketing'!$E$5:$BL$5,F$4,'Sales &amp; marketing'!$E$48:$BL$48)</f>
        <v>228040049.967217</v>
      </c>
      <c r="G19" s="33" t="n">
        <f aca="false">SUMIF('Sales &amp; marketing'!$E$5:$BL$5,G$4,'Sales &amp; marketing'!$E$45:$BL$45)+SUMIF('Sales &amp; marketing'!$E$5:$BL$5,G$4,'Sales &amp; marketing'!$E$48:$BL$48)</f>
        <v>313894109.44247</v>
      </c>
      <c r="H19" s="33" t="n">
        <f aca="false">SUMIF('Sales &amp; marketing'!$E$5:$BL$5,H$4,'Sales &amp; marketing'!$E$45:$BL$45)+SUMIF('Sales &amp; marketing'!$E$5:$BL$5,H$4,'Sales &amp; marketing'!$E$48:$BL$48)</f>
        <v>420306957.129282</v>
      </c>
      <c r="J19" s="25" t="n">
        <f aca="false">D19/FX_EUR</f>
        <v>127629.545201544</v>
      </c>
      <c r="K19" s="25" t="n">
        <f aca="false">E19/FX_EUR</f>
        <v>213706.725348735</v>
      </c>
      <c r="L19" s="25" t="n">
        <f aca="false">F19/FX_EUR</f>
        <v>347644.815082722</v>
      </c>
      <c r="M19" s="25" t="n">
        <f aca="false">G19/FX_EUR</f>
        <v>478528.485011167</v>
      </c>
      <c r="N19" s="25" t="n">
        <f aca="false">H19/FX_EUR</f>
        <v>640753.825524054</v>
      </c>
    </row>
    <row r="20" customFormat="false" ht="15" hidden="false" customHeight="true" outlineLevel="0" collapsed="false">
      <c r="A20" s="9" t="s">
        <v>1508</v>
      </c>
      <c r="B20" s="15" t="s">
        <v>77</v>
      </c>
      <c r="D20" s="17" t="n">
        <f aca="false">IFERROR(D19/D9,0)</f>
        <v>203740.154179682</v>
      </c>
      <c r="E20" s="17" t="n">
        <f aca="false">IFERROR(E19/E9,0)</f>
        <v>118062.583141525</v>
      </c>
      <c r="F20" s="17" t="n">
        <f aca="false">IFERROR(F19/F9,0)</f>
        <v>98005.2136044878</v>
      </c>
      <c r="G20" s="17" t="n">
        <f aca="false">IFERROR(G19/G9,0)</f>
        <v>88115.7545545497</v>
      </c>
      <c r="H20" s="17" t="n">
        <f aca="false">IFERROR(H19/H9,0)</f>
        <v>86075.1597896166</v>
      </c>
      <c r="J20" s="25" t="n">
        <f aca="false">D20/FX_EUR</f>
        <v>310.599862764911</v>
      </c>
      <c r="K20" s="25" t="n">
        <f aca="false">E20/FX_EUR</f>
        <v>179.985247724356</v>
      </c>
      <c r="L20" s="25" t="n">
        <f aca="false">F20/FX_EUR</f>
        <v>149.407984981467</v>
      </c>
      <c r="M20" s="25" t="n">
        <f aca="false">G20/FX_EUR</f>
        <v>134.33160184974</v>
      </c>
      <c r="N20" s="25" t="n">
        <f aca="false">H20/FX_EUR</f>
        <v>131.220735184801</v>
      </c>
    </row>
    <row r="21" customFormat="false" ht="15" hidden="false" customHeight="true" outlineLevel="0" collapsed="false">
      <c r="A21" s="13" t="s">
        <v>1509</v>
      </c>
      <c r="B21" s="15" t="s">
        <v>108</v>
      </c>
      <c r="D21" s="43" t="n">
        <f aca="false">IFERROR(D20/D16,0)</f>
        <v>5.5870106965538</v>
      </c>
      <c r="E21" s="43" t="n">
        <f aca="false">IFERROR(E20/E16,0)</f>
        <v>2.39162426336339</v>
      </c>
      <c r="F21" s="43" t="n">
        <f aca="false">IFERROR(F20/F16,0)</f>
        <v>1.69428817099225</v>
      </c>
      <c r="G21" s="43" t="n">
        <f aca="false">IFERROR(G20/G16,0)</f>
        <v>1.46157428927742</v>
      </c>
      <c r="H21" s="43" t="n">
        <f aca="false">IFERROR(H20/H16,0)</f>
        <v>1.40319654875611</v>
      </c>
    </row>
    <row r="22" customFormat="false" ht="15" hidden="false" customHeight="true" outlineLevel="0" collapsed="false">
      <c r="A22" s="13" t="s">
        <v>1219</v>
      </c>
      <c r="B22" s="15" t="s">
        <v>470</v>
      </c>
      <c r="D22" s="34" t="n">
        <f aca="false">Mix_Petite*Churn_Petite+Mix_Moyenne*Churn_Moyenne+Mix_Grande*Churn_Grande</f>
        <v>0.0165</v>
      </c>
      <c r="E22" s="34" t="n">
        <f aca="false">Mix_Petite*Churn_Petite+Mix_Moyenne*Churn_Moyenne+Mix_Grande*Churn_Grande</f>
        <v>0.0165</v>
      </c>
      <c r="F22" s="34" t="n">
        <f aca="false">Mix_Petite*Churn_Petite+Mix_Moyenne*Churn_Moyenne+Mix_Grande*Churn_Grande</f>
        <v>0.0165</v>
      </c>
      <c r="G22" s="34" t="n">
        <f aca="false">Mix_Petite*Churn_Petite+Mix_Moyenne*Churn_Moyenne+Mix_Grande*Churn_Grande</f>
        <v>0.0165</v>
      </c>
      <c r="H22" s="34" t="n">
        <f aca="false">Mix_Petite*Churn_Petite+Mix_Moyenne*Churn_Moyenne+Mix_Grande*Churn_Grande</f>
        <v>0.0165</v>
      </c>
    </row>
    <row r="23" customFormat="false" ht="15" hidden="false" customHeight="true" outlineLevel="0" collapsed="false">
      <c r="A23" s="13" t="s">
        <v>1510</v>
      </c>
      <c r="B23" s="15" t="s">
        <v>77</v>
      </c>
      <c r="D23" s="33" t="n">
        <f aca="false">IFERROR(D16/D22,0)</f>
        <v>2210106.40622514</v>
      </c>
      <c r="E23" s="33" t="n">
        <f aca="false">IFERROR(E16/E22,0)</f>
        <v>2991819.48385182</v>
      </c>
      <c r="F23" s="33" t="n">
        <f aca="false">IFERROR(F16/F22,0)</f>
        <v>3505725.89546261</v>
      </c>
      <c r="G23" s="33" t="n">
        <f aca="false">IFERROR(G16/G22,0)</f>
        <v>3653833.26736131</v>
      </c>
      <c r="H23" s="33" t="n">
        <f aca="false">IFERROR(H16/H22,0)</f>
        <v>3717708.93786067</v>
      </c>
      <c r="J23" s="25" t="n">
        <f aca="false">D23/FX_EUR</f>
        <v>3369.28549619128</v>
      </c>
      <c r="K23" s="25" t="n">
        <f aca="false">E23/FX_EUR</f>
        <v>4560.99940064947</v>
      </c>
      <c r="L23" s="25" t="n">
        <f aca="false">F23/FX_EUR</f>
        <v>5344.44467467015</v>
      </c>
      <c r="M23" s="25" t="n">
        <f aca="false">G23/FX_EUR</f>
        <v>5570.23290758589</v>
      </c>
      <c r="N23" s="25" t="n">
        <f aca="false">H23/FX_EUR</f>
        <v>5667.61073951596</v>
      </c>
    </row>
    <row r="24" customFormat="false" ht="15" hidden="false" customHeight="true" outlineLevel="0" collapsed="false">
      <c r="A24" s="13" t="s">
        <v>1511</v>
      </c>
      <c r="B24" s="15" t="s">
        <v>464</v>
      </c>
      <c r="D24" s="63" t="n">
        <f aca="false">IFERROR(D23/D20,0)</f>
        <v>10.8476721985594</v>
      </c>
      <c r="E24" s="63" t="n">
        <f aca="false">IFERROR(E23/E20,0)</f>
        <v>25.3409624306241</v>
      </c>
      <c r="F24" s="63" t="n">
        <f aca="false">IFERROR(F23/F20,0)</f>
        <v>35.7708102102649</v>
      </c>
      <c r="G24" s="63" t="n">
        <f aca="false">IFERROR(G23/G20,0)</f>
        <v>41.4662881323832</v>
      </c>
      <c r="H24" s="63" t="n">
        <f aca="false">IFERROR(H23/H20,0)</f>
        <v>43.1914265038535</v>
      </c>
    </row>
    <row r="26" customFormat="false" ht="15" hidden="false" customHeight="true" outlineLevel="0" collapsed="false">
      <c r="A26" s="11" t="s">
        <v>1512</v>
      </c>
      <c r="B26" s="12"/>
      <c r="C26" s="12"/>
      <c r="D26" s="12"/>
      <c r="E26" s="12"/>
      <c r="F26" s="12"/>
      <c r="G26" s="12"/>
      <c r="H26" s="12"/>
    </row>
    <row r="27" customFormat="false" ht="15" hidden="false" customHeight="true" outlineLevel="0" collapsed="false">
      <c r="A27" s="13" t="s">
        <v>91</v>
      </c>
      <c r="B27" s="15" t="s">
        <v>92</v>
      </c>
      <c r="D27" s="33" t="n">
        <f aca="false">'P&amp;L annual'!D60</f>
        <v>11</v>
      </c>
      <c r="E27" s="33" t="n">
        <f aca="false">'P&amp;L annual'!E60</f>
        <v>19</v>
      </c>
      <c r="F27" s="33" t="n">
        <f aca="false">'P&amp;L annual'!F60</f>
        <v>33</v>
      </c>
      <c r="G27" s="33" t="n">
        <f aca="false">'P&amp;L annual'!G60</f>
        <v>51</v>
      </c>
      <c r="H27" s="33" t="n">
        <f aca="false">'P&amp;L annual'!H60</f>
        <v>75</v>
      </c>
    </row>
    <row r="28" customFormat="false" ht="15" hidden="false" customHeight="true" outlineLevel="0" collapsed="false">
      <c r="A28" s="13" t="s">
        <v>1513</v>
      </c>
      <c r="B28" s="15" t="s">
        <v>77</v>
      </c>
      <c r="D28" s="33" t="n">
        <f aca="false">IFERROR('P&amp;L annual'!D23/D27,0)</f>
        <v>14143798.7000425</v>
      </c>
      <c r="E28" s="33" t="n">
        <f aca="false">IFERROR('P&amp;L annual'!E23/E27,0)</f>
        <v>59865163.5987934</v>
      </c>
      <c r="F28" s="33" t="n">
        <f aca="false">IFERROR('P&amp;L annual'!F23/F27,0)</f>
        <v>108412051.91904</v>
      </c>
      <c r="G28" s="33" t="n">
        <f aca="false">IFERROR('P&amp;L annual'!G23/G27,0)</f>
        <v>140576660.090142</v>
      </c>
      <c r="H28" s="33" t="n">
        <f aca="false">IFERROR('P&amp;L annual'!H23/H27,0)</f>
        <v>160780091.493212</v>
      </c>
      <c r="J28" s="25" t="n">
        <f aca="false">D28/FX_EUR</f>
        <v>21562.0821182523</v>
      </c>
      <c r="K28" s="25" t="n">
        <f aca="false">E28/FX_EUR</f>
        <v>91263.8535739284</v>
      </c>
      <c r="L28" s="25" t="n">
        <f aca="false">F28/FX_EUR</f>
        <v>165273.107717487</v>
      </c>
      <c r="M28" s="25" t="n">
        <f aca="false">G28/FX_EUR</f>
        <v>214307.736772596</v>
      </c>
      <c r="N28" s="25" t="n">
        <f aca="false">H28/FX_EUR</f>
        <v>245107.669394811</v>
      </c>
    </row>
    <row r="29" customFormat="false" ht="15" hidden="false" customHeight="true" outlineLevel="0" collapsed="false">
      <c r="A29" s="13" t="s">
        <v>1514</v>
      </c>
      <c r="B29" s="15" t="s">
        <v>96</v>
      </c>
      <c r="D29" s="35" t="n">
        <f aca="false">IFERROR('P&amp;L annual'!D36/'P&amp;L annual'!D23,0)</f>
        <v>0.958736906948564</v>
      </c>
      <c r="E29" s="35" t="n">
        <f aca="false">IFERROR('P&amp;L annual'!E36/'P&amp;L annual'!E23,0)</f>
        <v>0.226860343520737</v>
      </c>
      <c r="F29" s="35" t="n">
        <f aca="false">IFERROR('P&amp;L annual'!F36/'P&amp;L annual'!F23,0)</f>
        <v>0.108507382217341</v>
      </c>
      <c r="G29" s="35" t="n">
        <f aca="false">IFERROR('P&amp;L annual'!G36/'P&amp;L annual'!G23,0)</f>
        <v>0.0740952307409879</v>
      </c>
      <c r="H29" s="35" t="n">
        <f aca="false">IFERROR('P&amp;L annual'!H36/'P&amp;L annual'!H23,0)</f>
        <v>0.0609641784764368</v>
      </c>
    </row>
    <row r="30" customFormat="false" ht="15" hidden="false" customHeight="true" outlineLevel="0" collapsed="false">
      <c r="A30" s="13" t="s">
        <v>1515</v>
      </c>
      <c r="B30" s="15" t="s">
        <v>89</v>
      </c>
      <c r="D30" s="43" t="n">
        <f aca="false">IFERROR(D9/(INDEX(Staff!$E$86:$BL$86,1,D$4*12)+INDEX(Staff!$E$87:$BL$87,1,D$4*12)),0)</f>
        <v>136.971025534704</v>
      </c>
      <c r="E30" s="43" t="n">
        <f aca="false">IFERROR(E9/(INDEX(Staff!$E$86:$BL$86,1,E$4*12)+INDEX(Staff!$E$87:$BL$87,1,E$4*12)),0)</f>
        <v>197.892816263867</v>
      </c>
      <c r="F30" s="43" t="n">
        <f aca="false">IFERROR(F9/(INDEX(Staff!$E$86:$BL$86,1,F$4*12)+INDEX(Staff!$E$87:$BL$87,1,F$4*12)),0)</f>
        <v>232.681549868868</v>
      </c>
      <c r="G30" s="43" t="n">
        <f aca="false">IFERROR(G9/(INDEX(Staff!$E$86:$BL$86,1,G$4*12)+INDEX(Staff!$E$87:$BL$87,1,G$4*12)),0)</f>
        <v>209.546629570517</v>
      </c>
      <c r="H30" s="43" t="n">
        <f aca="false">IFERROR(H9/(INDEX(Staff!$E$86:$BL$86,1,H$4*12)+INDEX(Staff!$E$87:$BL$87,1,H$4*12)),0)</f>
        <v>195.320907056851</v>
      </c>
    </row>
    <row r="32" customFormat="false" ht="15" hidden="false" customHeight="true" outlineLevel="0" collapsed="false">
      <c r="A32" s="11" t="s">
        <v>28</v>
      </c>
      <c r="B32" s="12"/>
      <c r="C32" s="12"/>
      <c r="D32" s="12"/>
      <c r="E32" s="12"/>
      <c r="F32" s="12"/>
      <c r="G32" s="12"/>
      <c r="H32" s="12"/>
    </row>
    <row r="33" customFormat="false" ht="15" hidden="false" customHeight="true" outlineLevel="0" collapsed="false">
      <c r="A33" s="13" t="s">
        <v>1516</v>
      </c>
      <c r="B33" s="15" t="s">
        <v>96</v>
      </c>
      <c r="D33" s="35" t="n">
        <f aca="false">IFERROR('P&amp;L annual'!D22/'P&amp;L annual'!D23,0)</f>
        <v>0</v>
      </c>
      <c r="E33" s="35" t="n">
        <f aca="false">IFERROR('P&amp;L annual'!E22/'P&amp;L annual'!E23,0)</f>
        <v>0.00521130355976855</v>
      </c>
      <c r="F33" s="35" t="n">
        <f aca="false">IFERROR('P&amp;L annual'!F22/'P&amp;L annual'!F23,0)</f>
        <v>0.0390516447575517</v>
      </c>
      <c r="G33" s="35" t="n">
        <f aca="false">IFERROR('P&amp;L annual'!G22/'P&amp;L annual'!G23,0)</f>
        <v>0.0465941716634372</v>
      </c>
      <c r="H33" s="35" t="n">
        <f aca="false">IFERROR('P&amp;L annual'!H22/'P&amp;L annual'!H23,0)</f>
        <v>0.045709967698601</v>
      </c>
    </row>
    <row r="34" customFormat="false" ht="15" hidden="false" customHeight="true" outlineLevel="0" collapsed="false">
      <c r="A34" s="13" t="s">
        <v>1517</v>
      </c>
      <c r="B34" s="15" t="s">
        <v>77</v>
      </c>
      <c r="D34" s="33" t="n">
        <f aca="false">IFERROR('P&amp;L annual'!D61/'P&amp;L annual'!D56,0)</f>
        <v>0</v>
      </c>
      <c r="E34" s="33" t="n">
        <f aca="false">IFERROR('P&amp;L annual'!E61/'P&amp;L annual'!E56,0)</f>
        <v>325833.333333333</v>
      </c>
      <c r="F34" s="33" t="n">
        <f aca="false">IFERROR('P&amp;L annual'!F61/'P&amp;L annual'!F56,0)</f>
        <v>790572.139881981</v>
      </c>
      <c r="G34" s="33" t="n">
        <f aca="false">IFERROR('P&amp;L annual'!G61/'P&amp;L annual'!G56,0)</f>
        <v>834229.487444681</v>
      </c>
      <c r="H34" s="33" t="n">
        <f aca="false">IFERROR('P&amp;L annual'!H61/'P&amp;L annual'!H56,0)</f>
        <v>834619.701010373</v>
      </c>
      <c r="J34" s="25" t="n">
        <f aca="false">D34/FX_EUR</f>
        <v>0</v>
      </c>
      <c r="K34" s="25" t="n">
        <f aca="false">E34/FX_EUR</f>
        <v>496.729714498562</v>
      </c>
      <c r="L34" s="25" t="n">
        <f aca="false">F34/FX_EUR</f>
        <v>1205.21945780285</v>
      </c>
      <c r="M34" s="25" t="n">
        <f aca="false">G34/FX_EUR</f>
        <v>1271.7746551141</v>
      </c>
      <c r="N34" s="25" t="n">
        <f aca="false">H34/FX_EUR</f>
        <v>1272.36953186013</v>
      </c>
    </row>
    <row r="35" customFormat="false" ht="15" hidden="false" customHeight="true" outlineLevel="0" collapsed="false">
      <c r="A35" s="13" t="s">
        <v>1518</v>
      </c>
      <c r="B35" s="15" t="s">
        <v>96</v>
      </c>
      <c r="D35" s="35" t="n">
        <f aca="false">IFERROR('P&amp;L annual'!D18/'P&amp;L annual'!D23,0)</f>
        <v>0.428078635692521</v>
      </c>
      <c r="E35" s="35" t="n">
        <f aca="false">IFERROR('P&amp;L annual'!E18/'P&amp;L annual'!E23,0)</f>
        <v>0.359238964516139</v>
      </c>
      <c r="F35" s="35" t="n">
        <f aca="false">IFERROR('P&amp;L annual'!F18/'P&amp;L annual'!F23,0)</f>
        <v>0.317727795345439</v>
      </c>
      <c r="G35" s="35" t="n">
        <f aca="false">IFERROR('P&amp;L annual'!G18/'P&amp;L annual'!G23,0)</f>
        <v>0.31442845034446</v>
      </c>
      <c r="H35" s="35" t="n">
        <f aca="false">IFERROR('P&amp;L annual'!H18/'P&amp;L annual'!H23,0)</f>
        <v>0.314833120922075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16"/>
    <col collapsed="false" customWidth="true" hidden="false" outlineLevel="0" max="3" min="3" style="1" width="3"/>
    <col collapsed="false" customWidth="true" hidden="false" outlineLevel="0" max="8" min="4" style="1" width="15"/>
    <col collapsed="false" customWidth="true" hidden="false" outlineLevel="0" max="9" min="9" style="1" width="100"/>
  </cols>
  <sheetData>
    <row r="1" customFormat="false" ht="17.25" hidden="false" customHeight="true" outlineLevel="0" collapsed="false">
      <c r="A1" s="8" t="s">
        <v>42</v>
      </c>
    </row>
    <row r="2" customFormat="false" ht="15" hidden="false" customHeight="true" outlineLevel="0" collapsed="false">
      <c r="A2" s="3" t="s">
        <v>1519</v>
      </c>
    </row>
    <row r="5" customFormat="false" ht="15" hidden="false" customHeight="true" outlineLevel="0" collapsed="false">
      <c r="A5" s="37" t="s">
        <v>1520</v>
      </c>
      <c r="B5" s="37" t="s">
        <v>182</v>
      </c>
      <c r="C5" s="37"/>
      <c r="D5" s="37" t="s">
        <v>1456</v>
      </c>
      <c r="E5" s="37" t="s">
        <v>1521</v>
      </c>
      <c r="F5" s="37"/>
      <c r="G5" s="37"/>
      <c r="H5" s="37"/>
      <c r="I5" s="37" t="s">
        <v>416</v>
      </c>
    </row>
    <row r="6" customFormat="false" ht="15" hidden="false" customHeight="true" outlineLevel="0" collapsed="false">
      <c r="A6" s="13" t="s">
        <v>1522</v>
      </c>
      <c r="B6" s="15" t="s">
        <v>1523</v>
      </c>
      <c r="D6" s="40" t="n">
        <v>40300</v>
      </c>
      <c r="I6" s="15" t="s">
        <v>1524</v>
      </c>
    </row>
    <row r="7" customFormat="false" ht="15" hidden="false" customHeight="true" outlineLevel="0" collapsed="false">
      <c r="A7" s="13" t="s">
        <v>1525</v>
      </c>
      <c r="B7" s="15" t="s">
        <v>427</v>
      </c>
      <c r="D7" s="41" t="n">
        <v>0.049</v>
      </c>
      <c r="I7" s="15" t="s">
        <v>1526</v>
      </c>
    </row>
    <row r="8" customFormat="false" ht="15" hidden="false" customHeight="true" outlineLevel="0" collapsed="false">
      <c r="A8" s="13" t="s">
        <v>1527</v>
      </c>
      <c r="B8" s="15" t="s">
        <v>92</v>
      </c>
      <c r="D8" s="40" t="n">
        <v>577171</v>
      </c>
      <c r="I8" s="15" t="s">
        <v>1528</v>
      </c>
    </row>
    <row r="9" customFormat="false" ht="15" hidden="false" customHeight="true" outlineLevel="0" collapsed="false">
      <c r="A9" s="13" t="s">
        <v>1529</v>
      </c>
      <c r="B9" s="15" t="s">
        <v>1530</v>
      </c>
      <c r="D9" s="40" t="n">
        <v>26000</v>
      </c>
      <c r="I9" s="15" t="s">
        <v>1531</v>
      </c>
    </row>
    <row r="10" customFormat="false" ht="15" hidden="false" customHeight="true" outlineLevel="0" collapsed="false">
      <c r="A10" s="13" t="s">
        <v>1532</v>
      </c>
      <c r="B10" s="15" t="s">
        <v>1533</v>
      </c>
      <c r="D10" s="40" t="n">
        <v>407882</v>
      </c>
      <c r="I10" s="15" t="s">
        <v>1534</v>
      </c>
    </row>
    <row r="11" customFormat="false" ht="15" hidden="false" customHeight="true" outlineLevel="0" collapsed="false">
      <c r="A11" s="13" t="s">
        <v>1535</v>
      </c>
      <c r="B11" s="15" t="s">
        <v>96</v>
      </c>
      <c r="D11" s="41" t="n">
        <v>0.5</v>
      </c>
      <c r="I11" s="15" t="s">
        <v>1536</v>
      </c>
    </row>
    <row r="12" customFormat="false" ht="15" hidden="false" customHeight="true" outlineLevel="0" collapsed="false">
      <c r="A12" s="13" t="s">
        <v>1537</v>
      </c>
      <c r="B12" s="15" t="s">
        <v>1523</v>
      </c>
      <c r="D12" s="40" t="n">
        <v>24000</v>
      </c>
      <c r="I12" s="15" t="s">
        <v>1538</v>
      </c>
    </row>
    <row r="14" customFormat="false" ht="15" hidden="false" customHeight="true" outlineLevel="0" collapsed="false">
      <c r="A14" s="37" t="s">
        <v>1539</v>
      </c>
      <c r="B14" s="37" t="s">
        <v>182</v>
      </c>
      <c r="C14" s="37"/>
      <c r="D14" s="37" t="s">
        <v>1456</v>
      </c>
      <c r="E14" s="37" t="s">
        <v>1521</v>
      </c>
      <c r="F14" s="37"/>
      <c r="G14" s="37"/>
      <c r="H14" s="37"/>
      <c r="I14" s="37" t="s">
        <v>416</v>
      </c>
    </row>
    <row r="15" customFormat="false" ht="15" hidden="false" customHeight="true" outlineLevel="0" collapsed="false">
      <c r="A15" s="13" t="s">
        <v>1540</v>
      </c>
      <c r="B15" s="15" t="s">
        <v>1523</v>
      </c>
      <c r="D15" s="40" t="n">
        <v>49000</v>
      </c>
      <c r="I15" s="15" t="s">
        <v>1541</v>
      </c>
    </row>
    <row r="16" customFormat="false" ht="15" hidden="false" customHeight="true" outlineLevel="0" collapsed="false">
      <c r="A16" s="13" t="s">
        <v>1525</v>
      </c>
      <c r="B16" s="15" t="s">
        <v>427</v>
      </c>
      <c r="D16" s="41" t="n">
        <v>0.05</v>
      </c>
      <c r="I16" s="15" t="s">
        <v>1542</v>
      </c>
    </row>
    <row r="17" customFormat="false" ht="15" hidden="false" customHeight="true" outlineLevel="0" collapsed="false">
      <c r="A17" s="13" t="s">
        <v>1543</v>
      </c>
      <c r="B17" s="15" t="s">
        <v>1530</v>
      </c>
      <c r="D17" s="40" t="n">
        <v>26948</v>
      </c>
      <c r="I17" s="15" t="s">
        <v>1544</v>
      </c>
    </row>
    <row r="18" customFormat="false" ht="15" hidden="false" customHeight="true" outlineLevel="0" collapsed="false">
      <c r="A18" s="13" t="s">
        <v>1545</v>
      </c>
      <c r="B18" s="15" t="s">
        <v>96</v>
      </c>
      <c r="D18" s="41" t="n">
        <v>0.5</v>
      </c>
      <c r="I18" s="15" t="s">
        <v>1546</v>
      </c>
    </row>
    <row r="20" customFormat="false" ht="15" hidden="false" customHeight="true" outlineLevel="0" collapsed="false">
      <c r="A20" s="37" t="s">
        <v>1547</v>
      </c>
      <c r="B20" s="37" t="s">
        <v>182</v>
      </c>
      <c r="C20" s="37"/>
      <c r="D20" s="37" t="s">
        <v>1548</v>
      </c>
      <c r="E20" s="37" t="s">
        <v>1549</v>
      </c>
      <c r="F20" s="37" t="s">
        <v>1550</v>
      </c>
      <c r="G20" s="37" t="s">
        <v>1551</v>
      </c>
      <c r="H20" s="37" t="s">
        <v>1552</v>
      </c>
      <c r="I20" s="37" t="s">
        <v>416</v>
      </c>
    </row>
    <row r="21" customFormat="false" ht="15" hidden="false" customHeight="true" outlineLevel="0" collapsed="false">
      <c r="A21" s="13" t="s">
        <v>1553</v>
      </c>
      <c r="B21" s="15" t="s">
        <v>1523</v>
      </c>
      <c r="D21" s="33" t="n">
        <f aca="false">$D$6*(1+$D$7)^(YEAR(Start_Date)+0-2024)</f>
        <v>46519.1221547</v>
      </c>
      <c r="E21" s="33" t="n">
        <f aca="false">$D$6*(1+$D$7)^(YEAR(Start_Date)+1-2024)</f>
        <v>48798.5591402803</v>
      </c>
      <c r="F21" s="33" t="n">
        <f aca="false">$D$6*(1+$D$7)^(YEAR(Start_Date)+2-2024)</f>
        <v>51189.688538154</v>
      </c>
      <c r="G21" s="33" t="n">
        <f aca="false">$D$6*(1+$D$7)^(YEAR(Start_Date)+3-2024)</f>
        <v>53697.9832765236</v>
      </c>
      <c r="H21" s="33" t="n">
        <f aca="false">$D$6*(1+$D$7)^(YEAR(Start_Date)+4-2024)</f>
        <v>56329.1844570732</v>
      </c>
    </row>
    <row r="22" customFormat="false" ht="15" hidden="false" customHeight="true" outlineLevel="0" collapsed="false">
      <c r="A22" s="9" t="s">
        <v>1554</v>
      </c>
      <c r="B22" s="15" t="s">
        <v>1523</v>
      </c>
      <c r="D22" s="17" t="n">
        <f aca="false">D21*$D$11</f>
        <v>23259.56107735</v>
      </c>
      <c r="E22" s="17" t="n">
        <f aca="false">E21*$D$11</f>
        <v>24399.2795701401</v>
      </c>
      <c r="F22" s="17" t="n">
        <f aca="false">F21*$D$11</f>
        <v>25594.844269077</v>
      </c>
      <c r="G22" s="17" t="n">
        <f aca="false">G21*$D$11</f>
        <v>26848.9916382618</v>
      </c>
      <c r="H22" s="17" t="n">
        <f aca="false">H21*$D$11</f>
        <v>28164.5922285366</v>
      </c>
    </row>
    <row r="23" customFormat="false" ht="15" hidden="false" customHeight="true" outlineLevel="0" collapsed="false">
      <c r="A23" s="13" t="s">
        <v>1555</v>
      </c>
      <c r="B23" s="15" t="s">
        <v>89</v>
      </c>
      <c r="D23" s="33" t="n">
        <f aca="false">'P&amp;L annual'!D57</f>
        <v>388.329341569838</v>
      </c>
      <c r="E23" s="33" t="n">
        <f aca="false">'P&amp;L annual'!E57</f>
        <v>1194.56402486491</v>
      </c>
      <c r="F23" s="33" t="n">
        <f aca="false">'P&amp;L annual'!F57</f>
        <v>2442.01211400313</v>
      </c>
      <c r="G23" s="33" t="n">
        <f aca="false">'P&amp;L annual'!G57</f>
        <v>4255.2202064322</v>
      </c>
      <c r="H23" s="33" t="n">
        <f aca="false">'P&amp;L annual'!H57</f>
        <v>6381.32536714945</v>
      </c>
    </row>
    <row r="24" customFormat="false" ht="15" hidden="false" customHeight="true" outlineLevel="0" collapsed="false">
      <c r="A24" s="9" t="s">
        <v>1556</v>
      </c>
      <c r="B24" s="15" t="s">
        <v>96</v>
      </c>
      <c r="D24" s="20" t="n">
        <f aca="false">IFERROR(D23/D22,0)</f>
        <v>0.0166954716075013</v>
      </c>
      <c r="E24" s="20" t="n">
        <f aca="false">IFERROR(E23/E22,0)</f>
        <v>0.0489589875566171</v>
      </c>
      <c r="F24" s="20" t="n">
        <f aca="false">IFERROR(F23/F22,0)</f>
        <v>0.0954103134338466</v>
      </c>
      <c r="G24" s="20" t="n">
        <f aca="false">IFERROR(G23/G22,0)</f>
        <v>0.158487151538615</v>
      </c>
      <c r="H24" s="20" t="n">
        <f aca="false">IFERROR(H23/H22,0)</f>
        <v>0.226572616971313</v>
      </c>
    </row>
    <row r="25" customFormat="false" ht="15" hidden="false" customHeight="true" outlineLevel="0" collapsed="false">
      <c r="A25" s="13" t="s">
        <v>1557</v>
      </c>
      <c r="B25" s="15" t="s">
        <v>96</v>
      </c>
      <c r="D25" s="35" t="n">
        <f aca="false">IFERROR(D23/$D$12,0)</f>
        <v>0.0161803892320766</v>
      </c>
      <c r="E25" s="35" t="n">
        <f aca="false">IFERROR(E23/$D$12,0)</f>
        <v>0.049773501036038</v>
      </c>
      <c r="F25" s="35" t="n">
        <f aca="false">IFERROR(F23/$D$12,0)</f>
        <v>0.10175050475013</v>
      </c>
      <c r="G25" s="35" t="n">
        <f aca="false">IFERROR(G23/$D$12,0)</f>
        <v>0.177300841934675</v>
      </c>
      <c r="H25" s="35" t="n">
        <f aca="false">IFERROR(H23/$D$12,0)</f>
        <v>0.26588855696456</v>
      </c>
    </row>
    <row r="26" customFormat="false" ht="15" hidden="false" customHeight="true" outlineLevel="0" collapsed="false">
      <c r="A26" s="13" t="s">
        <v>1558</v>
      </c>
      <c r="B26" s="15" t="s">
        <v>1523</v>
      </c>
      <c r="D26" s="33" t="n">
        <f aca="false">$D$15*(1+$D$16)^(YEAR(Start_Date)+0-2024)</f>
        <v>56723.625</v>
      </c>
      <c r="E26" s="33" t="n">
        <f aca="false">$D$15*(1+$D$16)^(YEAR(Start_Date)+1-2024)</f>
        <v>59559.80625</v>
      </c>
      <c r="F26" s="33" t="n">
        <f aca="false">$D$15*(1+$D$16)^(YEAR(Start_Date)+2-2024)</f>
        <v>62537.7965625</v>
      </c>
      <c r="G26" s="33" t="n">
        <f aca="false">$D$15*(1+$D$16)^(YEAR(Start_Date)+3-2024)</f>
        <v>65664.686390625</v>
      </c>
      <c r="H26" s="33" t="n">
        <f aca="false">$D$15*(1+$D$16)^(YEAR(Start_Date)+4-2024)</f>
        <v>68947.9207101563</v>
      </c>
    </row>
    <row r="27" customFormat="false" ht="15" hidden="false" customHeight="true" outlineLevel="0" collapsed="false">
      <c r="A27" s="9" t="s">
        <v>1559</v>
      </c>
      <c r="B27" s="15" t="s">
        <v>1523</v>
      </c>
      <c r="D27" s="17" t="n">
        <f aca="false">D26*$D$18</f>
        <v>28361.8125</v>
      </c>
      <c r="E27" s="17" t="n">
        <f aca="false">E26*$D$18</f>
        <v>29779.903125</v>
      </c>
      <c r="F27" s="17" t="n">
        <f aca="false">F26*$D$18</f>
        <v>31268.89828125</v>
      </c>
      <c r="G27" s="17" t="n">
        <f aca="false">G26*$D$18</f>
        <v>32832.3431953125</v>
      </c>
      <c r="H27" s="17" t="n">
        <f aca="false">H26*$D$18</f>
        <v>34473.9603550781</v>
      </c>
    </row>
    <row r="28" customFormat="false" ht="15" hidden="false" customHeight="true" outlineLevel="0" collapsed="false">
      <c r="A28" s="13" t="s">
        <v>1560</v>
      </c>
      <c r="B28" s="15" t="s">
        <v>89</v>
      </c>
      <c r="D28" s="33" t="n">
        <f aca="false">'P&amp;L annual'!D58</f>
        <v>0</v>
      </c>
      <c r="E28" s="33" t="n">
        <f aca="false">'P&amp;L annual'!E58</f>
        <v>223.760780918427</v>
      </c>
      <c r="F28" s="33" t="n">
        <f aca="false">'P&amp;L annual'!F58</f>
        <v>857.136584914707</v>
      </c>
      <c r="G28" s="33" t="n">
        <f aca="false">'P&amp;L annual'!G58</f>
        <v>1720.58062628607</v>
      </c>
      <c r="H28" s="33" t="n">
        <f aca="false">'P&amp;L annual'!H58</f>
        <v>2993.14600653526</v>
      </c>
    </row>
    <row r="29" customFormat="false" ht="15" hidden="false" customHeight="true" outlineLevel="0" collapsed="false">
      <c r="A29" s="9" t="s">
        <v>1561</v>
      </c>
      <c r="B29" s="15" t="s">
        <v>96</v>
      </c>
      <c r="D29" s="20" t="n">
        <f aca="false">IFERROR(D28/D27,0)</f>
        <v>0</v>
      </c>
      <c r="E29" s="20" t="n">
        <f aca="false">IFERROR(E28/E27,0)</f>
        <v>0.00751381829481446</v>
      </c>
      <c r="F29" s="20" t="n">
        <f aca="false">IFERROR(F28/F27,0)</f>
        <v>0.0274117935721668</v>
      </c>
      <c r="G29" s="20" t="n">
        <f aca="false">IFERROR(G28/G27,0)</f>
        <v>0.0524050512036472</v>
      </c>
      <c r="H29" s="20" t="n">
        <f aca="false">IFERROR(H28/H27,0)</f>
        <v>0.0868233871509443</v>
      </c>
    </row>
    <row r="30" customFormat="false" ht="15" hidden="false" customHeight="true" outlineLevel="0" collapsed="false">
      <c r="A30" s="13" t="s">
        <v>1562</v>
      </c>
      <c r="B30" s="15" t="s">
        <v>96</v>
      </c>
      <c r="D30" s="34" t="n">
        <f aca="false">IFERROR('P&amp;L annual'!D62/$D$8,0)</f>
        <v>0</v>
      </c>
      <c r="E30" s="34" t="n">
        <f aca="false">IFERROR('P&amp;L annual'!E62/$D$8,0)</f>
        <v>0</v>
      </c>
      <c r="F30" s="34" t="n">
        <f aca="false">IFERROR('P&amp;L annual'!F62/$D$8,0)</f>
        <v>0.0272957995500725</v>
      </c>
      <c r="G30" s="34" t="n">
        <f aca="false">IFERROR('P&amp;L annual'!G62/$D$8,0)</f>
        <v>0.0503090804609131</v>
      </c>
      <c r="H30" s="34" t="n">
        <f aca="false">IFERROR('P&amp;L annual'!H62/$D$8,0)</f>
        <v>0.0803005177316206</v>
      </c>
    </row>
    <row r="32" customFormat="false" ht="15" hidden="false" customHeight="true" outlineLevel="0" collapsed="false">
      <c r="A32" s="37" t="s">
        <v>1563</v>
      </c>
      <c r="B32" s="37" t="s">
        <v>182</v>
      </c>
      <c r="C32" s="37"/>
      <c r="D32" s="37" t="s">
        <v>1456</v>
      </c>
      <c r="E32" s="37" t="s">
        <v>1521</v>
      </c>
      <c r="F32" s="37"/>
      <c r="G32" s="37"/>
      <c r="H32" s="37"/>
      <c r="I32" s="37" t="s">
        <v>416</v>
      </c>
    </row>
    <row r="33" customFormat="false" ht="15" hidden="false" customHeight="true" outlineLevel="0" collapsed="false">
      <c r="A33" s="13" t="s">
        <v>1564</v>
      </c>
      <c r="B33" s="15" t="s">
        <v>104</v>
      </c>
      <c r="D33" s="40" t="n">
        <v>15000</v>
      </c>
      <c r="E33" s="52" t="n">
        <f aca="false">D33/FX_EUR</f>
        <v>22.8673525856116</v>
      </c>
      <c r="I33" s="15" t="s">
        <v>1565</v>
      </c>
    </row>
    <row r="34" customFormat="false" ht="15" hidden="false" customHeight="true" outlineLevel="0" collapsed="false">
      <c r="A34" s="13" t="s">
        <v>1566</v>
      </c>
      <c r="B34" s="15" t="s">
        <v>839</v>
      </c>
      <c r="D34" s="33" t="n">
        <f aca="false">D22*D33*12</f>
        <v>4186720993.923</v>
      </c>
      <c r="E34" s="25" t="n">
        <f aca="false">D34/FX_EUR</f>
        <v>6382615.00970795</v>
      </c>
      <c r="I34" s="15" t="s">
        <v>1567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7377"/>
    <pageSetUpPr fitToPage="false"/>
  </sheetPr>
  <dimension ref="A1:G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0"/>
    <col collapsed="false" customWidth="true" hidden="false" outlineLevel="0" max="3" min="3" style="1" width="22"/>
    <col collapsed="false" customWidth="true" hidden="false" outlineLevel="0" max="4" min="4" style="1" width="70"/>
    <col collapsed="false" customWidth="true" hidden="false" outlineLevel="0" max="5" min="5" style="1" width="55"/>
    <col collapsed="false" customWidth="true" hidden="false" outlineLevel="0" max="6" min="6" style="1" width="40"/>
    <col collapsed="false" customWidth="true" hidden="false" outlineLevel="0" max="7" min="7" style="1" width="16"/>
  </cols>
  <sheetData>
    <row r="1" customFormat="false" ht="17.25" hidden="false" customHeight="true" outlineLevel="0" collapsed="false">
      <c r="A1" s="8" t="s">
        <v>46</v>
      </c>
    </row>
    <row r="2" customFormat="false" ht="15" hidden="false" customHeight="true" outlineLevel="0" collapsed="false">
      <c r="A2" s="3" t="s">
        <v>1568</v>
      </c>
    </row>
    <row r="4" customFormat="false" ht="15" hidden="false" customHeight="true" outlineLevel="0" collapsed="false">
      <c r="A4" s="3" t="s">
        <v>1569</v>
      </c>
    </row>
    <row r="5" customFormat="false" ht="15" hidden="false" customHeight="true" outlineLevel="0" collapsed="false">
      <c r="A5" s="3" t="s">
        <v>1570</v>
      </c>
    </row>
    <row r="7" customFormat="false" ht="15" hidden="false" customHeight="true" outlineLevel="0" collapsed="false">
      <c r="A7" s="37" t="s">
        <v>1571</v>
      </c>
      <c r="B7" s="37" t="s">
        <v>271</v>
      </c>
      <c r="C7" s="37" t="s">
        <v>1572</v>
      </c>
      <c r="D7" s="37" t="s">
        <v>1573</v>
      </c>
      <c r="E7" s="37" t="s">
        <v>1574</v>
      </c>
      <c r="F7" s="37" t="s">
        <v>1575</v>
      </c>
      <c r="G7" s="37" t="s">
        <v>353</v>
      </c>
    </row>
    <row r="8" customFormat="false" ht="34.5" hidden="false" customHeight="true" outlineLevel="0" collapsed="false">
      <c r="A8" s="64" t="s">
        <v>1576</v>
      </c>
      <c r="B8" s="64" t="str">
        <f aca="false">"Months 1 to "&amp;(Launch_SN-1)</f>
        <v>Months 1 to 4</v>
      </c>
      <c r="C8" s="65"/>
      <c r="D8" s="66" t="s">
        <v>1577</v>
      </c>
      <c r="E8" s="65"/>
      <c r="F8" s="65"/>
      <c r="G8" s="65"/>
    </row>
    <row r="9" customFormat="false" ht="34.5" hidden="false" customHeight="true" outlineLevel="0" collapsed="false">
      <c r="C9" s="30" t="s">
        <v>1578</v>
      </c>
      <c r="D9" s="5" t="s">
        <v>1579</v>
      </c>
      <c r="E9" s="31" t="s">
        <v>1580</v>
      </c>
      <c r="F9" s="5" t="s">
        <v>1581</v>
      </c>
      <c r="G9" s="5" t="s">
        <v>1582</v>
      </c>
    </row>
    <row r="10" customFormat="false" ht="57" hidden="false" customHeight="true" outlineLevel="0" collapsed="false">
      <c r="C10" s="30" t="s">
        <v>1583</v>
      </c>
      <c r="D10" s="5" t="s">
        <v>1584</v>
      </c>
      <c r="E10" s="31" t="s">
        <v>1585</v>
      </c>
      <c r="F10" s="5" t="s">
        <v>1586</v>
      </c>
      <c r="G10" s="5" t="s">
        <v>1582</v>
      </c>
    </row>
    <row r="11" customFormat="false" ht="45.75" hidden="false" customHeight="true" outlineLevel="0" collapsed="false">
      <c r="C11" s="30" t="s">
        <v>1587</v>
      </c>
      <c r="D11" s="5" t="s">
        <v>1588</v>
      </c>
      <c r="E11" s="31" t="s">
        <v>1589</v>
      </c>
      <c r="F11" s="5" t="s">
        <v>1590</v>
      </c>
      <c r="G11" s="5" t="s">
        <v>1582</v>
      </c>
    </row>
    <row r="12" customFormat="false" ht="45.75" hidden="false" customHeight="true" outlineLevel="0" collapsed="false">
      <c r="C12" s="30" t="s">
        <v>1591</v>
      </c>
      <c r="D12" s="5" t="s">
        <v>1592</v>
      </c>
      <c r="E12" s="31" t="s">
        <v>1593</v>
      </c>
      <c r="F12" s="5" t="s">
        <v>1594</v>
      </c>
      <c r="G12" s="5" t="s">
        <v>1595</v>
      </c>
    </row>
    <row r="13" customFormat="false" ht="34.5" hidden="false" customHeight="true" outlineLevel="0" collapsed="false">
      <c r="C13" s="30" t="s">
        <v>1596</v>
      </c>
      <c r="D13" s="5" t="s">
        <v>1597</v>
      </c>
      <c r="E13" s="31" t="s">
        <v>1598</v>
      </c>
      <c r="F13" s="5" t="s">
        <v>1599</v>
      </c>
      <c r="G13" s="5" t="s">
        <v>1582</v>
      </c>
    </row>
    <row r="14" customFormat="false" ht="34.5" hidden="false" customHeight="true" outlineLevel="0" collapsed="false">
      <c r="A14" s="64" t="s">
        <v>1600</v>
      </c>
      <c r="B14" s="64" t="str">
        <f aca="false">"From month "&amp;Launch_SN</f>
        <v>From month 5</v>
      </c>
      <c r="C14" s="65"/>
      <c r="D14" s="66" t="s">
        <v>1601</v>
      </c>
      <c r="E14" s="65"/>
      <c r="F14" s="65"/>
      <c r="G14" s="65"/>
    </row>
    <row r="15" customFormat="false" ht="68.25" hidden="false" customHeight="true" outlineLevel="0" collapsed="false">
      <c r="C15" s="30" t="s">
        <v>1602</v>
      </c>
      <c r="D15" s="5" t="s">
        <v>1603</v>
      </c>
      <c r="E15" s="31" t="s">
        <v>1604</v>
      </c>
      <c r="F15" s="5" t="s">
        <v>1605</v>
      </c>
      <c r="G15" s="5" t="s">
        <v>1606</v>
      </c>
    </row>
    <row r="16" customFormat="false" ht="34.5" hidden="false" customHeight="true" outlineLevel="0" collapsed="false">
      <c r="C16" s="30" t="s">
        <v>1607</v>
      </c>
      <c r="D16" s="5" t="s">
        <v>1608</v>
      </c>
      <c r="E16" s="31" t="s">
        <v>1609</v>
      </c>
      <c r="F16" s="5" t="s">
        <v>1586</v>
      </c>
      <c r="G16" s="5" t="s">
        <v>1582</v>
      </c>
    </row>
    <row r="17" customFormat="false" ht="34.5" hidden="false" customHeight="true" outlineLevel="0" collapsed="false">
      <c r="C17" s="30" t="s">
        <v>1610</v>
      </c>
      <c r="D17" s="5" t="s">
        <v>1611</v>
      </c>
      <c r="E17" s="31" t="s">
        <v>1612</v>
      </c>
      <c r="F17" s="5" t="s">
        <v>1613</v>
      </c>
      <c r="G17" s="5" t="s">
        <v>1582</v>
      </c>
    </row>
    <row r="18" customFormat="false" ht="23.25" hidden="false" customHeight="true" outlineLevel="0" collapsed="false">
      <c r="C18" s="30" t="s">
        <v>392</v>
      </c>
      <c r="D18" s="5" t="s">
        <v>1614</v>
      </c>
      <c r="E18" s="31" t="s">
        <v>1615</v>
      </c>
      <c r="F18" s="5" t="s">
        <v>1616</v>
      </c>
      <c r="G18" s="5" t="s">
        <v>1582</v>
      </c>
    </row>
    <row r="19" customFormat="false" ht="34.5" hidden="false" customHeight="true" outlineLevel="0" collapsed="false">
      <c r="C19" s="30" t="s">
        <v>1617</v>
      </c>
      <c r="D19" s="5" t="s">
        <v>1618</v>
      </c>
      <c r="E19" s="31" t="s">
        <v>1619</v>
      </c>
      <c r="F19" s="5" t="s">
        <v>1620</v>
      </c>
      <c r="G19" s="5" t="s">
        <v>1582</v>
      </c>
    </row>
    <row r="20" customFormat="false" ht="68.25" hidden="false" customHeight="true" outlineLevel="0" collapsed="false">
      <c r="C20" s="30" t="s">
        <v>1621</v>
      </c>
      <c r="D20" s="5" t="s">
        <v>1622</v>
      </c>
      <c r="E20" s="31" t="s">
        <v>1623</v>
      </c>
      <c r="F20" s="5" t="s">
        <v>1624</v>
      </c>
      <c r="G20" s="5" t="s">
        <v>1625</v>
      </c>
    </row>
    <row r="21" customFormat="false" ht="90.75" hidden="false" customHeight="true" outlineLevel="0" collapsed="false">
      <c r="C21" s="30" t="s">
        <v>1626</v>
      </c>
      <c r="D21" s="5" t="s">
        <v>1627</v>
      </c>
      <c r="E21" s="31" t="s">
        <v>1628</v>
      </c>
      <c r="F21" s="5" t="s">
        <v>1629</v>
      </c>
      <c r="G21" s="5" t="s">
        <v>1582</v>
      </c>
    </row>
    <row r="22" customFormat="false" ht="45.75" hidden="false" customHeight="true" outlineLevel="0" collapsed="false">
      <c r="C22" s="30" t="s">
        <v>1630</v>
      </c>
      <c r="D22" s="5" t="s">
        <v>1631</v>
      </c>
      <c r="E22" s="31" t="s">
        <v>1632</v>
      </c>
      <c r="F22" s="5" t="s">
        <v>1633</v>
      </c>
      <c r="G22" s="5" t="s">
        <v>1595</v>
      </c>
    </row>
    <row r="23" customFormat="false" ht="34.5" hidden="false" customHeight="true" outlineLevel="0" collapsed="false">
      <c r="C23" s="30" t="s">
        <v>1634</v>
      </c>
      <c r="D23" s="5" t="s">
        <v>1635</v>
      </c>
      <c r="E23" s="31" t="s">
        <v>1636</v>
      </c>
      <c r="F23" s="5" t="s">
        <v>1637</v>
      </c>
      <c r="G23" s="5" t="s">
        <v>1595</v>
      </c>
    </row>
    <row r="24" customFormat="false" ht="34.5" hidden="false" customHeight="true" outlineLevel="0" collapsed="false">
      <c r="C24" s="30" t="s">
        <v>1638</v>
      </c>
      <c r="D24" s="5" t="s">
        <v>1639</v>
      </c>
      <c r="E24" s="31" t="s">
        <v>1640</v>
      </c>
      <c r="F24" s="5" t="s">
        <v>1586</v>
      </c>
      <c r="G24" s="5" t="s">
        <v>1582</v>
      </c>
    </row>
    <row r="25" customFormat="false" ht="23.25" hidden="false" customHeight="true" outlineLevel="0" collapsed="false">
      <c r="A25" s="64" t="s">
        <v>1641</v>
      </c>
      <c r="B25" s="64" t="str">
        <f aca="false">"From month "&amp;MIN(Start_Factoring,Start_Bridge)&amp;" (credit) and month "&amp;CI_Office_Start&amp;" (Côte d'Ivoire)"</f>
        <v>From month 18 (credit) and month 18 (Côte d'Ivoire)</v>
      </c>
      <c r="C25" s="65"/>
      <c r="D25" s="66" t="s">
        <v>1642</v>
      </c>
      <c r="E25" s="65"/>
      <c r="F25" s="65"/>
      <c r="G25" s="65"/>
    </row>
    <row r="26" customFormat="false" ht="45.75" hidden="false" customHeight="true" outlineLevel="0" collapsed="false">
      <c r="C26" s="30" t="s">
        <v>1643</v>
      </c>
      <c r="D26" s="5" t="s">
        <v>1644</v>
      </c>
      <c r="E26" s="31" t="s">
        <v>1645</v>
      </c>
      <c r="F26" s="5" t="s">
        <v>1646</v>
      </c>
      <c r="G26" s="5" t="s">
        <v>1582</v>
      </c>
    </row>
    <row r="27" customFormat="false" ht="34.5" hidden="false" customHeight="true" outlineLevel="0" collapsed="false">
      <c r="C27" s="30" t="s">
        <v>1647</v>
      </c>
      <c r="D27" s="5" t="s">
        <v>1648</v>
      </c>
      <c r="E27" s="31" t="s">
        <v>1649</v>
      </c>
      <c r="F27" s="5" t="s">
        <v>1650</v>
      </c>
      <c r="G27" s="5" t="s">
        <v>1582</v>
      </c>
    </row>
    <row r="28" customFormat="false" ht="34.5" hidden="false" customHeight="true" outlineLevel="0" collapsed="false">
      <c r="C28" s="30" t="s">
        <v>1651</v>
      </c>
      <c r="D28" s="5" t="s">
        <v>1652</v>
      </c>
      <c r="E28" s="31" t="s">
        <v>1653</v>
      </c>
      <c r="F28" s="5" t="s">
        <v>1654</v>
      </c>
      <c r="G28" s="5" t="s">
        <v>1595</v>
      </c>
    </row>
    <row r="29" customFormat="false" ht="45.75" hidden="false" customHeight="true" outlineLevel="0" collapsed="false">
      <c r="C29" s="30" t="s">
        <v>1655</v>
      </c>
      <c r="D29" s="5" t="s">
        <v>1656</v>
      </c>
      <c r="E29" s="31" t="s">
        <v>1657</v>
      </c>
      <c r="F29" s="5" t="s">
        <v>1658</v>
      </c>
      <c r="G29" s="5" t="s">
        <v>1595</v>
      </c>
    </row>
    <row r="30" customFormat="false" ht="23.25" hidden="false" customHeight="true" outlineLevel="0" collapsed="false">
      <c r="C30" s="30" t="s">
        <v>1651</v>
      </c>
      <c r="D30" s="5" t="s">
        <v>1659</v>
      </c>
      <c r="E30" s="31" t="s">
        <v>1660</v>
      </c>
      <c r="F30" s="5" t="s">
        <v>1586</v>
      </c>
      <c r="G30" s="5" t="s">
        <v>1582</v>
      </c>
    </row>
    <row r="31" customFormat="false" ht="34.5" hidden="false" customHeight="true" outlineLevel="0" collapsed="false">
      <c r="C31" s="30" t="s">
        <v>1047</v>
      </c>
      <c r="D31" s="5" t="s">
        <v>1661</v>
      </c>
      <c r="E31" s="31" t="s">
        <v>1662</v>
      </c>
      <c r="F31" s="5" t="s">
        <v>1663</v>
      </c>
      <c r="G31" s="5" t="s">
        <v>1625</v>
      </c>
    </row>
    <row r="32" customFormat="false" ht="57" hidden="false" customHeight="true" outlineLevel="0" collapsed="false">
      <c r="C32" s="30" t="s">
        <v>1664</v>
      </c>
      <c r="D32" s="5" t="s">
        <v>1665</v>
      </c>
      <c r="E32" s="31" t="s">
        <v>1666</v>
      </c>
      <c r="F32" s="5" t="s">
        <v>1667</v>
      </c>
      <c r="G32" s="5" t="s">
        <v>1595</v>
      </c>
    </row>
    <row r="33" customFormat="false" ht="45.75" hidden="false" customHeight="true" outlineLevel="0" collapsed="false">
      <c r="C33" s="30" t="s">
        <v>1668</v>
      </c>
      <c r="D33" s="5" t="s">
        <v>1669</v>
      </c>
      <c r="E33" s="31" t="s">
        <v>1670</v>
      </c>
      <c r="F33" s="5" t="s">
        <v>1083</v>
      </c>
      <c r="G33" s="5" t="s">
        <v>1582</v>
      </c>
    </row>
    <row r="34" customFormat="false" ht="23.25" hidden="false" customHeight="true" outlineLevel="0" collapsed="false">
      <c r="C34" s="30" t="s">
        <v>1671</v>
      </c>
      <c r="D34" s="5" t="s">
        <v>1672</v>
      </c>
      <c r="E34" s="31" t="s">
        <v>1673</v>
      </c>
      <c r="F34" s="5" t="s">
        <v>1674</v>
      </c>
      <c r="G34" s="5" t="s">
        <v>1595</v>
      </c>
    </row>
    <row r="35" customFormat="false" ht="34.5" hidden="false" customHeight="true" outlineLevel="0" collapsed="false">
      <c r="A35" s="64" t="s">
        <v>1675</v>
      </c>
      <c r="B35" s="64" t="str">
        <f aca="false">"Closing in month "&amp;SFD_Acq_Month&amp;"; file about 6 months before"</f>
        <v>Closing in month 24; file about 6 months before</v>
      </c>
      <c r="C35" s="65"/>
      <c r="D35" s="66" t="s">
        <v>1676</v>
      </c>
      <c r="E35" s="65"/>
      <c r="F35" s="65"/>
      <c r="G35" s="65"/>
    </row>
    <row r="36" customFormat="false" ht="34.5" hidden="false" customHeight="true" outlineLevel="0" collapsed="false">
      <c r="C36" s="30" t="s">
        <v>1677</v>
      </c>
      <c r="D36" s="5" t="s">
        <v>1678</v>
      </c>
      <c r="E36" s="31" t="s">
        <v>1679</v>
      </c>
      <c r="F36" s="5" t="s">
        <v>1680</v>
      </c>
      <c r="G36" s="5" t="s">
        <v>1582</v>
      </c>
    </row>
    <row r="37" customFormat="false" ht="45.75" hidden="false" customHeight="true" outlineLevel="0" collapsed="false">
      <c r="C37" s="30" t="s">
        <v>1681</v>
      </c>
      <c r="D37" s="5" t="s">
        <v>1682</v>
      </c>
      <c r="E37" s="31" t="s">
        <v>1683</v>
      </c>
      <c r="F37" s="5" t="s">
        <v>1684</v>
      </c>
      <c r="G37" s="5" t="s">
        <v>1582</v>
      </c>
    </row>
    <row r="38" customFormat="false" ht="45.75" hidden="false" customHeight="true" outlineLevel="0" collapsed="false">
      <c r="C38" s="30" t="s">
        <v>1685</v>
      </c>
      <c r="D38" s="5" t="s">
        <v>1686</v>
      </c>
      <c r="E38" s="31" t="s">
        <v>1687</v>
      </c>
      <c r="F38" s="5" t="s">
        <v>1586</v>
      </c>
      <c r="G38" s="5" t="s">
        <v>1688</v>
      </c>
    </row>
    <row r="39" customFormat="false" ht="45.75" hidden="false" customHeight="true" outlineLevel="0" collapsed="false">
      <c r="C39" s="30" t="s">
        <v>1689</v>
      </c>
      <c r="D39" s="5" t="s">
        <v>1690</v>
      </c>
      <c r="E39" s="31" t="s">
        <v>1691</v>
      </c>
      <c r="F39" s="5" t="s">
        <v>1692</v>
      </c>
      <c r="G39" s="5" t="s">
        <v>1582</v>
      </c>
    </row>
    <row r="40" customFormat="false" ht="34.5" hidden="false" customHeight="true" outlineLevel="0" collapsed="false">
      <c r="C40" s="30" t="s">
        <v>1693</v>
      </c>
      <c r="D40" s="5" t="s">
        <v>1694</v>
      </c>
      <c r="E40" s="31" t="s">
        <v>1695</v>
      </c>
      <c r="F40" s="5" t="s">
        <v>1696</v>
      </c>
      <c r="G40" s="5" t="s">
        <v>1582</v>
      </c>
    </row>
    <row r="41" customFormat="false" ht="34.5" hidden="false" customHeight="true" outlineLevel="0" collapsed="false">
      <c r="C41" s="30" t="s">
        <v>1697</v>
      </c>
      <c r="D41" s="5" t="s">
        <v>1698</v>
      </c>
      <c r="E41" s="31" t="s">
        <v>1699</v>
      </c>
      <c r="F41" s="5" t="s">
        <v>1700</v>
      </c>
      <c r="G41" s="5" t="s">
        <v>1701</v>
      </c>
    </row>
    <row r="42" customFormat="false" ht="45.75" hidden="false" customHeight="true" outlineLevel="0" collapsed="false">
      <c r="C42" s="30" t="s">
        <v>1702</v>
      </c>
      <c r="D42" s="5" t="s">
        <v>1703</v>
      </c>
      <c r="E42" s="31" t="s">
        <v>1704</v>
      </c>
      <c r="F42" s="5" t="s">
        <v>1705</v>
      </c>
      <c r="G42" s="5" t="s">
        <v>1582</v>
      </c>
    </row>
    <row r="43" customFormat="false" ht="34.5" hidden="false" customHeight="true" outlineLevel="0" collapsed="false">
      <c r="C43" s="30" t="s">
        <v>1706</v>
      </c>
      <c r="D43" s="5" t="s">
        <v>1707</v>
      </c>
      <c r="E43" s="31" t="s">
        <v>1708</v>
      </c>
      <c r="F43" s="5" t="s">
        <v>1586</v>
      </c>
      <c r="G43" s="5" t="s">
        <v>1625</v>
      </c>
    </row>
    <row r="44" customFormat="false" ht="23.25" hidden="false" customHeight="true" outlineLevel="0" collapsed="false">
      <c r="A44" s="64" t="s">
        <v>1709</v>
      </c>
      <c r="B44" s="64" t="str">
        <f aca="false">"From month "&amp;EmpAcc_Start</f>
        <v>From month 29</v>
      </c>
      <c r="C44" s="65"/>
      <c r="D44" s="66" t="s">
        <v>1710</v>
      </c>
      <c r="E44" s="65"/>
      <c r="F44" s="65"/>
      <c r="G44" s="65"/>
    </row>
    <row r="45" customFormat="false" ht="57" hidden="false" customHeight="true" outlineLevel="0" collapsed="false">
      <c r="C45" s="30" t="s">
        <v>1711</v>
      </c>
      <c r="D45" s="5" t="s">
        <v>1712</v>
      </c>
      <c r="E45" s="31" t="s">
        <v>1713</v>
      </c>
      <c r="F45" s="5" t="s">
        <v>1714</v>
      </c>
      <c r="G45" s="5" t="s">
        <v>1715</v>
      </c>
    </row>
    <row r="46" customFormat="false" ht="34.5" hidden="false" customHeight="true" outlineLevel="0" collapsed="false">
      <c r="C46" s="30" t="s">
        <v>1716</v>
      </c>
      <c r="D46" s="5" t="s">
        <v>1717</v>
      </c>
      <c r="E46" s="31" t="s">
        <v>1718</v>
      </c>
      <c r="F46" s="5" t="s">
        <v>1719</v>
      </c>
      <c r="G46" s="5" t="s">
        <v>1582</v>
      </c>
    </row>
    <row r="47" customFormat="false" ht="45.75" hidden="false" customHeight="true" outlineLevel="0" collapsed="false">
      <c r="C47" s="30" t="s">
        <v>1720</v>
      </c>
      <c r="D47" s="5" t="s">
        <v>1721</v>
      </c>
      <c r="E47" s="31" t="s">
        <v>1722</v>
      </c>
      <c r="F47" s="5" t="s">
        <v>1723</v>
      </c>
      <c r="G47" s="5" t="s">
        <v>1582</v>
      </c>
    </row>
    <row r="48" customFormat="false" ht="23.25" hidden="false" customHeight="true" outlineLevel="0" collapsed="false">
      <c r="C48" s="30" t="s">
        <v>1049</v>
      </c>
      <c r="D48" s="5" t="s">
        <v>1724</v>
      </c>
      <c r="E48" s="31" t="s">
        <v>1725</v>
      </c>
      <c r="F48" s="5" t="s">
        <v>1726</v>
      </c>
      <c r="G48" s="5" t="s">
        <v>1582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2026-10-20T10:18:16Z</dcterms:created>
  <dc:creator>openpyxl</dc:creator>
  <dc:description/>
  <dc:language>en-US</dc:language>
  <cp:lastModifiedBy/>
  <dcterms:modified xsi:type="dcterms:W3CDTF">2026-10-20T10:33:04Z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